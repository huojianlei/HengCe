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45d04ea76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643b62bb27404dc6"/>
    <x:sheet xmlns:r="http://schemas.openxmlformats.org/officeDocument/2006/relationships" name="资产负债表" sheetId="2" r:id="R90d45a0e9b124746"/>
    <x:sheet xmlns:r="http://schemas.openxmlformats.org/officeDocument/2006/relationships" name="现金流量表" sheetId="3" r:id="Rae21bc955c0c44c1"/>
    <x:sheet xmlns:r="http://schemas.openxmlformats.org/officeDocument/2006/relationships" name="收入非主控" sheetId="4" r:id="Re4af3fcc85644bf9"/>
    <x:sheet xmlns:r="http://schemas.openxmlformats.org/officeDocument/2006/relationships" name="收入主控" sheetId="5" r:id="R9c24dd24b866443a"/>
    <x:sheet xmlns:r="http://schemas.openxmlformats.org/officeDocument/2006/relationships" name="税金及附加" sheetId="6" r:id="R9eeb0c81e9864726"/>
    <x:sheet xmlns:r="http://schemas.openxmlformats.org/officeDocument/2006/relationships" name="销售费用" sheetId="7" r:id="R007c1fa2c0f446b9"/>
    <x:sheet xmlns:r="http://schemas.openxmlformats.org/officeDocument/2006/relationships" name="管理费用" sheetId="8" r:id="Red5dbc473f22492b"/>
    <x:sheet xmlns:r="http://schemas.openxmlformats.org/officeDocument/2006/relationships" name="蓝恐龙费用" sheetId="9" r:id="R27c8d02184564ef0"/>
    <x:sheet xmlns:r="http://schemas.openxmlformats.org/officeDocument/2006/relationships" name="费用表月度汇总" sheetId="10" r:id="R989a769cc6e54495"/>
    <x:sheet xmlns:r="http://schemas.openxmlformats.org/officeDocument/2006/relationships" name="摊销明细" sheetId="11" r:id="R8b1a080494354673"/>
    <x:sheet xmlns:r="http://schemas.openxmlformats.org/officeDocument/2006/relationships" name="分录" sheetId="12" r:id="Rc5fa3ef0cdbc4b0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6eaf304ee43d6" /><Relationship Type="http://schemas.openxmlformats.org/officeDocument/2006/relationships/theme" Target="/xl/theme/theme1.xml" Id="Rb3e683e22a55404a" /><Relationship Type="http://schemas.openxmlformats.org/officeDocument/2006/relationships/sharedStrings" Target="/xl/sharedStrings.xml" Id="R583dae68eaca4d5e" /><Relationship Type="http://schemas.openxmlformats.org/officeDocument/2006/relationships/worksheet" Target="/xl/worksheets/sheet1.xml" Id="R643b62bb27404dc6" /><Relationship Type="http://schemas.openxmlformats.org/officeDocument/2006/relationships/worksheet" Target="/xl/worksheets/sheet2.xml" Id="R90d45a0e9b124746" /><Relationship Type="http://schemas.openxmlformats.org/officeDocument/2006/relationships/worksheet" Target="/xl/worksheets/sheet3.xml" Id="Rae21bc955c0c44c1" /><Relationship Type="http://schemas.openxmlformats.org/officeDocument/2006/relationships/worksheet" Target="/xl/worksheets/sheet4.xml" Id="Re4af3fcc85644bf9" /><Relationship Type="http://schemas.openxmlformats.org/officeDocument/2006/relationships/worksheet" Target="/xl/worksheets/sheet5.xml" Id="R9c24dd24b866443a" /><Relationship Type="http://schemas.openxmlformats.org/officeDocument/2006/relationships/worksheet" Target="/xl/worksheets/sheet6.xml" Id="R9eeb0c81e9864726" /><Relationship Type="http://schemas.openxmlformats.org/officeDocument/2006/relationships/worksheet" Target="/xl/worksheets/sheet7.xml" Id="R007c1fa2c0f446b9" /><Relationship Type="http://schemas.openxmlformats.org/officeDocument/2006/relationships/worksheet" Target="/xl/worksheets/sheet8.xml" Id="Red5dbc473f22492b" /><Relationship Type="http://schemas.openxmlformats.org/officeDocument/2006/relationships/worksheet" Target="/xl/worksheets/sheet9.xml" Id="R27c8d02184564ef0" /><Relationship Type="http://schemas.openxmlformats.org/officeDocument/2006/relationships/worksheet" Target="/xl/worksheets/sheet10.xml" Id="R989a769cc6e54495" /><Relationship Type="http://schemas.openxmlformats.org/officeDocument/2006/relationships/worksheet" Target="/xl/worksheets/sheet11.xml" Id="R8b1a080494354673" /><Relationship Type="http://schemas.openxmlformats.org/officeDocument/2006/relationships/worksheet" Target="/xl/worksheets/sheet12.xml" Id="Rc5fa3ef0cdbc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主体甲 / 基础情景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4828181.61</ns0:v>
      </ns0:c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1607705.39</ns0:v>
      </ns0:c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25541.09</ns0:v>
      </ns0:c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89321.04</ns0:v>
      </ns0:c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173983.44</ns0:v>
      </ns0:c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2931630.65</ns0:v>
      </ns0:c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2931630.65</ns0:v>
      </ns0:c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595091.70</ns0:v>
      </ns0:c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2336538.95</ns0:v>
      </ns0:c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440345.17</ns0:v>
      </ns0:c>
      <ns0:c r="D61" s="3">
        <ns0:f>'收入非主控'!D33+'收入主控'!D33</ns0:f>
        <ns0:v>415270.49</ns0:v>
      </ns0:c>
      <ns0:c r="E61" s="3">
        <ns0:f>'收入非主控'!E33+'收入主控'!E33</ns0:f>
        <ns0:v>442088.19</ns0:v>
      </ns0:c>
      <ns0:c r="F61" s="3">
        <ns0:f>'收入非主控'!F33+'收入主控'!F33</ns0:f>
        <ns0:v>331899.69</ns0:v>
      </ns0:c>
      <ns0:c r="G61" s="3">
        <ns0:f>'收入非主控'!G33+'收入主控'!G33</ns0:f>
        <ns0:v>403086.56</ns0:v>
      </ns0:c>
      <ns0:c r="H61" s="3">
        <ns0:f>'收入非主控'!H33+'收入主控'!H33</ns0:f>
        <ns0:v>413826.37</ns0:v>
      </ns0:c>
      <ns0:c r="I61" s="3">
        <ns0:f>'收入非主控'!I33+'收入主控'!I33</ns0:f>
        <ns0:v>442249.62</ns0:v>
      </ns0:c>
      <ns0:c r="J61" s="3">
        <ns0:f>'收入非主控'!J33+'收入主控'!J33</ns0:f>
        <ns0:v>555559.21</ns0:v>
      </ns0:c>
      <ns0:c r="K61" s="3">
        <ns0:f>'收入非主控'!K33+'收入主控'!K33</ns0:f>
        <ns0:v>254255.16</ns0:v>
      </ns0:c>
      <ns0:c r="L61" s="3">
        <ns0:f>'收入非主控'!L33+'收入主控'!L33</ns0:f>
        <ns0:v>409434.29</ns0:v>
      </ns0:c>
      <ns0:c r="M61" s="3">
        <ns0:f>'收入非主控'!M33+'收入主控'!M33</ns0:f>
        <ns0:v>359601.88</ns0:v>
      </ns0:c>
      <ns0:c r="N61" s="3">
        <ns0:f>'收入非主控'!N33+'收入主控'!N33</ns0:f>
        <ns0:v>360564.98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148429.20</ns0:v>
      </ns0:c>
      <ns0:c r="D62" s="3">
        <ns0:f>'收入非主控'!D36+'收入主控'!D36</ns0:f>
        <ns0:v>130685.81</ns0:v>
      </ns0:c>
      <ns0:c r="E62" s="3">
        <ns0:f>'收入非主控'!E36+'收入主控'!E36</ns0:f>
        <ns0:v>147123.86</ns0:v>
      </ns0:c>
      <ns0:c r="F62" s="3">
        <ns0:f>'收入非主控'!F36+'收入主控'!F36</ns0:f>
        <ns0:v>143108.24</ns0:v>
      </ns0:c>
      <ns0:c r="G62" s="3">
        <ns0:f>'收入非主控'!G36+'收入主控'!G36</ns0:f>
        <ns0:v>145652.84</ns0:v>
      </ns0:c>
      <ns0:c r="H62" s="3">
        <ns0:f>'收入非主控'!H36+'收入主控'!H36</ns0:f>
        <ns0:v>127267.98</ns0:v>
      </ns0:c>
      <ns0:c r="I62" s="3">
        <ns0:f>'收入非主控'!I36+'收入主控'!I36</ns0:f>
        <ns0:v>150195.95</ns0:v>
      </ns0:c>
      <ns0:c r="J62" s="3">
        <ns0:f>'收入非主控'!J36+'收入主控'!J36</ns0:f>
        <ns0:v>158622.52</ns0:v>
      </ns0:c>
      <ns0:c r="K62" s="3">
        <ns0:f>'收入非主控'!K36+'收入主控'!K36</ns0:f>
        <ns0:v>91990.45</ns0:v>
      </ns0:c>
      <ns0:c r="L62" s="3">
        <ns0:f>'收入非主控'!L36+'收入主控'!L36</ns0:f>
        <ns0:v>132025.43</ns0:v>
      </ns0:c>
      <ns0:c r="M62" s="3">
        <ns0:f>'收入非主控'!M36+'收入主控'!M36</ns0:f>
        <ns0:v>139459.72</ns0:v>
      </ns0:c>
      <ns0:c r="N62" s="3">
        <ns0:f>'收入非主控'!N36+'收入主控'!N36</ns0:f>
        <ns0:v>93143.39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2329.43</ns0:v>
      </ns0:c>
      <ns0:c r="D63" s="3">
        <ns0:f>'税金及附加'!D33</ns0:f>
        <ns0:v>2196.78</ns0:v>
      </ns0:c>
      <ns0:c r="E63" s="3">
        <ns0:f>'税金及附加'!E33</ns0:f>
        <ns0:v>2338.65</ns0:v>
      </ns0:c>
      <ns0:c r="F63" s="3">
        <ns0:f>'税金及附加'!F33</ns0:f>
        <ns0:v>1755.75</ns0:v>
      </ns0:c>
      <ns0:c r="G63" s="3">
        <ns0:f>'税金及附加'!G33</ns0:f>
        <ns0:v>2132.33</ns0:v>
      </ns0:c>
      <ns0:c r="H63" s="3">
        <ns0:f>'税金及附加'!H33</ns0:f>
        <ns0:v>2189.14</ns0:v>
      </ns0:c>
      <ns0:c r="I63" s="3">
        <ns0:f>'税金及附加'!I33</ns0:f>
        <ns0:v>2339.50</ns0:v>
      </ns0:c>
      <ns0:c r="J63" s="3">
        <ns0:f>'税金及附加'!J33</ns0:f>
        <ns0:v>2938.91</ns0:v>
      </ns0:c>
      <ns0:c r="K63" s="3">
        <ns0:f>'税金及附加'!K33</ns0:f>
        <ns0:v>1345.01</ns0:v>
      </ns0:c>
      <ns0:c r="L63" s="3">
        <ns0:f>'税金及附加'!L33</ns0:f>
        <ns0:v>2165.91</ns0:v>
      </ns0:c>
      <ns0:c r="M63" s="3">
        <ns0:f>'税金及附加'!M33</ns0:f>
        <ns0:v>1902.29</ns0:v>
      </ns0:c>
      <ns0:c r="N63" s="3">
        <ns0:f>'税金及附加'!N33</ns0:f>
        <ns0:v>1907.39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7271.03</ns0:v>
      </ns0:c>
      <ns0:c r="D64" s="3">
        <ns0:f>'销售费用'!D34</ns0:f>
        <ns0:v>6631.47</ns0:v>
      </ns0:c>
      <ns0:c r="E64" s="3">
        <ns0:f>'销售费用'!E34</ns0:f>
        <ns0:v>7576.39</ns0:v>
      </ns0:c>
      <ns0:c r="F64" s="3">
        <ns0:f>'销售费用'!F34</ns0:f>
        <ns0:v>8089.77</ns0:v>
      </ns0:c>
      <ns0:c r="G64" s="3">
        <ns0:f>'销售费用'!G34</ns0:f>
        <ns0:v>6914.74</ns0:v>
      </ns0:c>
      <ns0:c r="H64" s="3">
        <ns0:f>'销售费用'!H34</ns0:f>
        <ns0:v>7418.12</ns0:v>
      </ns0:c>
      <ns0:c r="I64" s="3">
        <ns0:f>'销售费用'!I34</ns0:f>
        <ns0:v>7670.24</ns0:v>
      </ns0:c>
      <ns0:c r="J64" s="3">
        <ns0:f>'销售费用'!J34</ns0:f>
        <ns0:v>6591.82</ns0:v>
      </ns0:c>
      <ns0:c r="K64" s="3">
        <ns0:f>'销售费用'!K34</ns0:f>
        <ns0:v>8436.13</ns0:v>
      </ns0:c>
      <ns0:c r="L64" s="3">
        <ns0:f>'销售费用'!L34</ns0:f>
        <ns0:v>6754.60</ns0:v>
      </ns0:c>
      <ns0:c r="M64" s="3">
        <ns0:f>'销售费用'!M34</ns0:f>
        <ns0:v>7820.04</ns0:v>
      </ns0:c>
      <ns0:c r="N64" s="3">
        <ns0:f>'销售费用'!N34</ns0:f>
        <ns0:v>8146.69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6844.20</ns0:v>
      </ns0:c>
      <ns0:c r="D65" s="3">
        <ns0:f>'管理费用'!D34</ns0:f>
        <ns0:v>6958.81</ns0:v>
      </ns0:c>
      <ns0:c r="E65" s="3">
        <ns0:f>'管理费用'!E34</ns0:f>
        <ns0:v>6557.11</ns0:v>
      </ns0:c>
      <ns0:c r="F65" s="3">
        <ns0:f>'管理费用'!F34</ns0:f>
        <ns0:v>7191.59</ns0:v>
      </ns0:c>
      <ns0:c r="G65" s="3">
        <ns0:f>'管理费用'!G34</ns0:f>
        <ns0:v>7265.93</ns0:v>
      </ns0:c>
      <ns0:c r="H65" s="3">
        <ns0:f>'管理费用'!H34</ns0:f>
        <ns0:v>6667.00</ns0:v>
      </ns0:c>
      <ns0:c r="I65" s="3">
        <ns0:f>'管理费用'!I34</ns0:f>
        <ns0:v>7561.99</ns0:v>
      </ns0:c>
      <ns0:c r="J65" s="3">
        <ns0:f>'管理费用'!J34</ns0:f>
        <ns0:v>6410.20</ns0:v>
      </ns0:c>
      <ns0:c r="K65" s="3">
        <ns0:f>'管理费用'!K34</ns0:f>
        <ns0:v>8475.61</ns0:v>
      </ns0:c>
      <ns0:c r="L65" s="3">
        <ns0:f>'管理费用'!L34</ns0:f>
        <ns0:v>8142.93</ns0:v>
      </ns0:c>
      <ns0:c r="M65" s="3">
        <ns0:f>'管理费用'!M34</ns0:f>
        <ns0:v>7607.99</ns0:v>
      </ns0:c>
      <ns0:c r="N65" s="3">
        <ns0:f>'管理费用'!N34</ns0:f>
        <ns0:v>8802.10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6640.58</ns0:v>
      </ns0:c>
      <ns0:c r="D66" s="3">
        <ns0:f>'蓝恐龙费用'!D34</ns0:f>
        <ns0:v>7419.01</ns0:v>
      </ns0:c>
      <ns0:c r="E66" s="3">
        <ns0:f>'蓝恐龙费用'!E34</ns0:f>
        <ns0:v>8000.32</ns0:v>
      </ns0:c>
      <ns0:c r="F66" s="3">
        <ns0:f>'蓝恐龙费用'!F34</ns0:f>
        <ns0:v>7983.00</ns0:v>
      </ns0:c>
      <ns0:c r="G66" s="3">
        <ns0:f>'蓝恐龙费用'!G34</ns0:f>
        <ns0:v>7272.35</ns0:v>
      </ns0:c>
      <ns0:c r="H66" s="3">
        <ns0:f>'蓝恐龙费用'!H34</ns0:f>
        <ns0:v>6673.07</ns0:v>
      </ns0:c>
      <ns0:c r="I66" s="3">
        <ns0:f>'蓝恐龙费用'!I34</ns0:f>
        <ns0:v>7435.26</ns0:v>
      </ns0:c>
      <ns0:c r="J66" s="3">
        <ns0:f>'蓝恐龙费用'!J34</ns0:f>
        <ns0:v>7666.94</ns0:v>
      </ns0:c>
      <ns0:c r="K66" s="3">
        <ns0:f>'蓝恐龙费用'!K34</ns0:f>
        <ns0:v>7521.48</ns0:v>
      </ns0:c>
      <ns0:c r="L66" s="3">
        <ns0:f>'蓝恐龙费用'!L34</ns0:f>
        <ns0:v>6515.49</ns0:v>
      </ns0:c>
      <ns0:c r="M66" s="3">
        <ns0:f>'蓝恐龙费用'!M34</ns0:f>
        <ns0:v>6303.62</ns0:v>
      </ns0:c>
      <ns0:c r="N66" s="3">
        <ns0:f>'蓝恐龙费用'!N34</ns0:f>
        <ns0:v>6066.86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268830.73</ns0:v>
      </ns0:c>
      <ns0:c r="D67" s="3">
        <ns0:f>D61-SUM(D62:D66)</ns0:f>
        <ns0:v>261378.61</ns0:v>
      </ns0:c>
      <ns0:c r="E67" s="3">
        <ns0:f>E61-SUM(E62:E66)</ns0:f>
        <ns0:v>270491.86</ns0:v>
      </ns0:c>
      <ns0:c r="F67" s="3">
        <ns0:f>F61-SUM(F62:F66)</ns0:f>
        <ns0:v>163771.34</ns0:v>
      </ns0:c>
      <ns0:c r="G67" s="3">
        <ns0:f>G61-SUM(G62:G66)</ns0:f>
        <ns0:v>233848.37</ns0:v>
      </ns0:c>
      <ns0:c r="H67" s="3">
        <ns0:f>H61-SUM(H62:H66)</ns0:f>
        <ns0:v>263611.06</ns0:v>
      </ns0:c>
      <ns0:c r="I67" s="3">
        <ns0:f>I61-SUM(I62:I66)</ns0:f>
        <ns0:v>267046.68</ns0:v>
      </ns0:c>
      <ns0:c r="J67" s="3">
        <ns0:f>J61-SUM(J62:J66)</ns0:f>
        <ns0:v>373328.82</ns0:v>
      </ns0:c>
      <ns0:c r="K67" s="3">
        <ns0:f>K61-SUM(K62:K66)</ns0:f>
        <ns0:v>136486.48</ns0:v>
      </ns0:c>
      <ns0:c r="L67" s="3">
        <ns0:f>L61-SUM(L62:L66)</ns0:f>
        <ns0:v>253829.93</ns0:v>
      </ns0:c>
      <ns0:c r="M67" s="3">
        <ns0:f>M61-SUM(M62:M66)</ns0:f>
        <ns0:v>196508.22</ns0:v>
      </ns0:c>
      <ns0:c r="N67" s="3">
        <ns0:f>N61-SUM(N62:N66)</ns0:f>
        <ns0:v>242498.55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54569.95</ns0:v>
      </ns0:c>
      <ns0:c r="D68" s="3">
        <ns0:f>ROUND(MAX(D67,0)*$C$200,2)</ns0:f>
        <ns0:v>53057.24</ns0:v>
      </ns0:c>
      <ns0:c r="E68" s="3">
        <ns0:f>ROUND(MAX(E67,0)*$C$200,2)</ns0:f>
        <ns0:v>54907.14</ns0:v>
      </ns0:c>
      <ns0:c r="F68" s="3">
        <ns0:f>ROUND(MAX(F67,0)*$C$200,2)</ns0:f>
        <ns0:v>33243.94</ns0:v>
      </ns0:c>
      <ns0:c r="G68" s="3">
        <ns0:f>ROUND(MAX(G67,0)*$C$200,2)</ns0:f>
        <ns0:v>47468.88</ns0:v>
      </ns0:c>
      <ns0:c r="H68" s="3">
        <ns0:f>ROUND(MAX(H67,0)*$C$200,2)</ns0:f>
        <ns0:v>53510.41</ns0:v>
      </ns0:c>
      <ns0:c r="I68" s="3">
        <ns0:f>ROUND(MAX(I67,0)*$C$200,2)</ns0:f>
        <ns0:v>54207.81</ns0:v>
      </ns0:c>
      <ns0:c r="J68" s="3">
        <ns0:f>ROUND(MAX(J67,0)*$C$200,2)</ns0:f>
        <ns0:v>75782.02</ns0:v>
      </ns0:c>
      <ns0:c r="K68" s="3">
        <ns0:f>ROUND(MAX(K67,0)*$C$200,2)</ns0:f>
        <ns0:v>27705.39</ns0:v>
      </ns0:c>
      <ns0:c r="L68" s="3">
        <ns0:f>ROUND(MAX(L67,0)*$C$200,2)</ns0:f>
        <ns0:v>51524.94</ns0:v>
      </ns0:c>
      <ns0:c r="M68" s="3">
        <ns0:f>ROUND(MAX(M67,0)*$C$200,2)</ns0:f>
        <ns0:v>39889.20</ns0:v>
      </ns0:c>
      <ns0:c r="N68" s="3">
        <ns0:f>ROUND(MAX(N67,0)*$C$200,2)</ns0:f>
        <ns0:v>49224.78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214260.78</ns0:v>
      </ns0:c>
      <ns0:c r="D69" s="3">
        <ns0:f>D67-D68</ns0:f>
        <ns0:v>208321.37</ns0:v>
      </ns0:c>
      <ns0:c r="E69" s="3">
        <ns0:f>E67-E68</ns0:f>
        <ns0:v>215584.72</ns0:v>
      </ns0:c>
      <ns0:c r="F69" s="3">
        <ns0:f>F67-F68</ns0:f>
        <ns0:v>130527.40</ns0:v>
      </ns0:c>
      <ns0:c r="G69" s="3">
        <ns0:f>G67-G68</ns0:f>
        <ns0:v>186379.49</ns0:v>
      </ns0:c>
      <ns0:c r="H69" s="3">
        <ns0:f>H67-H68</ns0:f>
        <ns0:v>210100.65</ns0:v>
      </ns0:c>
      <ns0:c r="I69" s="3">
        <ns0:f>I67-I68</ns0:f>
        <ns0:v>212838.87</ns0:v>
      </ns0:c>
      <ns0:c r="J69" s="3">
        <ns0:f>J67-J68</ns0:f>
        <ns0:v>297546.80</ns0:v>
      </ns0:c>
      <ns0:c r="K69" s="3">
        <ns0:f>K67-K68</ns0:f>
        <ns0:v>108781.09</ns0:v>
      </ns0:c>
      <ns0:c r="L69" s="3">
        <ns0:f>L67-L68</ns0:f>
        <ns0:v>202304.99</ns0:v>
      </ns0:c>
      <ns0:c r="M69" s="3">
        <ns0:f>M67-M68</ns0:f>
        <ns0:v>156619.02</ns0:v>
      </ns0:c>
      <ns0:c r="N69" s="3">
        <ns0:f>N67-N68</ns0:f>
        <ns0:v>193273.77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0.20299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全年实时经营</ns0:t>
        </ns0:is>
      </ns0:c>
      <ns0:c r="H2" s="3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2494110.35</ns0:v>
      </ns0:c>
      <ns0:c r="D4" s="3"/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236878.05</ns0:v>
      </ns0:c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79306.65</ns0:v>
      </ns0:c>
      <ns0:c r="D34" s="3"/>
      <ns0:c r="E34" s="3" t="inlineStr">
        <ns0:is>
          <ns0:t>实收资本(或股本)净额</ns0:t>
        </ns0:is>
      </ns0:c>
      <ns0:c r="F34" s="3"/>
      <ns0:c r="G34" s="3">
        <ns0:f>N65</ns0:f>
        <ns0:v>236878.05</ns0:v>
      </ns0:c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2336538.95</ns0:v>
      </ns0:c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2573417.00</ns0:v>
      </ns0:c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2573417.00</ns0:v>
      </ns0:c>
      <ns0:c r="D40" s="3"/>
      <ns0:c r="E40" s="3" t="inlineStr">
        <ns0:is>
          <ns0:t>负债和所有者权益(或股东权益)总计</ns0:t>
        </ns0:is>
      </ns0:c>
      <ns0:c r="F40" s="3"/>
      <ns0:c r="G40" s="3">
        <ns0:f>N68</ns0:f>
        <ns0:v>2573417.00</ns0:v>
      </ns0:c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352005.45</ns0:v>
      </ns0:c>
      <ns0:c r="D61" s="3">
        <ns0:f>'现金流量表'!D68</ns0:f>
        <ns0:v>562129.25</ns0:v>
      </ns0:c>
      <ns0:c r="E61" s="3">
        <ns0:f>'现金流量表'!E68</ns0:f>
        <ns0:v>779516.40</ns0:v>
      </ns0:c>
      <ns0:c r="F61" s="3">
        <ns0:f>'现金流量表'!F68</ns0:f>
        <ns0:v>911846.23</ns0:v>
      </ns0:c>
      <ns0:c r="G61" s="3">
        <ns0:f>'现金流量表'!G68</ns0:f>
        <ns0:v>1100028.15</ns0:v>
      </ns0:c>
      <ns0:c r="H61" s="3">
        <ns0:f>'现金流量表'!H68</ns0:f>
        <ns0:v>1311931.23</ns0:v>
      </ns0:c>
      <ns0:c r="I61" s="3">
        <ns0:f>'现金流量表'!I68</ns0:f>
        <ns0:v>1526572.53</ns0:v>
      </ns0:c>
      <ns0:c r="J61" s="3">
        <ns0:f>'现金流量表'!J68</ns0:f>
        <ns0:v>1825921.76</ns0:v>
      </ns0:c>
      <ns0:c r="K61" s="3">
        <ns0:f>'现金流量表'!K68</ns0:f>
        <ns0:v>1936505.28</ns0:v>
      </ns0:c>
      <ns0:c r="L61" s="3">
        <ns0:f>'现金流量表'!L68</ns0:f>
        <ns0:v>2140612.70</ns0:v>
      </ns0:c>
      <ns0:c r="M61" s="3">
        <ns0:f>'现金流量表'!M68</ns0:f>
        <ns0:v>2299034.15</ns0:v>
      </ns0:c>
      <ns0:c r="N61" s="3">
        <ns0:f>'现金流量表'!N68</ns0:f>
        <ns0:v>2494110.35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99133.38</ns0:v>
      </ns0:c>
      <ns0:c r="D62" s="3">
        <ns0:f>'摊销明细'!$C$31-SUM('现金流量表'!$C62:D62)</ns0:f>
        <ns0:v>97330.95</ns0:v>
      </ns0:c>
      <ns0:c r="E62" s="3">
        <ns0:f>'摊销明细'!$C$31-SUM('现金流量表'!$C62:E62)</ns0:f>
        <ns0:v>95528.52</ns0:v>
      </ns0:c>
      <ns0:c r="F62" s="3">
        <ns0:f>'摊销明细'!$C$31-SUM('现金流量表'!$C62:F62)</ns0:f>
        <ns0:v>93726.09</ns0:v>
      </ns0:c>
      <ns0:c r="G62" s="3">
        <ns0:f>'摊销明细'!$C$31-SUM('现金流量表'!$C62:G62)</ns0:f>
        <ns0:v>91923.66</ns0:v>
      </ns0:c>
      <ns0:c r="H62" s="3">
        <ns0:f>'摊销明细'!$C$31-SUM('现金流量表'!$C62:H62)</ns0:f>
        <ns0:v>90121.23</ns0:v>
      </ns0:c>
      <ns0:c r="I62" s="3">
        <ns0:f>'摊销明细'!$C$31-SUM('现金流量表'!$C62:I62)</ns0:f>
        <ns0:v>88318.80</ns0:v>
      </ns0:c>
      <ns0:c r="J62" s="3">
        <ns0:f>'摊销明细'!$C$31-SUM('现金流量表'!$C62:J62)</ns0:f>
        <ns0:v>86516.37</ns0:v>
      </ns0:c>
      <ns0:c r="K62" s="3">
        <ns0:f>'摊销明细'!$C$31-SUM('现金流量表'!$C62:K62)</ns0:f>
        <ns0:v>84713.94</ns0:v>
      </ns0:c>
      <ns0:c r="L62" s="3">
        <ns0:f>'摊销明细'!$C$31-SUM('现金流量表'!$C62:L62)</ns0:f>
        <ns0:v>82911.51</ns0:v>
      </ns0:c>
      <ns0:c r="M62" s="3">
        <ns0:f>'摊销明细'!$C$31-SUM('现金流量表'!$C62:M62)</ns0:f>
        <ns0:v>81109.08</ns0:v>
      </ns0:c>
      <ns0:c r="N62" s="3">
        <ns0:f>'摊销明细'!$C$31-SUM('现金流量表'!$C62:N62)</ns0:f>
        <ns0:v>79306.65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451138.83</ns0:v>
      </ns0:c>
      <ns0:c r="D63" s="3">
        <ns0:f>SUM(D61:D62)</ns0:f>
        <ns0:v>659460.20</ns0:v>
      </ns0:c>
      <ns0:c r="E63" s="3">
        <ns0:f>SUM(E61:E62)</ns0:f>
        <ns0:v>875044.92</ns0:v>
      </ns0:c>
      <ns0:c r="F63" s="3">
        <ns0:f>SUM(F61:F62)</ns0:f>
        <ns0:v>1005572.32</ns0:v>
      </ns0:c>
      <ns0:c r="G63" s="3">
        <ns0:f>SUM(G61:G62)</ns0:f>
        <ns0:v>1191951.81</ns0:v>
      </ns0:c>
      <ns0:c r="H63" s="3">
        <ns0:f>SUM(H61:H62)</ns0:f>
        <ns0:v>1402052.46</ns0:v>
      </ns0:c>
      <ns0:c r="I63" s="3">
        <ns0:f>SUM(I61:I62)</ns0:f>
        <ns0:v>1614891.33</ns0:v>
      </ns0:c>
      <ns0:c r="J63" s="3">
        <ns0:f>SUM(J61:J62)</ns0:f>
        <ns0:v>1912438.13</ns0:v>
      </ns0:c>
      <ns0:c r="K63" s="3">
        <ns0:f>SUM(K61:K62)</ns0:f>
        <ns0:v>2021219.22</ns0:v>
      </ns0:c>
      <ns0:c r="L63" s="3">
        <ns0:f>SUM(L61:L62)</ns0:f>
        <ns0:v>2223524.21</ns0:v>
      </ns0:c>
      <ns0:c r="M63" s="3">
        <ns0:f>SUM(M61:M62)</ns0:f>
        <ns0:v>2380143.23</ns0:v>
      </ns0:c>
      <ns0:c r="N63" s="3">
        <ns0:f>SUM(N61:N62)</ns0:f>
        <ns0:v>2573417.00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236878.05</ns0:v>
      </ns0:c>
      <ns0:c r="D65" s="3">
        <ns0:f>$C$200+'摊销明细'!$C$31</ns0:f>
        <ns0:v>236878.05</ns0:v>
      </ns0:c>
      <ns0:c r="E65" s="3">
        <ns0:f>$C$200+'摊销明细'!$C$31</ns0:f>
        <ns0:v>236878.05</ns0:v>
      </ns0:c>
      <ns0:c r="F65" s="3">
        <ns0:f>$C$200+'摊销明细'!$C$31</ns0:f>
        <ns0:v>236878.05</ns0:v>
      </ns0:c>
      <ns0:c r="G65" s="3">
        <ns0:f>$C$200+'摊销明细'!$C$31</ns0:f>
        <ns0:v>236878.05</ns0:v>
      </ns0:c>
      <ns0:c r="H65" s="3">
        <ns0:f>$C$200+'摊销明细'!$C$31</ns0:f>
        <ns0:v>236878.05</ns0:v>
      </ns0:c>
      <ns0:c r="I65" s="3">
        <ns0:f>$C$200+'摊销明细'!$C$31</ns0:f>
        <ns0:v>236878.05</ns0:v>
      </ns0:c>
      <ns0:c r="J65" s="3">
        <ns0:f>$C$200+'摊销明细'!$C$31</ns0:f>
        <ns0:v>236878.05</ns0:v>
      </ns0:c>
      <ns0:c r="K65" s="3">
        <ns0:f>$C$200+'摊销明细'!$C$31</ns0:f>
        <ns0:v>236878.05</ns0:v>
      </ns0:c>
      <ns0:c r="L65" s="3">
        <ns0:f>$C$200+'摊销明细'!$C$31</ns0:f>
        <ns0:v>236878.05</ns0:v>
      </ns0:c>
      <ns0:c r="M65" s="3">
        <ns0:f>$C$200+'摊销明细'!$C$31</ns0:f>
        <ns0:v>236878.05</ns0:v>
      </ns0:c>
      <ns0:c r="N65" s="3">
        <ns0:f>$C$200+'摊销明细'!$C$31</ns0:f>
        <ns0:v>236878.05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214260.78</ns0:v>
      </ns0:c>
      <ns0:c r="D66" s="3">
        <ns0:f>SUM('利润表'!$C69:D69)</ns0:f>
        <ns0:v>422582.15</ns0:v>
      </ns0:c>
      <ns0:c r="E66" s="3">
        <ns0:f>SUM('利润表'!$C69:E69)</ns0:f>
        <ns0:v>638166.87</ns0:v>
      </ns0:c>
      <ns0:c r="F66" s="3">
        <ns0:f>SUM('利润表'!$C69:F69)</ns0:f>
        <ns0:v>768694.27</ns0:v>
      </ns0:c>
      <ns0:c r="G66" s="3">
        <ns0:f>SUM('利润表'!$C69:G69)</ns0:f>
        <ns0:v>955073.76</ns0:v>
      </ns0:c>
      <ns0:c r="H66" s="3">
        <ns0:f>SUM('利润表'!$C69:H69)</ns0:f>
        <ns0:v>1165174.41</ns0:v>
      </ns0:c>
      <ns0:c r="I66" s="3">
        <ns0:f>SUM('利润表'!$C69:I69)</ns0:f>
        <ns0:v>1378013.28</ns0:v>
      </ns0:c>
      <ns0:c r="J66" s="3">
        <ns0:f>SUM('利润表'!$C69:J69)</ns0:f>
        <ns0:v>1675560.08</ns0:v>
      </ns0:c>
      <ns0:c r="K66" s="3">
        <ns0:f>SUM('利润表'!$C69:K69)</ns0:f>
        <ns0:v>1784341.17</ns0:v>
      </ns0:c>
      <ns0:c r="L66" s="3">
        <ns0:f>SUM('利润表'!$C69:L69)</ns0:f>
        <ns0:v>1986646.16</ns0:v>
      </ns0:c>
      <ns0:c r="M66" s="3">
        <ns0:f>SUM('利润表'!$C69:M69)</ns0:f>
        <ns0:v>2143265.18</ns0:v>
      </ns0:c>
      <ns0:c r="N66" s="3">
        <ns0:f>SUM('利润表'!$C69:N69)</ns0:f>
        <ns0:v>2336538.95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451138.83</ns0:v>
      </ns0:c>
      <ns0:c r="D67" s="3">
        <ns0:f>SUM(D65:D66)</ns0:f>
        <ns0:v>659460.20</ns0:v>
      </ns0:c>
      <ns0:c r="E67" s="3">
        <ns0:f>SUM(E65:E66)</ns0:f>
        <ns0:v>875044.92</ns0:v>
      </ns0:c>
      <ns0:c r="F67" s="3">
        <ns0:f>SUM(F65:F66)</ns0:f>
        <ns0:v>1005572.32</ns0:v>
      </ns0:c>
      <ns0:c r="G67" s="3">
        <ns0:f>SUM(G65:G66)</ns0:f>
        <ns0:v>1191951.81</ns0:v>
      </ns0:c>
      <ns0:c r="H67" s="3">
        <ns0:f>SUM(H65:H66)</ns0:f>
        <ns0:v>1402052.46</ns0:v>
      </ns0:c>
      <ns0:c r="I67" s="3">
        <ns0:f>SUM(I65:I66)</ns0:f>
        <ns0:v>1614891.33</ns0:v>
      </ns0:c>
      <ns0:c r="J67" s="3">
        <ns0:f>SUM(J65:J66)</ns0:f>
        <ns0:v>1912438.13</ns0:v>
      </ns0:c>
      <ns0:c r="K67" s="3">
        <ns0:f>SUM(K65:K66)</ns0:f>
        <ns0:v>2021219.22</ns0:v>
      </ns0:c>
      <ns0:c r="L67" s="3">
        <ns0:f>SUM(L65:L66)</ns0:f>
        <ns0:v>2223524.21</ns0:v>
      </ns0:c>
      <ns0:c r="M67" s="3">
        <ns0:f>SUM(M65:M66)</ns0:f>
        <ns0:v>2380143.23</ns0:v>
      </ns0:c>
      <ns0:c r="N67" s="3">
        <ns0:f>SUM(N65:N66)</ns0:f>
        <ns0:v>2573417.00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451138.83</ns0:v>
      </ns0:c>
      <ns0:c r="D68" s="3">
        <ns0:f>SUM(D64,D67)</ns0:f>
        <ns0:v>659460.20</ns0:v>
      </ns0:c>
      <ns0:c r="E68" s="3">
        <ns0:f>SUM(E64,E67)</ns0:f>
        <ns0:v>875044.92</ns0:v>
      </ns0:c>
      <ns0:c r="F68" s="3">
        <ns0:f>SUM(F64,F67)</ns0:f>
        <ns0:v>1005572.32</ns0:v>
      </ns0:c>
      <ns0:c r="G68" s="3">
        <ns0:f>SUM(G64,G67)</ns0:f>
        <ns0:v>1191951.81</ns0:v>
      </ns0:c>
      <ns0:c r="H68" s="3">
        <ns0:f>SUM(H64,H67)</ns0:f>
        <ns0:v>1402052.46</ns0:v>
      </ns0:c>
      <ns0:c r="I68" s="3">
        <ns0:f>SUM(I64,I67)</ns0:f>
        <ns0:v>1614891.33</ns0:v>
      </ns0:c>
      <ns0:c r="J68" s="3">
        <ns0:f>SUM(J64,J67)</ns0:f>
        <ns0:v>1912438.13</ns0:v>
      </ns0:c>
      <ns0:c r="K68" s="3">
        <ns0:f>SUM(K64,K67)</ns0:f>
        <ns0:v>2021219.22</ns0:v>
      </ns0:c>
      <ns0:c r="L68" s="3">
        <ns0:f>SUM(L64,L67)</ns0:f>
        <ns0:v>2223524.21</ns0:v>
      </ns0:c>
      <ns0:c r="M68" s="3">
        <ns0:f>SUM(M64,M67)</ns0:f>
        <ns0:v>2380143.23</ns0:v>
      </ns0:c>
      <ns0:c r="N68" s="3">
        <ns0:f>SUM(N64,N67)</ns0:f>
        <ns0:v>2573417.00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135942.24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2358168.11</ns0:v>
      </ns0:c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2358168.11</ns0:v>
      </ns0:c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135942.24</ns0:v>
      </ns0:c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2494110.35</ns0:v>
      </ns0:c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214260.78</ns0:v>
      </ns0:c>
      <ns0:c r="D61" s="3">
        <ns0:f>'利润表'!D69</ns0:f>
        <ns0:v>208321.37</ns0:v>
      </ns0:c>
      <ns0:c r="E61" s="3">
        <ns0:f>'利润表'!E69</ns0:f>
        <ns0:v>215584.72</ns0:v>
      </ns0:c>
      <ns0:c r="F61" s="3">
        <ns0:f>'利润表'!F69</ns0:f>
        <ns0:v>130527.40</ns0:v>
      </ns0:c>
      <ns0:c r="G61" s="3">
        <ns0:f>'利润表'!G69</ns0:f>
        <ns0:v>186379.49</ns0:v>
      </ns0:c>
      <ns0:c r="H61" s="3">
        <ns0:f>'利润表'!H69</ns0:f>
        <ns0:v>210100.65</ns0:v>
      </ns0:c>
      <ns0:c r="I61" s="3">
        <ns0:f>'利润表'!I69</ns0:f>
        <ns0:v>212838.87</ns0:v>
      </ns0:c>
      <ns0:c r="J61" s="3">
        <ns0:f>'利润表'!J69</ns0:f>
        <ns0:v>297546.80</ns0:v>
      </ns0:c>
      <ns0:c r="K61" s="3">
        <ns0:f>'利润表'!K69</ns0:f>
        <ns0:v>108781.09</ns0:v>
      </ns0:c>
      <ns0:c r="L61" s="3">
        <ns0:f>'利润表'!L69</ns0:f>
        <ns0:v>202304.99</ns0:v>
      </ns0:c>
      <ns0:c r="M61" s="3">
        <ns0:f>'利润表'!M69</ns0:f>
        <ns0:v>156619.02</ns0:v>
      </ns0:c>
      <ns0:c r="N61" s="3">
        <ns0:f>'利润表'!N69</ns0:f>
        <ns0:v>193273.77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1802.43</ns0:v>
      </ns0:c>
      <ns0:c r="D62" s="3">
        <ns0:f>'销售费用'!D20+'管理费用'!D20+'蓝恐龙费用'!D20</ns0:f>
        <ns0:v>1802.43</ns0:v>
      </ns0:c>
      <ns0:c r="E62" s="3">
        <ns0:f>'销售费用'!E20+'管理费用'!E20+'蓝恐龙费用'!E20</ns0:f>
        <ns0:v>1802.43</ns0:v>
      </ns0:c>
      <ns0:c r="F62" s="3">
        <ns0:f>'销售费用'!F20+'管理费用'!F20+'蓝恐龙费用'!F20</ns0:f>
        <ns0:v>1802.43</ns0:v>
      </ns0:c>
      <ns0:c r="G62" s="3">
        <ns0:f>'销售费用'!G20+'管理费用'!G20+'蓝恐龙费用'!G20</ns0:f>
        <ns0:v>1802.43</ns0:v>
      </ns0:c>
      <ns0:c r="H62" s="3">
        <ns0:f>'销售费用'!H20+'管理费用'!H20+'蓝恐龙费用'!H20</ns0:f>
        <ns0:v>1802.43</ns0:v>
      </ns0:c>
      <ns0:c r="I62" s="3">
        <ns0:f>'销售费用'!I20+'管理费用'!I20+'蓝恐龙费用'!I20</ns0:f>
        <ns0:v>1802.43</ns0:v>
      </ns0:c>
      <ns0:c r="J62" s="3">
        <ns0:f>'销售费用'!J20+'管理费用'!J20+'蓝恐龙费用'!J20</ns0:f>
        <ns0:v>1802.43</ns0:v>
      </ns0:c>
      <ns0:c r="K62" s="3">
        <ns0:f>'销售费用'!K20+'管理费用'!K20+'蓝恐龙费用'!K20</ns0:f>
        <ns0:v>1802.43</ns0:v>
      </ns0:c>
      <ns0:c r="L62" s="3">
        <ns0:f>'销售费用'!L20+'管理费用'!L20+'蓝恐龙费用'!L20</ns0:f>
        <ns0:v>1802.43</ns0:v>
      </ns0:c>
      <ns0:c r="M62" s="3">
        <ns0:f>'销售费用'!M20+'管理费用'!M20+'蓝恐龙费用'!M20</ns0:f>
        <ns0:v>1802.43</ns0:v>
      </ns0:c>
      <ns0:c r="N62" s="3">
        <ns0:f>'销售费用'!N20+'管理费用'!N20+'蓝恐龙费用'!N20</ns0:f>
        <ns0:v>1802.43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216063.21</ns0:v>
      </ns0:c>
      <ns0:c r="D63" s="3">
        <ns0:f>SUM(D61:D62)</ns0:f>
        <ns0:v>210123.80</ns0:v>
      </ns0:c>
      <ns0:c r="E63" s="3">
        <ns0:f>SUM(E61:E62)</ns0:f>
        <ns0:v>217387.15</ns0:v>
      </ns0:c>
      <ns0:c r="F63" s="3">
        <ns0:f>SUM(F61:F62)</ns0:f>
        <ns0:v>132329.83</ns0:v>
      </ns0:c>
      <ns0:c r="G63" s="3">
        <ns0:f>SUM(G61:G62)</ns0:f>
        <ns0:v>188181.92</ns0:v>
      </ns0:c>
      <ns0:c r="H63" s="3">
        <ns0:f>SUM(H61:H62)</ns0:f>
        <ns0:v>211903.08</ns0:v>
      </ns0:c>
      <ns0:c r="I63" s="3">
        <ns0:f>SUM(I61:I62)</ns0:f>
        <ns0:v>214641.30</ns0:v>
      </ns0:c>
      <ns0:c r="J63" s="3">
        <ns0:f>SUM(J61:J62)</ns0:f>
        <ns0:v>299349.23</ns0:v>
      </ns0:c>
      <ns0:c r="K63" s="3">
        <ns0:f>SUM(K61:K62)</ns0:f>
        <ns0:v>110583.52</ns0:v>
      </ns0:c>
      <ns0:c r="L63" s="3">
        <ns0:f>SUM(L61:L62)</ns0:f>
        <ns0:v>204107.42</ns0:v>
      </ns0:c>
      <ns0:c r="M63" s="3">
        <ns0:f>SUM(M61:M62)</ns0:f>
        <ns0:v>158421.45</ns0:v>
      </ns0:c>
      <ns0:c r="N63" s="3">
        <ns0:f>SUM(N61:N62)</ns0:f>
        <ns0:v>195076.20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216063.21</ns0:v>
      </ns0:c>
      <ns0:c r="D66" s="3">
        <ns0:f>SUM(D63:D65)</ns0:f>
        <ns0:v>210123.80</ns0:v>
      </ns0:c>
      <ns0:c r="E66" s="3">
        <ns0:f>SUM(E63:E65)</ns0:f>
        <ns0:v>217387.15</ns0:v>
      </ns0:c>
      <ns0:c r="F66" s="3">
        <ns0:f>SUM(F63:F65)</ns0:f>
        <ns0:v>132329.83</ns0:v>
      </ns0:c>
      <ns0:c r="G66" s="3">
        <ns0:f>SUM(G63:G65)</ns0:f>
        <ns0:v>188181.92</ns0:v>
      </ns0:c>
      <ns0:c r="H66" s="3">
        <ns0:f>SUM(H63:H65)</ns0:f>
        <ns0:v>211903.08</ns0:v>
      </ns0:c>
      <ns0:c r="I66" s="3">
        <ns0:f>SUM(I63:I65)</ns0:f>
        <ns0:v>214641.30</ns0:v>
      </ns0:c>
      <ns0:c r="J66" s="3">
        <ns0:f>SUM(J63:J65)</ns0:f>
        <ns0:v>299349.23</ns0:v>
      </ns0:c>
      <ns0:c r="K66" s="3">
        <ns0:f>SUM(K63:K65)</ns0:f>
        <ns0:v>110583.52</ns0:v>
      </ns0:c>
      <ns0:c r="L66" s="3">
        <ns0:f>SUM(L63:L65)</ns0:f>
        <ns0:v>204107.42</ns0:v>
      </ns0:c>
      <ns0:c r="M66" s="3">
        <ns0:f>SUM(M63:M65)</ns0:f>
        <ns0:v>158421.45</ns0:v>
      </ns0:c>
      <ns0:c r="N66" s="3">
        <ns0:f>SUM(N63:N65)</ns0:f>
        <ns0:v>195076.20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135942.24</ns0:v>
      </ns0:c>
      <ns0:c r="D67" s="3">
        <ns0:f>C68</ns0:f>
        <ns0:v>352005.45</ns0:v>
      </ns0:c>
      <ns0:c r="E67" s="3">
        <ns0:f>D68</ns0:f>
        <ns0:v>562129.25</ns0:v>
      </ns0:c>
      <ns0:c r="F67" s="3">
        <ns0:f>E68</ns0:f>
        <ns0:v>779516.40</ns0:v>
      </ns0:c>
      <ns0:c r="G67" s="3">
        <ns0:f>F68</ns0:f>
        <ns0:v>911846.23</ns0:v>
      </ns0:c>
      <ns0:c r="H67" s="3">
        <ns0:f>G68</ns0:f>
        <ns0:v>1100028.15</ns0:v>
      </ns0:c>
      <ns0:c r="I67" s="3">
        <ns0:f>H68</ns0:f>
        <ns0:v>1311931.23</ns0:v>
      </ns0:c>
      <ns0:c r="J67" s="3">
        <ns0:f>I68</ns0:f>
        <ns0:v>1526572.53</ns0:v>
      </ns0:c>
      <ns0:c r="K67" s="3">
        <ns0:f>J68</ns0:f>
        <ns0:v>1825921.76</ns0:v>
      </ns0:c>
      <ns0:c r="L67" s="3">
        <ns0:f>K68</ns0:f>
        <ns0:v>1936505.28</ns0:v>
      </ns0:c>
      <ns0:c r="M67" s="3">
        <ns0:f>L68</ns0:f>
        <ns0:v>2140612.70</ns0:v>
      </ns0:c>
      <ns0:c r="N67" s="3">
        <ns0:f>M68</ns0:f>
        <ns0:v>2299034.15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352005.45</ns0:v>
      </ns0:c>
      <ns0:c r="D68" s="3">
        <ns0:f>SUM(D66:D67)</ns0:f>
        <ns0:v>562129.25</ns0:v>
      </ns0:c>
      <ns0:c r="E68" s="3">
        <ns0:f>SUM(E66:E67)</ns0:f>
        <ns0:v>779516.40</ns0:v>
      </ns0:c>
      <ns0:c r="F68" s="3">
        <ns0:f>SUM(F66:F67)</ns0:f>
        <ns0:v>911846.23</ns0:v>
      </ns0:c>
      <ns0:c r="G68" s="3">
        <ns0:f>SUM(G66:G67)</ns0:f>
        <ns0:v>1100028.15</ns0:v>
      </ns0:c>
      <ns0:c r="H68" s="3">
        <ns0:f>SUM(H66:H67)</ns0:f>
        <ns0:v>1311931.23</ns0:v>
      </ns0:c>
      <ns0:c r="I68" s="3">
        <ns0:f>SUM(I66:I67)</ns0:f>
        <ns0:v>1526572.53</ns0:v>
      </ns0:c>
      <ns0:c r="J68" s="3">
        <ns0:f>SUM(J66:J67)</ns0:f>
        <ns0:v>1825921.76</ns0:v>
      </ns0:c>
      <ns0:c r="K68" s="3">
        <ns0:f>SUM(K66:K67)</ns0:f>
        <ns0:v>1936505.28</ns0:v>
      </ns0:c>
      <ns0:c r="L68" s="3">
        <ns0:f>SUM(L66:L67)</ns0:f>
        <ns0:v>2140612.70</ns0:v>
      </ns0:c>
      <ns0:c r="M68" s="3">
        <ns0:f>SUM(M66:M67)</ns0:f>
        <ns0:v>2299034.15</ns0:v>
      </ns0:c>
      <ns0:c r="N68" s="3">
        <ns0:f>SUM(N66:N67)</ns0:f>
        <ns0:v>2494110.35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2384.66</ns0:v>
      </ns0:c>
      <ns0:c r="D31" s="4">
        <ns0:v>2506.18</ns0:v>
      </ns0:c>
      <ns0:c r="E31" s="4">
        <ns0:v>2035.77</ns0:v>
      </ns0:c>
      <ns0:c r="F31" s="4">
        <ns0:v>1926.57</ns0:v>
      </ns0:c>
      <ns0:c r="G31" s="4">
        <ns0:v>1636.74</ns0:v>
      </ns0:c>
      <ns0:c r="H31" s="4">
        <ns0:v>1590.67</ns0:v>
      </ns0:c>
      <ns0:c r="I31" s="4">
        <ns0:v>1964.40</ns0:v>
      </ns0:c>
      <ns0:c r="J31" s="4">
        <ns0:v>2587.73</ns0:v>
      </ns0:c>
      <ns0:c r="K31" s="4">
        <ns0:v>1681.71</ns0:v>
      </ns0:c>
      <ns0:c r="L31" s="4">
        <ns0:v>1644.04</ns0:v>
      </ns0:c>
      <ns0:c r="M31" s="4">
        <ns0:v>1648.98</ns0:v>
      </ns0:c>
      <ns0:c r="N31" s="4">
        <ns0:v>2071.61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123.43</ns0:v>
      </ns0:c>
      <ns0:c r="D32" s="4">
        <ns0:v>108.99</ns0:v>
      </ns0:c>
      <ns0:c r="E32" s="4">
        <ns0:v>117.16</ns0:v>
      </ns0:c>
      <ns0:c r="F32" s="4">
        <ns0:v>90.70</ns0:v>
      </ns0:c>
      <ns0:c r="G32" s="4">
        <ns0:v>83.84</ns0:v>
      </ns0:c>
      <ns0:c r="H32" s="4">
        <ns0:v>94.40</ns0:v>
      </ns0:c>
      <ns0:c r="I32" s="4">
        <ns0:v>121.62</ns0:v>
      </ns0:c>
      <ns0:c r="J32" s="4">
        <ns0:v>134.75</ns0:v>
      </ns0:c>
      <ns0:c r="K32" s="4">
        <ns0:v>69.98</ns0:v>
      </ns0:c>
      <ns0:c r="L32" s="4">
        <ns0:v>102.73</ns0:v>
      </ns0:c>
      <ns0:c r="M32" s="4">
        <ns0:v>105.32</ns0:v>
      </ns0:c>
      <ns0:c r="N32" s="4">
        <ns0:v>84.49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294338.58</ns0:v>
      </ns0:c>
      <ns0:c r="D33" s="3">
        <ns0:f>ROUND(D31*D32,2)</ns0:f>
        <ns0:v>273148.56</ns0:v>
      </ns0:c>
      <ns0:c r="E33" s="3">
        <ns0:f>ROUND(E31*E32,2)</ns0:f>
        <ns0:v>238510.81</ns0:v>
      </ns0:c>
      <ns0:c r="F33" s="3">
        <ns0:f>ROUND(F31*F32,2)</ns0:f>
        <ns0:v>174739.90</ns0:v>
      </ns0:c>
      <ns0:c r="G33" s="3">
        <ns0:f>ROUND(G31*G32,2)</ns0:f>
        <ns0:v>137224.28</ns0:v>
      </ns0:c>
      <ns0:c r="H33" s="3">
        <ns0:f>ROUND(H31*H32,2)</ns0:f>
        <ns0:v>150159.25</ns0:v>
      </ns0:c>
      <ns0:c r="I33" s="3">
        <ns0:f>ROUND(I31*I32,2)</ns0:f>
        <ns0:v>238910.33</ns0:v>
      </ns0:c>
      <ns0:c r="J33" s="3">
        <ns0:f>ROUND(J31*J32,2)</ns0:f>
        <ns0:v>348696.62</ns0:v>
      </ns0:c>
      <ns0:c r="K33" s="3">
        <ns0:f>ROUND(K31*K32,2)</ns0:f>
        <ns0:v>117686.07</ns0:v>
      </ns0:c>
      <ns0:c r="L33" s="3">
        <ns0:f>ROUND(L31*L32,2)</ns0:f>
        <ns0:v>168892.23</ns0:v>
      </ns0:c>
      <ns0:c r="M33" s="3">
        <ns0:f>ROUND(M31*M32,2)</ns0:f>
        <ns0:v>173670.57</ns0:v>
      </ns0:c>
      <ns0:c r="N33" s="3">
        <ns0:f>ROUND(N31*N32,2)</ns0:f>
        <ns0:v>175030.33</ns0:v>
      </ns0:c>
      <ns0:c r="O33" s="3">
        <ns0:f>SUM(C33:N33)</ns0:f>
        <ns0:v>2491007.53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864.85</ns0:v>
      </ns0:c>
      <ns0:c r="D34" s="4">
        <ns0:v>593.46</ns0:v>
      </ns0:c>
      <ns0:c r="E34" s="4">
        <ns0:v>673.53</ns0:v>
      </ns0:c>
      <ns0:c r="F34" s="4">
        <ns0:v>698.98</ns0:v>
      </ns0:c>
      <ns0:c r="G34" s="4">
        <ns0:v>548.96</ns0:v>
      </ns0:c>
      <ns0:c r="H34" s="4">
        <ns0:v>646.46</ns0:v>
      </ns0:c>
      <ns0:c r="I34" s="4">
        <ns0:v>631.12</ns0:v>
      </ns0:c>
      <ns0:c r="J34" s="4">
        <ns0:v>651.57</ns0:v>
      </ns0:c>
      <ns0:c r="K34" s="4">
        <ns0:v>706.52</ns0:v>
      </ns0:c>
      <ns0:c r="L34" s="4">
        <ns0:v>623.23</ns0:v>
      </ns0:c>
      <ns0:c r="M34" s="4">
        <ns0:v>717.87</ns0:v>
      </ns0:c>
      <ns0:c r="N34" s="4">
        <ns0:v>588.04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123.43</ns0:v>
      </ns0:c>
      <ns0:c r="D35" s="3">
        <ns0:f>D32</ns0:f>
        <ns0:v>108.99</ns0:v>
      </ns0:c>
      <ns0:c r="E35" s="3">
        <ns0:f>E32</ns0:f>
        <ns0:v>117.16</ns0:v>
      </ns0:c>
      <ns0:c r="F35" s="3">
        <ns0:f>F32</ns0:f>
        <ns0:v>90.70</ns0:v>
      </ns0:c>
      <ns0:c r="G35" s="3">
        <ns0:f>G32</ns0:f>
        <ns0:v>83.84</ns0:v>
      </ns0:c>
      <ns0:c r="H35" s="3">
        <ns0:f>H32</ns0:f>
        <ns0:v>94.40</ns0:v>
      </ns0:c>
      <ns0:c r="I35" s="3">
        <ns0:f>I32</ns0:f>
        <ns0:v>121.62</ns0:v>
      </ns0:c>
      <ns0:c r="J35" s="3">
        <ns0:f>J32</ns0:f>
        <ns0:v>134.75</ns0:v>
      </ns0:c>
      <ns0:c r="K35" s="3">
        <ns0:f>K32</ns0:f>
        <ns0:v>69.98</ns0:v>
      </ns0:c>
      <ns0:c r="L35" s="3">
        <ns0:f>L32</ns0:f>
        <ns0:v>102.73</ns0:v>
      </ns0:c>
      <ns0:c r="M35" s="3">
        <ns0:f>M32</ns0:f>
        <ns0:v>105.32</ns0:v>
      </ns0:c>
      <ns0:c r="N35" s="3">
        <ns0:f>N32</ns0:f>
        <ns0:v>84.49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106748.44</ns0:v>
      </ns0:c>
      <ns0:c r="D36" s="3">
        <ns0:f>ROUND(D34*D35,2)</ns0:f>
        <ns0:v>64681.21</ns0:v>
      </ns0:c>
      <ns0:c r="E36" s="3">
        <ns0:f>ROUND(E34*E35,2)</ns0:f>
        <ns0:v>78910.77</ns0:v>
      </ns0:c>
      <ns0:c r="F36" s="3">
        <ns0:f>ROUND(F34*F35,2)</ns0:f>
        <ns0:v>63397.49</ns0:v>
      </ns0:c>
      <ns0:c r="G36" s="3">
        <ns0:f>ROUND(G34*G35,2)</ns0:f>
        <ns0:v>46024.81</ns0:v>
      </ns0:c>
      <ns0:c r="H36" s="3">
        <ns0:f>ROUND(H34*H35,2)</ns0:f>
        <ns0:v>61025.82</ns0:v>
      </ns0:c>
      <ns0:c r="I36" s="3">
        <ns0:f>ROUND(I34*I35,2)</ns0:f>
        <ns0:v>76756.81</ns0:v>
      </ns0:c>
      <ns0:c r="J36" s="3">
        <ns0:f>ROUND(J34*J35,2)</ns0:f>
        <ns0:v>87799.06</ns0:v>
      </ns0:c>
      <ns0:c r="K36" s="3">
        <ns0:f>ROUND(K34*K35,2)</ns0:f>
        <ns0:v>49442.27</ns0:v>
      </ns0:c>
      <ns0:c r="L36" s="3">
        <ns0:f>ROUND(L34*L35,2)</ns0:f>
        <ns0:v>64024.42</ns0:v>
      </ns0:c>
      <ns0:c r="M36" s="3">
        <ns0:f>ROUND(M34*M35,2)</ns0:f>
        <ns0:v>75606.07</ns0:v>
      </ns0:c>
      <ns0:c r="N36" s="3">
        <ns0:f>ROUND(N34*N35,2)</ns0:f>
        <ns0:v>49683.50</ns0:v>
      </ns0:c>
      <ns0:c r="O36" s="3">
        <ns0:f>SUM(C36:N36)</ns0:f>
        <ns0:v>824100.67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106748.44</ns0:v>
      </ns0:c>
      <ns0:c r="D37" s="3">
        <ns0:f>D36</ns0:f>
        <ns0:v>64681.21</ns0:v>
      </ns0:c>
      <ns0:c r="E37" s="3">
        <ns0:f>E36</ns0:f>
        <ns0:v>78910.77</ns0:v>
      </ns0:c>
      <ns0:c r="F37" s="3">
        <ns0:f>F36</ns0:f>
        <ns0:v>63397.49</ns0:v>
      </ns0:c>
      <ns0:c r="G37" s="3">
        <ns0:f>G36</ns0:f>
        <ns0:v>46024.81</ns0:v>
      </ns0:c>
      <ns0:c r="H37" s="3">
        <ns0:f>H36</ns0:f>
        <ns0:v>61025.82</ns0:v>
      </ns0:c>
      <ns0:c r="I37" s="3">
        <ns0:f>I36</ns0:f>
        <ns0:v>76756.81</ns0:v>
      </ns0:c>
      <ns0:c r="J37" s="3">
        <ns0:f>J36</ns0:f>
        <ns0:v>87799.06</ns0:v>
      </ns0:c>
      <ns0:c r="K37" s="3">
        <ns0:f>K36</ns0:f>
        <ns0:v>49442.27</ns0:v>
      </ns0:c>
      <ns0:c r="L37" s="3">
        <ns0:f>L36</ns0:f>
        <ns0:v>64024.42</ns0:v>
      </ns0:c>
      <ns0:c r="M37" s="3">
        <ns0:f>M36</ns0:f>
        <ns0:v>75606.07</ns0:v>
      </ns0:c>
      <ns0:c r="N37" s="3">
        <ns0:f>N36</ns0:f>
        <ns0:v>49683.50</ns0:v>
      </ns0:c>
      <ns0:c r="O37" s="3">
        <ns0:f>SUM(C37:N37)</ns0:f>
        <ns0:v>824100.67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1749.42</ns0:v>
      </ns0:c>
      <ns0:c r="D31" s="4">
        <ns0:v>1845.26</ns0:v>
      </ns0:c>
      <ns0:c r="E31" s="4">
        <ns0:v>1905.62</ns0:v>
      </ns0:c>
      <ns0:c r="F31" s="4">
        <ns0:v>1647.55</ns0:v>
      </ns0:c>
      <ns0:c r="G31" s="4">
        <ns0:v>2272.91</ns0:v>
      </ns0:c>
      <ns0:c r="H31" s="4">
        <ns0:v>2131.16</ns0:v>
      </ns0:c>
      <ns0:c r="I31" s="4">
        <ns0:v>2181.05</ns0:v>
      </ns0:c>
      <ns0:c r="J31" s="4">
        <ns0:v>2121.45</ns0:v>
      </ns0:c>
      <ns0:c r="K31" s="4">
        <ns0:v>1631.26</ns0:v>
      </ns0:c>
      <ns0:c r="L31" s="4">
        <ns0:v>2560.32</ns0:v>
      </ns0:c>
      <ns0:c r="M31" s="4">
        <ns0:v>1980.31</ns0:v>
      </ns0:c>
      <ns0:c r="N31" s="4">
        <ns0:v>2230.52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83.46</ns0:v>
      </ns0:c>
      <ns0:c r="D32" s="4">
        <ns0:v>77.02</ns0:v>
      </ns0:c>
      <ns0:c r="E32" s="4">
        <ns0:v>106.83</ns0:v>
      </ns0:c>
      <ns0:c r="F32" s="4">
        <ns0:v>95.39</ns0:v>
      </ns0:c>
      <ns0:c r="G32" s="4">
        <ns0:v>116.97</ns0:v>
      </ns0:c>
      <ns0:c r="H32" s="4">
        <ns0:v>123.72</ns0:v>
      </ns0:c>
      <ns0:c r="I32" s="4">
        <ns0:v>93.23</ns0:v>
      </ns0:c>
      <ns0:c r="J32" s="4">
        <ns0:v>97.51</ns0:v>
      </ns0:c>
      <ns0:c r="K32" s="4">
        <ns0:v>83.72</ns0:v>
      </ns0:c>
      <ns0:c r="L32" s="4">
        <ns0:v>93.95</ns0:v>
      </ns0:c>
      <ns0:c r="M32" s="4">
        <ns0:v>93.89</ns0:v>
      </ns0:c>
      <ns0:c r="N32" s="4">
        <ns0:v>83.18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146006.59</ns0:v>
      </ns0:c>
      <ns0:c r="D33" s="3">
        <ns0:f>ROUND(D31*D32,2)</ns0:f>
        <ns0:v>142121.93</ns0:v>
      </ns0:c>
      <ns0:c r="E33" s="3">
        <ns0:f>ROUND(E31*E32,2)</ns0:f>
        <ns0:v>203577.38</ns0:v>
      </ns0:c>
      <ns0:c r="F33" s="3">
        <ns0:f>ROUND(F31*F32,2)</ns0:f>
        <ns0:v>157159.79</ns0:v>
      </ns0:c>
      <ns0:c r="G33" s="3">
        <ns0:f>ROUND(G31*G32,2)</ns0:f>
        <ns0:v>265862.28</ns0:v>
      </ns0:c>
      <ns0:c r="H33" s="3">
        <ns0:f>ROUND(H31*H32,2)</ns0:f>
        <ns0:v>263667.12</ns0:v>
      </ns0:c>
      <ns0:c r="I33" s="3">
        <ns0:f>ROUND(I31*I32,2)</ns0:f>
        <ns0:v>203339.29</ns0:v>
      </ns0:c>
      <ns0:c r="J33" s="3">
        <ns0:f>ROUND(J31*J32,2)</ns0:f>
        <ns0:v>206862.59</ns0:v>
      </ns0:c>
      <ns0:c r="K33" s="3">
        <ns0:f>ROUND(K31*K32,2)</ns0:f>
        <ns0:v>136569.09</ns0:v>
      </ns0:c>
      <ns0:c r="L33" s="3">
        <ns0:f>ROUND(L31*L32,2)</ns0:f>
        <ns0:v>240542.06</ns0:v>
      </ns0:c>
      <ns0:c r="M33" s="3">
        <ns0:f>ROUND(M31*M32,2)</ns0:f>
        <ns0:v>185931.31</ns0:v>
      </ns0:c>
      <ns0:c r="N33" s="3">
        <ns0:f>ROUND(N31*N32,2)</ns0:f>
        <ns0:v>185534.65</ns0:v>
      </ns0:c>
      <ns0:c r="O33" s="3">
        <ns0:f>SUM(C33:N33)</ns0:f>
        <ns0:v>2337174.08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499.41</ns0:v>
      </ns0:c>
      <ns0:c r="D34" s="4">
        <ns0:v>856.98</ns0:v>
      </ns0:c>
      <ns0:c r="E34" s="4">
        <ns0:v>638.52</ns0:v>
      </ns0:c>
      <ns0:c r="F34" s="4">
        <ns0:v>835.63</ns0:v>
      </ns0:c>
      <ns0:c r="G34" s="4">
        <ns0:v>851.74</ns0:v>
      </ns0:c>
      <ns0:c r="H34" s="4">
        <ns0:v>535.42</ns0:v>
      </ns0:c>
      <ns0:c r="I34" s="4">
        <ns0:v>787.72</ns0:v>
      </ns0:c>
      <ns0:c r="J34" s="4">
        <ns0:v>726.32</ns0:v>
      </ns0:c>
      <ns0:c r="K34" s="4">
        <ns0:v>508.22</ns0:v>
      </ns0:c>
      <ns0:c r="L34" s="4">
        <ns0:v>723.80</ns0:v>
      </ns0:c>
      <ns0:c r="M34" s="4">
        <ns0:v>680.09</ns0:v>
      </ns0:c>
      <ns0:c r="N34" s="4">
        <ns0:v>522.48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83.46</ns0:v>
      </ns0:c>
      <ns0:c r="D35" s="3">
        <ns0:f>D32</ns0:f>
        <ns0:v>77.02</ns0:v>
      </ns0:c>
      <ns0:c r="E35" s="3">
        <ns0:f>E32</ns0:f>
        <ns0:v>106.83</ns0:v>
      </ns0:c>
      <ns0:c r="F35" s="3">
        <ns0:f>F32</ns0:f>
        <ns0:v>95.39</ns0:v>
      </ns0:c>
      <ns0:c r="G35" s="3">
        <ns0:f>G32</ns0:f>
        <ns0:v>116.97</ns0:v>
      </ns0:c>
      <ns0:c r="H35" s="3">
        <ns0:f>H32</ns0:f>
        <ns0:v>123.72</ns0:v>
      </ns0:c>
      <ns0:c r="I35" s="3">
        <ns0:f>I32</ns0:f>
        <ns0:v>93.23</ns0:v>
      </ns0:c>
      <ns0:c r="J35" s="3">
        <ns0:f>J32</ns0:f>
        <ns0:v>97.51</ns0:v>
      </ns0:c>
      <ns0:c r="K35" s="3">
        <ns0:f>K32</ns0:f>
        <ns0:v>83.72</ns0:v>
      </ns0:c>
      <ns0:c r="L35" s="3">
        <ns0:f>L32</ns0:f>
        <ns0:v>93.95</ns0:v>
      </ns0:c>
      <ns0:c r="M35" s="3">
        <ns0:f>M32</ns0:f>
        <ns0:v>93.89</ns0:v>
      </ns0:c>
      <ns0:c r="N35" s="3">
        <ns0:f>N32</ns0:f>
        <ns0:v>83.18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41680.76</ns0:v>
      </ns0:c>
      <ns0:c r="D36" s="3">
        <ns0:f>ROUND(D34*D35,2)</ns0:f>
        <ns0:v>66004.60</ns0:v>
      </ns0:c>
      <ns0:c r="E36" s="3">
        <ns0:f>ROUND(E34*E35,2)</ns0:f>
        <ns0:v>68213.09</ns0:v>
      </ns0:c>
      <ns0:c r="F36" s="3">
        <ns0:f>ROUND(F34*F35,2)</ns0:f>
        <ns0:v>79710.75</ns0:v>
      </ns0:c>
      <ns0:c r="G36" s="3">
        <ns0:f>ROUND(G34*G35,2)</ns0:f>
        <ns0:v>99628.03</ns0:v>
      </ns0:c>
      <ns0:c r="H36" s="3">
        <ns0:f>ROUND(H34*H35,2)</ns0:f>
        <ns0:v>66242.16</ns0:v>
      </ns0:c>
      <ns0:c r="I36" s="3">
        <ns0:f>ROUND(I34*I35,2)</ns0:f>
        <ns0:v>73439.14</ns0:v>
      </ns0:c>
      <ns0:c r="J36" s="3">
        <ns0:f>ROUND(J34*J35,2)</ns0:f>
        <ns0:v>70823.46</ns0:v>
      </ns0:c>
      <ns0:c r="K36" s="3">
        <ns0:f>ROUND(K34*K35,2)</ns0:f>
        <ns0:v>42548.18</ns0:v>
      </ns0:c>
      <ns0:c r="L36" s="3">
        <ns0:f>ROUND(L34*L35,2)</ns0:f>
        <ns0:v>68001.01</ns0:v>
      </ns0:c>
      <ns0:c r="M36" s="3">
        <ns0:f>ROUND(M34*M35,2)</ns0:f>
        <ns0:v>63853.65</ns0:v>
      </ns0:c>
      <ns0:c r="N36" s="3">
        <ns0:f>ROUND(N34*N35,2)</ns0:f>
        <ns0:v>43459.89</ns0:v>
      </ns0:c>
      <ns0:c r="O36" s="3">
        <ns0:f>SUM(C36:N36)</ns0:f>
        <ns0:v>783604.72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41680.76</ns0:v>
      </ns0:c>
      <ns0:c r="D37" s="3">
        <ns0:f>D36</ns0:f>
        <ns0:v>66004.60</ns0:v>
      </ns0:c>
      <ns0:c r="E37" s="3">
        <ns0:f>E36</ns0:f>
        <ns0:v>68213.09</ns0:v>
      </ns0:c>
      <ns0:c r="F37" s="3">
        <ns0:f>F36</ns0:f>
        <ns0:v>79710.75</ns0:v>
      </ns0:c>
      <ns0:c r="G37" s="3">
        <ns0:f>G36</ns0:f>
        <ns0:v>99628.03</ns0:v>
      </ns0:c>
      <ns0:c r="H37" s="3">
        <ns0:f>H36</ns0:f>
        <ns0:v>66242.16</ns0:v>
      </ns0:c>
      <ns0:c r="I37" s="3">
        <ns0:f>I36</ns0:f>
        <ns0:v>73439.14</ns0:v>
      </ns0:c>
      <ns0:c r="J37" s="3">
        <ns0:f>J36</ns0:f>
        <ns0:v>70823.46</ns0:v>
      </ns0:c>
      <ns0:c r="K37" s="3">
        <ns0:f>K36</ns0:f>
        <ns0:v>42548.18</ns0:v>
      </ns0:c>
      <ns0:c r="L37" s="3">
        <ns0:f>L36</ns0:f>
        <ns0:v>68001.01</ns0:v>
      </ns0:c>
      <ns0:c r="M37" s="3">
        <ns0:f>M36</ns0:f>
        <ns0:v>63853.65</ns0:v>
      </ns0:c>
      <ns0:c r="N37" s="3">
        <ns0:f>N36</ns0:f>
        <ns0:v>43459.89</ns0:v>
      </ns0:c>
      <ns0:c r="O37" s="3">
        <ns0:f>SUM(C37:N37)</ns0:f>
        <ns0:v>783604.72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0.00529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440345.17</ns0:v>
      </ns0:c>
      <ns0:c r="D32" s="3">
        <ns0:f>'收入非主控'!D33+'收入主控'!D33</ns0:f>
        <ns0:v>415270.49</ns0:v>
      </ns0:c>
      <ns0:c r="E32" s="3">
        <ns0:f>'收入非主控'!E33+'收入主控'!E33</ns0:f>
        <ns0:v>442088.19</ns0:v>
      </ns0:c>
      <ns0:c r="F32" s="3">
        <ns0:f>'收入非主控'!F33+'收入主控'!F33</ns0:f>
        <ns0:v>331899.69</ns0:v>
      </ns0:c>
      <ns0:c r="G32" s="3">
        <ns0:f>'收入非主控'!G33+'收入主控'!G33</ns0:f>
        <ns0:v>403086.56</ns0:v>
      </ns0:c>
      <ns0:c r="H32" s="3">
        <ns0:f>'收入非主控'!H33+'收入主控'!H33</ns0:f>
        <ns0:v>413826.37</ns0:v>
      </ns0:c>
      <ns0:c r="I32" s="3">
        <ns0:f>'收入非主控'!I33+'收入主控'!I33</ns0:f>
        <ns0:v>442249.62</ns0:v>
      </ns0:c>
      <ns0:c r="J32" s="3">
        <ns0:f>'收入非主控'!J33+'收入主控'!J33</ns0:f>
        <ns0:v>555559.21</ns0:v>
      </ns0:c>
      <ns0:c r="K32" s="3">
        <ns0:f>'收入非主控'!K33+'收入主控'!K33</ns0:f>
        <ns0:v>254255.16</ns0:v>
      </ns0:c>
      <ns0:c r="L32" s="3">
        <ns0:f>'收入非主控'!L33+'收入主控'!L33</ns0:f>
        <ns0:v>409434.29</ns0:v>
      </ns0:c>
      <ns0:c r="M32" s="3">
        <ns0:f>'收入非主控'!M33+'收入主控'!M33</ns0:f>
        <ns0:v>359601.88</ns0:v>
      </ns0:c>
      <ns0:c r="N32" s="3">
        <ns0:f>'收入非主控'!N33+'收入主控'!N33</ns0:f>
        <ns0:v>360564.98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2329.43</ns0:v>
      </ns0:c>
      <ns0:c r="D33" s="3">
        <ns0:f>ROUND(D32*$C$31,2)</ns0:f>
        <ns0:v>2196.78</ns0:v>
      </ns0:c>
      <ns0:c r="E33" s="3">
        <ns0:f>ROUND(E32*$C$31,2)</ns0:f>
        <ns0:v>2338.65</ns0:v>
      </ns0:c>
      <ns0:c r="F33" s="3">
        <ns0:f>ROUND(F32*$C$31,2)</ns0:f>
        <ns0:v>1755.75</ns0:v>
      </ns0:c>
      <ns0:c r="G33" s="3">
        <ns0:f>ROUND(G32*$C$31,2)</ns0:f>
        <ns0:v>2132.33</ns0:v>
      </ns0:c>
      <ns0:c r="H33" s="3">
        <ns0:f>ROUND(H32*$C$31,2)</ns0:f>
        <ns0:v>2189.14</ns0:v>
      </ns0:c>
      <ns0:c r="I33" s="3">
        <ns0:f>ROUND(I32*$C$31,2)</ns0:f>
        <ns0:v>2339.50</ns0:v>
      </ns0:c>
      <ns0:c r="J33" s="3">
        <ns0:f>ROUND(J32*$C$31,2)</ns0:f>
        <ns0:v>2938.91</ns0:v>
      </ns0:c>
      <ns0:c r="K33" s="3">
        <ns0:f>ROUND(K32*$C$31,2)</ns0:f>
        <ns0:v>1345.01</ns0:v>
      </ns0:c>
      <ns0:c r="L33" s="3">
        <ns0:f>ROUND(L32*$C$31,2)</ns0:f>
        <ns0:v>2165.91</ns0:v>
      </ns0:c>
      <ns0:c r="M33" s="3">
        <ns0:f>ROUND(M32*$C$31,2)</ns0:f>
        <ns0:v>1902.29</ns0:v>
      </ns0:c>
      <ns0:c r="N33" s="3">
        <ns0:f>ROUND(N32*$C$31,2)</ns0:f>
        <ns0:v>1907.39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212.90</ns0:v>
      </ns0:c>
      <ns0:c r="D4" s="3">
        <ns0:f>ROUND(D204*D324,2)</ns0:f>
        <ns0:v>190.20</ns0:v>
      </ns0:c>
      <ns0:c r="E4" s="3">
        <ns0:f>ROUND(E204*E324,2)</ns0:f>
        <ns0:v>326.31</ns0:v>
      </ns0:c>
      <ns0:c r="F4" s="3">
        <ns0:f>ROUND(F204*F324,2)</ns0:f>
        <ns0:v>602.28</ns0:v>
      </ns0:c>
      <ns0:c r="G4" s="3">
        <ns0:f>ROUND(G204*G324,2)</ns0:f>
        <ns0:v>135.64</ns0:v>
      </ns0:c>
      <ns0:c r="H4" s="3">
        <ns0:f>ROUND(H204*H324,2)</ns0:f>
        <ns0:v>357.24</ns0:v>
      </ns0:c>
      <ns0:c r="I4" s="3">
        <ns0:f>ROUND(I204*I324,2)</ns0:f>
        <ns0:v>234.32</ns0:v>
      </ns0:c>
      <ns0:c r="J4" s="3">
        <ns0:f>ROUND(J204*J324,2)</ns0:f>
        <ns0:v>73.78</ns0:v>
      </ns0:c>
      <ns0:c r="K4" s="3">
        <ns0:f>ROUND(K204*K324,2)</ns0:f>
        <ns0:v>252.69</ns0:v>
      </ns0:c>
      <ns0:c r="L4" s="3">
        <ns0:f>ROUND(L204*L324,2)</ns0:f>
        <ns0:v>100.63</ns0:v>
      </ns0:c>
      <ns0:c r="M4" s="3">
        <ns0:f>ROUND(M204*M324,2)</ns0:f>
        <ns0:v>181.92</ns0:v>
      </ns0:c>
      <ns0:c r="N4" s="3">
        <ns0:f>ROUND(N204*N324,2)</ns0:f>
        <ns0:v>128.53</ns0:v>
      </ns0:c>
      <ns0:c r="O4" s="3">
        <ns0:f>SUM(C4:N4)</ns0:f>
        <ns0:v>2796.44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326.23</ns0:v>
      </ns0:c>
      <ns0:c r="D5" s="3">
        <ns0:f>ROUND(D205*D325,2)</ns0:f>
        <ns0:v>199.90</ns0:v>
      </ns0:c>
      <ns0:c r="E5" s="3">
        <ns0:f>ROUND(E205*E325,2)</ns0:f>
        <ns0:v>421.74</ns0:v>
      </ns0:c>
      <ns0:c r="F5" s="3">
        <ns0:f>ROUND(F205*F325,2)</ns0:f>
        <ns0:v>143.08</ns0:v>
      </ns0:c>
      <ns0:c r="G5" s="3">
        <ns0:f>ROUND(G205*G325,2)</ns0:f>
        <ns0:v>265.86</ns0:v>
      </ns0:c>
      <ns0:c r="H5" s="3">
        <ns0:f>ROUND(H205*H325,2)</ns0:f>
        <ns0:v>162.27</ns0:v>
      </ns0:c>
      <ns0:c r="I5" s="3">
        <ns0:f>ROUND(I205*I325,2)</ns0:f>
        <ns0:v>96.48</ns0:v>
      </ns0:c>
      <ns0:c r="J5" s="3">
        <ns0:f>ROUND(J205*J325,2)</ns0:f>
        <ns0:v>122.12</ns0:v>
      </ns0:c>
      <ns0:c r="K5" s="3">
        <ns0:f>ROUND(K205*K325,2)</ns0:f>
        <ns0:v>356.29</ns0:v>
      </ns0:c>
      <ns0:c r="L5" s="3">
        <ns0:f>ROUND(L205*L325,2)</ns0:f>
        <ns0:v>96.38</ns0:v>
      </ns0:c>
      <ns0:c r="M5" s="3">
        <ns0:f>ROUND(M205*M325,2)</ns0:f>
        <ns0:v>209.59</ns0:v>
      </ns0:c>
      <ns0:c r="N5" s="3">
        <ns0:f>ROUND(N205*N325,2)</ns0:f>
        <ns0:v>145.32</ns0:v>
      </ns0:c>
      <ns0:c r="O5" s="3">
        <ns0:f>SUM(C5:N5)</ns0:f>
        <ns0:v>2545.26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71.57</ns0:v>
      </ns0:c>
      <ns0:c r="D6" s="3">
        <ns0:f>ROUND(D206*D326,2)</ns0:f>
        <ns0:v>110.81</ns0:v>
      </ns0:c>
      <ns0:c r="E6" s="3">
        <ns0:f>ROUND(E206*E326,2)</ns0:f>
        <ns0:v>121.40</ns0:v>
      </ns0:c>
      <ns0:c r="F6" s="3">
        <ns0:f>ROUND(F206*F326,2)</ns0:f>
        <ns0:v>189.56</ns0:v>
      </ns0:c>
      <ns0:c r="G6" s="3">
        <ns0:f>ROUND(G206*G326,2)</ns0:f>
        <ns0:v>583.58</ns0:v>
      </ns0:c>
      <ns0:c r="H6" s="3">
        <ns0:f>ROUND(H206*H326,2)</ns0:f>
        <ns0:v>440.25</ns0:v>
      </ns0:c>
      <ns0:c r="I6" s="3">
        <ns0:f>ROUND(I206*I326,2)</ns0:f>
        <ns0:v>465.28</ns0:v>
      </ns0:c>
      <ns0:c r="J6" s="3">
        <ns0:f>ROUND(J206*J326,2)</ns0:f>
        <ns0:v>374.03</ns0:v>
      </ns0:c>
      <ns0:c r="K6" s="3">
        <ns0:f>ROUND(K206*K326,2)</ns0:f>
        <ns0:v>255.33</ns0:v>
      </ns0:c>
      <ns0:c r="L6" s="3">
        <ns0:f>ROUND(L206*L326,2)</ns0:f>
        <ns0:v>282.29</ns0:v>
      </ns0:c>
      <ns0:c r="M6" s="3">
        <ns0:f>ROUND(M206*M326,2)</ns0:f>
        <ns0:v>91.60</ns0:v>
      </ns0:c>
      <ns0:c r="N6" s="3">
        <ns0:f>ROUND(N206*N326,2)</ns0:f>
        <ns0:v>369.24</ns0:v>
      </ns0:c>
      <ns0:c r="O6" s="3">
        <ns0:f>SUM(C6:N6)</ns0:f>
        <ns0:v>3354.94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108.24</ns0:v>
      </ns0:c>
      <ns0:c r="D7" s="3">
        <ns0:f>ROUND(D207*D327,2)</ns0:f>
        <ns0:v>66.20</ns0:v>
      </ns0:c>
      <ns0:c r="E7" s="3">
        <ns0:f>ROUND(E207*E327,2)</ns0:f>
        <ns0:v>84.55</ns0:v>
      </ns0:c>
      <ns0:c r="F7" s="3">
        <ns0:f>ROUND(F207*F327,2)</ns0:f>
        <ns0:v>153.96</ns0:v>
      </ns0:c>
      <ns0:c r="G7" s="3">
        <ns0:f>ROUND(G207*G327,2)</ns0:f>
        <ns0:v>84.28</ns0:v>
      </ns0:c>
      <ns0:c r="H7" s="3">
        <ns0:f>ROUND(H207*H327,2)</ns0:f>
        <ns0:v>227.48</ns0:v>
      </ns0:c>
      <ns0:c r="I7" s="3">
        <ns0:f>ROUND(I207*I327,2)</ns0:f>
        <ns0:v>308.83</ns0:v>
      </ns0:c>
      <ns0:c r="J7" s="3">
        <ns0:f>ROUND(J207*J327,2)</ns0:f>
        <ns0:v>106.88</ns0:v>
      </ns0:c>
      <ns0:c r="K7" s="3">
        <ns0:f>ROUND(K207*K327,2)</ns0:f>
        <ns0:v>338.24</ns0:v>
      </ns0:c>
      <ns0:c r="L7" s="3">
        <ns0:f>ROUND(L207*L327,2)</ns0:f>
        <ns0:v>364.28</ns0:v>
      </ns0:c>
      <ns0:c r="M7" s="3">
        <ns0:f>ROUND(M207*M327,2)</ns0:f>
        <ns0:v>436.54</ns0:v>
      </ns0:c>
      <ns0:c r="N7" s="3">
        <ns0:f>ROUND(N207*N327,2)</ns0:f>
        <ns0:v>247.30</ns0:v>
      </ns0:c>
      <ns0:c r="O7" s="3">
        <ns0:f>SUM(C7:N7)</ns0:f>
        <ns0:v>2526.78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136.48</ns0:v>
      </ns0:c>
      <ns0:c r="D8" s="3">
        <ns0:f>ROUND(D208*D328,2)</ns0:f>
        <ns0:v>317.63</ns0:v>
      </ns0:c>
      <ns0:c r="E8" s="3">
        <ns0:f>ROUND(E208*E328,2)</ns0:f>
        <ns0:v>426.07</ns0:v>
      </ns0:c>
      <ns0:c r="F8" s="3">
        <ns0:f>ROUND(F208*F328,2)</ns0:f>
        <ns0:v>264.36</ns0:v>
      </ns0:c>
      <ns0:c r="G8" s="3">
        <ns0:f>ROUND(G208*G328,2)</ns0:f>
        <ns0:v>332.60</ns0:v>
      </ns0:c>
      <ns0:c r="H8" s="3">
        <ns0:f>ROUND(H208*H328,2)</ns0:f>
        <ns0:v>233.04</ns0:v>
      </ns0:c>
      <ns0:c r="I8" s="3">
        <ns0:f>ROUND(I208*I328,2)</ns0:f>
        <ns0:v>93.95</ns0:v>
      </ns0:c>
      <ns0:c r="J8" s="3">
        <ns0:f>ROUND(J208*J328,2)</ns0:f>
        <ns0:v>114.12</ns0:v>
      </ns0:c>
      <ns0:c r="K8" s="3">
        <ns0:f>ROUND(K208*K328,2)</ns0:f>
        <ns0:v>307.87</ns0:v>
      </ns0:c>
      <ns0:c r="L8" s="3">
        <ns0:f>ROUND(L208*L328,2)</ns0:f>
        <ns0:v>164.87</ns0:v>
      </ns0:c>
      <ns0:c r="M8" s="3">
        <ns0:f>ROUND(M208*M328,2)</ns0:f>
        <ns0:v>195.01</ns0:v>
      </ns0:c>
      <ns0:c r="N8" s="3">
        <ns0:f>ROUND(N208*N328,2)</ns0:f>
        <ns0:v>185.92</ns0:v>
      </ns0:c>
      <ns0:c r="O8" s="3">
        <ns0:f>SUM(C8:N8)</ns0:f>
        <ns0:v>2771.92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80.22</ns0:v>
      </ns0:c>
      <ns0:c r="D9" s="3">
        <ns0:f>ROUND(D209*D329,2)</ns0:f>
        <ns0:v>158.20</ns0:v>
      </ns0:c>
      <ns0:c r="E9" s="3">
        <ns0:f>ROUND(E209*E329,2)</ns0:f>
        <ns0:v>286.20</ns0:v>
      </ns0:c>
      <ns0:c r="F9" s="3">
        <ns0:f>ROUND(F209*F329,2)</ns0:f>
        <ns0:v>392.60</ns0:v>
      </ns0:c>
      <ns0:c r="G9" s="3">
        <ns0:f>ROUND(G209*G329,2)</ns0:f>
        <ns0:v>216.44</ns0:v>
      </ns0:c>
      <ns0:c r="H9" s="3">
        <ns0:f>ROUND(H209*H329,2)</ns0:f>
        <ns0:v>139.03</ns0:v>
      </ns0:c>
      <ns0:c r="I9" s="3">
        <ns0:f>ROUND(I209*I329,2)</ns0:f>
        <ns0:v>366.26</ns0:v>
      </ns0:c>
      <ns0:c r="J9" s="3">
        <ns0:f>ROUND(J209*J329,2)</ns0:f>
        <ns0:v>80.23</ns0:v>
      </ns0:c>
      <ns0:c r="K9" s="3">
        <ns0:f>ROUND(K209*K329,2)</ns0:f>
        <ns0:v>197.39</ns0:v>
      </ns0:c>
      <ns0:c r="L9" s="3">
        <ns0:f>ROUND(L209*L329,2)</ns0:f>
        <ns0:v>283.39</ns0:v>
      </ns0:c>
      <ns0:c r="M9" s="3">
        <ns0:f>ROUND(M209*M329,2)</ns0:f>
        <ns0:v>209.26</ns0:v>
      </ns0:c>
      <ns0:c r="N9" s="3">
        <ns0:f>ROUND(N209*N329,2)</ns0:f>
        <ns0:v>299.50</ns0:v>
      </ns0:c>
      <ns0:c r="O9" s="3">
        <ns0:f>SUM(C9:N9)</ns0:f>
        <ns0:v>2708.72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316.87</ns0:v>
      </ns0:c>
      <ns0:c r="D10" s="3">
        <ns0:f>ROUND(D210*D330,2)</ns0:f>
        <ns0:v>178.16</ns0:v>
      </ns0:c>
      <ns0:c r="E10" s="3">
        <ns0:f>ROUND(E210*E330,2)</ns0:f>
        <ns0:v>442.75</ns0:v>
      </ns0:c>
      <ns0:c r="F10" s="3">
        <ns0:f>ROUND(F210*F330,2)</ns0:f>
        <ns0:v>197.79</ns0:v>
      </ns0:c>
      <ns0:c r="G10" s="3">
        <ns0:f>ROUND(G210*G330,2)</ns0:f>
        <ns0:v>79.53</ns0:v>
      </ns0:c>
      <ns0:c r="H10" s="3">
        <ns0:f>ROUND(H210*H330,2)</ns0:f>
        <ns0:v>170.81</ns0:v>
      </ns0:c>
      <ns0:c r="I10" s="3">
        <ns0:f>ROUND(I210*I330,2)</ns0:f>
        <ns0:v>203.38</ns0:v>
      </ns0:c>
      <ns0:c r="J10" s="3">
        <ns0:f>ROUND(J210*J330,2)</ns0:f>
        <ns0:v>187.20</ns0:v>
      </ns0:c>
      <ns0:c r="K10" s="3">
        <ns0:f>ROUND(K210*K330,2)</ns0:f>
        <ns0:v>320.01</ns0:v>
      </ns0:c>
      <ns0:c r="L10" s="3">
        <ns0:f>ROUND(L210*L330,2)</ns0:f>
        <ns0:v>206.06</ns0:v>
      </ns0:c>
      <ns0:c r="M10" s="3">
        <ns0:f>ROUND(M210*M330,2)</ns0:f>
        <ns0:v>356.19</ns0:v>
      </ns0:c>
      <ns0:c r="N10" s="3">
        <ns0:f>ROUND(N210*N330,2)</ns0:f>
        <ns0:v>388.97</ns0:v>
      </ns0:c>
      <ns0:c r="O10" s="3">
        <ns0:f>SUM(C10:N10)</ns0:f>
        <ns0:v>3047.72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443.55</ns0:v>
      </ns0:c>
      <ns0:c r="D11" s="3">
        <ns0:f>ROUND(D211*D331,2)</ns0:f>
        <ns0:v>273.73</ns0:v>
      </ns0:c>
      <ns0:c r="E11" s="3">
        <ns0:f>ROUND(E211*E331,2)</ns0:f>
        <ns0:v>169.80</ns0:v>
      </ns0:c>
      <ns0:c r="F11" s="3">
        <ns0:f>ROUND(F211*F331,2)</ns0:f>
        <ns0:v>341.21</ns0:v>
      </ns0:c>
      <ns0:c r="G11" s="3">
        <ns0:f>ROUND(G211*G331,2)</ns0:f>
        <ns0:v>133.03</ns0:v>
      </ns0:c>
      <ns0:c r="H11" s="3">
        <ns0:f>ROUND(H211*H331,2)</ns0:f>
        <ns0:v>201.14</ns0:v>
      </ns0:c>
      <ns0:c r="I11" s="3">
        <ns0:f>ROUND(I211*I331,2)</ns0:f>
        <ns0:v>565.12</ns0:v>
      </ns0:c>
      <ns0:c r="J11" s="3">
        <ns0:f>ROUND(J211*J331,2)</ns0:f>
        <ns0:v>129.83</ns0:v>
      </ns0:c>
      <ns0:c r="K11" s="3">
        <ns0:f>ROUND(K211*K331,2)</ns0:f>
        <ns0:v>238.67</ns0:v>
      </ns0:c>
      <ns0:c r="L11" s="3">
        <ns0:f>ROUND(L211*L331,2)</ns0:f>
        <ns0:v>96.92</ns0:v>
      </ns0:c>
      <ns0:c r="M11" s="3">
        <ns0:f>ROUND(M211*M331,2)</ns0:f>
        <ns0:v>323.89</ns0:v>
      </ns0:c>
      <ns0:c r="N11" s="3">
        <ns0:f>ROUND(N211*N331,2)</ns0:f>
        <ns0:v>429.91</ns0:v>
      </ns0:c>
      <ns0:c r="O11" s="3">
        <ns0:f>SUM(C11:N11)</ns0:f>
        <ns0:v>3346.80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303.99</ns0:v>
      </ns0:c>
      <ns0:c r="D12" s="3">
        <ns0:f>ROUND(D212*D332,2)</ns0:f>
        <ns0:v>100.28</ns0:v>
      </ns0:c>
      <ns0:c r="E12" s="3">
        <ns0:f>ROUND(E212*E332,2)</ns0:f>
        <ns0:v>363.30</ns0:v>
      </ns0:c>
      <ns0:c r="F12" s="3">
        <ns0:f>ROUND(F212*F332,2)</ns0:f>
        <ns0:v>283.81</ns0:v>
      </ns0:c>
      <ns0:c r="G12" s="3">
        <ns0:f>ROUND(G212*G332,2)</ns0:f>
        <ns0:v>480.85</ns0:v>
      </ns0:c>
      <ns0:c r="H12" s="3">
        <ns0:f>ROUND(H212*H332,2)</ns0:f>
        <ns0:v>374.11</ns0:v>
      </ns0:c>
      <ns0:c r="I12" s="3">
        <ns0:f>ROUND(I212*I332,2)</ns0:f>
        <ns0:v>211.11</ns0:v>
      </ns0:c>
      <ns0:c r="J12" s="3">
        <ns0:f>ROUND(J212*J332,2)</ns0:f>
        <ns0:v>451.94</ns0:v>
      </ns0:c>
      <ns0:c r="K12" s="3">
        <ns0:f>ROUND(K212*K332,2)</ns0:f>
        <ns0:v>246.80</ns0:v>
      </ns0:c>
      <ns0:c r="L12" s="3">
        <ns0:f>ROUND(L212*L332,2)</ns0:f>
        <ns0:v>111.62</ns0:v>
      </ns0:c>
      <ns0:c r="M12" s="3">
        <ns0:f>ROUND(M212*M332,2)</ns0:f>
        <ns0:v>280.38</ns0:v>
      </ns0:c>
      <ns0:c r="N12" s="3">
        <ns0:f>ROUND(N212*N332,2)</ns0:f>
        <ns0:v>82.26</ns0:v>
      </ns0:c>
      <ns0:c r="O12" s="3">
        <ns0:f>SUM(C12:N12)</ns0:f>
        <ns0:v>3290.45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326.70</ns0:v>
      </ns0:c>
      <ns0:c r="D13" s="3">
        <ns0:f>ROUND(D213*D333,2)</ns0:f>
        <ns0:v>247.00</ns0:v>
      </ns0:c>
      <ns0:c r="E13" s="3">
        <ns0:f>ROUND(E213*E333,2)</ns0:f>
        <ns0:v>325.22</ns0:v>
      </ns0:c>
      <ns0:c r="F13" s="3">
        <ns0:f>ROUND(F213*F333,2)</ns0:f>
        <ns0:v>162.94</ns0:v>
      </ns0:c>
      <ns0:c r="G13" s="3">
        <ns0:f>ROUND(G213*G333,2)</ns0:f>
        <ns0:v>250.63</ns0:v>
      </ns0:c>
      <ns0:c r="H13" s="3">
        <ns0:f>ROUND(H213*H333,2)</ns0:f>
        <ns0:v>185.36</ns0:v>
      </ns0:c>
      <ns0:c r="I13" s="3">
        <ns0:f>ROUND(I213*I333,2)</ns0:f>
        <ns0:v>299.69</ns0:v>
      </ns0:c>
      <ns0:c r="J13" s="3">
        <ns0:f>ROUND(J213*J333,2)</ns0:f>
        <ns0:v>395.90</ns0:v>
      </ns0:c>
      <ns0:c r="K13" s="3">
        <ns0:f>ROUND(K213*K333,2)</ns0:f>
        <ns0:v>499.19</ns0:v>
      </ns0:c>
      <ns0:c r="L13" s="3">
        <ns0:f>ROUND(L213*L333,2)</ns0:f>
        <ns0:v>148.50</ns0:v>
      </ns0:c>
      <ns0:c r="M13" s="3">
        <ns0:f>ROUND(M213*M333,2)</ns0:f>
        <ns0:v>138.53</ns0:v>
      </ns0:c>
      <ns0:c r="N13" s="3">
        <ns0:f>ROUND(N213*N333,2)</ns0:f>
        <ns0:v>134.83</ns0:v>
      </ns0:c>
      <ns0:c r="O13" s="3">
        <ns0:f>SUM(C13:N13)</ns0:f>
        <ns0:v>3114.49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169.52</ns0:v>
      </ns0:c>
      <ns0:c r="D14" s="3">
        <ns0:f>ROUND(D214*D334,2)</ns0:f>
        <ns0:v>367.41</ns0:v>
      </ns0:c>
      <ns0:c r="E14" s="3">
        <ns0:f>ROUND(E214*E334,2)</ns0:f>
        <ns0:v>219.73</ns0:v>
      </ns0:c>
      <ns0:c r="F14" s="3">
        <ns0:f>ROUND(F214*F334,2)</ns0:f>
        <ns0:v>355.83</ns0:v>
      </ns0:c>
      <ns0:c r="G14" s="3">
        <ns0:f>ROUND(G214*G334,2)</ns0:f>
        <ns0:v>221.58</ns0:v>
      </ns0:c>
      <ns0:c r="H14" s="3">
        <ns0:f>ROUND(H214*H334,2)</ns0:f>
        <ns0:v>243.89</ns0:v>
      </ns0:c>
      <ns0:c r="I14" s="3">
        <ns0:f>ROUND(I214*I334,2)</ns0:f>
        <ns0:v>58.49</ns0:v>
      </ns0:c>
      <ns0:c r="J14" s="3">
        <ns0:f>ROUND(J214*J334,2)</ns0:f>
        <ns0:v>355.51</ns0:v>
      </ns0:c>
      <ns0:c r="K14" s="3">
        <ns0:f>ROUND(K214*K334,2)</ns0:f>
        <ns0:v>197.89</ns0:v>
      </ns0:c>
      <ns0:c r="L14" s="3">
        <ns0:f>ROUND(L214*L334,2)</ns0:f>
        <ns0:v>181.48</ns0:v>
      </ns0:c>
      <ns0:c r="M14" s="3">
        <ns0:f>ROUND(M214*M334,2)</ns0:f>
        <ns0:v>157.35</ns0:v>
      </ns0:c>
      <ns0:c r="N14" s="3">
        <ns0:f>ROUND(N214*N334,2)</ns0:f>
        <ns0:v>277.22</ns0:v>
      </ns0:c>
      <ns0:c r="O14" s="3">
        <ns0:f>SUM(C14:N14)</ns0:f>
        <ns0:v>2805.90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454.25</ns0:v>
      </ns0:c>
      <ns0:c r="D15" s="3">
        <ns0:f>ROUND(D215*D335,2)</ns0:f>
        <ns0:v>252.43</ns0:v>
      </ns0:c>
      <ns0:c r="E15" s="3">
        <ns0:f>ROUND(E215*E335,2)</ns0:f>
        <ns0:v>73.71</ns0:v>
      </ns0:c>
      <ns0:c r="F15" s="3">
        <ns0:f>ROUND(F215*F335,2)</ns0:f>
        <ns0:v>138.16</ns0:v>
      </ns0:c>
      <ns0:c r="G15" s="3">
        <ns0:f>ROUND(G215*G335,2)</ns0:f>
        <ns0:v>444.96</ns0:v>
      </ns0:c>
      <ns0:c r="H15" s="3">
        <ns0:f>ROUND(H215*H335,2)</ns0:f>
        <ns0:v>147.23</ns0:v>
      </ns0:c>
      <ns0:c r="I15" s="3">
        <ns0:f>ROUND(I215*I335,2)</ns0:f>
        <ns0:v>452.97</ns0:v>
      </ns0:c>
      <ns0:c r="J15" s="3">
        <ns0:f>ROUND(J215*J335,2)</ns0:f>
        <ns0:v>544.97</ns0:v>
      </ns0:c>
      <ns0:c r="K15" s="3">
        <ns0:f>ROUND(K215*K335,2)</ns0:f>
        <ns0:v>477.54</ns0:v>
      </ns0:c>
      <ns0:c r="L15" s="3">
        <ns0:f>ROUND(L215*L335,2)</ns0:f>
        <ns0:v>437.39</ns0:v>
      </ns0:c>
      <ns0:c r="M15" s="3">
        <ns0:f>ROUND(M215*M335,2)</ns0:f>
        <ns0:v>107.48</ns0:v>
      </ns0:c>
      <ns0:c r="N15" s="3">
        <ns0:f>ROUND(N215*N335,2)</ns0:f>
        <ns0:v>129.44</ns0:v>
      </ns0:c>
      <ns0:c r="O15" s="3">
        <ns0:f>SUM(C15:N15)</ns0:f>
        <ns0:v>3660.53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414.52</ns0:v>
      </ns0:c>
      <ns0:c r="D16" s="3">
        <ns0:f>ROUND(D216*D336,2)</ns0:f>
        <ns0:v>241.72</ns0:v>
      </ns0:c>
      <ns0:c r="E16" s="3">
        <ns0:f>ROUND(E216*E336,2)</ns0:f>
        <ns0:v>280.11</ns0:v>
      </ns0:c>
      <ns0:c r="F16" s="3">
        <ns0:f>ROUND(F216*F336,2)</ns0:f>
        <ns0:v>451.31</ns0:v>
      </ns0:c>
      <ns0:c r="G16" s="3">
        <ns0:f>ROUND(G216*G336,2)</ns0:f>
        <ns0:v>330.23</ns0:v>
      </ns0:c>
      <ns0:c r="H16" s="3">
        <ns0:f>ROUND(H216*H336,2)</ns0:f>
        <ns0:v>545.74</ns0:v>
      </ns0:c>
      <ns0:c r="I16" s="3">
        <ns0:f>ROUND(I216*I336,2)</ns0:f>
        <ns0:v>328.84</ns0:v>
      </ns0:c>
      <ns0:c r="J16" s="3">
        <ns0:f>ROUND(J216*J336,2)</ns0:f>
        <ns0:v>107.44</ns0:v>
      </ns0:c>
      <ns0:c r="K16" s="3">
        <ns0:f>ROUND(K216*K336,2)</ns0:f>
        <ns0:v>181.71</ns0:v>
      </ns0:c>
      <ns0:c r="L16" s="3">
        <ns0:f>ROUND(L216*L336,2)</ns0:f>
        <ns0:v>105.15</ns0:v>
      </ns0:c>
      <ns0:c r="M16" s="3">
        <ns0:f>ROUND(M216*M336,2)</ns0:f>
        <ns0:v>331.73</ns0:v>
      </ns0:c>
      <ns0:c r="N16" s="3">
        <ns0:f>ROUND(N216*N336,2)</ns0:f>
        <ns0:v>414.20</ns0:v>
      </ns0:c>
      <ns0:c r="O16" s="3">
        <ns0:f>SUM(C16:N16)</ns0:f>
        <ns0:v>3732.70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147.88</ns0:v>
      </ns0:c>
      <ns0:c r="D17" s="3">
        <ns0:f>ROUND(D217*D337,2)</ns0:f>
        <ns0:v>189.23</ns0:v>
      </ns0:c>
      <ns0:c r="E17" s="3">
        <ns0:f>ROUND(E217*E337,2)</ns0:f>
        <ns0:v>361.51</ns0:v>
      </ns0:c>
      <ns0:c r="F17" s="3">
        <ns0:f>ROUND(F217*F337,2)</ns0:f>
        <ns0:v>248.80</ns0:v>
      </ns0:c>
      <ns0:c r="G17" s="3">
        <ns0:f>ROUND(G217*G337,2)</ns0:f>
        <ns0:v>97.43</ns0:v>
      </ns0:c>
      <ns0:c r="H17" s="3">
        <ns0:f>ROUND(H217*H337,2)</ns0:f>
        <ns0:v>211.71</ns0:v>
      </ns0:c>
      <ns0:c r="I17" s="3">
        <ns0:f>ROUND(I217*I337,2)</ns0:f>
        <ns0:v>98.46</ns0:v>
      </ns0:c>
      <ns0:c r="J17" s="3">
        <ns0:f>ROUND(J217*J337,2)</ns0:f>
        <ns0:v>293.28</ns0:v>
      </ns0:c>
      <ns0:c r="K17" s="3">
        <ns0:f>ROUND(K217*K337,2)</ns0:f>
        <ns0:v>209.37</ns0:v>
      </ns0:c>
      <ns0:c r="L17" s="3">
        <ns0:f>ROUND(L217*L337,2)</ns0:f>
        <ns0:v>242.66</ns0:v>
      </ns0:c>
      <ns0:c r="M17" s="3">
        <ns0:f>ROUND(M217*M337,2)</ns0:f>
        <ns0:v>403.11</ns0:v>
      </ns0:c>
      <ns0:c r="N17" s="3">
        <ns0:f>ROUND(N217*N337,2)</ns0:f>
        <ns0:v>253.27</ns0:v>
      </ns0:c>
      <ns0:c r="O17" s="3">
        <ns0:f>SUM(C17:N17)</ns0:f>
        <ns0:v>2756.71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291.87</ns0:v>
      </ns0:c>
      <ns0:c r="D18" s="3">
        <ns0:f>ROUND(D218*D338,2)</ns0:f>
        <ns0:v>120.13</ns0:v>
      </ns0:c>
      <ns0:c r="E18" s="3">
        <ns0:f>ROUND(E218*E338,2)</ns0:f>
        <ns0:v>306.18</ns0:v>
      </ns0:c>
      <ns0:c r="F18" s="3">
        <ns0:f>ROUND(F218*F338,2)</ns0:f>
        <ns0:v>185.83</ns0:v>
      </ns0:c>
      <ns0:c r="G18" s="3">
        <ns0:f>ROUND(G218*G338,2)</ns0:f>
        <ns0:v>304.89</ns0:v>
      </ns0:c>
      <ns0:c r="H18" s="3">
        <ns0:f>ROUND(H218*H338,2)</ns0:f>
        <ns0:v>151.55</ns0:v>
      </ns0:c>
      <ns0:c r="I18" s="3">
        <ns0:f>ROUND(I218*I338,2)</ns0:f>
        <ns0:v>242.73</ns0:v>
      </ns0:c>
      <ns0:c r="J18" s="3">
        <ns0:f>ROUND(J218*J338,2)</ns0:f>
        <ns0:v>200.01</ns0:v>
      </ns0:c>
      <ns0:c r="K18" s="3">
        <ns0:f>ROUND(K218*K338,2)</ns0:f>
        <ns0:v>304.32</ns0:v>
      </ns0:c>
      <ns0:c r="L18" s="3">
        <ns0:f>ROUND(L218*L338,2)</ns0:f>
        <ns0:v>195.93</ns0:v>
      </ns0:c>
      <ns0:c r="M18" s="3">
        <ns0:f>ROUND(M218*M338,2)</ns0:f>
        <ns0:v>195.32</ns0:v>
      </ns0:c>
      <ns0:c r="N18" s="3">
        <ns0:f>ROUND(N218*N338,2)</ns0:f>
        <ns0:v>405.01</ns0:v>
      </ns0:c>
      <ns0:c r="O18" s="3">
        <ns0:f>SUM(C18:N18)</ns0:f>
        <ns0:v>2903.77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195.41</ns0:v>
      </ns0:c>
      <ns0:c r="D19" s="3">
        <ns0:f>ROUND(D219*D339,2)</ns0:f>
        <ns0:v>144.89</ns0:v>
      </ns0:c>
      <ns0:c r="E19" s="3">
        <ns0:f>ROUND(E219*E339,2)</ns0:f>
        <ns0:v>191.98</ns0:v>
      </ns0:c>
      <ns0:c r="F19" s="3">
        <ns0:f>ROUND(F219*F339,2)</ns0:f>
        <ns0:v>303.75</ns0:v>
      </ns0:c>
      <ns0:c r="G19" s="3">
        <ns0:f>ROUND(G219*G339,2)</ns0:f>
        <ns0:v>147.82</ns0:v>
      </ns0:c>
      <ns0:c r="H19" s="3">
        <ns0:f>ROUND(H219*H339,2)</ns0:f>
        <ns0:v>194.41</ns0:v>
      </ns0:c>
      <ns0:c r="I19" s="3">
        <ns0:f>ROUND(I219*I339,2)</ns0:f>
        <ns0:v>168.25</ns0:v>
      </ns0:c>
      <ns0:c r="J19" s="3">
        <ns0:f>ROUND(J219*J339,2)</ns0:f>
        <ns0:v>140.84</ns0:v>
      </ns0:c>
      <ns0:c r="K19" s="3">
        <ns0:f>ROUND(K219*K339,2)</ns0:f>
        <ns0:v>511.74</ns0:v>
      </ns0:c>
      <ns0:c r="L19" s="3">
        <ns0:f>ROUND(L219*L339,2)</ns0:f>
        <ns0:v>334.22</ns0:v>
      </ns0:c>
      <ns0:c r="M19" s="3">
        <ns0:f>ROUND(M219*M339,2)</ns0:f>
        <ns0:v>317.64</ns0:v>
      </ns0:c>
      <ns0:c r="N19" s="3">
        <ns0:f>ROUND(N219*N339,2)</ns0:f>
        <ns0:v>294.08</ns0:v>
      </ns0:c>
      <ns0:c r="O19" s="3">
        <ns0:f>SUM(C19:N19)</ns0:f>
        <ns0:v>2945.03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600.81</ns0:v>
      </ns0:c>
      <ns0:c r="D20" s="3">
        <ns0:f>ROUND('摊销明细'!D33/3,2)</ns0:f>
        <ns0:v>600.81</ns0:v>
      </ns0:c>
      <ns0:c r="E20" s="3">
        <ns0:f>ROUND('摊销明细'!E33/3,2)</ns0:f>
        <ns0:v>600.81</ns0:v>
      </ns0:c>
      <ns0:c r="F20" s="3">
        <ns0:f>ROUND('摊销明细'!F33/3,2)</ns0:f>
        <ns0:v>600.81</ns0:v>
      </ns0:c>
      <ns0:c r="G20" s="3">
        <ns0:f>ROUND('摊销明细'!G33/3,2)</ns0:f>
        <ns0:v>600.81</ns0:v>
      </ns0:c>
      <ns0:c r="H20" s="3">
        <ns0:f>ROUND('摊销明细'!H33/3,2)</ns0:f>
        <ns0:v>600.81</ns0:v>
      </ns0:c>
      <ns0:c r="I20" s="3">
        <ns0:f>ROUND('摊销明细'!I33/3,2)</ns0:f>
        <ns0:v>600.81</ns0:v>
      </ns0:c>
      <ns0:c r="J20" s="3">
        <ns0:f>ROUND('摊销明细'!J33/3,2)</ns0:f>
        <ns0:v>600.81</ns0:v>
      </ns0:c>
      <ns0:c r="K20" s="3">
        <ns0:f>ROUND('摊销明细'!K33/3,2)</ns0:f>
        <ns0:v>600.81</ns0:v>
      </ns0:c>
      <ns0:c r="L20" s="3">
        <ns0:f>ROUND('摊销明细'!L33/3,2)</ns0:f>
        <ns0:v>600.81</ns0:v>
      </ns0:c>
      <ns0:c r="M20" s="3">
        <ns0:f>ROUND('摊销明细'!M33/3,2)</ns0:f>
        <ns0:v>600.81</ns0:v>
      </ns0:c>
      <ns0:c r="N20" s="3">
        <ns0:f>ROUND('摊销明细'!N33/3,2)</ns0:f>
        <ns0:v>600.81</ns0:v>
      </ns0:c>
      <ns0:c r="O20" s="3">
        <ns0:f>SUM(C20:N20)</ns0:f>
        <ns0:v>7209.72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176.56</ns0:v>
      </ns0:c>
      <ns0:c r="D21" s="3">
        <ns0:f>ROUND(D221*D341,2)</ns0:f>
        <ns0:v>169.62</ns0:v>
      </ns0:c>
      <ns0:c r="E21" s="3">
        <ns0:f>ROUND(E221*E341,2)</ns0:f>
        <ns0:v>200.15</ns0:v>
      </ns0:c>
      <ns0:c r="F21" s="3">
        <ns0:f>ROUND(F221*F341,2)</ns0:f>
        <ns0:v>145.36</ns0:v>
      </ns0:c>
      <ns0:c r="G21" s="3">
        <ns0:f>ROUND(G221*G341,2)</ns0:f>
        <ns0:v>157.18</ns0:v>
      </ns0:c>
      <ns0:c r="H21" s="3">
        <ns0:f>ROUND(H221*H341,2)</ns0:f>
        <ns0:v>90.88</ns0:v>
      </ns0:c>
      <ns0:c r="I21" s="3">
        <ns0:f>ROUND(I221*I341,2)</ns0:f>
        <ns0:v>259.00</ns0:v>
      </ns0:c>
      <ns0:c r="J21" s="3">
        <ns0:f>ROUND(J221*J341,2)</ns0:f>
        <ns0:v>94.01</ns0:v>
      </ns0:c>
      <ns0:c r="K21" s="3">
        <ns0:f>ROUND(K221*K341,2)</ns0:f>
        <ns0:v>485.12</ns0:v>
      </ns0:c>
      <ns0:c r="L21" s="3">
        <ns0:f>ROUND(L221*L341,2)</ns0:f>
        <ns0:v>136.73</ns0:v>
      </ns0:c>
      <ns0:c r="M21" s="3">
        <ns0:f>ROUND(M221*M341,2)</ns0:f>
        <ns0:v>513.12</ns0:v>
      </ns0:c>
      <ns0:c r="N21" s="3">
        <ns0:f>ROUND(N221*N341,2)</ns0:f>
        <ns0:v>133.26</ns0:v>
      </ns0:c>
      <ns0:c r="O21" s="3">
        <ns0:f>SUM(C21:N21)</ns0:f>
        <ns0:v>2560.99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277.81</ns0:v>
      </ns0:c>
      <ns0:c r="D22" s="3">
        <ns0:f>ROUND(D222*D342,2)</ns0:f>
        <ns0:v>123.40</ns0:v>
      </ns0:c>
      <ns0:c r="E22" s="3">
        <ns0:f>ROUND(E222*E342,2)</ns0:f>
        <ns0:v>208.30</ns0:v>
      </ns0:c>
      <ns0:c r="F22" s="3">
        <ns0:f>ROUND(F222*F342,2)</ns0:f>
        <ns0:v>277.36</ns0:v>
      </ns0:c>
      <ns0:c r="G22" s="3">
        <ns0:f>ROUND(G222*G342,2)</ns0:f>
        <ns0:v>481.43</ns0:v>
      </ns0:c>
      <ns0:c r="H22" s="3">
        <ns0:f>ROUND(H222*H342,2)</ns0:f>
        <ns0:v>72.29</ns0:v>
      </ns0:c>
      <ns0:c r="I22" s="3">
        <ns0:f>ROUND(I222*I342,2)</ns0:f>
        <ns0:v>594.56</ns0:v>
      </ns0:c>
      <ns0:c r="J22" s="3">
        <ns0:f>ROUND(J222*J342,2)</ns0:f>
        <ns0:v>167.50</ns0:v>
      </ns0:c>
      <ns0:c r="K22" s="3">
        <ns0:f>ROUND(K222*K342,2)</ns0:f>
        <ns0:v>309.87</ns0:v>
      </ns0:c>
      <ns0:c r="L22" s="3">
        <ns0:f>ROUND(L222*L342,2)</ns0:f>
        <ns0:v>189.15</ns0:v>
      </ns0:c>
      <ns0:c r="M22" s="3">
        <ns0:f>ROUND(M222*M342,2)</ns0:f>
        <ns0:v>226.95</ns0:v>
      </ns0:c>
      <ns0:c r="N22" s="3">
        <ns0:f>ROUND(N222*N342,2)</ns0:f>
        <ns0:v>270.20</ns0:v>
      </ns0:c>
      <ns0:c r="O22" s="3">
        <ns0:f>SUM(C22:N22)</ns0:f>
        <ns0:v>3198.82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281.81</ns0:v>
      </ns0:c>
      <ns0:c r="D23" s="3">
        <ns0:f>ROUND(D223*D343,2)</ns0:f>
        <ns0:v>108.14</ns0:v>
      </ns0:c>
      <ns0:c r="E23" s="3">
        <ns0:f>ROUND(E223*E343,2)</ns0:f>
        <ns0:v>258.83</ns0:v>
      </ns0:c>
      <ns0:c r="F23" s="3">
        <ns0:f>ROUND(F223*F343,2)</ns0:f>
        <ns0:v>273.50</ns0:v>
      </ns0:c>
      <ns0:c r="G23" s="3">
        <ns0:f>ROUND(G223*G343,2)</ns0:f>
        <ns0:v>124.40</ns0:v>
      </ns0:c>
      <ns0:c r="H23" s="3">
        <ns0:f>ROUND(H223*H343,2)</ns0:f>
        <ns0:v>346.02</ns0:v>
      </ns0:c>
      <ns0:c r="I23" s="3">
        <ns0:f>ROUND(I223*I343,2)</ns0:f>
        <ns0:v>145.74</ns0:v>
      </ns0:c>
      <ns0:c r="J23" s="3">
        <ns0:f>ROUND(J223*J343,2)</ns0:f>
        <ns0:v>92.79</ns0:v>
      </ns0:c>
      <ns0:c r="K23" s="3">
        <ns0:f>ROUND(K223*K343,2)</ns0:f>
        <ns0:v>69.90</ns0:v>
      </ns0:c>
      <ns0:c r="L23" s="3">
        <ns0:f>ROUND(L223*L343,2)</ns0:f>
        <ns0:v>367.68</ns0:v>
      </ns0:c>
      <ns0:c r="M23" s="3">
        <ns0:f>ROUND(M223*M343,2)</ns0:f>
        <ns0:v>349.74</ns0:v>
      </ns0:c>
      <ns0:c r="N23" s="3">
        <ns0:f>ROUND(N223*N343,2)</ns0:f>
        <ns0:v>447.41</ns0:v>
      </ns0:c>
      <ns0:c r="O23" s="3">
        <ns0:f>SUM(C23:N23)</ns0:f>
        <ns0:v>2865.96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111.93</ns0:v>
      </ns0:c>
      <ns0:c r="D24" s="3">
        <ns0:f>ROUND(D224*D344,2)</ns0:f>
        <ns0:v>376.91</ns0:v>
      </ns0:c>
      <ns0:c r="E24" s="3">
        <ns0:f>ROUND(E224*E344,2)</ns0:f>
        <ns0:v>538.42</ns0:v>
      </ns0:c>
      <ns0:c r="F24" s="3">
        <ns0:f>ROUND(F224*F344,2)</ns0:f>
        <ns0:v>265.28</ns0:v>
      </ns0:c>
      <ns0:c r="G24" s="3">
        <ns0:f>ROUND(G224*G344,2)</ns0:f>
        <ns0:v>280.89</ns0:v>
      </ns0:c>
      <ns0:c r="H24" s="3">
        <ns0:f>ROUND(H224*H344,2)</ns0:f>
        <ns0:v>97.12</ns0:v>
      </ns0:c>
      <ns0:c r="I24" s="3">
        <ns0:f>ROUND(I224*I344,2)</ns0:f>
        <ns0:v>135.64</ns0:v>
      </ns0:c>
      <ns0:c r="J24" s="3">
        <ns0:f>ROUND(J224*J344,2)</ns0:f>
        <ns0:v>227.78</ns0:v>
      </ns0:c>
      <ns0:c r="K24" s="3">
        <ns0:f>ROUND(K224*K344,2)</ns0:f>
        <ns0:v>151.64</ns0:v>
      </ns0:c>
      <ns0:c r="L24" s="3">
        <ns0:f>ROUND(L224*L344,2)</ns0:f>
        <ns0:v>255.44</ns0:v>
      </ns0:c>
      <ns0:c r="M24" s="3">
        <ns0:f>ROUND(M224*M344,2)</ns0:f>
        <ns0:v>434.00</ns0:v>
      </ns0:c>
      <ns0:c r="N24" s="3">
        <ns0:f>ROUND(N224*N344,2)</ns0:f>
        <ns0:v>577.40</ns0:v>
      </ns0:c>
      <ns0:c r="O24" s="3">
        <ns0:f>SUM(C24:N24)</ns0:f>
        <ns0:v>3452.45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149.48</ns0:v>
      </ns0:c>
      <ns0:c r="D25" s="3">
        <ns0:f>ROUND(D225*D345,2)</ns0:f>
        <ns0:v>367.54</ns0:v>
      </ns0:c>
      <ns0:c r="E25" s="3">
        <ns0:f>ROUND(E225*E345,2)</ns0:f>
        <ns0:v>266.40</ns0:v>
      </ns0:c>
      <ns0:c r="F25" s="3">
        <ns0:f>ROUND(F225*F345,2)</ns0:f>
        <ns0:v>191.49</ns0:v>
      </ns0:c>
      <ns0:c r="G25" s="3">
        <ns0:f>ROUND(G225*G345,2)</ns0:f>
        <ns0:v>97.12</ns0:v>
      </ns0:c>
      <ns0:c r="H25" s="3">
        <ns0:f>ROUND(H225*H345,2)</ns0:f>
        <ns0:v>534.86</ns0:v>
      </ns0:c>
      <ns0:c r="I25" s="3">
        <ns0:f>ROUND(I225*I345,2)</ns0:f>
        <ns0:v>159.22</ns0:v>
      </ns0:c>
      <ns0:c r="J25" s="3">
        <ns0:f>ROUND(J225*J345,2)</ns0:f>
        <ns0:v>275.23</ns0:v>
      </ns0:c>
      <ns0:c r="K25" s="3">
        <ns0:f>ROUND(K225*K345,2)</ns0:f>
        <ns0:v>260.80</ns0:v>
      </ns0:c>
      <ns0:c r="L25" s="3">
        <ns0:f>ROUND(L225*L345,2)</ns0:f>
        <ns0:v>102.68</ns0:v>
      </ns0:c>
      <ns0:c r="M25" s="3">
        <ns0:f>ROUND(M225*M345,2)</ns0:f>
        <ns0:v>581.22</ns0:v>
      </ns0:c>
      <ns0:c r="N25" s="3">
        <ns0:f>ROUND(N225*N345,2)</ns0:f>
        <ns0:v>370.48</ns0:v>
      </ns0:c>
      <ns0:c r="O25" s="3">
        <ns0:f>SUM(C25:N25)</ns0:f>
        <ns0:v>3356.52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311.31</ns0:v>
      </ns0:c>
      <ns0:c r="D26" s="3">
        <ns0:f>ROUND(D226*D346,2)</ns0:f>
        <ns0:v>212.65</ns0:v>
      </ns0:c>
      <ns0:c r="E26" s="3">
        <ns0:f>ROUND(E226*E346,2)</ns0:f>
        <ns0:v>120.22</ns0:v>
      </ns0:c>
      <ns0:c r="F26" s="3">
        <ns0:f>ROUND(F226*F346,2)</ns0:f>
        <ns0:v>116.28</ns0:v>
      </ns0:c>
      <ns0:c r="G26" s="3">
        <ns0:f>ROUND(G226*G346,2)</ns0:f>
        <ns0:v>150.36</ns0:v>
      </ns0:c>
      <ns0:c r="H26" s="3">
        <ns0:f>ROUND(H226*H346,2)</ns0:f>
        <ns0:v>154.53</ns0:v>
      </ns0:c>
      <ns0:c r="I26" s="3">
        <ns0:f>ROUND(I226*I346,2)</ns0:f>
        <ns0:v>160.57</ns0:v>
      </ns0:c>
      <ns0:c r="J26" s="3">
        <ns0:f>ROUND(J226*J346,2)</ns0:f>
        <ns0:v>71.26</ns0:v>
      </ns0:c>
      <ns0:c r="K26" s="3">
        <ns0:f>ROUND(K226*K346,2)</ns0:f>
        <ns0:v>289.74</ns0:v>
      </ns0:c>
      <ns0:c r="L26" s="3">
        <ns0:f>ROUND(L226*L346,2)</ns0:f>
        <ns0:v>60.79</ns0:v>
      </ns0:c>
      <ns0:c r="M26" s="3">
        <ns0:f>ROUND(M226*M346,2)</ns0:f>
        <ns0:v>271.73</ns0:v>
      </ns0:c>
      <ns0:c r="N26" s="3">
        <ns0:f>ROUND(N226*N346,2)</ns0:f>
        <ns0:v>235.25</ns0:v>
      </ns0:c>
      <ns0:c r="O26" s="3">
        <ns0:f>SUM(C26:N26)</ns0:f>
        <ns0:v>2154.69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288.36</ns0:v>
      </ns0:c>
      <ns0:c r="D27" s="3">
        <ns0:f>ROUND(D227*D347,2)</ns0:f>
        <ns0:v>177.55</ns0:v>
      </ns0:c>
      <ns0:c r="E27" s="3">
        <ns0:f>ROUND(E227*E347,2)</ns0:f>
        <ns0:v>121.01</ns0:v>
      </ns0:c>
      <ns0:c r="F27" s="3">
        <ns0:f>ROUND(F227*F347,2)</ns0:f>
        <ns0:v>485.49</ns0:v>
      </ns0:c>
      <ns0:c r="G27" s="3">
        <ns0:f>ROUND(G227*G347,2)</ns0:f>
        <ns0:v>68.95</ns0:v>
      </ns0:c>
      <ns0:c r="H27" s="3">
        <ns0:f>ROUND(H227*H347,2)</ns0:f>
        <ns0:v>388.57</ns0:v>
      </ns0:c>
      <ns0:c r="I27" s="3">
        <ns0:f>ROUND(I227*I347,2)</ns0:f>
        <ns0:v>464.50</ns0:v>
      </ns0:c>
      <ns0:c r="J27" s="3">
        <ns0:f>ROUND(J227*J347,2)</ns0:f>
        <ns0:v>184.78</ns0:v>
      </ns0:c>
      <ns0:c r="K27" s="3">
        <ns0:f>ROUND(K227*K347,2)</ns0:f>
        <ns0:v>111.84</ns0:v>
      </ns0:c>
      <ns0:c r="L27" s="3">
        <ns0:f>ROUND(L227*L347,2)</ns0:f>
        <ns0:v>292.75</ns0:v>
      </ns0:c>
      <ns0:c r="M27" s="3">
        <ns0:f>ROUND(M227*M347,2)</ns0:f>
        <ns0:v>210.18</ns0:v>
      </ns0:c>
      <ns0:c r="N27" s="3">
        <ns0:f>ROUND(N227*N347,2)</ns0:f>
        <ns0:v>327.94</ns0:v>
      </ns0:c>
      <ns0:c r="O27" s="3">
        <ns0:f>SUM(C27:N27)</ns0:f>
        <ns0:v>3121.92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139.41</ns0:v>
      </ns0:c>
      <ns0:c r="D28" s="3">
        <ns0:f>ROUND(D228*D348,2)</ns0:f>
        <ns0:v>228.03</ns0:v>
      </ns0:c>
      <ns0:c r="E28" s="3">
        <ns0:f>ROUND(E228*E348,2)</ns0:f>
        <ns0:v>230.16</ns0:v>
      </ns0:c>
      <ns0:c r="F28" s="3">
        <ns0:f>ROUND(F228*F348,2)</ns0:f>
        <ns0:v>150.35</ns0:v>
      </ns0:c>
      <ns0:c r="G28" s="3">
        <ns0:f>ROUND(G228*G348,2)</ns0:f>
        <ns0:v>204.54</ns0:v>
      </ns0:c>
      <ns0:c r="H28" s="3">
        <ns0:f>ROUND(H228*H348,2)</ns0:f>
        <ns0:v>187.63</ns0:v>
      </ns0:c>
      <ns0:c r="I28" s="3">
        <ns0:f>ROUND(I228*I348,2)</ns0:f>
        <ns0:v>368.04</ns0:v>
      </ns0:c>
      <ns0:c r="J28" s="3">
        <ns0:f>ROUND(J228*J348,2)</ns0:f>
        <ns0:v>351.42</ns0:v>
      </ns0:c>
      <ns0:c r="K28" s="3">
        <ns0:f>ROUND(K228*K348,2)</ns0:f>
        <ns0:v>278.71</ns0:v>
      </ns0:c>
      <ns0:c r="L28" s="3">
        <ns0:f>ROUND(L228*L348,2)</ns0:f>
        <ns0:v>510.05</ns0:v>
      </ns0:c>
      <ns0:c r="M28" s="3">
        <ns0:f>ROUND(M228*M348,2)</ns0:f>
        <ns0:v>121.83</ns0:v>
      </ns0:c>
      <ns0:c r="N28" s="3">
        <ns0:f>ROUND(N228*N348,2)</ns0:f>
        <ns0:v>270.69</ns0:v>
      </ns0:c>
      <ns0:c r="O28" s="3">
        <ns0:f>SUM(C28:N28)</ns0:f>
        <ns0:v>3040.86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333.81</ns0:v>
      </ns0:c>
      <ns0:c r="D30" s="6">
        <ns0:f>ROUND(D230*D350,2)</ns0:f>
        <ns0:v>118.10</ns0:v>
      </ns0:c>
      <ns0:c r="E30" s="6">
        <ns0:f>ROUND(E230*E350,2)</ns0:f>
        <ns0:v>149.54</ns0:v>
      </ns0:c>
      <ns0:c r="F30" s="6">
        <ns0:f>ROUND(F230*F350,2)</ns0:f>
        <ns0:v>323.70</ns0:v>
      </ns0:c>
      <ns0:c r="G30" s="6">
        <ns0:f>ROUND(G230*G350,2)</ns0:f>
        <ns0:v>171.60</ns0:v>
      </ns0:c>
      <ns0:c r="H30" s="6">
        <ns0:f>ROUND(H230*H350,2)</ns0:f>
        <ns0:v>444.78</ns0:v>
      </ns0:c>
      <ns0:c r="I30" s="6">
        <ns0:f>ROUND(I230*I350,2)</ns0:f>
        <ns0:v>235.36</ns0:v>
      </ns0:c>
      <ns0:c r="J30" s="6">
        <ns0:f>ROUND(J230*J350,2)</ns0:f>
        <ns0:v>205.90</ns0:v>
      </ns0:c>
      <ns0:c r="K30" s="6">
        <ns0:f>ROUND(K230*K350,2)</ns0:f>
        <ns0:v>140.63</ns0:v>
      </ns0:c>
      <ns0:c r="L30" s="6">
        <ns0:f>ROUND(L230*L350,2)</ns0:f>
        <ns0:v>352.73</ns0:v>
      </ns0:c>
      <ns0:c r="M30" s="6">
        <ns0:f>ROUND(M230*M350,2)</ns0:f>
        <ns0:v>123.86</ns0:v>
      </ns0:c>
      <ns0:c r="N30" s="6">
        <ns0:f>ROUND(N230*N350,2)</ns0:f>
        <ns0:v>185.95</ns0:v>
      </ns0:c>
      <ns0:c r="O30" s="6">
        <ns0:f>SUM(C30:N30)</ns0:f>
        <ns0:v>2785.96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140.07</ns0:v>
      </ns0:c>
      <ns0:c r="D31" s="3">
        <ns0:f>ROUND(D231*D351,2)</ns0:f>
        <ns0:v>204.50</ns0:v>
      </ns0:c>
      <ns0:c r="E31" s="3">
        <ns0:f>ROUND(E231*E351,2)</ns0:f>
        <ns0:v>165.01</ns0:v>
      </ns0:c>
      <ns0:c r="F31" s="3">
        <ns0:f>ROUND(F231*F351,2)</ns0:f>
        <ns0:v>304.74</ns0:v>
      </ns0:c>
      <ns0:c r="G31" s="3">
        <ns0:f>ROUND(G231*G351,2)</ns0:f>
        <ns0:v>152.58</ns0:v>
      </ns0:c>
      <ns0:c r="H31" s="3">
        <ns0:f>ROUND(H231*H351,2)</ns0:f>
        <ns0:v>252.81</ns0:v>
      </ns0:c>
      <ns0:c r="I31" s="3">
        <ns0:f>ROUND(I231*I351,2)</ns0:f>
        <ns0:v>167.69</ns0:v>
      </ns0:c>
      <ns0:c r="J31" s="3">
        <ns0:f>ROUND(J231*J351,2)</ns0:f>
        <ns0:v>77.26</ns0:v>
      </ns0:c>
      <ns0:c r="K31" s="3">
        <ns0:f>ROUND(K231*K351,2)</ns0:f>
        <ns0:v>395.03</ns0:v>
      </ns0:c>
      <ns0:c r="L31" s="3">
        <ns0:f>ROUND(L231*L351,2)</ns0:f>
        <ns0:v>115.21</ns0:v>
      </ns0:c>
      <ns0:c r="M31" s="3">
        <ns0:f>ROUND(M231*M351,2)</ns0:f>
        <ns0:v>229.84</ns0:v>
      </ns0:c>
      <ns0:c r="N31" s="3">
        <ns0:f>ROUND(N231*N351,2)</ns0:f>
        <ns0:v>124.05</ns0:v>
      </ns0:c>
      <ns0:c r="O31" s="3">
        <ns0:f>SUM(C31:N31)</ns0:f>
        <ns0:v>2328.79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234.75</ns0:v>
      </ns0:c>
      <ns0:c r="D32" s="3">
        <ns0:f>ROUND(D232*D352,2)</ns0:f>
        <ns0:v>419.53</ns0:v>
      </ns0:c>
      <ns0:c r="E32" s="3">
        <ns0:f>ROUND(E232*E352,2)</ns0:f>
        <ns0:v>187.55</ns0:v>
      </ns0:c>
      <ns0:c r="F32" s="3">
        <ns0:f>ROUND(F232*F352,2)</ns0:f>
        <ns0:v>430.36</ns0:v>
      </ns0:c>
      <ns0:c r="G32" s="3">
        <ns0:f>ROUND(G232*G352,2)</ns0:f>
        <ns0:v>184.47</ns0:v>
      </ns0:c>
      <ns0:c r="H32" s="3">
        <ns0:f>ROUND(H232*H352,2)</ns0:f>
        <ns0:v>143.38</ns0:v>
      </ns0:c>
      <ns0:c r="I32" s="3">
        <ns0:f>ROUND(I232*I352,2)</ns0:f>
        <ns0:v>65.67</ns0:v>
      </ns0:c>
      <ns0:c r="J32" s="3">
        <ns0:f>ROUND(J232*J352,2)</ns0:f>
        <ns0:v>364.39</ns0:v>
      </ns0:c>
      <ns0:c r="K32" s="3">
        <ns0:f>ROUND(K232*K352,2)</ns0:f>
        <ns0:v>150.54</ns0:v>
      </ns0:c>
      <ns0:c r="L32" s="3">
        <ns0:f>ROUND(L232*L352,2)</ns0:f>
        <ns0:v>265.51</ns0:v>
      </ns0:c>
      <ns0:c r="M32" s="3">
        <ns0:f>ROUND(M232*M352,2)</ns0:f>
        <ns0:v>156.36</ns0:v>
      </ns0:c>
      <ns0:c r="N32" s="3">
        <ns0:f>ROUND(N232*N352,2)</ns0:f>
        <ns0:v>261.28</ns0:v>
      </ns0:c>
      <ns0:c r="O32" s="3">
        <ns0:f>SUM(C32:N32)</ns0:f>
        <ns0:v>2863.79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224.72</ns0:v>
      </ns0:c>
      <ns0:c r="D33" s="3">
        <ns0:f>ROUND(D233*D353,2)</ns0:f>
        <ns0:v>366.77</ns0:v>
      </ns0:c>
      <ns0:c r="E33" s="3">
        <ns0:f>ROUND(E233*E353,2)</ns0:f>
        <ns0:v>129.43</ns0:v>
      </ns0:c>
      <ns0:c r="F33" s="3">
        <ns0:f>ROUND(F233*F353,2)</ns0:f>
        <ns0:v>109.78</ns0:v>
      </ns0:c>
      <ns0:c r="G33" s="3">
        <ns0:f>ROUND(G233*G353,2)</ns0:f>
        <ns0:v>131.06</ns0:v>
      </ns0:c>
      <ns0:c r="H33" s="3">
        <ns0:f>ROUND(H233*H353,2)</ns0:f>
        <ns0:v>119.18</ns0:v>
      </ns0:c>
      <ns0:c r="I33" s="3">
        <ns0:f>ROUND(I233*I353,2)</ns0:f>
        <ns0:v>119.28</ns0:v>
      </ns0:c>
      <ns0:c r="J33" s="3">
        <ns0:f>ROUND(J233*J353,2)</ns0:f>
        <ns0:v>200.61</ns0:v>
      </ns0:c>
      <ns0:c r="K33" s="3">
        <ns0:f>ROUND(K233*K353,2)</ns0:f>
        <ns0:v>296.45</ns0:v>
      </ns0:c>
      <ns0:c r="L33" s="3">
        <ns0:f>ROUND(L233*L353,2)</ns0:f>
        <ns0:v>153.30</ns0:v>
      </ns0:c>
      <ns0:c r="M33" s="3">
        <ns0:f>ROUND(M233*M353,2)</ns0:f>
        <ns0:v>64.86</ns0:v>
      </ns0:c>
      <ns0:c r="N33" s="3">
        <ns0:f>ROUND(N233*N353,2)</ns0:f>
        <ns0:v>156.97</ns0:v>
      </ns0:c>
      <ns0:c r="O33" s="3">
        <ns0:f>SUM(C33:N33)</ns0:f>
        <ns0:v>2072.41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7271.03</ns0:v>
      </ns0:c>
      <ns0:c r="D34" s="3">
        <ns0:f>SUM(D4:D33)</ns0:f>
        <ns0:v>6631.47</ns0:v>
      </ns0:c>
      <ns0:c r="E34" s="3">
        <ns0:f>SUM(E4:E33)</ns0:f>
        <ns0:v>7576.39</ns0:v>
      </ns0:c>
      <ns0:c r="F34" s="3">
        <ns0:f>SUM(F4:F33)</ns0:f>
        <ns0:v>8089.77</ns0:v>
      </ns0:c>
      <ns0:c r="G34" s="3">
        <ns0:f>SUM(G4:G33)</ns0:f>
        <ns0:v>6914.74</ns0:v>
      </ns0:c>
      <ns0:c r="H34" s="3">
        <ns0:f>SUM(H4:H33)</ns0:f>
        <ns0:v>7418.12</ns0:v>
      </ns0:c>
      <ns0:c r="I34" s="3">
        <ns0:f>SUM(I4:I33)</ns0:f>
        <ns0:v>7670.24</ns0:v>
      </ns0:c>
      <ns0:c r="J34" s="3">
        <ns0:f>SUM(J4:J33)</ns0:f>
        <ns0:v>6591.82</ns0:v>
      </ns0:c>
      <ns0:c r="K34" s="3">
        <ns0:f>SUM(K4:K33)</ns0:f>
        <ns0:v>8436.13</ns0:v>
      </ns0:c>
      <ns0:c r="L34" s="3">
        <ns0:f>SUM(L4:L33)</ns0:f>
        <ns0:v>6754.60</ns0:v>
      </ns0:c>
      <ns0:c r="M34" s="3">
        <ns0:f>SUM(M4:M33)</ns0:f>
        <ns0:v>7820.04</ns0:v>
      </ns0:c>
      <ns0:c r="N34" s="3">
        <ns0:f>SUM(N4:N33)</ns0:f>
        <ns0:v>8146.69</ns0:v>
      </ns0:c>
      <ns0:c r="O34" s="3">
        <ns0:f>SUM(C34:N34)</ns0:f>
        <ns0:v>89321.04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37.95</ns0:v>
      </ns0:c>
      <ns0:c r="D204" s="4">
        <ns0:v>27.97</ns0:v>
      </ns0:c>
      <ns0:c r="E204" s="4">
        <ns0:v>37.25</ns0:v>
      </ns0:c>
      <ns0:c r="F204" s="4">
        <ns0:v>66.55</ns0:v>
      </ns0:c>
      <ns0:c r="G204" s="4">
        <ns0:v>47.26</ns0:v>
      </ns0:c>
      <ns0:c r="H204" s="4">
        <ns0:v>54.21</ns0:v>
      </ns0:c>
      <ns0:c r="I204" s="4">
        <ns0:v>65.27</ns0:v>
      </ns0:c>
      <ns0:c r="J204" s="4">
        <ns0:v>19.78</ns0:v>
      </ns0:c>
      <ns0:c r="K204" s="4">
        <ns0:v>48.97</ns0:v>
      </ns0:c>
      <ns0:c r="L204" s="4">
        <ns0:v>40.25</ns0:v>
      </ns0:c>
      <ns0:c r="M204" s="4">
        <ns0:v>31.15</ns0:v>
      </ns0:c>
      <ns0:c r="N204" s="4">
        <ns0:v>29.48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60.19</ns0:v>
      </ns0:c>
      <ns0:c r="D205" s="4">
        <ns0:v>47.37</ns0:v>
      </ns0:c>
      <ns0:c r="E205" s="4">
        <ns0:v>64.29</ns0:v>
      </ns0:c>
      <ns0:c r="F205" s="4">
        <ns0:v>64.45</ns0:v>
      </ns0:c>
      <ns0:c r="G205" s="4">
        <ns0:v>60.56</ns0:v>
      </ns0:c>
      <ns0:c r="H205" s="4">
        <ns0:v>58.58</ns0:v>
      </ns0:c>
      <ns0:c r="I205" s="4">
        <ns0:v>15.92</ns0:v>
      </ns0:c>
      <ns0:c r="J205" s="4">
        <ns0:v>33.55</ns0:v>
      </ns0:c>
      <ns0:c r="K205" s="4">
        <ns0:v>47.76</ns0:v>
      </ns0:c>
      <ns0:c r="L205" s="4">
        <ns0:v>34.42</ns0:v>
      </ns0:c>
      <ns0:c r="M205" s="4">
        <ns0:v>23.98</ns0:v>
      </ns0:c>
      <ns0:c r="N205" s="4">
        <ns0:v>24.10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20.39</ns0:v>
      </ns0:c>
      <ns0:c r="D206" s="4">
        <ns0:v>28.56</ns0:v>
      </ns0:c>
      <ns0:c r="E206" s="4">
        <ns0:v>16.54</ns0:v>
      </ns0:c>
      <ns0:c r="F206" s="4">
        <ns0:v>31.28</ns0:v>
      </ns0:c>
      <ns0:c r="G206" s="4">
        <ns0:v>64.77</ns0:v>
      </ns0:c>
      <ns0:c r="H206" s="4">
        <ns0:v>50.72</ns0:v>
      </ns0:c>
      <ns0:c r="I206" s="4">
        <ns0:v>63.65</ns0:v>
      </ns0:c>
      <ns0:c r="J206" s="4">
        <ns0:v>45.95</ns0:v>
      </ns0:c>
      <ns0:c r="K206" s="4">
        <ns0:v>33.29</ns0:v>
      </ns0:c>
      <ns0:c r="L206" s="4">
        <ns0:v>41.09</ns0:v>
      </ns0:c>
      <ns0:c r="M206" s="4">
        <ns0:v>26.17</ns0:v>
      </ns0:c>
      <ns0:c r="N206" s="4">
        <ns0:v>50.65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48.32</ns0:v>
      </ns0:c>
      <ns0:c r="D207" s="4">
        <ns0:v>22.29</ns0:v>
      </ns0:c>
      <ns0:c r="E207" s="4">
        <ns0:v>21.79</ns0:v>
      </ns0:c>
      <ns0:c r="F207" s="4">
        <ns0:v>63.36</ns0:v>
      </ns0:c>
      <ns0:c r="G207" s="4">
        <ns0:v>30.87</ns0:v>
      </ns0:c>
      <ns0:c r="H207" s="4">
        <ns0:v>51.12</ns0:v>
      </ns0:c>
      <ns0:c r="I207" s="4">
        <ns0:v>48.33</ns0:v>
      </ns0:c>
      <ns0:c r="J207" s="4">
        <ns0:v>24.18</ns0:v>
      </ns0:c>
      <ns0:c r="K207" s="4">
        <ns0:v>54.82</ns0:v>
      </ns0:c>
      <ns0:c r="L207" s="4">
        <ns0:v>53.65</ns0:v>
      </ns0:c>
      <ns0:c r="M207" s="4">
        <ns0:v>51.60</ns0:v>
      </ns0:c>
      <ns0:c r="N207" s="4">
        <ns0:v>65.77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40.62</ns0:v>
      </ns0:c>
      <ns0:c r="D208" s="4">
        <ns0:v>52.50</ns0:v>
      </ns0:c>
      <ns0:c r="E208" s="4">
        <ns0:v>68.28</ns0:v>
      </ns0:c>
      <ns0:c r="F208" s="4">
        <ns0:v>45.19</ns0:v>
      </ns0:c>
      <ns0:c r="G208" s="4">
        <ns0:v>40.61</ns0:v>
      </ns0:c>
      <ns0:c r="H208" s="4">
        <ns0:v>32.73</ns0:v>
      </ns0:c>
      <ns0:c r="I208" s="4">
        <ns0:v>22.53</ns0:v>
      </ns0:c>
      <ns0:c r="J208" s="4">
        <ns0:v>22.42</ns0:v>
      </ns0:c>
      <ns0:c r="K208" s="4">
        <ns0:v>59.32</ns0:v>
      </ns0:c>
      <ns0:c r="L208" s="4">
        <ns0:v>22.28</ns0:v>
      </ns0:c>
      <ns0:c r="M208" s="4">
        <ns0:v>28.14</ns0:v>
      </ns0:c>
      <ns0:c r="N208" s="4">
        <ns0:v>32.39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19.10</ns0:v>
      </ns0:c>
      <ns0:c r="D209" s="4">
        <ns0:v>30.19</ns0:v>
      </ns0:c>
      <ns0:c r="E209" s="4">
        <ns0:v>41.18</ns0:v>
      </ns0:c>
      <ns0:c r="F209" s="4">
        <ns0:v>72.17</ns0:v>
      </ns0:c>
      <ns0:c r="G209" s="4">
        <ns0:v>23.05</ns0:v>
      </ns0:c>
      <ns0:c r="H209" s="4">
        <ns0:v>47.29</ns0:v>
      </ns0:c>
      <ns0:c r="I209" s="4">
        <ns0:v>50.31</ns0:v>
      </ns0:c>
      <ns0:c r="J209" s="4">
        <ns0:v>18.11</ns0:v>
      </ns0:c>
      <ns0:c r="K209" s="4">
        <ns0:v>25.21</ns0:v>
      </ns0:c>
      <ns0:c r="L209" s="4">
        <ns0:v>65.60</ns0:v>
      </ns0:c>
      <ns0:c r="M209" s="4">
        <ns0:v>36.08</ns0:v>
      </ns0:c>
      <ns0:c r="N209" s="4">
        <ns0:v>65.97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65.74</ns0:v>
      </ns0:c>
      <ns0:c r="D210" s="4">
        <ns0:v>49.49</ns0:v>
      </ns0:c>
      <ns0:c r="E210" s="4">
        <ns0:v>57.50</ns0:v>
      </ns0:c>
      <ns0:c r="F210" s="4">
        <ns0:v>46.76</ns0:v>
      </ns0:c>
      <ns0:c r="G210" s="4">
        <ns0:v>26.16</ns0:v>
      </ns0:c>
      <ns0:c r="H210" s="4">
        <ns0:v>29.45</ns0:v>
      </ns0:c>
      <ns0:c r="I210" s="4">
        <ns0:v>41.59</ns0:v>
      </ns0:c>
      <ns0:c r="J210" s="4">
        <ns0:v>21.37</ns0:v>
      </ns0:c>
      <ns0:c r="K210" s="4">
        <ns0:v>51.95</ns0:v>
      </ns0:c>
      <ns0:c r="L210" s="4">
        <ns0:v>33.67</ns0:v>
      </ns0:c>
      <ns0:c r="M210" s="4">
        <ns0:v>38.59</ns0:v>
      </ns0:c>
      <ns0:c r="N210" s="4">
        <ns0:v>48.44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52.06</ns0:v>
      </ns0:c>
      <ns0:c r="D211" s="4">
        <ns0:v>50.88</ns0:v>
      </ns0:c>
      <ns0:c r="E211" s="4">
        <ns0:v>48.24</ns0:v>
      </ns0:c>
      <ns0:c r="F211" s="4">
        <ns0:v>40.62</ns0:v>
      </ns0:c>
      <ns0:c r="G211" s="4">
        <ns0:v>15.97</ns0:v>
      </ns0:c>
      <ns0:c r="H211" s="4">
        <ns0:v>56.98</ns0:v>
      </ns0:c>
      <ns0:c r="I211" s="4">
        <ns0:v>58.08</ns0:v>
      </ns0:c>
      <ns0:c r="J211" s="4">
        <ns0:v>36.47</ns0:v>
      </ns0:c>
      <ns0:c r="K211" s="4">
        <ns0:v>33.95</ns0:v>
      </ns0:c>
      <ns0:c r="L211" s="4">
        <ns0:v>31.57</ns0:v>
      </ns0:c>
      <ns0:c r="M211" s="4">
        <ns0:v>41.90</ns0:v>
      </ns0:c>
      <ns0:c r="N211" s="4">
        <ns0:v>59.96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59.84</ns0:v>
      </ns0:c>
      <ns0:c r="D212" s="4">
        <ns0:v>21.80</ns0:v>
      </ns0:c>
      <ns0:c r="E212" s="4">
        <ns0:v>55.55</ns0:v>
      </ns0:c>
      <ns0:c r="F212" s="4">
        <ns0:v>71.85</ns0:v>
      </ns0:c>
      <ns0:c r="G212" s="4">
        <ns0:v>52.21</ns0:v>
      </ns0:c>
      <ns0:c r="H212" s="4">
        <ns0:v>58.73</ns0:v>
      </ns0:c>
      <ns0:c r="I212" s="4">
        <ns0:v>61.19</ns0:v>
      </ns0:c>
      <ns0:c r="J212" s="4">
        <ns0:v>58.09</ns0:v>
      </ns0:c>
      <ns0:c r="K212" s="4">
        <ns0:v>56.09</ns0:v>
      </ns0:c>
      <ns0:c r="L212" s="4">
        <ns0:v>36.96</ns0:v>
      </ns0:c>
      <ns0:c r="M212" s="4">
        <ns0:v>58.17</ns0:v>
      </ns0:c>
      <ns0:c r="N212" s="4">
        <ns0:v>29.59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68.49</ns0:v>
      </ns0:c>
      <ns0:c r="D213" s="4">
        <ns0:v>70.37</ns0:v>
      </ns0:c>
      <ns0:c r="E213" s="4">
        <ns0:v>49.35</ns0:v>
      </ns0:c>
      <ns0:c r="F213" s="4">
        <ns0:v>20.73</ns0:v>
      </ns0:c>
      <ns0:c r="G213" s="4">
        <ns0:v>57.09</ns0:v>
      </ns0:c>
      <ns0:c r="H213" s="4">
        <ns0:v>33.58</ns0:v>
      </ns0:c>
      <ns0:c r="I213" s="4">
        <ns0:v>62.96</ns0:v>
      </ns0:c>
      <ns0:c r="J213" s="4">
        <ns0:v>70.57</ns0:v>
      </ns0:c>
      <ns0:c r="K213" s="4">
        <ns0:v>55.22</ns0:v>
      </ns0:c>
      <ns0:c r="L213" s="4">
        <ns0:v>47.75</ns0:v>
      </ns0:c>
      <ns0:c r="M213" s="4">
        <ns0:v>49.83</ns0:v>
      </ns0:c>
      <ns0:c r="N213" s="4">
        <ns0:v>48.85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51.84</ns0:v>
      </ns0:c>
      <ns0:c r="D214" s="4">
        <ns0:v>53.48</ns0:v>
      </ns0:c>
      <ns0:c r="E214" s="4">
        <ns0:v>27.06</ns0:v>
      </ns0:c>
      <ns0:c r="F214" s="4">
        <ns0:v>66.76</ns0:v>
      </ns0:c>
      <ns0:c r="G214" s="4">
        <ns0:v>34.73</ns0:v>
      </ns0:c>
      <ns0:c r="H214" s="4">
        <ns0:v>51.13</ns0:v>
      </ns0:c>
      <ns0:c r="I214" s="4">
        <ns0:v>17.46</ns0:v>
      </ns0:c>
      <ns0:c r="J214" s="4">
        <ns0:v>71.82</ns0:v>
      </ns0:c>
      <ns0:c r="K214" s="4">
        <ns0:v>55.90</ns0:v>
      </ns0:c>
      <ns0:c r="L214" s="4">
        <ns0:v>51.85</ns0:v>
      </ns0:c>
      <ns0:c r="M214" s="4">
        <ns0:v>19.05</ns0:v>
      </ns0:c>
      <ns0:c r="N214" s="4">
        <ns0:v>31.61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61.22</ns0:v>
      </ns0:c>
      <ns0:c r="D215" s="4">
        <ns0:v>45.32</ns0:v>
      </ns0:c>
      <ns0:c r="E215" s="4">
        <ns0:v>26.14</ns0:v>
      </ns0:c>
      <ns0:c r="F215" s="4">
        <ns0:v>27.25</ns0:v>
      </ns0:c>
      <ns0:c r="G215" s="4">
        <ns0:v>58.78</ns0:v>
      </ns0:c>
      <ns0:c r="H215" s="4">
        <ns0:v>30.93</ns0:v>
      </ns0:c>
      <ns0:c r="I215" s="4">
        <ns0:v>56.27</ns0:v>
      </ns0:c>
      <ns0:c r="J215" s="4">
        <ns0:v>65.11</ns0:v>
      </ns0:c>
      <ns0:c r="K215" s="4">
        <ns0:v>65.06</ns0:v>
      </ns0:c>
      <ns0:c r="L215" s="4">
        <ns0:v>67.29</ns0:v>
      </ns0:c>
      <ns0:c r="M215" s="4">
        <ns0:v>22.07</ns0:v>
      </ns0:c>
      <ns0:c r="N215" s="4">
        <ns0:v>22.95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72.09</ns0:v>
      </ns0:c>
      <ns0:c r="D216" s="4">
        <ns0:v>35.60</ns0:v>
      </ns0:c>
      <ns0:c r="E216" s="4">
        <ns0:v>32.42</ns0:v>
      </ns0:c>
      <ns0:c r="F216" s="4">
        <ns0:v>50.88</ns0:v>
      </ns0:c>
      <ns0:c r="G216" s="4">
        <ns0:v>44.99</ns0:v>
      </ns0:c>
      <ns0:c r="H216" s="4">
        <ns0:v>77.41</ns0:v>
      </ns0:c>
      <ns0:c r="I216" s="4">
        <ns0:v>46.12</ns0:v>
      </ns0:c>
      <ns0:c r="J216" s="4">
        <ns0:v>50.92</ns0:v>
      </ns0:c>
      <ns0:c r="K216" s="4">
        <ns0:v>60.17</ns0:v>
      </ns0:c>
      <ns0:c r="L216" s="4">
        <ns0:v>23.47</ns0:v>
      </ns0:c>
      <ns0:c r="M216" s="4">
        <ns0:v>42.97</ns0:v>
      </ns0:c>
      <ns0:c r="N216" s="4">
        <ns0:v>57.21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70.42</ns0:v>
      </ns0:c>
      <ns0:c r="D217" s="4">
        <ns0:v>54.69</ns0:v>
      </ns0:c>
      <ns0:c r="E217" s="4">
        <ns0:v>51.57</ns0:v>
      </ns0:c>
      <ns0:c r="F217" s="4">
        <ns0:v>49.17</ns0:v>
      </ns0:c>
      <ns0:c r="G217" s="4">
        <ns0:v>31.43</ns0:v>
      </ns0:c>
      <ns0:c r="H217" s="4">
        <ns0:v>25.85</ns0:v>
      </ns0:c>
      <ns0:c r="I217" s="4">
        <ns0:v>19.23</ns0:v>
      </ns0:c>
      <ns0:c r="J217" s="4">
        <ns0:v>30.08</ns0:v>
      </ns0:c>
      <ns0:c r="K217" s="4">
        <ns0:v>25.88</ns0:v>
      </ns0:c>
      <ns0:c r="L217" s="4">
        <ns0:v>62.38</ns0:v>
      </ns0:c>
      <ns0:c r="M217" s="4">
        <ns0:v>54.77</ns0:v>
      </ns0:c>
      <ns0:c r="N217" s="4">
        <ns0:v>57.43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41.40</ns0:v>
      </ns0:c>
      <ns0:c r="D218" s="4">
        <ns0:v>48.05</ns0:v>
      </ns0:c>
      <ns0:c r="E218" s="4">
        <ns0:v>47.99</ns0:v>
      </ns0:c>
      <ns0:c r="F218" s="4">
        <ns0:v>25.81</ns0:v>
      </ns0:c>
      <ns0:c r="G218" s="4">
        <ns0:v>45.71</ns0:v>
      </ns0:c>
      <ns0:c r="H218" s="4">
        <ns0:v>28.17</ns0:v>
      </ns0:c>
      <ns0:c r="I218" s="4">
        <ns0:v>58.49</ns0:v>
      </ns0:c>
      <ns0:c r="J218" s="4">
        <ns0:v>36.97</ns0:v>
      </ns0:c>
      <ns0:c r="K218" s="4">
        <ns0:v>68.08</ns0:v>
      </ns0:c>
      <ns0:c r="L218" s="4">
        <ns0:v>61.42</ns0:v>
      </ns0:c>
      <ns0:c r="M218" s="4">
        <ns0:v>44.09</ns0:v>
      </ns0:c>
      <ns0:c r="N218" s="4">
        <ns0:v>65.43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25.02</ns0:v>
      </ns0:c>
      <ns0:c r="D219" s="4">
        <ns0:v>19.93</ns0:v>
      </ns0:c>
      <ns0:c r="E219" s="4">
        <ns0:v>33.74</ns0:v>
      </ns0:c>
      <ns0:c r="F219" s="4">
        <ns0:v>34.40</ns0:v>
      </ns0:c>
      <ns0:c r="G219" s="4">
        <ns0:v>17.35</ns0:v>
      </ns0:c>
      <ns0:c r="H219" s="4">
        <ns0:v>52.26</ns0:v>
      </ns0:c>
      <ns0:c r="I219" s="4">
        <ns0:v>47.26</ns0:v>
      </ns0:c>
      <ns0:c r="J219" s="4">
        <ns0:v>23.71</ns0:v>
      </ns0:c>
      <ns0:c r="K219" s="4">
        <ns0:v>66.72</ns0:v>
      </ns0:c>
      <ns0:c r="L219" s="4">
        <ns0:v>64.15</ns0:v>
      </ns0:c>
      <ns0:c r="M219" s="4">
        <ns0:v>42.24</ns0:v>
      </ns0:c>
      <ns0:c r="N219" s="4">
        <ns0:v>68.55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22.90</ns0:v>
      </ns0:c>
      <ns0:c r="D221" s="4">
        <ns0:v>36.40</ns0:v>
      </ns0:c>
      <ns0:c r="E221" s="4">
        <ns0:v>32.92</ns0:v>
      </ns0:c>
      <ns0:c r="F221" s="4">
        <ns0:v>42.38</ns0:v>
      </ns0:c>
      <ns0:c r="G221" s="4">
        <ns0:v>38.81</ns0:v>
      </ns0:c>
      <ns0:c r="H221" s="4">
        <ns0:v>17.18</ns0:v>
      </ns0:c>
      <ns0:c r="I221" s="4">
        <ns0:v>52.43</ns0:v>
      </ns0:c>
      <ns0:c r="J221" s="4">
        <ns0:v>42.54</ns0:v>
      </ns0:c>
      <ns0:c r="K221" s="4">
        <ns0:v>73.17</ns0:v>
      </ns0:c>
      <ns0:c r="L221" s="4">
        <ns0:v>42.07</ns0:v>
      </ns0:c>
      <ns0:c r="M221" s="4">
        <ns0:v>75.57</ns0:v>
      </ns0:c>
      <ns0:c r="N221" s="4">
        <ns0:v>17.58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37.24</ns0:v>
      </ns0:c>
      <ns0:c r="D222" s="4">
        <ns0:v>24.34</ns0:v>
      </ns0:c>
      <ns0:c r="E222" s="4">
        <ns0:v>57.86</ns0:v>
      </ns0:c>
      <ns0:c r="F222" s="4">
        <ns0:v>41.09</ns0:v>
      </ns0:c>
      <ns0:c r="G222" s="4">
        <ns0:v>62.85</ns0:v>
      </ns0:c>
      <ns0:c r="H222" s="4">
        <ns0:v>33.01</ns0:v>
      </ns0:c>
      <ns0:c r="I222" s="4">
        <ns0:v>65.48</ns0:v>
      </ns0:c>
      <ns0:c r="J222" s="4">
        <ns0:v>27.55</ns0:v>
      </ns0:c>
      <ns0:c r="K222" s="4">
        <ns0:v>58.91</ns0:v>
      </ns0:c>
      <ns0:c r="L222" s="4">
        <ns0:v>19.48</ns0:v>
      </ns0:c>
      <ns0:c r="M222" s="4">
        <ns0:v>36.37</ns0:v>
      </ns0:c>
      <ns0:c r="N222" s="4">
        <ns0:v>33.44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39.14</ns0:v>
      </ns0:c>
      <ns0:c r="D223" s="4">
        <ns0:v>33.69</ns0:v>
      </ns0:c>
      <ns0:c r="E223" s="4">
        <ns0:v>41.28</ns0:v>
      </ns0:c>
      <ns0:c r="F223" s="4">
        <ns0:v>66.87</ns0:v>
      </ns0:c>
      <ns0:c r="G223" s="4">
        <ns0:v>30.12</ns0:v>
      </ns0:c>
      <ns0:c r="H223" s="4">
        <ns0:v>58.35</ns0:v>
      </ns0:c>
      <ns0:c r="I223" s="4">
        <ns0:v>55.84</ns0:v>
      </ns0:c>
      <ns0:c r="J223" s="4">
        <ns0:v>21.43</ns0:v>
      </ns0:c>
      <ns0:c r="K223" s="4">
        <ns0:v>20.99</ns0:v>
      </ns0:c>
      <ns0:c r="L223" s="4">
        <ns0:v>54.07</ns0:v>
      </ns0:c>
      <ns0:c r="M223" s="4">
        <ns0:v>69.67</ns0:v>
      </ns0:c>
      <ns0:c r="N223" s="4">
        <ns0:v>65.03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29.61</ns0:v>
      </ns0:c>
      <ns0:c r="D224" s="4">
        <ns0:v>48.26</ns0:v>
      </ns0:c>
      <ns0:c r="E224" s="4">
        <ns0:v>62.90</ns0:v>
      </ns0:c>
      <ns0:c r="F224" s="4">
        <ns0:v>42.65</ns0:v>
      </ns0:c>
      <ns0:c r="G224" s="4">
        <ns0:v>40.30</ns0:v>
      </ns0:c>
      <ns0:c r="H224" s="4">
        <ns0:v>35.19</ns0:v>
      </ns0:c>
      <ns0:c r="I224" s="4">
        <ns0:v>36.56</ns0:v>
      </ns0:c>
      <ns0:c r="J224" s="4">
        <ns0:v>57.23</ns0:v>
      </ns0:c>
      <ns0:c r="K224" s="4">
        <ns0:v>32.68</ns0:v>
      </ns0:c>
      <ns0:c r="L224" s="4">
        <ns0:v>56.89</ns0:v>
      </ns0:c>
      <ns0:c r="M224" s="4">
        <ns0:v>46.97</ns0:v>
      </ns0:c>
      <ns0:c r="N224" s="4">
        <ns0:v>59.16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34.05</ns0:v>
      </ns0:c>
      <ns0:c r="D225" s="4">
        <ns0:v>49.40</ns0:v>
      </ns0:c>
      <ns0:c r="E225" s="4">
        <ns0:v>35.52</ns0:v>
      </ns0:c>
      <ns0:c r="F225" s="4">
        <ns0:v>48.85</ns0:v>
      </ns0:c>
      <ns0:c r="G225" s="4">
        <ns0:v>32.70</ns0:v>
      </ns0:c>
      <ns0:c r="H225" s="4">
        <ns0:v>58.84</ns0:v>
      </ns0:c>
      <ns0:c r="I225" s="4">
        <ns0:v>38.74</ns0:v>
      </ns0:c>
      <ns0:c r="J225" s="4">
        <ns0:v>53.03</ns0:v>
      </ns0:c>
      <ns0:c r="K225" s="4">
        <ns0:v>45.20</ns0:v>
      </ns0:c>
      <ns0:c r="L225" s="4">
        <ns0:v>29.17</ns0:v>
      </ns0:c>
      <ns0:c r="M225" s="4">
        <ns0:v>76.78</ns0:v>
      </ns0:c>
      <ns0:c r="N225" s="4">
        <ns0:v>71.66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50.62</ns0:v>
      </ns0:c>
      <ns0:c r="D226" s="4">
        <ns0:v>63.10</ns0:v>
      </ns0:c>
      <ns0:c r="E226" s="4">
        <ns0:v>18.27</ns0:v>
      </ns0:c>
      <ns0:c r="F226" s="4">
        <ns0:v>21.18</ns0:v>
      </ns0:c>
      <ns0:c r="G226" s="4">
        <ns0:v>31.39</ns0:v>
      </ns0:c>
      <ns0:c r="H226" s="4">
        <ns0:v>38.44</ns0:v>
      </ns0:c>
      <ns0:c r="I226" s="4">
        <ns0:v>46.01</ns0:v>
      </ns0:c>
      <ns0:c r="J226" s="4">
        <ns0:v>18.04</ns0:v>
      </ns0:c>
      <ns0:c r="K226" s="4">
        <ns0:v>43.90</ns0:v>
      </ns0:c>
      <ns0:c r="L226" s="4">
        <ns0:v>20.40</ns0:v>
      </ns0:c>
      <ns0:c r="M226" s="4">
        <ns0:v>45.90</ns0:v>
      </ns0:c>
      <ns0:c r="N226" s="4">
        <ns0:v>54.08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48.71</ns0:v>
      </ns0:c>
      <ns0:c r="D227" s="4">
        <ns0:v>47.22</ns0:v>
      </ns0:c>
      <ns0:c r="E227" s="4">
        <ns0:v>30.87</ns0:v>
      </ns0:c>
      <ns0:c r="F227" s="4">
        <ns0:v>61.61</ns0:v>
      </ns0:c>
      <ns0:c r="G227" s="4">
        <ns0:v>24.11</ns0:v>
      </ns0:c>
      <ns0:c r="H227" s="4">
        <ns0:v>51.33</ns0:v>
      </ns0:c>
      <ns0:c r="I227" s="4">
        <ns0:v>67.91</ns0:v>
      </ns0:c>
      <ns0:c r="J227" s="4">
        <ns0:v>22.37</ns0:v>
      </ns0:c>
      <ns0:c r="K227" s="4">
        <ns0:v>23.30</ns0:v>
      </ns0:c>
      <ns0:c r="L227" s="4">
        <ns0:v>63.78</ns0:v>
      </ns0:c>
      <ns0:c r="M227" s="4">
        <ns0:v>23.51</ns0:v>
      </ns0:c>
      <ns0:c r="N227" s="4">
        <ns0:v>47.05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38.51</ns0:v>
      </ns0:c>
      <ns0:c r="D228" s="4">
        <ns0:v>41.16</ns0:v>
      </ns0:c>
      <ns0:c r="E228" s="4">
        <ns0:v>68.91</ns0:v>
      </ns0:c>
      <ns0:c r="F228" s="4">
        <ns0:v>25.70</ns0:v>
      </ns0:c>
      <ns0:c r="G228" s="4">
        <ns0:v>42.88</ns0:v>
      </ns0:c>
      <ns0:c r="H228" s="4">
        <ns0:v>52.12</ns0:v>
      </ns0:c>
      <ns0:c r="I228" s="4">
        <ns0:v>43.71</ns0:v>
      </ns0:c>
      <ns0:c r="J228" s="4">
        <ns0:v>64.60</ns0:v>
      </ns0:c>
      <ns0:c r="K228" s="4">
        <ns0:v>47.08</ns0:v>
      </ns0:c>
      <ns0:c r="L228" s="4">
        <ns0:v>61.60</ns0:v>
      </ns0:c>
      <ns0:c r="M228" s="4">
        <ns0:v>35.01</ns0:v>
      </ns0:c>
      <ns0:c r="N228" s="4">
        <ns0:v>32.34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65.84</ns0:v>
      </ns0:c>
      <ns0:c r="D230" s="4">
        <ns0:v>23.34</ns0:v>
      </ns0:c>
      <ns0:c r="E230" s="4">
        <ns0:v>62.83</ns0:v>
      </ns0:c>
      <ns0:c r="F230" s="4">
        <ns0:v>38.72</ns0:v>
      </ns0:c>
      <ns0:c r="G230" s="4">
        <ns0:v>35.90</ns0:v>
      </ns0:c>
      <ns0:c r="H230" s="4">
        <ns0:v>58.37</ns0:v>
      </ns0:c>
      <ns0:c r="I230" s="4">
        <ns0:v>36.49</ns0:v>
      </ns0:c>
      <ns0:c r="J230" s="4">
        <ns0:v>33.05</ns0:v>
      </ns0:c>
      <ns0:c r="K230" s="4">
        <ns0:v>28.70</ns0:v>
      </ns0:c>
      <ns0:c r="L230" s="4">
        <ns0:v>74.89</ns0:v>
      </ns0:c>
      <ns0:c r="M230" s="4">
        <ns0:v>57.88</ns0:v>
      </ns0:c>
      <ns0:c r="N230" s="4">
        <ns0:v>19.23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34.08</ns0:v>
      </ns0:c>
      <ns0:c r="D231" s="4">
        <ns0:v>25.03</ns0:v>
      </ns0:c>
      <ns0:c r="E231" s="4">
        <ns0:v>32.61</ns0:v>
      </ns0:c>
      <ns0:c r="F231" s="4">
        <ns0:v>52.36</ns0:v>
      </ns0:c>
      <ns0:c r="G231" s="4">
        <ns0:v>24.69</ns0:v>
      </ns0:c>
      <ns0:c r="H231" s="4">
        <ns0:v>45.47</ns0:v>
      </ns0:c>
      <ns0:c r="I231" s="4">
        <ns0:v>26.45</ns0:v>
      </ns0:c>
      <ns0:c r="J231" s="4">
        <ns0:v>28.30</ns0:v>
      </ns0:c>
      <ns0:c r="K231" s="4">
        <ns0:v>62.21</ns0:v>
      </ns0:c>
      <ns0:c r="L231" s="4">
        <ns0:v>20.61</ns0:v>
      </ns0:c>
      <ns0:c r="M231" s="4">
        <ns0:v>55.25</ns0:v>
      </ns0:c>
      <ns0:c r="N231" s="4">
        <ns0:v>59.07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42.07</ns0:v>
      </ns0:c>
      <ns0:c r="D232" s="4">
        <ns0:v>55.42</ns0:v>
      </ns0:c>
      <ns0:c r="E232" s="4">
        <ns0:v>24.42</ns0:v>
      </ns0:c>
      <ns0:c r="F232" s="4">
        <ns0:v>67.88</ns0:v>
      </ns0:c>
      <ns0:c r="G232" s="4">
        <ns0:v>34.48</ns0:v>
      </ns0:c>
      <ns0:c r="H232" s="4">
        <ns0:v>36.67</ns0:v>
      </ns0:c>
      <ns0:c r="I232" s="4">
        <ns0:v>21.46</ns0:v>
      </ns0:c>
      <ns0:c r="J232" s="4">
        <ns0:v>39.14</ns0:v>
      </ns0:c>
      <ns0:c r="K232" s="4">
        <ns0:v>30.66</ns0:v>
      </ns0:c>
      <ns0:c r="L232" s="4">
        <ns0:v>69.87</ns0:v>
      </ns0:c>
      <ns0:c r="M232" s="4">
        <ns0:v>21.96</ns0:v>
      </ns0:c>
      <ns0:c r="N232" s="4">
        <ns0:v>52.89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33.49</ns0:v>
      </ns0:c>
      <ns0:c r="D233" s="4">
        <ns0:v>50.94</ns0:v>
      </ns0:c>
      <ns0:c r="E233" s="4">
        <ns0:v>55.31</ns0:v>
      </ns0:c>
      <ns0:c r="F233" s="4">
        <ns0:v>34.63</ns0:v>
      </ns0:c>
      <ns0:c r="G233" s="4">
        <ns0:v>29.19</ns0:v>
      </ns0:c>
      <ns0:c r="H233" s="4">
        <ns0:v>31.78</ns0:v>
      </ns0:c>
      <ns0:c r="I233" s="4">
        <ns0:v>17.91</ns0:v>
      </ns0:c>
      <ns0:c r="J233" s="4">
        <ns0:v>48.34</ns0:v>
      </ns0:c>
      <ns0:c r="K233" s="4">
        <ns0:v>63.48</ns0:v>
      </ns0:c>
      <ns0:c r="L233" s="4">
        <ns0:v>52.50</ns0:v>
      </ns0:c>
      <ns0:c r="M233" s="4">
        <ns0:v>19.19</ns0:v>
      </ns0:c>
      <ns0:c r="N233" s="4">
        <ns0:v>39.54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5.61</ns0:v>
      </ns0:c>
      <ns0:c r="D324" s="4">
        <ns0:v>6.80</ns0:v>
      </ns0:c>
      <ns0:c r="E324" s="4">
        <ns0:v>8.76</ns0:v>
      </ns0:c>
      <ns0:c r="F324" s="4">
        <ns0:v>9.05</ns0:v>
      </ns0:c>
      <ns0:c r="G324" s="4">
        <ns0:v>2.87</ns0:v>
      </ns0:c>
      <ns0:c r="H324" s="4">
        <ns0:v>6.59</ns0:v>
      </ns0:c>
      <ns0:c r="I324" s="4">
        <ns0:v>3.59</ns0:v>
      </ns0:c>
      <ns0:c r="J324" s="4">
        <ns0:v>3.73</ns0:v>
      </ns0:c>
      <ns0:c r="K324" s="4">
        <ns0:v>5.16</ns0:v>
      </ns0:c>
      <ns0:c r="L324" s="4">
        <ns0:v>2.50</ns0:v>
      </ns0:c>
      <ns0:c r="M324" s="4">
        <ns0:v>5.84</ns0:v>
      </ns0:c>
      <ns0:c r="N324" s="4">
        <ns0:v>4.36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5.42</ns0:v>
      </ns0:c>
      <ns0:c r="D325" s="4">
        <ns0:v>4.22</ns0:v>
      </ns0:c>
      <ns0:c r="E325" s="4">
        <ns0:v>6.56</ns0:v>
      </ns0:c>
      <ns0:c r="F325" s="4">
        <ns0:v>2.22</ns0:v>
      </ns0:c>
      <ns0:c r="G325" s="4">
        <ns0:v>4.39</ns0:v>
      </ns0:c>
      <ns0:c r="H325" s="4">
        <ns0:v>2.77</ns0:v>
      </ns0:c>
      <ns0:c r="I325" s="4">
        <ns0:v>6.06</ns0:v>
      </ns0:c>
      <ns0:c r="J325" s="4">
        <ns0:v>3.64</ns0:v>
      </ns0:c>
      <ns0:c r="K325" s="4">
        <ns0:v>7.46</ns0:v>
      </ns0:c>
      <ns0:c r="L325" s="4">
        <ns0:v>2.80</ns0:v>
      </ns0:c>
      <ns0:c r="M325" s="4">
        <ns0:v>8.74</ns0:v>
      </ns0:c>
      <ns0:c r="N325" s="4">
        <ns0:v>6.03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3.51</ns0:v>
      </ns0:c>
      <ns0:c r="D326" s="4">
        <ns0:v>3.88</ns0:v>
      </ns0:c>
      <ns0:c r="E326" s="4">
        <ns0:v>7.34</ns0:v>
      </ns0:c>
      <ns0:c r="F326" s="4">
        <ns0:v>6.06</ns0:v>
      </ns0:c>
      <ns0:c r="G326" s="4">
        <ns0:v>9.01</ns0:v>
      </ns0:c>
      <ns0:c r="H326" s="4">
        <ns0:v>8.68</ns0:v>
      </ns0:c>
      <ns0:c r="I326" s="4">
        <ns0:v>7.31</ns0:v>
      </ns0:c>
      <ns0:c r="J326" s="4">
        <ns0:v>8.14</ns0:v>
      </ns0:c>
      <ns0:c r="K326" s="4">
        <ns0:v>7.67</ns0:v>
      </ns0:c>
      <ns0:c r="L326" s="4">
        <ns0:v>6.87</ns0:v>
      </ns0:c>
      <ns0:c r="M326" s="4">
        <ns0:v>3.50</ns0:v>
      </ns0:c>
      <ns0:c r="N326" s="4">
        <ns0:v>7.29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2.24</ns0:v>
      </ns0:c>
      <ns0:c r="D327" s="4">
        <ns0:v>2.97</ns0:v>
      </ns0:c>
      <ns0:c r="E327" s="4">
        <ns0:v>3.88</ns0:v>
      </ns0:c>
      <ns0:c r="F327" s="4">
        <ns0:v>2.43</ns0:v>
      </ns0:c>
      <ns0:c r="G327" s="4">
        <ns0:v>2.73</ns0:v>
      </ns0:c>
      <ns0:c r="H327" s="4">
        <ns0:v>4.45</ns0:v>
      </ns0:c>
      <ns0:c r="I327" s="4">
        <ns0:v>6.39</ns0:v>
      </ns0:c>
      <ns0:c r="J327" s="4">
        <ns0:v>4.42</ns0:v>
      </ns0:c>
      <ns0:c r="K327" s="4">
        <ns0:v>6.17</ns0:v>
      </ns0:c>
      <ns0:c r="L327" s="4">
        <ns0:v>6.79</ns0:v>
      </ns0:c>
      <ns0:c r="M327" s="4">
        <ns0:v>8.46</ns0:v>
      </ns0:c>
      <ns0:c r="N327" s="4">
        <ns0:v>3.76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3.36</ns0:v>
      </ns0:c>
      <ns0:c r="D328" s="4">
        <ns0:v>6.05</ns0:v>
      </ns0:c>
      <ns0:c r="E328" s="4">
        <ns0:v>6.24</ns0:v>
      </ns0:c>
      <ns0:c r="F328" s="4">
        <ns0:v>5.85</ns0:v>
      </ns0:c>
      <ns0:c r="G328" s="4">
        <ns0:v>8.19</ns0:v>
      </ns0:c>
      <ns0:c r="H328" s="4">
        <ns0:v>7.12</ns0:v>
      </ns0:c>
      <ns0:c r="I328" s="4">
        <ns0:v>4.17</ns0:v>
      </ns0:c>
      <ns0:c r="J328" s="4">
        <ns0:v>5.09</ns0:v>
      </ns0:c>
      <ns0:c r="K328" s="4">
        <ns0:v>5.19</ns0:v>
      </ns0:c>
      <ns0:c r="L328" s="4">
        <ns0:v>7.40</ns0:v>
      </ns0:c>
      <ns0:c r="M328" s="4">
        <ns0:v>6.93</ns0:v>
      </ns0:c>
      <ns0:c r="N328" s="4">
        <ns0:v>5.74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4.20</ns0:v>
      </ns0:c>
      <ns0:c r="D329" s="4">
        <ns0:v>5.24</ns0:v>
      </ns0:c>
      <ns0:c r="E329" s="4">
        <ns0:v>6.95</ns0:v>
      </ns0:c>
      <ns0:c r="F329" s="4">
        <ns0:v>5.44</ns0:v>
      </ns0:c>
      <ns0:c r="G329" s="4">
        <ns0:v>9.39</ns0:v>
      </ns0:c>
      <ns0:c r="H329" s="4">
        <ns0:v>2.94</ns0:v>
      </ns0:c>
      <ns0:c r="I329" s="4">
        <ns0:v>7.28</ns0:v>
      </ns0:c>
      <ns0:c r="J329" s="4">
        <ns0:v>4.43</ns0:v>
      </ns0:c>
      <ns0:c r="K329" s="4">
        <ns0:v>7.83</ns0:v>
      </ns0:c>
      <ns0:c r="L329" s="4">
        <ns0:v>4.32</ns0:v>
      </ns0:c>
      <ns0:c r="M329" s="4">
        <ns0:v>5.80</ns0:v>
      </ns0:c>
      <ns0:c r="N329" s="4">
        <ns0:v>4.54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4.82</ns0:v>
      </ns0:c>
      <ns0:c r="D330" s="4">
        <ns0:v>3.60</ns0:v>
      </ns0:c>
      <ns0:c r="E330" s="4">
        <ns0:v>7.70</ns0:v>
      </ns0:c>
      <ns0:c r="F330" s="4">
        <ns0:v>4.23</ns0:v>
      </ns0:c>
      <ns0:c r="G330" s="4">
        <ns0:v>3.04</ns0:v>
      </ns0:c>
      <ns0:c r="H330" s="4">
        <ns0:v>5.80</ns0:v>
      </ns0:c>
      <ns0:c r="I330" s="4">
        <ns0:v>4.89</ns0:v>
      </ns0:c>
      <ns0:c r="J330" s="4">
        <ns0:v>8.76</ns0:v>
      </ns0:c>
      <ns0:c r="K330" s="4">
        <ns0:v>6.16</ns0:v>
      </ns0:c>
      <ns0:c r="L330" s="4">
        <ns0:v>6.12</ns0:v>
      </ns0:c>
      <ns0:c r="M330" s="4">
        <ns0:v>9.23</ns0:v>
      </ns0:c>
      <ns0:c r="N330" s="4">
        <ns0:v>8.03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8.52</ns0:v>
      </ns0:c>
      <ns0:c r="D331" s="4">
        <ns0:v>5.38</ns0:v>
      </ns0:c>
      <ns0:c r="E331" s="4">
        <ns0:v>3.52</ns0:v>
      </ns0:c>
      <ns0:c r="F331" s="4">
        <ns0:v>8.40</ns0:v>
      </ns0:c>
      <ns0:c r="G331" s="4">
        <ns0:v>8.33</ns0:v>
      </ns0:c>
      <ns0:c r="H331" s="4">
        <ns0:v>3.53</ns0:v>
      </ns0:c>
      <ns0:c r="I331" s="4">
        <ns0:v>9.73</ns0:v>
      </ns0:c>
      <ns0:c r="J331" s="4">
        <ns0:v>3.56</ns0:v>
      </ns0:c>
      <ns0:c r="K331" s="4">
        <ns0:v>7.03</ns0:v>
      </ns0:c>
      <ns0:c r="L331" s="4">
        <ns0:v>3.07</ns0:v>
      </ns0:c>
      <ns0:c r="M331" s="4">
        <ns0:v>7.73</ns0:v>
      </ns0:c>
      <ns0:c r="N331" s="4">
        <ns0:v>7.17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5.08</ns0:v>
      </ns0:c>
      <ns0:c r="D332" s="4">
        <ns0:v>4.60</ns0:v>
      </ns0:c>
      <ns0:c r="E332" s="4">
        <ns0:v>6.54</ns0:v>
      </ns0:c>
      <ns0:c r="F332" s="4">
        <ns0:v>3.95</ns0:v>
      </ns0:c>
      <ns0:c r="G332" s="4">
        <ns0:v>9.21</ns0:v>
      </ns0:c>
      <ns0:c r="H332" s="4">
        <ns0:v>6.37</ns0:v>
      </ns0:c>
      <ns0:c r="I332" s="4">
        <ns0:v>3.45</ns0:v>
      </ns0:c>
      <ns0:c r="J332" s="4">
        <ns0:v>7.78</ns0:v>
      </ns0:c>
      <ns0:c r="K332" s="4">
        <ns0:v>4.40</ns0:v>
      </ns0:c>
      <ns0:c r="L332" s="4">
        <ns0:v>3.02</ns0:v>
      </ns0:c>
      <ns0:c r="M332" s="4">
        <ns0:v>4.82</ns0:v>
      </ns0:c>
      <ns0:c r="N332" s="4">
        <ns0:v>2.78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4.77</ns0:v>
      </ns0:c>
      <ns0:c r="D333" s="4">
        <ns0:v>3.51</ns0:v>
      </ns0:c>
      <ns0:c r="E333" s="4">
        <ns0:v>6.59</ns0:v>
      </ns0:c>
      <ns0:c r="F333" s="4">
        <ns0:v>7.86</ns0:v>
      </ns0:c>
      <ns0:c r="G333" s="4">
        <ns0:v>4.39</ns0:v>
      </ns0:c>
      <ns0:c r="H333" s="4">
        <ns0:v>5.52</ns0:v>
      </ns0:c>
      <ns0:c r="I333" s="4">
        <ns0:v>4.76</ns0:v>
      </ns0:c>
      <ns0:c r="J333" s="4">
        <ns0:v>5.61</ns0:v>
      </ns0:c>
      <ns0:c r="K333" s="4">
        <ns0:v>9.04</ns0:v>
      </ns0:c>
      <ns0:c r="L333" s="4">
        <ns0:v>3.11</ns0:v>
      </ns0:c>
      <ns0:c r="M333" s="4">
        <ns0:v>2.78</ns0:v>
      </ns0:c>
      <ns0:c r="N333" s="4">
        <ns0:v>2.76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3.27</ns0:v>
      </ns0:c>
      <ns0:c r="D334" s="4">
        <ns0:v>6.87</ns0:v>
      </ns0:c>
      <ns0:c r="E334" s="4">
        <ns0:v>8.12</ns0:v>
      </ns0:c>
      <ns0:c r="F334" s="4">
        <ns0:v>5.33</ns0:v>
      </ns0:c>
      <ns0:c r="G334" s="4">
        <ns0:v>6.38</ns0:v>
      </ns0:c>
      <ns0:c r="H334" s="4">
        <ns0:v>4.77</ns0:v>
      </ns0:c>
      <ns0:c r="I334" s="4">
        <ns0:v>3.35</ns0:v>
      </ns0:c>
      <ns0:c r="J334" s="4">
        <ns0:v>4.95</ns0:v>
      </ns0:c>
      <ns0:c r="K334" s="4">
        <ns0:v>3.54</ns0:v>
      </ns0:c>
      <ns0:c r="L334" s="4">
        <ns0:v>3.50</ns0:v>
      </ns0:c>
      <ns0:c r="M334" s="4">
        <ns0:v>8.26</ns0:v>
      </ns0:c>
      <ns0:c r="N334" s="4">
        <ns0:v>8.77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7.42</ns0:v>
      </ns0:c>
      <ns0:c r="D335" s="4">
        <ns0:v>5.57</ns0:v>
      </ns0:c>
      <ns0:c r="E335" s="4">
        <ns0:v>2.82</ns0:v>
      </ns0:c>
      <ns0:c r="F335" s="4">
        <ns0:v>5.07</ns0:v>
      </ns0:c>
      <ns0:c r="G335" s="4">
        <ns0:v>7.57</ns0:v>
      </ns0:c>
      <ns0:c r="H335" s="4">
        <ns0:v>4.76</ns0:v>
      </ns0:c>
      <ns0:c r="I335" s="4">
        <ns0:v>8.05</ns0:v>
      </ns0:c>
      <ns0:c r="J335" s="4">
        <ns0:v>8.37</ns0:v>
      </ns0:c>
      <ns0:c r="K335" s="4">
        <ns0:v>7.34</ns0:v>
      </ns0:c>
      <ns0:c r="L335" s="4">
        <ns0:v>6.50</ns0:v>
      </ns0:c>
      <ns0:c r="M335" s="4">
        <ns0:v>4.87</ns0:v>
      </ns0:c>
      <ns0:c r="N335" s="4">
        <ns0:v>5.64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5.75</ns0:v>
      </ns0:c>
      <ns0:c r="D336" s="4">
        <ns0:v>6.79</ns0:v>
      </ns0:c>
      <ns0:c r="E336" s="4">
        <ns0:v>8.64</ns0:v>
      </ns0:c>
      <ns0:c r="F336" s="4">
        <ns0:v>8.87</ns0:v>
      </ns0:c>
      <ns0:c r="G336" s="4">
        <ns0:v>7.34</ns0:v>
      </ns0:c>
      <ns0:c r="H336" s="4">
        <ns0:v>7.05</ns0:v>
      </ns0:c>
      <ns0:c r="I336" s="4">
        <ns0:v>7.13</ns0:v>
      </ns0:c>
      <ns0:c r="J336" s="4">
        <ns0:v>2.11</ns0:v>
      </ns0:c>
      <ns0:c r="K336" s="4">
        <ns0:v>3.02</ns0:v>
      </ns0:c>
      <ns0:c r="L336" s="4">
        <ns0:v>4.48</ns0:v>
      </ns0:c>
      <ns0:c r="M336" s="4">
        <ns0:v>7.72</ns0:v>
      </ns0:c>
      <ns0:c r="N336" s="4">
        <ns0:v>7.24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2.10</ns0:v>
      </ns0:c>
      <ns0:c r="D337" s="4">
        <ns0:v>3.46</ns0:v>
      </ns0:c>
      <ns0:c r="E337" s="4">
        <ns0:v>7.01</ns0:v>
      </ns0:c>
      <ns0:c r="F337" s="4">
        <ns0:v>5.06</ns0:v>
      </ns0:c>
      <ns0:c r="G337" s="4">
        <ns0:v>3.10</ns0:v>
      </ns0:c>
      <ns0:c r="H337" s="4">
        <ns0:v>8.19</ns0:v>
      </ns0:c>
      <ns0:c r="I337" s="4">
        <ns0:v>5.12</ns0:v>
      </ns0:c>
      <ns0:c r="J337" s="4">
        <ns0:v>9.75</ns0:v>
      </ns0:c>
      <ns0:c r="K337" s="4">
        <ns0:v>8.09</ns0:v>
      </ns0:c>
      <ns0:c r="L337" s="4">
        <ns0:v>3.89</ns0:v>
      </ns0:c>
      <ns0:c r="M337" s="4">
        <ns0:v>7.36</ns0:v>
      </ns0:c>
      <ns0:c r="N337" s="4">
        <ns0:v>4.41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7.05</ns0:v>
      </ns0:c>
      <ns0:c r="D338" s="4">
        <ns0:v>2.50</ns0:v>
      </ns0:c>
      <ns0:c r="E338" s="4">
        <ns0:v>6.38</ns0:v>
      </ns0:c>
      <ns0:c r="F338" s="4">
        <ns0:v>7.20</ns0:v>
      </ns0:c>
      <ns0:c r="G338" s="4">
        <ns0:v>6.67</ns0:v>
      </ns0:c>
      <ns0:c r="H338" s="4">
        <ns0:v>5.38</ns0:v>
      </ns0:c>
      <ns0:c r="I338" s="4">
        <ns0:v>4.15</ns0:v>
      </ns0:c>
      <ns0:c r="J338" s="4">
        <ns0:v>5.41</ns0:v>
      </ns0:c>
      <ns0:c r="K338" s="4">
        <ns0:v>4.47</ns0:v>
      </ns0:c>
      <ns0:c r="L338" s="4">
        <ns0:v>3.19</ns0:v>
      </ns0:c>
      <ns0:c r="M338" s="4">
        <ns0:v>4.43</ns0:v>
      </ns0:c>
      <ns0:c r="N338" s="4">
        <ns0:v>6.19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7.81</ns0:v>
      </ns0:c>
      <ns0:c r="D339" s="4">
        <ns0:v>7.27</ns0:v>
      </ns0:c>
      <ns0:c r="E339" s="4">
        <ns0:v>5.69</ns0:v>
      </ns0:c>
      <ns0:c r="F339" s="4">
        <ns0:v>8.83</ns0:v>
      </ns0:c>
      <ns0:c r="G339" s="4">
        <ns0:v>8.52</ns0:v>
      </ns0:c>
      <ns0:c r="H339" s="4">
        <ns0:v>3.72</ns0:v>
      </ns0:c>
      <ns0:c r="I339" s="4">
        <ns0:v>3.56</ns0:v>
      </ns0:c>
      <ns0:c r="J339" s="4">
        <ns0:v>5.94</ns0:v>
      </ns0:c>
      <ns0:c r="K339" s="4">
        <ns0:v>7.67</ns0:v>
      </ns0:c>
      <ns0:c r="L339" s="4">
        <ns0:v>5.21</ns0:v>
      </ns0:c>
      <ns0:c r="M339" s="4">
        <ns0:v>7.52</ns0:v>
      </ns0:c>
      <ns0:c r="N339" s="4">
        <ns0:v>4.29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7.71</ns0:v>
      </ns0:c>
      <ns0:c r="D341" s="4">
        <ns0:v>4.66</ns0:v>
      </ns0:c>
      <ns0:c r="E341" s="4">
        <ns0:v>6.08</ns0:v>
      </ns0:c>
      <ns0:c r="F341" s="4">
        <ns0:v>3.43</ns0:v>
      </ns0:c>
      <ns0:c r="G341" s="4">
        <ns0:v>4.05</ns0:v>
      </ns0:c>
      <ns0:c r="H341" s="4">
        <ns0:v>5.29</ns0:v>
      </ns0:c>
      <ns0:c r="I341" s="4">
        <ns0:v>4.94</ns0:v>
      </ns0:c>
      <ns0:c r="J341" s="4">
        <ns0:v>2.21</ns0:v>
      </ns0:c>
      <ns0:c r="K341" s="4">
        <ns0:v>6.63</ns0:v>
      </ns0:c>
      <ns0:c r="L341" s="4">
        <ns0:v>3.25</ns0:v>
      </ns0:c>
      <ns0:c r="M341" s="4">
        <ns0:v>6.79</ns0:v>
      </ns0:c>
      <ns0:c r="N341" s="4">
        <ns0:v>7.58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7.46</ns0:v>
      </ns0:c>
      <ns0:c r="D342" s="4">
        <ns0:v>5.07</ns0:v>
      </ns0:c>
      <ns0:c r="E342" s="4">
        <ns0:v>3.60</ns0:v>
      </ns0:c>
      <ns0:c r="F342" s="4">
        <ns0:v>6.75</ns0:v>
      </ns0:c>
      <ns0:c r="G342" s="4">
        <ns0:v>7.66</ns0:v>
      </ns0:c>
      <ns0:c r="H342" s="4">
        <ns0:v>2.19</ns0:v>
      </ns0:c>
      <ns0:c r="I342" s="4">
        <ns0:v>9.08</ns0:v>
      </ns0:c>
      <ns0:c r="J342" s="4">
        <ns0:v>6.08</ns0:v>
      </ns0:c>
      <ns0:c r="K342" s="4">
        <ns0:v>5.26</ns0:v>
      </ns0:c>
      <ns0:c r="L342" s="4">
        <ns0:v>9.71</ns0:v>
      </ns0:c>
      <ns0:c r="M342" s="4">
        <ns0:v>6.24</ns0:v>
      </ns0:c>
      <ns0:c r="N342" s="4">
        <ns0:v>8.08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7.20</ns0:v>
      </ns0:c>
      <ns0:c r="D343" s="4">
        <ns0:v>3.21</ns0:v>
      </ns0:c>
      <ns0:c r="E343" s="4">
        <ns0:v>6.27</ns0:v>
      </ns0:c>
      <ns0:c r="F343" s="4">
        <ns0:v>4.09</ns0:v>
      </ns0:c>
      <ns0:c r="G343" s="4">
        <ns0:v>4.13</ns0:v>
      </ns0:c>
      <ns0:c r="H343" s="4">
        <ns0:v>5.93</ns0:v>
      </ns0:c>
      <ns0:c r="I343" s="4">
        <ns0:v>2.61</ns0:v>
      </ns0:c>
      <ns0:c r="J343" s="4">
        <ns0:v>4.33</ns0:v>
      </ns0:c>
      <ns0:c r="K343" s="4">
        <ns0:v>3.33</ns0:v>
      </ns0:c>
      <ns0:c r="L343" s="4">
        <ns0:v>6.80</ns0:v>
      </ns0:c>
      <ns0:c r="M343" s="4">
        <ns0:v>5.02</ns0:v>
      </ns0:c>
      <ns0:c r="N343" s="4">
        <ns0:v>6.88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3.78</ns0:v>
      </ns0:c>
      <ns0:c r="D344" s="4">
        <ns0:v>7.81</ns0:v>
      </ns0:c>
      <ns0:c r="E344" s="4">
        <ns0:v>8.56</ns0:v>
      </ns0:c>
      <ns0:c r="F344" s="4">
        <ns0:v>6.22</ns0:v>
      </ns0:c>
      <ns0:c r="G344" s="4">
        <ns0:v>6.97</ns0:v>
      </ns0:c>
      <ns0:c r="H344" s="4">
        <ns0:v>2.76</ns0:v>
      </ns0:c>
      <ns0:c r="I344" s="4">
        <ns0:v>3.71</ns0:v>
      </ns0:c>
      <ns0:c r="J344" s="4">
        <ns0:v>3.98</ns0:v>
      </ns0:c>
      <ns0:c r="K344" s="4">
        <ns0:v>4.64</ns0:v>
      </ns0:c>
      <ns0:c r="L344" s="4">
        <ns0:v>4.49</ns0:v>
      </ns0:c>
      <ns0:c r="M344" s="4">
        <ns0:v>9.24</ns0:v>
      </ns0:c>
      <ns0:c r="N344" s="4">
        <ns0:v>9.76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4.39</ns0:v>
      </ns0:c>
      <ns0:c r="D345" s="4">
        <ns0:v>7.44</ns0:v>
      </ns0:c>
      <ns0:c r="E345" s="4">
        <ns0:v>7.50</ns0:v>
      </ns0:c>
      <ns0:c r="F345" s="4">
        <ns0:v>3.92</ns0:v>
      </ns0:c>
      <ns0:c r="G345" s="4">
        <ns0:v>2.97</ns0:v>
      </ns0:c>
      <ns0:c r="H345" s="4">
        <ns0:v>9.09</ns0:v>
      </ns0:c>
      <ns0:c r="I345" s="4">
        <ns0:v>4.11</ns0:v>
      </ns0:c>
      <ns0:c r="J345" s="4">
        <ns0:v>5.19</ns0:v>
      </ns0:c>
      <ns0:c r="K345" s="4">
        <ns0:v>5.77</ns0:v>
      </ns0:c>
      <ns0:c r="L345" s="4">
        <ns0:v>3.52</ns0:v>
      </ns0:c>
      <ns0:c r="M345" s="4">
        <ns0:v>7.57</ns0:v>
      </ns0:c>
      <ns0:c r="N345" s="4">
        <ns0:v>5.17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6.15</ns0:v>
      </ns0:c>
      <ns0:c r="D346" s="4">
        <ns0:v>3.37</ns0:v>
      </ns0:c>
      <ns0:c r="E346" s="4">
        <ns0:v>6.58</ns0:v>
      </ns0:c>
      <ns0:c r="F346" s="4">
        <ns0:v>5.49</ns0:v>
      </ns0:c>
      <ns0:c r="G346" s="4">
        <ns0:v>4.79</ns0:v>
      </ns0:c>
      <ns0:c r="H346" s="4">
        <ns0:v>4.02</ns0:v>
      </ns0:c>
      <ns0:c r="I346" s="4">
        <ns0:v>3.49</ns0:v>
      </ns0:c>
      <ns0:c r="J346" s="4">
        <ns0:v>3.95</ns0:v>
      </ns0:c>
      <ns0:c r="K346" s="4">
        <ns0:v>6.60</ns0:v>
      </ns0:c>
      <ns0:c r="L346" s="4">
        <ns0:v>2.98</ns0:v>
      </ns0:c>
      <ns0:c r="M346" s="4">
        <ns0:v>5.92</ns0:v>
      </ns0:c>
      <ns0:c r="N346" s="4">
        <ns0:v>4.35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5.92</ns0:v>
      </ns0:c>
      <ns0:c r="D347" s="4">
        <ns0:v>3.76</ns0:v>
      </ns0:c>
      <ns0:c r="E347" s="4">
        <ns0:v>3.92</ns0:v>
      </ns0:c>
      <ns0:c r="F347" s="4">
        <ns0:v>7.88</ns0:v>
      </ns0:c>
      <ns0:c r="G347" s="4">
        <ns0:v>2.86</ns0:v>
      </ns0:c>
      <ns0:c r="H347" s="4">
        <ns0:v>7.57</ns0:v>
      </ns0:c>
      <ns0:c r="I347" s="4">
        <ns0:v>6.84</ns0:v>
      </ns0:c>
      <ns0:c r="J347" s="4">
        <ns0:v>8.26</ns0:v>
      </ns0:c>
      <ns0:c r="K347" s="4">
        <ns0:v>4.80</ns0:v>
      </ns0:c>
      <ns0:c r="L347" s="4">
        <ns0:v>4.59</ns0:v>
      </ns0:c>
      <ns0:c r="M347" s="4">
        <ns0:v>8.94</ns0:v>
      </ns0:c>
      <ns0:c r="N347" s="4">
        <ns0:v>6.97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3.62</ns0:v>
      </ns0:c>
      <ns0:c r="D348" s="4">
        <ns0:v>5.54</ns0:v>
      </ns0:c>
      <ns0:c r="E348" s="4">
        <ns0:v>3.34</ns0:v>
      </ns0:c>
      <ns0:c r="F348" s="4">
        <ns0:v>5.85</ns0:v>
      </ns0:c>
      <ns0:c r="G348" s="4">
        <ns0:v>4.77</ns0:v>
      </ns0:c>
      <ns0:c r="H348" s="4">
        <ns0:v>3.60</ns0:v>
      </ns0:c>
      <ns0:c r="I348" s="4">
        <ns0:v>8.42</ns0:v>
      </ns0:c>
      <ns0:c r="J348" s="4">
        <ns0:v>5.44</ns0:v>
      </ns0:c>
      <ns0:c r="K348" s="4">
        <ns0:v>5.92</ns0:v>
      </ns0:c>
      <ns0:c r="L348" s="4">
        <ns0:v>8.28</ns0:v>
      </ns0:c>
      <ns0:c r="M348" s="4">
        <ns0:v>3.48</ns0:v>
      </ns0:c>
      <ns0:c r="N348" s="4">
        <ns0:v>8.37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5.07</ns0:v>
      </ns0:c>
      <ns0:c r="D350" s="4">
        <ns0:v>5.06</ns0:v>
      </ns0:c>
      <ns0:c r="E350" s="4">
        <ns0:v>2.38</ns0:v>
      </ns0:c>
      <ns0:c r="F350" s="4">
        <ns0:v>8.36</ns0:v>
      </ns0:c>
      <ns0:c r="G350" s="4">
        <ns0:v>4.78</ns0:v>
      </ns0:c>
      <ns0:c r="H350" s="4">
        <ns0:v>7.62</ns0:v>
      </ns0:c>
      <ns0:c r="I350" s="4">
        <ns0:v>6.45</ns0:v>
      </ns0:c>
      <ns0:c r="J350" s="4">
        <ns0:v>6.23</ns0:v>
      </ns0:c>
      <ns0:c r="K350" s="4">
        <ns0:v>4.90</ns0:v>
      </ns0:c>
      <ns0:c r="L350" s="4">
        <ns0:v>4.71</ns0:v>
      </ns0:c>
      <ns0:c r="M350" s="4">
        <ns0:v>2.14</ns0:v>
      </ns0:c>
      <ns0:c r="N350" s="4">
        <ns0:v>9.67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4.11</ns0:v>
      </ns0:c>
      <ns0:c r="D351" s="4">
        <ns0:v>8.17</ns0:v>
      </ns0:c>
      <ns0:c r="E351" s="4">
        <ns0:v>5.06</ns0:v>
      </ns0:c>
      <ns0:c r="F351" s="4">
        <ns0:v>5.82</ns0:v>
      </ns0:c>
      <ns0:c r="G351" s="4">
        <ns0:v>6.18</ns0:v>
      </ns0:c>
      <ns0:c r="H351" s="4">
        <ns0:v>5.56</ns0:v>
      </ns0:c>
      <ns0:c r="I351" s="4">
        <ns0:v>6.34</ns0:v>
      </ns0:c>
      <ns0:c r="J351" s="4">
        <ns0:v>2.73</ns0:v>
      </ns0:c>
      <ns0:c r="K351" s="4">
        <ns0:v>6.35</ns0:v>
      </ns0:c>
      <ns0:c r="L351" s="4">
        <ns0:v>5.59</ns0:v>
      </ns0:c>
      <ns0:c r="M351" s="4">
        <ns0:v>4.16</ns0:v>
      </ns0:c>
      <ns0:c r="N351" s="4">
        <ns0:v>2.10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5.58</ns0:v>
      </ns0:c>
      <ns0:c r="D352" s="4">
        <ns0:v>7.57</ns0:v>
      </ns0:c>
      <ns0:c r="E352" s="4">
        <ns0:v>7.68</ns0:v>
      </ns0:c>
      <ns0:c r="F352" s="4">
        <ns0:v>6.34</ns0:v>
      </ns0:c>
      <ns0:c r="G352" s="4">
        <ns0:v>5.35</ns0:v>
      </ns0:c>
      <ns0:c r="H352" s="4">
        <ns0:v>3.91</ns0:v>
      </ns0:c>
      <ns0:c r="I352" s="4">
        <ns0:v>3.06</ns0:v>
      </ns0:c>
      <ns0:c r="J352" s="4">
        <ns0:v>9.31</ns0:v>
      </ns0:c>
      <ns0:c r="K352" s="4">
        <ns0:v>4.91</ns0:v>
      </ns0:c>
      <ns0:c r="L352" s="4">
        <ns0:v>3.80</ns0:v>
      </ns0:c>
      <ns0:c r="M352" s="4">
        <ns0:v>7.12</ns0:v>
      </ns0:c>
      <ns0:c r="N352" s="4">
        <ns0:v>4.94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6.71</ns0:v>
      </ns0:c>
      <ns0:c r="D353" s="4">
        <ns0:v>7.20</ns0:v>
      </ns0:c>
      <ns0:c r="E353" s="4">
        <ns0:v>2.34</ns0:v>
      </ns0:c>
      <ns0:c r="F353" s="4">
        <ns0:v>3.17</ns0:v>
      </ns0:c>
      <ns0:c r="G353" s="4">
        <ns0:v>4.49</ns0:v>
      </ns0:c>
      <ns0:c r="H353" s="4">
        <ns0:v>3.75</ns0:v>
      </ns0:c>
      <ns0:c r="I353" s="4">
        <ns0:v>6.66</ns0:v>
      </ns0:c>
      <ns0:c r="J353" s="4">
        <ns0:v>4.15</ns0:v>
      </ns0:c>
      <ns0:c r="K353" s="4">
        <ns0:v>4.67</ns0:v>
      </ns0:c>
      <ns0:c r="L353" s="4">
        <ns0:v>2.92</ns0:v>
      </ns0:c>
      <ns0:c r="M353" s="4">
        <ns0:v>3.38</ns0:v>
      </ns0:c>
      <ns0:c r="N353" s="4">
        <ns0:v>3.97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180.33</ns0:v>
      </ns0:c>
      <ns0:c r="D4" s="3">
        <ns0:f>ROUND(D204*D324,2)</ns0:f>
        <ns0:v>187.34</ns0:v>
      </ns0:c>
      <ns0:c r="E4" s="3">
        <ns0:f>ROUND(E204*E324,2)</ns0:f>
        <ns0:v>298.11</ns0:v>
      </ns0:c>
      <ns0:c r="F4" s="3">
        <ns0:f>ROUND(F204*F324,2)</ns0:f>
        <ns0:v>325.85</ns0:v>
      </ns0:c>
      <ns0:c r="G4" s="3">
        <ns0:f>ROUND(G204*G324,2)</ns0:f>
        <ns0:v>168.22</ns0:v>
      </ns0:c>
      <ns0:c r="H4" s="3">
        <ns0:f>ROUND(H204*H324,2)</ns0:f>
        <ns0:v>71.30</ns0:v>
      </ns0:c>
      <ns0:c r="I4" s="3">
        <ns0:f>ROUND(I204*I324,2)</ns0:f>
        <ns0:v>209.98</ns0:v>
      </ns0:c>
      <ns0:c r="J4" s="3">
        <ns0:f>ROUND(J204*J324,2)</ns0:f>
        <ns0:v>240.42</ns0:v>
      </ns0:c>
      <ns0:c r="K4" s="3">
        <ns0:f>ROUND(K204*K324,2)</ns0:f>
        <ns0:v>516.17</ns0:v>
      </ns0:c>
      <ns0:c r="L4" s="3">
        <ns0:f>ROUND(L204*L324,2)</ns0:f>
        <ns0:v>136.32</ns0:v>
      </ns0:c>
      <ns0:c r="M4" s="3">
        <ns0:f>ROUND(M204*M324,2)</ns0:f>
        <ns0:v>178.45</ns0:v>
      </ns0:c>
      <ns0:c r="N4" s="3">
        <ns0:f>ROUND(N204*N324,2)</ns0:f>
        <ns0:v>390.03</ns0:v>
      </ns0:c>
      <ns0:c r="O4" s="3">
        <ns0:f>SUM(C4:N4)</ns0:f>
        <ns0:v>2902.52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192.44</ns0:v>
      </ns0:c>
      <ns0:c r="D5" s="3">
        <ns0:f>ROUND(D205*D325,2)</ns0:f>
        <ns0:v>459.88</ns0:v>
      </ns0:c>
      <ns0:c r="E5" s="3">
        <ns0:f>ROUND(E205*E325,2)</ns0:f>
        <ns0:v>153.32</ns0:v>
      </ns0:c>
      <ns0:c r="F5" s="3">
        <ns0:f>ROUND(F205*F325,2)</ns0:f>
        <ns0:v>164.57</ns0:v>
      </ns0:c>
      <ns0:c r="G5" s="3">
        <ns0:f>ROUND(G205*G325,2)</ns0:f>
        <ns0:v>322.90</ns0:v>
      </ns0:c>
      <ns0:c r="H5" s="3">
        <ns0:f>ROUND(H205*H325,2)</ns0:f>
        <ns0:v>359.01</ns0:v>
      </ns0:c>
      <ns0:c r="I5" s="3">
        <ns0:f>ROUND(I205*I325,2)</ns0:f>
        <ns0:v>128.46</ns0:v>
      </ns0:c>
      <ns0:c r="J5" s="3">
        <ns0:f>ROUND(J205*J325,2)</ns0:f>
        <ns0:v>144.43</ns0:v>
      </ns0:c>
      <ns0:c r="K5" s="3">
        <ns0:f>ROUND(K205*K325,2)</ns0:f>
        <ns0:v>410.65</ns0:v>
      </ns0:c>
      <ns0:c r="L5" s="3">
        <ns0:f>ROUND(L205*L325,2)</ns0:f>
        <ns0:v>121.00</ns0:v>
      </ns0:c>
      <ns0:c r="M5" s="3">
        <ns0:f>ROUND(M205*M325,2)</ns0:f>
        <ns0:v>176.49</ns0:v>
      </ns0:c>
      <ns0:c r="N5" s="3">
        <ns0:f>ROUND(N205*N325,2)</ns0:f>
        <ns0:v>258.95</ns0:v>
      </ns0:c>
      <ns0:c r="O5" s="3">
        <ns0:f>SUM(C5:N5)</ns0:f>
        <ns0:v>2892.10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309.24</ns0:v>
      </ns0:c>
      <ns0:c r="D6" s="3">
        <ns0:f>ROUND(D206*D326,2)</ns0:f>
        <ns0:v>187.76</ns0:v>
      </ns0:c>
      <ns0:c r="E6" s="3">
        <ns0:f>ROUND(E206*E326,2)</ns0:f>
        <ns0:v>214.09</ns0:v>
      </ns0:c>
      <ns0:c r="F6" s="3">
        <ns0:f>ROUND(F206*F326,2)</ns0:f>
        <ns0:v>218.72</ns0:v>
      </ns0:c>
      <ns0:c r="G6" s="3">
        <ns0:f>ROUND(G206*G326,2)</ns0:f>
        <ns0:v>232.11</ns0:v>
      </ns0:c>
      <ns0:c r="H6" s="3">
        <ns0:f>ROUND(H206*H326,2)</ns0:f>
        <ns0:v>145.48</ns0:v>
      </ns0:c>
      <ns0:c r="I6" s="3">
        <ns0:f>ROUND(I206*I326,2)</ns0:f>
        <ns0:v>349.52</ns0:v>
      </ns0:c>
      <ns0:c r="J6" s="3">
        <ns0:f>ROUND(J206*J326,2)</ns0:f>
        <ns0:v>195.88</ns0:v>
      </ns0:c>
      <ns0:c r="K6" s="3">
        <ns0:f>ROUND(K206*K326,2)</ns0:f>
        <ns0:v>314.67</ns0:v>
      </ns0:c>
      <ns0:c r="L6" s="3">
        <ns0:f>ROUND(L206*L326,2)</ns0:f>
        <ns0:v>190.02</ns0:v>
      </ns0:c>
      <ns0:c r="M6" s="3">
        <ns0:f>ROUND(M206*M326,2)</ns0:f>
        <ns0:v>129.50</ns0:v>
      </ns0:c>
      <ns0:c r="N6" s="3">
        <ns0:f>ROUND(N206*N326,2)</ns0:f>
        <ns0:v>192.52</ns0:v>
      </ns0:c>
      <ns0:c r="O6" s="3">
        <ns0:f>SUM(C6:N6)</ns0:f>
        <ns0:v>2679.51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88.92</ns0:v>
      </ns0:c>
      <ns0:c r="D7" s="3">
        <ns0:f>ROUND(D207*D327,2)</ns0:f>
        <ns0:v>423.36</ns0:v>
      </ns0:c>
      <ns0:c r="E7" s="3">
        <ns0:f>ROUND(E207*E327,2)</ns0:f>
        <ns0:v>72.01</ns0:v>
      </ns0:c>
      <ns0:c r="F7" s="3">
        <ns0:f>ROUND(F207*F327,2)</ns0:f>
        <ns0:v>284.12</ns0:v>
      </ns0:c>
      <ns0:c r="G7" s="3">
        <ns0:f>ROUND(G207*G327,2)</ns0:f>
        <ns0:v>136.84</ns0:v>
      </ns0:c>
      <ns0:c r="H7" s="3">
        <ns0:f>ROUND(H207*H327,2)</ns0:f>
        <ns0:v>201.01</ns0:v>
      </ns0:c>
      <ns0:c r="I7" s="3">
        <ns0:f>ROUND(I207*I327,2)</ns0:f>
        <ns0:v>89.43</ns0:v>
      </ns0:c>
      <ns0:c r="J7" s="3">
        <ns0:f>ROUND(J207*J327,2)</ns0:f>
        <ns0:v>275.55</ns0:v>
      </ns0:c>
      <ns0:c r="K7" s="3">
        <ns0:f>ROUND(K207*K327,2)</ns0:f>
        <ns0:v>461.65</ns0:v>
      </ns0:c>
      <ns0:c r="L7" s="3">
        <ns0:f>ROUND(L207*L327,2)</ns0:f>
        <ns0:v>87.11</ns0:v>
      </ns0:c>
      <ns0:c r="M7" s="3">
        <ns0:f>ROUND(M207*M327,2)</ns0:f>
        <ns0:v>269.64</ns0:v>
      </ns0:c>
      <ns0:c r="N7" s="3">
        <ns0:f>ROUND(N207*N327,2)</ns0:f>
        <ns0:v>134.65</ns0:v>
      </ns0:c>
      <ns0:c r="O7" s="3">
        <ns0:f>SUM(C7:N7)</ns0:f>
        <ns0:v>2524.29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254.65</ns0:v>
      </ns0:c>
      <ns0:c r="D8" s="3">
        <ns0:f>ROUND(D208*D328,2)</ns0:f>
        <ns0:v>246.05</ns0:v>
      </ns0:c>
      <ns0:c r="E8" s="3">
        <ns0:f>ROUND(E208*E328,2)</ns0:f>
        <ns0:v>239.72</ns0:v>
      </ns0:c>
      <ns0:c r="F8" s="3">
        <ns0:f>ROUND(F208*F328,2)</ns0:f>
        <ns0:v>46.04</ns0:v>
      </ns0:c>
      <ns0:c r="G8" s="3">
        <ns0:f>ROUND(G208*G328,2)</ns0:f>
        <ns0:v>289.01</ns0:v>
      </ns0:c>
      <ns0:c r="H8" s="3">
        <ns0:f>ROUND(H208*H328,2)</ns0:f>
        <ns0:v>55.45</ns0:v>
      </ns0:c>
      <ns0:c r="I8" s="3">
        <ns0:f>ROUND(I208*I328,2)</ns0:f>
        <ns0:v>393.05</ns0:v>
      </ns0:c>
      <ns0:c r="J8" s="3">
        <ns0:f>ROUND(J208*J328,2)</ns0:f>
        <ns0:v>348.06</ns0:v>
      </ns0:c>
      <ns0:c r="K8" s="3">
        <ns0:f>ROUND(K208*K328,2)</ns0:f>
        <ns0:v>95.97</ns0:v>
      </ns0:c>
      <ns0:c r="L8" s="3">
        <ns0:f>ROUND(L208*L328,2)</ns0:f>
        <ns0:v>561.30</ns0:v>
      </ns0:c>
      <ns0:c r="M8" s="3">
        <ns0:f>ROUND(M208*M328,2)</ns0:f>
        <ns0:v>238.04</ns0:v>
      </ns0:c>
      <ns0:c r="N8" s="3">
        <ns0:f>ROUND(N208*N328,2)</ns0:f>
        <ns0:v>391.13</ns0:v>
      </ns0:c>
      <ns0:c r="O8" s="3">
        <ns0:f>SUM(C8:N8)</ns0:f>
        <ns0:v>3158.47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177.35</ns0:v>
      </ns0:c>
      <ns0:c r="D9" s="3">
        <ns0:f>ROUND(D209*D329,2)</ns0:f>
        <ns0:v>178.54</ns0:v>
      </ns0:c>
      <ns0:c r="E9" s="3">
        <ns0:f>ROUND(E209*E329,2)</ns0:f>
        <ns0:v>63.65</ns0:v>
      </ns0:c>
      <ns0:c r="F9" s="3">
        <ns0:f>ROUND(F209*F329,2)</ns0:f>
        <ns0:v>138.94</ns0:v>
      </ns0:c>
      <ns0:c r="G9" s="3">
        <ns0:f>ROUND(G209*G329,2)</ns0:f>
        <ns0:v>339.89</ns0:v>
      </ns0:c>
      <ns0:c r="H9" s="3">
        <ns0:f>ROUND(H209*H329,2)</ns0:f>
        <ns0:v>457.34</ns0:v>
      </ns0:c>
      <ns0:c r="I9" s="3">
        <ns0:f>ROUND(I209*I329,2)</ns0:f>
        <ns0:v>285.64</ns0:v>
      </ns0:c>
      <ns0:c r="J9" s="3">
        <ns0:f>ROUND(J209*J329,2)</ns0:f>
        <ns0:v>129.01</ns0:v>
      </ns0:c>
      <ns0:c r="K9" s="3">
        <ns0:f>ROUND(K209*K329,2)</ns0:f>
        <ns0:v>66.82</ns0:v>
      </ns0:c>
      <ns0:c r="L9" s="3">
        <ns0:f>ROUND(L209*L329,2)</ns0:f>
        <ns0:v>122.17</ns0:v>
      </ns0:c>
      <ns0:c r="M9" s="3">
        <ns0:f>ROUND(M209*M329,2)</ns0:f>
        <ns0:v>135.53</ns0:v>
      </ns0:c>
      <ns0:c r="N9" s="3">
        <ns0:f>ROUND(N209*N329,2)</ns0:f>
        <ns0:v>208.27</ns0:v>
      </ns0:c>
      <ns0:c r="O9" s="3">
        <ns0:f>SUM(C9:N9)</ns0:f>
        <ns0:v>2303.15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147.26</ns0:v>
      </ns0:c>
      <ns0:c r="D10" s="3">
        <ns0:f>ROUND(D210*D330,2)</ns0:f>
        <ns0:v>210.01</ns0:v>
      </ns0:c>
      <ns0:c r="E10" s="3">
        <ns0:f>ROUND(E210*E330,2)</ns0:f>
        <ns0:v>248.29</ns0:v>
      </ns0:c>
      <ns0:c r="F10" s="3">
        <ns0:f>ROUND(F210*F330,2)</ns0:f>
        <ns0:v>136.14</ns0:v>
      </ns0:c>
      <ns0:c r="G10" s="3">
        <ns0:f>ROUND(G210*G330,2)</ns0:f>
        <ns0:v>344.45</ns0:v>
      </ns0:c>
      <ns0:c r="H10" s="3">
        <ns0:f>ROUND(H210*H330,2)</ns0:f>
        <ns0:v>196.25</ns0:v>
      </ns0:c>
      <ns0:c r="I10" s="3">
        <ns0:f>ROUND(I210*I330,2)</ns0:f>
        <ns0:v>296.25</ns0:v>
      </ns0:c>
      <ns0:c r="J10" s="3">
        <ns0:f>ROUND(J210*J330,2)</ns0:f>
        <ns0:v>184.30</ns0:v>
      </ns0:c>
      <ns0:c r="K10" s="3">
        <ns0:f>ROUND(K210*K330,2)</ns0:f>
        <ns0:v>410.00</ns0:v>
      </ns0:c>
      <ns0:c r="L10" s="3">
        <ns0:f>ROUND(L210*L330,2)</ns0:f>
        <ns0:v>240.72</ns0:v>
      </ns0:c>
      <ns0:c r="M10" s="3">
        <ns0:f>ROUND(M210*M330,2)</ns0:f>
        <ns0:v>262.33</ns0:v>
      </ns0:c>
      <ns0:c r="N10" s="3">
        <ns0:f>ROUND(N210*N330,2)</ns0:f>
        <ns0:v>332.94</ns0:v>
      </ns0:c>
      <ns0:c r="O10" s="3">
        <ns0:f>SUM(C10:N10)</ns0:f>
        <ns0:v>3008.94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250.14</ns0:v>
      </ns0:c>
      <ns0:c r="D11" s="3">
        <ns0:f>ROUND(D211*D331,2)</ns0:f>
        <ns0:v>266.11</ns0:v>
      </ns0:c>
      <ns0:c r="E11" s="3">
        <ns0:f>ROUND(E211*E331,2)</ns0:f>
        <ns0:v>228.68</ns0:v>
      </ns0:c>
      <ns0:c r="F11" s="3">
        <ns0:f>ROUND(F211*F331,2)</ns0:f>
        <ns0:v>167.82</ns0:v>
      </ns0:c>
      <ns0:c r="G11" s="3">
        <ns0:f>ROUND(G211*G331,2)</ns0:f>
        <ns0:v>174.57</ns0:v>
      </ns0:c>
      <ns0:c r="H11" s="3">
        <ns0:f>ROUND(H211*H331,2)</ns0:f>
        <ns0:v>120.46</ns0:v>
      </ns0:c>
      <ns0:c r="I11" s="3">
        <ns0:f>ROUND(I211*I331,2)</ns0:f>
        <ns0:v>139.30</ns0:v>
      </ns0:c>
      <ns0:c r="J11" s="3">
        <ns0:f>ROUND(J211*J331,2)</ns0:f>
        <ns0:v>230.39</ns0:v>
      </ns0:c>
      <ns0:c r="K11" s="3">
        <ns0:f>ROUND(K211*K331,2)</ns0:f>
        <ns0:v>225.93</ns0:v>
      </ns0:c>
      <ns0:c r="L11" s="3">
        <ns0:f>ROUND(L211*L331,2)</ns0:f>
        <ns0:v>243.58</ns0:v>
      </ns0:c>
      <ns0:c r="M11" s="3">
        <ns0:f>ROUND(M211*M331,2)</ns0:f>
        <ns0:v>295.35</ns0:v>
      </ns0:c>
      <ns0:c r="N11" s="3">
        <ns0:f>ROUND(N211*N331,2)</ns0:f>
        <ns0:v>266.02</ns0:v>
      </ns0:c>
      <ns0:c r="O11" s="3">
        <ns0:f>SUM(C11:N11)</ns0:f>
        <ns0:v>2608.35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335.10</ns0:v>
      </ns0:c>
      <ns0:c r="D12" s="3">
        <ns0:f>ROUND(D212*D332,2)</ns0:f>
        <ns0:v>36.74</ns0:v>
      </ns0:c>
      <ns0:c r="E12" s="3">
        <ns0:f>ROUND(E212*E332,2)</ns0:f>
        <ns0:v>118.38</ns0:v>
      </ns0:c>
      <ns0:c r="F12" s="3">
        <ns0:f>ROUND(F212*F332,2)</ns0:f>
        <ns0:v>106.39</ns0:v>
      </ns0:c>
      <ns0:c r="G12" s="3">
        <ns0:f>ROUND(G212*G332,2)</ns0:f>
        <ns0:v>217.77</ns0:v>
      </ns0:c>
      <ns0:c r="H12" s="3">
        <ns0:f>ROUND(H212*H332,2)</ns0:f>
        <ns0:v>216.53</ns0:v>
      </ns0:c>
      <ns0:c r="I12" s="3">
        <ns0:f>ROUND(I212*I332,2)</ns0:f>
        <ns0:v>239.06</ns0:v>
      </ns0:c>
      <ns0:c r="J12" s="3">
        <ns0:f>ROUND(J212*J332,2)</ns0:f>
        <ns0:v>138.66</ns0:v>
      </ns0:c>
      <ns0:c r="K12" s="3">
        <ns0:f>ROUND(K212*K332,2)</ns0:f>
        <ns0:v>138.18</ns0:v>
      </ns0:c>
      <ns0:c r="L12" s="3">
        <ns0:f>ROUND(L212*L332,2)</ns0:f>
        <ns0:v>487.48</ns0:v>
      </ns0:c>
      <ns0:c r="M12" s="3">
        <ns0:f>ROUND(M212*M332,2)</ns0:f>
        <ns0:v>123.23</ns0:v>
      </ns0:c>
      <ns0:c r="N12" s="3">
        <ns0:f>ROUND(N212*N332,2)</ns0:f>
        <ns0:v>103.78</ns0:v>
      </ns0:c>
      <ns0:c r="O12" s="3">
        <ns0:f>SUM(C12:N12)</ns0:f>
        <ns0:v>2261.30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284.03</ns0:v>
      </ns0:c>
      <ns0:c r="D13" s="3">
        <ns0:f>ROUND(D213*D333,2)</ns0:f>
        <ns0:v>115.76</ns0:v>
      </ns0:c>
      <ns0:c r="E13" s="3">
        <ns0:f>ROUND(E213*E333,2)</ns0:f>
        <ns0:v>170.01</ns0:v>
      </ns0:c>
      <ns0:c r="F13" s="3">
        <ns0:f>ROUND(F213*F333,2)</ns0:f>
        <ns0:v>400.46</ns0:v>
      </ns0:c>
      <ns0:c r="G13" s="3">
        <ns0:f>ROUND(G213*G333,2)</ns0:f>
        <ns0:v>167.34</ns0:v>
      </ns0:c>
      <ns0:c r="H13" s="3">
        <ns0:f>ROUND(H213*H333,2)</ns0:f>
        <ns0:v>358.07</ns0:v>
      </ns0:c>
      <ns0:c r="I13" s="3">
        <ns0:f>ROUND(I213*I333,2)</ns0:f>
        <ns0:v>120.00</ns0:v>
      </ns0:c>
      <ns0:c r="J13" s="3">
        <ns0:f>ROUND(J213*J333,2)</ns0:f>
        <ns0:v>95.09</ns0:v>
      </ns0:c>
      <ns0:c r="K13" s="3">
        <ns0:f>ROUND(K213*K333,2)</ns0:f>
        <ns0:v>352.89</ns0:v>
      </ns0:c>
      <ns0:c r="L13" s="3">
        <ns0:f>ROUND(L213*L333,2)</ns0:f>
        <ns0:v>165.04</ns0:v>
      </ns0:c>
      <ns0:c r="M13" s="3">
        <ns0:f>ROUND(M213*M333,2)</ns0:f>
        <ns0:v>306.42</ns0:v>
      </ns0:c>
      <ns0:c r="N13" s="3">
        <ns0:f>ROUND(N213*N333,2)</ns0:f>
        <ns0:v>363.52</ns0:v>
      </ns0:c>
      <ns0:c r="O13" s="3">
        <ns0:f>SUM(C13:N13)</ns0:f>
        <ns0:v>2898.63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115.93</ns0:v>
      </ns0:c>
      <ns0:c r="D14" s="3">
        <ns0:f>ROUND(D214*D334,2)</ns0:f>
        <ns0:v>122.87</ns0:v>
      </ns0:c>
      <ns0:c r="E14" s="3">
        <ns0:f>ROUND(E214*E334,2)</ns0:f>
        <ns0:v>198.81</ns0:v>
      </ns0:c>
      <ns0:c r="F14" s="3">
        <ns0:f>ROUND(F214*F334,2)</ns0:f>
        <ns0:v>471.24</ns0:v>
      </ns0:c>
      <ns0:c r="G14" s="3">
        <ns0:f>ROUND(G214*G334,2)</ns0:f>
        <ns0:v>133.61</ns0:v>
      </ns0:c>
      <ns0:c r="H14" s="3">
        <ns0:f>ROUND(H214*H334,2)</ns0:f>
        <ns0:v>66.05</ns0:v>
      </ns0:c>
      <ns0:c r="I14" s="3">
        <ns0:f>ROUND(I214*I334,2)</ns0:f>
        <ns0:v>445.56</ns0:v>
      </ns0:c>
      <ns0:c r="J14" s="3">
        <ns0:f>ROUND(J214*J334,2)</ns0:f>
        <ns0:v>307.04</ns0:v>
      </ns0:c>
      <ns0:c r="K14" s="3">
        <ns0:f>ROUND(K214*K334,2)</ns0:f>
        <ns0:v>549.28</ns0:v>
      </ns0:c>
      <ns0:c r="L14" s="3">
        <ns0:f>ROUND(L214*L334,2)</ns0:f>
        <ns0:v>261.64</ns0:v>
      </ns0:c>
      <ns0:c r="M14" s="3">
        <ns0:f>ROUND(M214*M334,2)</ns0:f>
        <ns0:v>509.64</ns0:v>
      </ns0:c>
      <ns0:c r="N14" s="3">
        <ns0:f>ROUND(N214*N334,2)</ns0:f>
        <ns0:v>237.65</ns0:v>
      </ns0:c>
      <ns0:c r="O14" s="3">
        <ns0:f>SUM(C14:N14)</ns0:f>
        <ns0:v>3419.32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110.46</ns0:v>
      </ns0:c>
      <ns0:c r="D15" s="3">
        <ns0:f>ROUND(D215*D335,2)</ns0:f>
        <ns0:v>422.10</ns0:v>
      </ns0:c>
      <ns0:c r="E15" s="3">
        <ns0:f>ROUND(E215*E335,2)</ns0:f>
        <ns0:v>251.29</ns0:v>
      </ns0:c>
      <ns0:c r="F15" s="3">
        <ns0:f>ROUND(F215*F335,2)</ns0:f>
        <ns0:v>315.67</ns0:v>
      </ns0:c>
      <ns0:c r="G15" s="3">
        <ns0:f>ROUND(G215*G335,2)</ns0:f>
        <ns0:v>220.72</ns0:v>
      </ns0:c>
      <ns0:c r="H15" s="3">
        <ns0:f>ROUND(H215*H335,2)</ns0:f>
        <ns0:v>332.56</ns0:v>
      </ns0:c>
      <ns0:c r="I15" s="3">
        <ns0:f>ROUND(I215*I335,2)</ns0:f>
        <ns0:v>258.24</ns0:v>
      </ns0:c>
      <ns0:c r="J15" s="3">
        <ns0:f>ROUND(J215*J335,2)</ns0:f>
        <ns0:v>113.12</ns0:v>
      </ns0:c>
      <ns0:c r="K15" s="3">
        <ns0:f>ROUND(K215*K335,2)</ns0:f>
        <ns0:v>350.67</ns0:v>
      </ns0:c>
      <ns0:c r="L15" s="3">
        <ns0:f>ROUND(L215*L335,2)</ns0:f>
        <ns0:v>271.84</ns0:v>
      </ns0:c>
      <ns0:c r="M15" s="3">
        <ns0:f>ROUND(M215*M335,2)</ns0:f>
        <ns0:v>358.17</ns0:v>
      </ns0:c>
      <ns0:c r="N15" s="3">
        <ns0:f>ROUND(N215*N335,2)</ns0:f>
        <ns0:v>348.01</ns0:v>
      </ns0:c>
      <ns0:c r="O15" s="3">
        <ns0:f>SUM(C15:N15)</ns0:f>
        <ns0:v>3352.85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155.43</ns0:v>
      </ns0:c>
      <ns0:c r="D16" s="3">
        <ns0:f>ROUND(D216*D336,2)</ns0:f>
        <ns0:v>85.35</ns0:v>
      </ns0:c>
      <ns0:c r="E16" s="3">
        <ns0:f>ROUND(E216*E336,2)</ns0:f>
        <ns0:v>238.26</ns0:v>
      </ns0:c>
      <ns0:c r="F16" s="3">
        <ns0:f>ROUND(F216*F336,2)</ns0:f>
        <ns0:v>376.47</ns0:v>
      </ns0:c>
      <ns0:c r="G16" s="3">
        <ns0:f>ROUND(G216*G336,2)</ns0:f>
        <ns0:v>137.18</ns0:v>
      </ns0:c>
      <ns0:c r="H16" s="3">
        <ns0:f>ROUND(H216*H336,2)</ns0:f>
        <ns0:v>473.62</ns0:v>
      </ns0:c>
      <ns0:c r="I16" s="3">
        <ns0:f>ROUND(I216*I336,2)</ns0:f>
        <ns0:v>205.16</ns0:v>
      </ns0:c>
      <ns0:c r="J16" s="3">
        <ns0:f>ROUND(J216*J336,2)</ns0:f>
        <ns0:v>200.77</ns0:v>
      </ns0:c>
      <ns0:c r="K16" s="3">
        <ns0:f>ROUND(K216*K336,2)</ns0:f>
        <ns0:v>137.13</ns0:v>
      </ns0:c>
      <ns0:c r="L16" s="3">
        <ns0:f>ROUND(L216*L336,2)</ns0:f>
        <ns0:v>423.04</ns0:v>
      </ns0:c>
      <ns0:c r="M16" s="3">
        <ns0:f>ROUND(M216*M336,2)</ns0:f>
        <ns0:v>116.12</ns0:v>
      </ns0:c>
      <ns0:c r="N16" s="3">
        <ns0:f>ROUND(N216*N336,2)</ns0:f>
        <ns0:v>465.76</ns0:v>
      </ns0:c>
      <ns0:c r="O16" s="3">
        <ns0:f>SUM(C16:N16)</ns0:f>
        <ns0:v>3014.29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229.77</ns0:v>
      </ns0:c>
      <ns0:c r="D17" s="3">
        <ns0:f>ROUND(D217*D337,2)</ns0:f>
        <ns0:v>162.63</ns0:v>
      </ns0:c>
      <ns0:c r="E17" s="3">
        <ns0:f>ROUND(E217*E337,2)</ns0:f>
        <ns0:v>276.05</ns0:v>
      </ns0:c>
      <ns0:c r="F17" s="3">
        <ns0:f>ROUND(F217*F337,2)</ns0:f>
        <ns0:v>306.76</ns0:v>
      </ns0:c>
      <ns0:c r="G17" s="3">
        <ns0:f>ROUND(G217*G337,2)</ns0:f>
        <ns0:v>206.34</ns0:v>
      </ns0:c>
      <ns0:c r="H17" s="3">
        <ns0:f>ROUND(H217*H337,2)</ns0:f>
        <ns0:v>220.64</ns0:v>
      </ns0:c>
      <ns0:c r="I17" s="3">
        <ns0:f>ROUND(I217*I337,2)</ns0:f>
        <ns0:v>272.60</ns0:v>
      </ns0:c>
      <ns0:c r="J17" s="3">
        <ns0:f>ROUND(J217*J337,2)</ns0:f>
        <ns0:v>129.72</ns0:v>
      </ns0:c>
      <ns0:c r="K17" s="3">
        <ns0:f>ROUND(K217*K337,2)</ns0:f>
        <ns0:v>200.19</ns0:v>
      </ns0:c>
      <ns0:c r="L17" s="3">
        <ns0:f>ROUND(L217*L337,2)</ns0:f>
        <ns0:v>246.64</ns0:v>
      </ns0:c>
      <ns0:c r="M17" s="3">
        <ns0:f>ROUND(M217*M337,2)</ns0:f>
        <ns0:v>395.75</ns0:v>
      </ns0:c>
      <ns0:c r="N17" s="3">
        <ns0:f>ROUND(N217*N337,2)</ns0:f>
        <ns0:v>162.52</ns0:v>
      </ns0:c>
      <ns0:c r="O17" s="3">
        <ns0:f>SUM(C17:N17)</ns0:f>
        <ns0:v>2809.61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109.30</ns0:v>
      </ns0:c>
      <ns0:c r="D18" s="3">
        <ns0:f>ROUND(D218*D338,2)</ns0:f>
        <ns0:v>413.01</ns0:v>
      </ns0:c>
      <ns0:c r="E18" s="3">
        <ns0:f>ROUND(E218*E338,2)</ns0:f>
        <ns0:v>227.85</ns0:v>
      </ns0:c>
      <ns0:c r="F18" s="3">
        <ns0:f>ROUND(F218*F338,2)</ns0:f>
        <ns0:v>149.86</ns0:v>
      </ns0:c>
      <ns0:c r="G18" s="3">
        <ns0:f>ROUND(G218*G338,2)</ns0:f>
        <ns0:v>150.97</ns0:v>
      </ns0:c>
      <ns0:c r="H18" s="3">
        <ns0:f>ROUND(H218*H338,2)</ns0:f>
        <ns0:v>216.08</ns0:v>
      </ns0:c>
      <ns0:c r="I18" s="3">
        <ns0:f>ROUND(I218*I338,2)</ns0:f>
        <ns0:v>142.99</ns0:v>
      </ns0:c>
      <ns0:c r="J18" s="3">
        <ns0:f>ROUND(J218*J338,2)</ns0:f>
        <ns0:v>193.51</ns0:v>
      </ns0:c>
      <ns0:c r="K18" s="3">
        <ns0:f>ROUND(K218*K338,2)</ns0:f>
        <ns0:v>197.46</ns0:v>
      </ns0:c>
      <ns0:c r="L18" s="3">
        <ns0:f>ROUND(L218*L338,2)</ns0:f>
        <ns0:v>84.52</ns0:v>
      </ns0:c>
      <ns0:c r="M18" s="3">
        <ns0:f>ROUND(M218*M338,2)</ns0:f>
        <ns0:v>174.22</ns0:v>
      </ns0:c>
      <ns0:c r="N18" s="3">
        <ns0:f>ROUND(N218*N338,2)</ns0:f>
        <ns0:v>323.62</ns0:v>
      </ns0:c>
      <ns0:c r="O18" s="3">
        <ns0:f>SUM(C18:N18)</ns0:f>
        <ns0:v>2383.39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212.56</ns0:v>
      </ns0:c>
      <ns0:c r="D19" s="3">
        <ns0:f>ROUND(D219*D339,2)</ns0:f>
        <ns0:v>239.36</ns0:v>
      </ns0:c>
      <ns0:c r="E19" s="3">
        <ns0:f>ROUND(E219*E339,2)</ns0:f>
        <ns0:v>192.66</ns0:v>
      </ns0:c>
      <ns0:c r="F19" s="3">
        <ns0:f>ROUND(F219*F339,2)</ns0:f>
        <ns0:v>98.99</ns0:v>
      </ns0:c>
      <ns0:c r="G19" s="3">
        <ns0:f>ROUND(G219*G339,2)</ns0:f>
        <ns0:v>131.41</ns0:v>
      </ns0:c>
      <ns0:c r="H19" s="3">
        <ns0:f>ROUND(H219*H339,2)</ns0:f>
        <ns0:v>211.37</ns0:v>
      </ns0:c>
      <ns0:c r="I19" s="3">
        <ns0:f>ROUND(I219*I339,2)</ns0:f>
        <ns0:v>266.61</ns0:v>
      </ns0:c>
      <ns0:c r="J19" s="3">
        <ns0:f>ROUND(J219*J339,2)</ns0:f>
        <ns0:v>243.92</ns0:v>
      </ns0:c>
      <ns0:c r="K19" s="3">
        <ns0:f>ROUND(K219*K339,2)</ns0:f>
        <ns0:v>376.99</ns0:v>
      </ns0:c>
      <ns0:c r="L19" s="3">
        <ns0:f>ROUND(L219*L339,2)</ns0:f>
        <ns0:v>256.39</ns0:v>
      </ns0:c>
      <ns0:c r="M19" s="3">
        <ns0:f>ROUND(M219*M339,2)</ns0:f>
        <ns0:v>113.14</ns0:v>
      </ns0:c>
      <ns0:c r="N19" s="3">
        <ns0:f>ROUND(N219*N339,2)</ns0:f>
        <ns0:v>241.86</ns0:v>
      </ns0:c>
      <ns0:c r="O19" s="3">
        <ns0:f>SUM(C19:N19)</ns0:f>
        <ns0:v>2585.26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600.81</ns0:v>
      </ns0:c>
      <ns0:c r="D20" s="3">
        <ns0:f>ROUND('摊销明细'!D33/3,2)</ns0:f>
        <ns0:v>600.81</ns0:v>
      </ns0:c>
      <ns0:c r="E20" s="3">
        <ns0:f>ROUND('摊销明细'!E33/3,2)</ns0:f>
        <ns0:v>600.81</ns0:v>
      </ns0:c>
      <ns0:c r="F20" s="3">
        <ns0:f>ROUND('摊销明细'!F33/3,2)</ns0:f>
        <ns0:v>600.81</ns0:v>
      </ns0:c>
      <ns0:c r="G20" s="3">
        <ns0:f>ROUND('摊销明细'!G33/3,2)</ns0:f>
        <ns0:v>600.81</ns0:v>
      </ns0:c>
      <ns0:c r="H20" s="3">
        <ns0:f>ROUND('摊销明细'!H33/3,2)</ns0:f>
        <ns0:v>600.81</ns0:v>
      </ns0:c>
      <ns0:c r="I20" s="3">
        <ns0:f>ROUND('摊销明细'!I33/3,2)</ns0:f>
        <ns0:v>600.81</ns0:v>
      </ns0:c>
      <ns0:c r="J20" s="3">
        <ns0:f>ROUND('摊销明细'!J33/3,2)</ns0:f>
        <ns0:v>600.81</ns0:v>
      </ns0:c>
      <ns0:c r="K20" s="3">
        <ns0:f>ROUND('摊销明细'!K33/3,2)</ns0:f>
        <ns0:v>600.81</ns0:v>
      </ns0:c>
      <ns0:c r="L20" s="3">
        <ns0:f>ROUND('摊销明细'!L33/3,2)</ns0:f>
        <ns0:v>600.81</ns0:v>
      </ns0:c>
      <ns0:c r="M20" s="3">
        <ns0:f>ROUND('摊销明细'!M33/3,2)</ns0:f>
        <ns0:v>600.81</ns0:v>
      </ns0:c>
      <ns0:c r="N20" s="3">
        <ns0:f>ROUND('摊销明细'!N33/3,2)</ns0:f>
        <ns0:v>600.81</ns0:v>
      </ns0:c>
      <ns0:c r="O20" s="3">
        <ns0:f>SUM(C20:N20)</ns0:f>
        <ns0:v>7209.72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385.03</ns0:v>
      </ns0:c>
      <ns0:c r="D21" s="3">
        <ns0:f>ROUND(D221*D341,2)</ns0:f>
        <ns0:v>192.86</ns0:v>
      </ns0:c>
      <ns0:c r="E21" s="3">
        <ns0:f>ROUND(E221*E341,2)</ns0:f>
        <ns0:v>498.12</ns0:v>
      </ns0:c>
      <ns0:c r="F21" s="3">
        <ns0:f>ROUND(F221*F341,2)</ns0:f>
        <ns0:v>178.25</ns0:v>
      </ns0:c>
      <ns0:c r="G21" s="3">
        <ns0:f>ROUND(G221*G341,2)</ns0:f>
        <ns0:v>209.03</ns0:v>
      </ns0:c>
      <ns0:c r="H21" s="3">
        <ns0:f>ROUND(H221*H341,2)</ns0:f>
        <ns0:v>312.91</ns0:v>
      </ns0:c>
      <ns0:c r="I21" s="3">
        <ns0:f>ROUND(I221*I341,2)</ns0:f>
        <ns0:v>319.65</ns0:v>
      </ns0:c>
      <ns0:c r="J21" s="3">
        <ns0:f>ROUND(J221*J341,2)</ns0:f>
        <ns0:v>134.31</ns0:v>
      </ns0:c>
      <ns0:c r="K21" s="3">
        <ns0:f>ROUND(K221*K341,2)</ns0:f>
        <ns0:v>451.38</ns0:v>
      </ns0:c>
      <ns0:c r="L21" s="3">
        <ns0:f>ROUND(L221*L341,2)</ns0:f>
        <ns0:v>650.82</ns0:v>
      </ns0:c>
      <ns0:c r="M21" s="3">
        <ns0:f>ROUND(M221*M341,2)</ns0:f>
        <ns0:v>389.82</ns0:v>
      </ns0:c>
      <ns0:c r="N21" s="3">
        <ns0:f>ROUND(N221*N341,2)</ns0:f>
        <ns0:v>257.28</ns0:v>
      </ns0:c>
      <ns0:c r="O21" s="3">
        <ns0:f>SUM(C21:N21)</ns0:f>
        <ns0:v>3979.46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40.21</ns0:v>
      </ns0:c>
      <ns0:c r="D22" s="3">
        <ns0:f>ROUND(D222*D342,2)</ns0:f>
        <ns0:v>77.38</ns0:v>
      </ns0:c>
      <ns0:c r="E22" s="3">
        <ns0:f>ROUND(E222*E342,2)</ns0:f>
        <ns0:v>127.58</ns0:v>
      </ns0:c>
      <ns0:c r="F22" s="3">
        <ns0:f>ROUND(F222*F342,2)</ns0:f>
        <ns0:v>315.51</ns0:v>
      </ns0:c>
      <ns0:c r="G22" s="3">
        <ns0:f>ROUND(G222*G342,2)</ns0:f>
        <ns0:v>212.74</ns0:v>
      </ns0:c>
      <ns0:c r="H22" s="3">
        <ns0:f>ROUND(H222*H342,2)</ns0:f>
        <ns0:v>295.25</ns0:v>
      </ns0:c>
      <ns0:c r="I22" s="3">
        <ns0:f>ROUND(I222*I342,2)</ns0:f>
        <ns0:v>181.15</ns0:v>
      </ns0:c>
      <ns0:c r="J22" s="3">
        <ns0:f>ROUND(J222*J342,2)</ns0:f>
        <ns0:v>139.01</ns0:v>
      </ns0:c>
      <ns0:c r="K22" s="3">
        <ns0:f>ROUND(K222*K342,2)</ns0:f>
        <ns0:v>294.13</ns0:v>
      </ns0:c>
      <ns0:c r="L22" s="3">
        <ns0:f>ROUND(L222*L342,2)</ns0:f>
        <ns0:v>236.38</ns0:v>
      </ns0:c>
      <ns0:c r="M22" s="3">
        <ns0:f>ROUND(M222*M342,2)</ns0:f>
        <ns0:v>167.04</ns0:v>
      </ns0:c>
      <ns0:c r="N22" s="3">
        <ns0:f>ROUND(N222*N342,2)</ns0:f>
        <ns0:v>290.25</ns0:v>
      </ns0:c>
      <ns0:c r="O22" s="3">
        <ns0:f>SUM(C22:N22)</ns0:f>
        <ns0:v>2376.63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212.64</ns0:v>
      </ns0:c>
      <ns0:c r="D23" s="3">
        <ns0:f>ROUND(D223*D343,2)</ns0:f>
        <ns0:v>486.33</ns0:v>
      </ns0:c>
      <ns0:c r="E23" s="3">
        <ns0:f>ROUND(E223*E343,2)</ns0:f>
        <ns0:v>66.78</ns0:v>
      </ns0:c>
      <ns0:c r="F23" s="3">
        <ns0:f>ROUND(F223*F343,2)</ns0:f>
        <ns0:v>165.93</ns0:v>
      </ns0:c>
      <ns0:c r="G23" s="3">
        <ns0:f>ROUND(G223*G343,2)</ns0:f>
        <ns0:v>536.66</ns0:v>
      </ns0:c>
      <ns0:c r="H23" s="3">
        <ns0:f>ROUND(H223*H343,2)</ns0:f>
        <ns0:v>115.01</ns0:v>
      </ns0:c>
      <ns0:c r="I23" s="3">
        <ns0:f>ROUND(I223*I343,2)</ns0:f>
        <ns0:v>189.11</ns0:v>
      </ns0:c>
      <ns0:c r="J23" s="3">
        <ns0:f>ROUND(J223*J343,2)</ns0:f>
        <ns0:v>115.97</ns0:v>
      </ns0:c>
      <ns0:c r="K23" s="3">
        <ns0:f>ROUND(K223*K343,2)</ns0:f>
        <ns0:v>153.38</ns0:v>
      </ns0:c>
      <ns0:c r="L23" s="3">
        <ns0:f>ROUND(L223*L343,2)</ns0:f>
        <ns0:v>223.66</ns0:v>
      </ns0:c>
      <ns0:c r="M23" s="3">
        <ns0:f>ROUND(M223*M343,2)</ns0:f>
        <ns0:v>327.22</ns0:v>
      </ns0:c>
      <ns0:c r="N23" s="3">
        <ns0:f>ROUND(N223*N343,2)</ns0:f>
        <ns0:v>131.14</ns0:v>
      </ns0:c>
      <ns0:c r="O23" s="3">
        <ns0:f>SUM(C23:N23)</ns0:f>
        <ns0:v>2723.83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338.11</ns0:v>
      </ns0:c>
      <ns0:c r="D24" s="3">
        <ns0:f>ROUND(D224*D344,2)</ns0:f>
        <ns0:v>309.52</ns0:v>
      </ns0:c>
      <ns0:c r="E24" s="3">
        <ns0:f>ROUND(E224*E344,2)</ns0:f>
        <ns0:v>139.57</ns0:v>
      </ns0:c>
      <ns0:c r="F24" s="3">
        <ns0:f>ROUND(F224*F344,2)</ns0:f>
        <ns0:v>395.06</ns0:v>
      </ns0:c>
      <ns0:c r="G24" s="3">
        <ns0:f>ROUND(G224*G344,2)</ns0:f>
        <ns0:v>106.71</ns0:v>
      </ns0:c>
      <ns0:c r="H24" s="3">
        <ns0:f>ROUND(H224*H344,2)</ns0:f>
        <ns0:v>121.43</ns0:v>
      </ns0:c>
      <ns0:c r="I24" s="3">
        <ns0:f>ROUND(I224*I344,2)</ns0:f>
        <ns0:v>455.58</ns0:v>
      </ns0:c>
      <ns0:c r="J24" s="3">
        <ns0:f>ROUND(J224*J344,2)</ns0:f>
        <ns0:v>363.84</ns0:v>
      </ns0:c>
      <ns0:c r="K24" s="3">
        <ns0:f>ROUND(K224*K344,2)</ns0:f>
        <ns0:v>475.54</ns0:v>
      </ns0:c>
      <ns0:c r="L24" s="3">
        <ns0:f>ROUND(L224*L344,2)</ns0:f>
        <ns0:v>448.15</ns0:v>
      </ns0:c>
      <ns0:c r="M24" s="3">
        <ns0:f>ROUND(M224*M344,2)</ns0:f>
        <ns0:v>144.55</ns0:v>
      </ns0:c>
      <ns0:c r="N24" s="3">
        <ns0:f>ROUND(N224*N344,2)</ns0:f>
        <ns0:v>159.03</ns0:v>
      </ns0:c>
      <ns0:c r="O24" s="3">
        <ns0:f>SUM(C24:N24)</ns0:f>
        <ns0:v>3457.09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114.31</ns0:v>
      </ns0:c>
      <ns0:c r="D25" s="3">
        <ns0:f>ROUND(D225*D345,2)</ns0:f>
        <ns0:v>139.28</ns0:v>
      </ns0:c>
      <ns0:c r="E25" s="3">
        <ns0:f>ROUND(E225*E345,2)</ns0:f>
        <ns0:v>43.98</ns0:v>
      </ns0:c>
      <ns0:c r="F25" s="3">
        <ns0:f>ROUND(F225*F345,2)</ns0:f>
        <ns0:v>246.40</ns0:v>
      </ns0:c>
      <ns0:c r="G25" s="3">
        <ns0:f>ROUND(G225*G345,2)</ns0:f>
        <ns0:v>318.59</ns0:v>
      </ns0:c>
      <ns0:c r="H25" s="3">
        <ns0:f>ROUND(H225*H345,2)</ns0:f>
        <ns0:v>216.85</ns0:v>
      </ns0:c>
      <ns0:c r="I25" s="3">
        <ns0:f>ROUND(I225*I345,2)</ns0:f>
        <ns0:v>193.69</ns0:v>
      </ns0:c>
      <ns0:c r="J25" s="3">
        <ns0:f>ROUND(J225*J345,2)</ns0:f>
        <ns0:v>398.98</ns0:v>
      </ns0:c>
      <ns0:c r="K25" s="3">
        <ns0:f>ROUND(K225*K345,2)</ns0:f>
        <ns0:v>116.89</ns0:v>
      </ns0:c>
      <ns0:c r="L25" s="3">
        <ns0:f>ROUND(L225*L345,2)</ns0:f>
        <ns0:v>136.24</ns0:v>
      </ns0:c>
      <ns0:c r="M25" s="3">
        <ns0:f>ROUND(M225*M345,2)</ns0:f>
        <ns0:v>432.24</ns0:v>
      </ns0:c>
      <ns0:c r="N25" s="3">
        <ns0:f>ROUND(N225*N345,2)</ns0:f>
        <ns0:v>353.32</ns0:v>
      </ns0:c>
      <ns0:c r="O25" s="3">
        <ns0:f>SUM(C25:N25)</ns0:f>
        <ns0:v>2710.77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375.38</ns0:v>
      </ns0:c>
      <ns0:c r="D26" s="3">
        <ns0:f>ROUND(D226*D346,2)</ns0:f>
        <ns0:v>120.59</ns0:v>
      </ns0:c>
      <ns0:c r="E26" s="3">
        <ns0:f>ROUND(E226*E346,2)</ns0:f>
        <ns0:v>432.93</ns0:v>
      </ns0:c>
      <ns0:c r="F26" s="3">
        <ns0:f>ROUND(F226*F346,2)</ns0:f>
        <ns0:v>424.38</ns0:v>
      </ns0:c>
      <ns0:c r="G26" s="3">
        <ns0:f>ROUND(G226*G346,2)</ns0:f>
        <ns0:v>474.16</ns0:v>
      </ns0:c>
      <ns0:c r="H26" s="3">
        <ns0:f>ROUND(H226*H346,2)</ns0:f>
        <ns0:v>227.07</ns0:v>
      </ns0:c>
      <ns0:c r="I26" s="3">
        <ns0:f>ROUND(I226*I346,2)</ns0:f>
        <ns0:v>343.68</ns0:v>
      </ns0:c>
      <ns0:c r="J26" s="3">
        <ns0:f>ROUND(J226*J346,2)</ns0:f>
        <ns0:v>196.66</ns0:v>
      </ns0:c>
      <ns0:c r="K26" s="3">
        <ns0:f>ROUND(K226*K346,2)</ns0:f>
        <ns0:v>56.77</ns0:v>
      </ns0:c>
      <ns0:c r="L26" s="3">
        <ns0:f>ROUND(L226*L346,2)</ns0:f>
        <ns0:v>432.02</ns0:v>
      </ns0:c>
      <ns0:c r="M26" s="3">
        <ns0:f>ROUND(M226*M346,2)</ns0:f>
        <ns0:v>395.50</ns0:v>
      </ns0:c>
      <ns0:c r="N26" s="3">
        <ns0:f>ROUND(N226*N346,2)</ns0:f>
        <ns0:v>336.86</ns0:v>
      </ns0:c>
      <ns0:c r="O26" s="3">
        <ns0:f>SUM(C26:N26)</ns0:f>
        <ns0:v>3816.00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120.32</ns0:v>
      </ns0:c>
      <ns0:c r="D27" s="3">
        <ns0:f>ROUND(D227*D347,2)</ns0:f>
        <ns0:v>83.72</ns0:v>
      </ns0:c>
      <ns0:c r="E27" s="3">
        <ns0:f>ROUND(E227*E347,2)</ns0:f>
        <ns0:v>91.83</ns0:v>
      </ns0:c>
      <ns0:c r="F27" s="3">
        <ns0:f>ROUND(F227*F347,2)</ns0:f>
        <ns0:v>79.90</ns0:v>
      </ns0:c>
      <ns0:c r="G27" s="3">
        <ns0:f>ROUND(G227*G347,2)</ns0:f>
        <ns0:v>414.08</ns0:v>
      </ns0:c>
      <ns0:c r="H27" s="3">
        <ns0:f>ROUND(H227*H347,2)</ns0:f>
        <ns0:v>49.52</ns0:v>
      </ns0:c>
      <ns0:c r="I27" s="3">
        <ns0:f>ROUND(I227*I347,2)</ns0:f>
        <ns0:v>288.71</ns0:v>
      </ns0:c>
      <ns0:c r="J27" s="3">
        <ns0:f>ROUND(J227*J347,2)</ns0:f>
        <ns0:v>131.12</ns0:v>
      </ns0:c>
      <ns0:c r="K27" s="3">
        <ns0:f>ROUND(K227*K347,2)</ns0:f>
        <ns0:v>262.09</ns0:v>
      </ns0:c>
      <ns0:c r="L27" s="3">
        <ns0:f>ROUND(L227*L347,2)</ns0:f>
        <ns0:v>193.82</ns0:v>
      </ns0:c>
      <ns0:c r="M27" s="3">
        <ns0:f>ROUND(M227*M347,2)</ns0:f>
        <ns0:v>110.50</ns0:v>
      </ns0:c>
      <ns0:c r="N27" s="3">
        <ns0:f>ROUND(N227*N347,2)</ns0:f>
        <ns0:v>695.46</ns0:v>
      </ns0:c>
      <ns0:c r="O27" s="3">
        <ns0:f>SUM(C27:N27)</ns0:f>
        <ns0:v>2521.07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474.33</ns0:v>
      </ns0:c>
      <ns0:c r="D28" s="3">
        <ns0:f>ROUND(D228*D348,2)</ns0:f>
        <ns0:v>276.49</ns0:v>
      </ns0:c>
      <ns0:c r="E28" s="3">
        <ns0:f>ROUND(E228*E348,2)</ns0:f>
        <ns0:v>190.26</ns0:v>
      </ns0:c>
      <ns0:c r="F28" s="3">
        <ns0:f>ROUND(F228*F348,2)</ns0:f>
        <ns0:v>178.53</ns0:v>
      </ns0:c>
      <ns0:c r="G28" s="3">
        <ns0:f>ROUND(G228*G348,2)</ns0:f>
        <ns0:v>259.61</ns0:v>
      </ns0:c>
      <ns0:c r="H28" s="3">
        <ns0:f>ROUND(H228*H348,2)</ns0:f>
        <ns0:v>278.21</ns0:v>
      </ns0:c>
      <ns0:c r="I28" s="3">
        <ns0:f>ROUND(I228*I348,2)</ns0:f>
        <ns0:v>294.88</ns0:v>
      </ns0:c>
      <ns0:c r="J28" s="3">
        <ns0:f>ROUND(J228*J348,2)</ns0:f>
        <ns0:v>295.34</ns0:v>
      </ns0:c>
      <ns0:c r="K28" s="3">
        <ns0:f>ROUND(K228*K348,2)</ns0:f>
        <ns0:v>135.97</ns0:v>
      </ns0:c>
      <ns0:c r="L28" s="3">
        <ns0:f>ROUND(L228*L348,2)</ns0:f>
        <ns0:v>189.51</ns0:v>
      </ns0:c>
      <ns0:c r="M28" s="3">
        <ns0:f>ROUND(M228*M348,2)</ns0:f>
        <ns0:v>135.45</ns0:v>
      </ns0:c>
      <ns0:c r="N28" s="3">
        <ns0:f>ROUND(N228*N348,2)</ns0:f>
        <ns0:v>95.81</ns0:v>
      </ns0:c>
      <ns0:c r="O28" s="3">
        <ns0:f>SUM(C28:N28)</ns0:f>
        <ns0:v>2804.39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625.17</ns0:v>
      </ns0:c>
      <ns0:c r="D30" s="6">
        <ns0:f>ROUND(D230*D350,2)</ns0:f>
        <ns0:v>120.33</ns0:v>
      </ns0:c>
      <ns0:c r="E30" s="6">
        <ns0:f>ROUND(E230*E350,2)</ns0:f>
        <ns0:v>194.06</ns0:v>
      </ns0:c>
      <ns0:c r="F30" s="6">
        <ns0:f>ROUND(F230*F350,2)</ns0:f>
        <ns0:v>231.34</ns0:v>
      </ns0:c>
      <ns0:c r="G30" s="6">
        <ns0:f>ROUND(G230*G350,2)</ns0:f>
        <ns0:v>80.34</ns0:v>
      </ns0:c>
      <ns0:c r="H30" s="6">
        <ns0:f>ROUND(H230*H350,2)</ns0:f>
        <ns0:v>221.98</ns0:v>
      </ns0:c>
      <ns0:c r="I30" s="6">
        <ns0:f>ROUND(I230*I350,2)</ns0:f>
        <ns0:v>351.95</ns0:v>
      </ns0:c>
      <ns0:c r="J30" s="6">
        <ns0:f>ROUND(J230*J350,2)</ns0:f>
        <ns0:v>245.31</ns0:v>
      </ns0:c>
      <ns0:c r="K30" s="6">
        <ns0:f>ROUND(K230*K350,2)</ns0:f>
        <ns0:v>183.98</ns0:v>
      </ns0:c>
      <ns0:c r="L30" s="6">
        <ns0:f>ROUND(L230*L350,2)</ns0:f>
        <ns0:v>465.36</ns0:v>
      </ns0:c>
      <ns0:c r="M30" s="6">
        <ns0:f>ROUND(M230*M350,2)</ns0:f>
        <ns0:v>322.50</ns0:v>
      </ns0:c>
      <ns0:c r="N30" s="6">
        <ns0:f>ROUND(N230*N350,2)</ns0:f>
        <ns0:v>324.17</ns0:v>
      </ns0:c>
      <ns0:c r="O30" s="6">
        <ns0:f>SUM(C30:N30)</ns0:f>
        <ns0:v>3366.49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158.74</ns0:v>
      </ns0:c>
      <ns0:c r="D31" s="3">
        <ns0:f>ROUND(D231*D351,2)</ns0:f>
        <ns0:v>309.60</ns0:v>
      </ns0:c>
      <ns0:c r="E31" s="3">
        <ns0:f>ROUND(E231*E351,2)</ns0:f>
        <ns0:v>414.85</ns0:v>
      </ns0:c>
      <ns0:c r="F31" s="3">
        <ns0:f>ROUND(F231*F351,2)</ns0:f>
        <ns0:v>131.79</ns0:v>
      </ns0:c>
      <ns0:c r="G31" s="3">
        <ns0:f>ROUND(G231*G351,2)</ns0:f>
        <ns0:v>197.77</ns0:v>
      </ns0:c>
      <ns0:c r="H31" s="3">
        <ns0:f>ROUND(H231*H351,2)</ns0:f>
        <ns0:v>163.76</ns0:v>
      </ns0:c>
      <ns0:c r="I31" s="3">
        <ns0:f>ROUND(I231*I351,2)</ns0:f>
        <ns0:v>237.15</ns0:v>
      </ns0:c>
      <ns0:c r="J31" s="3">
        <ns0:f>ROUND(J231*J351,2)</ns0:f>
        <ns0:v>180.46</ns0:v>
      </ns0:c>
      <ns0:c r="K31" s="3">
        <ns0:f>ROUND(K231*K351,2)</ns0:f>
        <ns0:v>212.77</ns0:v>
      </ns0:c>
      <ns0:c r="L31" s="3">
        <ns0:f>ROUND(L231*L351,2)</ns0:f>
        <ns0:v>200.72</ns0:v>
      </ns0:c>
      <ns0:c r="M31" s="3">
        <ns0:f>ROUND(M231*M351,2)</ns0:f>
        <ns0:v>147.91</ns0:v>
      </ns0:c>
      <ns0:c r="N31" s="3">
        <ns0:f>ROUND(N231*N351,2)</ns0:f>
        <ns0:v>277.01</ns0:v>
      </ns0:c>
      <ns0:c r="O31" s="3">
        <ns0:f>SUM(C31:N31)</ns0:f>
        <ns0:v>2632.53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110.40</ns0:v>
      </ns0:c>
      <ns0:c r="D32" s="3">
        <ns0:f>ROUND(D232*D352,2)</ns0:f>
        <ns0:v>264.80</ns0:v>
      </ns0:c>
      <ns0:c r="E32" s="3">
        <ns0:f>ROUND(E232*E352,2)</ns0:f>
        <ns0:v>226.33</ns0:v>
      </ns0:c>
      <ns0:c r="F32" s="3">
        <ns0:f>ROUND(F232*F352,2)</ns0:f>
        <ns0:v>426.13</ns0:v>
      </ns0:c>
      <ns0:c r="G32" s="3">
        <ns0:f>ROUND(G232*G352,2)</ns0:f>
        <ns0:v>174.23</ns0:v>
      </ns0:c>
      <ns0:c r="H32" s="3">
        <ns0:f>ROUND(H232*H352,2)</ns0:f>
        <ns0:v>167.46</ns0:v>
      </ns0:c>
      <ns0:c r="I32" s="3">
        <ns0:f>ROUND(I232*I352,2)</ns0:f>
        <ns0:v>147.17</ns0:v>
      </ns0:c>
      <ns0:c r="J32" s="3">
        <ns0:f>ROUND(J232*J352,2)</ns0:f>
        <ns0:v>231.12</ns0:v>
      </ns0:c>
      <ns0:c r="K32" s="3">
        <ns0:f>ROUND(K232*K352,2)</ns0:f>
        <ns0:v>342.02</ns0:v>
      </ns0:c>
      <ns0:c r="L32" s="3">
        <ns0:f>ROUND(L232*L352,2)</ns0:f>
        <ns0:v>372.16</ns0:v>
      </ns0:c>
      <ns0:c r="M32" s="3">
        <ns0:f>ROUND(M232*M352,2)</ns0:f>
        <ns0:v>351.03</ns0:v>
      </ns0:c>
      <ns0:c r="N32" s="3">
        <ns0:f>ROUND(N232*N352,2)</ns0:f>
        <ns0:v>376.85</ns0:v>
      </ns0:c>
      <ns0:c r="O32" s="3">
        <ns0:f>SUM(C32:N32)</ns0:f>
        <ns0:v>3189.70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135.84</ns0:v>
      </ns0:c>
      <ns0:c r="D33" s="3">
        <ns0:f>ROUND(D233*D353,2)</ns0:f>
        <ns0:v>220.23</ns0:v>
      </ns0:c>
      <ns0:c r="E33" s="3">
        <ns0:f>ROUND(E233*E353,2)</ns0:f>
        <ns0:v>338.83</ns0:v>
      </ns0:c>
      <ns0:c r="F33" s="3">
        <ns0:f>ROUND(F233*F353,2)</ns0:f>
        <ns0:v>109.52</ns0:v>
      </ns0:c>
      <ns0:c r="G33" s="3">
        <ns0:f>ROUND(G233*G353,2)</ns0:f>
        <ns0:v>307.87</ns0:v>
      </ns0:c>
      <ns0:c r="H33" s="3">
        <ns0:f>ROUND(H233*H353,2)</ns0:f>
        <ns0:v>195.52</ns0:v>
      </ns0:c>
      <ns0:c r="I33" s="3">
        <ns0:f>ROUND(I233*I353,2)</ns0:f>
        <ns0:v>116.61</ns0:v>
      </ns0:c>
      <ns0:c r="J33" s="3">
        <ns0:f>ROUND(J233*J353,2)</ns0:f>
        <ns0:v>207.40</ns0:v>
      </ns0:c>
      <ns0:c r="K33" s="3">
        <ns0:f>ROUND(K233*K353,2)</ns0:f>
        <ns0:v>385.23</ns0:v>
      </ns0:c>
      <ns0:c r="L33" s="3">
        <ns0:f>ROUND(L233*L353,2)</ns0:f>
        <ns0:v>94.47</ns0:v>
      </ns0:c>
      <ns0:c r="M33" s="3">
        <ns0:f>ROUND(M233*M353,2)</ns0:f>
        <ns0:v>301.40</ns0:v>
      </ns0:c>
      <ns0:c r="N33" s="3">
        <ns0:f>ROUND(N233*N353,2)</ns0:f>
        <ns0:v>482.88</ns0:v>
      </ns0:c>
      <ns0:c r="O33" s="3">
        <ns0:f>SUM(C33:N33)</ns0:f>
        <ns0:v>2895.80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6844.20</ns0:v>
      </ns0:c>
      <ns0:c r="D34" s="3">
        <ns0:f>SUM(D4:D33)</ns0:f>
        <ns0:v>6958.81</ns0:v>
      </ns0:c>
      <ns0:c r="E34" s="3">
        <ns0:f>SUM(E4:E33)</ns0:f>
        <ns0:v>6557.11</ns0:v>
      </ns0:c>
      <ns0:c r="F34" s="3">
        <ns0:f>SUM(F4:F33)</ns0:f>
        <ns0:v>7191.59</ns0:v>
      </ns0:c>
      <ns0:c r="G34" s="3">
        <ns0:f>SUM(G4:G33)</ns0:f>
        <ns0:v>7265.93</ns0:v>
      </ns0:c>
      <ns0:c r="H34" s="3">
        <ns0:f>SUM(H4:H33)</ns0:f>
        <ns0:v>6667.00</ns0:v>
      </ns0:c>
      <ns0:c r="I34" s="3">
        <ns0:f>SUM(I4:I33)</ns0:f>
        <ns0:v>7561.99</ns0:v>
      </ns0:c>
      <ns0:c r="J34" s="3">
        <ns0:f>SUM(J4:J33)</ns0:f>
        <ns0:v>6410.20</ns0:v>
      </ns0:c>
      <ns0:c r="K34" s="3">
        <ns0:f>SUM(K4:K33)</ns0:f>
        <ns0:v>8475.61</ns0:v>
      </ns0:c>
      <ns0:c r="L34" s="3">
        <ns0:f>SUM(L4:L33)</ns0:f>
        <ns0:v>8142.93</ns0:v>
      </ns0:c>
      <ns0:c r="M34" s="3">
        <ns0:f>SUM(M4:M33)</ns0:f>
        <ns0:v>7607.99</ns0:v>
      </ns0:c>
      <ns0:c r="N34" s="3">
        <ns0:f>SUM(N4:N33)</ns0:f>
        <ns0:v>8802.10</ns0:v>
      </ns0:c>
      <ns0:c r="O34" s="3">
        <ns0:f>SUM(C34:N34)</ns0:f>
        <ns0:v>88485.46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32.26</ns0:v>
      </ns0:c>
      <ns0:c r="D204" s="4">
        <ns0:v>23.33</ns0:v>
      </ns0:c>
      <ns0:c r="E204" s="4">
        <ns0:v>48.95</ns0:v>
      </ns0:c>
      <ns0:c r="F204" s="4">
        <ns0:v>45.32</ns0:v>
      </ns0:c>
      <ns0:c r="G204" s="4">
        <ns0:v>45.22</ns0:v>
      </ns0:c>
      <ns0:c r="H204" s="4">
        <ns0:v>17.39</ns0:v>
      </ns0:c>
      <ns0:c r="I204" s="4">
        <ns0:v>28.11</ns0:v>
      </ns0:c>
      <ns0:c r="J204" s="4">
        <ns0:v>31.76</ns0:v>
      </ns0:c>
      <ns0:c r="K204" s="4">
        <ns0:v>59.95</ns0:v>
      </ns0:c>
      <ns0:c r="L204" s="4">
        <ns0:v>55.87</ns0:v>
      </ns0:c>
      <ns0:c r="M204" s="4">
        <ns0:v>37.41</ns0:v>
      </ns0:c>
      <ns0:c r="N204" s="4">
        <ns0:v>45.30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31.19</ns0:v>
      </ns0:c>
      <ns0:c r="D205" s="4">
        <ns0:v>60.59</ns0:v>
      </ns0:c>
      <ns0:c r="E205" s="4">
        <ns0:v>50.27</ns0:v>
      </ns0:c>
      <ns0:c r="F205" s="4">
        <ns0:v>21.29</ns0:v>
      </ns0:c>
      <ns0:c r="G205" s="4">
        <ns0:v>59.14</ns0:v>
      </ns0:c>
      <ns0:c r="H205" s="4">
        <ns0:v>58.95</ns0:v>
      </ns0:c>
      <ns0:c r="I205" s="4">
        <ns0:v>20.39</ns0:v>
      </ns0:c>
      <ns0:c r="J205" s="4">
        <ns0:v>52.52</ns0:v>
      </ns0:c>
      <ns0:c r="K205" s="4">
        <ns0:v>51.14</ns0:v>
      </ns0:c>
      <ns0:c r="L205" s="4">
        <ns0:v>41.87</ns0:v>
      </ns0:c>
      <ns0:c r="M205" s="4">
        <ns0:v>38.96</ns0:v>
      </ns0:c>
      <ns0:c r="N205" s="4">
        <ns0:v>45.75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56.95</ns0:v>
      </ns0:c>
      <ns0:c r="D206" s="4">
        <ns0:v>40.64</ns0:v>
      </ns0:c>
      <ns0:c r="E206" s="4">
        <ns0:v>47.26</ns0:v>
      </ns0:c>
      <ns0:c r="F206" s="4">
        <ns0:v>53.74</ns0:v>
      </ns0:c>
      <ns0:c r="G206" s="4">
        <ns0:v>64.12</ns0:v>
      </ns0:c>
      <ns0:c r="H206" s="4">
        <ns0:v>44.49</ns0:v>
      </ns0:c>
      <ns0:c r="I206" s="4">
        <ns0:v>42.06</ns0:v>
      </ns0:c>
      <ns0:c r="J206" s="4">
        <ns0:v>21.74</ns0:v>
      </ns0:c>
      <ns0:c r="K206" s="4">
        <ns0:v>58.38</ns0:v>
      </ns0:c>
      <ns0:c r="L206" s="4">
        <ns0:v>32.99</ns0:v>
      </ns0:c>
      <ns0:c r="M206" s="4">
        <ns0:v>60.80</ns0:v>
      </ns0:c>
      <ns0:c r="N206" s="4">
        <ns0:v>46.39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34.20</ns0:v>
      </ns0:c>
      <ns0:c r="D207" s="4">
        <ns0:v>57.60</ns0:v>
      </ns0:c>
      <ns0:c r="E207" s="4">
        <ns0:v>28.24</ns0:v>
      </ns0:c>
      <ns0:c r="F207" s="4">
        <ns0:v>55.93</ns0:v>
      </ns0:c>
      <ns0:c r="G207" s="4">
        <ns0:v>25.53</ns0:v>
      </ns0:c>
      <ns0:c r="H207" s="4">
        <ns0:v>48.67</ns0:v>
      </ns0:c>
      <ns0:c r="I207" s="4">
        <ns0:v>30.42</ns0:v>
      </ns0:c>
      <ns0:c r="J207" s="4">
        <ns0:v>54.03</ns0:v>
      </ns0:c>
      <ns0:c r="K207" s="4">
        <ns0:v>48.80</ns0:v>
      </ns0:c>
      <ns0:c r="L207" s="4">
        <ns0:v>24.96</ns0:v>
      </ns0:c>
      <ns0:c r="M207" s="4">
        <ns0:v>41.74</ns0:v>
      </ns0:c>
      <ns0:c r="N207" s="4">
        <ns0:v>26.35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55.48</ns0:v>
      </ns0:c>
      <ns0:c r="D208" s="4">
        <ns0:v>33.16</ns0:v>
      </ns0:c>
      <ns0:c r="E208" s="4">
        <ns0:v>57.35</ns0:v>
      </ns0:c>
      <ns0:c r="F208" s="4">
        <ns0:v>18.64</ns0:v>
      </ns0:c>
      <ns0:c r="G208" s="4">
        <ns0:v>32.62</ns0:v>
      </ns0:c>
      <ns0:c r="H208" s="4">
        <ns0:v>17.83</ns0:v>
      </ns0:c>
      <ns0:c r="I208" s="4">
        <ns0:v>56.07</ns0:v>
      </ns0:c>
      <ns0:c r="J208" s="4">
        <ns0:v>42.55</ns0:v>
      </ns0:c>
      <ns0:c r="K208" s="4">
        <ns0:v>30.76</ns0:v>
      </ns0:c>
      <ns0:c r="L208" s="4">
        <ns0:v>64.74</ns0:v>
      </ns0:c>
      <ns0:c r="M208" s="4">
        <ns0:v>41.47</ns0:v>
      </ns0:c>
      <ns0:c r="N208" s="4">
        <ns0:v>59.99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68.21</ns0:v>
      </ns0:c>
      <ns0:c r="D209" s="4">
        <ns0:v>57.78</ns0:v>
      </ns0:c>
      <ns0:c r="E209" s="4">
        <ns0:v>17.02</ns0:v>
      </ns0:c>
      <ns0:c r="F209" s="4">
        <ns0:v>19.68</ns0:v>
      </ns0:c>
      <ns0:c r="G209" s="4">
        <ns0:v>47.94</ns0:v>
      </ns0:c>
      <ns0:c r="H209" s="4">
        <ns0:v>61.97</ns0:v>
      </ns0:c>
      <ns0:c r="I209" s="4">
        <ns0:v>53.49</ns0:v>
      </ns0:c>
      <ns0:c r="J209" s="4">
        <ns0:v>20.91</ns0:v>
      </ns0:c>
      <ns0:c r="K209" s="4">
        <ns0:v>22.65</ns0:v>
      </ns0:c>
      <ns0:c r="L209" s="4">
        <ns0:v>38.66</ns0:v>
      </ns0:c>
      <ns0:c r="M209" s="4">
        <ns0:v>34.84</ns0:v>
      </ns0:c>
      <ns0:c r="N209" s="4">
        <ns0:v>32.24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24.22</ns0:v>
      </ns0:c>
      <ns0:c r="D210" s="4">
        <ns0:v>48.84</ns0:v>
      </ns0:c>
      <ns0:c r="E210" s="4">
        <ns0:v>54.81</ns0:v>
      </ns0:c>
      <ns0:c r="F210" s="4">
        <ns0:v>30.80</ns0:v>
      </ns0:c>
      <ns0:c r="G210" s="4">
        <ns0:v>48.72</ns0:v>
      </ns0:c>
      <ns0:c r="H210" s="4">
        <ns0:v>38.18</ns0:v>
      </ns0:c>
      <ns0:c r="I210" s="4">
        <ns0:v>43.63</ns0:v>
      </ns0:c>
      <ns0:c r="J210" s="4">
        <ns0:v>57.06</ns0:v>
      </ns0:c>
      <ns0:c r="K210" s="4">
        <ns0:v>67.88</ns0:v>
      </ns0:c>
      <ns0:c r="L210" s="4">
        <ns0:v>56.64</ns0:v>
      </ns0:c>
      <ns0:c r="M210" s="4">
        <ns0:v>52.89</ns0:v>
      </ns0:c>
      <ns0:c r="N210" s="4">
        <ns0:v>64.15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30.58</ns0:v>
      </ns0:c>
      <ns0:c r="D211" s="4">
        <ns0:v>49.28</ns0:v>
      </ns0:c>
      <ns0:c r="E211" s="4">
        <ns0:v>39.36</ns0:v>
      </ns0:c>
      <ns0:c r="F211" s="4">
        <ns0:v>51.48</ns0:v>
      </ns0:c>
      <ns0:c r="G211" s="4">
        <ns0:v>62.57</ns0:v>
      </ns0:c>
      <ns0:c r="H211" s="4">
        <ns0:v>23.12</ns0:v>
      </ns0:c>
      <ns0:c r="I211" s="4">
        <ns0:v>33.01</ns0:v>
      </ns0:c>
      <ns0:c r="J211" s="4">
        <ns0:v>42.43</ns0:v>
      </ns0:c>
      <ns0:c r="K211" s="4">
        <ns0:v>34.18</ns0:v>
      </ns0:c>
      <ns0:c r="L211" s="4">
        <ns0:v>53.30</ns0:v>
      </ns0:c>
      <ns0:c r="M211" s="4">
        <ns0:v>40.85</ns0:v>
      </ns0:c>
      <ns0:c r="N211" s="4">
        <ns0:v>39.41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41.94</ns0:v>
      </ns0:c>
      <ns0:c r="D212" s="4">
        <ns0:v>16.33</ns0:v>
      </ns0:c>
      <ns0:c r="E212" s="4">
        <ns0:v>39.86</ns0:v>
      </ns0:c>
      <ns0:c r="F212" s="4">
        <ns0:v>28.37</ns0:v>
      </ns0:c>
      <ns0:c r="G212" s="4">
        <ns0:v>28.73</ns0:v>
      </ns0:c>
      <ns0:c r="H212" s="4">
        <ns0:v>33.57</ns0:v>
      </ns0:c>
      <ns0:c r="I212" s="4">
        <ns0:v>64.09</ns0:v>
      </ns0:c>
      <ns0:c r="J212" s="4">
        <ns0:v>25.35</ns0:v>
      </ns0:c>
      <ns0:c r="K212" s="4">
        <ns0:v>26.17</ns0:v>
      </ns0:c>
      <ns0:c r="L212" s="4">
        <ns0:v>65.61</ns0:v>
      </ns0:c>
      <ns0:c r="M212" s="4">
        <ns0:v>40.14</ns0:v>
      </ns0:c>
      <ns0:c r="N212" s="4">
        <ns0:v>24.71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47.26</ns0:v>
      </ns0:c>
      <ns0:c r="D213" s="4">
        <ns0:v>49.05</ns0:v>
      </ns0:c>
      <ns0:c r="E213" s="4">
        <ns0:v>27.87</ns0:v>
      </ns0:c>
      <ns0:c r="F213" s="4">
        <ns0:v>60.31</ns0:v>
      </ns0:c>
      <ns0:c r="G213" s="4">
        <ns0:v>38.38</ns0:v>
      </ns0:c>
      <ns0:c r="H213" s="4">
        <ns0:v>58.99</ns0:v>
      </ns0:c>
      <ns0:c r="I213" s="4">
        <ns0:v>38.46</ns0:v>
      </ns0:c>
      <ns0:c r="J213" s="4">
        <ns0:v>42.64</ns0:v>
      </ns0:c>
      <ns0:c r="K213" s="4">
        <ns0:v>45.77</ns0:v>
      </ns0:c>
      <ns0:c r="L213" s="4">
        <ns0:v>32.36</ns0:v>
      </ns0:c>
      <ns0:c r="M213" s="4">
        <ns0:v>37.83</ns0:v>
      </ns0:c>
      <ns0:c r="N213" s="4">
        <ns0:v>44.99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52.22</ns0:v>
      </ns0:c>
      <ns0:c r="D214" s="4">
        <ns0:v>22.34</ns0:v>
      </ns0:c>
      <ns0:c r="E214" s="4">
        <ns0:v>46.02</ns0:v>
      </ns0:c>
      <ns0:c r="F214" s="4">
        <ns0:v>49.92</ns0:v>
      </ns0:c>
      <ns0:c r="G214" s="4">
        <ns0:v>48.41</ns0:v>
      </ns0:c>
      <ns0:c r="H214" s="4">
        <ns0:v>17.29</ns0:v>
      </ns0:c>
      <ns0:c r="I214" s="4">
        <ns0:v>57.94</ns0:v>
      </ns0:c>
      <ns0:c r="J214" s="4">
        <ns0:v>35.05</ns0:v>
      </ns0:c>
      <ns0:c r="K214" s="4">
        <ns0:v>63.50</ns0:v>
      </ns0:c>
      <ns0:c r="L214" s="4">
        <ns0:v>63.66</ns0:v>
      </ns0:c>
      <ns0:c r="M214" s="4">
        <ns0:v>65.76</ns0:v>
      </ns0:c>
      <ns0:c r="N214" s="4">
        <ns0:v>30.39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30.18</ns0:v>
      </ns0:c>
      <ns0:c r="D215" s="4">
        <ns0:v>58.87</ns0:v>
      </ns0:c>
      <ns0:c r="E215" s="4">
        <ns0:v>32.55</ns0:v>
      </ns0:c>
      <ns0:c r="F215" s="4">
        <ns0:v>42.60</ns0:v>
      </ns0:c>
      <ns0:c r="G215" s="4">
        <ns0:v>61.31</ns0:v>
      </ns0:c>
      <ns0:c r="H215" s="4">
        <ns0:v>51.40</ns0:v>
      </ns0:c>
      <ns0:c r="I215" s="4">
        <ns0:v>34.85</ns0:v>
      </ns0:c>
      <ns0:c r="J215" s="4">
        <ns0:v>41.74</ns0:v>
      </ns0:c>
      <ns0:c r="K215" s="4">
        <ns0:v>49.32</ns0:v>
      </ns0:c>
      <ns0:c r="L215" s="4">
        <ns0:v>38.18</ns0:v>
      </ns0:c>
      <ns0:c r="M215" s="4">
        <ns0:v>62.29</ns0:v>
      </ns0:c>
      <ns0:c r="N215" s="4">
        <ns0:v>50.29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19.60</ns0:v>
      </ns0:c>
      <ns0:c r="D216" s="4">
        <ns0:v>33.34</ns0:v>
      </ns0:c>
      <ns0:c r="E216" s="4">
        <ns0:v>39.91</ns0:v>
      </ns0:c>
      <ns0:c r="F216" s="4">
        <ns0:v>54.09</ns0:v>
      </ns0:c>
      <ns0:c r="G216" s="4">
        <ns0:v>26.08</ns0:v>
      </ns0:c>
      <ns0:c r="H216" s="4">
        <ns0:v>64.88</ns0:v>
      </ns0:c>
      <ns0:c r="I216" s="4">
        <ns0:v>40.07</ns0:v>
      </ns0:c>
      <ns0:c r="J216" s="4">
        <ns0:v>48.03</ns0:v>
      </ns0:c>
      <ns0:c r="K216" s="4">
        <ns0:v>44.96</ns0:v>
      </ns0:c>
      <ns0:c r="L216" s="4">
        <ns0:v>58.27</ns0:v>
      </ns0:c>
      <ns0:c r="M216" s="4">
        <ns0:v>41.92</ns0:v>
      </ns0:c>
      <ns0:c r="N216" s="4">
        <ns0:v>54.86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27.16</ns0:v>
      </ns0:c>
      <ns0:c r="D217" s="4">
        <ns0:v>57.67</ns0:v>
      </ns0:c>
      <ns0:c r="E217" s="4">
        <ns0:v>61.48</ns0:v>
      </ns0:c>
      <ns0:c r="F217" s="4">
        <ns0:v>46.06</ns0:v>
      </ns0:c>
      <ns0:c r="G217" s="4">
        <ns0:v>22.65</ns0:v>
      </ns0:c>
      <ns0:c r="H217" s="4">
        <ns0:v>26.94</ns0:v>
      </ns0:c>
      <ns0:c r="I217" s="4">
        <ns0:v>40.03</ns0:v>
      </ns0:c>
      <ns0:c r="J217" s="4">
        <ns0:v>50.87</ns0:v>
      </ns0:c>
      <ns0:c r="K217" s="4">
        <ns0:v>73.33</ns0:v>
      </ns0:c>
      <ns0:c r="L217" s="4">
        <ns0:v>37.37</ns0:v>
      </ns0:c>
      <ns0:c r="M217" s="4">
        <ns0:v>48.38</ns0:v>
      </ns0:c>
      <ns0:c r="N217" s="4">
        <ns0:v>38.42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23.97</ns0:v>
      </ns0:c>
      <ns0:c r="D218" s="4">
        <ns0:v>68.72</ns0:v>
      </ns0:c>
      <ns0:c r="E218" s="4">
        <ns0:v>48.79</ns0:v>
      </ns0:c>
      <ns0:c r="F218" s="4">
        <ns0:v>58.31</ns0:v>
      </ns0:c>
      <ns0:c r="G218" s="4">
        <ns0:v>42.17</ns0:v>
      </ns0:c>
      <ns0:c r="H218" s="4">
        <ns0:v>31.09</ns0:v>
      </ns0:c>
      <ns0:c r="I218" s="4">
        <ns0:v>22.10</ns0:v>
      </ns0:c>
      <ns0:c r="J218" s="4">
        <ns0:v>23.89</ns0:v>
      </ns0:c>
      <ns0:c r="K218" s="4">
        <ns0:v>50.76</ns0:v>
      </ns0:c>
      <ns0:c r="L218" s="4">
        <ns0:v>32.76</ns0:v>
      </ns0:c>
      <ns0:c r="M218" s="4">
        <ns0:v>56.02</ns0:v>
      </ns0:c>
      <ns0:c r="N218" s="4">
        <ns0:v>44.15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46.41</ns0:v>
      </ns0:c>
      <ns0:c r="D219" s="4">
        <ns0:v>32.97</ns0:v>
      </ns0:c>
      <ns0:c r="E219" s="4">
        <ns0:v>47.57</ns0:v>
      </ns0:c>
      <ns0:c r="F219" s="4">
        <ns0:v>20.41</ns0:v>
      </ns0:c>
      <ns0:c r="G219" s="4">
        <ns0:v>36.30</ns0:v>
      </ns0:c>
      <ns0:c r="H219" s="4">
        <ns0:v>42.19</ns0:v>
      </ns0:c>
      <ns0:c r="I219" s="4">
        <ns0:v>74.68</ns0:v>
      </ns0:c>
      <ns0:c r="J219" s="4">
        <ns0:v>51.46</ns0:v>
      </ns0:c>
      <ns0:c r="K219" s="4">
        <ns0:v>44.88</ns0:v>
      </ns0:c>
      <ns0:c r="L219" s="4">
        <ns0:v>30.89</ns0:v>
      </ns0:c>
      <ns0:c r="M219" s="4">
        <ns0:v>26.07</ns0:v>
      </ns0:c>
      <ns0:c r="N219" s="4">
        <ns0:v>49.36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54.46</ns0:v>
      </ns0:c>
      <ns0:c r="D221" s="4">
        <ns0:v>54.79</ns0:v>
      </ns0:c>
      <ns0:c r="E221" s="4">
        <ns0:v>57.52</ns0:v>
      </ns0:c>
      <ns0:c r="F221" s="4">
        <ns0:v>51.37</ns0:v>
      </ns0:c>
      <ns0:c r="G221" s="4">
        <ns0:v>52.92</ns0:v>
      </ns0:c>
      <ns0:c r="H221" s="4">
        <ns0:v>73.80</ns0:v>
      </ns0:c>
      <ns0:c r="I221" s="4">
        <ns0:v>59.86</ns0:v>
      </ns0:c>
      <ns0:c r="J221" s="4">
        <ns0:v>58.65</ns0:v>
      </ns0:c>
      <ns0:c r="K221" s="4">
        <ns0:v>61.08</ns0:v>
      </ns0:c>
      <ns0:c r="L221" s="4">
        <ns0:v>68.58</ns0:v>
      </ns0:c>
      <ns0:c r="M221" s="4">
        <ns0:v>55.06</ns0:v>
      </ns0:c>
      <ns0:c r="N221" s="4">
        <ns0:v>32.20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18.53</ns0:v>
      </ns0:c>
      <ns0:c r="D222" s="4">
        <ns0:v>30.95</ns0:v>
      </ns0:c>
      <ns0:c r="E222" s="4">
        <ns0:v>22.62</ns0:v>
      </ns0:c>
      <ns0:c r="F222" s="4">
        <ns0:v>56.14</ns0:v>
      </ns0:c>
      <ns0:c r="G222" s="4">
        <ns0:v>40.60</ns0:v>
      </ns0:c>
      <ns0:c r="H222" s="4">
        <ns0:v>52.35</ns0:v>
      </ns0:c>
      <ns0:c r="I222" s="4">
        <ns0:v>29.03</ns0:v>
      </ns0:c>
      <ns0:c r="J222" s="4">
        <ns0:v>49.47</ns0:v>
      </ns0:c>
      <ns0:c r="K222" s="4">
        <ns0:v>69.37</ns0:v>
      </ns0:c>
      <ns0:c r="L222" s="4">
        <ns0:v>25.89</ns0:v>
      </ns0:c>
      <ns0:c r="M222" s="4">
        <ns0:v>23.56</ns0:v>
      </ns0:c>
      <ns0:c r="N222" s="4">
        <ns0:v>45.21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28.39</ns0:v>
      </ns0:c>
      <ns0:c r="D223" s="4">
        <ns0:v>61.25</ns0:v>
      </ns0:c>
      <ns0:c r="E223" s="4">
        <ns0:v>16.13</ns0:v>
      </ns0:c>
      <ns0:c r="F223" s="4">
        <ns0:v>20.26</ns0:v>
      </ns0:c>
      <ns0:c r="G223" s="4">
        <ns0:v>70.80</ns0:v>
      </ns0:c>
      <ns0:c r="H223" s="4">
        <ns0:v>44.75</ns0:v>
      </ns0:c>
      <ns0:c r="I223" s="4">
        <ns0:v>48.49</ns0:v>
      </ns0:c>
      <ns0:c r="J223" s="4">
        <ns0:v>18.98</ns0:v>
      </ns0:c>
      <ns0:c r="K223" s="4">
        <ns0:v>59.68</ns0:v>
      </ns0:c>
      <ns0:c r="L223" s="4">
        <ns0:v>26.98</ns0:v>
      </ns0:c>
      <ns0:c r="M223" s="4">
        <ns0:v>49.73</ns0:v>
      </ns0:c>
      <ns0:c r="N223" s="4">
        <ns0:v>19.81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75.81</ns0:v>
      </ns0:c>
      <ns0:c r="D224" s="4">
        <ns0:v>51.16</ns0:v>
      </ns0:c>
      <ns0:c r="E224" s="4">
        <ns0:v>17.60</ns0:v>
      </ns0:c>
      <ns0:c r="F224" s="4">
        <ns0:v>53.10</ns0:v>
      </ns0:c>
      <ns0:c r="G224" s="4">
        <ns0:v>36.42</ns0:v>
      </ns0:c>
      <ns0:c r="H224" s="4">
        <ns0:v>27.98</ns0:v>
      </ns0:c>
      <ns0:c r="I224" s="4">
        <ns0:v>63.10</ns0:v>
      </ns0:c>
      <ns0:c r="J224" s="4">
        <ns0:v>46.29</ns0:v>
      </ns0:c>
      <ns0:c r="K224" s="4">
        <ns0:v>54.41</ns0:v>
      </ns0:c>
      <ns0:c r="L224" s="4">
        <ns0:v>68.84</ns0:v>
      </ns0:c>
      <ns0:c r="M224" s="4">
        <ns0:v>39.82</ns0:v>
      </ns0:c>
      <ns0:c r="N224" s="4">
        <ns0:v>59.12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29.69</ns0:v>
      </ns0:c>
      <ns0:c r="D225" s="4">
        <ns0:v>28.54</ns0:v>
      </ns0:c>
      <ns0:c r="E225" s="4">
        <ns0:v>15.43</ns0:v>
      </ns0:c>
      <ns0:c r="F225" s="4">
        <ns0:v>29.83</ns0:v>
      </ns0:c>
      <ns0:c r="G225" s="4">
        <ns0:v>42.03</ns0:v>
      </ns0:c>
      <ns0:c r="H225" s="4">
        <ns0:v>48.62</ns0:v>
      </ns0:c>
      <ns0:c r="I225" s="4">
        <ns0:v>55.34</ns0:v>
      </ns0:c>
      <ns0:c r="J225" s="4">
        <ns0:v>72.41</ns0:v>
      </ns0:c>
      <ns0:c r="K225" s="4">
        <ns0:v>59.64</ns0:v>
      </ns0:c>
      <ns0:c r="L225" s="4">
        <ns0:v>66.46</ns0:v>
      </ns0:c>
      <ns0:c r="M225" s="4">
        <ns0:v>48.08</ns0:v>
      </ns0:c>
      <ns0:c r="N225" s="4">
        <ns0:v>49.14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42.13</ns0:v>
      </ns0:c>
      <ns0:c r="D226" s="4">
        <ns0:v>22.71</ns0:v>
      </ns0:c>
      <ns0:c r="E226" s="4">
        <ns0:v>59.55</ns0:v>
      </ns0:c>
      <ns0:c r="F226" s="4">
        <ns0:v>62.50</ns0:v>
      </ns0:c>
      <ns0:c r="G226" s="4">
        <ns0:v>56.18</ns0:v>
      </ns0:c>
      <ns0:c r="H226" s="4">
        <ns0:v>39.15</ns0:v>
      </ns0:c>
      <ns0:c r="I226" s="4">
        <ns0:v>64.24</ns0:v>
      </ns0:c>
      <ns0:c r="J226" s="4">
        <ns0:v>53.44</ns0:v>
      </ns0:c>
      <ns0:c r="K226" s="4">
        <ns0:v>15.47</ns0:v>
      </ns0:c>
      <ns0:c r="L226" s="4">
        <ns0:v>50.06</ns0:v>
      </ns0:c>
      <ns0:c r="M226" s="4">
        <ns0:v>48.29</ns0:v>
      </ns0:c>
      <ns0:c r="N226" s="4">
        <ns0:v>51.35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22.20</ns0:v>
      </ns0:c>
      <ns0:c r="D227" s="4">
        <ns0:v>27.54</ns0:v>
      </ns0:c>
      <ns0:c r="E227" s="4">
        <ns0:v>36.44</ns0:v>
      </ns0:c>
      <ns0:c r="F227" s="4">
        <ns0:v>27.27</ns0:v>
      </ns0:c>
      <ns0:c r="G227" s="4">
        <ns0:v>49.59</ns0:v>
      </ns0:c>
      <ns0:c r="H227" s="4">
        <ns0:v>15.82</ns0:v>
      </ns0:c>
      <ns0:c r="I227" s="4">
        <ns0:v>38.91</ns0:v>
      </ns0:c>
      <ns0:c r="J227" s="4">
        <ns0:v>17.46</ns0:v>
      </ns0:c>
      <ns0:c r="K227" s="4">
        <ns0:v>61.96</ns0:v>
      </ns0:c>
      <ns0:c r="L227" s="4">
        <ns0:v>31.67</ns0:v>
      </ns0:c>
      <ns0:c r="M227" s="4">
        <ns0:v>24.34</ns0:v>
      </ns0:c>
      <ns0:c r="N227" s="4">
        <ns0:v>74.70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63.16</ns0:v>
      </ns0:c>
      <ns0:c r="D228" s="4">
        <ns0:v>34.91</ns0:v>
      </ns0:c>
      <ns0:c r="E228" s="4">
        <ns0:v>24.33</ns0:v>
      </ns0:c>
      <ns0:c r="F228" s="4">
        <ns0:v>31.71</ns0:v>
      </ns0:c>
      <ns0:c r="G228" s="4">
        <ns0:v>52.13</ns0:v>
      </ns0:c>
      <ns0:c r="H228" s="4">
        <ns0:v>50.40</ns0:v>
      </ns0:c>
      <ns0:c r="I228" s="4">
        <ns0:v>39.37</ns0:v>
      </ns0:c>
      <ns0:c r="J228" s="4">
        <ns0:v>41.48</ns0:v>
      </ns0:c>
      <ns0:c r="K228" s="4">
        <ns0:v>53.32</ns0:v>
      </ns0:c>
      <ns0:c r="L228" s="4">
        <ns0:v>29.11</ns0:v>
      </ns0:c>
      <ns0:c r="M228" s="4">
        <ns0:v>34.91</ns0:v>
      </ns0:c>
      <ns0:c r="N228" s="4">
        <ns0:v>21.01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72.61</ns0:v>
      </ns0:c>
      <ns0:c r="D230" s="4">
        <ns0:v>28.18</ns0:v>
      </ns0:c>
      <ns0:c r="E230" s="4">
        <ns0:v>25.17</ns0:v>
      </ns0:c>
      <ns0:c r="F230" s="4">
        <ns0:v>45.63</ns0:v>
      </ns0:c>
      <ns0:c r="G230" s="4">
        <ns0:v>38.81</ns0:v>
      </ns0:c>
      <ns0:c r="H230" s="4">
        <ns0:v>29.44</ns0:v>
      </ns0:c>
      <ns0:c r="I230" s="4">
        <ns0:v>64.46</ns0:v>
      </ns0:c>
      <ns0:c r="J230" s="4">
        <ns0:v>61.48</ns0:v>
      </ns0:c>
      <ns0:c r="K230" s="4">
        <ns0:v>38.49</ns0:v>
      </ns0:c>
      <ns0:c r="L230" s="4">
        <ns0:v>66.29</ns0:v>
      </ns0:c>
      <ns0:c r="M230" s="4">
        <ns0:v>53.84</ns0:v>
      </ns0:c>
      <ns0:c r="N230" s="4">
        <ns0:v>60.82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47.67</ns0:v>
      </ns0:c>
      <ns0:c r="D231" s="4">
        <ns0:v>36.51</ns0:v>
      </ns0:c>
      <ns0:c r="E231" s="4">
        <ns0:v>45.84</ns0:v>
      </ns0:c>
      <ns0:c r="F231" s="4">
        <ns0:v>21.82</ns0:v>
      </ns0:c>
      <ns0:c r="G231" s="4">
        <ns0:v>34.88</ns0:v>
      </ns0:c>
      <ns0:c r="H231" s="4">
        <ns0:v>25.04</ns0:v>
      </ns0:c>
      <ns0:c r="I231" s="4">
        <ns0:v>31.62</ns0:v>
      </ns0:c>
      <ns0:c r="J231" s="4">
        <ns0:v>36.98</ns0:v>
      </ns0:c>
      <ns0:c r="K231" s="4">
        <ns0:v>29.80</ns0:v>
      </ns0:c>
      <ns0:c r="L231" s="4">
        <ns0:v>67.13</ns0:v>
      </ns0:c>
      <ns0:c r="M231" s="4">
        <ns0:v>44.55</ns0:v>
      </ns0:c>
      <ns0:c r="N231" s="4">
        <ns0:v>34.67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31.01</ns0:v>
      </ns0:c>
      <ns0:c r="D232" s="4">
        <ns0:v>39.82</ns0:v>
      </ns0:c>
      <ns0:c r="E232" s="4">
        <ns0:v>61.67</ns0:v>
      </ns0:c>
      <ns0:c r="F232" s="4">
        <ns0:v>65.66</ns0:v>
      </ns0:c>
      <ns0:c r="G232" s="4">
        <ns0:v>45.85</ns0:v>
      </ns0:c>
      <ns0:c r="H232" s="4">
        <ns0:v>52.66</ns0:v>
      </ns0:c>
      <ns0:c r="I232" s="4">
        <ns0:v>23.66</ns0:v>
      </ns0:c>
      <ns0:c r="J232" s="4">
        <ns0:v>49.81</ns0:v>
      </ns0:c>
      <ns0:c r="K232" s="4">
        <ns0:v>57.29</ns0:v>
      </ns0:c>
      <ns0:c r="L232" s="4">
        <ns0:v>54.41</ns0:v>
      </ns0:c>
      <ns0:c r="M232" s="4">
        <ns0:v>52.55</ns0:v>
      </ns0:c>
      <ns0:c r="N232" s="4">
        <ns0:v>46.41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43.96</ns0:v>
      </ns0:c>
      <ns0:c r="D233" s="4">
        <ns0:v>42.27</ns0:v>
      </ns0:c>
      <ns0:c r="E233" s="4">
        <ns0:v>36.91</ns0:v>
      </ns0:c>
      <ns0:c r="F233" s="4">
        <ns0:v>17.78</ns0:v>
      </ns0:c>
      <ns0:c r="G233" s="4">
        <ns0:v>45.01</ns0:v>
      </ns0:c>
      <ns0:c r="H233" s="4">
        <ns0:v>33.71</ns0:v>
      </ns0:c>
      <ns0:c r="I233" s="4">
        <ns0:v>41.35</ns0:v>
      </ns0:c>
      <ns0:c r="J233" s="4">
        <ns0:v>25.86</ns0:v>
      </ns0:c>
      <ns0:c r="K233" s="4">
        <ns0:v>48.64</ns0:v>
      </ns0:c>
      <ns0:c r="L233" s="4">
        <ns0:v>37.94</ns0:v>
      </ns0:c>
      <ns0:c r="M233" s="4">
        <ns0:v>49.90</ns0:v>
      </ns0:c>
      <ns0:c r="N233" s="4">
        <ns0:v>57.83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5.59</ns0:v>
      </ns0:c>
      <ns0:c r="D324" s="4">
        <ns0:v>8.03</ns0:v>
      </ns0:c>
      <ns0:c r="E324" s="4">
        <ns0:v>6.09</ns0:v>
      </ns0:c>
      <ns0:c r="F324" s="4">
        <ns0:v>7.19</ns0:v>
      </ns0:c>
      <ns0:c r="G324" s="4">
        <ns0:v>3.72</ns0:v>
      </ns0:c>
      <ns0:c r="H324" s="4">
        <ns0:v>4.10</ns0:v>
      </ns0:c>
      <ns0:c r="I324" s="4">
        <ns0:v>7.47</ns0:v>
      </ns0:c>
      <ns0:c r="J324" s="4">
        <ns0:v>7.57</ns0:v>
      </ns0:c>
      <ns0:c r="K324" s="4">
        <ns0:v>8.61</ns0:v>
      </ns0:c>
      <ns0:c r="L324" s="4">
        <ns0:v>2.44</ns0:v>
      </ns0:c>
      <ns0:c r="M324" s="4">
        <ns0:v>4.77</ns0:v>
      </ns0:c>
      <ns0:c r="N324" s="4">
        <ns0:v>8.61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6.17</ns0:v>
      </ns0:c>
      <ns0:c r="D325" s="4">
        <ns0:v>7.59</ns0:v>
      </ns0:c>
      <ns0:c r="E325" s="4">
        <ns0:v>3.05</ns0:v>
      </ns0:c>
      <ns0:c r="F325" s="4">
        <ns0:v>7.73</ns0:v>
      </ns0:c>
      <ns0:c r="G325" s="4">
        <ns0:v>5.46</ns0:v>
      </ns0:c>
      <ns0:c r="H325" s="4">
        <ns0:v>6.09</ns0:v>
      </ns0:c>
      <ns0:c r="I325" s="4">
        <ns0:v>6.30</ns0:v>
      </ns0:c>
      <ns0:c r="J325" s="4">
        <ns0:v>2.75</ns0:v>
      </ns0:c>
      <ns0:c r="K325" s="4">
        <ns0:v>8.03</ns0:v>
      </ns0:c>
      <ns0:c r="L325" s="4">
        <ns0:v>2.89</ns0:v>
      </ns0:c>
      <ns0:c r="M325" s="4">
        <ns0:v>4.53</ns0:v>
      </ns0:c>
      <ns0:c r="N325" s="4">
        <ns0:v>5.66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5.43</ns0:v>
      </ns0:c>
      <ns0:c r="D326" s="4">
        <ns0:v>4.62</ns0:v>
      </ns0:c>
      <ns0:c r="E326" s="4">
        <ns0:v>4.53</ns0:v>
      </ns0:c>
      <ns0:c r="F326" s="4">
        <ns0:v>4.07</ns0:v>
      </ns0:c>
      <ns0:c r="G326" s="4">
        <ns0:v>3.62</ns0:v>
      </ns0:c>
      <ns0:c r="H326" s="4">
        <ns0:v>3.27</ns0:v>
      </ns0:c>
      <ns0:c r="I326" s="4">
        <ns0:v>8.31</ns0:v>
      </ns0:c>
      <ns0:c r="J326" s="4">
        <ns0:v>9.01</ns0:v>
      </ns0:c>
      <ns0:c r="K326" s="4">
        <ns0:v>5.39</ns0:v>
      </ns0:c>
      <ns0:c r="L326" s="4">
        <ns0:v>5.76</ns0:v>
      </ns0:c>
      <ns0:c r="M326" s="4">
        <ns0:v>2.13</ns0:v>
      </ns0:c>
      <ns0:c r="N326" s="4">
        <ns0:v>4.15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2.60</ns0:v>
      </ns0:c>
      <ns0:c r="D327" s="4">
        <ns0:v>7.35</ns0:v>
      </ns0:c>
      <ns0:c r="E327" s="4">
        <ns0:v>2.55</ns0:v>
      </ns0:c>
      <ns0:c r="F327" s="4">
        <ns0:v>5.08</ns0:v>
      </ns0:c>
      <ns0:c r="G327" s="4">
        <ns0:v>5.36</ns0:v>
      </ns0:c>
      <ns0:c r="H327" s="4">
        <ns0:v>4.13</ns0:v>
      </ns0:c>
      <ns0:c r="I327" s="4">
        <ns0:v>2.94</ns0:v>
      </ns0:c>
      <ns0:c r="J327" s="4">
        <ns0:v>5.10</ns0:v>
      </ns0:c>
      <ns0:c r="K327" s="4">
        <ns0:v>9.46</ns0:v>
      </ns0:c>
      <ns0:c r="L327" s="4">
        <ns0:v>3.49</ns0:v>
      </ns0:c>
      <ns0:c r="M327" s="4">
        <ns0:v>6.46</ns0:v>
      </ns0:c>
      <ns0:c r="N327" s="4">
        <ns0:v>5.11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4.59</ns0:v>
      </ns0:c>
      <ns0:c r="D328" s="4">
        <ns0:v>7.42</ns0:v>
      </ns0:c>
      <ns0:c r="E328" s="4">
        <ns0:v>4.18</ns0:v>
      </ns0:c>
      <ns0:c r="F328" s="4">
        <ns0:v>2.47</ns0:v>
      </ns0:c>
      <ns0:c r="G328" s="4">
        <ns0:v>8.86</ns0:v>
      </ns0:c>
      <ns0:c r="H328" s="4">
        <ns0:v>3.11</ns0:v>
      </ns0:c>
      <ns0:c r="I328" s="4">
        <ns0:v>7.01</ns0:v>
      </ns0:c>
      <ns0:c r="J328" s="4">
        <ns0:v>8.18</ns0:v>
      </ns0:c>
      <ns0:c r="K328" s="4">
        <ns0:v>3.12</ns0:v>
      </ns0:c>
      <ns0:c r="L328" s="4">
        <ns0:v>8.67</ns0:v>
      </ns0:c>
      <ns0:c r="M328" s="4">
        <ns0:v>5.74</ns0:v>
      </ns0:c>
      <ns0:c r="N328" s="4">
        <ns0:v>6.52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2.60</ns0:v>
      </ns0:c>
      <ns0:c r="D329" s="4">
        <ns0:v>3.09</ns0:v>
      </ns0:c>
      <ns0:c r="E329" s="4">
        <ns0:v>3.74</ns0:v>
      </ns0:c>
      <ns0:c r="F329" s="4">
        <ns0:v>7.06</ns0:v>
      </ns0:c>
      <ns0:c r="G329" s="4">
        <ns0:v>7.09</ns0:v>
      </ns0:c>
      <ns0:c r="H329" s="4">
        <ns0:v>7.38</ns0:v>
      </ns0:c>
      <ns0:c r="I329" s="4">
        <ns0:v>5.34</ns0:v>
      </ns0:c>
      <ns0:c r="J329" s="4">
        <ns0:v>6.17</ns0:v>
      </ns0:c>
      <ns0:c r="K329" s="4">
        <ns0:v>2.95</ns0:v>
      </ns0:c>
      <ns0:c r="L329" s="4">
        <ns0:v>3.16</ns0:v>
      </ns0:c>
      <ns0:c r="M329" s="4">
        <ns0:v>3.89</ns0:v>
      </ns0:c>
      <ns0:c r="N329" s="4">
        <ns0:v>6.46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6.08</ns0:v>
      </ns0:c>
      <ns0:c r="D330" s="4">
        <ns0:v>4.30</ns0:v>
      </ns0:c>
      <ns0:c r="E330" s="4">
        <ns0:v>4.53</ns0:v>
      </ns0:c>
      <ns0:c r="F330" s="4">
        <ns0:v>4.42</ns0:v>
      </ns0:c>
      <ns0:c r="G330" s="4">
        <ns0:v>7.07</ns0:v>
      </ns0:c>
      <ns0:c r="H330" s="4">
        <ns0:v>5.14</ns0:v>
      </ns0:c>
      <ns0:c r="I330" s="4">
        <ns0:v>6.79</ns0:v>
      </ns0:c>
      <ns0:c r="J330" s="4">
        <ns0:v>3.23</ns0:v>
      </ns0:c>
      <ns0:c r="K330" s="4">
        <ns0:v>6.04</ns0:v>
      </ns0:c>
      <ns0:c r="L330" s="4">
        <ns0:v>4.25</ns0:v>
      </ns0:c>
      <ns0:c r="M330" s="4">
        <ns0:v>4.96</ns0:v>
      </ns0:c>
      <ns0:c r="N330" s="4">
        <ns0:v>5.19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8.18</ns0:v>
      </ns0:c>
      <ns0:c r="D331" s="4">
        <ns0:v>5.40</ns0:v>
      </ns0:c>
      <ns0:c r="E331" s="4">
        <ns0:v>5.81</ns0:v>
      </ns0:c>
      <ns0:c r="F331" s="4">
        <ns0:v>3.26</ns0:v>
      </ns0:c>
      <ns0:c r="G331" s="4">
        <ns0:v>2.79</ns0:v>
      </ns0:c>
      <ns0:c r="H331" s="4">
        <ns0:v>5.21</ns0:v>
      </ns0:c>
      <ns0:c r="I331" s="4">
        <ns0:v>4.22</ns0:v>
      </ns0:c>
      <ns0:c r="J331" s="4">
        <ns0:v>5.43</ns0:v>
      </ns0:c>
      <ns0:c r="K331" s="4">
        <ns0:v>6.61</ns0:v>
      </ns0:c>
      <ns0:c r="L331" s="4">
        <ns0:v>4.57</ns0:v>
      </ns0:c>
      <ns0:c r="M331" s="4">
        <ns0:v>7.23</ns0:v>
      </ns0:c>
      <ns0:c r="N331" s="4">
        <ns0:v>6.75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7.99</ns0:v>
      </ns0:c>
      <ns0:c r="D332" s="4">
        <ns0:v>2.25</ns0:v>
      </ns0:c>
      <ns0:c r="E332" s="4">
        <ns0:v>2.97</ns0:v>
      </ns0:c>
      <ns0:c r="F332" s="4">
        <ns0:v>3.75</ns0:v>
      </ns0:c>
      <ns0:c r="G332" s="4">
        <ns0:v>7.58</ns0:v>
      </ns0:c>
      <ns0:c r="H332" s="4">
        <ns0:v>6.45</ns0:v>
      </ns0:c>
      <ns0:c r="I332" s="4">
        <ns0:v>3.73</ns0:v>
      </ns0:c>
      <ns0:c r="J332" s="4">
        <ns0:v>5.47</ns0:v>
      </ns0:c>
      <ns0:c r="K332" s="4">
        <ns0:v>5.28</ns0:v>
      </ns0:c>
      <ns0:c r="L332" s="4">
        <ns0:v>7.43</ns0:v>
      </ns0:c>
      <ns0:c r="M332" s="4">
        <ns0:v>3.07</ns0:v>
      </ns0:c>
      <ns0:c r="N332" s="4">
        <ns0:v>4.20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6.01</ns0:v>
      </ns0:c>
      <ns0:c r="D333" s="4">
        <ns0:v>2.36</ns0:v>
      </ns0:c>
      <ns0:c r="E333" s="4">
        <ns0:v>6.10</ns0:v>
      </ns0:c>
      <ns0:c r="F333" s="4">
        <ns0:v>6.64</ns0:v>
      </ns0:c>
      <ns0:c r="G333" s="4">
        <ns0:v>4.36</ns0:v>
      </ns0:c>
      <ns0:c r="H333" s="4">
        <ns0:v>6.07</ns0:v>
      </ns0:c>
      <ns0:c r="I333" s="4">
        <ns0:v>3.12</ns0:v>
      </ns0:c>
      <ns0:c r="J333" s="4">
        <ns0:v>2.23</ns0:v>
      </ns0:c>
      <ns0:c r="K333" s="4">
        <ns0:v>7.71</ns0:v>
      </ns0:c>
      <ns0:c r="L333" s="4">
        <ns0:v>5.10</ns0:v>
      </ns0:c>
      <ns0:c r="M333" s="4">
        <ns0:v>8.10</ns0:v>
      </ns0:c>
      <ns0:c r="N333" s="4">
        <ns0:v>8.08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2.22</ns0:v>
      </ns0:c>
      <ns0:c r="D334" s="4">
        <ns0:v>5.50</ns0:v>
      </ns0:c>
      <ns0:c r="E334" s="4">
        <ns0:v>4.32</ns0:v>
      </ns0:c>
      <ns0:c r="F334" s="4">
        <ns0:v>9.44</ns0:v>
      </ns0:c>
      <ns0:c r="G334" s="4">
        <ns0:v>2.76</ns0:v>
      </ns0:c>
      <ns0:c r="H334" s="4">
        <ns0:v>3.82</ns0:v>
      </ns0:c>
      <ns0:c r="I334" s="4">
        <ns0:v>7.69</ns0:v>
      </ns0:c>
      <ns0:c r="J334" s="4">
        <ns0:v>8.76</ns0:v>
      </ns0:c>
      <ns0:c r="K334" s="4">
        <ns0:v>8.65</ns0:v>
      </ns0:c>
      <ns0:c r="L334" s="4">
        <ns0:v>4.11</ns0:v>
      </ns0:c>
      <ns0:c r="M334" s="4">
        <ns0:v>7.75</ns0:v>
      </ns0:c>
      <ns0:c r="N334" s="4">
        <ns0:v>7.82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3.66</ns0:v>
      </ns0:c>
      <ns0:c r="D335" s="4">
        <ns0:v>7.17</ns0:v>
      </ns0:c>
      <ns0:c r="E335" s="4">
        <ns0:v>7.72</ns0:v>
      </ns0:c>
      <ns0:c r="F335" s="4">
        <ns0:v>7.41</ns0:v>
      </ns0:c>
      <ns0:c r="G335" s="4">
        <ns0:v>3.60</ns0:v>
      </ns0:c>
      <ns0:c r="H335" s="4">
        <ns0:v>6.47</ns0:v>
      </ns0:c>
      <ns0:c r="I335" s="4">
        <ns0:v>7.41</ns0:v>
      </ns0:c>
      <ns0:c r="J335" s="4">
        <ns0:v>2.71</ns0:v>
      </ns0:c>
      <ns0:c r="K335" s="4">
        <ns0:v>7.11</ns0:v>
      </ns0:c>
      <ns0:c r="L335" s="4">
        <ns0:v>7.12</ns0:v>
      </ns0:c>
      <ns0:c r="M335" s="4">
        <ns0:v>5.75</ns0:v>
      </ns0:c>
      <ns0:c r="N335" s="4">
        <ns0:v>6.92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7.93</ns0:v>
      </ns0:c>
      <ns0:c r="D336" s="4">
        <ns0:v>2.56</ns0:v>
      </ns0:c>
      <ns0:c r="E336" s="4">
        <ns0:v>5.97</ns0:v>
      </ns0:c>
      <ns0:c r="F336" s="4">
        <ns0:v>6.96</ns0:v>
      </ns0:c>
      <ns0:c r="G336" s="4">
        <ns0:v>5.26</ns0:v>
      </ns0:c>
      <ns0:c r="H336" s="4">
        <ns0:v>7.30</ns0:v>
      </ns0:c>
      <ns0:c r="I336" s="4">
        <ns0:v>5.12</ns0:v>
      </ns0:c>
      <ns0:c r="J336" s="4">
        <ns0:v>4.18</ns0:v>
      </ns0:c>
      <ns0:c r="K336" s="4">
        <ns0:v>3.05</ns0:v>
      </ns0:c>
      <ns0:c r="L336" s="4">
        <ns0:v>7.26</ns0:v>
      </ns0:c>
      <ns0:c r="M336" s="4">
        <ns0:v>2.77</ns0:v>
      </ns0:c>
      <ns0:c r="N336" s="4">
        <ns0:v>8.49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8.46</ns0:v>
      </ns0:c>
      <ns0:c r="D337" s="4">
        <ns0:v>2.82</ns0:v>
      </ns0:c>
      <ns0:c r="E337" s="4">
        <ns0:v>4.49</ns0:v>
      </ns0:c>
      <ns0:c r="F337" s="4">
        <ns0:v>6.66</ns0:v>
      </ns0:c>
      <ns0:c r="G337" s="4">
        <ns0:v>9.11</ns0:v>
      </ns0:c>
      <ns0:c r="H337" s="4">
        <ns0:v>8.19</ns0:v>
      </ns0:c>
      <ns0:c r="I337" s="4">
        <ns0:v>6.81</ns0:v>
      </ns0:c>
      <ns0:c r="J337" s="4">
        <ns0:v>2.55</ns0:v>
      </ns0:c>
      <ns0:c r="K337" s="4">
        <ns0:v>2.73</ns0:v>
      </ns0:c>
      <ns0:c r="L337" s="4">
        <ns0:v>6.60</ns0:v>
      </ns0:c>
      <ns0:c r="M337" s="4">
        <ns0:v>8.18</ns0:v>
      </ns0:c>
      <ns0:c r="N337" s="4">
        <ns0:v>4.23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4.56</ns0:v>
      </ns0:c>
      <ns0:c r="D338" s="4">
        <ns0:v>6.01</ns0:v>
      </ns0:c>
      <ns0:c r="E338" s="4">
        <ns0:v>4.67</ns0:v>
      </ns0:c>
      <ns0:c r="F338" s="4">
        <ns0:v>2.57</ns0:v>
      </ns0:c>
      <ns0:c r="G338" s="4">
        <ns0:v>3.58</ns0:v>
      </ns0:c>
      <ns0:c r="H338" s="4">
        <ns0:v>6.95</ns0:v>
      </ns0:c>
      <ns0:c r="I338" s="4">
        <ns0:v>6.47</ns0:v>
      </ns0:c>
      <ns0:c r="J338" s="4">
        <ns0:v>8.10</ns0:v>
      </ns0:c>
      <ns0:c r="K338" s="4">
        <ns0:v>3.89</ns0:v>
      </ns0:c>
      <ns0:c r="L338" s="4">
        <ns0:v>2.58</ns0:v>
      </ns0:c>
      <ns0:c r="M338" s="4">
        <ns0:v>3.11</ns0:v>
      </ns0:c>
      <ns0:c r="N338" s="4">
        <ns0:v>7.33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4.58</ns0:v>
      </ns0:c>
      <ns0:c r="D339" s="4">
        <ns0:v>7.26</ns0:v>
      </ns0:c>
      <ns0:c r="E339" s="4">
        <ns0:v>4.05</ns0:v>
      </ns0:c>
      <ns0:c r="F339" s="4">
        <ns0:v>4.85</ns0:v>
      </ns0:c>
      <ns0:c r="G339" s="4">
        <ns0:v>3.62</ns0:v>
      </ns0:c>
      <ns0:c r="H339" s="4">
        <ns0:v>5.01</ns0:v>
      </ns0:c>
      <ns0:c r="I339" s="4">
        <ns0:v>3.57</ns0:v>
      </ns0:c>
      <ns0:c r="J339" s="4">
        <ns0:v>4.74</ns0:v>
      </ns0:c>
      <ns0:c r="K339" s="4">
        <ns0:v>8.40</ns0:v>
      </ns0:c>
      <ns0:c r="L339" s="4">
        <ns0:v>8.30</ns0:v>
      </ns0:c>
      <ns0:c r="M339" s="4">
        <ns0:v>4.34</ns0:v>
      </ns0:c>
      <ns0:c r="N339" s="4">
        <ns0:v>4.90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7.07</ns0:v>
      </ns0:c>
      <ns0:c r="D341" s="4">
        <ns0:v>3.52</ns0:v>
      </ns0:c>
      <ns0:c r="E341" s="4">
        <ns0:v>8.66</ns0:v>
      </ns0:c>
      <ns0:c r="F341" s="4">
        <ns0:v>3.47</ns0:v>
      </ns0:c>
      <ns0:c r="G341" s="4">
        <ns0:v>3.95</ns0:v>
      </ns0:c>
      <ns0:c r="H341" s="4">
        <ns0:v>4.24</ns0:v>
      </ns0:c>
      <ns0:c r="I341" s="4">
        <ns0:v>5.34</ns0:v>
      </ns0:c>
      <ns0:c r="J341" s="4">
        <ns0:v>2.29</ns0:v>
      </ns0:c>
      <ns0:c r="K341" s="4">
        <ns0:v>7.39</ns0:v>
      </ns0:c>
      <ns0:c r="L341" s="4">
        <ns0:v>9.49</ns0:v>
      </ns0:c>
      <ns0:c r="M341" s="4">
        <ns0:v>7.08</ns0:v>
      </ns0:c>
      <ns0:c r="N341" s="4">
        <ns0:v>7.99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2.17</ns0:v>
      </ns0:c>
      <ns0:c r="D342" s="4">
        <ns0:v>2.50</ns0:v>
      </ns0:c>
      <ns0:c r="E342" s="4">
        <ns0:v>5.64</ns0:v>
      </ns0:c>
      <ns0:c r="F342" s="4">
        <ns0:v>5.62</ns0:v>
      </ns0:c>
      <ns0:c r="G342" s="4">
        <ns0:v>5.24</ns0:v>
      </ns0:c>
      <ns0:c r="H342" s="4">
        <ns0:v>5.64</ns0:v>
      </ns0:c>
      <ns0:c r="I342" s="4">
        <ns0:v>6.24</ns0:v>
      </ns0:c>
      <ns0:c r="J342" s="4">
        <ns0:v>2.81</ns0:v>
      </ns0:c>
      <ns0:c r="K342" s="4">
        <ns0:v>4.24</ns0:v>
      </ns0:c>
      <ns0:c r="L342" s="4">
        <ns0:v>9.13</ns0:v>
      </ns0:c>
      <ns0:c r="M342" s="4">
        <ns0:v>7.09</ns0:v>
      </ns0:c>
      <ns0:c r="N342" s="4">
        <ns0:v>6.42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7.49</ns0:v>
      </ns0:c>
      <ns0:c r="D343" s="4">
        <ns0:v>7.94</ns0:v>
      </ns0:c>
      <ns0:c r="E343" s="4">
        <ns0:v>4.14</ns0:v>
      </ns0:c>
      <ns0:c r="F343" s="4">
        <ns0:v>8.19</ns0:v>
      </ns0:c>
      <ns0:c r="G343" s="4">
        <ns0:v>7.58</ns0:v>
      </ns0:c>
      <ns0:c r="H343" s="4">
        <ns0:v>2.57</ns0:v>
      </ns0:c>
      <ns0:c r="I343" s="4">
        <ns0:v>3.90</ns0:v>
      </ns0:c>
      <ns0:c r="J343" s="4">
        <ns0:v>6.11</ns0:v>
      </ns0:c>
      <ns0:c r="K343" s="4">
        <ns0:v>2.57</ns0:v>
      </ns0:c>
      <ns0:c r="L343" s="4">
        <ns0:v>8.29</ns0:v>
      </ns0:c>
      <ns0:c r="M343" s="4">
        <ns0:v>6.58</ns0:v>
      </ns0:c>
      <ns0:c r="N343" s="4">
        <ns0:v>6.62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4.46</ns0:v>
      </ns0:c>
      <ns0:c r="D344" s="4">
        <ns0:v>6.05</ns0:v>
      </ns0:c>
      <ns0:c r="E344" s="4">
        <ns0:v>7.93</ns0:v>
      </ns0:c>
      <ns0:c r="F344" s="4">
        <ns0:v>7.44</ns0:v>
      </ns0:c>
      <ns0:c r="G344" s="4">
        <ns0:v>2.93</ns0:v>
      </ns0:c>
      <ns0:c r="H344" s="4">
        <ns0:v>4.34</ns0:v>
      </ns0:c>
      <ns0:c r="I344" s="4">
        <ns0:v>7.22</ns0:v>
      </ns0:c>
      <ns0:c r="J344" s="4">
        <ns0:v>7.86</ns0:v>
      </ns0:c>
      <ns0:c r="K344" s="4">
        <ns0:v>8.74</ns0:v>
      </ns0:c>
      <ns0:c r="L344" s="4">
        <ns0:v>6.51</ns0:v>
      </ns0:c>
      <ns0:c r="M344" s="4">
        <ns0:v>3.63</ns0:v>
      </ns0:c>
      <ns0:c r="N344" s="4">
        <ns0:v>2.69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3.85</ns0:v>
      </ns0:c>
      <ns0:c r="D345" s="4">
        <ns0:v>4.88</ns0:v>
      </ns0:c>
      <ns0:c r="E345" s="4">
        <ns0:v>2.85</ns0:v>
      </ns0:c>
      <ns0:c r="F345" s="4">
        <ns0:v>8.26</ns0:v>
      </ns0:c>
      <ns0:c r="G345" s="4">
        <ns0:v>7.58</ns0:v>
      </ns0:c>
      <ns0:c r="H345" s="4">
        <ns0:v>4.46</ns0:v>
      </ns0:c>
      <ns0:c r="I345" s="4">
        <ns0:v>3.50</ns0:v>
      </ns0:c>
      <ns0:c r="J345" s="4">
        <ns0:v>5.51</ns0:v>
      </ns0:c>
      <ns0:c r="K345" s="4">
        <ns0:v>1.96</ns0:v>
      </ns0:c>
      <ns0:c r="L345" s="4">
        <ns0:v>2.05</ns0:v>
      </ns0:c>
      <ns0:c r="M345" s="4">
        <ns0:v>8.99</ns0:v>
      </ns0:c>
      <ns0:c r="N345" s="4">
        <ns0:v>7.19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8.91</ns0:v>
      </ns0:c>
      <ns0:c r="D346" s="4">
        <ns0:v>5.31</ns0:v>
      </ns0:c>
      <ns0:c r="E346" s="4">
        <ns0:v>7.27</ns0:v>
      </ns0:c>
      <ns0:c r="F346" s="4">
        <ns0:v>6.79</ns0:v>
      </ns0:c>
      <ns0:c r="G346" s="4">
        <ns0:v>8.44</ns0:v>
      </ns0:c>
      <ns0:c r="H346" s="4">
        <ns0:v>5.80</ns0:v>
      </ns0:c>
      <ns0:c r="I346" s="4">
        <ns0:v>5.35</ns0:v>
      </ns0:c>
      <ns0:c r="J346" s="4">
        <ns0:v>3.68</ns0:v>
      </ns0:c>
      <ns0:c r="K346" s="4">
        <ns0:v>3.67</ns0:v>
      </ns0:c>
      <ns0:c r="L346" s="4">
        <ns0:v>8.63</ns0:v>
      </ns0:c>
      <ns0:c r="M346" s="4">
        <ns0:v>8.19</ns0:v>
      </ns0:c>
      <ns0:c r="N346" s="4">
        <ns0:v>6.56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5.42</ns0:v>
      </ns0:c>
      <ns0:c r="D347" s="4">
        <ns0:v>3.04</ns0:v>
      </ns0:c>
      <ns0:c r="E347" s="4">
        <ns0:v>2.52</ns0:v>
      </ns0:c>
      <ns0:c r="F347" s="4">
        <ns0:v>2.93</ns0:v>
      </ns0:c>
      <ns0:c r="G347" s="4">
        <ns0:v>8.35</ns0:v>
      </ns0:c>
      <ns0:c r="H347" s="4">
        <ns0:v>3.13</ns0:v>
      </ns0:c>
      <ns0:c r="I347" s="4">
        <ns0:v>7.42</ns0:v>
      </ns0:c>
      <ns0:c r="J347" s="4">
        <ns0:v>7.51</ns0:v>
      </ns0:c>
      <ns0:c r="K347" s="4">
        <ns0:v>4.23</ns0:v>
      </ns0:c>
      <ns0:c r="L347" s="4">
        <ns0:v>6.12</ns0:v>
      </ns0:c>
      <ns0:c r="M347" s="4">
        <ns0:v>4.54</ns0:v>
      </ns0:c>
      <ns0:c r="N347" s="4">
        <ns0:v>9.31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7.51</ns0:v>
      </ns0:c>
      <ns0:c r="D348" s="4">
        <ns0:v>7.92</ns0:v>
      </ns0:c>
      <ns0:c r="E348" s="4">
        <ns0:v>7.82</ns0:v>
      </ns0:c>
      <ns0:c r="F348" s="4">
        <ns0:v>5.63</ns0:v>
      </ns0:c>
      <ns0:c r="G348" s="4">
        <ns0:v>4.98</ns0:v>
      </ns0:c>
      <ns0:c r="H348" s="4">
        <ns0:v>5.52</ns0:v>
      </ns0:c>
      <ns0:c r="I348" s="4">
        <ns0:v>7.49</ns0:v>
      </ns0:c>
      <ns0:c r="J348" s="4">
        <ns0:v>7.12</ns0:v>
      </ns0:c>
      <ns0:c r="K348" s="4">
        <ns0:v>2.55</ns0:v>
      </ns0:c>
      <ns0:c r="L348" s="4">
        <ns0:v>6.51</ns0:v>
      </ns0:c>
      <ns0:c r="M348" s="4">
        <ns0:v>3.88</ns0:v>
      </ns0:c>
      <ns0:c r="N348" s="4">
        <ns0:v>4.56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8.61</ns0:v>
      </ns0:c>
      <ns0:c r="D350" s="4">
        <ns0:v>4.27</ns0:v>
      </ns0:c>
      <ns0:c r="E350" s="4">
        <ns0:v>7.71</ns0:v>
      </ns0:c>
      <ns0:c r="F350" s="4">
        <ns0:v>5.07</ns0:v>
      </ns0:c>
      <ns0:c r="G350" s="4">
        <ns0:v>2.07</ns0:v>
      </ns0:c>
      <ns0:c r="H350" s="4">
        <ns0:v>7.54</ns0:v>
      </ns0:c>
      <ns0:c r="I350" s="4">
        <ns0:v>5.46</ns0:v>
      </ns0:c>
      <ns0:c r="J350" s="4">
        <ns0:v>3.99</ns0:v>
      </ns0:c>
      <ns0:c r="K350" s="4">
        <ns0:v>4.78</ns0:v>
      </ns0:c>
      <ns0:c r="L350" s="4">
        <ns0:v>7.02</ns0:v>
      </ns0:c>
      <ns0:c r="M350" s="4">
        <ns0:v>5.99</ns0:v>
      </ns0:c>
      <ns0:c r="N350" s="4">
        <ns0:v>5.33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3.33</ns0:v>
      </ns0:c>
      <ns0:c r="D351" s="4">
        <ns0:v>8.48</ns0:v>
      </ns0:c>
      <ns0:c r="E351" s="4">
        <ns0:v>9.05</ns0:v>
      </ns0:c>
      <ns0:c r="F351" s="4">
        <ns0:v>6.04</ns0:v>
      </ns0:c>
      <ns0:c r="G351" s="4">
        <ns0:v>5.67</ns0:v>
      </ns0:c>
      <ns0:c r="H351" s="4">
        <ns0:v>6.54</ns0:v>
      </ns0:c>
      <ns0:c r="I351" s="4">
        <ns0:v>7.50</ns0:v>
      </ns0:c>
      <ns0:c r="J351" s="4">
        <ns0:v>4.88</ns0:v>
      </ns0:c>
      <ns0:c r="K351" s="4">
        <ns0:v>7.14</ns0:v>
      </ns0:c>
      <ns0:c r="L351" s="4">
        <ns0:v>2.99</ns0:v>
      </ns0:c>
      <ns0:c r="M351" s="4">
        <ns0:v>3.32</ns0:v>
      </ns0:c>
      <ns0:c r="N351" s="4">
        <ns0:v>7.99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3.56</ns0:v>
      </ns0:c>
      <ns0:c r="D352" s="4">
        <ns0:v>6.65</ns0:v>
      </ns0:c>
      <ns0:c r="E352" s="4">
        <ns0:v>3.67</ns0:v>
      </ns0:c>
      <ns0:c r="F352" s="4">
        <ns0:v>6.49</ns0:v>
      </ns0:c>
      <ns0:c r="G352" s="4">
        <ns0:v>3.80</ns0:v>
      </ns0:c>
      <ns0:c r="H352" s="4">
        <ns0:v>3.18</ns0:v>
      </ns0:c>
      <ns0:c r="I352" s="4">
        <ns0:v>6.22</ns0:v>
      </ns0:c>
      <ns0:c r="J352" s="4">
        <ns0:v>4.64</ns0:v>
      </ns0:c>
      <ns0:c r="K352" s="4">
        <ns0:v>5.97</ns0:v>
      </ns0:c>
      <ns0:c r="L352" s="4">
        <ns0:v>6.84</ns0:v>
      </ns0:c>
      <ns0:c r="M352" s="4">
        <ns0:v>6.68</ns0:v>
      </ns0:c>
      <ns0:c r="N352" s="4">
        <ns0:v>8.12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3.09</ns0:v>
      </ns0:c>
      <ns0:c r="D353" s="4">
        <ns0:v>5.21</ns0:v>
      </ns0:c>
      <ns0:c r="E353" s="4">
        <ns0:v>9.18</ns0:v>
      </ns0:c>
      <ns0:c r="F353" s="4">
        <ns0:v>6.16</ns0:v>
      </ns0:c>
      <ns0:c r="G353" s="4">
        <ns0:v>6.84</ns0:v>
      </ns0:c>
      <ns0:c r="H353" s="4">
        <ns0:v>5.80</ns0:v>
      </ns0:c>
      <ns0:c r="I353" s="4">
        <ns0:v>2.82</ns0:v>
      </ns0:c>
      <ns0:c r="J353" s="4">
        <ns0:v>8.02</ns0:v>
      </ns0:c>
      <ns0:c r="K353" s="4">
        <ns0:v>7.92</ns0:v>
      </ns0:c>
      <ns0:c r="L353" s="4">
        <ns0:v>2.49</ns0:v>
      </ns0:c>
      <ns0:c r="M353" s="4">
        <ns0:v>6.04</ns0:v>
      </ns0:c>
      <ns0:c r="N353" s="4">
        <ns0:v>8.35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260.61</ns0:v>
      </ns0:c>
      <ns0:c r="D4" s="3">
        <ns0:f>ROUND(D204*D324,2)</ns0:f>
        <ns0:v>433.64</ns0:v>
      </ns0:c>
      <ns0:c r="E4" s="3">
        <ns0:f>ROUND(E204*E324,2)</ns0:f>
        <ns0:v>188.54</ns0:v>
      </ns0:c>
      <ns0:c r="F4" s="3">
        <ns0:f>ROUND(F204*F324,2)</ns0:f>
        <ns0:v>126.46</ns0:v>
      </ns0:c>
      <ns0:c r="G4" s="3">
        <ns0:f>ROUND(G204*G324,2)</ns0:f>
        <ns0:v>501.70</ns0:v>
      </ns0:c>
      <ns0:c r="H4" s="3">
        <ns0:f>ROUND(H204*H324,2)</ns0:f>
        <ns0:v>97.18</ns0:v>
      </ns0:c>
      <ns0:c r="I4" s="3">
        <ns0:f>ROUND(I204*I324,2)</ns0:f>
        <ns0:v>339.90</ns0:v>
      </ns0:c>
      <ns0:c r="J4" s="3">
        <ns0:f>ROUND(J204*J324,2)</ns0:f>
        <ns0:v>325.88</ns0:v>
      </ns0:c>
      <ns0:c r="K4" s="3">
        <ns0:f>ROUND(K204*K324,2)</ns0:f>
        <ns0:v>272.90</ns0:v>
      </ns0:c>
      <ns0:c r="L4" s="3">
        <ns0:f>ROUND(L204*L324,2)</ns0:f>
        <ns0:v>305.68</ns0:v>
      </ns0:c>
      <ns0:c r="M4" s="3">
        <ns0:f>ROUND(M204*M324,2)</ns0:f>
        <ns0:v>158.67</ns0:v>
      </ns0:c>
      <ns0:c r="N4" s="3">
        <ns0:f>ROUND(N204*N324,2)</ns0:f>
        <ns0:v>114.37</ns0:v>
      </ns0:c>
      <ns0:c r="O4" s="3">
        <ns0:f>SUM(C4:N4)</ns0:f>
        <ns0:v>3125.53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231.30</ns0:v>
      </ns0:c>
      <ns0:c r="D5" s="3">
        <ns0:f>ROUND(D205*D325,2)</ns0:f>
        <ns0:v>365.22</ns0:v>
      </ns0:c>
      <ns0:c r="E5" s="3">
        <ns0:f>ROUND(E205*E325,2)</ns0:f>
        <ns0:v>529.17</ns0:v>
      </ns0:c>
      <ns0:c r="F5" s="3">
        <ns0:f>ROUND(F205*F325,2)</ns0:f>
        <ns0:v>298.03</ns0:v>
      </ns0:c>
      <ns0:c r="G5" s="3">
        <ns0:f>ROUND(G205*G325,2)</ns0:f>
        <ns0:v>175.37</ns0:v>
      </ns0:c>
      <ns0:c r="H5" s="3">
        <ns0:f>ROUND(H205*H325,2)</ns0:f>
        <ns0:v>134.19</ns0:v>
      </ns0:c>
      <ns0:c r="I5" s="3">
        <ns0:f>ROUND(I205*I325,2)</ns0:f>
        <ns0:v>481.50</ns0:v>
      </ns0:c>
      <ns0:c r="J5" s="3">
        <ns0:f>ROUND(J205*J325,2)</ns0:f>
        <ns0:v>159.22</ns0:v>
      </ns0:c>
      <ns0:c r="K5" s="3">
        <ns0:f>ROUND(K205*K325,2)</ns0:f>
        <ns0:v>406.11</ns0:v>
      </ns0:c>
      <ns0:c r="L5" s="3">
        <ns0:f>ROUND(L205*L325,2)</ns0:f>
        <ns0:v>305.92</ns0:v>
      </ns0:c>
      <ns0:c r="M5" s="3">
        <ns0:f>ROUND(M205*M325,2)</ns0:f>
        <ns0:v>184.11</ns0:v>
      </ns0:c>
      <ns0:c r="N5" s="3">
        <ns0:f>ROUND(N205*N325,2)</ns0:f>
        <ns0:v>67.75</ns0:v>
      </ns0:c>
      <ns0:c r="O5" s="3">
        <ns0:f>SUM(C5:N5)</ns0:f>
        <ns0:v>3337.89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135.01</ns0:v>
      </ns0:c>
      <ns0:c r="D6" s="3">
        <ns0:f>ROUND(D206*D326,2)</ns0:f>
        <ns0:v>330.19</ns0:v>
      </ns0:c>
      <ns0:c r="E6" s="3">
        <ns0:f>ROUND(E206*E326,2)</ns0:f>
        <ns0:v>100.87</ns0:v>
      </ns0:c>
      <ns0:c r="F6" s="3">
        <ns0:f>ROUND(F206*F326,2)</ns0:f>
        <ns0:v>241.55</ns0:v>
      </ns0:c>
      <ns0:c r="G6" s="3">
        <ns0:f>ROUND(G206*G326,2)</ns0:f>
        <ns0:v>162.96</ns0:v>
      </ns0:c>
      <ns0:c r="H6" s="3">
        <ns0:f>ROUND(H206*H326,2)</ns0:f>
        <ns0:v>286.45</ns0:v>
      </ns0:c>
      <ns0:c r="I6" s="3">
        <ns0:f>ROUND(I206*I326,2)</ns0:f>
        <ns0:v>171.09</ns0:v>
      </ns0:c>
      <ns0:c r="J6" s="3">
        <ns0:f>ROUND(J206*J326,2)</ns0:f>
        <ns0:v>137.40</ns0:v>
      </ns0:c>
      <ns0:c r="K6" s="3">
        <ns0:f>ROUND(K206*K326,2)</ns0:f>
        <ns0:v>82.16</ns0:v>
      </ns0:c>
      <ns0:c r="L6" s="3">
        <ns0:f>ROUND(L206*L326,2)</ns0:f>
        <ns0:v>302.27</ns0:v>
      </ns0:c>
      <ns0:c r="M6" s="3">
        <ns0:f>ROUND(M206*M326,2)</ns0:f>
        <ns0:v>252.82</ns0:v>
      </ns0:c>
      <ns0:c r="N6" s="3">
        <ns0:f>ROUND(N206*N326,2)</ns0:f>
        <ns0:v>85.80</ns0:v>
      </ns0:c>
      <ns0:c r="O6" s="3">
        <ns0:f>SUM(C6:N6)</ns0:f>
        <ns0:v>2288.57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287.51</ns0:v>
      </ns0:c>
      <ns0:c r="D7" s="3">
        <ns0:f>ROUND(D207*D327,2)</ns0:f>
        <ns0:v>95.24</ns0:v>
      </ns0:c>
      <ns0:c r="E7" s="3">
        <ns0:f>ROUND(E207*E327,2)</ns0:f>
        <ns0:v>289.84</ns0:v>
      </ns0:c>
      <ns0:c r="F7" s="3">
        <ns0:f>ROUND(F207*F327,2)</ns0:f>
        <ns0:v>234.18</ns0:v>
      </ns0:c>
      <ns0:c r="G7" s="3">
        <ns0:f>ROUND(G207*G327,2)</ns0:f>
        <ns0:v>226.33</ns0:v>
      </ns0:c>
      <ns0:c r="H7" s="3">
        <ns0:f>ROUND(H207*H327,2)</ns0:f>
        <ns0:v>141.10</ns0:v>
      </ns0:c>
      <ns0:c r="I7" s="3">
        <ns0:f>ROUND(I207*I327,2)</ns0:f>
        <ns0:v>236.31</ns0:v>
      </ns0:c>
      <ns0:c r="J7" s="3">
        <ns0:f>ROUND(J207*J327,2)</ns0:f>
        <ns0:v>187.96</ns0:v>
      </ns0:c>
      <ns0:c r="K7" s="3">
        <ns0:f>ROUND(K207*K327,2)</ns0:f>
        <ns0:v>279.72</ns0:v>
      </ns0:c>
      <ns0:c r="L7" s="3">
        <ns0:f>ROUND(L207*L327,2)</ns0:f>
        <ns0:v>159.08</ns0:v>
      </ns0:c>
      <ns0:c r="M7" s="3">
        <ns0:f>ROUND(M207*M327,2)</ns0:f>
        <ns0:v>75.48</ns0:v>
      </ns0:c>
      <ns0:c r="N7" s="3">
        <ns0:f>ROUND(N207*N327,2)</ns0:f>
        <ns0:v>249.83</ns0:v>
      </ns0:c>
      <ns0:c r="O7" s="3">
        <ns0:f>SUM(C7:N7)</ns0:f>
        <ns0:v>2462.58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294.33</ns0:v>
      </ns0:c>
      <ns0:c r="D8" s="3">
        <ns0:f>ROUND(D208*D328,2)</ns0:f>
        <ns0:v>209.36</ns0:v>
      </ns0:c>
      <ns0:c r="E8" s="3">
        <ns0:f>ROUND(E208*E328,2)</ns0:f>
        <ns0:v>389.90</ns0:v>
      </ns0:c>
      <ns0:c r="F8" s="3">
        <ns0:f>ROUND(F208*F328,2)</ns0:f>
        <ns0:v>179.18</ns0:v>
      </ns0:c>
      <ns0:c r="G8" s="3">
        <ns0:f>ROUND(G208*G328,2)</ns0:f>
        <ns0:v>236.68</ns0:v>
      </ns0:c>
      <ns0:c r="H8" s="3">
        <ns0:f>ROUND(H208*H328,2)</ns0:f>
        <ns0:v>203.96</ns0:v>
      </ns0:c>
      <ns0:c r="I8" s="3">
        <ns0:f>ROUND(I208*I328,2)</ns0:f>
        <ns0:v>183.13</ns0:v>
      </ns0:c>
      <ns0:c r="J8" s="3">
        <ns0:f>ROUND(J208*J328,2)</ns0:f>
        <ns0:v>429.79</ns0:v>
      </ns0:c>
      <ns0:c r="K8" s="3">
        <ns0:f>ROUND(K208*K328,2)</ns0:f>
        <ns0:v>303.70</ns0:v>
      </ns0:c>
      <ns0:c r="L8" s="3">
        <ns0:f>ROUND(L208*L328,2)</ns0:f>
        <ns0:v>311.74</ns0:v>
      </ns0:c>
      <ns0:c r="M8" s="3">
        <ns0:f>ROUND(M208*M328,2)</ns0:f>
        <ns0:v>112.40</ns0:v>
      </ns0:c>
      <ns0:c r="N8" s="3">
        <ns0:f>ROUND(N208*N328,2)</ns0:f>
        <ns0:v>142.64</ns0:v>
      </ns0:c>
      <ns0:c r="O8" s="3">
        <ns0:f>SUM(C8:N8)</ns0:f>
        <ns0:v>2996.81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373.40</ns0:v>
      </ns0:c>
      <ns0:c r="D9" s="3">
        <ns0:f>ROUND(D209*D329,2)</ns0:f>
        <ns0:v>183.22</ns0:v>
      </ns0:c>
      <ns0:c r="E9" s="3">
        <ns0:f>ROUND(E209*E329,2)</ns0:f>
        <ns0:v>286.80</ns0:v>
      </ns0:c>
      <ns0:c r="F9" s="3">
        <ns0:f>ROUND(F209*F329,2)</ns0:f>
        <ns0:v>176.82</ns0:v>
      </ns0:c>
      <ns0:c r="G9" s="3">
        <ns0:f>ROUND(G209*G329,2)</ns0:f>
        <ns0:v>146.72</ns0:v>
      </ns0:c>
      <ns0:c r="H9" s="3">
        <ns0:f>ROUND(H209*H329,2)</ns0:f>
        <ns0:v>118.42</ns0:v>
      </ns0:c>
      <ns0:c r="I9" s="3">
        <ns0:f>ROUND(I209*I329,2)</ns0:f>
        <ns0:v>440.27</ns0:v>
      </ns0:c>
      <ns0:c r="J9" s="3">
        <ns0:f>ROUND(J209*J329,2)</ns0:f>
        <ns0:v>378.93</ns0:v>
      </ns0:c>
      <ns0:c r="K9" s="3">
        <ns0:f>ROUND(K209*K329,2)</ns0:f>
        <ns0:v>285.49</ns0:v>
      </ns0:c>
      <ns0:c r="L9" s="3">
        <ns0:f>ROUND(L209*L329,2)</ns0:f>
        <ns0:v>170.99</ns0:v>
      </ns0:c>
      <ns0:c r="M9" s="3">
        <ns0:f>ROUND(M209*M329,2)</ns0:f>
        <ns0:v>248.43</ns0:v>
      </ns0:c>
      <ns0:c r="N9" s="3">
        <ns0:f>ROUND(N209*N329,2)</ns0:f>
        <ns0:v>360.73</ns0:v>
      </ns0:c>
      <ns0:c r="O9" s="3">
        <ns0:f>SUM(C9:N9)</ns0:f>
        <ns0:v>3170.22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156.20</ns0:v>
      </ns0:c>
      <ns0:c r="D10" s="3">
        <ns0:f>ROUND(D210*D330,2)</ns0:f>
        <ns0:v>160.27</ns0:v>
      </ns0:c>
      <ns0:c r="E10" s="3">
        <ns0:f>ROUND(E210*E330,2)</ns0:f>
        <ns0:v>194.13</ns0:v>
      </ns0:c>
      <ns0:c r="F10" s="3">
        <ns0:f>ROUND(F210*F330,2)</ns0:f>
        <ns0:v>303.71</ns0:v>
      </ns0:c>
      <ns0:c r="G10" s="3">
        <ns0:f>ROUND(G210*G330,2)</ns0:f>
        <ns0:v>339.27</ns0:v>
      </ns0:c>
      <ns0:c r="H10" s="3">
        <ns0:f>ROUND(H210*H330,2)</ns0:f>
        <ns0:v>276.74</ns0:v>
      </ns0:c>
      <ns0:c r="I10" s="3">
        <ns0:f>ROUND(I210*I330,2)</ns0:f>
        <ns0:v>325.56</ns0:v>
      </ns0:c>
      <ns0:c r="J10" s="3">
        <ns0:f>ROUND(J210*J330,2)</ns0:f>
        <ns0:v>85.03</ns0:v>
      </ns0:c>
      <ns0:c r="K10" s="3">
        <ns0:f>ROUND(K210*K330,2)</ns0:f>
        <ns0:v>433.66</ns0:v>
      </ns0:c>
      <ns0:c r="L10" s="3">
        <ns0:f>ROUND(L210*L330,2)</ns0:f>
        <ns0:v>200.90</ns0:v>
      </ns0:c>
      <ns0:c r="M10" s="3">
        <ns0:f>ROUND(M210*M330,2)</ns0:f>
        <ns0:v>327.37</ns0:v>
      </ns0:c>
      <ns0:c r="N10" s="3">
        <ns0:f>ROUND(N210*N330,2)</ns0:f>
        <ns0:v>149.21</ns0:v>
      </ns0:c>
      <ns0:c r="O10" s="3">
        <ns0:f>SUM(C10:N10)</ns0:f>
        <ns0:v>2952.05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247.64</ns0:v>
      </ns0:c>
      <ns0:c r="D11" s="3">
        <ns0:f>ROUND(D211*D331,2)</ns0:f>
        <ns0:v>173.50</ns0:v>
      </ns0:c>
      <ns0:c r="E11" s="3">
        <ns0:f>ROUND(E211*E331,2)</ns0:f>
        <ns0:v>514.02</ns0:v>
      </ns0:c>
      <ns0:c r="F11" s="3">
        <ns0:f>ROUND(F211*F331,2)</ns0:f>
        <ns0:v>239.73</ns0:v>
      </ns0:c>
      <ns0:c r="G11" s="3">
        <ns0:f>ROUND(G211*G331,2)</ns0:f>
        <ns0:v>369.56</ns0:v>
      </ns0:c>
      <ns0:c r="H11" s="3">
        <ns0:f>ROUND(H211*H331,2)</ns0:f>
        <ns0:v>227.54</ns0:v>
      </ns0:c>
      <ns0:c r="I11" s="3">
        <ns0:f>ROUND(I211*I331,2)</ns0:f>
        <ns0:v>224.92</ns0:v>
      </ns0:c>
      <ns0:c r="J11" s="3">
        <ns0:f>ROUND(J211*J331,2)</ns0:f>
        <ns0:v>119.63</ns0:v>
      </ns0:c>
      <ns0:c r="K11" s="3">
        <ns0:f>ROUND(K211*K331,2)</ns0:f>
        <ns0:v>384.89</ns0:v>
      </ns0:c>
      <ns0:c r="L11" s="3">
        <ns0:f>ROUND(L211*L331,2)</ns0:f>
        <ns0:v>120.01</ns0:v>
      </ns0:c>
      <ns0:c r="M11" s="3">
        <ns0:f>ROUND(M211*M331,2)</ns0:f>
        <ns0:v>270.41</ns0:v>
      </ns0:c>
      <ns0:c r="N11" s="3">
        <ns0:f>ROUND(N211*N331,2)</ns0:f>
        <ns0:v>92.84</ns0:v>
      </ns0:c>
      <ns0:c r="O11" s="3">
        <ns0:f>SUM(C11:N11)</ns0:f>
        <ns0:v>2984.69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219.22</ns0:v>
      </ns0:c>
      <ns0:c r="D12" s="3">
        <ns0:f>ROUND(D212*D332,2)</ns0:f>
        <ns0:v>62.92</ns0:v>
      </ns0:c>
      <ns0:c r="E12" s="3">
        <ns0:f>ROUND(E212*E332,2)</ns0:f>
        <ns0:v>314.79</ns0:v>
      </ns0:c>
      <ns0:c r="F12" s="3">
        <ns0:f>ROUND(F212*F332,2)</ns0:f>
        <ns0:v>361.23</ns0:v>
      </ns0:c>
      <ns0:c r="G12" s="3">
        <ns0:f>ROUND(G212*G332,2)</ns0:f>
        <ns0:v>383.96</ns0:v>
      </ns0:c>
      <ns0:c r="H12" s="3">
        <ns0:f>ROUND(H212*H332,2)</ns0:f>
        <ns0:v>59.38</ns0:v>
      </ns0:c>
      <ns0:c r="I12" s="3">
        <ns0:f>ROUND(I212*I332,2)</ns0:f>
        <ns0:v>348.89</ns0:v>
      </ns0:c>
      <ns0:c r="J12" s="3">
        <ns0:f>ROUND(J212*J332,2)</ns0:f>
        <ns0:v>182.46</ns0:v>
      </ns0:c>
      <ns0:c r="K12" s="3">
        <ns0:f>ROUND(K212*K332,2)</ns0:f>
        <ns0:v>478.56</ns0:v>
      </ns0:c>
      <ns0:c r="L12" s="3">
        <ns0:f>ROUND(L212*L332,2)</ns0:f>
        <ns0:v>172.43</ns0:v>
      </ns0:c>
      <ns0:c r="M12" s="3">
        <ns0:f>ROUND(M212*M332,2)</ns0:f>
        <ns0:v>188.49</ns0:v>
      </ns0:c>
      <ns0:c r="N12" s="3">
        <ns0:f>ROUND(N212*N332,2)</ns0:f>
        <ns0:v>132.05</ns0:v>
      </ns0:c>
      <ns0:c r="O12" s="3">
        <ns0:f>SUM(C12:N12)</ns0:f>
        <ns0:v>2904.38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86.41</ns0:v>
      </ns0:c>
      <ns0:c r="D13" s="3">
        <ns0:f>ROUND(D213*D333,2)</ns0:f>
        <ns0:v>136.06</ns0:v>
      </ns0:c>
      <ns0:c r="E13" s="3">
        <ns0:f>ROUND(E213*E333,2)</ns0:f>
        <ns0:v>180.51</ns0:v>
      </ns0:c>
      <ns0:c r="F13" s="3">
        <ns0:f>ROUND(F213*F333,2)</ns0:f>
        <ns0:v>187.21</ns0:v>
      </ns0:c>
      <ns0:c r="G13" s="3">
        <ns0:f>ROUND(G213*G333,2)</ns0:f>
        <ns0:v>108.17</ns0:v>
      </ns0:c>
      <ns0:c r="H13" s="3">
        <ns0:f>ROUND(H213*H333,2)</ns0:f>
        <ns0:v>184.66</ns0:v>
      </ns0:c>
      <ns0:c r="I13" s="3">
        <ns0:f>ROUND(I213*I333,2)</ns0:f>
        <ns0:v>131.55</ns0:v>
      </ns0:c>
      <ns0:c r="J13" s="3">
        <ns0:f>ROUND(J213*J333,2)</ns0:f>
        <ns0:v>269.42</ns0:v>
      </ns0:c>
      <ns0:c r="K13" s="3">
        <ns0:f>ROUND(K213*K333,2)</ns0:f>
        <ns0:v>203.92</ns0:v>
      </ns0:c>
      <ns0:c r="L13" s="3">
        <ns0:f>ROUND(L213*L333,2)</ns0:f>
        <ns0:v>260.34</ns0:v>
      </ns0:c>
      <ns0:c r="M13" s="3">
        <ns0:f>ROUND(M213*M333,2)</ns0:f>
        <ns0:v>132.42</ns0:v>
      </ns0:c>
      <ns0:c r="N13" s="3">
        <ns0:f>ROUND(N213*N333,2)</ns0:f>
        <ns0:v>209.35</ns0:v>
      </ns0:c>
      <ns0:c r="O13" s="3">
        <ns0:f>SUM(C13:N13)</ns0:f>
        <ns0:v>2090.02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113.85</ns0:v>
      </ns0:c>
      <ns0:c r="D14" s="3">
        <ns0:f>ROUND(D214*D334,2)</ns0:f>
        <ns0:v>227.98</ns0:v>
      </ns0:c>
      <ns0:c r="E14" s="3">
        <ns0:f>ROUND(E214*E334,2)</ns0:f>
        <ns0:v>639.40</ns0:v>
      </ns0:c>
      <ns0:c r="F14" s="3">
        <ns0:f>ROUND(F214*F334,2)</ns0:f>
        <ns0:v>231.71</ns0:v>
      </ns0:c>
      <ns0:c r="G14" s="3">
        <ns0:f>ROUND(G214*G334,2)</ns0:f>
        <ns0:v>371.67</ns0:v>
      </ns0:c>
      <ns0:c r="H14" s="3">
        <ns0:f>ROUND(H214*H334,2)</ns0:f>
        <ns0:v>262.63</ns0:v>
      </ns0:c>
      <ns0:c r="I14" s="3">
        <ns0:f>ROUND(I214*I334,2)</ns0:f>
        <ns0:v>52.11</ns0:v>
      </ns0:c>
      <ns0:c r="J14" s="3">
        <ns0:f>ROUND(J214*J334,2)</ns0:f>
        <ns0:v>262.12</ns0:v>
      </ns0:c>
      <ns0:c r="K14" s="3">
        <ns0:f>ROUND(K214*K334,2)</ns0:f>
        <ns0:v>87.78</ns0:v>
      </ns0:c>
      <ns0:c r="L14" s="3">
        <ns0:f>ROUND(L214*L334,2)</ns0:f>
        <ns0:v>191.54</ns0:v>
      </ns0:c>
      <ns0:c r="M14" s="3">
        <ns0:f>ROUND(M214*M334,2)</ns0:f>
        <ns0:v>318.93</ns0:v>
      </ns0:c>
      <ns0:c r="N14" s="3">
        <ns0:f>ROUND(N214*N334,2)</ns0:f>
        <ns0:v>82.87</ns0:v>
      </ns0:c>
      <ns0:c r="O14" s="3">
        <ns0:f>SUM(C14:N14)</ns0:f>
        <ns0:v>2842.59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153.10</ns0:v>
      </ns0:c>
      <ns0:c r="D15" s="3">
        <ns0:f>ROUND(D215*D335,2)</ns0:f>
        <ns0:v>158.92</ns0:v>
      </ns0:c>
      <ns0:c r="E15" s="3">
        <ns0:f>ROUND(E215*E335,2)</ns0:f>
        <ns0:v>161.07</ns0:v>
      </ns0:c>
      <ns0:c r="F15" s="3">
        <ns0:f>ROUND(F215*F335,2)</ns0:f>
        <ns0:v>218.82</ns0:v>
      </ns0:c>
      <ns0:c r="G15" s="3">
        <ns0:f>ROUND(G215*G335,2)</ns0:f>
        <ns0:v>445.21</ns0:v>
      </ns0:c>
      <ns0:c r="H15" s="3">
        <ns0:f>ROUND(H215*H335,2)</ns0:f>
        <ns0:v>339.75</ns0:v>
      </ns0:c>
      <ns0:c r="I15" s="3">
        <ns0:f>ROUND(I215*I335,2)</ns0:f>
        <ns0:v>400.09</ns0:v>
      </ns0:c>
      <ns0:c r="J15" s="3">
        <ns0:f>ROUND(J215*J335,2)</ns0:f>
        <ns0:v>78.09</ns0:v>
      </ns0:c>
      <ns0:c r="K15" s="3">
        <ns0:f>ROUND(K215*K335,2)</ns0:f>
        <ns0:v>359.44</ns0:v>
      </ns0:c>
      <ns0:c r="L15" s="3">
        <ns0:f>ROUND(L215*L335,2)</ns0:f>
        <ns0:v>132.14</ns0:v>
      </ns0:c>
      <ns0:c r="M15" s="3">
        <ns0:f>ROUND(M215*M335,2)</ns0:f>
        <ns0:v>137.45</ns0:v>
      </ns0:c>
      <ns0:c r="N15" s="3">
        <ns0:f>ROUND(N215*N335,2)</ns0:f>
        <ns0:v>87.91</ns0:v>
      </ns0:c>
      <ns0:c r="O15" s="3">
        <ns0:f>SUM(C15:N15)</ns0:f>
        <ns0:v>2671.99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244.50</ns0:v>
      </ns0:c>
      <ns0:c r="D16" s="3">
        <ns0:f>ROUND(D216*D336,2)</ns0:f>
        <ns0:v>141.58</ns0:v>
      </ns0:c>
      <ns0:c r="E16" s="3">
        <ns0:f>ROUND(E216*E336,2)</ns0:f>
        <ns0:v>100.19</ns0:v>
      </ns0:c>
      <ns0:c r="F16" s="3">
        <ns0:f>ROUND(F216*F336,2)</ns0:f>
        <ns0:v>286.83</ns0:v>
      </ns0:c>
      <ns0:c r="G16" s="3">
        <ns0:f>ROUND(G216*G336,2)</ns0:f>
        <ns0:v>253.38</ns0:v>
      </ns0:c>
      <ns0:c r="H16" s="3">
        <ns0:f>ROUND(H216*H336,2)</ns0:f>
        <ns0:v>155.52</ns0:v>
      </ns0:c>
      <ns0:c r="I16" s="3">
        <ns0:f>ROUND(I216*I336,2)</ns0:f>
        <ns0:v>347.02</ns0:v>
      </ns0:c>
      <ns0:c r="J16" s="3">
        <ns0:f>ROUND(J216*J336,2)</ns0:f>
        <ns0:v>162.45</ns0:v>
      </ns0:c>
      <ns0:c r="K16" s="3">
        <ns0:f>ROUND(K216*K336,2)</ns0:f>
        <ns0:v>334.38</ns0:v>
      </ns0:c>
      <ns0:c r="L16" s="3">
        <ns0:f>ROUND(L216*L336,2)</ns0:f>
        <ns0:v>204.30</ns0:v>
      </ns0:c>
      <ns0:c r="M16" s="3">
        <ns0:f>ROUND(M216*M336,2)</ns0:f>
        <ns0:v>331.16</ns0:v>
      </ns0:c>
      <ns0:c r="N16" s="3">
        <ns0:f>ROUND(N216*N336,2)</ns0:f>
        <ns0:v>223.77</ns0:v>
      </ns0:c>
      <ns0:c r="O16" s="3">
        <ns0:f>SUM(C16:N16)</ns0:f>
        <ns0:v>2785.08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116.78</ns0:v>
      </ns0:c>
      <ns0:c r="D17" s="3">
        <ns0:f>ROUND(D217*D337,2)</ns0:f>
        <ns0:v>99.96</ns0:v>
      </ns0:c>
      <ns0:c r="E17" s="3">
        <ns0:f>ROUND(E217*E337,2)</ns0:f>
        <ns0:v>128.46</ns0:v>
      </ns0:c>
      <ns0:c r="F17" s="3">
        <ns0:f>ROUND(F217*F337,2)</ns0:f>
        <ns0:v>174.01</ns0:v>
      </ns0:c>
      <ns0:c r="G17" s="3">
        <ns0:f>ROUND(G217*G337,2)</ns0:f>
        <ns0:v>405.34</ns0:v>
      </ns0:c>
      <ns0:c r="H17" s="3">
        <ns0:f>ROUND(H217*H337,2)</ns0:f>
        <ns0:v>151.72</ns0:v>
      </ns0:c>
      <ns0:c r="I17" s="3">
        <ns0:f>ROUND(I217*I337,2)</ns0:f>
        <ns0:v>179.53</ns0:v>
      </ns0:c>
      <ns0:c r="J17" s="3">
        <ns0:f>ROUND(J217*J337,2)</ns0:f>
        <ns0:v>389.14</ns0:v>
      </ns0:c>
      <ns0:c r="K17" s="3">
        <ns0:f>ROUND(K217*K337,2)</ns0:f>
        <ns0:v>251.37</ns0:v>
      </ns0:c>
      <ns0:c r="L17" s="3">
        <ns0:f>ROUND(L217*L337,2)</ns0:f>
        <ns0:v>156.51</ns0:v>
      </ns0:c>
      <ns0:c r="M17" s="3">
        <ns0:f>ROUND(M217*M337,2)</ns0:f>
        <ns0:v>135.63</ns0:v>
      </ns0:c>
      <ns0:c r="N17" s="3">
        <ns0:f>ROUND(N217*N337,2)</ns0:f>
        <ns0:v>202.87</ns0:v>
      </ns0:c>
      <ns0:c r="O17" s="3">
        <ns0:f>SUM(C17:N17)</ns0:f>
        <ns0:v>2391.32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459.38</ns0:v>
      </ns0:c>
      <ns0:c r="D18" s="3">
        <ns0:f>ROUND(D218*D338,2)</ns0:f>
        <ns0:v>249.52</ns0:v>
      </ns0:c>
      <ns0:c r="E18" s="3">
        <ns0:f>ROUND(E218*E338,2)</ns0:f>
        <ns0:v>172.42</ns0:v>
      </ns0:c>
      <ns0:c r="F18" s="3">
        <ns0:f>ROUND(F218*F338,2)</ns0:f>
        <ns0:v>458.21</ns0:v>
      </ns0:c>
      <ns0:c r="G18" s="3">
        <ns0:f>ROUND(G218*G338,2)</ns0:f>
        <ns0:v>193.39</ns0:v>
      </ns0:c>
      <ns0:c r="H18" s="3">
        <ns0:f>ROUND(H218*H338,2)</ns0:f>
        <ns0:v>201.85</ns0:v>
      </ns0:c>
      <ns0:c r="I18" s="3">
        <ns0:f>ROUND(I218*I338,2)</ns0:f>
        <ns0:v>257.32</ns0:v>
      </ns0:c>
      <ns0:c r="J18" s="3">
        <ns0:f>ROUND(J218*J338,2)</ns0:f>
        <ns0:v>207.38</ns0:v>
      </ns0:c>
      <ns0:c r="K18" s="3">
        <ns0:f>ROUND(K218*K338,2)</ns0:f>
        <ns0:v>102.37</ns0:v>
      </ns0:c>
      <ns0:c r="L18" s="3">
        <ns0:f>ROUND(L218*L338,2)</ns0:f>
        <ns0:v>320.16</ns0:v>
      </ns0:c>
      <ns0:c r="M18" s="3">
        <ns0:f>ROUND(M218*M338,2)</ns0:f>
        <ns0:v>68.16</ns0:v>
      </ns0:c>
      <ns0:c r="N18" s="3">
        <ns0:f>ROUND(N218*N338,2)</ns0:f>
        <ns0:v>155.36</ns0:v>
      </ns0:c>
      <ns0:c r="O18" s="3">
        <ns0:f>SUM(C18:N18)</ns0:f>
        <ns0:v>2845.52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362.89</ns0:v>
      </ns0:c>
      <ns0:c r="D19" s="3">
        <ns0:f>ROUND(D219*D339,2)</ns0:f>
        <ns0:v>231.26</ns0:v>
      </ns0:c>
      <ns0:c r="E19" s="3">
        <ns0:f>ROUND(E219*E339,2)</ns0:f>
        <ns0:v>169.22</ns0:v>
      </ns0:c>
      <ns0:c r="F19" s="3">
        <ns0:f>ROUND(F219*F339,2)</ns0:f>
        <ns0:v>278.63</ns0:v>
      </ns0:c>
      <ns0:c r="G19" s="3">
        <ns0:f>ROUND(G219*G339,2)</ns0:f>
        <ns0:v>124.91</ns0:v>
      </ns0:c>
      <ns0:c r="H19" s="3">
        <ns0:f>ROUND(H219*H339,2)</ns0:f>
        <ns0:v>323.23</ns0:v>
      </ns0:c>
      <ns0:c r="I19" s="3">
        <ns0:f>ROUND(I219*I339,2)</ns0:f>
        <ns0:v>198.08</ns0:v>
      </ns0:c>
      <ns0:c r="J19" s="3">
        <ns0:f>ROUND(J219*J339,2)</ns0:f>
        <ns0:v>86.52</ns0:v>
      </ns0:c>
      <ns0:c r="K19" s="3">
        <ns0:f>ROUND(K219*K339,2)</ns0:f>
        <ns0:v>210.26</ns0:v>
      </ns0:c>
      <ns0:c r="L19" s="3">
        <ns0:f>ROUND(L219*L339,2)</ns0:f>
        <ns0:v>144.45</ns0:v>
      </ns0:c>
      <ns0:c r="M19" s="3">
        <ns0:f>ROUND(M219*M339,2)</ns0:f>
        <ns0:v>224.32</ns0:v>
      </ns0:c>
      <ns0:c r="N19" s="3">
        <ns0:f>ROUND(N219*N339,2)</ns0:f>
        <ns0:v>190.41</ns0:v>
      </ns0:c>
      <ns0:c r="O19" s="3">
        <ns0:f>SUM(C19:N19)</ns0:f>
        <ns0:v>2544.18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600.81</ns0:v>
      </ns0:c>
      <ns0:c r="D20" s="3">
        <ns0:f>ROUND('摊销明细'!D33/3,2)</ns0:f>
        <ns0:v>600.81</ns0:v>
      </ns0:c>
      <ns0:c r="E20" s="3">
        <ns0:f>ROUND('摊销明细'!E33/3,2)</ns0:f>
        <ns0:v>600.81</ns0:v>
      </ns0:c>
      <ns0:c r="F20" s="3">
        <ns0:f>ROUND('摊销明细'!F33/3,2)</ns0:f>
        <ns0:v>600.81</ns0:v>
      </ns0:c>
      <ns0:c r="G20" s="3">
        <ns0:f>ROUND('摊销明细'!G33/3,2)</ns0:f>
        <ns0:v>600.81</ns0:v>
      </ns0:c>
      <ns0:c r="H20" s="3">
        <ns0:f>ROUND('摊销明细'!H33/3,2)</ns0:f>
        <ns0:v>600.81</ns0:v>
      </ns0:c>
      <ns0:c r="I20" s="3">
        <ns0:f>ROUND('摊销明细'!I33/3,2)</ns0:f>
        <ns0:v>600.81</ns0:v>
      </ns0:c>
      <ns0:c r="J20" s="3">
        <ns0:f>ROUND('摊销明细'!J33/3,2)</ns0:f>
        <ns0:v>600.81</ns0:v>
      </ns0:c>
      <ns0:c r="K20" s="3">
        <ns0:f>ROUND('摊销明细'!K33/3,2)</ns0:f>
        <ns0:v>600.81</ns0:v>
      </ns0:c>
      <ns0:c r="L20" s="3">
        <ns0:f>ROUND('摊销明细'!L33/3,2)</ns0:f>
        <ns0:v>600.81</ns0:v>
      </ns0:c>
      <ns0:c r="M20" s="3">
        <ns0:f>ROUND('摊销明细'!M33/3,2)</ns0:f>
        <ns0:v>600.81</ns0:v>
      </ns0:c>
      <ns0:c r="N20" s="3">
        <ns0:f>ROUND('摊销明细'!N33/3,2)</ns0:f>
        <ns0:v>600.81</ns0:v>
      </ns0:c>
      <ns0:c r="O20" s="3">
        <ns0:f>SUM(C20:N20)</ns0:f>
        <ns0:v>7209.72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91.69</ns0:v>
      </ns0:c>
      <ns0:c r="D21" s="3">
        <ns0:f>ROUND(D221*D341,2)</ns0:f>
        <ns0:v>214.21</ns0:v>
      </ns0:c>
      <ns0:c r="E21" s="3">
        <ns0:f>ROUND(E221*E341,2)</ns0:f>
        <ns0:v>274.78</ns0:v>
      </ns0:c>
      <ns0:c r="F21" s="3">
        <ns0:f>ROUND(F221*F341,2)</ns0:f>
        <ns0:v>300.57</ns0:v>
      </ns0:c>
      <ns0:c r="G21" s="3">
        <ns0:f>ROUND(G221*G341,2)</ns0:f>
        <ns0:v>79.09</ns0:v>
      </ns0:c>
      <ns0:c r="H21" s="3">
        <ns0:f>ROUND(H221*H341,2)</ns0:f>
        <ns0:v>296.66</ns0:v>
      </ns0:c>
      <ns0:c r="I21" s="3">
        <ns0:f>ROUND(I221*I341,2)</ns0:f>
        <ns0:v>263.55</ns0:v>
      </ns0:c>
      <ns0:c r="J21" s="3">
        <ns0:f>ROUND(J221*J341,2)</ns0:f>
        <ns0:v>118.15</ns0:v>
      </ns0:c>
      <ns0:c r="K21" s="3">
        <ns0:f>ROUND(K221*K341,2)</ns0:f>
        <ns0:v>160.13</ns0:v>
      </ns0:c>
      <ns0:c r="L21" s="3">
        <ns0:f>ROUND(L221*L341,2)</ns0:f>
        <ns0:v>355.82</ns0:v>
      </ns0:c>
      <ns0:c r="M21" s="3">
        <ns0:f>ROUND(M221*M341,2)</ns0:f>
        <ns0:v>319.61</ns0:v>
      </ns0:c>
      <ns0:c r="N21" s="3">
        <ns0:f>ROUND(N221*N341,2)</ns0:f>
        <ns0:v>266.25</ns0:v>
      </ns0:c>
      <ns0:c r="O21" s="3">
        <ns0:f>SUM(C21:N21)</ns0:f>
        <ns0:v>2740.51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135.58</ns0:v>
      </ns0:c>
      <ns0:c r="D22" s="3">
        <ns0:f>ROUND(D222*D342,2)</ns0:f>
        <ns0:v>308.76</ns0:v>
      </ns0:c>
      <ns0:c r="E22" s="3">
        <ns0:f>ROUND(E222*E342,2)</ns0:f>
        <ns0:v>69.59</ns0:v>
      </ns0:c>
      <ns0:c r="F22" s="3">
        <ns0:f>ROUND(F222*F342,2)</ns0:f>
        <ns0:v>125.69</ns0:v>
      </ns0:c>
      <ns0:c r="G22" s="3">
        <ns0:f>ROUND(G222*G342,2)</ns0:f>
        <ns0:v>192.80</ns0:v>
      </ns0:c>
      <ns0:c r="H22" s="3">
        <ns0:f>ROUND(H222*H342,2)</ns0:f>
        <ns0:v>51.09</ns0:v>
      </ns0:c>
      <ns0:c r="I22" s="3">
        <ns0:f>ROUND(I222*I342,2)</ns0:f>
        <ns0:v>83.15</ns0:v>
      </ns0:c>
      <ns0:c r="J22" s="3">
        <ns0:f>ROUND(J222*J342,2)</ns0:f>
        <ns0:v>379.03</ns0:v>
      </ns0:c>
      <ns0:c r="K22" s="3">
        <ns0:f>ROUND(K222*K342,2)</ns0:f>
        <ns0:v>290.02</ns0:v>
      </ns0:c>
      <ns0:c r="L22" s="3">
        <ns0:f>ROUND(L222*L342,2)</ns0:f>
        <ns0:v>74.00</ns0:v>
      </ns0:c>
      <ns0:c r="M22" s="3">
        <ns0:f>ROUND(M222*M342,2)</ns0:f>
        <ns0:v>97.65</ns0:v>
      </ns0:c>
      <ns0:c r="N22" s="3">
        <ns0:f>ROUND(N222*N342,2)</ns0:f>
        <ns0:v>369.70</ns0:v>
      </ns0:c>
      <ns0:c r="O22" s="3">
        <ns0:f>SUM(C22:N22)</ns0:f>
        <ns0:v>2177.06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325.34</ns0:v>
      </ns0:c>
      <ns0:c r="D23" s="3">
        <ns0:f>ROUND(D223*D343,2)</ns0:f>
        <ns0:v>200.71</ns0:v>
      </ns0:c>
      <ns0:c r="E23" s="3">
        <ns0:f>ROUND(E223*E343,2)</ns0:f>
        <ns0:v>267.19</ns0:v>
      </ns0:c>
      <ns0:c r="F23" s="3">
        <ns0:f>ROUND(F223*F343,2)</ns0:f>
        <ns0:v>223.93</ns0:v>
      </ns0:c>
      <ns0:c r="G23" s="3">
        <ns0:f>ROUND(G223*G343,2)</ns0:f>
        <ns0:v>51.22</ns0:v>
      </ns0:c>
      <ns0:c r="H23" s="3">
        <ns0:f>ROUND(H223*H343,2)</ns0:f>
        <ns0:v>186.54</ns0:v>
      </ns0:c>
      <ns0:c r="I23" s="3">
        <ns0:f>ROUND(I223*I343,2)</ns0:f>
        <ns0:v>357.17</ns0:v>
      </ns0:c>
      <ns0:c r="J23" s="3">
        <ns0:f>ROUND(J223*J343,2)</ns0:f>
        <ns0:v>478.59</ns0:v>
      </ns0:c>
      <ns0:c r="K23" s="3">
        <ns0:f>ROUND(K223*K343,2)</ns0:f>
        <ns0:v>155.42</ns0:v>
      </ns0:c>
      <ns0:c r="L23" s="3">
        <ns0:f>ROUND(L223*L343,2)</ns0:f>
        <ns0:v>190.71</ns0:v>
      </ns0:c>
      <ns0:c r="M23" s="3">
        <ns0:f>ROUND(M223*M343,2)</ns0:f>
        <ns0:v>300.44</ns0:v>
      </ns0:c>
      <ns0:c r="N23" s="3">
        <ns0:f>ROUND(N223*N343,2)</ns0:f>
        <ns0:v>242.82</ns0:v>
      </ns0:c>
      <ns0:c r="O23" s="3">
        <ns0:f>SUM(C23:N23)</ns0:f>
        <ns0:v>2980.08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121.31</ns0:v>
      </ns0:c>
      <ns0:c r="D24" s="3">
        <ns0:f>ROUND(D224*D344,2)</ns0:f>
        <ns0:v>508.28</ns0:v>
      </ns0:c>
      <ns0:c r="E24" s="3">
        <ns0:f>ROUND(E224*E344,2)</ns0:f>
        <ns0:v>296.01</ns0:v>
      </ns0:c>
      <ns0:c r="F24" s="3">
        <ns0:f>ROUND(F224*F344,2)</ns0:f>
        <ns0:v>536.06</ns0:v>
      </ns0:c>
      <ns0:c r="G24" s="3">
        <ns0:f>ROUND(G224*G344,2)</ns0:f>
        <ns0:v>194.07</ns0:v>
      </ns0:c>
      <ns0:c r="H24" s="3">
        <ns0:f>ROUND(H224*H344,2)</ns0:f>
        <ns0:v>279.04</ns0:v>
      </ns0:c>
      <ns0:c r="I24" s="3">
        <ns0:f>ROUND(I224*I344,2)</ns0:f>
        <ns0:v>123.87</ns0:v>
      </ns0:c>
      <ns0:c r="J24" s="3">
        <ns0:f>ROUND(J224*J344,2)</ns0:f>
        <ns0:v>210.32</ns0:v>
      </ns0:c>
      <ns0:c r="K24" s="3">
        <ns0:f>ROUND(K224*K344,2)</ns0:f>
        <ns0:v>297.70</ns0:v>
      </ns0:c>
      <ns0:c r="L24" s="3">
        <ns0:f>ROUND(L224*L344,2)</ns0:f>
        <ns0:v>210.50</ns0:v>
      </ns0:c>
      <ns0:c r="M24" s="3">
        <ns0:f>ROUND(M224*M344,2)</ns0:f>
        <ns0:v>318.72</ns0:v>
      </ns0:c>
      <ns0:c r="N24" s="3">
        <ns0:f>ROUND(N224*N344,2)</ns0:f>
        <ns0:v>104.56</ns0:v>
      </ns0:c>
      <ns0:c r="O24" s="3">
        <ns0:f>SUM(C24:N24)</ns0:f>
        <ns0:v>3200.44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323.34</ns0:v>
      </ns0:c>
      <ns0:c r="D25" s="3">
        <ns0:f>ROUND(D225*D345,2)</ns0:f>
        <ns0:v>410.77</ns0:v>
      </ns0:c>
      <ns0:c r="E25" s="3">
        <ns0:f>ROUND(E225*E345,2)</ns0:f>
        <ns0:v>377.86</ns0:v>
      </ns0:c>
      <ns0:c r="F25" s="3">
        <ns0:f>ROUND(F225*F345,2)</ns0:f>
        <ns0:v>586.85</ns0:v>
      </ns0:c>
      <ns0:c r="G25" s="3">
        <ns0:f>ROUND(G225*G345,2)</ns0:f>
        <ns0:v>223.93</ns0:v>
      </ns0:c>
      <ns0:c r="H25" s="3">
        <ns0:f>ROUND(H225*H345,2)</ns0:f>
        <ns0:v>200.60</ns0:v>
      </ns0:c>
      <ns0:c r="I25" s="3">
        <ns0:f>ROUND(I225*I345,2)</ns0:f>
        <ns0:v>224.07</ns0:v>
      </ns0:c>
      <ns0:c r="J25" s="3">
        <ns0:f>ROUND(J225*J345,2)</ns0:f>
        <ns0:v>575.84</ns0:v>
      </ns0:c>
      <ns0:c r="K25" s="3">
        <ns0:f>ROUND(K225*K345,2)</ns0:f>
        <ns0:v>294.72</ns0:v>
      </ns0:c>
      <ns0:c r="L25" s="3">
        <ns0:f>ROUND(L225*L345,2)</ns0:f>
        <ns0:v>163.20</ns0:v>
      </ns0:c>
      <ns0:c r="M25" s="3">
        <ns0:f>ROUND(M225*M345,2)</ns0:f>
        <ns0:v>123.94</ns0:v>
      </ns0:c>
      <ns0:c r="N25" s="3">
        <ns0:f>ROUND(N225*N345,2)</ns0:f>
        <ns0:v>387.60</ns0:v>
      </ns0:c>
      <ns0:c r="O25" s="3">
        <ns0:f>SUM(C25:N25)</ns0:f>
        <ns0:v>3892.72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92.75</ns0:v>
      </ns0:c>
      <ns0:c r="D26" s="3">
        <ns0:f>ROUND(D226*D346,2)</ns0:f>
        <ns0:v>151.40</ns0:v>
      </ns0:c>
      <ns0:c r="E26" s="3">
        <ns0:f>ROUND(E226*E346,2)</ns0:f>
        <ns0:v>171.24</ns0:v>
      </ns0:c>
      <ns0:c r="F26" s="3">
        <ns0:f>ROUND(F226*F346,2)</ns0:f>
        <ns0:v>161.36</ns0:v>
      </ns0:c>
      <ns0:c r="G26" s="3">
        <ns0:f>ROUND(G226*G346,2)</ns0:f>
        <ns0:v>271.52</ns0:v>
      </ns0:c>
      <ns0:c r="H26" s="3">
        <ns0:f>ROUND(H226*H346,2)</ns0:f>
        <ns0:v>289.67</ns0:v>
      </ns0:c>
      <ns0:c r="I26" s="3">
        <ns0:f>ROUND(I226*I346,2)</ns0:f>
        <ns0:v>83.80</ns0:v>
      </ns0:c>
      <ns0:c r="J26" s="3">
        <ns0:f>ROUND(J226*J346,2)</ns0:f>
        <ns0:v>435.61</ns0:v>
      </ns0:c>
      <ns0:c r="K26" s="3">
        <ns0:f>ROUND(K226*K346,2)</ns0:f>
        <ns0:v>211.28</ns0:v>
      </ns0:c>
      <ns0:c r="L26" s="3">
        <ns0:f>ROUND(L226*L346,2)</ns0:f>
        <ns0:v>68.01</ns0:v>
      </ns0:c>
      <ns0:c r="M26" s="3">
        <ns0:f>ROUND(M226*M346,2)</ns0:f>
        <ns0:v>75.31</ns0:v>
      </ns0:c>
      <ns0:c r="N26" s="3">
        <ns0:f>ROUND(N226*N346,2)</ns0:f>
        <ns0:v>191.67</ns0:v>
      </ns0:c>
      <ns0:c r="O26" s="3">
        <ns0:f>SUM(C26:N26)</ns0:f>
        <ns0:v>2203.62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133.47</ns0:v>
      </ns0:c>
      <ns0:c r="D27" s="3">
        <ns0:f>ROUND(D227*D347,2)</ns0:f>
        <ns0:v>230.37</ns0:v>
      </ns0:c>
      <ns0:c r="E27" s="3">
        <ns0:f>ROUND(E227*E347,2)</ns0:f>
        <ns0:v>428.61</ns0:v>
      </ns0:c>
      <ns0:c r="F27" s="3">
        <ns0:f>ROUND(F227*F347,2)</ns0:f>
        <ns0:v>144.41</ns0:v>
      </ns0:c>
      <ns0:c r="G27" s="3">
        <ns0:f>ROUND(G227*G347,2)</ns0:f>
        <ns0:v>163.64</ns0:v>
      </ns0:c>
      <ns0:c r="H27" s="3">
        <ns0:f>ROUND(H227*H347,2)</ns0:f>
        <ns0:v>182.28</ns0:v>
      </ns0:c>
      <ns0:c r="I27" s="3">
        <ns0:f>ROUND(I227*I347,2)</ns0:f>
        <ns0:v>138.32</ns0:v>
      </ns0:c>
      <ns0:c r="J27" s="3">
        <ns0:f>ROUND(J227*J347,2)</ns0:f>
        <ns0:v>132.49</ns0:v>
      </ns0:c>
      <ns0:c r="K27" s="3">
        <ns0:f>ROUND(K227*K347,2)</ns0:f>
        <ns0:v>234.96</ns0:v>
      </ns0:c>
      <ns0:c r="L27" s="3">
        <ns0:f>ROUND(L227*L347,2)</ns0:f>
        <ns0:v>255.63</ns0:v>
      </ns0:c>
      <ns0:c r="M27" s="3">
        <ns0:f>ROUND(M227*M347,2)</ns0:f>
        <ns0:v>277.42</ns0:v>
      </ns0:c>
      <ns0:c r="N27" s="3">
        <ns0:f>ROUND(N227*N347,2)</ns0:f>
        <ns0:v>183.03</ns0:v>
      </ns0:c>
      <ns0:c r="O27" s="3">
        <ns0:f>SUM(C27:N27)</ns0:f>
        <ns0:v>2504.63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315.15</ns0:v>
      </ns0:c>
      <ns0:c r="D28" s="3">
        <ns0:f>ROUND(D228*D348,2)</ns0:f>
        <ns0:v>108.42</ns0:v>
      </ns0:c>
      <ns0:c r="E28" s="3">
        <ns0:f>ROUND(E228*E348,2)</ns0:f>
        <ns0:v>240.52</ns0:v>
      </ns0:c>
      <ns0:c r="F28" s="3">
        <ns0:f>ROUND(F228*F348,2)</ns0:f>
        <ns0:v>419.18</ns0:v>
      </ns0:c>
      <ns0:c r="G28" s="3">
        <ns0:f>ROUND(G228*G348,2)</ns0:f>
        <ns0:v>199.28</ns0:v>
      </ns0:c>
      <ns0:c r="H28" s="3">
        <ns0:f>ROUND(H228*H348,2)</ns0:f>
        <ns0:v>246.64</ns0:v>
      </ns0:c>
      <ns0:c r="I28" s="3">
        <ns0:f>ROUND(I228*I348,2)</ns0:f>
        <ns0:v>248.74</ns0:v>
      </ns0:c>
      <ns0:c r="J28" s="3">
        <ns0:f>ROUND(J228*J348,2)</ns0:f>
        <ns0:v>346.37</ns0:v>
      </ns0:c>
      <ns0:c r="K28" s="3">
        <ns0:f>ROUND(K228*K348,2)</ns0:f>
        <ns0:v>222.94</ns0:v>
      </ns0:c>
      <ns0:c r="L28" s="3">
        <ns0:f>ROUND(L228*L348,2)</ns0:f>
        <ns0:v>151.79</ns0:v>
      </ns0:c>
      <ns0:c r="M28" s="3">
        <ns0:f>ROUND(M228*M348,2)</ns0:f>
        <ns0:v>362.57</ns0:v>
      </ns0:c>
      <ns0:c r="N28" s="3">
        <ns0:f>ROUND(N228*N348,2)</ns0:f>
        <ns0:v>403.67</ns0:v>
      </ns0:c>
      <ns0:c r="O28" s="3">
        <ns0:f>SUM(C28:N28)</ns0:f>
        <ns0:v>3265.27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139.37</ns0:v>
      </ns0:c>
      <ns0:c r="D30" s="6">
        <ns0:f>ROUND(D230*D350,2)</ns0:f>
        <ns0:v>310.48</ns0:v>
      </ns0:c>
      <ns0:c r="E30" s="6">
        <ns0:f>ROUND(E230*E350,2)</ns0:f>
        <ns0:v>342.79</ns0:v>
      </ns0:c>
      <ns0:c r="F30" s="6">
        <ns0:f>ROUND(F230*F350,2)</ns0:f>
        <ns0:v>141.68</ns0:v>
      </ns0:c>
      <ns0:c r="G30" s="6">
        <ns0:f>ROUND(G230*G350,2)</ns0:f>
        <ns0:v>199.78</ns0:v>
      </ns0:c>
      <ns0:c r="H30" s="6">
        <ns0:f>ROUND(H230*H350,2)</ns0:f>
        <ns0:v>388.89</ns0:v>
      </ns0:c>
      <ns0:c r="I30" s="6">
        <ns0:f>ROUND(I230*I350,2)</ns0:f>
        <ns0:v>261.77</ns0:v>
      </ns0:c>
      <ns0:c r="J30" s="6">
        <ns0:f>ROUND(J230*J350,2)</ns0:f>
        <ns0:v>231.38</ns0:v>
      </ns0:c>
      <ns0:c r="K30" s="6">
        <ns0:f>ROUND(K230*K350,2)</ns0:f>
        <ns0:v>88.05</ns0:v>
      </ns0:c>
      <ns0:c r="L30" s="6">
        <ns0:f>ROUND(L230*L350,2)</ns0:f>
        <ns0:v>177.83</ns0:v>
      </ns0:c>
      <ns0:c r="M30" s="6">
        <ns0:f>ROUND(M230*M350,2)</ns0:f>
        <ns0:v>276.86</ns0:v>
      </ns0:c>
      <ns0:c r="N30" s="6">
        <ns0:f>ROUND(N230*N350,2)</ns0:f>
        <ns0:v>331.64</ns0:v>
      </ns0:c>
      <ns0:c r="O30" s="6">
        <ns0:f>SUM(C30:N30)</ns0:f>
        <ns0:v>2890.52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227.70</ns0:v>
      </ns0:c>
      <ns0:c r="D31" s="3">
        <ns0:f>ROUND(D231*D351,2)</ns0:f>
        <ns0:v>286.23</ns0:v>
      </ns0:c>
      <ns0:c r="E31" s="3">
        <ns0:f>ROUND(E231*E351,2)</ns0:f>
        <ns0:v>103.29</ns0:v>
      </ns0:c>
      <ns0:c r="F31" s="3">
        <ns0:f>ROUND(F231*F351,2)</ns0:f>
        <ns0:v>186.07</ns0:v>
      </ns0:c>
      <ns0:c r="G31" s="3">
        <ns0:f>ROUND(G231*G351,2)</ns0:f>
        <ns0:v>97.92</ns0:v>
      </ns0:c>
      <ns0:c r="H31" s="3">
        <ns0:f>ROUND(H231*H351,2)</ns0:f>
        <ns0:v>278.55</ns0:v>
      </ns0:c>
      <ns0:c r="I31" s="3">
        <ns0:f>ROUND(I231*I351,2)</ns0:f>
        <ns0:v>241.16</ns0:v>
      </ns0:c>
      <ns0:c r="J31" s="3">
        <ns0:f>ROUND(J231*J351,2)</ns0:f>
        <ns0:v>167.27</ns0:v>
      </ns0:c>
      <ns0:c r="K31" s="3">
        <ns0:f>ROUND(K231*K351,2)</ns0:f>
        <ns0:v>267.77</ns0:v>
      </ns0:c>
      <ns0:c r="L31" s="3">
        <ns0:f>ROUND(L231*L351,2)</ns0:f>
        <ns0:v>85.48</ns0:v>
      </ns0:c>
      <ns0:c r="M31" s="3">
        <ns0:f>ROUND(M231*M351,2)</ns0:f>
        <ns0:v>93.57</ns0:v>
      </ns0:c>
      <ns0:c r="N31" s="3">
        <ns0:f>ROUND(N231*N351,2)</ns0:f>
        <ns0:v>218.63</ns0:v>
      </ns0:c>
      <ns0:c r="O31" s="3">
        <ns0:f>SUM(C31:N31)</ns0:f>
        <ns0:v>2253.64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140.67</ns0:v>
      </ns0:c>
      <ns0:c r="D32" s="3">
        <ns0:f>ROUND(D232*D352,2)</ns0:f>
        <ns0:v>364.73</ns0:v>
      </ns0:c>
      <ns0:c r="E32" s="3">
        <ns0:f>ROUND(E232*E352,2)</ns0:f>
        <ns0:v>333.99</ns0:v>
      </ns0:c>
      <ns0:c r="F32" s="3">
        <ns0:f>ROUND(F232*F352,2)</ns0:f>
        <ns0:v>58.26</ns0:v>
      </ns0:c>
      <ns0:c r="G32" s="3">
        <ns0:f>ROUND(G232*G352,2)</ns0:f>
        <ns0:v>162.17</ns0:v>
      </ns0:c>
      <ns0:c r="H32" s="3">
        <ns0:f>ROUND(H232*H352,2)</ns0:f>
        <ns0:v>87.16</ns0:v>
      </ns0:c>
      <ns0:c r="I32" s="3">
        <ns0:f>ROUND(I232*I352,2)</ns0:f>
        <ns0:v>380.08</ns0:v>
      </ns0:c>
      <ns0:c r="J32" s="3">
        <ns0:f>ROUND(J232*J352,2)</ns0:f>
        <ns0:v>187.57</ns0:v>
      </ns0:c>
      <ns0:c r="K32" s="3">
        <ns0:f>ROUND(K232*K352,2)</ns0:f>
        <ns0:v>67.49</ns0:v>
      </ns0:c>
      <ns0:c r="L32" s="3">
        <ns0:f>ROUND(L232*L352,2)</ns0:f>
        <ns0:v>356.53</ns0:v>
      </ns0:c>
      <ns0:c r="M32" s="3">
        <ns0:f>ROUND(M232*M352,2)</ns0:f>
        <ns0:v>125.50</ns0:v>
      </ns0:c>
      <ns0:c r="N32" s="3">
        <ns0:f>ROUND(N232*N352,2)</ns0:f>
        <ns0:v>177.33</ns0:v>
      </ns0:c>
      <ns0:c r="O32" s="3">
        <ns0:f>SUM(C32:N32)</ns0:f>
        <ns0:v>2441.48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251.27</ns0:v>
      </ns0:c>
      <ns0:c r="D33" s="3">
        <ns0:f>ROUND(D233*D353,2)</ns0:f>
        <ns0:v>465.00</ns0:v>
      </ns0:c>
      <ns0:c r="E33" s="3">
        <ns0:f>ROUND(E233*E353,2)</ns0:f>
        <ns0:v>134.31</ns0:v>
      </ns0:c>
      <ns0:c r="F33" s="3">
        <ns0:f>ROUND(F233*F353,2)</ns0:f>
        <ns0:v>501.82</ns0:v>
      </ns0:c>
      <ns0:c r="G33" s="3">
        <ns0:f>ROUND(G233*G353,2)</ns0:f>
        <ns0:v>391.50</ns0:v>
      </ns0:c>
      <ns0:c r="H33" s="3">
        <ns0:f>ROUND(H233*H353,2)</ns0:f>
        <ns0:v>420.82</ns0:v>
      </ns0:c>
      <ns0:c r="I33" s="3">
        <ns0:f>ROUND(I233*I353,2)</ns0:f>
        <ns0:v>111.50</ns0:v>
      </ns0:c>
      <ns0:c r="J33" s="3">
        <ns0:f>ROUND(J233*J353,2)</ns0:f>
        <ns0:v>342.09</ns0:v>
      </ns0:c>
      <ns0:c r="K33" s="3">
        <ns0:f>ROUND(K233*K353,2)</ns0:f>
        <ns0:v>153.48</ns0:v>
      </ns0:c>
      <ns0:c r="L33" s="3">
        <ns0:f>ROUND(L233*L353,2)</ns0:f>
        <ns0:v>366.72</ns0:v>
      </ns0:c>
      <ns0:c r="M33" s="3">
        <ns0:f>ROUND(M233*M353,2)</ns0:f>
        <ns0:v>164.97</ns0:v>
      </ns0:c>
      <ns0:c r="N33" s="3">
        <ns0:f>ROUND(N233*N353,2)</ns0:f>
        <ns0:v>41.39</ns0:v>
      </ns0:c>
      <ns0:c r="O33" s="3">
        <ns0:f>SUM(C33:N33)</ns0:f>
        <ns0:v>3344.87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6640.58</ns0:v>
      </ns0:c>
      <ns0:c r="D34" s="3">
        <ns0:f>SUM(D4:D33)</ns0:f>
        <ns0:v>7419.01</ns0:v>
      </ns0:c>
      <ns0:c r="E34" s="3">
        <ns0:f>SUM(E4:E33)</ns0:f>
        <ns0:v>8000.32</ns0:v>
      </ns0:c>
      <ns0:c r="F34" s="3">
        <ns0:f>SUM(F4:F33)</ns0:f>
        <ns0:v>7983.00</ns0:v>
      </ns0:c>
      <ns0:c r="G34" s="3">
        <ns0:f>SUM(G4:G33)</ns0:f>
        <ns0:v>7272.35</ns0:v>
      </ns0:c>
      <ns0:c r="H34" s="3">
        <ns0:f>SUM(H4:H33)</ns0:f>
        <ns0:v>6673.07</ns0:v>
      </ns0:c>
      <ns0:c r="I34" s="3">
        <ns0:f>SUM(I4:I33)</ns0:f>
        <ns0:v>7435.26</ns0:v>
      </ns0:c>
      <ns0:c r="J34" s="3">
        <ns0:f>SUM(J4:J33)</ns0:f>
        <ns0:v>7666.94</ns0:v>
      </ns0:c>
      <ns0:c r="K34" s="3">
        <ns0:f>SUM(K4:K33)</ns0:f>
        <ns0:v>7521.48</ns0:v>
      </ns0:c>
      <ns0:c r="L34" s="3">
        <ns0:f>SUM(L4:L33)</ns0:f>
        <ns0:v>6515.49</ns0:v>
      </ns0:c>
      <ns0:c r="M34" s="3">
        <ns0:f>SUM(M4:M33)</ns0:f>
        <ns0:v>6303.62</ns0:v>
      </ns0:c>
      <ns0:c r="N34" s="3">
        <ns0:f>SUM(N4:N33)</ns0:f>
        <ns0:v>6066.86</ns0:v>
      </ns0:c>
      <ns0:c r="O34" s="3">
        <ns0:f>SUM(C34:N34)</ns0:f>
        <ns0:v>85497.98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37.99</ns0:v>
      </ns0:c>
      <ns0:c r="D204" s="4">
        <ns0:v>77.16</ns0:v>
      </ns0:c>
      <ns0:c r="E204" s="4">
        <ns0:v>35.11</ns0:v>
      </ns0:c>
      <ns0:c r="F204" s="4">
        <ns0:v>45.49</ns0:v>
      </ns0:c>
      <ns0:c r="G204" s="4">
        <ns0:v>64.32</ns0:v>
      </ns0:c>
      <ns0:c r="H204" s="4">
        <ns0:v>23.76</ns0:v>
      </ns0:c>
      <ns0:c r="I204" s="4">
        <ns0:v>44.96</ns0:v>
      </ns0:c>
      <ns0:c r="J204" s="4">
        <ns0:v>43.86</ns0:v>
      </ns0:c>
      <ns0:c r="K204" s="4">
        <ns0:v>37.85</ns0:v>
      </ns0:c>
      <ns0:c r="L204" s="4">
        <ns0:v>59.24</ns0:v>
      </ns0:c>
      <ns0:c r="M204" s="4">
        <ns0:v>24.87</ns0:v>
      </ns0:c>
      <ns0:c r="N204" s="4">
        <ns0:v>32.96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29.73</ns0:v>
      </ns0:c>
      <ns0:c r="D205" s="4">
        <ns0:v>45.71</ns0:v>
      </ns0:c>
      <ns0:c r="E205" s="4">
        <ns0:v>57.27</ns0:v>
      </ns0:c>
      <ns0:c r="F205" s="4">
        <ns0:v>45.85</ns0:v>
      </ns0:c>
      <ns0:c r="G205" s="4">
        <ns0:v>23.99</ns0:v>
      </ns0:c>
      <ns0:c r="H205" s="4">
        <ns0:v>51.61</ns0:v>
      </ns0:c>
      <ns0:c r="I205" s="4">
        <ns0:v>54.53</ns0:v>
      </ns0:c>
      <ns0:c r="J205" s="4">
        <ns0:v>29.54</ns0:v>
      </ns0:c>
      <ns0:c r="K205" s="4">
        <ns0:v>57.85</ns0:v>
      </ns0:c>
      <ns0:c r="L205" s="4">
        <ns0:v>58.27</ns0:v>
      </ns0:c>
      <ns0:c r="M205" s="4">
        <ns0:v>44.47</ns0:v>
      </ns0:c>
      <ns0:c r="N205" s="4">
        <ns0:v>27.43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32.61</ns0:v>
      </ns0:c>
      <ns0:c r="D206" s="4">
        <ns0:v>63.99</ns0:v>
      </ns0:c>
      <ns0:c r="E206" s="4">
        <ns0:v>22.77</ns0:v>
      </ns0:c>
      <ns0:c r="F206" s="4">
        <ns0:v>47.55</ns0:v>
      </ns0:c>
      <ns0:c r="G206" s="4">
        <ns0:v>56.78</ns0:v>
      </ns0:c>
      <ns0:c r="H206" s="4">
        <ns0:v>43.01</ns0:v>
      </ns0:c>
      <ns0:c r="I206" s="4">
        <ns0:v>29.55</ns0:v>
      </ns0:c>
      <ns0:c r="J206" s="4">
        <ns0:v>20.85</ns0:v>
      </ns0:c>
      <ns0:c r="K206" s="4">
        <ns0:v>29.24</ns0:v>
      </ns0:c>
      <ns0:c r="L206" s="4">
        <ns0:v>67.47</ns0:v>
      </ns0:c>
      <ns0:c r="M206" s="4">
        <ns0:v>55.08</ns0:v>
      </ns0:c>
      <ns0:c r="N206" s="4">
        <ns0:v>20.38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43.43</ns0:v>
      </ns0:c>
      <ns0:c r="D207" s="4">
        <ns0:v>39.52</ns0:v>
      </ns0:c>
      <ns0:c r="E207" s="4">
        <ns0:v>34.30</ns0:v>
      </ns0:c>
      <ns0:c r="F207" s="4">
        <ns0:v>52.04</ns0:v>
      </ns0:c>
      <ns0:c r="G207" s="4">
        <ns0:v>30.38</ns0:v>
      </ns0:c>
      <ns0:c r="H207" s="4">
        <ns0:v>35.10</ns0:v>
      </ns0:c>
      <ns0:c r="I207" s="4">
        <ns0:v>30.93</ns0:v>
      </ns0:c>
      <ns0:c r="J207" s="4">
        <ns0:v>64.15</ns0:v>
      </ns0:c>
      <ns0:c r="K207" s="4">
        <ns0:v>39.62</ns0:v>
      </ns0:c>
      <ns0:c r="L207" s="4">
        <ns0:v>30.89</ns0:v>
      </ns0:c>
      <ns0:c r="M207" s="4">
        <ns0:v>27.65</ns0:v>
      </ns0:c>
      <ns0:c r="N207" s="4">
        <ns0:v>46.96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48.65</ns0:v>
      </ns0:c>
      <ns0:c r="D208" s="4">
        <ns0:v>27.73</ns0:v>
      </ns0:c>
      <ns0:c r="E208" s="4">
        <ns0:v>40.53</ns0:v>
      </ns0:c>
      <ns0:c r="F208" s="4">
        <ns0:v>38.70</ns0:v>
      </ns0:c>
      <ns0:c r="G208" s="4">
        <ns0:v>34.96</ns0:v>
      </ns0:c>
      <ns0:c r="H208" s="4">
        <ns0:v>31.77</ns0:v>
      </ns0:c>
      <ns0:c r="I208" s="4">
        <ns0:v>42.49</ns0:v>
      </ns0:c>
      <ns0:c r="J208" s="4">
        <ns0:v>58.08</ns0:v>
      </ns0:c>
      <ns0:c r="K208" s="4">
        <ns0:v>48.13</ns0:v>
      </ns0:c>
      <ns0:c r="L208" s="4">
        <ns0:v>47.74</ns0:v>
      </ns0:c>
      <ns0:c r="M208" s="4">
        <ns0:v>22.04</ns0:v>
      </ns0:c>
      <ns0:c r="N208" s="4">
        <ns0:v>58.70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52.89</ns0:v>
      </ns0:c>
      <ns0:c r="D209" s="4">
        <ns0:v>71.29</ns0:v>
      </ns0:c>
      <ns0:c r="E209" s="4">
        <ns0:v>41.93</ns0:v>
      </ns0:c>
      <ns0:c r="F209" s="4">
        <ns0:v>31.13</ns0:v>
      </ns0:c>
      <ns0:c r="G209" s="4">
        <ns0:v>38.01</ns0:v>
      </ns0:c>
      <ns0:c r="H209" s="4">
        <ns0:v>34.83</ns0:v>
      </ns0:c>
      <ns0:c r="I209" s="4">
        <ns0:v>65.81</ns0:v>
      </ns0:c>
      <ns0:c r="J209" s="4">
        <ns0:v>53.37</ns0:v>
      </ns0:c>
      <ns0:c r="K209" s="4">
        <ns0:v>55.22</ns0:v>
      </ns0:c>
      <ns0:c r="L209" s="4">
        <ns0:v>36.38</ns0:v>
      </ns0:c>
      <ns0:c r="M209" s="4">
        <ns0:v>58.87</ns0:v>
      </ns0:c>
      <ns0:c r="N209" s="4">
        <ns0:v>49.28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17.55</ns0:v>
      </ns0:c>
      <ns0:c r="D210" s="4">
        <ns0:v>27.21</ns0:v>
      </ns0:c>
      <ns0:c r="E210" s="4">
        <ns0:v>52.61</ns0:v>
      </ns0:c>
      <ns0:c r="F210" s="4">
        <ns0:v>53.85</ns0:v>
      </ns0:c>
      <ns0:c r="G210" s="4">
        <ns0:v>51.64</ns0:v>
      </ns0:c>
      <ns0:c r="H210" s="4">
        <ns0:v>43.65</ns0:v>
      </ns0:c>
      <ns0:c r="I210" s="4">
        <ns0:v>39.80</ns0:v>
      </ns0:c>
      <ns0:c r="J210" s="4">
        <ns0:v>34.15</ns0:v>
      </ns0:c>
      <ns0:c r="K210" s="4">
        <ns0:v>59.98</ns0:v>
      </ns0:c>
      <ns0:c r="L210" s="4">
        <ns0:v>24.44</ns0:v>
      </ns0:c>
      <ns0:c r="M210" s="4">
        <ns0:v>68.63</ns0:v>
      </ns0:c>
      <ns0:c r="N210" s="4">
        <ns0:v>28.53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46.99</ns0:v>
      </ns0:c>
      <ns0:c r="D211" s="4">
        <ns0:v>32.13</ns0:v>
      </ns0:c>
      <ns0:c r="E211" s="4">
        <ns0:v>55.75</ns0:v>
      </ns0:c>
      <ns0:c r="F211" s="4">
        <ns0:v>34.15</ns0:v>
      </ns0:c>
      <ns0:c r="G211" s="4">
        <ns0:v>52.42</ns0:v>
      </ns0:c>
      <ns0:c r="H211" s="4">
        <ns0:v>24.76</ns0:v>
      </ns0:c>
      <ns0:c r="I211" s="4">
        <ns0:v>72.79</ns0:v>
      </ns0:c>
      <ns0:c r="J211" s="4">
        <ns0:v>34.18</ns0:v>
      </ns0:c>
      <ns0:c r="K211" s="4">
        <ns0:v>61.88</ns0:v>
      </ns0:c>
      <ns0:c r="L211" s="4">
        <ns0:v>18.02</ns0:v>
      </ns0:c>
      <ns0:c r="M211" s="4">
        <ns0:v>55.87</ns0:v>
      </ns0:c>
      <ns0:c r="N211" s="4">
        <ns0:v>41.82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30.79</ns0:v>
      </ns0:c>
      <ns0:c r="D212" s="4">
        <ns0:v>26.66</ns0:v>
      </ns0:c>
      <ns0:c r="E212" s="4">
        <ns0:v>59.96</ns0:v>
      </ns0:c>
      <ns0:c r="F212" s="4">
        <ns0:v>59.51</ns0:v>
      </ns0:c>
      <ns0:c r="G212" s="4">
        <ns0:v>58.89</ns0:v>
      </ns0:c>
      <ns0:c r="H212" s="4">
        <ns0:v>29.84</ns0:v>
      </ns0:c>
      <ns0:c r="I212" s="4">
        <ns0:v>49.77</ns0:v>
      </ns0:c>
      <ns0:c r="J212" s="4">
        <ns0:v>74.17</ns0:v>
      </ns0:c>
      <ns0:c r="K212" s="4">
        <ns0:v>62.07</ns0:v>
      </ns0:c>
      <ns0:c r="L212" s="4">
        <ns0:v>36.30</ns0:v>
      </ns0:c>
      <ns0:c r="M212" s="4">
        <ns0:v>63.04</ns0:v>
      </ns0:c>
      <ns0:c r="N212" s="4">
        <ns0:v>23.75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42.99</ns0:v>
      </ns0:c>
      <ns0:c r="D213" s="4">
        <ns0:v>26.47</ns0:v>
      </ns0:c>
      <ns0:c r="E213" s="4">
        <ns0:v>19.99</ns0:v>
      </ns0:c>
      <ns0:c r="F213" s="4">
        <ns0:v>45.55</ns0:v>
      </ns0:c>
      <ns0:c r="G213" s="4">
        <ns0:v>42.42</ns0:v>
      </ns0:c>
      <ns0:c r="H213" s="4">
        <ns0:v>29.88</ns0:v>
      </ns0:c>
      <ns0:c r="I213" s="4">
        <ns0:v>27.52</ns0:v>
      </ns0:c>
      <ns0:c r="J213" s="4">
        <ns0:v>57.08</ns0:v>
      </ns0:c>
      <ns0:c r="K213" s="4">
        <ns0:v>31.42</ns0:v>
      </ns0:c>
      <ns0:c r="L213" s="4">
        <ns0:v>56.35</ns0:v>
      </ns0:c>
      <ns0:c r="M213" s="4">
        <ns0:v>27.53</ns0:v>
      </ns0:c>
      <ns0:c r="N213" s="4">
        <ns0:v>22.88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35.69</ns0:v>
      </ns0:c>
      <ns0:c r="D214" s="4">
        <ns0:v>61.45</ns0:v>
      </ns0:c>
      <ns0:c r="E214" s="4">
        <ns0:v>65.85</ns0:v>
      </ns0:c>
      <ns0:c r="F214" s="4">
        <ns0:v>51.49</ns0:v>
      </ns0:c>
      <ns0:c r="G214" s="4">
        <ns0:v>64.75</ns0:v>
      </ns0:c>
      <ns0:c r="H214" s="4">
        <ns0:v>61.94</ns0:v>
      </ns0:c>
      <ns0:c r="I214" s="4">
        <ns0:v>24.58</ns0:v>
      </ns0:c>
      <ns0:c r="J214" s="4">
        <ns0:v>60.12</ns0:v>
      </ns0:c>
      <ns0:c r="K214" s="4">
        <ns0:v>19.42</ns0:v>
      </ns0:c>
      <ns0:c r="L214" s="4">
        <ns0:v>59.30</ns0:v>
      </ns0:c>
      <ns0:c r="M214" s="4">
        <ns0:v>49.60</ns0:v>
      </ns0:c>
      <ns0:c r="N214" s="4">
        <ns0:v>20.98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64.60</ns0:v>
      </ns0:c>
      <ns0:c r="D215" s="4">
        <ns0:v>24.30</ns0:v>
      </ns0:c>
      <ns0:c r="E215" s="4">
        <ns0:v>49.56</ns0:v>
      </ns0:c>
      <ns0:c r="F215" s="4">
        <ns0:v>62.70</ns0:v>
      </ns0:c>
      <ns0:c r="G215" s="4">
        <ns0:v>61.24</ns0:v>
      </ns0:c>
      <ns0:c r="H215" s="4">
        <ns0:v>51.09</ns0:v>
      </ns0:c>
      <ns0:c r="I215" s="4">
        <ns0:v>62.03</ns0:v>
      </ns0:c>
      <ns0:c r="J215" s="4">
        <ns0:v>17.43</ns0:v>
      </ns0:c>
      <ns0:c r="K215" s="4">
        <ns0:v>51.13</ns0:v>
      </ns0:c>
      <ns0:c r="L215" s="4">
        <ns0:v>20.81</ns0:v>
      </ns0:c>
      <ns0:c r="M215" s="4">
        <ns0:v>30.01</ns0:v>
      </ns0:c>
      <ns0:c r="N215" s="4">
        <ns0:v>28.45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60.82</ns0:v>
      </ns0:c>
      <ns0:c r="D216" s="4">
        <ns0:v>46.42</ns0:v>
      </ns0:c>
      <ns0:c r="E216" s="4">
        <ns0:v>20.53</ns0:v>
      </ns0:c>
      <ns0:c r="F216" s="4">
        <ns0:v>41.51</ns0:v>
      </ns0:c>
      <ns0:c r="G216" s="4">
        <ns0:v>29.95</ns0:v>
      </ns0:c>
      <ns0:c r="H216" s="4">
        <ns0:v>64.80</ns0:v>
      </ns0:c>
      <ns0:c r="I216" s="4">
        <ns0:v>65.60</ns0:v>
      </ns0:c>
      <ns0:c r="J216" s="4">
        <ns0:v>18.11</ns0:v>
      </ns0:c>
      <ns0:c r="K216" s="4">
        <ns0:v>61.58</ns0:v>
      </ns0:c>
      <ns0:c r="L216" s="4">
        <ns0:v>65.69</ns0:v>
      </ns0:c>
      <ns0:c r="M216" s="4">
        <ns0:v>70.16</ns0:v>
      </ns0:c>
      <ns0:c r="N216" s="4">
        <ns0:v>42.22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50.12</ns0:v>
      </ns0:c>
      <ns0:c r="D217" s="4">
        <ns0:v>41.65</ns0:v>
      </ns0:c>
      <ns0:c r="E217" s="4">
        <ns0:v>22.98</ns0:v>
      </ns0:c>
      <ns0:c r="F217" s="4">
        <ns0:v>45.08</ns0:v>
      </ns0:c>
      <ns0:c r="G217" s="4">
        <ns0:v>54.85</ns0:v>
      </ns0:c>
      <ns0:c r="H217" s="4">
        <ns0:v>47.86</ns0:v>
      </ns0:c>
      <ns0:c r="I217" s="4">
        <ns0:v>24.13</ns0:v>
      </ns0:c>
      <ns0:c r="J217" s="4">
        <ns0:v>61.09</ns0:v>
      </ns0:c>
      <ns0:c r="K217" s="4">
        <ns0:v>43.49</ns0:v>
      </ns0:c>
      <ns0:c r="L217" s="4">
        <ns0:v>63.11</ns0:v>
      </ns0:c>
      <ns0:c r="M217" s="4">
        <ns0:v>21.77</ns0:v>
      </ns0:c>
      <ns0:c r="N217" s="4">
        <ns0:v>68.77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69.08</ns0:v>
      </ns0:c>
      <ns0:c r="D218" s="4">
        <ns0:v>48.83</ns0:v>
      </ns0:c>
      <ns0:c r="E218" s="4">
        <ns0:v>54.39</ns0:v>
      </ns0:c>
      <ns0:c r="F218" s="4">
        <ns0:v>55.14</ns0:v>
      </ns0:c>
      <ns0:c r="G218" s="4">
        <ns0:v>54.02</ns0:v>
      </ns0:c>
      <ns0:c r="H218" s="4">
        <ns0:v>43.13</ns0:v>
      </ns0:c>
      <ns0:c r="I218" s="4">
        <ns0:v>43.54</ns0:v>
      </ns0:c>
      <ns0:c r="J218" s="4">
        <ns0:v>45.88</ns0:v>
      </ns0:c>
      <ns0:c r="K218" s="4">
        <ns0:v>20.85</ns0:v>
      </ns0:c>
      <ns0:c r="L218" s="4">
        <ns0:v>58.21</ns0:v>
      </ns0:c>
      <ns0:c r="M218" s="4">
        <ns0:v>26.42</ns0:v>
      </ns0:c>
      <ns0:c r="N218" s="4">
        <ns0:v>47.08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66.83</ns0:v>
      </ns0:c>
      <ns0:c r="D219" s="4">
        <ns0:v>33.76</ns0:v>
      </ns0:c>
      <ns0:c r="E219" s="4">
        <ns0:v>23.80</ns0:v>
      </ns0:c>
      <ns0:c r="F219" s="4">
        <ns0:v>60.05</ns0:v>
      </ns0:c>
      <ns0:c r="G219" s="4">
        <ns0:v>30.54</ns0:v>
      </ns0:c>
      <ns0:c r="H219" s="4">
        <ns0:v>51.47</ns0:v>
      </ns0:c>
      <ns0:c r="I219" s="4">
        <ns0:v>55.33</ns0:v>
      </ns0:c>
      <ns0:c r="J219" s="4">
        <ns0:v>20.65</ns0:v>
      </ns0:c>
      <ns0:c r="K219" s="4">
        <ns0:v>55.92</ns0:v>
      </ns0:c>
      <ns0:c r="L219" s="4">
        <ns0:v>35.58</ns0:v>
      </ns0:c>
      <ns0:c r="M219" s="4">
        <ns0:v>38.81</ns0:v>
      </ns0:c>
      <ns0:c r="N219" s="4">
        <ns0:v>42.22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20.24</ns0:v>
      </ns0:c>
      <ns0:c r="D221" s="4">
        <ns0:v>60.51</ns0:v>
      </ns0:c>
      <ns0:c r="E221" s="4">
        <ns0:v>58.84</ns0:v>
      </ns0:c>
      <ns0:c r="F221" s="4">
        <ns0:v>45.68</ns0:v>
      </ns0:c>
      <ns0:c r="G221" s="4">
        <ns0:v>16.34</ns0:v>
      </ns0:c>
      <ns0:c r="H221" s="4">
        <ns0:v>36.99</ns0:v>
      </ns0:c>
      <ns0:c r="I221" s="4">
        <ns0:v>57.17</ns0:v>
      </ns0:c>
      <ns0:c r="J221" s="4">
        <ns0:v>55.47</ns0:v>
      </ns0:c>
      <ns0:c r="K221" s="4">
        <ns0:v>57.60</ns0:v>
      </ns0:c>
      <ns0:c r="L221" s="4">
        <ns0:v>48.28</ns0:v>
      </ns0:c>
      <ns0:c r="M221" s="4">
        <ns0:v>63.54</ns0:v>
      </ns0:c>
      <ns0:c r="N221" s="4">
        <ns0:v>50.33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23.62</ns0:v>
      </ns0:c>
      <ns0:c r="D222" s="4">
        <ns0:v>43.92</ns0:v>
      </ns0:c>
      <ns0:c r="E222" s="4">
        <ns0:v>19.17</ns0:v>
      </ns0:c>
      <ns0:c r="F222" s="4">
        <ns0:v>31.82</ns0:v>
      </ns0:c>
      <ns0:c r="G222" s="4">
        <ns0:v>37.22</ns0:v>
      </ns0:c>
      <ns0:c r="H222" s="4">
        <ns0:v>15.53</ns0:v>
      </ns0:c>
      <ns0:c r="I222" s="4">
        <ns0:v>21.94</ns0:v>
      </ns0:c>
      <ns0:c r="J222" s="4">
        <ns0:v>48.10</ns0:v>
      </ns0:c>
      <ns0:c r="K222" s="4">
        <ns0:v>60.42</ns0:v>
      </ns0:c>
      <ns0:c r="L222" s="4">
        <ns0:v>28.46</ns0:v>
      </ns0:c>
      <ns0:c r="M222" s="4">
        <ns0:v>15.75</ns0:v>
      </ns0:c>
      <ns0:c r="N222" s="4">
        <ns0:v>53.58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37.83</ns0:v>
      </ns0:c>
      <ns0:c r="D223" s="4">
        <ns0:v>54.84</ns0:v>
      </ns0:c>
      <ns0:c r="E223" s="4">
        <ns0:v>71.06</ns0:v>
      </ns0:c>
      <ns0:c r="F223" s="4">
        <ns0:v>52.69</ns0:v>
      </ns0:c>
      <ns0:c r="G223" s="4">
        <ns0:v>18.83</ns0:v>
      </ns0:c>
      <ns0:c r="H223" s="4">
        <ns0:v>50.01</ns0:v>
      </ns0:c>
      <ns0:c r="I223" s="4">
        <ns0:v>63.44</ns0:v>
      </ns0:c>
      <ns0:c r="J223" s="4">
        <ns0:v>50.86</ns0:v>
      </ns0:c>
      <ns0:c r="K223" s="4">
        <ns0:v>22.59</ns0:v>
      </ns0:c>
      <ns0:c r="L223" s="4">
        <ns0:v>48.90</ns0:v>
      </ns0:c>
      <ns0:c r="M223" s="4">
        <ns0:v>40.49</ns0:v>
      </ns0:c>
      <ns0:c r="N223" s="4">
        <ns0:v>54.69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51.84</ns0:v>
      </ns0:c>
      <ns0:c r="D224" s="4">
        <ns0:v>53.56</ns0:v>
      </ns0:c>
      <ns0:c r="E224" s="4">
        <ns0:v>61.16</ns0:v>
      </ns0:c>
      <ns0:c r="F224" s="4">
        <ns0:v>67.77</ns0:v>
      </ns0:c>
      <ns0:c r="G224" s="4">
        <ns0:v>64.26</ns0:v>
      </ns0:c>
      <ns0:c r="H224" s="4">
        <ns0:v>32.11</ns0:v>
      </ns0:c>
      <ns0:c r="I224" s="4">
        <ns0:v>20.61</ns0:v>
      </ns0:c>
      <ns0:c r="J224" s="4">
        <ns0:v>35.23</ns0:v>
      </ns0:c>
      <ns0:c r="K224" s="4">
        <ns0:v>41.87</ns0:v>
      </ns0:c>
      <ns0:c r="L224" s="4">
        <ns0:v>30.73</ns0:v>
      </ns0:c>
      <ns0:c r="M224" s="4">
        <ns0:v>40.09</ns0:v>
      </ns0:c>
      <ns0:c r="N224" s="4">
        <ns0:v>29.96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76.62</ns0:v>
      </ns0:c>
      <ns0:c r="D225" s="4">
        <ns0:v>49.67</ns0:v>
      </ns0:c>
      <ns0:c r="E225" s="4">
        <ns0:v>48.32</ns0:v>
      </ns0:c>
      <ns0:c r="F225" s="4">
        <ns0:v>65.79</ns0:v>
      </ns0:c>
      <ns0:c r="G225" s="4">
        <ns0:v>30.22</ns0:v>
      </ns0:c>
      <ns0:c r="H225" s="4">
        <ns0:v>23.38</ns0:v>
      </ns0:c>
      <ns0:c r="I225" s="4">
        <ns0:v>66.49</ns0:v>
      </ns0:c>
      <ns0:c r="J225" s="4">
        <ns0:v>61.26</ns0:v>
      </ns0:c>
      <ns0:c r="K225" s="4">
        <ns0:v>63.38</ns0:v>
      </ns0:c>
      <ns0:c r="L225" s="4">
        <ns0:v>33.93</ns0:v>
      </ns0:c>
      <ns0:c r="M225" s="4">
        <ns0:v>43.64</ns0:v>
      </ns0:c>
      <ns0:c r="N225" s="4">
        <ns0:v>50.80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21.62</ns0:v>
      </ns0:c>
      <ns0:c r="D226" s="4">
        <ns0:v>19.36</ns0:v>
      </ns0:c>
      <ns0:c r="E226" s="4">
        <ns0:v>65.86</ns0:v>
      </ns0:c>
      <ns0:c r="F226" s="4">
        <ns0:v>31.09</ns0:v>
      </ns0:c>
      <ns0:c r="G226" s="4">
        <ns0:v>52.62</ns0:v>
      </ns0:c>
      <ns0:c r="H226" s="4">
        <ns0:v>36.30</ns0:v>
      </ns0:c>
      <ns0:c r="I226" s="4">
        <ns0:v>28.12</ns0:v>
      </ns0:c>
      <ns0:c r="J226" s="4">
        <ns0:v>63.50</ns0:v>
      </ns0:c>
      <ns0:c r="K226" s="4">
        <ns0:v>25.61</ns0:v>
      </ns0:c>
      <ns0:c r="L226" s="4">
        <ns0:v>21.66</ns0:v>
      </ns0:c>
      <ns0:c r="M226" s="4">
        <ns0:v>24.61</ns0:v>
      </ns0:c>
      <ns0:c r="N226" s="4">
        <ns0:v>30.28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49.99</ns0:v>
      </ns0:c>
      <ns0:c r="D227" s="4">
        <ns0:v>32.31</ns0:v>
      </ns0:c>
      <ns0:c r="E227" s="4">
        <ns0:v>56.62</ns0:v>
      </ns0:c>
      <ns0:c r="F227" s="4">
        <ns0:v>30.53</ns0:v>
      </ns0:c>
      <ns0:c r="G227" s="4">
        <ns0:v>19.74</ns0:v>
      </ns0:c>
      <ns0:c r="H227" s="4">
        <ns0:v>49.00</ns0:v>
      </ns0:c>
      <ns0:c r="I227" s="4">
        <ns0:v>44.62</ns0:v>
      </ns0:c>
      <ns0:c r="J227" s="4">
        <ns0:v>31.47</ns0:v>
      </ns0:c>
      <ns0:c r="K227" s="4">
        <ns0:v>34.86</ns0:v>
      </ns0:c>
      <ns0:c r="L227" s="4">
        <ns0:v>46.06</ns0:v>
      </ns0:c>
      <ns0:c r="M227" s="4">
        <ns0:v>50.81</ns0:v>
      </ns0:c>
      <ns0:c r="N227" s="4">
        <ns0:v>34.73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70.98</ns0:v>
      </ns0:c>
      <ns0:c r="D228" s="4">
        <ns0:v>32.56</ns0:v>
      </ns0:c>
      <ns0:c r="E228" s="4">
        <ns0:v>37.64</ns0:v>
      </ns0:c>
      <ns0:c r="F228" s="4">
        <ns0:v>51.75</ns0:v>
      </ns0:c>
      <ns0:c r="G228" s="4">
        <ns0:v>27.04</ns0:v>
      </ns0:c>
      <ns0:c r="H228" s="4">
        <ns0:v>62.60</ns0:v>
      </ns0:c>
      <ns0:c r="I228" s="4">
        <ns0:v>35.79</ns0:v>
      </ns0:c>
      <ns0:c r="J228" s="4">
        <ns0:v>55.33</ns0:v>
      </ns0:c>
      <ns0:c r="K228" s="4">
        <ns0:v>62.80</ns0:v>
      </ns0:c>
      <ns0:c r="L228" s="4">
        <ns0:v>21.53</ns0:v>
      </ns0:c>
      <ns0:c r="M228" s="4">
        <ns0:v>51.87</ns0:v>
      </ns0:c>
      <ns0:c r="N228" s="4">
        <ns0:v>57.34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20.14</ns0:v>
      </ns0:c>
      <ns0:c r="D230" s="4">
        <ns0:v>45.26</ns0:v>
      </ns0:c>
      <ns0:c r="E230" s="4">
        <ns0:v>44.06</ns0:v>
      </ns0:c>
      <ns0:c r="F230" s="4">
        <ns0:v>27.51</ns0:v>
      </ns0:c>
      <ns0:c r="G230" s="4">
        <ns0:v>24.91</ns0:v>
      </ns0:c>
      <ns0:c r="H230" s="4">
        <ns0:v>50.05</ns0:v>
      </ns0:c>
      <ns0:c r="I230" s="4">
        <ns0:v>44.67</ns0:v>
      </ns0:c>
      <ns0:c r="J230" s="4">
        <ns0:v>37.32</ns0:v>
      </ns0:c>
      <ns0:c r="K230" s="4">
        <ns0:v>22.81</ns0:v>
      </ns0:c>
      <ns0:c r="L230" s="4">
        <ns0:v>32.10</ns0:v>
      </ns0:c>
      <ns0:c r="M230" s="4">
        <ns0:v>42.66</ns0:v>
      </ns0:c>
      <ns0:c r="N230" s="4">
        <ns0:v>58.08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58.99</ns0:v>
      </ns0:c>
      <ns0:c r="D231" s="4">
        <ns0:v>36.37</ns0:v>
      </ns0:c>
      <ns0:c r="E231" s="4">
        <ns0:v>30.47</ns0:v>
      </ns0:c>
      <ns0:c r="F231" s="4">
        <ns0:v>48.71</ns0:v>
      </ns0:c>
      <ns0:c r="G231" s="4">
        <ns0:v>33.42</ns0:v>
      </ns0:c>
      <ns0:c r="H231" s="4">
        <ns0:v>39.51</ns0:v>
      </ns0:c>
      <ns0:c r="I231" s="4">
        <ns0:v>30.07</ns0:v>
      </ns0:c>
      <ns0:c r="J231" s="4">
        <ns0:v>66.64</ns0:v>
      </ns0:c>
      <ns0:c r="K231" s="4">
        <ns0:v>32.30</ns0:v>
      </ns0:c>
      <ns0:c r="L231" s="4">
        <ns0:v>21.64</ns0:v>
      </ns0:c>
      <ns0:c r="M231" s="4">
        <ns0:v>28.79</ns0:v>
      </ns0:c>
      <ns0:c r="N231" s="4">
        <ns0:v>52.18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16.53</ns0:v>
      </ns0:c>
      <ns0:c r="D232" s="4">
        <ns0:v>48.63</ns0:v>
      </ns0:c>
      <ns0:c r="E232" s="4">
        <ns0:v>62.08</ns0:v>
      </ns0:c>
      <ns0:c r="F232" s="4">
        <ns0:v>18.32</ns0:v>
      </ns0:c>
      <ns0:c r="G232" s="4">
        <ns0:v>40.24</ns0:v>
      </ns0:c>
      <ns0:c r="H232" s="4">
        <ns0:v>31.24</ns0:v>
      </ns0:c>
      <ns0:c r="I232" s="4">
        <ns0:v>64.64</ns0:v>
      </ns0:c>
      <ns0:c r="J232" s="4">
        <ns0:v>46.66</ns0:v>
      </ns0:c>
      <ns0:c r="K232" s="4">
        <ns0:v>21.77</ns0:v>
      </ns0:c>
      <ns0:c r="L232" s="4">
        <ns0:v>50.86</ns0:v>
      </ns0:c>
      <ns0:c r="M232" s="4">
        <ns0:v>32.43</ns0:v>
      </ns0:c>
      <ns0:c r="N232" s="4">
        <ns0:v>39.76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26.96</ns0:v>
      </ns0:c>
      <ns0:c r="D233" s="4">
        <ns0:v>66.81</ns0:v>
      </ns0:c>
      <ns0:c r="E233" s="4">
        <ns0:v>41.84</ns0:v>
      </ns0:c>
      <ns0:c r="F233" s="4">
        <ns0:v>60.17</ns0:v>
      </ns0:c>
      <ns0:c r="G233" s="4">
        <ns0:v>49.62</ns0:v>
      </ns0:c>
      <ns0:c r="H233" s="4">
        <ns0:v>48.65</ns0:v>
      </ns0:c>
      <ns0:c r="I233" s="4">
        <ns0:v>49.12</ns0:v>
      </ns0:c>
      <ns0:c r="J233" s="4">
        <ns0:v>43.69</ns0:v>
      </ns0:c>
      <ns0:c r="K233" s="4">
        <ns0:v>60.19</ns0:v>
      </ns0:c>
      <ns0:c r="L233" s="4">
        <ns0:v>54.41</ns0:v>
      </ns0:c>
      <ns0:c r="M233" s="4">
        <ns0:v>50.45</ns0:v>
      </ns0:c>
      <ns0:c r="N233" s="4">
        <ns0:v>19.34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6.86</ns0:v>
      </ns0:c>
      <ns0:c r="D324" s="4">
        <ns0:v>5.62</ns0:v>
      </ns0:c>
      <ns0:c r="E324" s="4">
        <ns0:v>5.37</ns0:v>
      </ns0:c>
      <ns0:c r="F324" s="4">
        <ns0:v>2.78</ns0:v>
      </ns0:c>
      <ns0:c r="G324" s="4">
        <ns0:v>7.80</ns0:v>
      </ns0:c>
      <ns0:c r="H324" s="4">
        <ns0:v>4.09</ns0:v>
      </ns0:c>
      <ns0:c r="I324" s="4">
        <ns0:v>7.56</ns0:v>
      </ns0:c>
      <ns0:c r="J324" s="4">
        <ns0:v>7.43</ns0:v>
      </ns0:c>
      <ns0:c r="K324" s="4">
        <ns0:v>7.21</ns0:v>
      </ns0:c>
      <ns0:c r="L324" s="4">
        <ns0:v>5.16</ns0:v>
      </ns0:c>
      <ns0:c r="M324" s="4">
        <ns0:v>6.38</ns0:v>
      </ns0:c>
      <ns0:c r="N324" s="4">
        <ns0:v>3.47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7.78</ns0:v>
      </ns0:c>
      <ns0:c r="D325" s="4">
        <ns0:v>7.99</ns0:v>
      </ns0:c>
      <ns0:c r="E325" s="4">
        <ns0:v>9.24</ns0:v>
      </ns0:c>
      <ns0:c r="F325" s="4">
        <ns0:v>6.50</ns0:v>
      </ns0:c>
      <ns0:c r="G325" s="4">
        <ns0:v>7.31</ns0:v>
      </ns0:c>
      <ns0:c r="H325" s="4">
        <ns0:v>2.60</ns0:v>
      </ns0:c>
      <ns0:c r="I325" s="4">
        <ns0:v>8.83</ns0:v>
      </ns0:c>
      <ns0:c r="J325" s="4">
        <ns0:v>5.39</ns0:v>
      </ns0:c>
      <ns0:c r="K325" s="4">
        <ns0:v>7.02</ns0:v>
      </ns0:c>
      <ns0:c r="L325" s="4">
        <ns0:v>5.25</ns0:v>
      </ns0:c>
      <ns0:c r="M325" s="4">
        <ns0:v>4.14</ns0:v>
      </ns0:c>
      <ns0:c r="N325" s="4">
        <ns0:v>2.47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4.14</ns0:v>
      </ns0:c>
      <ns0:c r="D326" s="4">
        <ns0:v>5.16</ns0:v>
      </ns0:c>
      <ns0:c r="E326" s="4">
        <ns0:v>4.43</ns0:v>
      </ns0:c>
      <ns0:c r="F326" s="4">
        <ns0:v>5.08</ns0:v>
      </ns0:c>
      <ns0:c r="G326" s="4">
        <ns0:v>2.87</ns0:v>
      </ns0:c>
      <ns0:c r="H326" s="4">
        <ns0:v>6.66</ns0:v>
      </ns0:c>
      <ns0:c r="I326" s="4">
        <ns0:v>5.79</ns0:v>
      </ns0:c>
      <ns0:c r="J326" s="4">
        <ns0:v>6.59</ns0:v>
      </ns0:c>
      <ns0:c r="K326" s="4">
        <ns0:v>2.81</ns0:v>
      </ns0:c>
      <ns0:c r="L326" s="4">
        <ns0:v>4.48</ns0:v>
      </ns0:c>
      <ns0:c r="M326" s="4">
        <ns0:v>4.59</ns0:v>
      </ns0:c>
      <ns0:c r="N326" s="4">
        <ns0:v>4.21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6.62</ns0:v>
      </ns0:c>
      <ns0:c r="D327" s="4">
        <ns0:v>2.41</ns0:v>
      </ns0:c>
      <ns0:c r="E327" s="4">
        <ns0:v>8.45</ns0:v>
      </ns0:c>
      <ns0:c r="F327" s="4">
        <ns0:v>4.50</ns0:v>
      </ns0:c>
      <ns0:c r="G327" s="4">
        <ns0:v>7.45</ns0:v>
      </ns0:c>
      <ns0:c r="H327" s="4">
        <ns0:v>4.02</ns0:v>
      </ns0:c>
      <ns0:c r="I327" s="4">
        <ns0:v>7.64</ns0:v>
      </ns0:c>
      <ns0:c r="J327" s="4">
        <ns0:v>2.93</ns0:v>
      </ns0:c>
      <ns0:c r="K327" s="4">
        <ns0:v>7.06</ns0:v>
      </ns0:c>
      <ns0:c r="L327" s="4">
        <ns0:v>5.15</ns0:v>
      </ns0:c>
      <ns0:c r="M327" s="4">
        <ns0:v>2.73</ns0:v>
      </ns0:c>
      <ns0:c r="N327" s="4">
        <ns0:v>5.32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6.05</ns0:v>
      </ns0:c>
      <ns0:c r="D328" s="4">
        <ns0:v>7.55</ns0:v>
      </ns0:c>
      <ns0:c r="E328" s="4">
        <ns0:v>9.62</ns0:v>
      </ns0:c>
      <ns0:c r="F328" s="4">
        <ns0:v>4.63</ns0:v>
      </ns0:c>
      <ns0:c r="G328" s="4">
        <ns0:v>6.77</ns0:v>
      </ns0:c>
      <ns0:c r="H328" s="4">
        <ns0:v>6.42</ns0:v>
      </ns0:c>
      <ns0:c r="I328" s="4">
        <ns0:v>4.31</ns0:v>
      </ns0:c>
      <ns0:c r="J328" s="4">
        <ns0:v>7.40</ns0:v>
      </ns0:c>
      <ns0:c r="K328" s="4">
        <ns0:v>6.31</ns0:v>
      </ns0:c>
      <ns0:c r="L328" s="4">
        <ns0:v>6.53</ns0:v>
      </ns0:c>
      <ns0:c r="M328" s="4">
        <ns0:v>5.10</ns0:v>
      </ns0:c>
      <ns0:c r="N328" s="4">
        <ns0:v>2.43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7.06</ns0:v>
      </ns0:c>
      <ns0:c r="D329" s="4">
        <ns0:v>2.57</ns0:v>
      </ns0:c>
      <ns0:c r="E329" s="4">
        <ns0:v>6.84</ns0:v>
      </ns0:c>
      <ns0:c r="F329" s="4">
        <ns0:v>5.68</ns0:v>
      </ns0:c>
      <ns0:c r="G329" s="4">
        <ns0:v>3.86</ns0:v>
      </ns0:c>
      <ns0:c r="H329" s="4">
        <ns0:v>3.40</ns0:v>
      </ns0:c>
      <ns0:c r="I329" s="4">
        <ns0:v>6.69</ns0:v>
      </ns0:c>
      <ns0:c r="J329" s="4">
        <ns0:v>7.10</ns0:v>
      </ns0:c>
      <ns0:c r="K329" s="4">
        <ns0:v>5.17</ns0:v>
      </ns0:c>
      <ns0:c r="L329" s="4">
        <ns0:v>4.70</ns0:v>
      </ns0:c>
      <ns0:c r="M329" s="4">
        <ns0:v>4.22</ns0:v>
      </ns0:c>
      <ns0:c r="N329" s="4">
        <ns0:v>7.32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8.90</ns0:v>
      </ns0:c>
      <ns0:c r="D330" s="4">
        <ns0:v>5.89</ns0:v>
      </ns0:c>
      <ns0:c r="E330" s="4">
        <ns0:v>3.69</ns0:v>
      </ns0:c>
      <ns0:c r="F330" s="4">
        <ns0:v>5.64</ns0:v>
      </ns0:c>
      <ns0:c r="G330" s="4">
        <ns0:v>6.57</ns0:v>
      </ns0:c>
      <ns0:c r="H330" s="4">
        <ns0:v>6.34</ns0:v>
      </ns0:c>
      <ns0:c r="I330" s="4">
        <ns0:v>8.18</ns0:v>
      </ns0:c>
      <ns0:c r="J330" s="4">
        <ns0:v>2.49</ns0:v>
      </ns0:c>
      <ns0:c r="K330" s="4">
        <ns0:v>7.23</ns0:v>
      </ns0:c>
      <ns0:c r="L330" s="4">
        <ns0:v>8.22</ns0:v>
      </ns0:c>
      <ns0:c r="M330" s="4">
        <ns0:v>4.77</ns0:v>
      </ns0:c>
      <ns0:c r="N330" s="4">
        <ns0:v>5.23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5.27</ns0:v>
      </ns0:c>
      <ns0:c r="D331" s="4">
        <ns0:v>5.40</ns0:v>
      </ns0:c>
      <ns0:c r="E331" s="4">
        <ns0:v>9.22</ns0:v>
      </ns0:c>
      <ns0:c r="F331" s="4">
        <ns0:v>7.02</ns0:v>
      </ns0:c>
      <ns0:c r="G331" s="4">
        <ns0:v>7.05</ns0:v>
      </ns0:c>
      <ns0:c r="H331" s="4">
        <ns0:v>9.19</ns0:v>
      </ns0:c>
      <ns0:c r="I331" s="4">
        <ns0:v>3.09</ns0:v>
      </ns0:c>
      <ns0:c r="J331" s="4">
        <ns0:v>3.50</ns0:v>
      </ns0:c>
      <ns0:c r="K331" s="4">
        <ns0:v>6.22</ns0:v>
      </ns0:c>
      <ns0:c r="L331" s="4">
        <ns0:v>6.66</ns0:v>
      </ns0:c>
      <ns0:c r="M331" s="4">
        <ns0:v>4.84</ns0:v>
      </ns0:c>
      <ns0:c r="N331" s="4">
        <ns0:v>2.22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7.12</ns0:v>
      </ns0:c>
      <ns0:c r="D332" s="4">
        <ns0:v>2.36</ns0:v>
      </ns0:c>
      <ns0:c r="E332" s="4">
        <ns0:v>5.25</ns0:v>
      </ns0:c>
      <ns0:c r="F332" s="4">
        <ns0:v>6.07</ns0:v>
      </ns0:c>
      <ns0:c r="G332" s="4">
        <ns0:v>6.52</ns0:v>
      </ns0:c>
      <ns0:c r="H332" s="4">
        <ns0:v>1.99</ns0:v>
      </ns0:c>
      <ns0:c r="I332" s="4">
        <ns0:v>7.01</ns0:v>
      </ns0:c>
      <ns0:c r="J332" s="4">
        <ns0:v>2.46</ns0:v>
      </ns0:c>
      <ns0:c r="K332" s="4">
        <ns0:v>7.71</ns0:v>
      </ns0:c>
      <ns0:c r="L332" s="4">
        <ns0:v>4.75</ns0:v>
      </ns0:c>
      <ns0:c r="M332" s="4">
        <ns0:v>2.99</ns0:v>
      </ns0:c>
      <ns0:c r="N332" s="4">
        <ns0:v>5.56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2.01</ns0:v>
      </ns0:c>
      <ns0:c r="D333" s="4">
        <ns0:v>5.14</ns0:v>
      </ns0:c>
      <ns0:c r="E333" s="4">
        <ns0:v>9.03</ns0:v>
      </ns0:c>
      <ns0:c r="F333" s="4">
        <ns0:v>4.11</ns0:v>
      </ns0:c>
      <ns0:c r="G333" s="4">
        <ns0:v>2.55</ns0:v>
      </ns0:c>
      <ns0:c r="H333" s="4">
        <ns0:v>6.18</ns0:v>
      </ns0:c>
      <ns0:c r="I333" s="4">
        <ns0:v>4.78</ns0:v>
      </ns0:c>
      <ns0:c r="J333" s="4">
        <ns0:v>4.72</ns0:v>
      </ns0:c>
      <ns0:c r="K333" s="4">
        <ns0:v>6.49</ns0:v>
      </ns0:c>
      <ns0:c r="L333" s="4">
        <ns0:v>4.62</ns0:v>
      </ns0:c>
      <ns0:c r="M333" s="4">
        <ns0:v>4.81</ns0:v>
      </ns0:c>
      <ns0:c r="N333" s="4">
        <ns0:v>9.15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3.19</ns0:v>
      </ns0:c>
      <ns0:c r="D334" s="4">
        <ns0:v>3.71</ns0:v>
      </ns0:c>
      <ns0:c r="E334" s="4">
        <ns0:v>9.71</ns0:v>
      </ns0:c>
      <ns0:c r="F334" s="4">
        <ns0:v>4.50</ns0:v>
      </ns0:c>
      <ns0:c r="G334" s="4">
        <ns0:v>5.74</ns0:v>
      </ns0:c>
      <ns0:c r="H334" s="4">
        <ns0:v>4.24</ns0:v>
      </ns0:c>
      <ns0:c r="I334" s="4">
        <ns0:v>2.12</ns0:v>
      </ns0:c>
      <ns0:c r="J334" s="4">
        <ns0:v>4.36</ns0:v>
      </ns0:c>
      <ns0:c r="K334" s="4">
        <ns0:v>4.52</ns0:v>
      </ns0:c>
      <ns0:c r="L334" s="4">
        <ns0:v>3.23</ns0:v>
      </ns0:c>
      <ns0:c r="M334" s="4">
        <ns0:v>6.43</ns0:v>
      </ns0:c>
      <ns0:c r="N334" s="4">
        <ns0:v>3.95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2.37</ns0:v>
      </ns0:c>
      <ns0:c r="D335" s="4">
        <ns0:v>6.54</ns0:v>
      </ns0:c>
      <ns0:c r="E335" s="4">
        <ns0:v>3.25</ns0:v>
      </ns0:c>
      <ns0:c r="F335" s="4">
        <ns0:v>3.49</ns0:v>
      </ns0:c>
      <ns0:c r="G335" s="4">
        <ns0:v>7.27</ns0:v>
      </ns0:c>
      <ns0:c r="H335" s="4">
        <ns0:v>6.65</ns0:v>
      </ns0:c>
      <ns0:c r="I335" s="4">
        <ns0:v>6.45</ns0:v>
      </ns0:c>
      <ns0:c r="J335" s="4">
        <ns0:v>4.48</ns0:v>
      </ns0:c>
      <ns0:c r="K335" s="4">
        <ns0:v>7.03</ns0:v>
      </ns0:c>
      <ns0:c r="L335" s="4">
        <ns0:v>6.35</ns0:v>
      </ns0:c>
      <ns0:c r="M335" s="4">
        <ns0:v>4.58</ns0:v>
      </ns0:c>
      <ns0:c r="N335" s="4">
        <ns0:v>3.09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4.02</ns0:v>
      </ns0:c>
      <ns0:c r="D336" s="4">
        <ns0:v>3.05</ns0:v>
      </ns0:c>
      <ns0:c r="E336" s="4">
        <ns0:v>4.88</ns0:v>
      </ns0:c>
      <ns0:c r="F336" s="4">
        <ns0:v>6.91</ns0:v>
      </ns0:c>
      <ns0:c r="G336" s="4">
        <ns0:v>8.46</ns0:v>
      </ns0:c>
      <ns0:c r="H336" s="4">
        <ns0:v>2.40</ns0:v>
      </ns0:c>
      <ns0:c r="I336" s="4">
        <ns0:v>5.29</ns0:v>
      </ns0:c>
      <ns0:c r="J336" s="4">
        <ns0:v>8.97</ns0:v>
      </ns0:c>
      <ns0:c r="K336" s="4">
        <ns0:v>5.43</ns0:v>
      </ns0:c>
      <ns0:c r="L336" s="4">
        <ns0:v>3.11</ns0:v>
      </ns0:c>
      <ns0:c r="M336" s="4">
        <ns0:v>4.72</ns0:v>
      </ns0:c>
      <ns0:c r="N336" s="4">
        <ns0:v>5.30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2.33</ns0:v>
      </ns0:c>
      <ns0:c r="D337" s="4">
        <ns0:v>2.40</ns0:v>
      </ns0:c>
      <ns0:c r="E337" s="4">
        <ns0:v>5.59</ns0:v>
      </ns0:c>
      <ns0:c r="F337" s="4">
        <ns0:v>3.86</ns0:v>
      </ns0:c>
      <ns0:c r="G337" s="4">
        <ns0:v>7.39</ns0:v>
      </ns0:c>
      <ns0:c r="H337" s="4">
        <ns0:v>3.17</ns0:v>
      </ns0:c>
      <ns0:c r="I337" s="4">
        <ns0:v>7.44</ns0:v>
      </ns0:c>
      <ns0:c r="J337" s="4">
        <ns0:v>6.37</ns0:v>
      </ns0:c>
      <ns0:c r="K337" s="4">
        <ns0:v>5.78</ns0:v>
      </ns0:c>
      <ns0:c r="L337" s="4">
        <ns0:v>2.48</ns0:v>
      </ns0:c>
      <ns0:c r="M337" s="4">
        <ns0:v>6.23</ns0:v>
      </ns0:c>
      <ns0:c r="N337" s="4">
        <ns0:v>2.95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6.65</ns0:v>
      </ns0:c>
      <ns0:c r="D338" s="4">
        <ns0:v>5.11</ns0:v>
      </ns0:c>
      <ns0:c r="E338" s="4">
        <ns0:v>3.17</ns0:v>
      </ns0:c>
      <ns0:c r="F338" s="4">
        <ns0:v>8.31</ns0:v>
      </ns0:c>
      <ns0:c r="G338" s="4">
        <ns0:v>3.58</ns0:v>
      </ns0:c>
      <ns0:c r="H338" s="4">
        <ns0:v>4.68</ns0:v>
      </ns0:c>
      <ns0:c r="I338" s="4">
        <ns0:v>5.91</ns0:v>
      </ns0:c>
      <ns0:c r="J338" s="4">
        <ns0:v>4.52</ns0:v>
      </ns0:c>
      <ns0:c r="K338" s="4">
        <ns0:v>4.91</ns0:v>
      </ns0:c>
      <ns0:c r="L338" s="4">
        <ns0:v>5.50</ns0:v>
      </ns0:c>
      <ns0:c r="M338" s="4">
        <ns0:v>2.58</ns0:v>
      </ns0:c>
      <ns0:c r="N338" s="4">
        <ns0:v>3.30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5.43</ns0:v>
      </ns0:c>
      <ns0:c r="D339" s="4">
        <ns0:v>6.85</ns0:v>
      </ns0:c>
      <ns0:c r="E339" s="4">
        <ns0:v>7.11</ns0:v>
      </ns0:c>
      <ns0:c r="F339" s="4">
        <ns0:v>4.64</ns0:v>
      </ns0:c>
      <ns0:c r="G339" s="4">
        <ns0:v>4.09</ns0:v>
      </ns0:c>
      <ns0:c r="H339" s="4">
        <ns0:v>6.28</ns0:v>
      </ns0:c>
      <ns0:c r="I339" s="4">
        <ns0:v>3.58</ns0:v>
      </ns0:c>
      <ns0:c r="J339" s="4">
        <ns0:v>4.19</ns0:v>
      </ns0:c>
      <ns0:c r="K339" s="4">
        <ns0:v>3.76</ns0:v>
      </ns0:c>
      <ns0:c r="L339" s="4">
        <ns0:v>4.06</ns0:v>
      </ns0:c>
      <ns0:c r="M339" s="4">
        <ns0:v>5.78</ns0:v>
      </ns0:c>
      <ns0:c r="N339" s="4">
        <ns0:v>4.51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4.53</ns0:v>
      </ns0:c>
      <ns0:c r="D341" s="4">
        <ns0:v>3.54</ns0:v>
      </ns0:c>
      <ns0:c r="E341" s="4">
        <ns0:v>4.67</ns0:v>
      </ns0:c>
      <ns0:c r="F341" s="4">
        <ns0:v>6.58</ns0:v>
      </ns0:c>
      <ns0:c r="G341" s="4">
        <ns0:v>4.84</ns0:v>
      </ns0:c>
      <ns0:c r="H341" s="4">
        <ns0:v>8.02</ns0:v>
      </ns0:c>
      <ns0:c r="I341" s="4">
        <ns0:v>4.61</ns0:v>
      </ns0:c>
      <ns0:c r="J341" s="4">
        <ns0:v>2.13</ns0:v>
      </ns0:c>
      <ns0:c r="K341" s="4">
        <ns0:v>2.78</ns0:v>
      </ns0:c>
      <ns0:c r="L341" s="4">
        <ns0:v>7.37</ns0:v>
      </ns0:c>
      <ns0:c r="M341" s="4">
        <ns0:v>5.03</ns0:v>
      </ns0:c>
      <ns0:c r="N341" s="4">
        <ns0:v>5.29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5.74</ns0:v>
      </ns0:c>
      <ns0:c r="D342" s="4">
        <ns0:v>7.03</ns0:v>
      </ns0:c>
      <ns0:c r="E342" s="4">
        <ns0:v>3.63</ns0:v>
      </ns0:c>
      <ns0:c r="F342" s="4">
        <ns0:v>3.95</ns0:v>
      </ns0:c>
      <ns0:c r="G342" s="4">
        <ns0:v>5.18</ns0:v>
      </ns0:c>
      <ns0:c r="H342" s="4">
        <ns0:v>3.29</ns0:v>
      </ns0:c>
      <ns0:c r="I342" s="4">
        <ns0:v>3.79</ns0:v>
      </ns0:c>
      <ns0:c r="J342" s="4">
        <ns0:v>7.88</ns0:v>
      </ns0:c>
      <ns0:c r="K342" s="4">
        <ns0:v>4.80</ns0:v>
      </ns0:c>
      <ns0:c r="L342" s="4">
        <ns0:v>2.60</ns0:v>
      </ns0:c>
      <ns0:c r="M342" s="4">
        <ns0:v>6.20</ns0:v>
      </ns0:c>
      <ns0:c r="N342" s="4">
        <ns0:v>6.90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8.60</ns0:v>
      </ns0:c>
      <ns0:c r="D343" s="4">
        <ns0:v>3.66</ns0:v>
      </ns0:c>
      <ns0:c r="E343" s="4">
        <ns0:v>3.76</ns0:v>
      </ns0:c>
      <ns0:c r="F343" s="4">
        <ns0:v>4.25</ns0:v>
      </ns0:c>
      <ns0:c r="G343" s="4">
        <ns0:v>2.72</ns0:v>
      </ns0:c>
      <ns0:c r="H343" s="4">
        <ns0:v>3.73</ns0:v>
      </ns0:c>
      <ns0:c r="I343" s="4">
        <ns0:v>5.63</ns0:v>
      </ns0:c>
      <ns0:c r="J343" s="4">
        <ns0:v>9.41</ns0:v>
      </ns0:c>
      <ns0:c r="K343" s="4">
        <ns0:v>6.88</ns0:v>
      </ns0:c>
      <ns0:c r="L343" s="4">
        <ns0:v>3.90</ns0:v>
      </ns0:c>
      <ns0:c r="M343" s="4">
        <ns0:v>7.42</ns0:v>
      </ns0:c>
      <ns0:c r="N343" s="4">
        <ns0:v>4.44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2.34</ns0:v>
      </ns0:c>
      <ns0:c r="D344" s="4">
        <ns0:v>9.49</ns0:v>
      </ns0:c>
      <ns0:c r="E344" s="4">
        <ns0:v>4.84</ns0:v>
      </ns0:c>
      <ns0:c r="F344" s="4">
        <ns0:v>7.91</ns0:v>
      </ns0:c>
      <ns0:c r="G344" s="4">
        <ns0:v>3.02</ns0:v>
      </ns0:c>
      <ns0:c r="H344" s="4">
        <ns0:v>8.69</ns0:v>
      </ns0:c>
      <ns0:c r="I344" s="4">
        <ns0:v>6.01</ns0:v>
      </ns0:c>
      <ns0:c r="J344" s="4">
        <ns0:v>5.97</ns0:v>
      </ns0:c>
      <ns0:c r="K344" s="4">
        <ns0:v>7.11</ns0:v>
      </ns0:c>
      <ns0:c r="L344" s="4">
        <ns0:v>6.85</ns0:v>
      </ns0:c>
      <ns0:c r="M344" s="4">
        <ns0:v>7.95</ns0:v>
      </ns0:c>
      <ns0:c r="N344" s="4">
        <ns0:v>3.49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4.22</ns0:v>
      </ns0:c>
      <ns0:c r="D345" s="4">
        <ns0:v>8.27</ns0:v>
      </ns0:c>
      <ns0:c r="E345" s="4">
        <ns0:v>7.82</ns0:v>
      </ns0:c>
      <ns0:c r="F345" s="4">
        <ns0:v>8.92</ns0:v>
      </ns0:c>
      <ns0:c r="G345" s="4">
        <ns0:v>7.41</ns0:v>
      </ns0:c>
      <ns0:c r="H345" s="4">
        <ns0:v>8.58</ns0:v>
      </ns0:c>
      <ns0:c r="I345" s="4">
        <ns0:v>3.37</ns0:v>
      </ns0:c>
      <ns0:c r="J345" s="4">
        <ns0:v>9.40</ns0:v>
      </ns0:c>
      <ns0:c r="K345" s="4">
        <ns0:v>4.65</ns0:v>
      </ns0:c>
      <ns0:c r="L345" s="4">
        <ns0:v>4.81</ns0:v>
      </ns0:c>
      <ns0:c r="M345" s="4">
        <ns0:v>2.84</ns0:v>
      </ns0:c>
      <ns0:c r="N345" s="4">
        <ns0:v>7.63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4.29</ns0:v>
      </ns0:c>
      <ns0:c r="D346" s="4">
        <ns0:v>7.82</ns0:v>
      </ns0:c>
      <ns0:c r="E346" s="4">
        <ns0:v>2.60</ns0:v>
      </ns0:c>
      <ns0:c r="F346" s="4">
        <ns0:v>5.19</ns0:v>
      </ns0:c>
      <ns0:c r="G346" s="4">
        <ns0:v>5.16</ns0:v>
      </ns0:c>
      <ns0:c r="H346" s="4">
        <ns0:v>7.98</ns0:v>
      </ns0:c>
      <ns0:c r="I346" s="4">
        <ns0:v>2.98</ns0:v>
      </ns0:c>
      <ns0:c r="J346" s="4">
        <ns0:v>6.86</ns0:v>
      </ns0:c>
      <ns0:c r="K346" s="4">
        <ns0:v>8.25</ns0:v>
      </ns0:c>
      <ns0:c r="L346" s="4">
        <ns0:v>3.14</ns0:v>
      </ns0:c>
      <ns0:c r="M346" s="4">
        <ns0:v>3.06</ns0:v>
      </ns0:c>
      <ns0:c r="N346" s="4">
        <ns0:v>6.33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2.67</ns0:v>
      </ns0:c>
      <ns0:c r="D347" s="4">
        <ns0:v>7.13</ns0:v>
      </ns0:c>
      <ns0:c r="E347" s="4">
        <ns0:v>7.57</ns0:v>
      </ns0:c>
      <ns0:c r="F347" s="4">
        <ns0:v>4.73</ns0:v>
      </ns0:c>
      <ns0:c r="G347" s="4">
        <ns0:v>8.29</ns0:v>
      </ns0:c>
      <ns0:c r="H347" s="4">
        <ns0:v>3.72</ns0:v>
      </ns0:c>
      <ns0:c r="I347" s="4">
        <ns0:v>3.10</ns0:v>
      </ns0:c>
      <ns0:c r="J347" s="4">
        <ns0:v>4.21</ns0:v>
      </ns0:c>
      <ns0:c r="K347" s="4">
        <ns0:v>6.74</ns0:v>
      </ns0:c>
      <ns0:c r="L347" s="4">
        <ns0:v>5.55</ns0:v>
      </ns0:c>
      <ns0:c r="M347" s="4">
        <ns0:v>5.46</ns0:v>
      </ns0:c>
      <ns0:c r="N347" s="4">
        <ns0:v>5.27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4.44</ns0:v>
      </ns0:c>
      <ns0:c r="D348" s="4">
        <ns0:v>3.33</ns0:v>
      </ns0:c>
      <ns0:c r="E348" s="4">
        <ns0:v>6.39</ns0:v>
      </ns0:c>
      <ns0:c r="F348" s="4">
        <ns0:v>8.10</ns0:v>
      </ns0:c>
      <ns0:c r="G348" s="4">
        <ns0:v>7.37</ns0:v>
      </ns0:c>
      <ns0:c r="H348" s="4">
        <ns0:v>3.94</ns0:v>
      </ns0:c>
      <ns0:c r="I348" s="4">
        <ns0:v>6.95</ns0:v>
      </ns0:c>
      <ns0:c r="J348" s="4">
        <ns0:v>6.26</ns0:v>
      </ns0:c>
      <ns0:c r="K348" s="4">
        <ns0:v>3.55</ns0:v>
      </ns0:c>
      <ns0:c r="L348" s="4">
        <ns0:v>7.05</ns0:v>
      </ns0:c>
      <ns0:c r="M348" s="4">
        <ns0:v>6.99</ns0:v>
      </ns0:c>
      <ns0:c r="N348" s="4">
        <ns0:v>7.04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6.92</ns0:v>
      </ns0:c>
      <ns0:c r="D350" s="4">
        <ns0:v>6.86</ns0:v>
      </ns0:c>
      <ns0:c r="E350" s="4">
        <ns0:v>7.78</ns0:v>
      </ns0:c>
      <ns0:c r="F350" s="4">
        <ns0:v>5.15</ns0:v>
      </ns0:c>
      <ns0:c r="G350" s="4">
        <ns0:v>8.02</ns0:v>
      </ns0:c>
      <ns0:c r="H350" s="4">
        <ns0:v>7.77</ns0:v>
      </ns0:c>
      <ns0:c r="I350" s="4">
        <ns0:v>5.86</ns0:v>
      </ns0:c>
      <ns0:c r="J350" s="4">
        <ns0:v>6.20</ns0:v>
      </ns0:c>
      <ns0:c r="K350" s="4">
        <ns0:v>3.86</ns0:v>
      </ns0:c>
      <ns0:c r="L350" s="4">
        <ns0:v>5.54</ns0:v>
      </ns0:c>
      <ns0:c r="M350" s="4">
        <ns0:v>6.49</ns0:v>
      </ns0:c>
      <ns0:c r="N350" s="4">
        <ns0:v>5.71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3.86</ns0:v>
      </ns0:c>
      <ns0:c r="D351" s="4">
        <ns0:v>7.87</ns0:v>
      </ns0:c>
      <ns0:c r="E351" s="4">
        <ns0:v>3.39</ns0:v>
      </ns0:c>
      <ns0:c r="F351" s="4">
        <ns0:v>3.82</ns0:v>
      </ns0:c>
      <ns0:c r="G351" s="4">
        <ns0:v>2.93</ns0:v>
      </ns0:c>
      <ns0:c r="H351" s="4">
        <ns0:v>7.05</ns0:v>
      </ns0:c>
      <ns0:c r="I351" s="4">
        <ns0:v>8.02</ns0:v>
      </ns0:c>
      <ns0:c r="J351" s="4">
        <ns0:v>2.51</ns0:v>
      </ns0:c>
      <ns0:c r="K351" s="4">
        <ns0:v>8.29</ns0:v>
      </ns0:c>
      <ns0:c r="L351" s="4">
        <ns0:v>3.95</ns0:v>
      </ns0:c>
      <ns0:c r="M351" s="4">
        <ns0:v>3.25</ns0:v>
      </ns0:c>
      <ns0:c r="N351" s="4">
        <ns0:v>4.19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8.51</ns0:v>
      </ns0:c>
      <ns0:c r="D352" s="4">
        <ns0:v>7.50</ns0:v>
      </ns0:c>
      <ns0:c r="E352" s="4">
        <ns0:v>5.38</ns0:v>
      </ns0:c>
      <ns0:c r="F352" s="4">
        <ns0:v>3.18</ns0:v>
      </ns0:c>
      <ns0:c r="G352" s="4">
        <ns0:v>4.03</ns0:v>
      </ns0:c>
      <ns0:c r="H352" s="4">
        <ns0:v>2.79</ns0:v>
      </ns0:c>
      <ns0:c r="I352" s="4">
        <ns0:v>5.88</ns0:v>
      </ns0:c>
      <ns0:c r="J352" s="4">
        <ns0:v>4.02</ns0:v>
      </ns0:c>
      <ns0:c r="K352" s="4">
        <ns0:v>3.10</ns0:v>
      </ns0:c>
      <ns0:c r="L352" s="4">
        <ns0:v>7.01</ns0:v>
      </ns0:c>
      <ns0:c r="M352" s="4">
        <ns0:v>3.87</ns0:v>
      </ns0:c>
      <ns0:c r="N352" s="4">
        <ns0:v>4.46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9.32</ns0:v>
      </ns0:c>
      <ns0:c r="D353" s="4">
        <ns0:v>6.96</ns0:v>
      </ns0:c>
      <ns0:c r="E353" s="4">
        <ns0:v>3.21</ns0:v>
      </ns0:c>
      <ns0:c r="F353" s="4">
        <ns0:v>8.34</ns0:v>
      </ns0:c>
      <ns0:c r="G353" s="4">
        <ns0:v>7.89</ns0:v>
      </ns0:c>
      <ns0:c r="H353" s="4">
        <ns0:v>8.65</ns0:v>
      </ns0:c>
      <ns0:c r="I353" s="4">
        <ns0:v>2.27</ns0:v>
      </ns0:c>
      <ns0:c r="J353" s="4">
        <ns0:v>7.83</ns0:v>
      </ns0:c>
      <ns0:c r="K353" s="4">
        <ns0:v>2.55</ns0:v>
      </ns0:c>
      <ns0:c r="L353" s="4">
        <ns0:v>6.74</ns0:v>
      </ns0:c>
      <ns0:c r="M353" s="4">
        <ns0:v>3.27</ns0:v>
      </ns0:c>
      <ns0:c r="N353" s="4">
        <ns0:v>2.14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653.84</ns0:v>
      </ns0:c>
      <ns0:c r="D4" s="3">
        <ns0:f>'销售费用'!D4+'管理费用'!D4+'蓝恐龙费用'!D4</ns0:f>
        <ns0:v>811.18</ns0:v>
      </ns0:c>
      <ns0:c r="E4" s="3">
        <ns0:f>'销售费用'!E4+'管理费用'!E4+'蓝恐龙费用'!E4</ns0:f>
        <ns0:v>812.96</ns0:v>
      </ns0:c>
      <ns0:c r="F4" s="3">
        <ns0:f>'销售费用'!F4+'管理费用'!F4+'蓝恐龙费用'!F4</ns0:f>
        <ns0:v>1054.59</ns0:v>
      </ns0:c>
      <ns0:c r="G4" s="3">
        <ns0:f>'销售费用'!G4+'管理费用'!G4+'蓝恐龙费用'!G4</ns0:f>
        <ns0:v>805.56</ns0:v>
      </ns0:c>
      <ns0:c r="H4" s="3">
        <ns0:f>'销售费用'!H4+'管理费用'!H4+'蓝恐龙费用'!H4</ns0:f>
        <ns0:v>525.72</ns0:v>
      </ns0:c>
      <ns0:c r="I4" s="3">
        <ns0:f>'销售费用'!I4+'管理费用'!I4+'蓝恐龙费用'!I4</ns0:f>
        <ns0:v>784.20</ns0:v>
      </ns0:c>
      <ns0:c r="J4" s="3">
        <ns0:f>'销售费用'!J4+'管理费用'!J4+'蓝恐龙费用'!J4</ns0:f>
        <ns0:v>640.08</ns0:v>
      </ns0:c>
      <ns0:c r="K4" s="3">
        <ns0:f>'销售费用'!K4+'管理费用'!K4+'蓝恐龙费用'!K4</ns0:f>
        <ns0:v>1041.76</ns0:v>
      </ns0:c>
      <ns0:c r="L4" s="3">
        <ns0:f>'销售费用'!L4+'管理费用'!L4+'蓝恐龙费用'!L4</ns0:f>
        <ns0:v>542.63</ns0:v>
      </ns0:c>
      <ns0:c r="M4" s="3">
        <ns0:f>'销售费用'!M4+'管理费用'!M4+'蓝恐龙费用'!M4</ns0:f>
        <ns0:v>519.04</ns0:v>
      </ns0:c>
      <ns0:c r="N4" s="3">
        <ns0:f>'销售费用'!N4+'管理费用'!N4+'蓝恐龙费用'!N4</ns0:f>
        <ns0:v>632.93</ns0:v>
      </ns0:c>
      <ns0:c r="O4" s="3">
        <ns0:f>SUM(C4:N4)</ns0:f>
        <ns0:v>8824.49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749.97</ns0:v>
      </ns0:c>
      <ns0:c r="D5" s="3">
        <ns0:f>'销售费用'!D5+'管理费用'!D5+'蓝恐龙费用'!D5</ns0:f>
        <ns0:v>1025.00</ns0:v>
      </ns0:c>
      <ns0:c r="E5" s="3">
        <ns0:f>'销售费用'!E5+'管理费用'!E5+'蓝恐龙费用'!E5</ns0:f>
        <ns0:v>1104.23</ns0:v>
      </ns0:c>
      <ns0:c r="F5" s="3">
        <ns0:f>'销售费用'!F5+'管理费用'!F5+'蓝恐龙费用'!F5</ns0:f>
        <ns0:v>605.68</ns0:v>
      </ns0:c>
      <ns0:c r="G5" s="3">
        <ns0:f>'销售费用'!G5+'管理费用'!G5+'蓝恐龙费用'!G5</ns0:f>
        <ns0:v>764.13</ns0:v>
      </ns0:c>
      <ns0:c r="H5" s="3">
        <ns0:f>'销售费用'!H5+'管理费用'!H5+'蓝恐龙费用'!H5</ns0:f>
        <ns0:v>655.47</ns0:v>
      </ns0:c>
      <ns0:c r="I5" s="3">
        <ns0:f>'销售费用'!I5+'管理费用'!I5+'蓝恐龙费用'!I5</ns0:f>
        <ns0:v>706.44</ns0:v>
      </ns0:c>
      <ns0:c r="J5" s="3">
        <ns0:f>'销售费用'!J5+'管理费用'!J5+'蓝恐龙费用'!J5</ns0:f>
        <ns0:v>425.77</ns0:v>
      </ns0:c>
      <ns0:c r="K5" s="3">
        <ns0:f>'销售费用'!K5+'管理费用'!K5+'蓝恐龙费用'!K5</ns0:f>
        <ns0:v>1173.05</ns0:v>
      </ns0:c>
      <ns0:c r="L5" s="3">
        <ns0:f>'销售费用'!L5+'管理费用'!L5+'蓝恐龙费用'!L5</ns0:f>
        <ns0:v>523.30</ns0:v>
      </ns0:c>
      <ns0:c r="M5" s="3">
        <ns0:f>'销售费用'!M5+'管理费用'!M5+'蓝恐龙费用'!M5</ns0:f>
        <ns0:v>570.19</ns0:v>
      </ns0:c>
      <ns0:c r="N5" s="3">
        <ns0:f>'销售费用'!N5+'管理费用'!N5+'蓝恐龙费用'!N5</ns0:f>
        <ns0:v>472.02</ns0:v>
      </ns0:c>
      <ns0:c r="O5" s="3">
        <ns0:f>SUM(C5:N5)</ns0:f>
        <ns0:v>8775.25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515.82</ns0:v>
      </ns0:c>
      <ns0:c r="D6" s="3">
        <ns0:f>'销售费用'!D6+'管理费用'!D6+'蓝恐龙费用'!D6</ns0:f>
        <ns0:v>628.76</ns0:v>
      </ns0:c>
      <ns0:c r="E6" s="3">
        <ns0:f>'销售费用'!E6+'管理费用'!E6+'蓝恐龙费用'!E6</ns0:f>
        <ns0:v>436.36</ns0:v>
      </ns0:c>
      <ns0:c r="F6" s="3">
        <ns0:f>'销售费用'!F6+'管理费用'!F6+'蓝恐龙费用'!F6</ns0:f>
        <ns0:v>649.83</ns0:v>
      </ns0:c>
      <ns0:c r="G6" s="3">
        <ns0:f>'销售费用'!G6+'管理费用'!G6+'蓝恐龙费用'!G6</ns0:f>
        <ns0:v>978.65</ns0:v>
      </ns0:c>
      <ns0:c r="H6" s="3">
        <ns0:f>'销售费用'!H6+'管理费用'!H6+'蓝恐龙费用'!H6</ns0:f>
        <ns0:v>872.18</ns0:v>
      </ns0:c>
      <ns0:c r="I6" s="3">
        <ns0:f>'销售费用'!I6+'管理费用'!I6+'蓝恐龙费用'!I6</ns0:f>
        <ns0:v>985.89</ns0:v>
      </ns0:c>
      <ns0:c r="J6" s="3">
        <ns0:f>'销售费用'!J6+'管理费用'!J6+'蓝恐龙费用'!J6</ns0:f>
        <ns0:v>707.31</ns0:v>
      </ns0:c>
      <ns0:c r="K6" s="3">
        <ns0:f>'销售费用'!K6+'管理费用'!K6+'蓝恐龙费用'!K6</ns0:f>
        <ns0:v>652.16</ns0:v>
      </ns0:c>
      <ns0:c r="L6" s="3">
        <ns0:f>'销售费用'!L6+'管理费用'!L6+'蓝恐龙费用'!L6</ns0:f>
        <ns0:v>774.58</ns0:v>
      </ns0:c>
      <ns0:c r="M6" s="3">
        <ns0:f>'销售费用'!M6+'管理费用'!M6+'蓝恐龙费用'!M6</ns0:f>
        <ns0:v>473.92</ns0:v>
      </ns0:c>
      <ns0:c r="N6" s="3">
        <ns0:f>'销售费用'!N6+'管理费用'!N6+'蓝恐龙费用'!N6</ns0:f>
        <ns0:v>647.56</ns0:v>
      </ns0:c>
      <ns0:c r="O6" s="3">
        <ns0:f>SUM(C6:N6)</ns0:f>
        <ns0:v>8323.02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484.67</ns0:v>
      </ns0:c>
      <ns0:c r="D7" s="3">
        <ns0:f>'销售费用'!D7+'管理费用'!D7+'蓝恐龙费用'!D7</ns0:f>
        <ns0:v>584.80</ns0:v>
      </ns0:c>
      <ns0:c r="E7" s="3">
        <ns0:f>'销售费用'!E7+'管理费用'!E7+'蓝恐龙费用'!E7</ns0:f>
        <ns0:v>446.40</ns0:v>
      </ns0:c>
      <ns0:c r="F7" s="3">
        <ns0:f>'销售费用'!F7+'管理费用'!F7+'蓝恐龙费用'!F7</ns0:f>
        <ns0:v>672.26</ns0:v>
      </ns0:c>
      <ns0:c r="G7" s="3">
        <ns0:f>'销售费用'!G7+'管理费用'!G7+'蓝恐龙费用'!G7</ns0:f>
        <ns0:v>447.45</ns0:v>
      </ns0:c>
      <ns0:c r="H7" s="3">
        <ns0:f>'销售费用'!H7+'管理费用'!H7+'蓝恐龙费用'!H7</ns0:f>
        <ns0:v>569.59</ns0:v>
      </ns0:c>
      <ns0:c r="I7" s="3">
        <ns0:f>'销售费用'!I7+'管理费用'!I7+'蓝恐龙费用'!I7</ns0:f>
        <ns0:v>634.57</ns0:v>
      </ns0:c>
      <ns0:c r="J7" s="3">
        <ns0:f>'销售费用'!J7+'管理费用'!J7+'蓝恐龙费用'!J7</ns0:f>
        <ns0:v>570.39</ns0:v>
      </ns0:c>
      <ns0:c r="K7" s="3">
        <ns0:f>'销售费用'!K7+'管理费用'!K7+'蓝恐龙费用'!K7</ns0:f>
        <ns0:v>1079.61</ns0:v>
      </ns0:c>
      <ns0:c r="L7" s="3">
        <ns0:f>'销售费用'!L7+'管理费用'!L7+'蓝恐龙费用'!L7</ns0:f>
        <ns0:v>610.47</ns0:v>
      </ns0:c>
      <ns0:c r="M7" s="3">
        <ns0:f>'销售费用'!M7+'管理费用'!M7+'蓝恐龙费用'!M7</ns0:f>
        <ns0:v>781.66</ns0:v>
      </ns0:c>
      <ns0:c r="N7" s="3">
        <ns0:f>'销售费用'!N7+'管理费用'!N7+'蓝恐龙费用'!N7</ns0:f>
        <ns0:v>631.78</ns0:v>
      </ns0:c>
      <ns0:c r="O7" s="3">
        <ns0:f>SUM(C7:N7)</ns0:f>
        <ns0:v>7513.65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685.46</ns0:v>
      </ns0:c>
      <ns0:c r="D8" s="3">
        <ns0:f>'销售费用'!D8+'管理费用'!D8+'蓝恐龙费用'!D8</ns0:f>
        <ns0:v>773.04</ns0:v>
      </ns0:c>
      <ns0:c r="E8" s="3">
        <ns0:f>'销售费用'!E8+'管理费用'!E8+'蓝恐龙费用'!E8</ns0:f>
        <ns0:v>1055.69</ns0:v>
      </ns0:c>
      <ns0:c r="F8" s="3">
        <ns0:f>'销售费用'!F8+'管理费用'!F8+'蓝恐龙费用'!F8</ns0:f>
        <ns0:v>489.58</ns0:v>
      </ns0:c>
      <ns0:c r="G8" s="3">
        <ns0:f>'销售费用'!G8+'管理费用'!G8+'蓝恐龙费用'!G8</ns0:f>
        <ns0:v>858.29</ns0:v>
      </ns0:c>
      <ns0:c r="H8" s="3">
        <ns0:f>'销售费用'!H8+'管理费用'!H8+'蓝恐龙费用'!H8</ns0:f>
        <ns0:v>492.45</ns0:v>
      </ns0:c>
      <ns0:c r="I8" s="3">
        <ns0:f>'销售费用'!I8+'管理费用'!I8+'蓝恐龙费用'!I8</ns0:f>
        <ns0:v>670.13</ns0:v>
      </ns0:c>
      <ns0:c r="J8" s="3">
        <ns0:f>'销售费用'!J8+'管理费用'!J8+'蓝恐龙费用'!J8</ns0:f>
        <ns0:v>891.97</ns0:v>
      </ns0:c>
      <ns0:c r="K8" s="3">
        <ns0:f>'销售费用'!K8+'管理费用'!K8+'蓝恐龙费用'!K8</ns0:f>
        <ns0:v>707.54</ns0:v>
      </ns0:c>
      <ns0:c r="L8" s="3">
        <ns0:f>'销售费用'!L8+'管理费用'!L8+'蓝恐龙费用'!L8</ns0:f>
        <ns0:v>1037.91</ns0:v>
      </ns0:c>
      <ns0:c r="M8" s="3">
        <ns0:f>'销售费用'!M8+'管理费用'!M8+'蓝恐龙费用'!M8</ns0:f>
        <ns0:v>545.45</ns0:v>
      </ns0:c>
      <ns0:c r="N8" s="3">
        <ns0:f>'销售费用'!N8+'管理费用'!N8+'蓝恐龙费用'!N8</ns0:f>
        <ns0:v>719.69</ns0:v>
      </ns0:c>
      <ns0:c r="O8" s="3">
        <ns0:f>SUM(C8:N8)</ns0:f>
        <ns0:v>8927.20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630.97</ns0:v>
      </ns0:c>
      <ns0:c r="D9" s="3">
        <ns0:f>'销售费用'!D9+'管理费用'!D9+'蓝恐龙费用'!D9</ns0:f>
        <ns0:v>519.96</ns0:v>
      </ns0:c>
      <ns0:c r="E9" s="3">
        <ns0:f>'销售费用'!E9+'管理费用'!E9+'蓝恐龙费用'!E9</ns0:f>
        <ns0:v>636.65</ns0:v>
      </ns0:c>
      <ns0:c r="F9" s="3">
        <ns0:f>'销售费用'!F9+'管理费用'!F9+'蓝恐龙费用'!F9</ns0:f>
        <ns0:v>708.36</ns0:v>
      </ns0:c>
      <ns0:c r="G9" s="3">
        <ns0:f>'销售费用'!G9+'管理费用'!G9+'蓝恐龙费用'!G9</ns0:f>
        <ns0:v>703.05</ns0:v>
      </ns0:c>
      <ns0:c r="H9" s="3">
        <ns0:f>'销售费用'!H9+'管理费用'!H9+'蓝恐龙费用'!H9</ns0:f>
        <ns0:v>714.79</ns0:v>
      </ns0:c>
      <ns0:c r="I9" s="3">
        <ns0:f>'销售费用'!I9+'管理费用'!I9+'蓝恐龙费用'!I9</ns0:f>
        <ns0:v>1092.17</ns0:v>
      </ns0:c>
      <ns0:c r="J9" s="3">
        <ns0:f>'销售费用'!J9+'管理费用'!J9+'蓝恐龙费用'!J9</ns0:f>
        <ns0:v>588.17</ns0:v>
      </ns0:c>
      <ns0:c r="K9" s="3">
        <ns0:f>'销售费用'!K9+'管理费用'!K9+'蓝恐龙费用'!K9</ns0:f>
        <ns0:v>549.70</ns0:v>
      </ns0:c>
      <ns0:c r="L9" s="3">
        <ns0:f>'销售费用'!L9+'管理费用'!L9+'蓝恐龙费用'!L9</ns0:f>
        <ns0:v>576.55</ns0:v>
      </ns0:c>
      <ns0:c r="M9" s="3">
        <ns0:f>'销售费用'!M9+'管理费用'!M9+'蓝恐龙费用'!M9</ns0:f>
        <ns0:v>593.22</ns0:v>
      </ns0:c>
      <ns0:c r="N9" s="3">
        <ns0:f>'销售费用'!N9+'管理费用'!N9+'蓝恐龙费用'!N9</ns0:f>
        <ns0:v>868.50</ns0:v>
      </ns0:c>
      <ns0:c r="O9" s="3">
        <ns0:f>SUM(C9:N9)</ns0:f>
        <ns0:v>8182.09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620.33</ns0:v>
      </ns0:c>
      <ns0:c r="D10" s="3">
        <ns0:f>'销售费用'!D10+'管理费用'!D10+'蓝恐龙费用'!D10</ns0:f>
        <ns0:v>548.44</ns0:v>
      </ns0:c>
      <ns0:c r="E10" s="3">
        <ns0:f>'销售费用'!E10+'管理费用'!E10+'蓝恐龙费用'!E10</ns0:f>
        <ns0:v>885.17</ns0:v>
      </ns0:c>
      <ns0:c r="F10" s="3">
        <ns0:f>'销售费用'!F10+'管理费用'!F10+'蓝恐龙费用'!F10</ns0:f>
        <ns0:v>637.64</ns0:v>
      </ns0:c>
      <ns0:c r="G10" s="3">
        <ns0:f>'销售费用'!G10+'管理费用'!G10+'蓝恐龙费用'!G10</ns0:f>
        <ns0:v>763.25</ns0:v>
      </ns0:c>
      <ns0:c r="H10" s="3">
        <ns0:f>'销售费用'!H10+'管理费用'!H10+'蓝恐龙费用'!H10</ns0:f>
        <ns0:v>643.80</ns0:v>
      </ns0:c>
      <ns0:c r="I10" s="3">
        <ns0:f>'销售费用'!I10+'管理费用'!I10+'蓝恐龙费用'!I10</ns0:f>
        <ns0:v>825.19</ns0:v>
      </ns0:c>
      <ns0:c r="J10" s="3">
        <ns0:f>'销售费用'!J10+'管理费用'!J10+'蓝恐龙费用'!J10</ns0:f>
        <ns0:v>456.53</ns0:v>
      </ns0:c>
      <ns0:c r="K10" s="3">
        <ns0:f>'销售费用'!K10+'管理费用'!K10+'蓝恐龙费用'!K10</ns0:f>
        <ns0:v>1163.67</ns0:v>
      </ns0:c>
      <ns0:c r="L10" s="3">
        <ns0:f>'销售费用'!L10+'管理费用'!L10+'蓝恐龙费用'!L10</ns0:f>
        <ns0:v>647.68</ns0:v>
      </ns0:c>
      <ns0:c r="M10" s="3">
        <ns0:f>'销售费用'!M10+'管理费用'!M10+'蓝恐龙费用'!M10</ns0:f>
        <ns0:v>945.89</ns0:v>
      </ns0:c>
      <ns0:c r="N10" s="3">
        <ns0:f>'销售费用'!N10+'管理费用'!N10+'蓝恐龙费用'!N10</ns0:f>
        <ns0:v>871.12</ns0:v>
      </ns0:c>
      <ns0:c r="O10" s="3">
        <ns0:f>SUM(C10:N10)</ns0:f>
        <ns0:v>9008.71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941.33</ns0:v>
      </ns0:c>
      <ns0:c r="D11" s="3">
        <ns0:f>'销售费用'!D11+'管理费用'!D11+'蓝恐龙费用'!D11</ns0:f>
        <ns0:v>713.34</ns0:v>
      </ns0:c>
      <ns0:c r="E11" s="3">
        <ns0:f>'销售费用'!E11+'管理费用'!E11+'蓝恐龙费用'!E11</ns0:f>
        <ns0:v>912.50</ns0:v>
      </ns0:c>
      <ns0:c r="F11" s="3">
        <ns0:f>'销售费用'!F11+'管理费用'!F11+'蓝恐龙费用'!F11</ns0:f>
        <ns0:v>748.76</ns0:v>
      </ns0:c>
      <ns0:c r="G11" s="3">
        <ns0:f>'销售费用'!G11+'管理费用'!G11+'蓝恐龙费用'!G11</ns0:f>
        <ns0:v>677.16</ns0:v>
      </ns0:c>
      <ns0:c r="H11" s="3">
        <ns0:f>'销售费用'!H11+'管理费用'!H11+'蓝恐龙费用'!H11</ns0:f>
        <ns0:v>549.14</ns0:v>
      </ns0:c>
      <ns0:c r="I11" s="3">
        <ns0:f>'销售费用'!I11+'管理费用'!I11+'蓝恐龙费用'!I11</ns0:f>
        <ns0:v>929.34</ns0:v>
      </ns0:c>
      <ns0:c r="J11" s="3">
        <ns0:f>'销售费用'!J11+'管理费用'!J11+'蓝恐龙费用'!J11</ns0:f>
        <ns0:v>479.85</ns0:v>
      </ns0:c>
      <ns0:c r="K11" s="3">
        <ns0:f>'销售费用'!K11+'管理费用'!K11+'蓝恐龙费用'!K11</ns0:f>
        <ns0:v>849.49</ns0:v>
      </ns0:c>
      <ns0:c r="L11" s="3">
        <ns0:f>'销售费用'!L11+'管理费用'!L11+'蓝恐龙费用'!L11</ns0:f>
        <ns0:v>460.51</ns0:v>
      </ns0:c>
      <ns0:c r="M11" s="3">
        <ns0:f>'销售费用'!M11+'管理费用'!M11+'蓝恐龙费用'!M11</ns0:f>
        <ns0:v>889.65</ns0:v>
      </ns0:c>
      <ns0:c r="N11" s="3">
        <ns0:f>'销售费用'!N11+'管理费用'!N11+'蓝恐龙费用'!N11</ns0:f>
        <ns0:v>788.77</ns0:v>
      </ns0:c>
      <ns0:c r="O11" s="3">
        <ns0:f>SUM(C11:N11)</ns0:f>
        <ns0:v>8939.84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858.31</ns0:v>
      </ns0:c>
      <ns0:c r="D12" s="3">
        <ns0:f>'销售费用'!D12+'管理费用'!D12+'蓝恐龙费用'!D12</ns0:f>
        <ns0:v>199.94</ns0:v>
      </ns0:c>
      <ns0:c r="E12" s="3">
        <ns0:f>'销售费用'!E12+'管理费用'!E12+'蓝恐龙费用'!E12</ns0:f>
        <ns0:v>796.47</ns0:v>
      </ns0:c>
      <ns0:c r="F12" s="3">
        <ns0:f>'销售费用'!F12+'管理费用'!F12+'蓝恐龙费用'!F12</ns0:f>
        <ns0:v>751.43</ns0:v>
      </ns0:c>
      <ns0:c r="G12" s="3">
        <ns0:f>'销售费用'!G12+'管理费用'!G12+'蓝恐龙费用'!G12</ns0:f>
        <ns0:v>1082.58</ns0:v>
      </ns0:c>
      <ns0:c r="H12" s="3">
        <ns0:f>'销售费用'!H12+'管理费用'!H12+'蓝恐龙费用'!H12</ns0:f>
        <ns0:v>650.02</ns0:v>
      </ns0:c>
      <ns0:c r="I12" s="3">
        <ns0:f>'销售费用'!I12+'管理费用'!I12+'蓝恐龙费用'!I12</ns0:f>
        <ns0:v>799.06</ns0:v>
      </ns0:c>
      <ns0:c r="J12" s="3">
        <ns0:f>'销售费用'!J12+'管理费用'!J12+'蓝恐龙费用'!J12</ns0:f>
        <ns0:v>773.06</ns0:v>
      </ns0:c>
      <ns0:c r="K12" s="3">
        <ns0:f>'销售费用'!K12+'管理费用'!K12+'蓝恐龙费用'!K12</ns0:f>
        <ns0:v>863.54</ns0:v>
      </ns0:c>
      <ns0:c r="L12" s="3">
        <ns0:f>'销售费用'!L12+'管理费用'!L12+'蓝恐龙费用'!L12</ns0:f>
        <ns0:v>771.53</ns0:v>
      </ns0:c>
      <ns0:c r="M12" s="3">
        <ns0:f>'销售费用'!M12+'管理费用'!M12+'蓝恐龙费用'!M12</ns0:f>
        <ns0:v>592.10</ns0:v>
      </ns0:c>
      <ns0:c r="N12" s="3">
        <ns0:f>'销售费用'!N12+'管理费用'!N12+'蓝恐龙费用'!N12</ns0:f>
        <ns0:v>318.09</ns0:v>
      </ns0:c>
      <ns0:c r="O12" s="3">
        <ns0:f>SUM(C12:N12)</ns0:f>
        <ns0:v>8456.13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697.14</ns0:v>
      </ns0:c>
      <ns0:c r="D13" s="3">
        <ns0:f>'销售费用'!D13+'管理费用'!D13+'蓝恐龙费用'!D13</ns0:f>
        <ns0:v>498.82</ns0:v>
      </ns0:c>
      <ns0:c r="E13" s="3">
        <ns0:f>'销售费用'!E13+'管理费用'!E13+'蓝恐龙费用'!E13</ns0:f>
        <ns0:v>675.74</ns0:v>
      </ns0:c>
      <ns0:c r="F13" s="3">
        <ns0:f>'销售费用'!F13+'管理费用'!F13+'蓝恐龙费用'!F13</ns0:f>
        <ns0:v>750.61</ns0:v>
      </ns0:c>
      <ns0:c r="G13" s="3">
        <ns0:f>'销售费用'!G13+'管理费用'!G13+'蓝恐龙费用'!G13</ns0:f>
        <ns0:v>526.14</ns0:v>
      </ns0:c>
      <ns0:c r="H13" s="3">
        <ns0:f>'销售费用'!H13+'管理费用'!H13+'蓝恐龙费用'!H13</ns0:f>
        <ns0:v>728.09</ns0:v>
      </ns0:c>
      <ns0:c r="I13" s="3">
        <ns0:f>'销售费用'!I13+'管理费用'!I13+'蓝恐龙费用'!I13</ns0:f>
        <ns0:v>551.24</ns0:v>
      </ns0:c>
      <ns0:c r="J13" s="3">
        <ns0:f>'销售费用'!J13+'管理费用'!J13+'蓝恐龙费用'!J13</ns0:f>
        <ns0:v>760.41</ns0:v>
      </ns0:c>
      <ns0:c r="K13" s="3">
        <ns0:f>'销售费用'!K13+'管理费用'!K13+'蓝恐龙费用'!K13</ns0:f>
        <ns0:v>1056.00</ns0:v>
      </ns0:c>
      <ns0:c r="L13" s="3">
        <ns0:f>'销售费用'!L13+'管理费用'!L13+'蓝恐龙费用'!L13</ns0:f>
        <ns0:v>573.88</ns0:v>
      </ns0:c>
      <ns0:c r="M13" s="3">
        <ns0:f>'销售费用'!M13+'管理费用'!M13+'蓝恐龙费用'!M13</ns0:f>
        <ns0:v>577.37</ns0:v>
      </ns0:c>
      <ns0:c r="N13" s="3">
        <ns0:f>'销售费用'!N13+'管理费用'!N13+'蓝恐龙费用'!N13</ns0:f>
        <ns0:v>707.70</ns0:v>
      </ns0:c>
      <ns0:c r="O13" s="3">
        <ns0:f>SUM(C13:N13)</ns0:f>
        <ns0:v>8103.14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399.30</ns0:v>
      </ns0:c>
      <ns0:c r="D14" s="3">
        <ns0:f>'销售费用'!D14+'管理费用'!D14+'蓝恐龙费用'!D14</ns0:f>
        <ns0:v>718.26</ns0:v>
      </ns0:c>
      <ns0:c r="E14" s="3">
        <ns0:f>'销售费用'!E14+'管理费用'!E14+'蓝恐龙费用'!E14</ns0:f>
        <ns0:v>1057.94</ns0:v>
      </ns0:c>
      <ns0:c r="F14" s="3">
        <ns0:f>'销售费用'!F14+'管理费用'!F14+'蓝恐龙费用'!F14</ns0:f>
        <ns0:v>1058.78</ns0:v>
      </ns0:c>
      <ns0:c r="G14" s="3">
        <ns0:f>'销售费用'!G14+'管理费用'!G14+'蓝恐龙费用'!G14</ns0:f>
        <ns0:v>726.86</ns0:v>
      </ns0:c>
      <ns0:c r="H14" s="3">
        <ns0:f>'销售费用'!H14+'管理费用'!H14+'蓝恐龙费用'!H14</ns0:f>
        <ns0:v>572.57</ns0:v>
      </ns0:c>
      <ns0:c r="I14" s="3">
        <ns0:f>'销售费用'!I14+'管理费用'!I14+'蓝恐龙费用'!I14</ns0:f>
        <ns0:v>556.16</ns0:v>
      </ns0:c>
      <ns0:c r="J14" s="3">
        <ns0:f>'销售费用'!J14+'管理费用'!J14+'蓝恐龙费用'!J14</ns0:f>
        <ns0:v>924.67</ns0:v>
      </ns0:c>
      <ns0:c r="K14" s="3">
        <ns0:f>'销售费用'!K14+'管理费用'!K14+'蓝恐龙费用'!K14</ns0:f>
        <ns0:v>834.95</ns0:v>
      </ns0:c>
      <ns0:c r="L14" s="3">
        <ns0:f>'销售费用'!L14+'管理费用'!L14+'蓝恐龙费用'!L14</ns0:f>
        <ns0:v>634.66</ns0:v>
      </ns0:c>
      <ns0:c r="M14" s="3">
        <ns0:f>'销售费用'!M14+'管理费用'!M14+'蓝恐龙费用'!M14</ns0:f>
        <ns0:v>985.92</ns0:v>
      </ns0:c>
      <ns0:c r="N14" s="3">
        <ns0:f>'销售费用'!N14+'管理费用'!N14+'蓝恐龙费用'!N14</ns0:f>
        <ns0:v>597.74</ns0:v>
      </ns0:c>
      <ns0:c r="O14" s="3">
        <ns0:f>SUM(C14:N14)</ns0:f>
        <ns0:v>9067.81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717.81</ns0:v>
      </ns0:c>
      <ns0:c r="D15" s="3">
        <ns0:f>'销售费用'!D15+'管理费用'!D15+'蓝恐龙费用'!D15</ns0:f>
        <ns0:v>833.45</ns0:v>
      </ns0:c>
      <ns0:c r="E15" s="3">
        <ns0:f>'销售费用'!E15+'管理费用'!E15+'蓝恐龙费用'!E15</ns0:f>
        <ns0:v>486.07</ns0:v>
      </ns0:c>
      <ns0:c r="F15" s="3">
        <ns0:f>'销售费用'!F15+'管理费用'!F15+'蓝恐龙费用'!F15</ns0:f>
        <ns0:v>672.65</ns0:v>
      </ns0:c>
      <ns0:c r="G15" s="3">
        <ns0:f>'销售费用'!G15+'管理费用'!G15+'蓝恐龙费用'!G15</ns0:f>
        <ns0:v>1110.89</ns0:v>
      </ns0:c>
      <ns0:c r="H15" s="3">
        <ns0:f>'销售费用'!H15+'管理费用'!H15+'蓝恐龙费用'!H15</ns0:f>
        <ns0:v>819.54</ns0:v>
      </ns0:c>
      <ns0:c r="I15" s="3">
        <ns0:f>'销售费用'!I15+'管理费用'!I15+'蓝恐龙费用'!I15</ns0:f>
        <ns0:v>1111.30</ns0:v>
      </ns0:c>
      <ns0:c r="J15" s="3">
        <ns0:f>'销售费用'!J15+'管理费用'!J15+'蓝恐龙费用'!J15</ns0:f>
        <ns0:v>736.18</ns0:v>
      </ns0:c>
      <ns0:c r="K15" s="3">
        <ns0:f>'销售费用'!K15+'管理费用'!K15+'蓝恐龙费用'!K15</ns0:f>
        <ns0:v>1187.65</ns0:v>
      </ns0:c>
      <ns0:c r="L15" s="3">
        <ns0:f>'销售费用'!L15+'管理费用'!L15+'蓝恐龙费用'!L15</ns0:f>
        <ns0:v>841.37</ns0:v>
      </ns0:c>
      <ns0:c r="M15" s="3">
        <ns0:f>'销售费用'!M15+'管理费用'!M15+'蓝恐龙费用'!M15</ns0:f>
        <ns0:v>603.10</ns0:v>
      </ns0:c>
      <ns0:c r="N15" s="3">
        <ns0:f>'销售费用'!N15+'管理费用'!N15+'蓝恐龙费用'!N15</ns0:f>
        <ns0:v>565.36</ns0:v>
      </ns0:c>
      <ns0:c r="O15" s="3">
        <ns0:f>SUM(C15:N15)</ns0:f>
        <ns0:v>9685.37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814.45</ns0:v>
      </ns0:c>
      <ns0:c r="D16" s="3">
        <ns0:f>'销售费用'!D16+'管理费用'!D16+'蓝恐龙费用'!D16</ns0:f>
        <ns0:v>468.65</ns0:v>
      </ns0:c>
      <ns0:c r="E16" s="3">
        <ns0:f>'销售费用'!E16+'管理费用'!E16+'蓝恐龙费用'!E16</ns0:f>
        <ns0:v>618.56</ns0:v>
      </ns0:c>
      <ns0:c r="F16" s="3">
        <ns0:f>'销售费用'!F16+'管理费用'!F16+'蓝恐龙费用'!F16</ns0:f>
        <ns0:v>1114.61</ns0:v>
      </ns0:c>
      <ns0:c r="G16" s="3">
        <ns0:f>'销售费用'!G16+'管理费用'!G16+'蓝恐龙费用'!G16</ns0:f>
        <ns0:v>720.79</ns0:v>
      </ns0:c>
      <ns0:c r="H16" s="3">
        <ns0:f>'销售费用'!H16+'管理费用'!H16+'蓝恐龙费用'!H16</ns0:f>
        <ns0:v>1174.88</ns0:v>
      </ns0:c>
      <ns0:c r="I16" s="3">
        <ns0:f>'销售费用'!I16+'管理费用'!I16+'蓝恐龙费用'!I16</ns0:f>
        <ns0:v>881.02</ns0:v>
      </ns0:c>
      <ns0:c r="J16" s="3">
        <ns0:f>'销售费用'!J16+'管理费用'!J16+'蓝恐龙费用'!J16</ns0:f>
        <ns0:v>470.66</ns0:v>
      </ns0:c>
      <ns0:c r="K16" s="3">
        <ns0:f>'销售费用'!K16+'管理费用'!K16+'蓝恐龙费用'!K16</ns0:f>
        <ns0:v>653.22</ns0:v>
      </ns0:c>
      <ns0:c r="L16" s="3">
        <ns0:f>'销售费用'!L16+'管理费用'!L16+'蓝恐龙费用'!L16</ns0:f>
        <ns0:v>732.49</ns0:v>
      </ns0:c>
      <ns0:c r="M16" s="3">
        <ns0:f>'销售费用'!M16+'管理费用'!M16+'蓝恐龙费用'!M16</ns0:f>
        <ns0:v>779.01</ns0:v>
      </ns0:c>
      <ns0:c r="N16" s="3">
        <ns0:f>'销售费用'!N16+'管理费用'!N16+'蓝恐龙费用'!N16</ns0:f>
        <ns0:v>1103.73</ns0:v>
      </ns0:c>
      <ns0:c r="O16" s="3">
        <ns0:f>SUM(C16:N16)</ns0:f>
        <ns0:v>9532.07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494.43</ns0:v>
      </ns0:c>
      <ns0:c r="D17" s="3">
        <ns0:f>'销售费用'!D17+'管理费用'!D17+'蓝恐龙费用'!D17</ns0:f>
        <ns0:v>451.82</ns0:v>
      </ns0:c>
      <ns0:c r="E17" s="3">
        <ns0:f>'销售费用'!E17+'管理费用'!E17+'蓝恐龙费用'!E17</ns0:f>
        <ns0:v>766.02</ns0:v>
      </ns0:c>
      <ns0:c r="F17" s="3">
        <ns0:f>'销售费用'!F17+'管理费用'!F17+'蓝恐龙费用'!F17</ns0:f>
        <ns0:v>729.57</ns0:v>
      </ns0:c>
      <ns0:c r="G17" s="3">
        <ns0:f>'销售费用'!G17+'管理费用'!G17+'蓝恐龙费用'!G17</ns0:f>
        <ns0:v>709.11</ns0:v>
      </ns0:c>
      <ns0:c r="H17" s="3">
        <ns0:f>'销售费用'!H17+'管理费用'!H17+'蓝恐龙费用'!H17</ns0:f>
        <ns0:v>584.07</ns0:v>
      </ns0:c>
      <ns0:c r="I17" s="3">
        <ns0:f>'销售费用'!I17+'管理费用'!I17+'蓝恐龙费用'!I17</ns0:f>
        <ns0:v>550.59</ns0:v>
      </ns0:c>
      <ns0:c r="J17" s="3">
        <ns0:f>'销售费用'!J17+'管理费用'!J17+'蓝恐龙费用'!J17</ns0:f>
        <ns0:v>812.14</ns0:v>
      </ns0:c>
      <ns0:c r="K17" s="3">
        <ns0:f>'销售费用'!K17+'管理费用'!K17+'蓝恐龙费用'!K17</ns0:f>
        <ns0:v>660.93</ns0:v>
      </ns0:c>
      <ns0:c r="L17" s="3">
        <ns0:f>'销售费用'!L17+'管理费用'!L17+'蓝恐龙费用'!L17</ns0:f>
        <ns0:v>645.81</ns0:v>
      </ns0:c>
      <ns0:c r="M17" s="3">
        <ns0:f>'销售费用'!M17+'管理费用'!M17+'蓝恐龙费用'!M17</ns0:f>
        <ns0:v>934.49</ns0:v>
      </ns0:c>
      <ns0:c r="N17" s="3">
        <ns0:f>'销售费用'!N17+'管理费用'!N17+'蓝恐龙费用'!N17</ns0:f>
        <ns0:v>618.66</ns0:v>
      </ns0:c>
      <ns0:c r="O17" s="3">
        <ns0:f>SUM(C17:N17)</ns0:f>
        <ns0:v>7957.64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860.55</ns0:v>
      </ns0:c>
      <ns0:c r="D18" s="3">
        <ns0:f>'销售费用'!D18+'管理费用'!D18+'蓝恐龙费用'!D18</ns0:f>
        <ns0:v>782.66</ns0:v>
      </ns0:c>
      <ns0:c r="E18" s="3">
        <ns0:f>'销售费用'!E18+'管理费用'!E18+'蓝恐龙费用'!E18</ns0:f>
        <ns0:v>706.45</ns0:v>
      </ns0:c>
      <ns0:c r="F18" s="3">
        <ns0:f>'销售费用'!F18+'管理费用'!F18+'蓝恐龙费用'!F18</ns0:f>
        <ns0:v>793.90</ns0:v>
      </ns0:c>
      <ns0:c r="G18" s="3">
        <ns0:f>'销售费用'!G18+'管理费用'!G18+'蓝恐龙费用'!G18</ns0:f>
        <ns0:v>649.25</ns0:v>
      </ns0:c>
      <ns0:c r="H18" s="3">
        <ns0:f>'销售费用'!H18+'管理费用'!H18+'蓝恐龙费用'!H18</ns0:f>
        <ns0:v>569.48</ns0:v>
      </ns0:c>
      <ns0:c r="I18" s="3">
        <ns0:f>'销售费用'!I18+'管理费用'!I18+'蓝恐龙费用'!I18</ns0:f>
        <ns0:v>643.04</ns0:v>
      </ns0:c>
      <ns0:c r="J18" s="3">
        <ns0:f>'销售费用'!J18+'管理费用'!J18+'蓝恐龙费用'!J18</ns0:f>
        <ns0:v>600.90</ns0:v>
      </ns0:c>
      <ns0:c r="K18" s="3">
        <ns0:f>'销售费用'!K18+'管理费用'!K18+'蓝恐龙费用'!K18</ns0:f>
        <ns0:v>604.15</ns0:v>
      </ns0:c>
      <ns0:c r="L18" s="3">
        <ns0:f>'销售费用'!L18+'管理费用'!L18+'蓝恐龙费用'!L18</ns0:f>
        <ns0:v>600.61</ns0:v>
      </ns0:c>
      <ns0:c r="M18" s="3">
        <ns0:f>'销售费用'!M18+'管理费用'!M18+'蓝恐龙费用'!M18</ns0:f>
        <ns0:v>437.70</ns0:v>
      </ns0:c>
      <ns0:c r="N18" s="3">
        <ns0:f>'销售费用'!N18+'管理费用'!N18+'蓝恐龙费用'!N18</ns0:f>
        <ns0:v>883.99</ns0:v>
      </ns0:c>
      <ns0:c r="O18" s="3">
        <ns0:f>SUM(C18:N18)</ns0:f>
        <ns0:v>8132.68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770.86</ns0:v>
      </ns0:c>
      <ns0:c r="D19" s="3">
        <ns0:f>'销售费用'!D19+'管理费用'!D19+'蓝恐龙费用'!D19</ns0:f>
        <ns0:v>615.51</ns0:v>
      </ns0:c>
      <ns0:c r="E19" s="3">
        <ns0:f>'销售费用'!E19+'管理费用'!E19+'蓝恐龙费用'!E19</ns0:f>
        <ns0:v>553.86</ns0:v>
      </ns0:c>
      <ns0:c r="F19" s="3">
        <ns0:f>'销售费用'!F19+'管理费用'!F19+'蓝恐龙费用'!F19</ns0:f>
        <ns0:v>681.37</ns0:v>
      </ns0:c>
      <ns0:c r="G19" s="3">
        <ns0:f>'销售费用'!G19+'管理费用'!G19+'蓝恐龙费用'!G19</ns0:f>
        <ns0:v>404.14</ns0:v>
      </ns0:c>
      <ns0:c r="H19" s="3">
        <ns0:f>'销售费用'!H19+'管理费用'!H19+'蓝恐龙费用'!H19</ns0:f>
        <ns0:v>729.01</ns0:v>
      </ns0:c>
      <ns0:c r="I19" s="3">
        <ns0:f>'销售费用'!I19+'管理费用'!I19+'蓝恐龙费用'!I19</ns0:f>
        <ns0:v>632.94</ns0:v>
      </ns0:c>
      <ns0:c r="J19" s="3">
        <ns0:f>'销售费用'!J19+'管理费用'!J19+'蓝恐龙费用'!J19</ns0:f>
        <ns0:v>471.28</ns0:v>
      </ns0:c>
      <ns0:c r="K19" s="3">
        <ns0:f>'销售费用'!K19+'管理费用'!K19+'蓝恐龙费用'!K19</ns0:f>
        <ns0:v>1098.99</ns0:v>
      </ns0:c>
      <ns0:c r="L19" s="3">
        <ns0:f>'销售费用'!L19+'管理费用'!L19+'蓝恐龙费用'!L19</ns0:f>
        <ns0:v>735.06</ns0:v>
      </ns0:c>
      <ns0:c r="M19" s="3">
        <ns0:f>'销售费用'!M19+'管理费用'!M19+'蓝恐龙费用'!M19</ns0:f>
        <ns0:v>655.10</ns0:v>
      </ns0:c>
      <ns0:c r="N19" s="3">
        <ns0:f>'销售费用'!N19+'管理费用'!N19+'蓝恐龙费用'!N19</ns0:f>
        <ns0:v>726.35</ns0:v>
      </ns0:c>
      <ns0:c r="O19" s="3">
        <ns0:f>SUM(C19:N19)</ns0:f>
        <ns0:v>8074.47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1802.43</ns0:v>
      </ns0:c>
      <ns0:c r="D20" s="3">
        <ns0:f>'销售费用'!D20+'管理费用'!D20+'蓝恐龙费用'!D20</ns0:f>
        <ns0:v>1802.43</ns0:v>
      </ns0:c>
      <ns0:c r="E20" s="3">
        <ns0:f>'销售费用'!E20+'管理费用'!E20+'蓝恐龙费用'!E20</ns0:f>
        <ns0:v>1802.43</ns0:v>
      </ns0:c>
      <ns0:c r="F20" s="3">
        <ns0:f>'销售费用'!F20+'管理费用'!F20+'蓝恐龙费用'!F20</ns0:f>
        <ns0:v>1802.43</ns0:v>
      </ns0:c>
      <ns0:c r="G20" s="3">
        <ns0:f>'销售费用'!G20+'管理费用'!G20+'蓝恐龙费用'!G20</ns0:f>
        <ns0:v>1802.43</ns0:v>
      </ns0:c>
      <ns0:c r="H20" s="3">
        <ns0:f>'销售费用'!H20+'管理费用'!H20+'蓝恐龙费用'!H20</ns0:f>
        <ns0:v>1802.43</ns0:v>
      </ns0:c>
      <ns0:c r="I20" s="3">
        <ns0:f>'销售费用'!I20+'管理费用'!I20+'蓝恐龙费用'!I20</ns0:f>
        <ns0:v>1802.43</ns0:v>
      </ns0:c>
      <ns0:c r="J20" s="3">
        <ns0:f>'销售费用'!J20+'管理费用'!J20+'蓝恐龙费用'!J20</ns0:f>
        <ns0:v>1802.43</ns0:v>
      </ns0:c>
      <ns0:c r="K20" s="3">
        <ns0:f>'销售费用'!K20+'管理费用'!K20+'蓝恐龙费用'!K20</ns0:f>
        <ns0:v>1802.43</ns0:v>
      </ns0:c>
      <ns0:c r="L20" s="3">
        <ns0:f>'销售费用'!L20+'管理费用'!L20+'蓝恐龙费用'!L20</ns0:f>
        <ns0:v>1802.43</ns0:v>
      </ns0:c>
      <ns0:c r="M20" s="3">
        <ns0:f>'销售费用'!M20+'管理费用'!M20+'蓝恐龙费用'!M20</ns0:f>
        <ns0:v>1802.43</ns0:v>
      </ns0:c>
      <ns0:c r="N20" s="3">
        <ns0:f>'销售费用'!N20+'管理费用'!N20+'蓝恐龙费用'!N20</ns0:f>
        <ns0:v>1802.43</ns0:v>
      </ns0:c>
      <ns0:c r="O20" s="3">
        <ns0:f>SUM(C20:N20)</ns0:f>
        <ns0:v>21629.16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653.28</ns0:v>
      </ns0:c>
      <ns0:c r="D21" s="3">
        <ns0:f>'销售费用'!D21+'管理费用'!D21+'蓝恐龙费用'!D21</ns0:f>
        <ns0:v>576.69</ns0:v>
      </ns0:c>
      <ns0:c r="E21" s="3">
        <ns0:f>'销售费用'!E21+'管理费用'!E21+'蓝恐龙费用'!E21</ns0:f>
        <ns0:v>973.05</ns0:v>
      </ns0:c>
      <ns0:c r="F21" s="3">
        <ns0:f>'销售费用'!F21+'管理费用'!F21+'蓝恐龙费用'!F21</ns0:f>
        <ns0:v>624.18</ns0:v>
      </ns0:c>
      <ns0:c r="G21" s="3">
        <ns0:f>'销售费用'!G21+'管理费用'!G21+'蓝恐龙费用'!G21</ns0:f>
        <ns0:v>445.30</ns0:v>
      </ns0:c>
      <ns0:c r="H21" s="3">
        <ns0:f>'销售费用'!H21+'管理费用'!H21+'蓝恐龙费用'!H21</ns0:f>
        <ns0:v>700.45</ns0:v>
      </ns0:c>
      <ns0:c r="I21" s="3">
        <ns0:f>'销售费用'!I21+'管理费用'!I21+'蓝恐龙费用'!I21</ns0:f>
        <ns0:v>842.20</ns0:v>
      </ns0:c>
      <ns0:c r="J21" s="3">
        <ns0:f>'销售费用'!J21+'管理费用'!J21+'蓝恐龙费用'!J21</ns0:f>
        <ns0:v>346.47</ns0:v>
      </ns0:c>
      <ns0:c r="K21" s="3">
        <ns0:f>'销售费用'!K21+'管理费用'!K21+'蓝恐龙费用'!K21</ns0:f>
        <ns0:v>1096.63</ns0:v>
      </ns0:c>
      <ns0:c r="L21" s="3">
        <ns0:f>'销售费用'!L21+'管理费用'!L21+'蓝恐龙费用'!L21</ns0:f>
        <ns0:v>1143.37</ns0:v>
      </ns0:c>
      <ns0:c r="M21" s="3">
        <ns0:f>'销售费用'!M21+'管理费用'!M21+'蓝恐龙费用'!M21</ns0:f>
        <ns0:v>1222.55</ns0:v>
      </ns0:c>
      <ns0:c r="N21" s="3">
        <ns0:f>'销售费用'!N21+'管理费用'!N21+'蓝恐龙费用'!N21</ns0:f>
        <ns0:v>656.79</ns0:v>
      </ns0:c>
      <ns0:c r="O21" s="3">
        <ns0:f>SUM(C21:N21)</ns0:f>
        <ns0:v>9280.96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453.60</ns0:v>
      </ns0:c>
      <ns0:c r="D22" s="3">
        <ns0:f>'销售费用'!D22+'管理费用'!D22+'蓝恐龙费用'!D22</ns0:f>
        <ns0:v>509.54</ns0:v>
      </ns0:c>
      <ns0:c r="E22" s="3">
        <ns0:f>'销售费用'!E22+'管理费用'!E22+'蓝恐龙费用'!E22</ns0:f>
        <ns0:v>405.47</ns0:v>
      </ns0:c>
      <ns0:c r="F22" s="3">
        <ns0:f>'销售费用'!F22+'管理费用'!F22+'蓝恐龙费用'!F22</ns0:f>
        <ns0:v>718.56</ns0:v>
      </ns0:c>
      <ns0:c r="G22" s="3">
        <ns0:f>'销售费用'!G22+'管理费用'!G22+'蓝恐龙费用'!G22</ns0:f>
        <ns0:v>886.97</ns0:v>
      </ns0:c>
      <ns0:c r="H22" s="3">
        <ns0:f>'销售费用'!H22+'管理费用'!H22+'蓝恐龙费用'!H22</ns0:f>
        <ns0:v>418.63</ns0:v>
      </ns0:c>
      <ns0:c r="I22" s="3">
        <ns0:f>'销售费用'!I22+'管理费用'!I22+'蓝恐龙费用'!I22</ns0:f>
        <ns0:v>858.86</ns0:v>
      </ns0:c>
      <ns0:c r="J22" s="3">
        <ns0:f>'销售费用'!J22+'管理费用'!J22+'蓝恐龙费用'!J22</ns0:f>
        <ns0:v>685.54</ns0:v>
      </ns0:c>
      <ns0:c r="K22" s="3">
        <ns0:f>'销售费用'!K22+'管理费用'!K22+'蓝恐龙费用'!K22</ns0:f>
        <ns0:v>894.02</ns0:v>
      </ns0:c>
      <ns0:c r="L22" s="3">
        <ns0:f>'销售费用'!L22+'管理费用'!L22+'蓝恐龙费用'!L22</ns0:f>
        <ns0:v>499.53</ns0:v>
      </ns0:c>
      <ns0:c r="M22" s="3">
        <ns0:f>'销售费用'!M22+'管理费用'!M22+'蓝恐龙费用'!M22</ns0:f>
        <ns0:v>491.64</ns0:v>
      </ns0:c>
      <ns0:c r="N22" s="3">
        <ns0:f>'销售费用'!N22+'管理费用'!N22+'蓝恐龙费用'!N22</ns0:f>
        <ns0:v>930.15</ns0:v>
      </ns0:c>
      <ns0:c r="O22" s="3">
        <ns0:f>SUM(C22:N22)</ns0:f>
        <ns0:v>7752.51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819.79</ns0:v>
      </ns0:c>
      <ns0:c r="D23" s="3">
        <ns0:f>'销售费用'!D23+'管理费用'!D23+'蓝恐龙费用'!D23</ns0:f>
        <ns0:v>795.18</ns0:v>
      </ns0:c>
      <ns0:c r="E23" s="3">
        <ns0:f>'销售费用'!E23+'管理费用'!E23+'蓝恐龙费用'!E23</ns0:f>
        <ns0:v>592.80</ns0:v>
      </ns0:c>
      <ns0:c r="F23" s="3">
        <ns0:f>'销售费用'!F23+'管理费用'!F23+'蓝恐龙费用'!F23</ns0:f>
        <ns0:v>663.36</ns0:v>
      </ns0:c>
      <ns0:c r="G23" s="3">
        <ns0:f>'销售费用'!G23+'管理费用'!G23+'蓝恐龙费用'!G23</ns0:f>
        <ns0:v>712.28</ns0:v>
      </ns0:c>
      <ns0:c r="H23" s="3">
        <ns0:f>'销售费用'!H23+'管理费用'!H23+'蓝恐龙费用'!H23</ns0:f>
        <ns0:v>647.57</ns0:v>
      </ns0:c>
      <ns0:c r="I23" s="3">
        <ns0:f>'销售费用'!I23+'管理费用'!I23+'蓝恐龙费用'!I23</ns0:f>
        <ns0:v>692.02</ns0:v>
      </ns0:c>
      <ns0:c r="J23" s="3">
        <ns0:f>'销售费用'!J23+'管理费用'!J23+'蓝恐龙费用'!J23</ns0:f>
        <ns0:v>687.35</ns0:v>
      </ns0:c>
      <ns0:c r="K23" s="3">
        <ns0:f>'销售费用'!K23+'管理费用'!K23+'蓝恐龙费用'!K23</ns0:f>
        <ns0:v>378.70</ns0:v>
      </ns0:c>
      <ns0:c r="L23" s="3">
        <ns0:f>'销售费用'!L23+'管理费用'!L23+'蓝恐龙费用'!L23</ns0:f>
        <ns0:v>782.05</ns0:v>
      </ns0:c>
      <ns0:c r="M23" s="3">
        <ns0:f>'销售费用'!M23+'管理费用'!M23+'蓝恐龙费用'!M23</ns0:f>
        <ns0:v>977.40</ns0:v>
      </ns0:c>
      <ns0:c r="N23" s="3">
        <ns0:f>'销售费用'!N23+'管理费用'!N23+'蓝恐龙费用'!N23</ns0:f>
        <ns0:v>821.37</ns0:v>
      </ns0:c>
      <ns0:c r="O23" s="3">
        <ns0:f>SUM(C23:N23)</ns0:f>
        <ns0:v>8569.87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571.35</ns0:v>
      </ns0:c>
      <ns0:c r="D24" s="3">
        <ns0:f>'销售费用'!D24+'管理费用'!D24+'蓝恐龙费用'!D24</ns0:f>
        <ns0:v>1194.71</ns0:v>
      </ns0:c>
      <ns0:c r="E24" s="3">
        <ns0:f>'销售费用'!E24+'管理费用'!E24+'蓝恐龙费用'!E24</ns0:f>
        <ns0:v>974.00</ns0:v>
      </ns0:c>
      <ns0:c r="F24" s="3">
        <ns0:f>'销售费用'!F24+'管理费用'!F24+'蓝恐龙费用'!F24</ns0:f>
        <ns0:v>1196.40</ns0:v>
      </ns0:c>
      <ns0:c r="G24" s="3">
        <ns0:f>'销售费用'!G24+'管理费用'!G24+'蓝恐龙费用'!G24</ns0:f>
        <ns0:v>581.67</ns0:v>
      </ns0:c>
      <ns0:c r="H24" s="3">
        <ns0:f>'销售费用'!H24+'管理费用'!H24+'蓝恐龙费用'!H24</ns0:f>
        <ns0:v>497.59</ns0:v>
      </ns0:c>
      <ns0:c r="I24" s="3">
        <ns0:f>'销售费用'!I24+'管理费用'!I24+'蓝恐龙费用'!I24</ns0:f>
        <ns0:v>715.09</ns0:v>
      </ns0:c>
      <ns0:c r="J24" s="3">
        <ns0:f>'销售费用'!J24+'管理费用'!J24+'蓝恐龙费用'!J24</ns0:f>
        <ns0:v>801.94</ns0:v>
      </ns0:c>
      <ns0:c r="K24" s="3">
        <ns0:f>'销售费用'!K24+'管理费用'!K24+'蓝恐龙费用'!K24</ns0:f>
        <ns0:v>924.88</ns0:v>
      </ns0:c>
      <ns0:c r="L24" s="3">
        <ns0:f>'销售费用'!L24+'管理费用'!L24+'蓝恐龙费用'!L24</ns0:f>
        <ns0:v>914.09</ns0:v>
      </ns0:c>
      <ns0:c r="M24" s="3">
        <ns0:f>'销售费用'!M24+'管理费用'!M24+'蓝恐龙费用'!M24</ns0:f>
        <ns0:v>897.27</ns0:v>
      </ns0:c>
      <ns0:c r="N24" s="3">
        <ns0:f>'销售费用'!N24+'管理费用'!N24+'蓝恐龙费用'!N24</ns0:f>
        <ns0:v>840.99</ns0:v>
      </ns0:c>
      <ns0:c r="O24" s="3">
        <ns0:f>SUM(C24:N24)</ns0:f>
        <ns0:v>10109.98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587.13</ns0:v>
      </ns0:c>
      <ns0:c r="D25" s="3">
        <ns0:f>'销售费用'!D25+'管理费用'!D25+'蓝恐龙费用'!D25</ns0:f>
        <ns0:v>917.59</ns0:v>
      </ns0:c>
      <ns0:c r="E25" s="3">
        <ns0:f>'销售费用'!E25+'管理费用'!E25+'蓝恐龙费用'!E25</ns0:f>
        <ns0:v>688.24</ns0:v>
      </ns0:c>
      <ns0:c r="F25" s="3">
        <ns0:f>'销售费用'!F25+'管理费用'!F25+'蓝恐龙费用'!F25</ns0:f>
        <ns0:v>1024.74</ns0:v>
      </ns0:c>
      <ns0:c r="G25" s="3">
        <ns0:f>'销售费用'!G25+'管理费用'!G25+'蓝恐龙费用'!G25</ns0:f>
        <ns0:v>639.64</ns0:v>
      </ns0:c>
      <ns0:c r="H25" s="3">
        <ns0:f>'销售费用'!H25+'管理费用'!H25+'蓝恐龙费用'!H25</ns0:f>
        <ns0:v>952.31</ns0:v>
      </ns0:c>
      <ns0:c r="I25" s="3">
        <ns0:f>'销售费用'!I25+'管理费用'!I25+'蓝恐龙费用'!I25</ns0:f>
        <ns0:v>576.98</ns0:v>
      </ns0:c>
      <ns0:c r="J25" s="3">
        <ns0:f>'销售费用'!J25+'管理费用'!J25+'蓝恐龙费用'!J25</ns0:f>
        <ns0:v>1250.05</ns0:v>
      </ns0:c>
      <ns0:c r="K25" s="3">
        <ns0:f>'销售费用'!K25+'管理费用'!K25+'蓝恐龙费用'!K25</ns0:f>
        <ns0:v>672.41</ns0:v>
      </ns0:c>
      <ns0:c r="L25" s="3">
        <ns0:f>'销售费用'!L25+'管理费用'!L25+'蓝恐龙费用'!L25</ns0:f>
        <ns0:v>402.12</ns0:v>
      </ns0:c>
      <ns0:c r="M25" s="3">
        <ns0:f>'销售费用'!M25+'管理费用'!M25+'蓝恐龙费用'!M25</ns0:f>
        <ns0:v>1137.40</ns0:v>
      </ns0:c>
      <ns0:c r="N25" s="3">
        <ns0:f>'销售费用'!N25+'管理费用'!N25+'蓝恐龙费用'!N25</ns0:f>
        <ns0:v>1111.40</ns0:v>
      </ns0:c>
      <ns0:c r="O25" s="3">
        <ns0:f>SUM(C25:N25)</ns0:f>
        <ns0:v>9960.01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779.44</ns0:v>
      </ns0:c>
      <ns0:c r="D26" s="3">
        <ns0:f>'销售费用'!D26+'管理费用'!D26+'蓝恐龙费用'!D26</ns0:f>
        <ns0:v>484.64</ns0:v>
      </ns0:c>
      <ns0:c r="E26" s="3">
        <ns0:f>'销售费用'!E26+'管理费用'!E26+'蓝恐龙费用'!E26</ns0:f>
        <ns0:v>724.39</ns0:v>
      </ns0:c>
      <ns0:c r="F26" s="3">
        <ns0:f>'销售费用'!F26+'管理费用'!F26+'蓝恐龙费用'!F26</ns0:f>
        <ns0:v>702.02</ns0:v>
      </ns0:c>
      <ns0:c r="G26" s="3">
        <ns0:f>'销售费用'!G26+'管理费用'!G26+'蓝恐龙费用'!G26</ns0:f>
        <ns0:v>896.04</ns0:v>
      </ns0:c>
      <ns0:c r="H26" s="3">
        <ns0:f>'销售费用'!H26+'管理费用'!H26+'蓝恐龙费用'!H26</ns0:f>
        <ns0:v>671.27</ns0:v>
      </ns0:c>
      <ns0:c r="I26" s="3">
        <ns0:f>'销售费用'!I26+'管理费用'!I26+'蓝恐龙费用'!I26</ns0:f>
        <ns0:v>588.05</ns0:v>
      </ns0:c>
      <ns0:c r="J26" s="3">
        <ns0:f>'销售费用'!J26+'管理费用'!J26+'蓝恐龙费用'!J26</ns0:f>
        <ns0:v>703.53</ns0:v>
      </ns0:c>
      <ns0:c r="K26" s="3">
        <ns0:f>'销售费用'!K26+'管理费用'!K26+'蓝恐龙费用'!K26</ns0:f>
        <ns0:v>557.79</ns0:v>
      </ns0:c>
      <ns0:c r="L26" s="3">
        <ns0:f>'销售费用'!L26+'管理费用'!L26+'蓝恐龙费用'!L26</ns0:f>
        <ns0:v>560.82</ns0:v>
      </ns0:c>
      <ns0:c r="M26" s="3">
        <ns0:f>'销售费用'!M26+'管理费用'!M26+'蓝恐龙费用'!M26</ns0:f>
        <ns0:v>742.54</ns0:v>
      </ns0:c>
      <ns0:c r="N26" s="3">
        <ns0:f>'销售费用'!N26+'管理费用'!N26+'蓝恐龙费用'!N26</ns0:f>
        <ns0:v>763.78</ns0:v>
      </ns0:c>
      <ns0:c r="O26" s="3">
        <ns0:f>SUM(C26:N26)</ns0:f>
        <ns0:v>8174.31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542.15</ns0:v>
      </ns0:c>
      <ns0:c r="D27" s="3">
        <ns0:f>'销售费用'!D27+'管理费用'!D27+'蓝恐龙费用'!D27</ns0:f>
        <ns0:v>491.64</ns0:v>
      </ns0:c>
      <ns0:c r="E27" s="3">
        <ns0:f>'销售费用'!E27+'管理费用'!E27+'蓝恐龙费用'!E27</ns0:f>
        <ns0:v>641.45</ns0:v>
      </ns0:c>
      <ns0:c r="F27" s="3">
        <ns0:f>'销售费用'!F27+'管理费用'!F27+'蓝恐龙费用'!F27</ns0:f>
        <ns0:v>709.80</ns0:v>
      </ns0:c>
      <ns0:c r="G27" s="3">
        <ns0:f>'销售费用'!G27+'管理费用'!G27+'蓝恐龙费用'!G27</ns0:f>
        <ns0:v>646.67</ns0:v>
      </ns0:c>
      <ns0:c r="H27" s="3">
        <ns0:f>'销售费用'!H27+'管理费用'!H27+'蓝恐龙费用'!H27</ns0:f>
        <ns0:v>620.37</ns0:v>
      </ns0:c>
      <ns0:c r="I27" s="3">
        <ns0:f>'销售费用'!I27+'管理费用'!I27+'蓝恐龙费用'!I27</ns0:f>
        <ns0:v>891.53</ns0:v>
      </ns0:c>
      <ns0:c r="J27" s="3">
        <ns0:f>'销售费用'!J27+'管理费用'!J27+'蓝恐龙费用'!J27</ns0:f>
        <ns0:v>448.39</ns0:v>
      </ns0:c>
      <ns0:c r="K27" s="3">
        <ns0:f>'销售费用'!K27+'管理费用'!K27+'蓝恐龙费用'!K27</ns0:f>
        <ns0:v>608.89</ns0:v>
      </ns0:c>
      <ns0:c r="L27" s="3">
        <ns0:f>'销售费用'!L27+'管理费用'!L27+'蓝恐龙费用'!L27</ns0:f>
        <ns0:v>742.20</ns0:v>
      </ns0:c>
      <ns0:c r="M27" s="3">
        <ns0:f>'销售费用'!M27+'管理费用'!M27+'蓝恐龙费用'!M27</ns0:f>
        <ns0:v>598.10</ns0:v>
      </ns0:c>
      <ns0:c r="N27" s="3">
        <ns0:f>'销售费用'!N27+'管理费用'!N27+'蓝恐龙费用'!N27</ns0:f>
        <ns0:v>1206.43</ns0:v>
      </ns0:c>
      <ns0:c r="O27" s="3">
        <ns0:f>SUM(C27:N27)</ns0:f>
        <ns0:v>8147.62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928.89</ns0:v>
      </ns0:c>
      <ns0:c r="D28" s="3">
        <ns0:f>'销售费用'!D28+'管理费用'!D28+'蓝恐龙费用'!D28</ns0:f>
        <ns0:v>612.94</ns0:v>
      </ns0:c>
      <ns0:c r="E28" s="3">
        <ns0:f>'销售费用'!E28+'管理费用'!E28+'蓝恐龙费用'!E28</ns0:f>
        <ns0:v>660.94</ns0:v>
      </ns0:c>
      <ns0:c r="F28" s="3">
        <ns0:f>'销售费用'!F28+'管理费用'!F28+'蓝恐龙费用'!F28</ns0:f>
        <ns0:v>748.06</ns0:v>
      </ns0:c>
      <ns0:c r="G28" s="3">
        <ns0:f>'销售费用'!G28+'管理费用'!G28+'蓝恐龙费用'!G28</ns0:f>
        <ns0:v>663.43</ns0:v>
      </ns0:c>
      <ns0:c r="H28" s="3">
        <ns0:f>'销售费用'!H28+'管理费用'!H28+'蓝恐龙费用'!H28</ns0:f>
        <ns0:v>712.48</ns0:v>
      </ns0:c>
      <ns0:c r="I28" s="3">
        <ns0:f>'销售费用'!I28+'管理费用'!I28+'蓝恐龙费用'!I28</ns0:f>
        <ns0:v>911.66</ns0:v>
      </ns0:c>
      <ns0:c r="J28" s="3">
        <ns0:f>'销售费用'!J28+'管理费用'!J28+'蓝恐龙费用'!J28</ns0:f>
        <ns0:v>993.13</ns0:v>
      </ns0:c>
      <ns0:c r="K28" s="3">
        <ns0:f>'销售费用'!K28+'管理费用'!K28+'蓝恐龙费用'!K28</ns0:f>
        <ns0:v>637.62</ns0:v>
      </ns0:c>
      <ns0:c r="L28" s="3">
        <ns0:f>'销售费用'!L28+'管理费用'!L28+'蓝恐龙费用'!L28</ns0:f>
        <ns0:v>851.35</ns0:v>
      </ns0:c>
      <ns0:c r="M28" s="3">
        <ns0:f>'销售费用'!M28+'管理费用'!M28+'蓝恐龙费用'!M28</ns0:f>
        <ns0:v>619.85</ns0:v>
      </ns0:c>
      <ns0:c r="N28" s="3">
        <ns0:f>'销售费用'!N28+'管理费用'!N28+'蓝恐龙费用'!N28</ns0:f>
        <ns0:v>770.17</ns0:v>
      </ns0:c>
      <ns0:c r="O28" s="3">
        <ns0:f>SUM(C28:N28)</ns0:f>
        <ns0:v>9110.52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1098.35</ns0:v>
      </ns0:c>
      <ns0:c r="D30" s="6">
        <ns0:f>'销售费用'!D30+'管理费用'!D30+'蓝恐龙费用'!D30</ns0:f>
        <ns0:v>548.91</ns0:v>
      </ns0:c>
      <ns0:c r="E30" s="6">
        <ns0:f>'销售费用'!E30+'管理费用'!E30+'蓝恐龙费用'!E30</ns0:f>
        <ns0:v>686.39</ns0:v>
      </ns0:c>
      <ns0:c r="F30" s="6">
        <ns0:f>'销售费用'!F30+'管理费用'!F30+'蓝恐龙费用'!F30</ns0:f>
        <ns0:v>696.72</ns0:v>
      </ns0:c>
      <ns0:c r="G30" s="6">
        <ns0:f>'销售费用'!G30+'管理费用'!G30+'蓝恐龙费用'!G30</ns0:f>
        <ns0:v>451.72</ns0:v>
      </ns0:c>
      <ns0:c r="H30" s="6">
        <ns0:f>'销售费用'!H30+'管理费用'!H30+'蓝恐龙费用'!H30</ns0:f>
        <ns0:v>1055.65</ns0:v>
      </ns0:c>
      <ns0:c r="I30" s="6">
        <ns0:f>'销售费用'!I30+'管理费用'!I30+'蓝恐龙费用'!I30</ns0:f>
        <ns0:v>849.08</ns0:v>
      </ns0:c>
      <ns0:c r="J30" s="6">
        <ns0:f>'销售费用'!J30+'管理费用'!J30+'蓝恐龙费用'!J30</ns0:f>
        <ns0:v>682.59</ns0:v>
      </ns0:c>
      <ns0:c r="K30" s="6">
        <ns0:f>'销售费用'!K30+'管理费用'!K30+'蓝恐龙费用'!K30</ns0:f>
        <ns0:v>412.66</ns0:v>
      </ns0:c>
      <ns0:c r="L30" s="6">
        <ns0:f>'销售费用'!L30+'管理费用'!L30+'蓝恐龙费用'!L30</ns0:f>
        <ns0:v>995.92</ns0:v>
      </ns0:c>
      <ns0:c r="M30" s="6">
        <ns0:f>'销售费用'!M30+'管理费用'!M30+'蓝恐龙费用'!M30</ns0:f>
        <ns0:v>723.22</ns0:v>
      </ns0:c>
      <ns0:c r="N30" s="6">
        <ns0:f>'销售费用'!N30+'管理费用'!N30+'蓝恐龙费用'!N30</ns0:f>
        <ns0:v>841.76</ns0:v>
      </ns0:c>
      <ns0:c r="O30" s="6">
        <ns0:f>SUM(C30:N30)</ns0:f>
        <ns0:v>9042.97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526.51</ns0:v>
      </ns0:c>
      <ns0:c r="D31" s="3">
        <ns0:f>'销售费用'!D31+'管理费用'!D31+'蓝恐龙费用'!D31</ns0:f>
        <ns0:v>800.33</ns0:v>
      </ns0:c>
      <ns0:c r="E31" s="3">
        <ns0:f>'销售费用'!E31+'管理费用'!E31+'蓝恐龙费用'!E31</ns0:f>
        <ns0:v>683.15</ns0:v>
      </ns0:c>
      <ns0:c r="F31" s="3">
        <ns0:f>'销售费用'!F31+'管理费用'!F31+'蓝恐龙费用'!F31</ns0:f>
        <ns0:v>622.60</ns0:v>
      </ns0:c>
      <ns0:c r="G31" s="3">
        <ns0:f>'销售费用'!G31+'管理费用'!G31+'蓝恐龙费用'!G31</ns0:f>
        <ns0:v>448.27</ns0:v>
      </ns0:c>
      <ns0:c r="H31" s="3">
        <ns0:f>'销售费用'!H31+'管理费用'!H31+'蓝恐龙费用'!H31</ns0:f>
        <ns0:v>695.12</ns0:v>
      </ns0:c>
      <ns0:c r="I31" s="3">
        <ns0:f>'销售费用'!I31+'管理费用'!I31+'蓝恐龙费用'!I31</ns0:f>
        <ns0:v>646.00</ns0:v>
      </ns0:c>
      <ns0:c r="J31" s="3">
        <ns0:f>'销售费用'!J31+'管理费用'!J31+'蓝恐龙费用'!J31</ns0:f>
        <ns0:v>424.99</ns0:v>
      </ns0:c>
      <ns0:c r="K31" s="3">
        <ns0:f>'销售费用'!K31+'管理费用'!K31+'蓝恐龙费用'!K31</ns0:f>
        <ns0:v>875.57</ns0:v>
      </ns0:c>
      <ns0:c r="L31" s="3">
        <ns0:f>'销售费用'!L31+'管理费用'!L31+'蓝恐龙费用'!L31</ns0:f>
        <ns0:v>401.41</ns0:v>
      </ns0:c>
      <ns0:c r="M31" s="3">
        <ns0:f>'销售费用'!M31+'管理费用'!M31+'蓝恐龙费用'!M31</ns0:f>
        <ns0:v>471.32</ns0:v>
      </ns0:c>
      <ns0:c r="N31" s="3">
        <ns0:f>'销售费用'!N31+'管理费用'!N31+'蓝恐龙费用'!N31</ns0:f>
        <ns0:v>619.69</ns0:v>
      </ns0:c>
      <ns0:c r="O31" s="3">
        <ns0:f>SUM(C31:N31)</ns0:f>
        <ns0:v>7214.96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485.82</ns0:v>
      </ns0:c>
      <ns0:c r="D32" s="3">
        <ns0:f>'销售费用'!D32+'管理费用'!D32+'蓝恐龙费用'!D32</ns0:f>
        <ns0:v>1049.06</ns0:v>
      </ns0:c>
      <ns0:c r="E32" s="3">
        <ns0:f>'销售费用'!E32+'管理费用'!E32+'蓝恐龙费用'!E32</ns0:f>
        <ns0:v>747.87</ns0:v>
      </ns0:c>
      <ns0:c r="F32" s="3">
        <ns0:f>'销售费用'!F32+'管理费用'!F32+'蓝恐龙费用'!F32</ns0:f>
        <ns0:v>914.75</ns0:v>
      </ns0:c>
      <ns0:c r="G32" s="3">
        <ns0:f>'销售费用'!G32+'管理费用'!G32+'蓝恐龙费用'!G32</ns0:f>
        <ns0:v>520.87</ns0:v>
      </ns0:c>
      <ns0:c r="H32" s="3">
        <ns0:f>'销售费用'!H32+'管理费用'!H32+'蓝恐龙费用'!H32</ns0:f>
        <ns0:v>398.00</ns0:v>
      </ns0:c>
      <ns0:c r="I32" s="3">
        <ns0:f>'销售费用'!I32+'管理费用'!I32+'蓝恐龙费用'!I32</ns0:f>
        <ns0:v>592.92</ns0:v>
      </ns0:c>
      <ns0:c r="J32" s="3">
        <ns0:f>'销售费用'!J32+'管理费用'!J32+'蓝恐龙费用'!J32</ns0:f>
        <ns0:v>783.08</ns0:v>
      </ns0:c>
      <ns0:c r="K32" s="3">
        <ns0:f>'销售费用'!K32+'管理费用'!K32+'蓝恐龙费用'!K32</ns0:f>
        <ns0:v>560.05</ns0:v>
      </ns0:c>
      <ns0:c r="L32" s="3">
        <ns0:f>'销售费用'!L32+'管理费用'!L32+'蓝恐龙费用'!L32</ns0:f>
        <ns0:v>994.20</ns0:v>
      </ns0:c>
      <ns0:c r="M32" s="3">
        <ns0:f>'销售费用'!M32+'管理费用'!M32+'蓝恐龙费用'!M32</ns0:f>
        <ns0:v>632.89</ns0:v>
      </ns0:c>
      <ns0:c r="N32" s="3">
        <ns0:f>'销售费用'!N32+'管理费用'!N32+'蓝恐龙费用'!N32</ns0:f>
        <ns0:v>815.46</ns0:v>
      </ns0:c>
      <ns0:c r="O32" s="3">
        <ns0:f>SUM(C32:N32)</ns0:f>
        <ns0:v>8494.97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611.83</ns0:v>
      </ns0:c>
      <ns0:c r="D33" s="3">
        <ns0:f>'销售费用'!D33+'管理费用'!D33+'蓝恐龙费用'!D33</ns0:f>
        <ns0:v>1052.00</ns0:v>
      </ns0:c>
      <ns0:c r="E33" s="3">
        <ns0:f>'销售费用'!E33+'管理费用'!E33+'蓝恐龙费用'!E33</ns0:f>
        <ns0:v>602.57</ns0:v>
      </ns0:c>
      <ns0:c r="F33" s="3">
        <ns0:f>'销售费用'!F33+'管理费用'!F33+'蓝恐龙费用'!F33</ns0:f>
        <ns0:v>721.12</ns0:v>
      </ns0:c>
      <ns0:c r="G33" s="3">
        <ns0:f>'销售费用'!G33+'管理费用'!G33+'蓝恐龙费用'!G33</ns0:f>
        <ns0:v>830.43</ns0:v>
      </ns0:c>
      <ns0:c r="H33" s="3">
        <ns0:f>'销售费用'!H33+'管理费用'!H33+'蓝恐龙费用'!H33</ns0:f>
        <ns0:v>735.52</ns0:v>
      </ns0:c>
      <ns0:c r="I33" s="3">
        <ns0:f>'销售费用'!I33+'管理费用'!I33+'蓝恐龙费用'!I33</ns0:f>
        <ns0:v>347.39</ns0:v>
      </ns0:c>
      <ns0:c r="J33" s="3">
        <ns0:f>'销售费用'!J33+'管理费用'!J33+'蓝恐龙费用'!J33</ns0:f>
        <ns0:v>750.10</ns0:v>
      </ns0:c>
      <ns0:c r="K33" s="3">
        <ns0:f>'销售费用'!K33+'管理费用'!K33+'蓝恐龙费用'!K33</ns0:f>
        <ns0:v>835.16</ns0:v>
      </ns0:c>
      <ns0:c r="L33" s="3">
        <ns0:f>'销售费用'!L33+'管理费用'!L33+'蓝恐龙费用'!L33</ns0:f>
        <ns0:v>614.49</ns0:v>
      </ns0:c>
      <ns0:c r="M33" s="3">
        <ns0:f>'销售费用'!M33+'管理费用'!M33+'蓝恐龙费用'!M33</ns0:f>
        <ns0:v>531.23</ns0:v>
      </ns0:c>
      <ns0:c r="N33" s="3">
        <ns0:f>'销售费用'!N33+'管理费用'!N33+'蓝恐龙费用'!N33</ns0:f>
        <ns0:v>681.24</ns0:v>
      </ns0:c>
      <ns0:c r="O33" s="3">
        <ns0:f>SUM(C33:N33)</ns0:f>
        <ns0:v>8313.08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20755.81</ns0:v>
      </ns0:c>
      <ns0:c r="D34" s="3">
        <ns0:f>SUM(D4:D33)</ns0:f>
        <ns0:v>21009.29</ns0:v>
      </ns0:c>
      <ns0:c r="E34" s="3">
        <ns0:f>SUM(E4:E33)</ns0:f>
        <ns0:v>22133.82</ns0:v>
      </ns0:c>
      <ns0:c r="F34" s="3">
        <ns0:f>SUM(F4:F33)</ns0:f>
        <ns0:v>23264.36</ns0:v>
      </ns0:c>
      <ns0:c r="G34" s="3">
        <ns0:f>SUM(G4:G33)</ns0:f>
        <ns0:v>21453.02</ns0:v>
      </ns0:c>
      <ns0:c r="H34" s="3">
        <ns0:f>SUM(H4:H33)</ns0:f>
        <ns0:v>20758.19</ns0:v>
      </ns0:c>
      <ns0:c r="I34" s="3">
        <ns0:f>SUM(I4:I33)</ns0:f>
        <ns0:v>22667.49</ns0:v>
      </ns0:c>
      <ns0:c r="J34" s="3">
        <ns0:f>SUM(J4:J33)</ns0:f>
        <ns0:v>20668.96</ns0:v>
      </ns0:c>
      <ns0:c r="K34" s="3">
        <ns0:f>SUM(K4:K33)</ns0:f>
        <ns0:v>24433.22</ns0:v>
      </ns0:c>
      <ns0:c r="L34" s="3">
        <ns0:f>SUM(L4:L33)</ns0:f>
        <ns0:v>21413.02</ns0:v>
      </ns0:c>
      <ns0:c r="M34" s="3">
        <ns0:f>SUM(M4:M33)</ns0:f>
        <ns0:v>21731.65</ns0:v>
      </ns0:c>
      <ns0:c r="N34" s="3">
        <ns0:f>SUM(N4:N33)</ns0:f>
        <ns0:v>23015.65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100935.81</ns0:v>
      </ns0:c>
      <ns0:c r="D31" s="3">
        <ns0:f>$C$31</ns0:f>
        <ns0:v>100935.81</ns0:v>
      </ns0:c>
      <ns0:c r="E31" s="3">
        <ns0:f>$C$31</ns0:f>
        <ns0:v>100935.81</ns0:v>
      </ns0:c>
      <ns0:c r="F31" s="3">
        <ns0:f>$C$31</ns0:f>
        <ns0:v>100935.81</ns0:v>
      </ns0:c>
      <ns0:c r="G31" s="3">
        <ns0:f>$C$31</ns0:f>
        <ns0:v>100935.81</ns0:v>
      </ns0:c>
      <ns0:c r="H31" s="3">
        <ns0:f>$C$31</ns0:f>
        <ns0:v>100935.81</ns0:v>
      </ns0:c>
      <ns0:c r="I31" s="3">
        <ns0:f>$C$31</ns0:f>
        <ns0:v>100935.81</ns0:v>
      </ns0:c>
      <ns0:c r="J31" s="3">
        <ns0:f>$C$31</ns0:f>
        <ns0:v>100935.81</ns0:v>
      </ns0:c>
      <ns0:c r="K31" s="3">
        <ns0:f>$C$31</ns0:f>
        <ns0:v>100935.81</ns0:v>
      </ns0:c>
      <ns0:c r="L31" s="3">
        <ns0:f>$C$31</ns0:f>
        <ns0:v>100935.81</ns0:v>
      </ns0:c>
      <ns0:c r="M31" s="3">
        <ns0:f>$C$31</ns0:f>
        <ns0:v>100935.81</ns0:v>
      </ns0:c>
      <ns0:c r="N31" s="3">
        <ns0:f>$C$31</ns0:f>
        <ns0:v>100935.81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56</ns0:v>
      </ns0:c>
      <ns0:c r="D32" s="3">
        <ns0:f>$C$32</ns0:f>
        <ns0:v>56</ns0:v>
      </ns0:c>
      <ns0:c r="E32" s="3">
        <ns0:f>$C$32</ns0:f>
        <ns0:v>56</ns0:v>
      </ns0:c>
      <ns0:c r="F32" s="3">
        <ns0:f>$C$32</ns0:f>
        <ns0:v>56</ns0:v>
      </ns0:c>
      <ns0:c r="G32" s="3">
        <ns0:f>$C$32</ns0:f>
        <ns0:v>56</ns0:v>
      </ns0:c>
      <ns0:c r="H32" s="3">
        <ns0:f>$C$32</ns0:f>
        <ns0:v>56</ns0:v>
      </ns0:c>
      <ns0:c r="I32" s="3">
        <ns0:f>$C$32</ns0:f>
        <ns0:v>56</ns0:v>
      </ns0:c>
      <ns0:c r="J32" s="3">
        <ns0:f>$C$32</ns0:f>
        <ns0:v>56</ns0:v>
      </ns0:c>
      <ns0:c r="K32" s="3">
        <ns0:f>$C$32</ns0:f>
        <ns0:v>56</ns0:v>
      </ns0:c>
      <ns0:c r="L32" s="3">
        <ns0:f>$C$32</ns0:f>
        <ns0:v>56</ns0:v>
      </ns0:c>
      <ns0:c r="M32" s="3">
        <ns0:f>$C$32</ns0:f>
        <ns0:v>56</ns0:v>
      </ns0:c>
      <ns0:c r="N32" s="3">
        <ns0:f>$C$32</ns0:f>
        <ns0:v>56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ROUND(C31/C32,2)</ns0:f>
        <ns0:v>1802.43</ns0:v>
      </ns0:c>
      <ns0:c r="D33" s="3">
        <ns0:f>ROUND(D31/D32,2)</ns0:f>
        <ns0:v>1802.43</ns0:v>
      </ns0:c>
      <ns0:c r="E33" s="3">
        <ns0:f>ROUND(E31/E32,2)</ns0:f>
        <ns0:v>1802.43</ns0:v>
      </ns0:c>
      <ns0:c r="F33" s="3">
        <ns0:f>ROUND(F31/F32,2)</ns0:f>
        <ns0:v>1802.43</ns0:v>
      </ns0:c>
      <ns0:c r="G33" s="3">
        <ns0:f>ROUND(G31/G32,2)</ns0:f>
        <ns0:v>1802.43</ns0:v>
      </ns0:c>
      <ns0:c r="H33" s="3">
        <ns0:f>ROUND(H31/H32,2)</ns0:f>
        <ns0:v>1802.43</ns0:v>
      </ns0:c>
      <ns0:c r="I33" s="3">
        <ns0:f>ROUND(I31/I32,2)</ns0:f>
        <ns0:v>1802.43</ns0:v>
      </ns0:c>
      <ns0:c r="J33" s="3">
        <ns0:f>ROUND(J31/J32,2)</ns0:f>
        <ns0:v>1802.43</ns0:v>
      </ns0:c>
      <ns0:c r="K33" s="3">
        <ns0:f>ROUND(K31/K32,2)</ns0:f>
        <ns0:v>1802.43</ns0:v>
      </ns0:c>
      <ns0:c r="L33" s="3">
        <ns0:f>ROUND(L31/L32,2)</ns0:f>
        <ns0:v>1802.43</ns0:v>
      </ns0:c>
      <ns0:c r="M33" s="3">
        <ns0:f>ROUND(M31/M32,2)</ns0:f>
        <ns0:v>1802.43</ns0:v>
      </ns0:c>
      <ns0:c r="N33" s="3">
        <ns0:f>ROUND(N31/N32,2)</ns0:f>
        <ns0:v>1802.43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1802.43</ns0:v>
      </ns0:c>
      <ns0:c r="D34" s="3">
        <ns0:f>SUM($C33:D33)</ns0:f>
        <ns0:v>3604.86</ns0:v>
      </ns0:c>
      <ns0:c r="E34" s="3">
        <ns0:f>SUM($C33:E33)</ns0:f>
        <ns0:v>5407.29</ns0:v>
      </ns0:c>
      <ns0:c r="F34" s="3">
        <ns0:f>SUM($C33:F33)</ns0:f>
        <ns0:v>7209.72</ns0:v>
      </ns0:c>
      <ns0:c r="G34" s="3">
        <ns0:f>SUM($C33:G33)</ns0:f>
        <ns0:v>9012.15</ns0:v>
      </ns0:c>
      <ns0:c r="H34" s="3">
        <ns0:f>SUM($C33:H33)</ns0:f>
        <ns0:v>10814.58</ns0:v>
      </ns0:c>
      <ns0:c r="I34" s="3">
        <ns0:f>SUM($C33:I33)</ns0:f>
        <ns0:v>12617.01</ns0:v>
      </ns0:c>
      <ns0:c r="J34" s="3">
        <ns0:f>SUM($C33:J33)</ns0:f>
        <ns0:v>14419.44</ns0:v>
      </ns0:c>
      <ns0:c r="K34" s="3">
        <ns0:f>SUM($C33:K33)</ns0:f>
        <ns0:v>16221.87</ns0:v>
      </ns0:c>
      <ns0:c r="L34" s="3">
        <ns0:f>SUM($C33:L33)</ns0:f>
        <ns0:v>18024.30</ns0:v>
      </ns0:c>
      <ns0:c r="M34" s="3">
        <ns0:f>SUM($C33:M33)</ns0:f>
        <ns0:v>19826.73</ns0:v>
      </ns0:c>
      <ns0:c r="N34" s="3">
        <ns0:f>SUM($C33:N33)</ns0:f>
        <ns0:v>21629.16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99133.38</ns0:v>
      </ns0:c>
      <ns0:c r="D35" s="3">
        <ns0:f>D31-D34</ns0:f>
        <ns0:v>97330.95</ns0:v>
      </ns0:c>
      <ns0:c r="E35" s="3">
        <ns0:f>E31-E34</ns0:f>
        <ns0:v>95528.52</ns0:v>
      </ns0:c>
      <ns0:c r="F35" s="3">
        <ns0:f>F31-F34</ns0:f>
        <ns0:v>93726.09</ns0:v>
      </ns0:c>
      <ns0:c r="G35" s="3">
        <ns0:f>G31-G34</ns0:f>
        <ns0:v>91923.66</ns0:v>
      </ns0:c>
      <ns0:c r="H35" s="3">
        <ns0:f>H31-H34</ns0:f>
        <ns0:v>90121.23</ns0:v>
      </ns0:c>
      <ns0:c r="I35" s="3">
        <ns0:f>I31-I34</ns0:f>
        <ns0:v>88318.80</ns0:v>
      </ns0:c>
      <ns0:c r="J35" s="3">
        <ns0:f>J31-J34</ns0:f>
        <ns0:v>86516.37</ns0:v>
      </ns0:c>
      <ns0:c r="K35" s="3">
        <ns0:f>K31-K34</ns0:f>
        <ns0:v>84713.94</ns0:v>
      </ns0:c>
      <ns0:c r="L35" s="3">
        <ns0:f>L31-L34</ns0:f>
        <ns0:v>82911.51</ns0:v>
      </ns0:c>
      <ns0:c r="M35" s="3">
        <ns0:f>M31-M34</ns0:f>
        <ns0:v>81109.08</ns0:v>
      </ns0:c>
      <ns0:c r="N35" s="3">
        <ns0:f>N31-N34</ns0:f>
        <ns0:v>79306.65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'利润表'!C61</ns0:f>
        <ns0:v>440345.17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440345.17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'利润表'!D61</ns0:f>
        <ns0:v>415270.49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415270.49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'利润表'!E61</ns0:f>
        <ns0:v>442088.19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442088.19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'利润表'!F61</ns0:f>
        <ns0:v>331899.69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331899.69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'利润表'!G61</ns0:f>
        <ns0:v>403086.56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403086.56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'利润表'!H61</ns0:f>
        <ns0:v>413826.37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413826.37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'利润表'!I61</ns0:f>
        <ns0:v>442249.62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442249.62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'利润表'!J61</ns0:f>
        <ns0:v>555559.21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555559.21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'利润表'!K61</ns0:f>
        <ns0:v>254255.16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254255.16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'利润表'!L61</ns0:f>
        <ns0:v>409434.29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409434.29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'利润表'!M61</ns0:f>
        <ns0:v>359601.88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359601.88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'利润表'!N61</ns0:f>
        <ns0:v>360564.98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360564.98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