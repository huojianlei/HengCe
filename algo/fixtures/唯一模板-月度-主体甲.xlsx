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a7121368b146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利润表" sheetId="1" r:id="Rcab4fa46936c4479"/>
    <x:sheet xmlns:r="http://schemas.openxmlformats.org/officeDocument/2006/relationships" name="资产负债表" sheetId="2" r:id="R2f2c629bb6e34b37"/>
    <x:sheet xmlns:r="http://schemas.openxmlformats.org/officeDocument/2006/relationships" name="现金流量表" sheetId="3" r:id="R753f5f4b9a414de8"/>
    <x:sheet xmlns:r="http://schemas.openxmlformats.org/officeDocument/2006/relationships" name="收入非主控" sheetId="4" r:id="R69ebd41a81f54739"/>
    <x:sheet xmlns:r="http://schemas.openxmlformats.org/officeDocument/2006/relationships" name="收入主控" sheetId="5" r:id="R198d6ace4b84412f"/>
    <x:sheet xmlns:r="http://schemas.openxmlformats.org/officeDocument/2006/relationships" name="税金及附加" sheetId="6" r:id="R07de160795ae435e"/>
    <x:sheet xmlns:r="http://schemas.openxmlformats.org/officeDocument/2006/relationships" name="销售费用" sheetId="7" r:id="R47669e82eb32487e"/>
    <x:sheet xmlns:r="http://schemas.openxmlformats.org/officeDocument/2006/relationships" name="管理费用" sheetId="8" r:id="Rb7a392cfb7064153"/>
    <x:sheet xmlns:r="http://schemas.openxmlformats.org/officeDocument/2006/relationships" name="蓝恐龙费用" sheetId="9" r:id="Rb6677337e63c4702"/>
    <x:sheet xmlns:r="http://schemas.openxmlformats.org/officeDocument/2006/relationships" name="费用表月度汇总" sheetId="10" r:id="R9b7e15bc0db041c9"/>
    <x:sheet xmlns:r="http://schemas.openxmlformats.org/officeDocument/2006/relationships" name="摊销明细" sheetId="11" r:id="Re72af90b41c64433"/>
    <x:sheet xmlns:r="http://schemas.openxmlformats.org/officeDocument/2006/relationships" name="分录" sheetId="12" r:id="R5e8ae4084e074515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200" formatCode="#,##0.00;(#,##0.00);&quot;—&quot;"/>
  </x:numFmts>
  <x:fonts count="3">
    <x:font>
      <x:sz val="11"/>
      <x:name val="Carlito"/>
    </x:font>
    <x:font>
      <x:sz val="10"/>
      <x:name val="Microsoft YaHei"/>
    </x:font>
    <x:font>
      <x:sz val="10"/>
      <x:color rgb="FF0000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5EAF0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1ab5679f964744" /><Relationship Type="http://schemas.openxmlformats.org/officeDocument/2006/relationships/theme" Target="/xl/theme/theme1.xml" Id="R8ed929071f5b41d2" /><Relationship Type="http://schemas.openxmlformats.org/officeDocument/2006/relationships/sharedStrings" Target="/xl/sharedStrings.xml" Id="R4bee725b58e14eed" /><Relationship Type="http://schemas.openxmlformats.org/officeDocument/2006/relationships/worksheet" Target="/xl/worksheets/sheet1.xml" Id="Rcab4fa46936c4479" /><Relationship Type="http://schemas.openxmlformats.org/officeDocument/2006/relationships/worksheet" Target="/xl/worksheets/sheet2.xml" Id="R2f2c629bb6e34b37" /><Relationship Type="http://schemas.openxmlformats.org/officeDocument/2006/relationships/worksheet" Target="/xl/worksheets/sheet3.xml" Id="R753f5f4b9a414de8" /><Relationship Type="http://schemas.openxmlformats.org/officeDocument/2006/relationships/worksheet" Target="/xl/worksheets/sheet4.xml" Id="R69ebd41a81f54739" /><Relationship Type="http://schemas.openxmlformats.org/officeDocument/2006/relationships/worksheet" Target="/xl/worksheets/sheet5.xml" Id="R198d6ace4b84412f" /><Relationship Type="http://schemas.openxmlformats.org/officeDocument/2006/relationships/worksheet" Target="/xl/worksheets/sheet6.xml" Id="R07de160795ae435e" /><Relationship Type="http://schemas.openxmlformats.org/officeDocument/2006/relationships/worksheet" Target="/xl/worksheets/sheet7.xml" Id="R47669e82eb32487e" /><Relationship Type="http://schemas.openxmlformats.org/officeDocument/2006/relationships/worksheet" Target="/xl/worksheets/sheet8.xml" Id="Rb7a392cfb7064153" /><Relationship Type="http://schemas.openxmlformats.org/officeDocument/2006/relationships/worksheet" Target="/xl/worksheets/sheet9.xml" Id="Rb6677337e63c4702" /><Relationship Type="http://schemas.openxmlformats.org/officeDocument/2006/relationships/worksheet" Target="/xl/worksheets/sheet10.xml" Id="R9b7e15bc0db041c9" /><Relationship Type="http://schemas.openxmlformats.org/officeDocument/2006/relationships/worksheet" Target="/xl/worksheets/sheet11.xml" Id="Re72af90b41c64433" /><Relationship Type="http://schemas.openxmlformats.org/officeDocument/2006/relationships/worksheet" Target="/xl/worksheets/sheet12.xml" Id="R5e8ae4084e0745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4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0.25" hidden="0" customWidth="1"/>
    <ns0:col min="17" max="17" width="10.25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利润表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 t="inlineStr">
        <ns0:is>
          <ns0:t>项     目</ns0:t>
        </ns0:is>
      </ns0:c>
      <ns0:c r="B2" s="2" t="inlineStr">
        <ns0:is>
          <ns0:t>行数</ns0:t>
        </ns0:is>
      </ns0:c>
      <ns0:c r="C2" s="3" t="inlineStr">
        <ns0:is>
          <ns0:t>主体甲 / 基础情景</ns0:t>
        </ns0:is>
      </ns0:c>
      <ns0:c r="D2" s="3"/>
      <ns0:c r="E2" s="3"/>
      <ns0:c r="F2" s="3" t="inlineStr">
        <ns0:is>
          <ns0:t>其他主体费用计入管理费用展示</ns0:t>
        </ns0:is>
      </ns0:c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/>
      <ns0:c r="B3" s="2"/>
      <ns0:c r="C3" s="6" t="inlineStr">
        <ns0:is>
          <ns0:t>全年预算</ns0:t>
        </ns0:is>
      </ns0:c>
      <ns0:c r="D3" s="6" t="inlineStr">
        <ns0:is>
          <ns0:t>全年实际占位</ns0:t>
        </ns0:is>
      </ns0:c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 t="inlineStr">
        <ns0:is>
          <ns0:t>一、营业收入</ns0:t>
        </ns0:is>
      </ns0:c>
      <ns0:c r="B4" s="2"/>
      <ns0:c r="C4" s="3">
        <ns0:f>SUM(C61:N61)</ns0:f>
        <ns0:v>5032469.78</ns0:v>
      </ns0:c>
      <ns0:c r="D4" s="3">
        <ns0:f>SUM(C121:N121)</ns0:f>
        <ns0:v>5875170.24</ns0:v>
      </ns0:c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 t="inlineStr">
        <ns0:is>
          <ns0:t>减：营业成本</ns0:t>
        </ns0:is>
      </ns0:c>
      <ns0:c r="B5" s="2"/>
      <ns0:c r="C5" s="3">
        <ns0:f>SUM(C62:N62)</ns0:f>
        <ns0:v>1712380.48</ns0:v>
      </ns0:c>
      <ns0:c r="D5" s="3">
        <ns0:f>SUM(C122:N122)</ns0:f>
        <ns0:v>1806570.22</ns0:v>
      </ns0:c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 t="inlineStr">
        <ns0:is>
          <ns0:t>营业税金及附加</ns0:t>
        </ns0:is>
      </ns0:c>
      <ns0:c r="B6" s="2"/>
      <ns0:c r="C6" s="3">
        <ns0:f>SUM(C63:N63)</ns0:f>
        <ns0:v>42423.71</ns0:v>
      </ns0:c>
      <ns0:c r="D6" s="3">
        <ns0:f>SUM(C123:N123)</ns0:f>
        <ns0:v>41184.96</ns0:v>
      </ns0:c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 t="inlineStr">
        <ns0:is>
          <ns0:t>销售费用</ns0:t>
        </ns0:is>
      </ns0:c>
      <ns0:c r="B7" s="2"/>
      <ns0:c r="C7" s="3">
        <ns0:f>SUM(C64:N64)</ns0:f>
        <ns0:v>87098.84</ns0:v>
      </ns0:c>
      <ns0:c r="D7" s="3">
        <ns0:f>SUM(C124:N124)</ns0:f>
        <ns0:v>89300.16</ns0:v>
      </ns0:c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 t="inlineStr">
        <ns0:is>
          <ns0:t>管理费用</ns0:t>
        </ns0:is>
      </ns0:c>
      <ns0:c r="B8" s="2"/>
      <ns0:c r="C8" s="3">
        <ns0:f>SUM(C65:N66)</ns0:f>
        <ns0:v>178293.40</ns0:v>
      </ns0:c>
      <ns0:c r="D8" s="3">
        <ns0:f>SUM(C125:N126)</ns0:f>
        <ns0:v>171256.80</ns0:v>
      </ns0:c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 t="inlineStr">
        <ns0:is>
          <ns0:t>财务费用</ns0:t>
        </ns0:is>
      </ns0:c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 t="inlineStr">
        <ns0:is>
          <ns0:t>资产减值损失</ns0:t>
        </ns0:is>
      </ns0:c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 t="inlineStr">
        <ns0:is>
          <ns0:t>加：公允价值变动收益（损失以“-”号填列）</ns0:t>
        </ns0:is>
      </ns0:c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 t="inlineStr">
        <ns0:is>
          <ns0:t>投资收益（损失以“-”号填列）</ns0:t>
        </ns0:is>
      </ns0:c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 t="inlineStr">
        <ns0:is>
          <ns0:t>其中:对联营企业和合营企业的投资收益</ns0:t>
        </ns0:is>
      </ns0:c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 t="inlineStr">
        <ns0:is>
          <ns0:t>二、营业利润（亏损以“-”号填列）</ns0:t>
        </ns0:is>
      </ns0:c>
      <ns0:c r="B14" s="2"/>
      <ns0:c r="C14" s="3">
        <ns0:f>SUM(C67:N67)</ns0:f>
        <ns0:v>3012273.35</ns0:v>
      </ns0:c>
      <ns0:c r="D14" s="3">
        <ns0:f>SUM(C127:N127)</ns0:f>
        <ns0:v>3766858.10</ns0:v>
      </ns0:c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实际数据状态</ns0:t>
        </ns0:is>
      </ns0:c>
      <ns0:c r="AY14" s="2" t="inlineStr">
        <ns0:is>
          <ns0:t>占位</ns0:t>
        </ns0:is>
      </ns0:c>
    </ns0:row>
    <ns0:row r="15" ht="20" customHeight="1">
      <ns0:c r="A15" s="2" t="inlineStr">
        <ns0:is>
          <ns0:t>加：营业外收入</ns0:t>
        </ns0:is>
      </ns0:c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 t="inlineStr">
        <ns0:is>
          <ns0:t>减：营业外支出</ns0:t>
        </ns0:is>
      </ns0:c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/>
      <ns0:c r="AY16" s="2"/>
    </ns0:row>
    <ns0:row r="17" ht="20" customHeight="1">
      <ns0:c r="A17" s="2" t="inlineStr">
        <ns0:is>
          <ns0:t>其中：非流动资产处置损失</ns0:t>
        </ns0:is>
      </ns0:c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蓝色为输入参数；实际数为占位；金额单位：元</ns0:t>
        </ns0:is>
      </ns0:c>
    </ns0:row>
    <ns0:row r="18" ht="20" customHeight="1">
      <ns0:c r="A18" s="2" t="inlineStr">
        <ns0:is>
          <ns0:t>三、利润总额（亏损总额以“-”号填列）</ns0:t>
        </ns0:is>
      </ns0:c>
      <ns0:c r="B18" s="2"/>
      <ns0:c r="C18" s="3">
        <ns0:f>SUM(C67:N67)</ns0:f>
        <ns0:v>3012273.35</ns0:v>
      </ns0:c>
      <ns0:c r="D18" s="3">
        <ns0:f>SUM(C127:N127)</ns0:f>
        <ns0:v>3766858.10</ns0:v>
      </ns0:c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 t="inlineStr">
        <ns0:is>
          <ns0:t>减：所得税费用</ns0:t>
        </ns0:is>
      </ns0:c>
      <ns0:c r="B19" s="2"/>
      <ns0:c r="C19" s="3">
        <ns0:f>SUM(C68:N68)</ns0:f>
        <ns0:v>531636.12</ns0:v>
      </ns0:c>
      <ns0:c r="D19" s="3">
        <ns0:f>SUM(C128:N128)</ns0:f>
        <ns0:v>790173.81</ns0:v>
      </ns0:c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 t="inlineStr">
        <ns0:is>
          <ns0:t>四、净利润（净亏损以“-”号填列）</ns0:t>
        </ns0:is>
      </ns0:c>
      <ns0:c r="B20" s="2"/>
      <ns0:c r="C20" s="3">
        <ns0:f>SUM(C69:N69)</ns0:f>
        <ns0:v>2480637.23</ns0:v>
      </ns0:c>
      <ns0:c r="D20" s="3">
        <ns0:f>SUM(C129:N129)</ns0:f>
        <ns0:v>2976684.29</ns0:v>
      </ns0:c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 t="inlineStr">
        <ns0:is>
          <ns0:t>五、每股收益：</ns0:t>
        </ns0:is>
      </ns0:c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 t="inlineStr">
        <ns0:is>
          <ns0:t>（一）基本每股收益</ns0:t>
        </ns0:is>
      </ns0:c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 t="inlineStr">
        <ns0:is>
          <ns0:t>（二）稀释每股收益</ns0:t>
        </ns0:is>
      </ns0:c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/>
      <ns0:c r="C30" s="6"/>
      <ns0:c r="D30" s="6"/>
      <ns0:c r="E30" s="6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2"/>
      <ns0:c r="C31" s="3"/>
      <ns0:c r="D31" s="3"/>
      <ns0:c r="E31" s="3"/>
      <ns0:c r="F31" s="3"/>
      <ns0:c r="G31" s="3"/>
      <ns0:c r="H31" s="3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/>
      <ns0:c r="C32" s="3"/>
      <ns0:c r="D32" s="3"/>
      <ns0:c r="E32" s="3"/>
      <ns0:c r="F32" s="3"/>
      <ns0:c r="G32" s="3"/>
      <ns0:c r="H32" s="3"/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2"/>
      <ns0:c r="C33" s="3"/>
      <ns0:c r="D33" s="3"/>
      <ns0:c r="E33" s="3"/>
      <ns0:c r="F33" s="3"/>
      <ns0:c r="G33" s="3"/>
      <ns0:c r="H33" s="3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2"/>
      <ns0:c r="C34" s="3"/>
      <ns0:c r="D34" s="3"/>
      <ns0:c r="E34" s="3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 t="inlineStr">
        <ns0:is>
          <ns0:t>预算基础月度勾稽</ns0:t>
        </ns0:is>
      </ns0:c>
      <ns0:c r="C60" s="6" t="inlineStr">
        <ns0:is>
          <ns0:t>2027-01</ns0:t>
        </ns0:is>
      </ns0:c>
      <ns0:c r="D60" s="6" t="inlineStr">
        <ns0:is>
          <ns0:t>2027-02</ns0:t>
        </ns0:is>
      </ns0:c>
      <ns0:c r="E60" s="6" t="inlineStr">
        <ns0:is>
          <ns0:t>2027-03</ns0:t>
        </ns0:is>
      </ns0:c>
      <ns0:c r="F60" s="6" t="inlineStr">
        <ns0:is>
          <ns0:t>2027-04</ns0:t>
        </ns0:is>
      </ns0:c>
      <ns0:c r="G60" s="6" t="inlineStr">
        <ns0:is>
          <ns0:t>2027-05</ns0:t>
        </ns0:is>
      </ns0:c>
      <ns0:c r="H60" s="6" t="inlineStr">
        <ns0:is>
          <ns0:t>2027-06</ns0:t>
        </ns0:is>
      </ns0:c>
      <ns0:c r="I60" s="6" t="inlineStr">
        <ns0:is>
          <ns0:t>2027-07</ns0:t>
        </ns0:is>
      </ns0:c>
      <ns0:c r="J60" s="6" t="inlineStr">
        <ns0:is>
          <ns0:t>2027-08</ns0:t>
        </ns0:is>
      </ns0:c>
      <ns0:c r="K60" s="6" t="inlineStr">
        <ns0:is>
          <ns0:t>2027-09</ns0:t>
        </ns0:is>
      </ns0:c>
      <ns0:c r="L60" s="6" t="inlineStr">
        <ns0:is>
          <ns0:t>2027-10</ns0:t>
        </ns0:is>
      </ns0:c>
      <ns0:c r="M60" s="6" t="inlineStr">
        <ns0:is>
          <ns0:t>2027-11</ns0:t>
        </ns0:is>
      </ns0:c>
      <ns0:c r="N60" s="6" t="inlineStr">
        <ns0:is>
          <ns0:t>2027-12</ns0:t>
        </ns0:is>
      </ns0:c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 t="inlineStr">
        <ns0:is>
          <ns0:t>营业收入</ns0:t>
        </ns0:is>
      </ns0:c>
      <ns0:c r="C61" s="3">
        <ns0:f>'收入非主控'!C33+'收入主控'!C33</ns0:f>
        <ns0:v>419355.49</ns0:v>
      </ns0:c>
      <ns0:c r="D61" s="3">
        <ns0:f>'收入非主控'!D33+'收入主控'!D33</ns0:f>
        <ns0:v>440052.36</ns0:v>
      </ns0:c>
      <ns0:c r="E61" s="3">
        <ns0:f>'收入非主控'!E33+'收入主控'!E33</ns0:f>
        <ns0:v>427779.36</ns0:v>
      </ns0:c>
      <ns0:c r="F61" s="3">
        <ns0:f>'收入非主控'!F33+'收入主控'!F33</ns0:f>
        <ns0:v>333225.17</ns0:v>
      </ns0:c>
      <ns0:c r="G61" s="3">
        <ns0:f>'收入非主控'!G33+'收入主控'!G33</ns0:f>
        <ns0:v>526266.11</ns0:v>
      </ns0:c>
      <ns0:c r="H61" s="3">
        <ns0:f>'收入非主控'!H33+'收入主控'!H33</ns0:f>
        <ns0:v>438107.96</ns0:v>
      </ns0:c>
      <ns0:c r="I61" s="3">
        <ns0:f>'收入非主控'!I33+'收入主控'!I33</ns0:f>
        <ns0:v>390372.84</ns0:v>
      </ns0:c>
      <ns0:c r="J61" s="3">
        <ns0:f>'收入非主控'!J33+'收入主控'!J33</ns0:f>
        <ns0:v>504765.51</ns0:v>
      </ns0:c>
      <ns0:c r="K61" s="3">
        <ns0:f>'收入非主控'!K33+'收入主控'!K33</ns0:f>
        <ns0:v>354203.25</ns0:v>
      </ns0:c>
      <ns0:c r="L61" s="3">
        <ns0:f>'收入非主控'!L33+'收入主控'!L33</ns0:f>
        <ns0:v>397981.80</ns0:v>
      </ns0:c>
      <ns0:c r="M61" s="3">
        <ns0:f>'收入非主控'!M33+'收入主控'!M33</ns0:f>
        <ns0:v>341496.44</ns0:v>
      </ns0:c>
      <ns0:c r="N61" s="3">
        <ns0:f>'收入非主控'!N33+'收入主控'!N33</ns0:f>
        <ns0:v>458863.49</ns0:v>
      </ns0:c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 t="inlineStr">
        <ns0:is>
          <ns0:t>营业成本</ns0:t>
        </ns0:is>
      </ns0:c>
      <ns0:c r="C62" s="3">
        <ns0:f>'收入非主控'!C36+'收入主控'!C36</ns0:f>
        <ns0:v>147841.26</ns0:v>
      </ns0:c>
      <ns0:c r="D62" s="3">
        <ns0:f>'收入非主控'!D36+'收入主控'!D36</ns0:f>
        <ns0:v>156219.26</ns0:v>
      </ns0:c>
      <ns0:c r="E62" s="3">
        <ns0:f>'收入非主控'!E36+'收入主控'!E36</ns0:f>
        <ns0:v>155539.79</ns0:v>
      </ns0:c>
      <ns0:c r="F62" s="3">
        <ns0:f>'收入非主控'!F36+'收入主控'!F36</ns0:f>
        <ns0:v>125863.55</ns0:v>
      </ns0:c>
      <ns0:c r="G62" s="3">
        <ns0:f>'收入非主控'!G36+'收入主控'!G36</ns0:f>
        <ns0:v>137010.38</ns0:v>
      </ns0:c>
      <ns0:c r="H62" s="3">
        <ns0:f>'收入非主控'!H36+'收入主控'!H36</ns0:f>
        <ns0:v>143527.94</ns0:v>
      </ns0:c>
      <ns0:c r="I62" s="3">
        <ns0:f>'收入非主控'!I36+'收入主控'!I36</ns0:f>
        <ns0:v>134319.54</ns0:v>
      </ns0:c>
      <ns0:c r="J62" s="3">
        <ns0:f>'收入非主控'!J36+'收入主控'!J36</ns0:f>
        <ns0:v>139954.92</ns0:v>
      </ns0:c>
      <ns0:c r="K62" s="3">
        <ns0:f>'收入非主控'!K36+'收入主控'!K36</ns0:f>
        <ns0:v>150939.18</ns0:v>
      </ns0:c>
      <ns0:c r="L62" s="3">
        <ns0:f>'收入非主控'!L36+'收入主控'!L36</ns0:f>
        <ns0:v>112851.52</ns0:v>
      </ns0:c>
      <ns0:c r="M62" s="3">
        <ns0:f>'收入非主控'!M36+'收入主控'!M36</ns0:f>
        <ns0:v>141877.08</ns0:v>
      </ns0:c>
      <ns0:c r="N62" s="3">
        <ns0:f>'收入非主控'!N36+'收入主控'!N36</ns0:f>
        <ns0:v>166436.06</ns0:v>
      </ns0:c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 t="inlineStr">
        <ns0:is>
          <ns0:t>税金及附加</ns0:t>
        </ns0:is>
      </ns0:c>
      <ns0:c r="C63" s="3">
        <ns0:f>'税金及附加'!C33</ns0:f>
        <ns0:v>3535.17</ns0:v>
      </ns0:c>
      <ns0:c r="D63" s="3">
        <ns0:f>'税金及附加'!D33</ns0:f>
        <ns0:v>3709.64</ns0:v>
      </ns0:c>
      <ns0:c r="E63" s="3">
        <ns0:f>'税金及附加'!E33</ns0:f>
        <ns0:v>3606.18</ns0:v>
      </ns0:c>
      <ns0:c r="F63" s="3">
        <ns0:f>'税金及附加'!F33</ns0:f>
        <ns0:v>2809.09</ns0:v>
      </ns0:c>
      <ns0:c r="G63" s="3">
        <ns0:f>'税金及附加'!G33</ns0:f>
        <ns0:v>4436.42</ns0:v>
      </ns0:c>
      <ns0:c r="H63" s="3">
        <ns0:f>'税金及附加'!H33</ns0:f>
        <ns0:v>3693.25</ns0:v>
      </ns0:c>
      <ns0:c r="I63" s="3">
        <ns0:f>'税金及附加'!I33</ns0:f>
        <ns0:v>3290.84</ns0:v>
      </ns0:c>
      <ns0:c r="J63" s="3">
        <ns0:f>'税金及附加'!J33</ns0:f>
        <ns0:v>4255.17</ns0:v>
      </ns0:c>
      <ns0:c r="K63" s="3">
        <ns0:f>'税金及附加'!K33</ns0:f>
        <ns0:v>2985.93</ns0:v>
      </ns0:c>
      <ns0:c r="L63" s="3">
        <ns0:f>'税金及附加'!L33</ns0:f>
        <ns0:v>3354.99</ns0:v>
      </ns0:c>
      <ns0:c r="M63" s="3">
        <ns0:f>'税金及附加'!M33</ns0:f>
        <ns0:v>2878.81</ns0:v>
      </ns0:c>
      <ns0:c r="N63" s="3">
        <ns0:f>'税金及附加'!N33</ns0:f>
        <ns0:v>3868.22</ns0:v>
      </ns0:c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 t="inlineStr">
        <ns0:is>
          <ns0:t>销售费用</ns0:t>
        </ns0:is>
      </ns0:c>
      <ns0:c r="C64" s="3">
        <ns0:f>'销售费用'!C34</ns0:f>
        <ns0:v>6818.00</ns0:v>
      </ns0:c>
      <ns0:c r="D64" s="3">
        <ns0:f>'销售费用'!D34</ns0:f>
        <ns0:v>6481.17</ns0:v>
      </ns0:c>
      <ns0:c r="E64" s="3">
        <ns0:f>'销售费用'!E34</ns0:f>
        <ns0:v>7638.90</ns0:v>
      </ns0:c>
      <ns0:c r="F64" s="3">
        <ns0:f>'销售费用'!F34</ns0:f>
        <ns0:v>6724.33</ns0:v>
      </ns0:c>
      <ns0:c r="G64" s="3">
        <ns0:f>'销售费用'!G34</ns0:f>
        <ns0:v>7912.45</ns0:v>
      </ns0:c>
      <ns0:c r="H64" s="3">
        <ns0:f>'销售费用'!H34</ns0:f>
        <ns0:v>6066.98</ns0:v>
      </ns0:c>
      <ns0:c r="I64" s="3">
        <ns0:f>'销售费用'!I34</ns0:f>
        <ns0:v>8410.95</ns0:v>
      </ns0:c>
      <ns0:c r="J64" s="3">
        <ns0:f>'销售费用'!J34</ns0:f>
        <ns0:v>7076.47</ns0:v>
      </ns0:c>
      <ns0:c r="K64" s="3">
        <ns0:f>'销售费用'!K34</ns0:f>
        <ns0:v>7446.90</ns0:v>
      </ns0:c>
      <ns0:c r="L64" s="3">
        <ns0:f>'销售费用'!L34</ns0:f>
        <ns0:v>7443.12</ns0:v>
      </ns0:c>
      <ns0:c r="M64" s="3">
        <ns0:f>'销售费用'!M34</ns0:f>
        <ns0:v>7261.33</ns0:v>
      </ns0:c>
      <ns0:c r="N64" s="3">
        <ns0:f>'销售费用'!N34</ns0:f>
        <ns0:v>7818.24</ns0:v>
      </ns0:c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 t="inlineStr">
        <ns0:is>
          <ns0:t>管理费用</ns0:t>
        </ns0:is>
      </ns0:c>
      <ns0:c r="C65" s="3">
        <ns0:f>'管理费用'!C34</ns0:f>
        <ns0:v>7491.74</ns0:v>
      </ns0:c>
      <ns0:c r="D65" s="3">
        <ns0:f>'管理费用'!D34</ns0:f>
        <ns0:v>8054.36</ns0:v>
      </ns0:c>
      <ns0:c r="E65" s="3">
        <ns0:f>'管理费用'!E34</ns0:f>
        <ns0:v>7932.57</ns0:v>
      </ns0:c>
      <ns0:c r="F65" s="3">
        <ns0:f>'管理费用'!F34</ns0:f>
        <ns0:v>7293.26</ns0:v>
      </ns0:c>
      <ns0:c r="G65" s="3">
        <ns0:f>'管理费用'!G34</ns0:f>
        <ns0:v>7263.43</ns0:v>
      </ns0:c>
      <ns0:c r="H65" s="3">
        <ns0:f>'管理费用'!H34</ns0:f>
        <ns0:v>7051.26</ns0:v>
      </ns0:c>
      <ns0:c r="I65" s="3">
        <ns0:f>'管理费用'!I34</ns0:f>
        <ns0:v>7258.27</ns0:v>
      </ns0:c>
      <ns0:c r="J65" s="3">
        <ns0:f>'管理费用'!J34</ns0:f>
        <ns0:v>6872.21</ns0:v>
      </ns0:c>
      <ns0:c r="K65" s="3">
        <ns0:f>'管理费用'!K34</ns0:f>
        <ns0:v>6675.14</ns0:v>
      </ns0:c>
      <ns0:c r="L65" s="3">
        <ns0:f>'管理费用'!L34</ns0:f>
        <ns0:v>6854.67</ns0:v>
      </ns0:c>
      <ns0:c r="M65" s="3">
        <ns0:f>'管理费用'!M34</ns0:f>
        <ns0:v>7207.18</ns0:v>
      </ns0:c>
      <ns0:c r="N65" s="3">
        <ns0:f>'管理费用'!N34</ns0:f>
        <ns0:v>8598.76</ns0:v>
      </ns0:c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 t="inlineStr">
        <ns0:is>
          <ns0:t>其他主体费用</ns0:t>
        </ns0:is>
      </ns0:c>
      <ns0:c r="C66" s="3">
        <ns0:f>'蓝恐龙费用'!C34</ns0:f>
        <ns0:v>6321.02</ns0:v>
      </ns0:c>
      <ns0:c r="D66" s="3">
        <ns0:f>'蓝恐龙费用'!D34</ns0:f>
        <ns0:v>6930.67</ns0:v>
      </ns0:c>
      <ns0:c r="E66" s="3">
        <ns0:f>'蓝恐龙费用'!E34</ns0:f>
        <ns0:v>7148.27</ns0:v>
      </ns0:c>
      <ns0:c r="F66" s="3">
        <ns0:f>'蓝恐龙费用'!F34</ns0:f>
        <ns0:v>7680.25</ns0:v>
      </ns0:c>
      <ns0:c r="G66" s="3">
        <ns0:f>'蓝恐龙费用'!G34</ns0:f>
        <ns0:v>8455.68</ns0:v>
      </ns0:c>
      <ns0:c r="H66" s="3">
        <ns0:f>'蓝恐龙费用'!H34</ns0:f>
        <ns0:v>7033.07</ns0:v>
      </ns0:c>
      <ns0:c r="I66" s="3">
        <ns0:f>'蓝恐龙费用'!I34</ns0:f>
        <ns0:v>8528.71</ns0:v>
      </ns0:c>
      <ns0:c r="J66" s="3">
        <ns0:f>'蓝恐龙费用'!J34</ns0:f>
        <ns0:v>7164.11</ns0:v>
      </ns0:c>
      <ns0:c r="K66" s="3">
        <ns0:f>'蓝恐龙费用'!K34</ns0:f>
        <ns0:v>7684.96</ns0:v>
      </ns0:c>
      <ns0:c r="L66" s="3">
        <ns0:f>'蓝恐龙费用'!L34</ns0:f>
        <ns0:v>7214.38</ns0:v>
      </ns0:c>
      <ns0:c r="M66" s="3">
        <ns0:f>'蓝恐龙费用'!M34</ns0:f>
        <ns0:v>7059.33</ns0:v>
      </ns0:c>
      <ns0:c r="N66" s="3">
        <ns0:f>'蓝恐龙费用'!N34</ns0:f>
        <ns0:v>8520.10</ns0:v>
      </ns0:c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 t="inlineStr">
        <ns0:is>
          <ns0:t>税前利润</ns0:t>
        </ns0:is>
      </ns0:c>
      <ns0:c r="C67" s="3">
        <ns0:f>C61-SUM(C62:C66)</ns0:f>
        <ns0:v>247348.30</ns0:v>
      </ns0:c>
      <ns0:c r="D67" s="3">
        <ns0:f>D61-SUM(D62:D66)</ns0:f>
        <ns0:v>258657.26</ns0:v>
      </ns0:c>
      <ns0:c r="E67" s="3">
        <ns0:f>E61-SUM(E62:E66)</ns0:f>
        <ns0:v>245913.65</ns0:v>
      </ns0:c>
      <ns0:c r="F67" s="3">
        <ns0:f>F61-SUM(F62:F66)</ns0:f>
        <ns0:v>182854.69</ns0:v>
      </ns0:c>
      <ns0:c r="G67" s="3">
        <ns0:f>G61-SUM(G62:G66)</ns0:f>
        <ns0:v>361187.75</ns0:v>
      </ns0:c>
      <ns0:c r="H67" s="3">
        <ns0:f>H61-SUM(H62:H66)</ns0:f>
        <ns0:v>270735.46</ns0:v>
      </ns0:c>
      <ns0:c r="I67" s="3">
        <ns0:f>I61-SUM(I62:I66)</ns0:f>
        <ns0:v>228564.53</ns0:v>
      </ns0:c>
      <ns0:c r="J67" s="3">
        <ns0:f>J61-SUM(J62:J66)</ns0:f>
        <ns0:v>339442.63</ns0:v>
      </ns0:c>
      <ns0:c r="K67" s="3">
        <ns0:f>K61-SUM(K62:K66)</ns0:f>
        <ns0:v>178471.14</ns0:v>
      </ns0:c>
      <ns0:c r="L67" s="3">
        <ns0:f>L61-SUM(L62:L66)</ns0:f>
        <ns0:v>260263.12</ns0:v>
      </ns0:c>
      <ns0:c r="M67" s="3">
        <ns0:f>M61-SUM(M62:M66)</ns0:f>
        <ns0:v>175212.71</ns0:v>
      </ns0:c>
      <ns0:c r="N67" s="3">
        <ns0:f>N61-SUM(N62:N66)</ns0:f>
        <ns0:v>263622.11</ns0:v>
      </ns0:c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 t="inlineStr">
        <ns0:is>
          <ns0:t>所得税费用</ns0:t>
        </ns0:is>
      </ns0:c>
      <ns0:c r="C68" s="3">
        <ns0:f>ROUND(MAX(C67,0)*$C$200,2)</ns0:f>
        <ns0:v>43654.50</ns0:v>
      </ns0:c>
      <ns0:c r="D68" s="3">
        <ns0:f>ROUND(MAX(D67,0)*$C$200,2)</ns0:f>
        <ns0:v>45650.42</ns0:v>
      </ns0:c>
      <ns0:c r="E68" s="3">
        <ns0:f>ROUND(MAX(E67,0)*$C$200,2)</ns0:f>
        <ns0:v>43401.30</ns0:v>
      </ns0:c>
      <ns0:c r="F68" s="3">
        <ns0:f>ROUND(MAX(F67,0)*$C$200,2)</ns0:f>
        <ns0:v>32272.02</ns0:v>
      </ns0:c>
      <ns0:c r="G68" s="3">
        <ns0:f>ROUND(MAX(G67,0)*$C$200,2)</ns0:f>
        <ns0:v>63746.03</ns0:v>
      </ns0:c>
      <ns0:c r="H68" s="3">
        <ns0:f>ROUND(MAX(H67,0)*$C$200,2)</ns0:f>
        <ns0:v>47782.10</ns0:v>
      </ns0:c>
      <ns0:c r="I68" s="3">
        <ns0:f>ROUND(MAX(I67,0)*$C$200,2)</ns0:f>
        <ns0:v>40339.35</ns0:v>
      </ns0:c>
      <ns0:c r="J68" s="3">
        <ns0:f>ROUND(MAX(J67,0)*$C$200,2)</ns0:f>
        <ns0:v>59908.23</ns0:v>
      </ns0:c>
      <ns0:c r="K68" s="3">
        <ns0:f>ROUND(MAX(K67,0)*$C$200,2)</ns0:f>
        <ns0:v>31498.37</ns0:v>
      </ns0:c>
      <ns0:c r="L68" s="3">
        <ns0:f>ROUND(MAX(L67,0)*$C$200,2)</ns0:f>
        <ns0:v>45933.84</ns0:v>
      </ns0:c>
      <ns0:c r="M68" s="3">
        <ns0:f>ROUND(MAX(M67,0)*$C$200,2)</ns0:f>
        <ns0:v>30923.29</ns0:v>
      </ns0:c>
      <ns0:c r="N68" s="3">
        <ns0:f>ROUND(MAX(N67,0)*$C$200,2)</ns0:f>
        <ns0:v>46526.67</ns0:v>
      </ns0:c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 t="inlineStr">
        <ns0:is>
          <ns0:t>净利润</ns0:t>
        </ns0:is>
      </ns0:c>
      <ns0:c r="C69" s="3">
        <ns0:f>C67-C68</ns0:f>
        <ns0:v>203693.80</ns0:v>
      </ns0:c>
      <ns0:c r="D69" s="3">
        <ns0:f>D67-D68</ns0:f>
        <ns0:v>213006.84</ns0:v>
      </ns0:c>
      <ns0:c r="E69" s="3">
        <ns0:f>E67-E68</ns0:f>
        <ns0:v>202512.35</ns0:v>
      </ns0:c>
      <ns0:c r="F69" s="3">
        <ns0:f>F67-F68</ns0:f>
        <ns0:v>150582.67</ns0:v>
      </ns0:c>
      <ns0:c r="G69" s="3">
        <ns0:f>G67-G68</ns0:f>
        <ns0:v>297441.72</ns0:v>
      </ns0:c>
      <ns0:c r="H69" s="3">
        <ns0:f>H67-H68</ns0:f>
        <ns0:v>222953.36</ns0:v>
      </ns0:c>
      <ns0:c r="I69" s="3">
        <ns0:f>I67-I68</ns0:f>
        <ns0:v>188225.18</ns0:v>
      </ns0:c>
      <ns0:c r="J69" s="3">
        <ns0:f>J67-J68</ns0:f>
        <ns0:v>279534.40</ns0:v>
      </ns0:c>
      <ns0:c r="K69" s="3">
        <ns0:f>K67-K68</ns0:f>
        <ns0:v>146972.77</ns0:v>
      </ns0:c>
      <ns0:c r="L69" s="3">
        <ns0:f>L67-L68</ns0:f>
        <ns0:v>214329.28</ns0:v>
      </ns0:c>
      <ns0:c r="M69" s="3">
        <ns0:f>M67-M68</ns0:f>
        <ns0:v>144289.42</ns0:v>
      </ns0:c>
      <ns0:c r="N69" s="3">
        <ns0:f>N67-N68</ns0:f>
        <ns0:v>217095.44</ns0:v>
      </ns0:c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 t="inlineStr">
        <ns0:is>
          <ns0:t>实时经营月度勾稽</ns0:t>
        </ns0:is>
      </ns0:c>
      <ns0:c r="C120" s="6" t="inlineStr">
        <ns0:is>
          <ns0:t>2027-01</ns0:t>
        </ns0:is>
      </ns0:c>
      <ns0:c r="D120" s="6" t="inlineStr">
        <ns0:is>
          <ns0:t>2027-02</ns0:t>
        </ns0:is>
      </ns0:c>
      <ns0:c r="E120" s="6" t="inlineStr">
        <ns0:is>
          <ns0:t>2027-03</ns0:t>
        </ns0:is>
      </ns0:c>
      <ns0:c r="F120" s="6" t="inlineStr">
        <ns0:is>
          <ns0:t>2027-04</ns0:t>
        </ns0:is>
      </ns0:c>
      <ns0:c r="G120" s="6" t="inlineStr">
        <ns0:is>
          <ns0:t>2027-05</ns0:t>
        </ns0:is>
      </ns0:c>
      <ns0:c r="H120" s="6" t="inlineStr">
        <ns0:is>
          <ns0:t>2027-06</ns0:t>
        </ns0:is>
      </ns0:c>
      <ns0:c r="I120" s="6" t="inlineStr">
        <ns0:is>
          <ns0:t>2027-07</ns0:t>
        </ns0:is>
      </ns0:c>
      <ns0:c r="J120" s="6" t="inlineStr">
        <ns0:is>
          <ns0:t>2027-08</ns0:t>
        </ns0:is>
      </ns0:c>
      <ns0:c r="K120" s="6" t="inlineStr">
        <ns0:is>
          <ns0:t>2027-09</ns0:t>
        </ns0:is>
      </ns0:c>
      <ns0:c r="L120" s="6" t="inlineStr">
        <ns0:is>
          <ns0:t>2027-10</ns0:t>
        </ns0:is>
      </ns0:c>
      <ns0:c r="M120" s="6" t="inlineStr">
        <ns0:is>
          <ns0:t>2027-11</ns0:t>
        </ns0:is>
      </ns0:c>
      <ns0:c r="N120" s="6" t="inlineStr">
        <ns0:is>
          <ns0:t>2027-12</ns0:t>
        </ns0:is>
      </ns0:c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 t="inlineStr">
        <ns0:is>
          <ns0:t>营业收入</ns0:t>
        </ns0:is>
      </ns0:c>
      <ns0:c r="C121" s="3">
        <ns0:f>'收入非主控'!C93+'收入主控'!C93</ns0:f>
        <ns0:v>461817.28</ns0:v>
      </ns0:c>
      <ns0:c r="D121" s="3">
        <ns0:f>'收入非主控'!D93+'收入主控'!D93</ns0:f>
        <ns0:v>519372.24</ns0:v>
      </ns0:c>
      <ns0:c r="E121" s="3">
        <ns0:f>'收入非主控'!E93+'收入主控'!E93</ns0:f>
        <ns0:v>572520.07</ns0:v>
      </ns0:c>
      <ns0:c r="F121" s="3">
        <ns0:f>'收入非主控'!F93+'收入主控'!F93</ns0:f>
        <ns0:v>444683.89</ns0:v>
      </ns0:c>
      <ns0:c r="G121" s="3">
        <ns0:f>'收入非主控'!G93+'收入主控'!G93</ns0:f>
        <ns0:v>599770.18</ns0:v>
      </ns0:c>
      <ns0:c r="H121" s="3">
        <ns0:f>'收入非主控'!H93+'收入主控'!H93</ns0:f>
        <ns0:v>470593.17</ns0:v>
      </ns0:c>
      <ns0:c r="I121" s="3">
        <ns0:f>'收入非主控'!I93+'收入主控'!I93</ns0:f>
        <ns0:v>568075.40</ns0:v>
      </ns0:c>
      <ns0:c r="J121" s="3">
        <ns0:f>'收入非主控'!J93+'收入主控'!J93</ns0:f>
        <ns0:v>358123.71</ns0:v>
      </ns0:c>
      <ns0:c r="K121" s="3">
        <ns0:f>'收入非主控'!K93+'收入主控'!K93</ns0:f>
        <ns0:v>492894.49</ns0:v>
      </ns0:c>
      <ns0:c r="L121" s="3">
        <ns0:f>'收入非主控'!L93+'收入主控'!L93</ns0:f>
        <ns0:v>409280.66</ns0:v>
      </ns0:c>
      <ns0:c r="M121" s="3">
        <ns0:f>'收入非主控'!M93+'收入主控'!M93</ns0:f>
        <ns0:v>513664.66</ns0:v>
      </ns0:c>
      <ns0:c r="N121" s="3">
        <ns0:f>'收入非主控'!N93+'收入主控'!N93</ns0:f>
        <ns0:v>464374.49</ns0:v>
      </ns0:c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 t="inlineStr">
        <ns0:is>
          <ns0:t>营业成本</ns0:t>
        </ns0:is>
      </ns0:c>
      <ns0:c r="C122" s="3">
        <ns0:f>'收入非主控'!C96+'收入主控'!C96</ns0:f>
        <ns0:v>181871.64</ns0:v>
      </ns0:c>
      <ns0:c r="D122" s="3">
        <ns0:f>'收入非主控'!D96+'收入主控'!D96</ns0:f>
        <ns0:v>127503.08</ns0:v>
      </ns0:c>
      <ns0:c r="E122" s="3">
        <ns0:f>'收入非主控'!E96+'收入主控'!E96</ns0:f>
        <ns0:v>167821.94</ns0:v>
      </ns0:c>
      <ns0:c r="F122" s="3">
        <ns0:f>'收入非主控'!F96+'收入主控'!F96</ns0:f>
        <ns0:v>127209.69</ns0:v>
      </ns0:c>
      <ns0:c r="G122" s="3">
        <ns0:f>'收入非主控'!G96+'收入主控'!G96</ns0:f>
        <ns0:v>157572.29</ns0:v>
      </ns0:c>
      <ns0:c r="H122" s="3">
        <ns0:f>'收入非主控'!H96+'收入主控'!H96</ns0:f>
        <ns0:v>133602.22</ns0:v>
      </ns0:c>
      <ns0:c r="I122" s="3">
        <ns0:f>'收入非主控'!I96+'收入主控'!I96</ns0:f>
        <ns0:v>177299.06</ns0:v>
      </ns0:c>
      <ns0:c r="J122" s="3">
        <ns0:f>'收入非主控'!J96+'收入主控'!J96</ns0:f>
        <ns0:v>132077.41</ns0:v>
      </ns0:c>
      <ns0:c r="K122" s="3">
        <ns0:f>'收入非主控'!K96+'收入主控'!K96</ns0:f>
        <ns0:v>135157.03</ns0:v>
      </ns0:c>
      <ns0:c r="L122" s="3">
        <ns0:f>'收入非主控'!L96+'收入主控'!L96</ns0:f>
        <ns0:v>139850.03</ns0:v>
      </ns0:c>
      <ns0:c r="M122" s="3">
        <ns0:f>'收入非主控'!M96+'收入主控'!M96</ns0:f>
        <ns0:v>178255.32</ns0:v>
      </ns0:c>
      <ns0:c r="N122" s="3">
        <ns0:f>'收入非主控'!N96+'收入主控'!N96</ns0:f>
        <ns0:v>148350.51</ns0:v>
      </ns0:c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 t="inlineStr">
        <ns0:is>
          <ns0:t>税金及附加</ns0:t>
        </ns0:is>
      </ns0:c>
      <ns0:c r="C123" s="3">
        <ns0:f>'税金及附加'!C93</ns0:f>
        <ns0:v>3237.34</ns0:v>
      </ns0:c>
      <ns0:c r="D123" s="3">
        <ns0:f>'税金及附加'!D93</ns0:f>
        <ns0:v>3640.80</ns0:v>
      </ns0:c>
      <ns0:c r="E123" s="3">
        <ns0:f>'税金及附加'!E93</ns0:f>
        <ns0:v>4013.37</ns0:v>
      </ns0:c>
      <ns0:c r="F123" s="3">
        <ns0:f>'税金及附加'!F93</ns0:f>
        <ns0:v>3117.23</ns0:v>
      </ns0:c>
      <ns0:c r="G123" s="3">
        <ns0:f>'税金及附加'!G93</ns0:f>
        <ns0:v>4204.39</ns0:v>
      </ns0:c>
      <ns0:c r="H123" s="3">
        <ns0:f>'税金及附加'!H93</ns0:f>
        <ns0:v>3298.86</ns0:v>
      </ns0:c>
      <ns0:c r="I123" s="3">
        <ns0:f>'税金及附加'!I93</ns0:f>
        <ns0:v>3982.21</ns0:v>
      </ns0:c>
      <ns0:c r="J123" s="3">
        <ns0:f>'税金及附加'!J93</ns0:f>
        <ns0:v>2510.45</ns0:v>
      </ns0:c>
      <ns0:c r="K123" s="3">
        <ns0:f>'税金及附加'!K93</ns0:f>
        <ns0:v>3455.19</ns0:v>
      </ns0:c>
      <ns0:c r="L123" s="3">
        <ns0:f>'税金及附加'!L93</ns0:f>
        <ns0:v>2869.06</ns0:v>
      </ns0:c>
      <ns0:c r="M123" s="3">
        <ns0:f>'税金及附加'!M93</ns0:f>
        <ns0:v>3600.79</ns0:v>
      </ns0:c>
      <ns0:c r="N123" s="3">
        <ns0:f>'税金及附加'!N93</ns0:f>
        <ns0:v>3255.27</ns0:v>
      </ns0:c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 t="inlineStr">
        <ns0:is>
          <ns0:t>销售费用</ns0:t>
        </ns0:is>
      </ns0:c>
      <ns0:c r="C124" s="3">
        <ns0:f>'销售费用'!C94</ns0:f>
        <ns0:v>8493.43</ns0:v>
      </ns0:c>
      <ns0:c r="D124" s="3">
        <ns0:f>'销售费用'!D94</ns0:f>
        <ns0:v>6397.32</ns0:v>
      </ns0:c>
      <ns0:c r="E124" s="3">
        <ns0:f>'销售费用'!E94</ns0:f>
        <ns0:v>6839.06</ns0:v>
      </ns0:c>
      <ns0:c r="F124" s="3">
        <ns0:f>'销售费用'!F94</ns0:f>
        <ns0:v>7938.70</ns0:v>
      </ns0:c>
      <ns0:c r="G124" s="3">
        <ns0:f>'销售费用'!G94</ns0:f>
        <ns0:v>8878.93</ns0:v>
      </ns0:c>
      <ns0:c r="H124" s="3">
        <ns0:f>'销售费用'!H94</ns0:f>
        <ns0:v>6822.30</ns0:v>
      </ns0:c>
      <ns0:c r="I124" s="3">
        <ns0:f>'销售费用'!I94</ns0:f>
        <ns0:v>6218.14</ns0:v>
      </ns0:c>
      <ns0:c r="J124" s="3">
        <ns0:f>'销售费用'!J94</ns0:f>
        <ns0:v>7314.21</ns0:v>
      </ns0:c>
      <ns0:c r="K124" s="3">
        <ns0:f>'销售费用'!K94</ns0:f>
        <ns0:v>7924.06</ns0:v>
      </ns0:c>
      <ns0:c r="L124" s="3">
        <ns0:f>'销售费用'!L94</ns0:f>
        <ns0:v>6297.78</ns0:v>
      </ns0:c>
      <ns0:c r="M124" s="3">
        <ns0:f>'销售费用'!M94</ns0:f>
        <ns0:v>7793.94</ns0:v>
      </ns0:c>
      <ns0:c r="N124" s="3">
        <ns0:f>'销售费用'!N94</ns0:f>
        <ns0:v>8382.29</ns0:v>
      </ns0:c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 t="inlineStr">
        <ns0:is>
          <ns0:t>管理费用</ns0:t>
        </ns0:is>
      </ns0:c>
      <ns0:c r="C125" s="3">
        <ns0:f>'管理费用'!C94</ns0:f>
        <ns0:v>7766.35</ns0:v>
      </ns0:c>
      <ns0:c r="D125" s="3">
        <ns0:f>'管理费用'!D94</ns0:f>
        <ns0:v>7075.27</ns0:v>
      </ns0:c>
      <ns0:c r="E125" s="3">
        <ns0:f>'管理费用'!E94</ns0:f>
        <ns0:v>7067.47</ns0:v>
      </ns0:c>
      <ns0:c r="F125" s="3">
        <ns0:f>'管理费用'!F94</ns0:f>
        <ns0:v>8030.54</ns0:v>
      </ns0:c>
      <ns0:c r="G125" s="3">
        <ns0:f>'管理费用'!G94</ns0:f>
        <ns0:v>7684.16</ns0:v>
      </ns0:c>
      <ns0:c r="H125" s="3">
        <ns0:f>'管理费用'!H94</ns0:f>
        <ns0:v>7151.66</ns0:v>
      </ns0:c>
      <ns0:c r="I125" s="3">
        <ns0:f>'管理费用'!I94</ns0:f>
        <ns0:v>6458.73</ns0:v>
      </ns0:c>
      <ns0:c r="J125" s="3">
        <ns0:f>'管理费用'!J94</ns0:f>
        <ns0:v>7033.85</ns0:v>
      </ns0:c>
      <ns0:c r="K125" s="3">
        <ns0:f>'管理费用'!K94</ns0:f>
        <ns0:v>7282.21</ns0:v>
      </ns0:c>
      <ns0:c r="L125" s="3">
        <ns0:f>'管理费用'!L94</ns0:f>
        <ns0:v>8346.75</ns0:v>
      </ns0:c>
      <ns0:c r="M125" s="3">
        <ns0:f>'管理费用'!M94</ns0:f>
        <ns0:v>7254.57</ns0:v>
      </ns0:c>
      <ns0:c r="N125" s="3">
        <ns0:f>'管理费用'!N94</ns0:f>
        <ns0:v>6747.34</ns0:v>
      </ns0:c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 t="inlineStr">
        <ns0:is>
          <ns0:t>其他主体费用</ns0:t>
        </ns0:is>
      </ns0:c>
      <ns0:c r="C126" s="3">
        <ns0:f>'蓝恐龙费用'!C94</ns0:f>
        <ns0:v>6877.17</ns0:v>
      </ns0:c>
      <ns0:c r="D126" s="3">
        <ns0:f>'蓝恐龙费用'!D94</ns0:f>
        <ns0:v>6292.70</ns0:v>
      </ns0:c>
      <ns0:c r="E126" s="3">
        <ns0:f>'蓝恐龙费用'!E94</ns0:f>
        <ns0:v>6966.32</ns0:v>
      </ns0:c>
      <ns0:c r="F126" s="3">
        <ns0:f>'蓝恐龙费用'!F94</ns0:f>
        <ns0:v>7680.94</ns0:v>
      </ns0:c>
      <ns0:c r="G126" s="3">
        <ns0:f>'蓝恐龙费用'!G94</ns0:f>
        <ns0:v>7047.85</ns0:v>
      </ns0:c>
      <ns0:c r="H126" s="3">
        <ns0:f>'蓝恐龙费用'!H94</ns0:f>
        <ns0:v>6967.72</ns0:v>
      </ns0:c>
      <ns0:c r="I126" s="3">
        <ns0:f>'蓝恐龙费用'!I94</ns0:f>
        <ns0:v>7347.73</ns0:v>
      </ns0:c>
      <ns0:c r="J126" s="3">
        <ns0:f>'蓝恐龙费用'!J94</ns0:f>
        <ns0:v>6043.67</ns0:v>
      </ns0:c>
      <ns0:c r="K126" s="3">
        <ns0:f>'蓝恐龙费用'!K94</ns0:f>
        <ns0:v>6976.51</ns0:v>
      </ns0:c>
      <ns0:c r="L126" s="3">
        <ns0:f>'蓝恐龙费用'!L94</ns0:f>
        <ns0:v>7125.01</ns0:v>
      </ns0:c>
      <ns0:c r="M126" s="3">
        <ns0:f>'蓝恐龙费用'!M94</ns0:f>
        <ns0:v>7163.88</ns0:v>
      </ns0:c>
      <ns0:c r="N126" s="3">
        <ns0:f>'蓝恐龙费用'!N94</ns0:f>
        <ns0:v>6868.40</ns0:v>
      </ns0:c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 t="inlineStr">
        <ns0:is>
          <ns0:t>税前利润</ns0:t>
        </ns0:is>
      </ns0:c>
      <ns0:c r="C127" s="3">
        <ns0:f>C121-SUM(C122:C126)</ns0:f>
        <ns0:v>253571.35</ns0:v>
      </ns0:c>
      <ns0:c r="D127" s="3">
        <ns0:f>D121-SUM(D122:D126)</ns0:f>
        <ns0:v>368463.07</ns0:v>
      </ns0:c>
      <ns0:c r="E127" s="3">
        <ns0:f>E121-SUM(E122:E126)</ns0:f>
        <ns0:v>379811.91</ns0:v>
      </ns0:c>
      <ns0:c r="F127" s="3">
        <ns0:f>F121-SUM(F122:F126)</ns0:f>
        <ns0:v>290706.79</ns0:v>
      </ns0:c>
      <ns0:c r="G127" s="3">
        <ns0:f>G121-SUM(G122:G126)</ns0:f>
        <ns0:v>414382.56</ns0:v>
      </ns0:c>
      <ns0:c r="H127" s="3">
        <ns0:f>H121-SUM(H122:H126)</ns0:f>
        <ns0:v>312750.41</ns0:v>
      </ns0:c>
      <ns0:c r="I127" s="3">
        <ns0:f>I121-SUM(I122:I126)</ns0:f>
        <ns0:v>366769.53</ns0:v>
      </ns0:c>
      <ns0:c r="J127" s="3">
        <ns0:f>J121-SUM(J122:J126)</ns0:f>
        <ns0:v>203144.12</ns0:v>
      </ns0:c>
      <ns0:c r="K127" s="3">
        <ns0:f>K121-SUM(K122:K126)</ns0:f>
        <ns0:v>332099.49</ns0:v>
      </ns0:c>
      <ns0:c r="L127" s="3">
        <ns0:f>L121-SUM(L122:L126)</ns0:f>
        <ns0:v>244792.03</ns0:v>
      </ns0:c>
      <ns0:c r="M127" s="3">
        <ns0:f>M121-SUM(M122:M126)</ns0:f>
        <ns0:v>309596.16</ns0:v>
      </ns0:c>
      <ns0:c r="N127" s="3">
        <ns0:f>N121-SUM(N122:N126)</ns0:f>
        <ns0:v>290770.68</ns0:v>
      </ns0:c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 t="inlineStr">
        <ns0:is>
          <ns0:t>所得税费用</ns0:t>
        </ns0:is>
      </ns0:c>
      <ns0:c r="C128" s="3">
        <ns0:f>ROUND(MAX(C127,0)*$C$260,2)</ns0:f>
        <ns0:v>53191.66</ns0:v>
      </ns0:c>
      <ns0:c r="D128" s="3">
        <ns0:f>ROUND(MAX(D127,0)*$C$260,2)</ns0:f>
        <ns0:v>77292.50</ns0:v>
      </ns0:c>
      <ns0:c r="E128" s="3">
        <ns0:f>ROUND(MAX(E127,0)*$C$260,2)</ns0:f>
        <ns0:v>79673.14</ns0:v>
      </ns0:c>
      <ns0:c r="F128" s="3">
        <ns0:f>ROUND(MAX(F127,0)*$C$260,2)</ns0:f>
        <ns0:v>60981.56</ns0:v>
      </ns0:c>
      <ns0:c r="G128" s="3">
        <ns0:f>ROUND(MAX(G127,0)*$C$260,2)</ns0:f>
        <ns0:v>86925.03</ns0:v>
      </ns0:c>
      <ns0:c r="H128" s="3">
        <ns0:f>ROUND(MAX(H127,0)*$C$260,2)</ns0:f>
        <ns0:v>65605.65</ns0:v>
      </ns0:c>
      <ns0:c r="I128" s="3">
        <ns0:f>ROUND(MAX(I127,0)*$C$260,2)</ns0:f>
        <ns0:v>76937.24</ns0:v>
      </ns0:c>
      <ns0:c r="J128" s="3">
        <ns0:f>ROUND(MAX(J127,0)*$C$260,2)</ns0:f>
        <ns0:v>42613.54</ns0:v>
      </ns0:c>
      <ns0:c r="K128" s="3">
        <ns0:f>ROUND(MAX(K127,0)*$C$260,2)</ns0:f>
        <ns0:v>69664.51</ns0:v>
      </ns0:c>
      <ns0:c r="L128" s="3">
        <ns0:f>ROUND(MAX(L127,0)*$C$260,2)</ns0:f>
        <ns0:v>51350.02</ns0:v>
      </ns0:c>
      <ns0:c r="M128" s="3">
        <ns0:f>ROUND(MAX(M127,0)*$C$260,2)</ns0:f>
        <ns0:v>64943.99</ns0:v>
      </ns0:c>
      <ns0:c r="N128" s="3">
        <ns0:f>ROUND(MAX(N127,0)*$C$260,2)</ns0:f>
        <ns0:v>60994.97</ns0:v>
      </ns0:c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 t="inlineStr">
        <ns0:is>
          <ns0:t>净利润</ns0:t>
        </ns0:is>
      </ns0:c>
      <ns0:c r="C129" s="3">
        <ns0:f>C127-C128</ns0:f>
        <ns0:v>200379.69</ns0:v>
      </ns0:c>
      <ns0:c r="D129" s="3">
        <ns0:f>D127-D128</ns0:f>
        <ns0:v>291170.57</ns0:v>
      </ns0:c>
      <ns0:c r="E129" s="3">
        <ns0:f>E127-E128</ns0:f>
        <ns0:v>300138.77</ns0:v>
      </ns0:c>
      <ns0:c r="F129" s="3">
        <ns0:f>F127-F128</ns0:f>
        <ns0:v>229725.23</ns0:v>
      </ns0:c>
      <ns0:c r="G129" s="3">
        <ns0:f>G127-G128</ns0:f>
        <ns0:v>327457.53</ns0:v>
      </ns0:c>
      <ns0:c r="H129" s="3">
        <ns0:f>H127-H128</ns0:f>
        <ns0:v>247144.76</ns0:v>
      </ns0:c>
      <ns0:c r="I129" s="3">
        <ns0:f>I127-I128</ns0:f>
        <ns0:v>289832.29</ns0:v>
      </ns0:c>
      <ns0:c r="J129" s="3">
        <ns0:f>J127-J128</ns0:f>
        <ns0:v>160530.58</ns0:v>
      </ns0:c>
      <ns0:c r="K129" s="3">
        <ns0:f>K127-K128</ns0:f>
        <ns0:v>262434.98</ns0:v>
      </ns0:c>
      <ns0:c r="L129" s="3">
        <ns0:f>L127-L128</ns0:f>
        <ns0:v>193442.01</ns0:v>
      </ns0:c>
      <ns0:c r="M129" s="3">
        <ns0:f>M127-M128</ns0:f>
        <ns0:v>244652.17</ns0:v>
      </ns0:c>
      <ns0:c r="N129" s="3">
        <ns0:f>N127-N128</ns0:f>
        <ns0:v>229775.71</ns0:v>
      </ns0:c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 t="inlineStr">
        <ns0:is>
          <ns0:t>所得税率（演示假设）</ns0:t>
        </ns0:is>
      </ns0:c>
      <ns0:c r="C200" s="4">
        <ns0:v>0.17649</ns0:v>
      </ns0:c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 t="inlineStr">
        <ns0:is>
          <ns0:t>所得税率（演示假设）</ns0:t>
        </ns0:is>
      </ns0:c>
      <ns0:c r="C260" s="4">
        <ns0:v>0.20977</ns0:v>
      </ns0:c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H1"/>
    <ns0:mergeCell ref="C2:E2"/>
    <ns0:mergeCell ref="F2:H2"/>
    <ns0:mergeCell ref="A27:H27"/>
    <ns0:mergeCell ref="A2:A3"/>
    <ns0:mergeCell ref="B2:B3"/>
  </ns0:mergeCell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4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资 产 负 债 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 t="inlineStr">
        <ns0:is>
          <ns0:t>资产</ns0:t>
        </ns0:is>
      </ns0:c>
      <ns0:c r="B2" s="2" t="inlineStr">
        <ns0:is>
          <ns0:t>行次</ns0:t>
        </ns0:is>
      </ns0:c>
      <ns0:c r="C2" s="3" t="inlineStr">
        <ns0:is>
          <ns0:t>年初数</ns0:t>
        </ns0:is>
      </ns0:c>
      <ns0:c r="D2" s="3" t="inlineStr">
        <ns0:is>
          <ns0:t>期末数</ns0:t>
        </ns0:is>
      </ns0:c>
      <ns0:c r="E2" s="3" t="inlineStr">
        <ns0:is>
          <ns0:t>负债和所有者权益        (或股东权益)</ns0:t>
        </ns0:is>
      </ns0:c>
      <ns0:c r="F2" s="3" t="inlineStr">
        <ns0:is>
          <ns0:t>行次</ns0:t>
        </ns0:is>
      </ns0:c>
      <ns0:c r="G2" s="3" t="inlineStr">
        <ns0:is>
          <ns0:t>全年预算</ns0:t>
        </ns0:is>
      </ns0:c>
      <ns0:c r="H2" s="3" t="inlineStr">
        <ns0:is>
          <ns0:t>全年实际占位</ns0:t>
        </ns0:is>
      </ns0:c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 t="inlineStr">
        <ns0:is>
          <ns0:t>流动资产：</ns0:t>
        </ns0:is>
      </ns0:c>
      <ns0:c r="B3" s="2"/>
      <ns0:c r="C3" s="6" t="inlineStr">
        <ns0:is>
          <ns0:t>全年预算</ns0:t>
        </ns0:is>
      </ns0:c>
      <ns0:c r="D3" s="6" t="inlineStr">
        <ns0:is>
          <ns0:t>全年实际占位</ns0:t>
        </ns0:is>
      </ns0:c>
      <ns0:c r="E3" s="6" t="inlineStr">
        <ns0:is>
          <ns0:t>流动负债：</ns0:t>
        </ns0:is>
      </ns0:c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 t="inlineStr">
        <ns0:is>
          <ns0:t>货币资金</ns0:t>
        </ns0:is>
      </ns0:c>
      <ns0:c r="B4" s="2"/>
      <ns0:c r="C4" s="3">
        <ns0:f>N61</ns0:f>
        <ns0:v>2622736.13</ns0:v>
      </ns0:c>
      <ns0:c r="D4" s="3">
        <ns0:f>N121</ns0:f>
        <ns0:v>3127797.78</ns0:v>
      </ns0:c>
      <ns0:c r="E4" s="3" t="inlineStr">
        <ns0:is>
          <ns0:t>短期借款</ns0:t>
        </ns0:is>
      </ns0:c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 t="inlineStr">
        <ns0:is>
          <ns0:t>短期投资</ns0:t>
        </ns0:is>
      </ns0:c>
      <ns0:c r="B5" s="2"/>
      <ns0:c r="C5" s="3"/>
      <ns0:c r="D5" s="3"/>
      <ns0:c r="E5" s="3" t="inlineStr">
        <ns0:is>
          <ns0:t>应付票据</ns0:t>
        </ns0:is>
      </ns0:c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 t="inlineStr">
        <ns0:is>
          <ns0:t>应收票据</ns0:t>
        </ns0:is>
      </ns0:c>
      <ns0:c r="B6" s="2"/>
      <ns0:c r="C6" s="3"/>
      <ns0:c r="D6" s="3"/>
      <ns0:c r="E6" s="3" t="inlineStr">
        <ns0:is>
          <ns0:t>应付账款</ns0:t>
        </ns0:is>
      </ns0:c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 t="inlineStr">
        <ns0:is>
          <ns0:t>应收股利</ns0:t>
        </ns0:is>
      </ns0:c>
      <ns0:c r="B7" s="2"/>
      <ns0:c r="C7" s="3"/>
      <ns0:c r="D7" s="3"/>
      <ns0:c r="E7" s="3" t="inlineStr">
        <ns0:is>
          <ns0:t>预收账款</ns0:t>
        </ns0:is>
      </ns0:c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 t="inlineStr">
        <ns0:is>
          <ns0:t>应收利息</ns0:t>
        </ns0:is>
      </ns0:c>
      <ns0:c r="B8" s="2"/>
      <ns0:c r="C8" s="3"/>
      <ns0:c r="D8" s="3"/>
      <ns0:c r="E8" s="3" t="inlineStr">
        <ns0:is>
          <ns0:t>应付工资</ns0:t>
        </ns0:is>
      </ns0:c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 t="inlineStr">
        <ns0:is>
          <ns0:t>应收账款</ns0:t>
        </ns0:is>
      </ns0:c>
      <ns0:c r="B9" s="2"/>
      <ns0:c r="C9" s="3"/>
      <ns0:c r="D9" s="3"/>
      <ns0:c r="E9" s="3" t="inlineStr">
        <ns0:is>
          <ns0:t>应付福利费</ns0:t>
        </ns0:is>
      </ns0:c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 t="inlineStr">
        <ns0:is>
          <ns0:t>其他应收款</ns0:t>
        </ns0:is>
      </ns0:c>
      <ns0:c r="B10" s="2"/>
      <ns0:c r="C10" s="3"/>
      <ns0:c r="D10" s="3"/>
      <ns0:c r="E10" s="3" t="inlineStr">
        <ns0:is>
          <ns0:t>应付利息</ns0:t>
        </ns0:is>
      </ns0:c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 t="inlineStr">
        <ns0:is>
          <ns0:t>预付账款</ns0:t>
        </ns0:is>
      </ns0:c>
      <ns0:c r="B11" s="2"/>
      <ns0:c r="C11" s="3"/>
      <ns0:c r="D11" s="3"/>
      <ns0:c r="E11" s="3" t="inlineStr">
        <ns0:is>
          <ns0:t>应交税金</ns0:t>
        </ns0:is>
      </ns0:c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 t="inlineStr">
        <ns0:is>
          <ns0:t>应收补贴款</ns0:t>
        </ns0:is>
      </ns0:c>
      <ns0:c r="B12" s="2"/>
      <ns0:c r="C12" s="3"/>
      <ns0:c r="D12" s="3"/>
      <ns0:c r="E12" s="3" t="inlineStr">
        <ns0:is>
          <ns0:t>其他应交款</ns0:t>
        </ns0:is>
      </ns0:c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 t="inlineStr">
        <ns0:is>
          <ns0:t>存货</ns0:t>
        </ns0:is>
      </ns0:c>
      <ns0:c r="B13" s="2"/>
      <ns0:c r="C13" s="3"/>
      <ns0:c r="D13" s="3"/>
      <ns0:c r="E13" s="3" t="inlineStr">
        <ns0:is>
          <ns0:t>其他应付款</ns0:t>
        </ns0:is>
      </ns0:c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 t="inlineStr">
        <ns0:is>
          <ns0:t>待摊费用</ns0:t>
        </ns0:is>
      </ns0:c>
      <ns0:c r="B14" s="2"/>
      <ns0:c r="C14" s="3"/>
      <ns0:c r="D14" s="3"/>
      <ns0:c r="E14" s="3" t="inlineStr">
        <ns0:is>
          <ns0:t>预提费用</ns0:t>
        </ns0:is>
      </ns0:c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实际数据状态</ns0:t>
        </ns0:is>
      </ns0:c>
      <ns0:c r="AY14" s="2" t="inlineStr">
        <ns0:is>
          <ns0:t>占位</ns0:t>
        </ns0:is>
      </ns0:c>
    </ns0:row>
    <ns0:row r="15" ht="20" customHeight="1">
      <ns0:c r="A15" s="2" t="inlineStr">
        <ns0:is>
          <ns0:t>一年内到期的长期债券投资</ns0:t>
        </ns0:is>
      </ns0:c>
      <ns0:c r="B15" s="2"/>
      <ns0:c r="C15" s="3"/>
      <ns0:c r="D15" s="3"/>
      <ns0:c r="E15" s="3" t="inlineStr">
        <ns0:is>
          <ns0:t>预计负债</ns0:t>
        </ns0:is>
      </ns0:c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 t="inlineStr">
        <ns0:is>
          <ns0:t>其他流动资产</ns0:t>
        </ns0:is>
      </ns0:c>
      <ns0:c r="B16" s="2"/>
      <ns0:c r="C16" s="3"/>
      <ns0:c r="D16" s="3"/>
      <ns0:c r="E16" s="3" t="inlineStr">
        <ns0:is>
          <ns0:t>一年内到期的长期负债</ns0:t>
        </ns0:is>
      </ns0:c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/>
      <ns0:c r="AY16" s="2"/>
    </ns0:row>
    <ns0:row r="17" ht="20" customHeight="1">
      <ns0:c r="A17" s="2" t="inlineStr">
        <ns0:is>
          <ns0:t>流动资产合计</ns0:t>
        </ns0:is>
      </ns0:c>
      <ns0:c r="B17" s="2"/>
      <ns0:c r="C17" s="3"/>
      <ns0:c r="D17" s="3"/>
      <ns0:c r="E17" s="3" t="inlineStr">
        <ns0:is>
          <ns0:t>其他流动负债</ns0:t>
        </ns0:is>
      </ns0:c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蓝色为输入参数；实际数为占位；金额单位：元</ns0:t>
        </ns0:is>
      </ns0:c>
    </ns0:row>
    <ns0:row r="18" ht="20" customHeight="1">
      <ns0:c r="A18" s="2" t="inlineStr">
        <ns0:is>
          <ns0:t>长期资产：</ns0:t>
        </ns0:is>
      </ns0:c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 t="inlineStr">
        <ns0:is>
          <ns0:t>长期股权投资</ns0:t>
        </ns0:is>
      </ns0:c>
      <ns0:c r="B19" s="2"/>
      <ns0:c r="C19" s="3"/>
      <ns0:c r="D19" s="3"/>
      <ns0:c r="E19" s="3" t="inlineStr">
        <ns0:is>
          <ns0:t>流动负债合计</ns0:t>
        </ns0:is>
      </ns0:c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 t="inlineStr">
        <ns0:is>
          <ns0:t>长期债券投资</ns0:t>
        </ns0:is>
      </ns0:c>
      <ns0:c r="B20" s="2"/>
      <ns0:c r="C20" s="3"/>
      <ns0:c r="D20" s="3"/>
      <ns0:c r="E20" s="3" t="inlineStr">
        <ns0:is>
          <ns0:t>长期负债：</ns0:t>
        </ns0:is>
      </ns0:c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 t="inlineStr">
        <ns0:is>
          <ns0:t>长期投资合计</ns0:t>
        </ns0:is>
      </ns0:c>
      <ns0:c r="B21" s="2"/>
      <ns0:c r="C21" s="3"/>
      <ns0:c r="D21" s="3"/>
      <ns0:c r="E21" s="3" t="inlineStr">
        <ns0:is>
          <ns0:t>长期借款</ns0:t>
        </ns0:is>
      </ns0:c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 t="inlineStr">
        <ns0:is>
          <ns0:t>固定资产：</ns0:t>
        </ns0:is>
      </ns0:c>
      <ns0:c r="B22" s="2"/>
      <ns0:c r="C22" s="3"/>
      <ns0:c r="D22" s="3"/>
      <ns0:c r="E22" s="3" t="inlineStr">
        <ns0:is>
          <ns0:t>应付债券</ns0:t>
        </ns0:is>
      </ns0:c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 t="inlineStr">
        <ns0:is>
          <ns0:t>固定资产原价</ns0:t>
        </ns0:is>
      </ns0:c>
      <ns0:c r="B23" s="2"/>
      <ns0:c r="C23" s="3"/>
      <ns0:c r="D23" s="3"/>
      <ns0:c r="E23" s="3" t="inlineStr">
        <ns0:is>
          <ns0:t>长期应付款</ns0:t>
        </ns0:is>
      </ns0:c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 t="inlineStr">
        <ns0:is>
          <ns0:t>减：累计折旧</ns0:t>
        </ns0:is>
      </ns0:c>
      <ns0:c r="B24" s="2"/>
      <ns0:c r="C24" s="3"/>
      <ns0:c r="D24" s="3"/>
      <ns0:c r="E24" s="3" t="inlineStr">
        <ns0:is>
          <ns0:t>专项应付款</ns0:t>
        </ns0:is>
      </ns0:c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 t="inlineStr">
        <ns0:is>
          <ns0:t>固定资产净值</ns0:t>
        </ns0:is>
      </ns0:c>
      <ns0:c r="B25" s="2"/>
      <ns0:c r="C25" s="3"/>
      <ns0:c r="D25" s="3"/>
      <ns0:c r="E25" s="3" t="inlineStr">
        <ns0:is>
          <ns0:t>其他长期负债</ns0:t>
        </ns0:is>
      </ns0:c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 t="inlineStr">
        <ns0:is>
          <ns0:t>减：固定资产减值准备</ns0:t>
        </ns0:is>
      </ns0:c>
      <ns0:c r="B26" s="2"/>
      <ns0:c r="C26" s="3"/>
      <ns0:c r="D26" s="3"/>
      <ns0:c r="E26" s="3" t="inlineStr">
        <ns0:is>
          <ns0:t>长期负债合计</ns0:t>
        </ns0:is>
      </ns0:c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 t="inlineStr">
        <ns0:is>
          <ns0:t>固定资产净额</ns0:t>
        </ns0:is>
      </ns0:c>
      <ns0:c r="B27" s="2"/>
      <ns0:c r="C27" s="3"/>
      <ns0:c r="D27" s="3"/>
      <ns0:c r="E27" s="3" t="inlineStr">
        <ns0:is>
          <ns0:t>递延税项：</ns0:t>
        </ns0:is>
      </ns0:c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 t="inlineStr">
        <ns0:is>
          <ns0:t>工程物资</ns0:t>
        </ns0:is>
      </ns0:c>
      <ns0:c r="B28" s="2"/>
      <ns0:c r="C28" s="3"/>
      <ns0:c r="D28" s="3"/>
      <ns0:c r="E28" s="3" t="inlineStr">
        <ns0:is>
          <ns0:t>递延税款贷项</ns0:t>
        </ns0:is>
      </ns0:c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 t="inlineStr">
        <ns0:is>
          <ns0:t>在建工程</ns0:t>
        </ns0:is>
      </ns0:c>
      <ns0:c r="B29" s="2"/>
      <ns0:c r="C29" s="3"/>
      <ns0:c r="D29" s="3"/>
      <ns0:c r="E29" s="3" t="inlineStr">
        <ns0:is>
          <ns0:t>负债合计</ns0:t>
        </ns0:is>
      </ns0:c>
      <ns0:c r="F29" s="3"/>
      <ns0:c r="G29" s="3">
        <ns0:f>N64</ns0:f>
        <ns0:v>0</ns0:v>
      </ns0:c>
      <ns0:c r="H29" s="3">
        <ns0:f>N124</ns0:f>
        <ns0:v>0</ns0:v>
      </ns0:c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 t="inlineStr">
        <ns0:is>
          <ns0:t>固定资产清理</ns0:t>
        </ns0:is>
      </ns0:c>
      <ns0:c r="B30" s="5"/>
      <ns0:c r="C30" s="6"/>
      <ns0:c r="D30" s="6"/>
      <ns0:c r="E30" s="6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 t="inlineStr">
        <ns0:is>
          <ns0:t>固定资产合计</ns0:t>
        </ns0:is>
      </ns0:c>
      <ns0:c r="B31" s="2"/>
      <ns0:c r="C31" s="3"/>
      <ns0:c r="D31" s="3"/>
      <ns0:c r="E31" s="3" t="inlineStr">
        <ns0:is>
          <ns0:t>所有者权益(或股东权益)：</ns0:t>
        </ns0:is>
      </ns0:c>
      <ns0:c r="F31" s="3"/>
      <ns0:c r="G31" s="3"/>
      <ns0:c r="H31" s="3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 t="inlineStr">
        <ns0:is>
          <ns0:t>无形资产及其他资产：</ns0:t>
        </ns0:is>
      </ns0:c>
      <ns0:c r="B32" s="2"/>
      <ns0:c r="C32" s="3"/>
      <ns0:c r="D32" s="3"/>
      <ns0:c r="E32" s="3" t="inlineStr">
        <ns0:is>
          <ns0:t>实收资本(或股本)</ns0:t>
        </ns0:is>
      </ns0:c>
      <ns0:c r="F32" s="3"/>
      <ns0:c r="G32" s="3">
        <ns0:f>N65</ns0:f>
        <ns0:v>209272.94</ns0:v>
      </ns0:c>
      <ns0:c r="H32" s="3">
        <ns0:f>N125</ns0:f>
        <ns0:v>220404.78</ns0:v>
      </ns0:c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 t="inlineStr">
        <ns0:is>
          <ns0:t>无形资产</ns0:t>
        </ns0:is>
      </ns0:c>
      <ns0:c r="B33" s="2"/>
      <ns0:c r="C33" s="3"/>
      <ns0:c r="D33" s="3"/>
      <ns0:c r="E33" s="3" t="inlineStr">
        <ns0:is>
          <ns0:t>减：已归还投资</ns0:t>
        </ns0:is>
      </ns0:c>
      <ns0:c r="F33" s="3"/>
      <ns0:c r="G33" s="3"/>
      <ns0:c r="H33" s="3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 t="inlineStr">
        <ns0:is>
          <ns0:t>长期待摊费用</ns0:t>
        </ns0:is>
      </ns0:c>
      <ns0:c r="B34" s="2"/>
      <ns0:c r="C34" s="3">
        <ns0:f>N62</ns0:f>
        <ns0:v>67174.04</ns0:v>
      </ns0:c>
      <ns0:c r="D34" s="3">
        <ns0:f>N122</ns0:f>
        <ns0:v>69291.29</ns0:v>
      </ns0:c>
      <ns0:c r="E34" s="3" t="inlineStr">
        <ns0:is>
          <ns0:t>实收资本(或股本)净额</ns0:t>
        </ns0:is>
      </ns0:c>
      <ns0:c r="F34" s="3"/>
      <ns0:c r="G34" s="3">
        <ns0:f>N65</ns0:f>
        <ns0:v>209272.94</ns0:v>
      </ns0:c>
      <ns0:c r="H34" s="3">
        <ns0:f>N125</ns0:f>
        <ns0:v>220404.78</ns0:v>
      </ns0:c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 t="inlineStr">
        <ns0:is>
          <ns0:t>其他长期资产</ns0:t>
        </ns0:is>
      </ns0:c>
      <ns0:c r="B35" s="2"/>
      <ns0:c r="C35" s="3"/>
      <ns0:c r="D35" s="3"/>
      <ns0:c r="E35" s="3" t="inlineStr">
        <ns0:is>
          <ns0:t>资本公积</ns0:t>
        </ns0:is>
      </ns0:c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 t="inlineStr">
        <ns0:is>
          <ns0:t>无形资产及其他资产合计</ns0:t>
        </ns0:is>
      </ns0:c>
      <ns0:c r="B36" s="2"/>
      <ns0:c r="C36" s="3"/>
      <ns0:c r="D36" s="3"/>
      <ns0:c r="E36" s="3" t="inlineStr">
        <ns0:is>
          <ns0:t>盈余公积</ns0:t>
        </ns0:is>
      </ns0:c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 t="inlineStr">
        <ns0:is>
          <ns0:t>其中：法定公益金</ns0:t>
        </ns0:is>
      </ns0:c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 t="inlineStr">
        <ns0:is>
          <ns0:t>递延税款：</ns0:t>
        </ns0:is>
      </ns0:c>
      <ns0:c r="B38" s="2"/>
      <ns0:c r="C38" s="3"/>
      <ns0:c r="D38" s="3"/>
      <ns0:c r="E38" s="3" t="inlineStr">
        <ns0:is>
          <ns0:t>未分配利润</ns0:t>
        </ns0:is>
      </ns0:c>
      <ns0:c r="F38" s="3"/>
      <ns0:c r="G38" s="3">
        <ns0:f>N66</ns0:f>
        <ns0:v>2480637.23</ns0:v>
      </ns0:c>
      <ns0:c r="H38" s="3">
        <ns0:f>N126</ns0:f>
        <ns0:v>2976684.29</ns0:v>
      </ns0:c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 t="inlineStr">
        <ns0:is>
          <ns0:t>递延税款借项</ns0:t>
        </ns0:is>
      </ns0:c>
      <ns0:c r="B39" s="2"/>
      <ns0:c r="C39" s="3"/>
      <ns0:c r="D39" s="3"/>
      <ns0:c r="E39" s="3" t="inlineStr">
        <ns0:is>
          <ns0:t>所有者权益(或股东权益)合计</ns0:t>
        </ns0:is>
      </ns0:c>
      <ns0:c r="F39" s="3"/>
      <ns0:c r="G39" s="3">
        <ns0:f>N67</ns0:f>
        <ns0:v>2689910.17</ns0:v>
      </ns0:c>
      <ns0:c r="H39" s="3">
        <ns0:f>N127</ns0:f>
        <ns0:v>3197089.07</ns0:v>
      </ns0:c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 t="inlineStr">
        <ns0:is>
          <ns0:t>资产总计</ns0:t>
        </ns0:is>
      </ns0:c>
      <ns0:c r="B40" s="2"/>
      <ns0:c r="C40" s="3">
        <ns0:f>N63</ns0:f>
        <ns0:v>2689910.17</ns0:v>
      </ns0:c>
      <ns0:c r="D40" s="3">
        <ns0:f>N123</ns0:f>
        <ns0:v>3197089.07</ns0:v>
      </ns0:c>
      <ns0:c r="E40" s="3" t="inlineStr">
        <ns0:is>
          <ns0:t>负债和所有者权益(或股东权益)总计</ns0:t>
        </ns0:is>
      </ns0:c>
      <ns0:c r="F40" s="3"/>
      <ns0:c r="G40" s="3">
        <ns0:f>N68</ns0:f>
        <ns0:v>2689910.17</ns0:v>
      </ns0:c>
      <ns0:c r="H40" s="3">
        <ns0:f>N128</ns0:f>
        <ns0:v>3197089.07</ns0:v>
      </ns0:c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 t="inlineStr">
        <ns0:is>
          <ns0:t>预算基础月度勾稽</ns0:t>
        </ns0:is>
      </ns0:c>
      <ns0:c r="C60" s="6" t="inlineStr">
        <ns0:is>
          <ns0:t>2027-01</ns0:t>
        </ns0:is>
      </ns0:c>
      <ns0:c r="D60" s="6" t="inlineStr">
        <ns0:is>
          <ns0:t>2027-02</ns0:t>
        </ns0:is>
      </ns0:c>
      <ns0:c r="E60" s="6" t="inlineStr">
        <ns0:is>
          <ns0:t>2027-03</ns0:t>
        </ns0:is>
      </ns0:c>
      <ns0:c r="F60" s="6" t="inlineStr">
        <ns0:is>
          <ns0:t>2027-04</ns0:t>
        </ns0:is>
      </ns0:c>
      <ns0:c r="G60" s="6" t="inlineStr">
        <ns0:is>
          <ns0:t>2027-05</ns0:t>
        </ns0:is>
      </ns0:c>
      <ns0:c r="H60" s="6" t="inlineStr">
        <ns0:is>
          <ns0:t>2027-06</ns0:t>
        </ns0:is>
      </ns0:c>
      <ns0:c r="I60" s="6" t="inlineStr">
        <ns0:is>
          <ns0:t>2027-07</ns0:t>
        </ns0:is>
      </ns0:c>
      <ns0:c r="J60" s="6" t="inlineStr">
        <ns0:is>
          <ns0:t>2027-08</ns0:t>
        </ns0:is>
      </ns0:c>
      <ns0:c r="K60" s="6" t="inlineStr">
        <ns0:is>
          <ns0:t>2027-09</ns0:t>
        </ns0:is>
      </ns0:c>
      <ns0:c r="L60" s="6" t="inlineStr">
        <ns0:is>
          <ns0:t>2027-10</ns0:t>
        </ns0:is>
      </ns0:c>
      <ns0:c r="M60" s="6" t="inlineStr">
        <ns0:is>
          <ns0:t>2027-11</ns0:t>
        </ns0:is>
      </ns0:c>
      <ns0:c r="N60" s="6" t="inlineStr">
        <ns0:is>
          <ns0:t>2027-12</ns0:t>
        </ns0:is>
      </ns0:c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 t="inlineStr">
        <ns0:is>
          <ns0:t>货币资金</ns0:t>
        </ns0:is>
      </ns0:c>
      <ns0:c r="C61" s="3">
        <ns0:f>'现金流量表'!C68</ns0:f>
        <ns0:v>324680.95</ns0:v>
      </ns0:c>
      <ns0:c r="D61" s="3">
        <ns0:f>'现金流量表'!D68</ns0:f>
        <ns0:v>539607.04</ns0:v>
      </ns0:c>
      <ns0:c r="E61" s="3">
        <ns0:f>'现金流量表'!E68</ns0:f>
        <ns0:v>744038.64</ns0:v>
      </ns0:c>
      <ns0:c r="F61" s="3">
        <ns0:f>'现金流量表'!F68</ns0:f>
        <ns0:v>896540.56</ns0:v>
      </ns0:c>
      <ns0:c r="G61" s="3">
        <ns0:f>'现金流量表'!G68</ns0:f>
        <ns0:v>1195901.53</ns0:v>
      </ns0:c>
      <ns0:c r="H61" s="3">
        <ns0:f>'现金流量表'!H68</ns0:f>
        <ns0:v>1420774.14</ns0:v>
      </ns0:c>
      <ns0:c r="I61" s="3">
        <ns0:f>'现金流量表'!I68</ns0:f>
        <ns0:v>1610918.57</ns0:v>
      </ns0:c>
      <ns0:c r="J61" s="3">
        <ns0:f>'现金流量表'!J68</ns0:f>
        <ns0:v>1892372.22</ns0:v>
      </ns0:c>
      <ns0:c r="K61" s="3">
        <ns0:f>'现金流量表'!K68</ns0:f>
        <ns0:v>2041264.24</ns0:v>
      </ns0:c>
      <ns0:c r="L61" s="3">
        <ns0:f>'现金流量表'!L68</ns0:f>
        <ns0:v>2257512.77</ns0:v>
      </ns0:c>
      <ns0:c r="M61" s="3">
        <ns0:f>'现金流量表'!M68</ns0:f>
        <ns0:v>2403721.44</ns0:v>
      </ns0:c>
      <ns0:c r="N61" s="3">
        <ns0:f>'现金流量表'!N68</ns0:f>
        <ns0:v>2622736.13</ns0:v>
      </ns0:c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 t="inlineStr">
        <ns0:is>
          <ns0:t>未摊销资产</ns0:t>
        </ns0:is>
      </ns0:c>
      <ns0:c r="C62" s="3">
        <ns0:f>'摊销明细'!$C$31-SUM('现金流量表'!$C62:C62)</ns0:f>
        <ns0:v>88285.79</ns0:v>
      </ns0:c>
      <ns0:c r="D62" s="3">
        <ns0:f>'摊销明细'!$C$31-SUM('现金流量表'!$C62:D62)</ns0:f>
        <ns0:v>86366.54</ns0:v>
      </ns0:c>
      <ns0:c r="E62" s="3">
        <ns0:f>'摊销明细'!$C$31-SUM('现金流量表'!$C62:E62)</ns0:f>
        <ns0:v>84447.29</ns0:v>
      </ns0:c>
      <ns0:c r="F62" s="3">
        <ns0:f>'摊销明细'!$C$31-SUM('现金流量表'!$C62:F62)</ns0:f>
        <ns0:v>82528.04</ns0:v>
      </ns0:c>
      <ns0:c r="G62" s="3">
        <ns0:f>'摊销明细'!$C$31-SUM('现金流量表'!$C62:G62)</ns0:f>
        <ns0:v>80608.79</ns0:v>
      </ns0:c>
      <ns0:c r="H62" s="3">
        <ns0:f>'摊销明细'!$C$31-SUM('现金流量表'!$C62:H62)</ns0:f>
        <ns0:v>78689.54</ns0:v>
      </ns0:c>
      <ns0:c r="I62" s="3">
        <ns0:f>'摊销明细'!$C$31-SUM('现金流量表'!$C62:I62)</ns0:f>
        <ns0:v>76770.29</ns0:v>
      </ns0:c>
      <ns0:c r="J62" s="3">
        <ns0:f>'摊销明细'!$C$31-SUM('现金流量表'!$C62:J62)</ns0:f>
        <ns0:v>74851.04</ns0:v>
      </ns0:c>
      <ns0:c r="K62" s="3">
        <ns0:f>'摊销明细'!$C$31-SUM('现金流量表'!$C62:K62)</ns0:f>
        <ns0:v>72931.79</ns0:v>
      </ns0:c>
      <ns0:c r="L62" s="3">
        <ns0:f>'摊销明细'!$C$31-SUM('现金流量表'!$C62:L62)</ns0:f>
        <ns0:v>71012.54</ns0:v>
      </ns0:c>
      <ns0:c r="M62" s="3">
        <ns0:f>'摊销明细'!$C$31-SUM('现金流量表'!$C62:M62)</ns0:f>
        <ns0:v>69093.29</ns0:v>
      </ns0:c>
      <ns0:c r="N62" s="3">
        <ns0:f>'摊销明细'!$C$31-SUM('现金流量表'!$C62:N62)</ns0:f>
        <ns0:v>67174.04</ns0:v>
      </ns0:c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 t="inlineStr">
        <ns0:is>
          <ns0:t>资产总额</ns0:t>
        </ns0:is>
      </ns0:c>
      <ns0:c r="C63" s="3">
        <ns0:f>SUM(C61:C62)</ns0:f>
        <ns0:v>412966.74</ns0:v>
      </ns0:c>
      <ns0:c r="D63" s="3">
        <ns0:f>SUM(D61:D62)</ns0:f>
        <ns0:v>625973.58</ns0:v>
      </ns0:c>
      <ns0:c r="E63" s="3">
        <ns0:f>SUM(E61:E62)</ns0:f>
        <ns0:v>828485.93</ns0:v>
      </ns0:c>
      <ns0:c r="F63" s="3">
        <ns0:f>SUM(F61:F62)</ns0:f>
        <ns0:v>979068.60</ns0:v>
      </ns0:c>
      <ns0:c r="G63" s="3">
        <ns0:f>SUM(G61:G62)</ns0:f>
        <ns0:v>1276510.32</ns0:v>
      </ns0:c>
      <ns0:c r="H63" s="3">
        <ns0:f>SUM(H61:H62)</ns0:f>
        <ns0:v>1499463.68</ns0:v>
      </ns0:c>
      <ns0:c r="I63" s="3">
        <ns0:f>SUM(I61:I62)</ns0:f>
        <ns0:v>1687688.86</ns0:v>
      </ns0:c>
      <ns0:c r="J63" s="3">
        <ns0:f>SUM(J61:J62)</ns0:f>
        <ns0:v>1967223.26</ns0:v>
      </ns0:c>
      <ns0:c r="K63" s="3">
        <ns0:f>SUM(K61:K62)</ns0:f>
        <ns0:v>2114196.03</ns0:v>
      </ns0:c>
      <ns0:c r="L63" s="3">
        <ns0:f>SUM(L61:L62)</ns0:f>
        <ns0:v>2328525.31</ns0:v>
      </ns0:c>
      <ns0:c r="M63" s="3">
        <ns0:f>SUM(M61:M62)</ns0:f>
        <ns0:v>2472814.73</ns0:v>
      </ns0:c>
      <ns0:c r="N63" s="3">
        <ns0:f>SUM(N61:N62)</ns0:f>
        <ns0:v>2689910.17</ns0:v>
      </ns0:c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 t="inlineStr">
        <ns0:is>
          <ns0:t>负债总额</ns0:t>
        </ns0:is>
      </ns0:c>
      <ns0:c r="C64" s="3">
        <ns0:f>0</ns0:f>
        <ns0:v>0</ns0:v>
      </ns0:c>
      <ns0:c r="D64" s="3">
        <ns0:f>0</ns0:f>
        <ns0:v>0</ns0:v>
      </ns0:c>
      <ns0:c r="E64" s="3">
        <ns0:f>0</ns0:f>
        <ns0:v>0</ns0:v>
      </ns0:c>
      <ns0:c r="F64" s="3">
        <ns0:f>0</ns0:f>
        <ns0:v>0</ns0:v>
      </ns0:c>
      <ns0:c r="G64" s="3">
        <ns0:f>0</ns0:f>
        <ns0:v>0</ns0:v>
      </ns0:c>
      <ns0:c r="H64" s="3">
        <ns0:f>0</ns0:f>
        <ns0:v>0</ns0:v>
      </ns0:c>
      <ns0:c r="I64" s="3">
        <ns0:f>0</ns0:f>
        <ns0:v>0</ns0:v>
      </ns0:c>
      <ns0:c r="J64" s="3">
        <ns0:f>0</ns0:f>
        <ns0:v>0</ns0:v>
      </ns0:c>
      <ns0:c r="K64" s="3">
        <ns0:f>0</ns0:f>
        <ns0:v>0</ns0:v>
      </ns0:c>
      <ns0:c r="L64" s="3">
        <ns0:f>0</ns0:f>
        <ns0:v>0</ns0:v>
      </ns0:c>
      <ns0:c r="M64" s="3">
        <ns0:f>0</ns0:f>
        <ns0:v>0</ns0:v>
      </ns0:c>
      <ns0:c r="N64" s="3">
        <ns0:f>0</ns0:f>
        <ns0:v>0</ns0:v>
      </ns0:c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 t="inlineStr">
        <ns0:is>
          <ns0:t>实收资本</ns0:t>
        </ns0:is>
      </ns0:c>
      <ns0:c r="C65" s="3">
        <ns0:f>$C$200+'摊销明细'!$C$31</ns0:f>
        <ns0:v>209272.94</ns0:v>
      </ns0:c>
      <ns0:c r="D65" s="3">
        <ns0:f>$C$200+'摊销明细'!$C$31</ns0:f>
        <ns0:v>209272.94</ns0:v>
      </ns0:c>
      <ns0:c r="E65" s="3">
        <ns0:f>$C$200+'摊销明细'!$C$31</ns0:f>
        <ns0:v>209272.94</ns0:v>
      </ns0:c>
      <ns0:c r="F65" s="3">
        <ns0:f>$C$200+'摊销明细'!$C$31</ns0:f>
        <ns0:v>209272.94</ns0:v>
      </ns0:c>
      <ns0:c r="G65" s="3">
        <ns0:f>$C$200+'摊销明细'!$C$31</ns0:f>
        <ns0:v>209272.94</ns0:v>
      </ns0:c>
      <ns0:c r="H65" s="3">
        <ns0:f>$C$200+'摊销明细'!$C$31</ns0:f>
        <ns0:v>209272.94</ns0:v>
      </ns0:c>
      <ns0:c r="I65" s="3">
        <ns0:f>$C$200+'摊销明细'!$C$31</ns0:f>
        <ns0:v>209272.94</ns0:v>
      </ns0:c>
      <ns0:c r="J65" s="3">
        <ns0:f>$C$200+'摊销明细'!$C$31</ns0:f>
        <ns0:v>209272.94</ns0:v>
      </ns0:c>
      <ns0:c r="K65" s="3">
        <ns0:f>$C$200+'摊销明细'!$C$31</ns0:f>
        <ns0:v>209272.94</ns0:v>
      </ns0:c>
      <ns0:c r="L65" s="3">
        <ns0:f>$C$200+'摊销明细'!$C$31</ns0:f>
        <ns0:v>209272.94</ns0:v>
      </ns0:c>
      <ns0:c r="M65" s="3">
        <ns0:f>$C$200+'摊销明细'!$C$31</ns0:f>
        <ns0:v>209272.94</ns0:v>
      </ns0:c>
      <ns0:c r="N65" s="3">
        <ns0:f>$C$200+'摊销明细'!$C$31</ns0:f>
        <ns0:v>209272.94</ns0:v>
      </ns0:c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 t="inlineStr">
        <ns0:is>
          <ns0:t>累计未分配利润</ns0:t>
        </ns0:is>
      </ns0:c>
      <ns0:c r="C66" s="3">
        <ns0:f>SUM('利润表'!$C69:C69)</ns0:f>
        <ns0:v>203693.80</ns0:v>
      </ns0:c>
      <ns0:c r="D66" s="3">
        <ns0:f>SUM('利润表'!$C69:D69)</ns0:f>
        <ns0:v>416700.64</ns0:v>
      </ns0:c>
      <ns0:c r="E66" s="3">
        <ns0:f>SUM('利润表'!$C69:E69)</ns0:f>
        <ns0:v>619212.99</ns0:v>
      </ns0:c>
      <ns0:c r="F66" s="3">
        <ns0:f>SUM('利润表'!$C69:F69)</ns0:f>
        <ns0:v>769795.66</ns0:v>
      </ns0:c>
      <ns0:c r="G66" s="3">
        <ns0:f>SUM('利润表'!$C69:G69)</ns0:f>
        <ns0:v>1067237.38</ns0:v>
      </ns0:c>
      <ns0:c r="H66" s="3">
        <ns0:f>SUM('利润表'!$C69:H69)</ns0:f>
        <ns0:v>1290190.74</ns0:v>
      </ns0:c>
      <ns0:c r="I66" s="3">
        <ns0:f>SUM('利润表'!$C69:I69)</ns0:f>
        <ns0:v>1478415.92</ns0:v>
      </ns0:c>
      <ns0:c r="J66" s="3">
        <ns0:f>SUM('利润表'!$C69:J69)</ns0:f>
        <ns0:v>1757950.32</ns0:v>
      </ns0:c>
      <ns0:c r="K66" s="3">
        <ns0:f>SUM('利润表'!$C69:K69)</ns0:f>
        <ns0:v>1904923.09</ns0:v>
      </ns0:c>
      <ns0:c r="L66" s="3">
        <ns0:f>SUM('利润表'!$C69:L69)</ns0:f>
        <ns0:v>2119252.37</ns0:v>
      </ns0:c>
      <ns0:c r="M66" s="3">
        <ns0:f>SUM('利润表'!$C69:M69)</ns0:f>
        <ns0:v>2263541.79</ns0:v>
      </ns0:c>
      <ns0:c r="N66" s="3">
        <ns0:f>SUM('利润表'!$C69:N69)</ns0:f>
        <ns0:v>2480637.23</ns0:v>
      </ns0:c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 t="inlineStr">
        <ns0:is>
          <ns0:t>所有者权益</ns0:t>
        </ns0:is>
      </ns0:c>
      <ns0:c r="C67" s="3">
        <ns0:f>SUM(C65:C66)</ns0:f>
        <ns0:v>412966.74</ns0:v>
      </ns0:c>
      <ns0:c r="D67" s="3">
        <ns0:f>SUM(D65:D66)</ns0:f>
        <ns0:v>625973.58</ns0:v>
      </ns0:c>
      <ns0:c r="E67" s="3">
        <ns0:f>SUM(E65:E66)</ns0:f>
        <ns0:v>828485.93</ns0:v>
      </ns0:c>
      <ns0:c r="F67" s="3">
        <ns0:f>SUM(F65:F66)</ns0:f>
        <ns0:v>979068.60</ns0:v>
      </ns0:c>
      <ns0:c r="G67" s="3">
        <ns0:f>SUM(G65:G66)</ns0:f>
        <ns0:v>1276510.32</ns0:v>
      </ns0:c>
      <ns0:c r="H67" s="3">
        <ns0:f>SUM(H65:H66)</ns0:f>
        <ns0:v>1499463.68</ns0:v>
      </ns0:c>
      <ns0:c r="I67" s="3">
        <ns0:f>SUM(I65:I66)</ns0:f>
        <ns0:v>1687688.86</ns0:v>
      </ns0:c>
      <ns0:c r="J67" s="3">
        <ns0:f>SUM(J65:J66)</ns0:f>
        <ns0:v>1967223.26</ns0:v>
      </ns0:c>
      <ns0:c r="K67" s="3">
        <ns0:f>SUM(K65:K66)</ns0:f>
        <ns0:v>2114196.03</ns0:v>
      </ns0:c>
      <ns0:c r="L67" s="3">
        <ns0:f>SUM(L65:L66)</ns0:f>
        <ns0:v>2328525.31</ns0:v>
      </ns0:c>
      <ns0:c r="M67" s="3">
        <ns0:f>SUM(M65:M66)</ns0:f>
        <ns0:v>2472814.73</ns0:v>
      </ns0:c>
      <ns0:c r="N67" s="3">
        <ns0:f>SUM(N65:N66)</ns0:f>
        <ns0:v>2689910.17</ns0:v>
      </ns0:c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 t="inlineStr">
        <ns0:is>
          <ns0:t>负债及权益合计</ns0:t>
        </ns0:is>
      </ns0:c>
      <ns0:c r="C68" s="3">
        <ns0:f>SUM(C64,C67)</ns0:f>
        <ns0:v>412966.74</ns0:v>
      </ns0:c>
      <ns0:c r="D68" s="3">
        <ns0:f>SUM(D64,D67)</ns0:f>
        <ns0:v>625973.58</ns0:v>
      </ns0:c>
      <ns0:c r="E68" s="3">
        <ns0:f>SUM(E64,E67)</ns0:f>
        <ns0:v>828485.93</ns0:v>
      </ns0:c>
      <ns0:c r="F68" s="3">
        <ns0:f>SUM(F64,F67)</ns0:f>
        <ns0:v>979068.60</ns0:v>
      </ns0:c>
      <ns0:c r="G68" s="3">
        <ns0:f>SUM(G64,G67)</ns0:f>
        <ns0:v>1276510.32</ns0:v>
      </ns0:c>
      <ns0:c r="H68" s="3">
        <ns0:f>SUM(H64,H67)</ns0:f>
        <ns0:v>1499463.68</ns0:v>
      </ns0:c>
      <ns0:c r="I68" s="3">
        <ns0:f>SUM(I64,I67)</ns0:f>
        <ns0:v>1687688.86</ns0:v>
      </ns0:c>
      <ns0:c r="J68" s="3">
        <ns0:f>SUM(J64,J67)</ns0:f>
        <ns0:v>1967223.26</ns0:v>
      </ns0:c>
      <ns0:c r="K68" s="3">
        <ns0:f>SUM(K64,K67)</ns0:f>
        <ns0:v>2114196.03</ns0:v>
      </ns0:c>
      <ns0:c r="L68" s="3">
        <ns0:f>SUM(L64,L67)</ns0:f>
        <ns0:v>2328525.31</ns0:v>
      </ns0:c>
      <ns0:c r="M68" s="3">
        <ns0:f>SUM(M64,M67)</ns0:f>
        <ns0:v>2472814.73</ns0:v>
      </ns0:c>
      <ns0:c r="N68" s="3">
        <ns0:f>SUM(N64,N67)</ns0:f>
        <ns0:v>2689910.17</ns0:v>
      </ns0:c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 t="inlineStr">
        <ns0:is>
          <ns0:t>实时经营月度勾稽</ns0:t>
        </ns0:is>
      </ns0:c>
      <ns0:c r="C120" s="6" t="inlineStr">
        <ns0:is>
          <ns0:t>2027-01</ns0:t>
        </ns0:is>
      </ns0:c>
      <ns0:c r="D120" s="6" t="inlineStr">
        <ns0:is>
          <ns0:t>2027-02</ns0:t>
        </ns0:is>
      </ns0:c>
      <ns0:c r="E120" s="6" t="inlineStr">
        <ns0:is>
          <ns0:t>2027-03</ns0:t>
        </ns0:is>
      </ns0:c>
      <ns0:c r="F120" s="6" t="inlineStr">
        <ns0:is>
          <ns0:t>2027-04</ns0:t>
        </ns0:is>
      </ns0:c>
      <ns0:c r="G120" s="6" t="inlineStr">
        <ns0:is>
          <ns0:t>2027-05</ns0:t>
        </ns0:is>
      </ns0:c>
      <ns0:c r="H120" s="6" t="inlineStr">
        <ns0:is>
          <ns0:t>2027-06</ns0:t>
        </ns0:is>
      </ns0:c>
      <ns0:c r="I120" s="6" t="inlineStr">
        <ns0:is>
          <ns0:t>2027-07</ns0:t>
        </ns0:is>
      </ns0:c>
      <ns0:c r="J120" s="6" t="inlineStr">
        <ns0:is>
          <ns0:t>2027-08</ns0:t>
        </ns0:is>
      </ns0:c>
      <ns0:c r="K120" s="6" t="inlineStr">
        <ns0:is>
          <ns0:t>2027-09</ns0:t>
        </ns0:is>
      </ns0:c>
      <ns0:c r="L120" s="6" t="inlineStr">
        <ns0:is>
          <ns0:t>2027-10</ns0:t>
        </ns0:is>
      </ns0:c>
      <ns0:c r="M120" s="6" t="inlineStr">
        <ns0:is>
          <ns0:t>2027-11</ns0:t>
        </ns0:is>
      </ns0:c>
      <ns0:c r="N120" s="6" t="inlineStr">
        <ns0:is>
          <ns0:t>2027-12</ns0:t>
        </ns0:is>
      </ns0:c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 t="inlineStr">
        <ns0:is>
          <ns0:t>货币资金</ns0:t>
        </ns0:is>
      </ns0:c>
      <ns0:c r="C121" s="3">
        <ns0:f>'现金流量表'!C128</ns0:f>
        <ns0:v>330893.26</ns0:v>
      </ns0:c>
      <ns0:c r="D121" s="3">
        <ns0:f>'现金流量表'!D128</ns0:f>
        <ns0:v>623936.55</ns0:v>
      </ns0:c>
      <ns0:c r="E121" s="3">
        <ns0:f>'现金流量表'!E128</ns0:f>
        <ns0:v>925948.04</ns0:v>
      </ns0:c>
      <ns0:c r="F121" s="3">
        <ns0:f>'现金流量表'!F128</ns0:f>
        <ns0:v>1157545.99</ns0:v>
      </ns0:c>
      <ns0:c r="G121" s="3">
        <ns0:f>'现金流量表'!G128</ns0:f>
        <ns0:v>1486876.24</ns0:v>
      </ns0:c>
      <ns0:c r="H121" s="3">
        <ns0:f>'现金流量表'!H128</ns0:f>
        <ns0:v>1735893.72</ns0:v>
      </ns0:c>
      <ns0:c r="I121" s="3">
        <ns0:f>'现金流量表'!I128</ns0:f>
        <ns0:v>2027598.73</ns0:v>
      </ns0:c>
      <ns0:c r="J121" s="3">
        <ns0:f>'现金流量表'!J128</ns0:f>
        <ns0:v>2190002.03</ns0:v>
      </ns0:c>
      <ns0:c r="K121" s="3">
        <ns0:f>'现金流量表'!K128</ns0:f>
        <ns0:v>2454309.73</ns0:v>
      </ns0:c>
      <ns0:c r="L121" s="3">
        <ns0:f>'现金流量表'!L128</ns0:f>
        <ns0:v>2649624.46</ns0:v>
      </ns0:c>
      <ns0:c r="M121" s="3">
        <ns0:f>'现金流量表'!M128</ns0:f>
        <ns0:v>2896149.35</ns0:v>
      </ns0:c>
      <ns0:c r="N121" s="3">
        <ns0:f>'现金流量表'!N128</ns0:f>
        <ns0:v>3127797.78</ns0:v>
      </ns0:c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 t="inlineStr">
        <ns0:is>
          <ns0:t>未摊销资产</ns0:t>
        </ns0:is>
      </ns0:c>
      <ns0:c r="C122" s="3">
        <ns0:f>'摊销明细'!$C$91-SUM('现金流量表'!$C122:C122)</ns0:f>
        <ns0:v>89891.21</ns0:v>
      </ns0:c>
      <ns0:c r="D122" s="3">
        <ns0:f>'摊销明细'!$C$91-SUM('现金流量表'!$C122:D122)</ns0:f>
        <ns0:v>88018.49</ns0:v>
      </ns0:c>
      <ns0:c r="E122" s="3">
        <ns0:f>'摊销明细'!$C$91-SUM('现金流量表'!$C122:E122)</ns0:f>
        <ns0:v>86145.77</ns0:v>
      </ns0:c>
      <ns0:c r="F122" s="3">
        <ns0:f>'摊销明细'!$C$91-SUM('现金流量表'!$C122:F122)</ns0:f>
        <ns0:v>84273.05</ns0:v>
      </ns0:c>
      <ns0:c r="G122" s="3">
        <ns0:f>'摊销明细'!$C$91-SUM('现金流量表'!$C122:G122)</ns0:f>
        <ns0:v>82400.33</ns0:v>
      </ns0:c>
      <ns0:c r="H122" s="3">
        <ns0:f>'摊销明细'!$C$91-SUM('现金流量表'!$C122:H122)</ns0:f>
        <ns0:v>80527.61</ns0:v>
      </ns0:c>
      <ns0:c r="I122" s="3">
        <ns0:f>'摊销明细'!$C$91-SUM('现金流量表'!$C122:I122)</ns0:f>
        <ns0:v>78654.89</ns0:v>
      </ns0:c>
      <ns0:c r="J122" s="3">
        <ns0:f>'摊销明细'!$C$91-SUM('现金流量表'!$C122:J122)</ns0:f>
        <ns0:v>76782.17</ns0:v>
      </ns0:c>
      <ns0:c r="K122" s="3">
        <ns0:f>'摊销明细'!$C$91-SUM('现金流量表'!$C122:K122)</ns0:f>
        <ns0:v>74909.45</ns0:v>
      </ns0:c>
      <ns0:c r="L122" s="3">
        <ns0:f>'摊销明细'!$C$91-SUM('现金流量表'!$C122:L122)</ns0:f>
        <ns0:v>73036.73</ns0:v>
      </ns0:c>
      <ns0:c r="M122" s="3">
        <ns0:f>'摊销明细'!$C$91-SUM('现金流量表'!$C122:M122)</ns0:f>
        <ns0:v>71164.01</ns0:v>
      </ns0:c>
      <ns0:c r="N122" s="3">
        <ns0:f>'摊销明细'!$C$91-SUM('现金流量表'!$C122:N122)</ns0:f>
        <ns0:v>69291.29</ns0:v>
      </ns0:c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 t="inlineStr">
        <ns0:is>
          <ns0:t>资产总额</ns0:t>
        </ns0:is>
      </ns0:c>
      <ns0:c r="C123" s="3">
        <ns0:f>SUM(C121:C122)</ns0:f>
        <ns0:v>420784.47</ns0:v>
      </ns0:c>
      <ns0:c r="D123" s="3">
        <ns0:f>SUM(D121:D122)</ns0:f>
        <ns0:v>711955.04</ns0:v>
      </ns0:c>
      <ns0:c r="E123" s="3">
        <ns0:f>SUM(E121:E122)</ns0:f>
        <ns0:v>1012093.81</ns0:v>
      </ns0:c>
      <ns0:c r="F123" s="3">
        <ns0:f>SUM(F121:F122)</ns0:f>
        <ns0:v>1241819.04</ns0:v>
      </ns0:c>
      <ns0:c r="G123" s="3">
        <ns0:f>SUM(G121:G122)</ns0:f>
        <ns0:v>1569276.57</ns0:v>
      </ns0:c>
      <ns0:c r="H123" s="3">
        <ns0:f>SUM(H121:H122)</ns0:f>
        <ns0:v>1816421.33</ns0:v>
      </ns0:c>
      <ns0:c r="I123" s="3">
        <ns0:f>SUM(I121:I122)</ns0:f>
        <ns0:v>2106253.62</ns0:v>
      </ns0:c>
      <ns0:c r="J123" s="3">
        <ns0:f>SUM(J121:J122)</ns0:f>
        <ns0:v>2266784.20</ns0:v>
      </ns0:c>
      <ns0:c r="K123" s="3">
        <ns0:f>SUM(K121:K122)</ns0:f>
        <ns0:v>2529219.18</ns0:v>
      </ns0:c>
      <ns0:c r="L123" s="3">
        <ns0:f>SUM(L121:L122)</ns0:f>
        <ns0:v>2722661.19</ns0:v>
      </ns0:c>
      <ns0:c r="M123" s="3">
        <ns0:f>SUM(M121:M122)</ns0:f>
        <ns0:v>2967313.36</ns0:v>
      </ns0:c>
      <ns0:c r="N123" s="3">
        <ns0:f>SUM(N121:N122)</ns0:f>
        <ns0:v>3197089.07</ns0:v>
      </ns0:c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 t="inlineStr">
        <ns0:is>
          <ns0:t>负债总额</ns0:t>
        </ns0:is>
      </ns0:c>
      <ns0:c r="C124" s="3">
        <ns0:f>0</ns0:f>
        <ns0:v>0</ns0:v>
      </ns0:c>
      <ns0:c r="D124" s="3">
        <ns0:f>0</ns0:f>
        <ns0:v>0</ns0:v>
      </ns0:c>
      <ns0:c r="E124" s="3">
        <ns0:f>0</ns0:f>
        <ns0:v>0</ns0:v>
      </ns0:c>
      <ns0:c r="F124" s="3">
        <ns0:f>0</ns0:f>
        <ns0:v>0</ns0:v>
      </ns0:c>
      <ns0:c r="G124" s="3">
        <ns0:f>0</ns0:f>
        <ns0:v>0</ns0:v>
      </ns0:c>
      <ns0:c r="H124" s="3">
        <ns0:f>0</ns0:f>
        <ns0:v>0</ns0:v>
      </ns0:c>
      <ns0:c r="I124" s="3">
        <ns0:f>0</ns0:f>
        <ns0:v>0</ns0:v>
      </ns0:c>
      <ns0:c r="J124" s="3">
        <ns0:f>0</ns0:f>
        <ns0:v>0</ns0:v>
      </ns0:c>
      <ns0:c r="K124" s="3">
        <ns0:f>0</ns0:f>
        <ns0:v>0</ns0:v>
      </ns0:c>
      <ns0:c r="L124" s="3">
        <ns0:f>0</ns0:f>
        <ns0:v>0</ns0:v>
      </ns0:c>
      <ns0:c r="M124" s="3">
        <ns0:f>0</ns0:f>
        <ns0:v>0</ns0:v>
      </ns0:c>
      <ns0:c r="N124" s="3">
        <ns0:f>0</ns0:f>
        <ns0:v>0</ns0:v>
      </ns0:c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 t="inlineStr">
        <ns0:is>
          <ns0:t>实收资本</ns0:t>
        </ns0:is>
      </ns0:c>
      <ns0:c r="C125" s="3">
        <ns0:f>$C$260+'摊销明细'!$C$91</ns0:f>
        <ns0:v>220404.78</ns0:v>
      </ns0:c>
      <ns0:c r="D125" s="3">
        <ns0:f>$C$260+'摊销明细'!$C$91</ns0:f>
        <ns0:v>220404.78</ns0:v>
      </ns0:c>
      <ns0:c r="E125" s="3">
        <ns0:f>$C$260+'摊销明细'!$C$91</ns0:f>
        <ns0:v>220404.78</ns0:v>
      </ns0:c>
      <ns0:c r="F125" s="3">
        <ns0:f>$C$260+'摊销明细'!$C$91</ns0:f>
        <ns0:v>220404.78</ns0:v>
      </ns0:c>
      <ns0:c r="G125" s="3">
        <ns0:f>$C$260+'摊销明细'!$C$91</ns0:f>
        <ns0:v>220404.78</ns0:v>
      </ns0:c>
      <ns0:c r="H125" s="3">
        <ns0:f>$C$260+'摊销明细'!$C$91</ns0:f>
        <ns0:v>220404.78</ns0:v>
      </ns0:c>
      <ns0:c r="I125" s="3">
        <ns0:f>$C$260+'摊销明细'!$C$91</ns0:f>
        <ns0:v>220404.78</ns0:v>
      </ns0:c>
      <ns0:c r="J125" s="3">
        <ns0:f>$C$260+'摊销明细'!$C$91</ns0:f>
        <ns0:v>220404.78</ns0:v>
      </ns0:c>
      <ns0:c r="K125" s="3">
        <ns0:f>$C$260+'摊销明细'!$C$91</ns0:f>
        <ns0:v>220404.78</ns0:v>
      </ns0:c>
      <ns0:c r="L125" s="3">
        <ns0:f>$C$260+'摊销明细'!$C$91</ns0:f>
        <ns0:v>220404.78</ns0:v>
      </ns0:c>
      <ns0:c r="M125" s="3">
        <ns0:f>$C$260+'摊销明细'!$C$91</ns0:f>
        <ns0:v>220404.78</ns0:v>
      </ns0:c>
      <ns0:c r="N125" s="3">
        <ns0:f>$C$260+'摊销明细'!$C$91</ns0:f>
        <ns0:v>220404.78</ns0:v>
      </ns0:c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 t="inlineStr">
        <ns0:is>
          <ns0:t>累计未分配利润</ns0:t>
        </ns0:is>
      </ns0:c>
      <ns0:c r="C126" s="3">
        <ns0:f>SUM('利润表'!$C129:C129)</ns0:f>
        <ns0:v>200379.69</ns0:v>
      </ns0:c>
      <ns0:c r="D126" s="3">
        <ns0:f>SUM('利润表'!$C129:D129)</ns0:f>
        <ns0:v>491550.26</ns0:v>
      </ns0:c>
      <ns0:c r="E126" s="3">
        <ns0:f>SUM('利润表'!$C129:E129)</ns0:f>
        <ns0:v>791689.03</ns0:v>
      </ns0:c>
      <ns0:c r="F126" s="3">
        <ns0:f>SUM('利润表'!$C129:F129)</ns0:f>
        <ns0:v>1021414.26</ns0:v>
      </ns0:c>
      <ns0:c r="G126" s="3">
        <ns0:f>SUM('利润表'!$C129:G129)</ns0:f>
        <ns0:v>1348871.79</ns0:v>
      </ns0:c>
      <ns0:c r="H126" s="3">
        <ns0:f>SUM('利润表'!$C129:H129)</ns0:f>
        <ns0:v>1596016.55</ns0:v>
      </ns0:c>
      <ns0:c r="I126" s="3">
        <ns0:f>SUM('利润表'!$C129:I129)</ns0:f>
        <ns0:v>1885848.84</ns0:v>
      </ns0:c>
      <ns0:c r="J126" s="3">
        <ns0:f>SUM('利润表'!$C129:J129)</ns0:f>
        <ns0:v>2046379.42</ns0:v>
      </ns0:c>
      <ns0:c r="K126" s="3">
        <ns0:f>SUM('利润表'!$C129:K129)</ns0:f>
        <ns0:v>2308814.40</ns0:v>
      </ns0:c>
      <ns0:c r="L126" s="3">
        <ns0:f>SUM('利润表'!$C129:L129)</ns0:f>
        <ns0:v>2502256.41</ns0:v>
      </ns0:c>
      <ns0:c r="M126" s="3">
        <ns0:f>SUM('利润表'!$C129:M129)</ns0:f>
        <ns0:v>2746908.58</ns0:v>
      </ns0:c>
      <ns0:c r="N126" s="3">
        <ns0:f>SUM('利润表'!$C129:N129)</ns0:f>
        <ns0:v>2976684.29</ns0:v>
      </ns0:c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 t="inlineStr">
        <ns0:is>
          <ns0:t>所有者权益</ns0:t>
        </ns0:is>
      </ns0:c>
      <ns0:c r="C127" s="3">
        <ns0:f>SUM(C125:C126)</ns0:f>
        <ns0:v>420784.47</ns0:v>
      </ns0:c>
      <ns0:c r="D127" s="3">
        <ns0:f>SUM(D125:D126)</ns0:f>
        <ns0:v>711955.04</ns0:v>
      </ns0:c>
      <ns0:c r="E127" s="3">
        <ns0:f>SUM(E125:E126)</ns0:f>
        <ns0:v>1012093.81</ns0:v>
      </ns0:c>
      <ns0:c r="F127" s="3">
        <ns0:f>SUM(F125:F126)</ns0:f>
        <ns0:v>1241819.04</ns0:v>
      </ns0:c>
      <ns0:c r="G127" s="3">
        <ns0:f>SUM(G125:G126)</ns0:f>
        <ns0:v>1569276.57</ns0:v>
      </ns0:c>
      <ns0:c r="H127" s="3">
        <ns0:f>SUM(H125:H126)</ns0:f>
        <ns0:v>1816421.33</ns0:v>
      </ns0:c>
      <ns0:c r="I127" s="3">
        <ns0:f>SUM(I125:I126)</ns0:f>
        <ns0:v>2106253.62</ns0:v>
      </ns0:c>
      <ns0:c r="J127" s="3">
        <ns0:f>SUM(J125:J126)</ns0:f>
        <ns0:v>2266784.20</ns0:v>
      </ns0:c>
      <ns0:c r="K127" s="3">
        <ns0:f>SUM(K125:K126)</ns0:f>
        <ns0:v>2529219.18</ns0:v>
      </ns0:c>
      <ns0:c r="L127" s="3">
        <ns0:f>SUM(L125:L126)</ns0:f>
        <ns0:v>2722661.19</ns0:v>
      </ns0:c>
      <ns0:c r="M127" s="3">
        <ns0:f>SUM(M125:M126)</ns0:f>
        <ns0:v>2967313.36</ns0:v>
      </ns0:c>
      <ns0:c r="N127" s="3">
        <ns0:f>SUM(N125:N126)</ns0:f>
        <ns0:v>3197089.07</ns0:v>
      </ns0:c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 t="inlineStr">
        <ns0:is>
          <ns0:t>负债及权益合计</ns0:t>
        </ns0:is>
      </ns0:c>
      <ns0:c r="C128" s="3">
        <ns0:f>SUM(C124,C127)</ns0:f>
        <ns0:v>420784.47</ns0:v>
      </ns0:c>
      <ns0:c r="D128" s="3">
        <ns0:f>SUM(D124,D127)</ns0:f>
        <ns0:v>711955.04</ns0:v>
      </ns0:c>
      <ns0:c r="E128" s="3">
        <ns0:f>SUM(E124,E127)</ns0:f>
        <ns0:v>1012093.81</ns0:v>
      </ns0:c>
      <ns0:c r="F128" s="3">
        <ns0:f>SUM(F124,F127)</ns0:f>
        <ns0:v>1241819.04</ns0:v>
      </ns0:c>
      <ns0:c r="G128" s="3">
        <ns0:f>SUM(G124,G127)</ns0:f>
        <ns0:v>1569276.57</ns0:v>
      </ns0:c>
      <ns0:c r="H128" s="3">
        <ns0:f>SUM(H124,H127)</ns0:f>
        <ns0:v>1816421.33</ns0:v>
      </ns0:c>
      <ns0:c r="I128" s="3">
        <ns0:f>SUM(I124,I127)</ns0:f>
        <ns0:v>2106253.62</ns0:v>
      </ns0:c>
      <ns0:c r="J128" s="3">
        <ns0:f>SUM(J124,J127)</ns0:f>
        <ns0:v>2266784.20</ns0:v>
      </ns0:c>
      <ns0:c r="K128" s="3">
        <ns0:f>SUM(K124,K127)</ns0:f>
        <ns0:v>2529219.18</ns0:v>
      </ns0:c>
      <ns0:c r="L128" s="3">
        <ns0:f>SUM(L124,L127)</ns0:f>
        <ns0:v>2722661.19</ns0:v>
      </ns0:c>
      <ns0:c r="M128" s="3">
        <ns0:f>SUM(M124,M127)</ns0:f>
        <ns0:v>2967313.36</ns0:v>
      </ns0:c>
      <ns0:c r="N128" s="3">
        <ns0:f>SUM(N124,N127)</ns0:f>
        <ns0:v>3197089.07</ns0:v>
      </ns0:c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 t="inlineStr">
        <ns0:is>
          <ns0:t>期初现金（投入资本）</ns0:t>
        </ns0:is>
      </ns0:c>
      <ns0:c r="C200" s="4">
        <ns0:v>119067.90</ns0:v>
      </ns0:c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 t="inlineStr">
        <ns0:is>
          <ns0:t>期初现金（投入资本）</ns0:t>
        </ns0:is>
      </ns0:c>
      <ns0:c r="C260" s="4">
        <ns0:v>128640.85</ns0:v>
      </ns0:c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H1"/>
  </ns0:mergeCells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4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现金流量表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 t="inlineStr">
        <ns0:is>
          <ns0:t>项      目</ns0:t>
        </ns0:is>
      </ns0:c>
      <ns0:c r="B2" s="2" t="inlineStr">
        <ns0:is>
          <ns0:t>行次</ns0:t>
        </ns0:is>
      </ns0:c>
      <ns0:c r="C2" s="3"/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 t="inlineStr">
        <ns0:is>
          <ns0:t>一、经营活动产生的现金流量：</ns0:t>
        </ns0:is>
      </ns0:c>
      <ns0:c r="B3" s="2"/>
      <ns0:c r="C3" s="6" t="inlineStr">
        <ns0:is>
          <ns0:t>全年预算</ns0:t>
        </ns0:is>
      </ns0:c>
      <ns0:c r="D3" s="6" t="inlineStr">
        <ns0:is>
          <ns0:t>全年实际占位</ns0:t>
        </ns0:is>
      </ns0:c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 t="inlineStr">
        <ns0:is>
          <ns0:t>销售商品、提供劳务收到的现金</ns0:t>
        </ns0:is>
      </ns0:c>
      <ns0:c r="B4" s="2"/>
      <ns0:c r="C4" s="3"/>
      <ns0:c r="D4" s="3"/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 t="inlineStr">
        <ns0:is>
          <ns0:t>收到的税费返还</ns0:t>
        </ns0:is>
      </ns0:c>
      <ns0:c r="B5" s="2"/>
      <ns0:c r="C5" s="3"/>
      <ns0:c r="D5" s="3"/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 t="inlineStr">
        <ns0:is>
          <ns0:t>收到其他与经营活动有关的现金</ns0:t>
        </ns0:is>
      </ns0:c>
      <ns0:c r="B6" s="2"/>
      <ns0:c r="C6" s="3"/>
      <ns0:c r="D6" s="3"/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 t="inlineStr">
        <ns0:is>
          <ns0:t>经营活动现金流入小计</ns0:t>
        </ns0:is>
      </ns0:c>
      <ns0:c r="B7" s="2"/>
      <ns0:c r="C7" s="3"/>
      <ns0:c r="D7" s="3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 t="inlineStr">
        <ns0:is>
          <ns0:t>购买商品、接受劳务支付的现金（04）</ns0:t>
        </ns0:is>
      </ns0:c>
      <ns0:c r="B8" s="2"/>
      <ns0:c r="C8" s="3"/>
      <ns0:c r="D8" s="3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 t="inlineStr">
        <ns0:is>
          <ns0:t>支付给职工以及为职工支付的现金（05）</ns0:t>
        </ns0:is>
      </ns0:c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 t="inlineStr">
        <ns0:is>
          <ns0:t>支付的各项税费（06）</ns0:t>
        </ns0:is>
      </ns0:c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 t="inlineStr">
        <ns0:is>
          <ns0:t>支付其他与经营活动有关的现金（07）</ns0:t>
        </ns0:is>
      </ns0:c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 t="inlineStr">
        <ns0:is>
          <ns0:t>经营活动现金流出小计</ns0:t>
        </ns0:is>
      </ns0:c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 t="inlineStr">
        <ns0:is>
          <ns0:t>经营活动产生的现金流量净额</ns0:t>
        </ns0:is>
      </ns0:c>
      <ns0:c r="B13" s="2"/>
      <ns0:c r="C13" s="3">
        <ns0:f>SUM(C63:N63)</ns0:f>
        <ns0:v>2503668.23</ns0:v>
      </ns0:c>
      <ns0:c r="D13" s="3">
        <ns0:f>SUM(C123:N123)</ns0:f>
        <ns0:v>2999156.93</ns0:v>
      </ns0:c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 t="inlineStr">
        <ns0:is>
          <ns0:t>二、投资活动产生的现金流量：</ns0:t>
        </ns0:is>
      </ns0:c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实际数据状态</ns0:t>
        </ns0:is>
      </ns0:c>
      <ns0:c r="AY14" s="2" t="inlineStr">
        <ns0:is>
          <ns0:t>占位</ns0:t>
        </ns0:is>
      </ns0:c>
    </ns0:row>
    <ns0:row r="15" ht="20" customHeight="1">
      <ns0:c r="A15" s="2" t="inlineStr">
        <ns0:is>
          <ns0:t>收回投资收到的现金</ns0:t>
        </ns0:is>
      </ns0:c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 t="inlineStr">
        <ns0:is>
          <ns0:t>取得投资收益收到的现金</ns0:t>
        </ns0:is>
      </ns0:c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/>
      <ns0:c r="AY16" s="2"/>
    </ns0:row>
    <ns0:row r="17" ht="20" customHeight="1">
      <ns0:c r="A17" s="2" t="inlineStr">
        <ns0:is>
          <ns0:t>处置固定资产、无形资产和其他长期资产收回的现金净额</ns0:t>
        </ns0:is>
      </ns0:c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蓝色为输入参数；实际数为占位；金额单位：元</ns0:t>
        </ns0:is>
      </ns0:c>
    </ns0:row>
    <ns0:row r="18" ht="20" customHeight="1">
      <ns0:c r="A18" s="2" t="inlineStr">
        <ns0:is>
          <ns0:t>处置子公司及其他营业单位收到的现金净额</ns0:t>
        </ns0:is>
      </ns0:c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 t="inlineStr">
        <ns0:is>
          <ns0:t>收到其他与投资活动有关的现金</ns0:t>
        </ns0:is>
      </ns0:c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 t="inlineStr">
        <ns0:is>
          <ns0:t>投资活动现金流入小计</ns0:t>
        </ns0:is>
      </ns0:c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 t="inlineStr">
        <ns0:is>
          <ns0:t>购建固定资产、无形资产和其他长期资产支付的现金（13）</ns0:t>
        </ns0:is>
      </ns0:c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 t="inlineStr">
        <ns0:is>
          <ns0:t>投资支付的现金（14）</ns0:t>
        </ns0:is>
      </ns0:c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 t="inlineStr">
        <ns0:is>
          <ns0:t>取得子公司及其他营业单位支付的现金净额</ns0:t>
        </ns0:is>
      </ns0:c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 t="inlineStr">
        <ns0:is>
          <ns0:t>支付其他与投资活动有关的现金</ns0:t>
        </ns0:is>
      </ns0:c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 t="inlineStr">
        <ns0:is>
          <ns0:t>投资活动现金流出小计</ns0:t>
        </ns0:is>
      </ns0:c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 t="inlineStr">
        <ns0:is>
          <ns0:t>投资活动产生的现金流量净额</ns0:t>
        </ns0:is>
      </ns0:c>
      <ns0:c r="B26" s="2"/>
      <ns0:c r="C26" s="3">
        <ns0:f>SUM(C64:N64)</ns0:f>
        <ns0:v>0</ns0:v>
      </ns0:c>
      <ns0:c r="D26" s="3">
        <ns0:f>SUM(C124:N124)</ns0:f>
        <ns0:v>0</ns0:v>
      </ns0:c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 t="inlineStr">
        <ns0:is>
          <ns0:t>三、筹资活动产生的现金流量：</ns0:t>
        </ns0:is>
      </ns0:c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 t="inlineStr">
        <ns0:is>
          <ns0:t>吸收投资收到的现金</ns0:t>
        </ns0:is>
      </ns0:c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 t="inlineStr">
        <ns0:is>
          <ns0:t>取得借款收到的现金</ns0:t>
        </ns0:is>
      </ns0:c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 t="inlineStr">
        <ns0:is>
          <ns0:t>收到其他与筹资活动有关的现金</ns0:t>
        </ns0:is>
      </ns0:c>
      <ns0:c r="B30" s="5"/>
      <ns0:c r="C30" s="6"/>
      <ns0:c r="D30" s="6"/>
      <ns0:c r="E30" s="6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 t="inlineStr">
        <ns0:is>
          <ns0:t>筹资活动现金流入小计</ns0:t>
        </ns0:is>
      </ns0:c>
      <ns0:c r="B31" s="2"/>
      <ns0:c r="C31" s="3"/>
      <ns0:c r="D31" s="3"/>
      <ns0:c r="E31" s="3"/>
      <ns0:c r="F31" s="3"/>
      <ns0:c r="G31" s="3"/>
      <ns0:c r="H31" s="3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 t="inlineStr">
        <ns0:is>
          <ns0:t>偿还债务支付的现金</ns0:t>
        </ns0:is>
      </ns0:c>
      <ns0:c r="B32" s="2"/>
      <ns0:c r="C32" s="3"/>
      <ns0:c r="D32" s="3"/>
      <ns0:c r="E32" s="3"/>
      <ns0:c r="F32" s="3"/>
      <ns0:c r="G32" s="3"/>
      <ns0:c r="H32" s="3"/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 t="inlineStr">
        <ns0:is>
          <ns0:t>分配股利、利润或偿付利息支付的现金</ns0:t>
        </ns0:is>
      </ns0:c>
      <ns0:c r="B33" s="2"/>
      <ns0:c r="C33" s="3"/>
      <ns0:c r="D33" s="3"/>
      <ns0:c r="E33" s="3"/>
      <ns0:c r="F33" s="3"/>
      <ns0:c r="G33" s="3"/>
      <ns0:c r="H33" s="3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 t="inlineStr">
        <ns0:is>
          <ns0:t>支付其他与筹资活动有关的现金</ns0:t>
        </ns0:is>
      </ns0:c>
      <ns0:c r="B34" s="2"/>
      <ns0:c r="C34" s="3"/>
      <ns0:c r="D34" s="3"/>
      <ns0:c r="E34" s="3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 t="inlineStr">
        <ns0:is>
          <ns0:t>筹资活动现金流出小计</ns0:t>
        </ns0:is>
      </ns0:c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 t="inlineStr">
        <ns0:is>
          <ns0:t>筹资活动产生的现金流量净额</ns0:t>
        </ns0:is>
      </ns0:c>
      <ns0:c r="B36" s="2"/>
      <ns0:c r="C36" s="3">
        <ns0:f>SUM(C65:N65)</ns0:f>
        <ns0:v>0</ns0:v>
      </ns0:c>
      <ns0:c r="D36" s="3">
        <ns0:f>SUM(C125:N125)</ns0:f>
        <ns0:v>0</ns0:v>
      </ns0:c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 t="inlineStr">
        <ns0:is>
          <ns0:t>四、汇率变动对现金及现金等价物的影响</ns0:t>
        </ns0:is>
      </ns0:c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 t="inlineStr">
        <ns0:is>
          <ns0:t>五、现金及现金等价物净增加额</ns0:t>
        </ns0:is>
      </ns0:c>
      <ns0:c r="B38" s="2"/>
      <ns0:c r="C38" s="3">
        <ns0:f>SUM(C66:N66)</ns0:f>
        <ns0:v>2503668.23</ns0:v>
      </ns0:c>
      <ns0:c r="D38" s="3">
        <ns0:f>SUM(C126:N126)</ns0:f>
        <ns0:v>2999156.93</ns0:v>
      </ns0:c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 t="inlineStr">
        <ns0:is>
          <ns0:t>加：期初现金及现金等价物余额</ns0:t>
        </ns0:is>
      </ns0:c>
      <ns0:c r="B39" s="2"/>
      <ns0:c r="C39" s="3">
        <ns0:f>C67</ns0:f>
        <ns0:v>119067.90</ns0:v>
      </ns0:c>
      <ns0:c r="D39" s="3">
        <ns0:f>C127</ns0:f>
        <ns0:v>128640.85</ns0:v>
      </ns0:c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 t="inlineStr">
        <ns0:is>
          <ns0:t>六、期末现金及现金等价物余额</ns0:t>
        </ns0:is>
      </ns0:c>
      <ns0:c r="B40" s="2"/>
      <ns0:c r="C40" s="3">
        <ns0:f>N68</ns0:f>
        <ns0:v>2622736.13</ns0:v>
      </ns0:c>
      <ns0:c r="D40" s="3">
        <ns0:f>N128</ns0:f>
        <ns0:v>3127797.78</ns0:v>
      </ns0:c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 t="inlineStr">
        <ns0:is>
          <ns0:t>预算基础月度勾稽</ns0:t>
        </ns0:is>
      </ns0:c>
      <ns0:c r="C60" s="6" t="inlineStr">
        <ns0:is>
          <ns0:t>2027-01</ns0:t>
        </ns0:is>
      </ns0:c>
      <ns0:c r="D60" s="6" t="inlineStr">
        <ns0:is>
          <ns0:t>2027-02</ns0:t>
        </ns0:is>
      </ns0:c>
      <ns0:c r="E60" s="6" t="inlineStr">
        <ns0:is>
          <ns0:t>2027-03</ns0:t>
        </ns0:is>
      </ns0:c>
      <ns0:c r="F60" s="6" t="inlineStr">
        <ns0:is>
          <ns0:t>2027-04</ns0:t>
        </ns0:is>
      </ns0:c>
      <ns0:c r="G60" s="6" t="inlineStr">
        <ns0:is>
          <ns0:t>2027-05</ns0:t>
        </ns0:is>
      </ns0:c>
      <ns0:c r="H60" s="6" t="inlineStr">
        <ns0:is>
          <ns0:t>2027-06</ns0:t>
        </ns0:is>
      </ns0:c>
      <ns0:c r="I60" s="6" t="inlineStr">
        <ns0:is>
          <ns0:t>2027-07</ns0:t>
        </ns0:is>
      </ns0:c>
      <ns0:c r="J60" s="6" t="inlineStr">
        <ns0:is>
          <ns0:t>2027-08</ns0:t>
        </ns0:is>
      </ns0:c>
      <ns0:c r="K60" s="6" t="inlineStr">
        <ns0:is>
          <ns0:t>2027-09</ns0:t>
        </ns0:is>
      </ns0:c>
      <ns0:c r="L60" s="6" t="inlineStr">
        <ns0:is>
          <ns0:t>2027-10</ns0:t>
        </ns0:is>
      </ns0:c>
      <ns0:c r="M60" s="6" t="inlineStr">
        <ns0:is>
          <ns0:t>2027-11</ns0:t>
        </ns0:is>
      </ns0:c>
      <ns0:c r="N60" s="6" t="inlineStr">
        <ns0:is>
          <ns0:t>2027-12</ns0:t>
        </ns0:is>
      </ns0:c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 t="inlineStr">
        <ns0:is>
          <ns0:t>净利润</ns0:t>
        </ns0:is>
      </ns0:c>
      <ns0:c r="C61" s="3">
        <ns0:f>'利润表'!C69</ns0:f>
        <ns0:v>203693.80</ns0:v>
      </ns0:c>
      <ns0:c r="D61" s="3">
        <ns0:f>'利润表'!D69</ns0:f>
        <ns0:v>213006.84</ns0:v>
      </ns0:c>
      <ns0:c r="E61" s="3">
        <ns0:f>'利润表'!E69</ns0:f>
        <ns0:v>202512.35</ns0:v>
      </ns0:c>
      <ns0:c r="F61" s="3">
        <ns0:f>'利润表'!F69</ns0:f>
        <ns0:v>150582.67</ns0:v>
      </ns0:c>
      <ns0:c r="G61" s="3">
        <ns0:f>'利润表'!G69</ns0:f>
        <ns0:v>297441.72</ns0:v>
      </ns0:c>
      <ns0:c r="H61" s="3">
        <ns0:f>'利润表'!H69</ns0:f>
        <ns0:v>222953.36</ns0:v>
      </ns0:c>
      <ns0:c r="I61" s="3">
        <ns0:f>'利润表'!I69</ns0:f>
        <ns0:v>188225.18</ns0:v>
      </ns0:c>
      <ns0:c r="J61" s="3">
        <ns0:f>'利润表'!J69</ns0:f>
        <ns0:v>279534.40</ns0:v>
      </ns0:c>
      <ns0:c r="K61" s="3">
        <ns0:f>'利润表'!K69</ns0:f>
        <ns0:v>146972.77</ns0:v>
      </ns0:c>
      <ns0:c r="L61" s="3">
        <ns0:f>'利润表'!L69</ns0:f>
        <ns0:v>214329.28</ns0:v>
      </ns0:c>
      <ns0:c r="M61" s="3">
        <ns0:f>'利润表'!M69</ns0:f>
        <ns0:v>144289.42</ns0:v>
      </ns0:c>
      <ns0:c r="N61" s="3">
        <ns0:f>'利润表'!N69</ns0:f>
        <ns0:v>217095.44</ns0:v>
      </ns0:c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 t="inlineStr">
        <ns0:is>
          <ns0:t>折旧摊销加回</ns0:t>
        </ns0:is>
      </ns0:c>
      <ns0:c r="C62" s="3">
        <ns0:f>'销售费用'!C20+'管理费用'!C20+'蓝恐龙费用'!C20</ns0:f>
        <ns0:v>1919.25</ns0:v>
      </ns0:c>
      <ns0:c r="D62" s="3">
        <ns0:f>'销售费用'!D20+'管理费用'!D20+'蓝恐龙费用'!D20</ns0:f>
        <ns0:v>1919.25</ns0:v>
      </ns0:c>
      <ns0:c r="E62" s="3">
        <ns0:f>'销售费用'!E20+'管理费用'!E20+'蓝恐龙费用'!E20</ns0:f>
        <ns0:v>1919.25</ns0:v>
      </ns0:c>
      <ns0:c r="F62" s="3">
        <ns0:f>'销售费用'!F20+'管理费用'!F20+'蓝恐龙费用'!F20</ns0:f>
        <ns0:v>1919.25</ns0:v>
      </ns0:c>
      <ns0:c r="G62" s="3">
        <ns0:f>'销售费用'!G20+'管理费用'!G20+'蓝恐龙费用'!G20</ns0:f>
        <ns0:v>1919.25</ns0:v>
      </ns0:c>
      <ns0:c r="H62" s="3">
        <ns0:f>'销售费用'!H20+'管理费用'!H20+'蓝恐龙费用'!H20</ns0:f>
        <ns0:v>1919.25</ns0:v>
      </ns0:c>
      <ns0:c r="I62" s="3">
        <ns0:f>'销售费用'!I20+'管理费用'!I20+'蓝恐龙费用'!I20</ns0:f>
        <ns0:v>1919.25</ns0:v>
      </ns0:c>
      <ns0:c r="J62" s="3">
        <ns0:f>'销售费用'!J20+'管理费用'!J20+'蓝恐龙费用'!J20</ns0:f>
        <ns0:v>1919.25</ns0:v>
      </ns0:c>
      <ns0:c r="K62" s="3">
        <ns0:f>'销售费用'!K20+'管理费用'!K20+'蓝恐龙费用'!K20</ns0:f>
        <ns0:v>1919.25</ns0:v>
      </ns0:c>
      <ns0:c r="L62" s="3">
        <ns0:f>'销售费用'!L20+'管理费用'!L20+'蓝恐龙费用'!L20</ns0:f>
        <ns0:v>1919.25</ns0:v>
      </ns0:c>
      <ns0:c r="M62" s="3">
        <ns0:f>'销售费用'!M20+'管理费用'!M20+'蓝恐龙费用'!M20</ns0:f>
        <ns0:v>1919.25</ns0:v>
      </ns0:c>
      <ns0:c r="N62" s="3">
        <ns0:f>'销售费用'!N20+'管理费用'!N20+'蓝恐龙费用'!N20</ns0:f>
        <ns0:v>1919.25</ns0:v>
      </ns0:c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 t="inlineStr">
        <ns0:is>
          <ns0:t>经营现金净流量</ns0:t>
        </ns0:is>
      </ns0:c>
      <ns0:c r="C63" s="3">
        <ns0:f>SUM(C61:C62)</ns0:f>
        <ns0:v>205613.05</ns0:v>
      </ns0:c>
      <ns0:c r="D63" s="3">
        <ns0:f>SUM(D61:D62)</ns0:f>
        <ns0:v>214926.09</ns0:v>
      </ns0:c>
      <ns0:c r="E63" s="3">
        <ns0:f>SUM(E61:E62)</ns0:f>
        <ns0:v>204431.60</ns0:v>
      </ns0:c>
      <ns0:c r="F63" s="3">
        <ns0:f>SUM(F61:F62)</ns0:f>
        <ns0:v>152501.92</ns0:v>
      </ns0:c>
      <ns0:c r="G63" s="3">
        <ns0:f>SUM(G61:G62)</ns0:f>
        <ns0:v>299360.97</ns0:v>
      </ns0:c>
      <ns0:c r="H63" s="3">
        <ns0:f>SUM(H61:H62)</ns0:f>
        <ns0:v>224872.61</ns0:v>
      </ns0:c>
      <ns0:c r="I63" s="3">
        <ns0:f>SUM(I61:I62)</ns0:f>
        <ns0:v>190144.43</ns0:v>
      </ns0:c>
      <ns0:c r="J63" s="3">
        <ns0:f>SUM(J61:J62)</ns0:f>
        <ns0:v>281453.65</ns0:v>
      </ns0:c>
      <ns0:c r="K63" s="3">
        <ns0:f>SUM(K61:K62)</ns0:f>
        <ns0:v>148892.02</ns0:v>
      </ns0:c>
      <ns0:c r="L63" s="3">
        <ns0:f>SUM(L61:L62)</ns0:f>
        <ns0:v>216248.53</ns0:v>
      </ns0:c>
      <ns0:c r="M63" s="3">
        <ns0:f>SUM(M61:M62)</ns0:f>
        <ns0:v>146208.67</ns0:v>
      </ns0:c>
      <ns0:c r="N63" s="3">
        <ns0:f>SUM(N61:N62)</ns0:f>
        <ns0:v>219014.69</ns0:v>
      </ns0:c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 t="inlineStr">
        <ns0:is>
          <ns0:t>投资现金净流量</ns0:t>
        </ns0:is>
      </ns0:c>
      <ns0:c r="C64" s="3">
        <ns0:f>0</ns0:f>
        <ns0:v>0</ns0:v>
      </ns0:c>
      <ns0:c r="D64" s="3">
        <ns0:f>0</ns0:f>
        <ns0:v>0</ns0:v>
      </ns0:c>
      <ns0:c r="E64" s="3">
        <ns0:f>0</ns0:f>
        <ns0:v>0</ns0:v>
      </ns0:c>
      <ns0:c r="F64" s="3">
        <ns0:f>0</ns0:f>
        <ns0:v>0</ns0:v>
      </ns0:c>
      <ns0:c r="G64" s="3">
        <ns0:f>0</ns0:f>
        <ns0:v>0</ns0:v>
      </ns0:c>
      <ns0:c r="H64" s="3">
        <ns0:f>0</ns0:f>
        <ns0:v>0</ns0:v>
      </ns0:c>
      <ns0:c r="I64" s="3">
        <ns0:f>0</ns0:f>
        <ns0:v>0</ns0:v>
      </ns0:c>
      <ns0:c r="J64" s="3">
        <ns0:f>0</ns0:f>
        <ns0:v>0</ns0:v>
      </ns0:c>
      <ns0:c r="K64" s="3">
        <ns0:f>0</ns0:f>
        <ns0:v>0</ns0:v>
      </ns0:c>
      <ns0:c r="L64" s="3">
        <ns0:f>0</ns0:f>
        <ns0:v>0</ns0:v>
      </ns0:c>
      <ns0:c r="M64" s="3">
        <ns0:f>0</ns0:f>
        <ns0:v>0</ns0:v>
      </ns0:c>
      <ns0:c r="N64" s="3">
        <ns0:f>0</ns0:f>
        <ns0:v>0</ns0:v>
      </ns0:c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 t="inlineStr">
        <ns0:is>
          <ns0:t>筹资现金净流量</ns0:t>
        </ns0:is>
      </ns0:c>
      <ns0:c r="C65" s="3">
        <ns0:f>0</ns0:f>
        <ns0:v>0</ns0:v>
      </ns0:c>
      <ns0:c r="D65" s="3">
        <ns0:f>0</ns0:f>
        <ns0:v>0</ns0:v>
      </ns0:c>
      <ns0:c r="E65" s="3">
        <ns0:f>0</ns0:f>
        <ns0:v>0</ns0:v>
      </ns0:c>
      <ns0:c r="F65" s="3">
        <ns0:f>0</ns0:f>
        <ns0:v>0</ns0:v>
      </ns0:c>
      <ns0:c r="G65" s="3">
        <ns0:f>0</ns0:f>
        <ns0:v>0</ns0:v>
      </ns0:c>
      <ns0:c r="H65" s="3">
        <ns0:f>0</ns0:f>
        <ns0:v>0</ns0:v>
      </ns0:c>
      <ns0:c r="I65" s="3">
        <ns0:f>0</ns0:f>
        <ns0:v>0</ns0:v>
      </ns0:c>
      <ns0:c r="J65" s="3">
        <ns0:f>0</ns0:f>
        <ns0:v>0</ns0:v>
      </ns0:c>
      <ns0:c r="K65" s="3">
        <ns0:f>0</ns0:f>
        <ns0:v>0</ns0:v>
      </ns0:c>
      <ns0:c r="L65" s="3">
        <ns0:f>0</ns0:f>
        <ns0:v>0</ns0:v>
      </ns0:c>
      <ns0:c r="M65" s="3">
        <ns0:f>0</ns0:f>
        <ns0:v>0</ns0:v>
      </ns0:c>
      <ns0:c r="N65" s="3">
        <ns0:f>0</ns0:f>
        <ns0:v>0</ns0:v>
      </ns0:c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 t="inlineStr">
        <ns0:is>
          <ns0:t>现金净增加</ns0:t>
        </ns0:is>
      </ns0:c>
      <ns0:c r="C66" s="3">
        <ns0:f>SUM(C63:C65)</ns0:f>
        <ns0:v>205613.05</ns0:v>
      </ns0:c>
      <ns0:c r="D66" s="3">
        <ns0:f>SUM(D63:D65)</ns0:f>
        <ns0:v>214926.09</ns0:v>
      </ns0:c>
      <ns0:c r="E66" s="3">
        <ns0:f>SUM(E63:E65)</ns0:f>
        <ns0:v>204431.60</ns0:v>
      </ns0:c>
      <ns0:c r="F66" s="3">
        <ns0:f>SUM(F63:F65)</ns0:f>
        <ns0:v>152501.92</ns0:v>
      </ns0:c>
      <ns0:c r="G66" s="3">
        <ns0:f>SUM(G63:G65)</ns0:f>
        <ns0:v>299360.97</ns0:v>
      </ns0:c>
      <ns0:c r="H66" s="3">
        <ns0:f>SUM(H63:H65)</ns0:f>
        <ns0:v>224872.61</ns0:v>
      </ns0:c>
      <ns0:c r="I66" s="3">
        <ns0:f>SUM(I63:I65)</ns0:f>
        <ns0:v>190144.43</ns0:v>
      </ns0:c>
      <ns0:c r="J66" s="3">
        <ns0:f>SUM(J63:J65)</ns0:f>
        <ns0:v>281453.65</ns0:v>
      </ns0:c>
      <ns0:c r="K66" s="3">
        <ns0:f>SUM(K63:K65)</ns0:f>
        <ns0:v>148892.02</ns0:v>
      </ns0:c>
      <ns0:c r="L66" s="3">
        <ns0:f>SUM(L63:L65)</ns0:f>
        <ns0:v>216248.53</ns0:v>
      </ns0:c>
      <ns0:c r="M66" s="3">
        <ns0:f>SUM(M63:M65)</ns0:f>
        <ns0:v>146208.67</ns0:v>
      </ns0:c>
      <ns0:c r="N66" s="3">
        <ns0:f>SUM(N63:N65)</ns0:f>
        <ns0:v>219014.69</ns0:v>
      </ns0:c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 t="inlineStr">
        <ns0:is>
          <ns0:t>期初现金</ns0:t>
        </ns0:is>
      </ns0:c>
      <ns0:c r="C67" s="3">
        <ns0:f>'资产负债表'!$C$200</ns0:f>
        <ns0:v>119067.90</ns0:v>
      </ns0:c>
      <ns0:c r="D67" s="3">
        <ns0:f>C68</ns0:f>
        <ns0:v>324680.95</ns0:v>
      </ns0:c>
      <ns0:c r="E67" s="3">
        <ns0:f>D68</ns0:f>
        <ns0:v>539607.04</ns0:v>
      </ns0:c>
      <ns0:c r="F67" s="3">
        <ns0:f>E68</ns0:f>
        <ns0:v>744038.64</ns0:v>
      </ns0:c>
      <ns0:c r="G67" s="3">
        <ns0:f>F68</ns0:f>
        <ns0:v>896540.56</ns0:v>
      </ns0:c>
      <ns0:c r="H67" s="3">
        <ns0:f>G68</ns0:f>
        <ns0:v>1195901.53</ns0:v>
      </ns0:c>
      <ns0:c r="I67" s="3">
        <ns0:f>H68</ns0:f>
        <ns0:v>1420774.14</ns0:v>
      </ns0:c>
      <ns0:c r="J67" s="3">
        <ns0:f>I68</ns0:f>
        <ns0:v>1610918.57</ns0:v>
      </ns0:c>
      <ns0:c r="K67" s="3">
        <ns0:f>J68</ns0:f>
        <ns0:v>1892372.22</ns0:v>
      </ns0:c>
      <ns0:c r="L67" s="3">
        <ns0:f>K68</ns0:f>
        <ns0:v>2041264.24</ns0:v>
      </ns0:c>
      <ns0:c r="M67" s="3">
        <ns0:f>L68</ns0:f>
        <ns0:v>2257512.77</ns0:v>
      </ns0:c>
      <ns0:c r="N67" s="3">
        <ns0:f>M68</ns0:f>
        <ns0:v>2403721.44</ns0:v>
      </ns0:c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 t="inlineStr">
        <ns0:is>
          <ns0:t>期末现金</ns0:t>
        </ns0:is>
      </ns0:c>
      <ns0:c r="C68" s="3">
        <ns0:f>SUM(C66:C67)</ns0:f>
        <ns0:v>324680.95</ns0:v>
      </ns0:c>
      <ns0:c r="D68" s="3">
        <ns0:f>SUM(D66:D67)</ns0:f>
        <ns0:v>539607.04</ns0:v>
      </ns0:c>
      <ns0:c r="E68" s="3">
        <ns0:f>SUM(E66:E67)</ns0:f>
        <ns0:v>744038.64</ns0:v>
      </ns0:c>
      <ns0:c r="F68" s="3">
        <ns0:f>SUM(F66:F67)</ns0:f>
        <ns0:v>896540.56</ns0:v>
      </ns0:c>
      <ns0:c r="G68" s="3">
        <ns0:f>SUM(G66:G67)</ns0:f>
        <ns0:v>1195901.53</ns0:v>
      </ns0:c>
      <ns0:c r="H68" s="3">
        <ns0:f>SUM(H66:H67)</ns0:f>
        <ns0:v>1420774.14</ns0:v>
      </ns0:c>
      <ns0:c r="I68" s="3">
        <ns0:f>SUM(I66:I67)</ns0:f>
        <ns0:v>1610918.57</ns0:v>
      </ns0:c>
      <ns0:c r="J68" s="3">
        <ns0:f>SUM(J66:J67)</ns0:f>
        <ns0:v>1892372.22</ns0:v>
      </ns0:c>
      <ns0:c r="K68" s="3">
        <ns0:f>SUM(K66:K67)</ns0:f>
        <ns0:v>2041264.24</ns0:v>
      </ns0:c>
      <ns0:c r="L68" s="3">
        <ns0:f>SUM(L66:L67)</ns0:f>
        <ns0:v>2257512.77</ns0:v>
      </ns0:c>
      <ns0:c r="M68" s="3">
        <ns0:f>SUM(M66:M67)</ns0:f>
        <ns0:v>2403721.44</ns0:v>
      </ns0:c>
      <ns0:c r="N68" s="3">
        <ns0:f>SUM(N66:N67)</ns0:f>
        <ns0:v>2622736.13</ns0:v>
      </ns0:c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 t="inlineStr">
        <ns0:is>
          <ns0:t>实时经营月度勾稽</ns0:t>
        </ns0:is>
      </ns0:c>
      <ns0:c r="C120" s="6" t="inlineStr">
        <ns0:is>
          <ns0:t>2027-01</ns0:t>
        </ns0:is>
      </ns0:c>
      <ns0:c r="D120" s="6" t="inlineStr">
        <ns0:is>
          <ns0:t>2027-02</ns0:t>
        </ns0:is>
      </ns0:c>
      <ns0:c r="E120" s="6" t="inlineStr">
        <ns0:is>
          <ns0:t>2027-03</ns0:t>
        </ns0:is>
      </ns0:c>
      <ns0:c r="F120" s="6" t="inlineStr">
        <ns0:is>
          <ns0:t>2027-04</ns0:t>
        </ns0:is>
      </ns0:c>
      <ns0:c r="G120" s="6" t="inlineStr">
        <ns0:is>
          <ns0:t>2027-05</ns0:t>
        </ns0:is>
      </ns0:c>
      <ns0:c r="H120" s="6" t="inlineStr">
        <ns0:is>
          <ns0:t>2027-06</ns0:t>
        </ns0:is>
      </ns0:c>
      <ns0:c r="I120" s="6" t="inlineStr">
        <ns0:is>
          <ns0:t>2027-07</ns0:t>
        </ns0:is>
      </ns0:c>
      <ns0:c r="J120" s="6" t="inlineStr">
        <ns0:is>
          <ns0:t>2027-08</ns0:t>
        </ns0:is>
      </ns0:c>
      <ns0:c r="K120" s="6" t="inlineStr">
        <ns0:is>
          <ns0:t>2027-09</ns0:t>
        </ns0:is>
      </ns0:c>
      <ns0:c r="L120" s="6" t="inlineStr">
        <ns0:is>
          <ns0:t>2027-10</ns0:t>
        </ns0:is>
      </ns0:c>
      <ns0:c r="M120" s="6" t="inlineStr">
        <ns0:is>
          <ns0:t>2027-11</ns0:t>
        </ns0:is>
      </ns0:c>
      <ns0:c r="N120" s="6" t="inlineStr">
        <ns0:is>
          <ns0:t>2027-12</ns0:t>
        </ns0:is>
      </ns0:c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 t="inlineStr">
        <ns0:is>
          <ns0:t>净利润</ns0:t>
        </ns0:is>
      </ns0:c>
      <ns0:c r="C121" s="3">
        <ns0:f>'利润表'!C129</ns0:f>
        <ns0:v>200379.69</ns0:v>
      </ns0:c>
      <ns0:c r="D121" s="3">
        <ns0:f>'利润表'!D129</ns0:f>
        <ns0:v>291170.57</ns0:v>
      </ns0:c>
      <ns0:c r="E121" s="3">
        <ns0:f>'利润表'!E129</ns0:f>
        <ns0:v>300138.77</ns0:v>
      </ns0:c>
      <ns0:c r="F121" s="3">
        <ns0:f>'利润表'!F129</ns0:f>
        <ns0:v>229725.23</ns0:v>
      </ns0:c>
      <ns0:c r="G121" s="3">
        <ns0:f>'利润表'!G129</ns0:f>
        <ns0:v>327457.53</ns0:v>
      </ns0:c>
      <ns0:c r="H121" s="3">
        <ns0:f>'利润表'!H129</ns0:f>
        <ns0:v>247144.76</ns0:v>
      </ns0:c>
      <ns0:c r="I121" s="3">
        <ns0:f>'利润表'!I129</ns0:f>
        <ns0:v>289832.29</ns0:v>
      </ns0:c>
      <ns0:c r="J121" s="3">
        <ns0:f>'利润表'!J129</ns0:f>
        <ns0:v>160530.58</ns0:v>
      </ns0:c>
      <ns0:c r="K121" s="3">
        <ns0:f>'利润表'!K129</ns0:f>
        <ns0:v>262434.98</ns0:v>
      </ns0:c>
      <ns0:c r="L121" s="3">
        <ns0:f>'利润表'!L129</ns0:f>
        <ns0:v>193442.01</ns0:v>
      </ns0:c>
      <ns0:c r="M121" s="3">
        <ns0:f>'利润表'!M129</ns0:f>
        <ns0:v>244652.17</ns0:v>
      </ns0:c>
      <ns0:c r="N121" s="3">
        <ns0:f>'利润表'!N129</ns0:f>
        <ns0:v>229775.71</ns0:v>
      </ns0:c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 t="inlineStr">
        <ns0:is>
          <ns0:t>折旧摊销加回</ns0:t>
        </ns0:is>
      </ns0:c>
      <ns0:c r="C122" s="3">
        <ns0:f>'销售费用'!C80+'管理费用'!C80+'蓝恐龙费用'!C80</ns0:f>
        <ns0:v>1872.72</ns0:v>
      </ns0:c>
      <ns0:c r="D122" s="3">
        <ns0:f>'销售费用'!D80+'管理费用'!D80+'蓝恐龙费用'!D80</ns0:f>
        <ns0:v>1872.72</ns0:v>
      </ns0:c>
      <ns0:c r="E122" s="3">
        <ns0:f>'销售费用'!E80+'管理费用'!E80+'蓝恐龙费用'!E80</ns0:f>
        <ns0:v>1872.72</ns0:v>
      </ns0:c>
      <ns0:c r="F122" s="3">
        <ns0:f>'销售费用'!F80+'管理费用'!F80+'蓝恐龙费用'!F80</ns0:f>
        <ns0:v>1872.72</ns0:v>
      </ns0:c>
      <ns0:c r="G122" s="3">
        <ns0:f>'销售费用'!G80+'管理费用'!G80+'蓝恐龙费用'!G80</ns0:f>
        <ns0:v>1872.72</ns0:v>
      </ns0:c>
      <ns0:c r="H122" s="3">
        <ns0:f>'销售费用'!H80+'管理费用'!H80+'蓝恐龙费用'!H80</ns0:f>
        <ns0:v>1872.72</ns0:v>
      </ns0:c>
      <ns0:c r="I122" s="3">
        <ns0:f>'销售费用'!I80+'管理费用'!I80+'蓝恐龙费用'!I80</ns0:f>
        <ns0:v>1872.72</ns0:v>
      </ns0:c>
      <ns0:c r="J122" s="3">
        <ns0:f>'销售费用'!J80+'管理费用'!J80+'蓝恐龙费用'!J80</ns0:f>
        <ns0:v>1872.72</ns0:v>
      </ns0:c>
      <ns0:c r="K122" s="3">
        <ns0:f>'销售费用'!K80+'管理费用'!K80+'蓝恐龙费用'!K80</ns0:f>
        <ns0:v>1872.72</ns0:v>
      </ns0:c>
      <ns0:c r="L122" s="3">
        <ns0:f>'销售费用'!L80+'管理费用'!L80+'蓝恐龙费用'!L80</ns0:f>
        <ns0:v>1872.72</ns0:v>
      </ns0:c>
      <ns0:c r="M122" s="3">
        <ns0:f>'销售费用'!M80+'管理费用'!M80+'蓝恐龙费用'!M80</ns0:f>
        <ns0:v>1872.72</ns0:v>
      </ns0:c>
      <ns0:c r="N122" s="3">
        <ns0:f>'销售费用'!N80+'管理费用'!N80+'蓝恐龙费用'!N80</ns0:f>
        <ns0:v>1872.72</ns0:v>
      </ns0:c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 t="inlineStr">
        <ns0:is>
          <ns0:t>经营现金净流量</ns0:t>
        </ns0:is>
      </ns0:c>
      <ns0:c r="C123" s="3">
        <ns0:f>SUM(C121:C122)</ns0:f>
        <ns0:v>202252.41</ns0:v>
      </ns0:c>
      <ns0:c r="D123" s="3">
        <ns0:f>SUM(D121:D122)</ns0:f>
        <ns0:v>293043.29</ns0:v>
      </ns0:c>
      <ns0:c r="E123" s="3">
        <ns0:f>SUM(E121:E122)</ns0:f>
        <ns0:v>302011.49</ns0:v>
      </ns0:c>
      <ns0:c r="F123" s="3">
        <ns0:f>SUM(F121:F122)</ns0:f>
        <ns0:v>231597.95</ns0:v>
      </ns0:c>
      <ns0:c r="G123" s="3">
        <ns0:f>SUM(G121:G122)</ns0:f>
        <ns0:v>329330.25</ns0:v>
      </ns0:c>
      <ns0:c r="H123" s="3">
        <ns0:f>SUM(H121:H122)</ns0:f>
        <ns0:v>249017.48</ns0:v>
      </ns0:c>
      <ns0:c r="I123" s="3">
        <ns0:f>SUM(I121:I122)</ns0:f>
        <ns0:v>291705.01</ns0:v>
      </ns0:c>
      <ns0:c r="J123" s="3">
        <ns0:f>SUM(J121:J122)</ns0:f>
        <ns0:v>162403.30</ns0:v>
      </ns0:c>
      <ns0:c r="K123" s="3">
        <ns0:f>SUM(K121:K122)</ns0:f>
        <ns0:v>264307.70</ns0:v>
      </ns0:c>
      <ns0:c r="L123" s="3">
        <ns0:f>SUM(L121:L122)</ns0:f>
        <ns0:v>195314.73</ns0:v>
      </ns0:c>
      <ns0:c r="M123" s="3">
        <ns0:f>SUM(M121:M122)</ns0:f>
        <ns0:v>246524.89</ns0:v>
      </ns0:c>
      <ns0:c r="N123" s="3">
        <ns0:f>SUM(N121:N122)</ns0:f>
        <ns0:v>231648.43</ns0:v>
      </ns0:c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 t="inlineStr">
        <ns0:is>
          <ns0:t>投资现金净流量</ns0:t>
        </ns0:is>
      </ns0:c>
      <ns0:c r="C124" s="3">
        <ns0:f>0</ns0:f>
        <ns0:v>0</ns0:v>
      </ns0:c>
      <ns0:c r="D124" s="3">
        <ns0:f>0</ns0:f>
        <ns0:v>0</ns0:v>
      </ns0:c>
      <ns0:c r="E124" s="3">
        <ns0:f>0</ns0:f>
        <ns0:v>0</ns0:v>
      </ns0:c>
      <ns0:c r="F124" s="3">
        <ns0:f>0</ns0:f>
        <ns0:v>0</ns0:v>
      </ns0:c>
      <ns0:c r="G124" s="3">
        <ns0:f>0</ns0:f>
        <ns0:v>0</ns0:v>
      </ns0:c>
      <ns0:c r="H124" s="3">
        <ns0:f>0</ns0:f>
        <ns0:v>0</ns0:v>
      </ns0:c>
      <ns0:c r="I124" s="3">
        <ns0:f>0</ns0:f>
        <ns0:v>0</ns0:v>
      </ns0:c>
      <ns0:c r="J124" s="3">
        <ns0:f>0</ns0:f>
        <ns0:v>0</ns0:v>
      </ns0:c>
      <ns0:c r="K124" s="3">
        <ns0:f>0</ns0:f>
        <ns0:v>0</ns0:v>
      </ns0:c>
      <ns0:c r="L124" s="3">
        <ns0:f>0</ns0:f>
        <ns0:v>0</ns0:v>
      </ns0:c>
      <ns0:c r="M124" s="3">
        <ns0:f>0</ns0:f>
        <ns0:v>0</ns0:v>
      </ns0:c>
      <ns0:c r="N124" s="3">
        <ns0:f>0</ns0:f>
        <ns0:v>0</ns0:v>
      </ns0:c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 t="inlineStr">
        <ns0:is>
          <ns0:t>筹资现金净流量</ns0:t>
        </ns0:is>
      </ns0:c>
      <ns0:c r="C125" s="3">
        <ns0:f>0</ns0:f>
        <ns0:v>0</ns0:v>
      </ns0:c>
      <ns0:c r="D125" s="3">
        <ns0:f>0</ns0:f>
        <ns0:v>0</ns0:v>
      </ns0:c>
      <ns0:c r="E125" s="3">
        <ns0:f>0</ns0:f>
        <ns0:v>0</ns0:v>
      </ns0:c>
      <ns0:c r="F125" s="3">
        <ns0:f>0</ns0:f>
        <ns0:v>0</ns0:v>
      </ns0:c>
      <ns0:c r="G125" s="3">
        <ns0:f>0</ns0:f>
        <ns0:v>0</ns0:v>
      </ns0:c>
      <ns0:c r="H125" s="3">
        <ns0:f>0</ns0:f>
        <ns0:v>0</ns0:v>
      </ns0:c>
      <ns0:c r="I125" s="3">
        <ns0:f>0</ns0:f>
        <ns0:v>0</ns0:v>
      </ns0:c>
      <ns0:c r="J125" s="3">
        <ns0:f>0</ns0:f>
        <ns0:v>0</ns0:v>
      </ns0:c>
      <ns0:c r="K125" s="3">
        <ns0:f>0</ns0:f>
        <ns0:v>0</ns0:v>
      </ns0:c>
      <ns0:c r="L125" s="3">
        <ns0:f>0</ns0:f>
        <ns0:v>0</ns0:v>
      </ns0:c>
      <ns0:c r="M125" s="3">
        <ns0:f>0</ns0:f>
        <ns0:v>0</ns0:v>
      </ns0:c>
      <ns0:c r="N125" s="3">
        <ns0:f>0</ns0:f>
        <ns0:v>0</ns0:v>
      </ns0:c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 t="inlineStr">
        <ns0:is>
          <ns0:t>现金净增加</ns0:t>
        </ns0:is>
      </ns0:c>
      <ns0:c r="C126" s="3">
        <ns0:f>SUM(C123:C125)</ns0:f>
        <ns0:v>202252.41</ns0:v>
      </ns0:c>
      <ns0:c r="D126" s="3">
        <ns0:f>SUM(D123:D125)</ns0:f>
        <ns0:v>293043.29</ns0:v>
      </ns0:c>
      <ns0:c r="E126" s="3">
        <ns0:f>SUM(E123:E125)</ns0:f>
        <ns0:v>302011.49</ns0:v>
      </ns0:c>
      <ns0:c r="F126" s="3">
        <ns0:f>SUM(F123:F125)</ns0:f>
        <ns0:v>231597.95</ns0:v>
      </ns0:c>
      <ns0:c r="G126" s="3">
        <ns0:f>SUM(G123:G125)</ns0:f>
        <ns0:v>329330.25</ns0:v>
      </ns0:c>
      <ns0:c r="H126" s="3">
        <ns0:f>SUM(H123:H125)</ns0:f>
        <ns0:v>249017.48</ns0:v>
      </ns0:c>
      <ns0:c r="I126" s="3">
        <ns0:f>SUM(I123:I125)</ns0:f>
        <ns0:v>291705.01</ns0:v>
      </ns0:c>
      <ns0:c r="J126" s="3">
        <ns0:f>SUM(J123:J125)</ns0:f>
        <ns0:v>162403.30</ns0:v>
      </ns0:c>
      <ns0:c r="K126" s="3">
        <ns0:f>SUM(K123:K125)</ns0:f>
        <ns0:v>264307.70</ns0:v>
      </ns0:c>
      <ns0:c r="L126" s="3">
        <ns0:f>SUM(L123:L125)</ns0:f>
        <ns0:v>195314.73</ns0:v>
      </ns0:c>
      <ns0:c r="M126" s="3">
        <ns0:f>SUM(M123:M125)</ns0:f>
        <ns0:v>246524.89</ns0:v>
      </ns0:c>
      <ns0:c r="N126" s="3">
        <ns0:f>SUM(N123:N125)</ns0:f>
        <ns0:v>231648.43</ns0:v>
      </ns0:c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 t="inlineStr">
        <ns0:is>
          <ns0:t>期初现金</ns0:t>
        </ns0:is>
      </ns0:c>
      <ns0:c r="C127" s="3">
        <ns0:f>'资产负债表'!$C$260</ns0:f>
        <ns0:v>128640.85</ns0:v>
      </ns0:c>
      <ns0:c r="D127" s="3">
        <ns0:f>C128</ns0:f>
        <ns0:v>330893.26</ns0:v>
      </ns0:c>
      <ns0:c r="E127" s="3">
        <ns0:f>D128</ns0:f>
        <ns0:v>623936.55</ns0:v>
      </ns0:c>
      <ns0:c r="F127" s="3">
        <ns0:f>E128</ns0:f>
        <ns0:v>925948.04</ns0:v>
      </ns0:c>
      <ns0:c r="G127" s="3">
        <ns0:f>F128</ns0:f>
        <ns0:v>1157545.99</ns0:v>
      </ns0:c>
      <ns0:c r="H127" s="3">
        <ns0:f>G128</ns0:f>
        <ns0:v>1486876.24</ns0:v>
      </ns0:c>
      <ns0:c r="I127" s="3">
        <ns0:f>H128</ns0:f>
        <ns0:v>1735893.72</ns0:v>
      </ns0:c>
      <ns0:c r="J127" s="3">
        <ns0:f>I128</ns0:f>
        <ns0:v>2027598.73</ns0:v>
      </ns0:c>
      <ns0:c r="K127" s="3">
        <ns0:f>J128</ns0:f>
        <ns0:v>2190002.03</ns0:v>
      </ns0:c>
      <ns0:c r="L127" s="3">
        <ns0:f>K128</ns0:f>
        <ns0:v>2454309.73</ns0:v>
      </ns0:c>
      <ns0:c r="M127" s="3">
        <ns0:f>L128</ns0:f>
        <ns0:v>2649624.46</ns0:v>
      </ns0:c>
      <ns0:c r="N127" s="3">
        <ns0:f>M128</ns0:f>
        <ns0:v>2896149.35</ns0:v>
      </ns0:c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 t="inlineStr">
        <ns0:is>
          <ns0:t>期末现金</ns0:t>
        </ns0:is>
      </ns0:c>
      <ns0:c r="C128" s="3">
        <ns0:f>SUM(C126:C127)</ns0:f>
        <ns0:v>330893.26</ns0:v>
      </ns0:c>
      <ns0:c r="D128" s="3">
        <ns0:f>SUM(D126:D127)</ns0:f>
        <ns0:v>623936.55</ns0:v>
      </ns0:c>
      <ns0:c r="E128" s="3">
        <ns0:f>SUM(E126:E127)</ns0:f>
        <ns0:v>925948.04</ns0:v>
      </ns0:c>
      <ns0:c r="F128" s="3">
        <ns0:f>SUM(F126:F127)</ns0:f>
        <ns0:v>1157545.99</ns0:v>
      </ns0:c>
      <ns0:c r="G128" s="3">
        <ns0:f>SUM(G126:G127)</ns0:f>
        <ns0:v>1486876.24</ns0:v>
      </ns0:c>
      <ns0:c r="H128" s="3">
        <ns0:f>SUM(H126:H127)</ns0:f>
        <ns0:v>1735893.72</ns0:v>
      </ns0:c>
      <ns0:c r="I128" s="3">
        <ns0:f>SUM(I126:I127)</ns0:f>
        <ns0:v>2027598.73</ns0:v>
      </ns0:c>
      <ns0:c r="J128" s="3">
        <ns0:f>SUM(J126:J127)</ns0:f>
        <ns0:v>2190002.03</ns0:v>
      </ns0:c>
      <ns0:c r="K128" s="3">
        <ns0:f>SUM(K126:K127)</ns0:f>
        <ns0:v>2454309.73</ns0:v>
      </ns0:c>
      <ns0:c r="L128" s="3">
        <ns0:f>SUM(L126:L127)</ns0:f>
        <ns0:v>2649624.46</ns0:v>
      </ns0:c>
      <ns0:c r="M128" s="3">
        <ns0:f>SUM(M126:M127)</ns0:f>
        <ns0:v>2896149.35</ns0:v>
      </ns0:c>
      <ns0:c r="N128" s="3">
        <ns0:f>SUM(N126:N127)</ns0:f>
        <ns0:v>3127797.78</ns0:v>
      </ns0:c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D1"/>
  </ns0:mergeCells>
  <ns0:pageMargins left="0.7" right="0.7" top="0.75" bottom="0.75" header="0.3" footer="0.3"/>
</ns0:worksheet>
</file>

<file path=xl/worksheets/sheet4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2.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5.75" hidden="0" customWidth="1"/>
    <ns0:col min="17" max="17" width="14.875" hidden="0" customWidth="1"/>
    <ns0:col min="18" max="18" width="9" hidden="0" customWidth="1"/>
    <ns0:col min="19" max="19" width="12.875" hidden="0" customWidth="1"/>
    <ns0:col min="20" max="20" width="15.75" hidden="0" customWidth="1"/>
    <ns0:col min="21" max="21" width="15.75" hidden="0" customWidth="1"/>
    <ns0:col min="22" max="22" width="18.25" hidden="0" customWidth="1"/>
    <ns0:col min="50" max="50" width="20" hidden="0" customWidth="1"/>
    <ns0:col min="51" max="51" width="65" hidden="0" customWidth="1"/>
    <ns0:col min="23" max="23" width="18.875" hidden="0" customWidth="1"/>
    <ns0:col min="24" max="24" width="11.625" hidden="0" customWidth="1"/>
    <ns0:col min="25" max="25" width="18.25" hidden="0" customWidth="1"/>
    <ns0:col min="26" max="26" width="18.25" hidden="0" customWidth="1"/>
    <ns0:col min="27" max="27" width="13" hidden="0" customWidth="1"/>
    <ns0:col min="28" max="28" width="13" hidden="0" customWidth="1"/>
    <ns0:col min="29" max="29" width="13.125" hidden="0" customWidth="1"/>
    <ns0:col min="30" max="30" width="13.125" hidden="0" customWidth="1"/>
    <ns0:col min="31" max="31" width="11.625" hidden="0" customWidth="1"/>
    <ns0:col min="32" max="32" width="11.625" hidden="0" customWidth="1"/>
    <ns0:col min="33" max="33" width="11.125" hidden="0" customWidth="1"/>
    <ns0:col min="34" max="34" width="14.62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/>
      <ns0:c r="B2" s="2"/>
      <ns0:c r="C2" s="3"/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/>
      <ns0:c r="B3" s="2" t="inlineStr">
        <ns0:is>
          <ns0:t>电视剧</ns0:t>
        </ns0:is>
      </ns0:c>
      <ns0:c r="C3" s="6"/>
      <ns0:c r="D3" s="6" t="inlineStr">
        <ns0:is>
          <ns0:t>项目名称</ns0:t>
        </ns0:is>
      </ns0:c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/>
      <ns0:c r="B4" s="2"/>
      <ns0:c r="C4" s="3"/>
      <ns0:c r="D4" s="3"/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/>
      <ns0:c r="B5" s="2"/>
      <ns0:c r="C5" s="3"/>
      <ns0:c r="D5" s="3"/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/>
      <ns0:c r="B6" s="2"/>
      <ns0:c r="C6" s="3"/>
      <ns0:c r="D6" s="3"/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/>
      <ns0:c r="C7" s="3"/>
      <ns0:c r="D7" s="3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2"/>
      <ns0:c r="C8" s="3"/>
      <ns0:c r="D8" s="3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实际数据状态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/>
      <ns0:c r="AY16" s="2"/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蓝色为输入参数；实际数为占位；金额单位：元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 t="inlineStr">
        <ns0:is>
          <ns0:t>预算基础（月度，元）</ns0:t>
        </ns0:is>
      </ns0:c>
      <ns0:c r="C30" s="6" t="inlineStr">
        <ns0:is>
          <ns0:t>2027-01</ns0:t>
        </ns0:is>
      </ns0:c>
      <ns0:c r="D30" s="6" t="inlineStr">
        <ns0:is>
          <ns0:t>2027-02</ns0:t>
        </ns0:is>
      </ns0:c>
      <ns0:c r="E30" s="6" t="inlineStr">
        <ns0:is>
          <ns0:t>2027-03</ns0:t>
        </ns0:is>
      </ns0:c>
      <ns0:c r="F30" s="6" t="inlineStr">
        <ns0:is>
          <ns0:t>2027-04</ns0:t>
        </ns0:is>
      </ns0:c>
      <ns0:c r="G30" s="6" t="inlineStr">
        <ns0:is>
          <ns0:t>2027-05</ns0:t>
        </ns0:is>
      </ns0:c>
      <ns0:c r="H30" s="6" t="inlineStr">
        <ns0:is>
          <ns0:t>2027-06</ns0:t>
        </ns0:is>
      </ns0:c>
      <ns0:c r="I30" s="6" t="inlineStr">
        <ns0:is>
          <ns0:t>2027-07</ns0:t>
        </ns0:is>
      </ns0:c>
      <ns0:c r="J30" s="6" t="inlineStr">
        <ns0:is>
          <ns0:t>2027-08</ns0:t>
        </ns0:is>
      </ns0:c>
      <ns0:c r="K30" s="6" t="inlineStr">
        <ns0:is>
          <ns0:t>2027-09</ns0:t>
        </ns0:is>
      </ns0:c>
      <ns0:c r="L30" s="6" t="inlineStr">
        <ns0:is>
          <ns0:t>2027-10</ns0:t>
        </ns0:is>
      </ns0:c>
      <ns0:c r="M30" s="6" t="inlineStr">
        <ns0:is>
          <ns0:t>2027-11</ns0:t>
        </ns0:is>
      </ns0:c>
      <ns0:c r="N30" s="6" t="inlineStr">
        <ns0:is>
          <ns0:t>2027-12</ns0:t>
        </ns0:is>
      </ns0:c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2" t="inlineStr">
        <ns0:is>
          <ns0:t>授权单价</ns0:t>
        </ns0:is>
      </ns0:c>
      <ns0:c r="C31" s="4">
        <ns0:v>2089.68</ns0:v>
      </ns0:c>
      <ns0:c r="D31" s="4">
        <ns0:v>2237.13</ns0:v>
      </ns0:c>
      <ns0:c r="E31" s="4">
        <ns0:v>2311.02</ns0:v>
      </ns0:c>
      <ns0:c r="F31" s="4">
        <ns0:v>1414.64</ns0:v>
      </ns0:c>
      <ns0:c r="G31" s="4">
        <ns0:v>1987.84</ns0:v>
      </ns0:c>
      <ns0:c r="H31" s="4">
        <ns0:v>2158.89</ns0:v>
      </ns0:c>
      <ns0:c r="I31" s="4">
        <ns0:v>1652.26</ns0:v>
      </ns0:c>
      <ns0:c r="J31" s="4">
        <ns0:v>2742.06</ns0:v>
      </ns0:c>
      <ns0:c r="K31" s="4">
        <ns0:v>2052.54</ns0:v>
      </ns0:c>
      <ns0:c r="L31" s="4">
        <ns0:v>1908.36</ns0:v>
      </ns0:c>
      <ns0:c r="M31" s="4">
        <ns0:v>1438.53</ns0:v>
      </ns0:c>
      <ns0:c r="N31" s="4">
        <ns0:v>1890.83</ns0:v>
      </ns0:c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授权数量</ns0:t>
        </ns0:is>
      </ns0:c>
      <ns0:c r="C32" s="4">
        <ns0:v>134.68</ns0:v>
      </ns0:c>
      <ns0:c r="D32" s="4">
        <ns0:v>124.26</ns0:v>
      </ns0:c>
      <ns0:c r="E32" s="4">
        <ns0:v>95.86</ns0:v>
      </ns0:c>
      <ns0:c r="F32" s="4">
        <ns0:v>102.73</ns0:v>
      </ns0:c>
      <ns0:c r="G32" s="4">
        <ns0:v>111.31</ns0:v>
      </ns0:c>
      <ns0:c r="H32" s="4">
        <ns0:v>111.39</ns0:v>
      </ns0:c>
      <ns0:c r="I32" s="4">
        <ns0:v>96.99</ns0:v>
      </ns0:c>
      <ns0:c r="J32" s="4">
        <ns0:v>115.65</ns0:v>
      </ns0:c>
      <ns0:c r="K32" s="4">
        <ns0:v>83.22</ns0:v>
      </ns0:c>
      <ns0:c r="L32" s="4">
        <ns0:v>84.78</ns0:v>
      </ns0:c>
      <ns0:c r="M32" s="4">
        <ns0:v>126.69</ns0:v>
      </ns0:c>
      <ns0:c r="N32" s="4">
        <ns0:v>116.04</ns0:v>
      </ns0:c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2" t="inlineStr">
        <ns0:is>
          <ns0:t>营业收入</ns0:t>
        </ns0:is>
      </ns0:c>
      <ns0:c r="C33" s="3">
        <ns0:f>ROUND(C31*C32,2)</ns0:f>
        <ns0:v>281438.10</ns0:v>
      </ns0:c>
      <ns0:c r="D33" s="3">
        <ns0:f>ROUND(D31*D32,2)</ns0:f>
        <ns0:v>277985.77</ns0:v>
      </ns0:c>
      <ns0:c r="E33" s="3">
        <ns0:f>ROUND(E31*E32,2)</ns0:f>
        <ns0:v>221534.38</ns0:v>
      </ns0:c>
      <ns0:c r="F33" s="3">
        <ns0:f>ROUND(F31*F32,2)</ns0:f>
        <ns0:v>145325.97</ns0:v>
      </ns0:c>
      <ns0:c r="G33" s="3">
        <ns0:f>ROUND(G31*G32,2)</ns0:f>
        <ns0:v>221266.47</ns0:v>
      </ns0:c>
      <ns0:c r="H33" s="3">
        <ns0:f>ROUND(H31*H32,2)</ns0:f>
        <ns0:v>240478.76</ns0:v>
      </ns0:c>
      <ns0:c r="I33" s="3">
        <ns0:f>ROUND(I31*I32,2)</ns0:f>
        <ns0:v>160252.70</ns0:v>
      </ns0:c>
      <ns0:c r="J33" s="3">
        <ns0:f>ROUND(J31*J32,2)</ns0:f>
        <ns0:v>317119.24</ns0:v>
      </ns0:c>
      <ns0:c r="K33" s="3">
        <ns0:f>ROUND(K31*K32,2)</ns0:f>
        <ns0:v>170812.38</ns0:v>
      </ns0:c>
      <ns0:c r="L33" s="3">
        <ns0:f>ROUND(L31*L32,2)</ns0:f>
        <ns0:v>161790.76</ns0:v>
      </ns0:c>
      <ns0:c r="M33" s="3">
        <ns0:f>ROUND(M31*M32,2)</ns0:f>
        <ns0:v>182247.37</ns0:v>
      </ns0:c>
      <ns0:c r="N33" s="3">
        <ns0:f>ROUND(N31*N32,2)</ns0:f>
        <ns0:v>219411.91</ns0:v>
      </ns0:c>
      <ns0:c r="O33" s="3">
        <ns0:f>SUM(C33:N33)</ns0:f>
        <ns0:v>2599663.81</ns0:v>
      </ns0:c>
      <ns0:c r="P33" s="2" t="inlineStr">
        <ns0:is>
          <ns0:t>REV1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2" t="inlineStr">
        <ns0:is>
          <ns0:t>单位采购成本</ns0:t>
        </ns0:is>
      </ns0:c>
      <ns0:c r="C34" s="4">
        <ns0:v>724.97</ns0:v>
      </ns0:c>
      <ns0:c r="D34" s="4">
        <ns0:v>739.95</ns0:v>
      </ns0:c>
      <ns0:c r="E34" s="4">
        <ns0:v>692.18</ns0:v>
      </ns0:c>
      <ns0:c r="F34" s="4">
        <ns0:v>685.21</ns0:v>
      </ns0:c>
      <ns0:c r="G34" s="4">
        <ns0:v>593.68</ns0:v>
      </ns0:c>
      <ns0:c r="H34" s="4">
        <ns0:v>753.72</ns0:v>
      </ns0:c>
      <ns0:c r="I34" s="4">
        <ns0:v>672.58</ns0:v>
      </ns0:c>
      <ns0:c r="J34" s="4">
        <ns0:v>642.94</ns0:v>
      </ns0:c>
      <ns0:c r="K34" s="4">
        <ns0:v>843.83</ns0:v>
      </ns0:c>
      <ns0:c r="L34" s="4">
        <ns0:v>734.06</ns0:v>
      </ns0:c>
      <ns0:c r="M34" s="4">
        <ns0:v>520.16</ns0:v>
      </ns0:c>
      <ns0:c r="N34" s="4">
        <ns0:v>749.44</ns0:v>
      </ns0:c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 t="inlineStr">
        <ns0:is>
          <ns0:t>采购数量</ns0:t>
        </ns0:is>
      </ns0:c>
      <ns0:c r="C35" s="3">
        <ns0:f>C32</ns0:f>
        <ns0:v>134.68</ns0:v>
      </ns0:c>
      <ns0:c r="D35" s="3">
        <ns0:f>D32</ns0:f>
        <ns0:v>124.26</ns0:v>
      </ns0:c>
      <ns0:c r="E35" s="3">
        <ns0:f>E32</ns0:f>
        <ns0:v>95.86</ns0:v>
      </ns0:c>
      <ns0:c r="F35" s="3">
        <ns0:f>F32</ns0:f>
        <ns0:v>102.73</ns0:v>
      </ns0:c>
      <ns0:c r="G35" s="3">
        <ns0:f>G32</ns0:f>
        <ns0:v>111.31</ns0:v>
      </ns0:c>
      <ns0:c r="H35" s="3">
        <ns0:f>H32</ns0:f>
        <ns0:v>111.39</ns0:v>
      </ns0:c>
      <ns0:c r="I35" s="3">
        <ns0:f>I32</ns0:f>
        <ns0:v>96.99</ns0:v>
      </ns0:c>
      <ns0:c r="J35" s="3">
        <ns0:f>J32</ns0:f>
        <ns0:v>115.65</ns0:v>
      </ns0:c>
      <ns0:c r="K35" s="3">
        <ns0:f>K32</ns0:f>
        <ns0:v>83.22</ns0:v>
      </ns0:c>
      <ns0:c r="L35" s="3">
        <ns0:f>L32</ns0:f>
        <ns0:v>84.78</ns0:v>
      </ns0:c>
      <ns0:c r="M35" s="3">
        <ns0:f>M32</ns0:f>
        <ns0:v>126.69</ns0:v>
      </ns0:c>
      <ns0:c r="N35" s="3">
        <ns0:f>N32</ns0:f>
        <ns0:v>116.04</ns0:v>
      </ns0:c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2" t="inlineStr">
        <ns0:is>
          <ns0:t>营业成本</ns0:t>
        </ns0:is>
      </ns0:c>
      <ns0:c r="C36" s="3">
        <ns0:f>ROUND(C34*C35,2)</ns0:f>
        <ns0:v>97638.96</ns0:v>
      </ns0:c>
      <ns0:c r="D36" s="3">
        <ns0:f>ROUND(D34*D35,2)</ns0:f>
        <ns0:v>91946.19</ns0:v>
      </ns0:c>
      <ns0:c r="E36" s="3">
        <ns0:f>ROUND(E34*E35,2)</ns0:f>
        <ns0:v>66352.37</ns0:v>
      </ns0:c>
      <ns0:c r="F36" s="3">
        <ns0:f>ROUND(F34*F35,2)</ns0:f>
        <ns0:v>70391.62</ns0:v>
      </ns0:c>
      <ns0:c r="G36" s="3">
        <ns0:f>ROUND(G34*G35,2)</ns0:f>
        <ns0:v>66082.52</ns0:v>
      </ns0:c>
      <ns0:c r="H36" s="3">
        <ns0:f>ROUND(H34*H35,2)</ns0:f>
        <ns0:v>83956.87</ns0:v>
      </ns0:c>
      <ns0:c r="I36" s="3">
        <ns0:f>ROUND(I34*I35,2)</ns0:f>
        <ns0:v>65233.53</ns0:v>
      </ns0:c>
      <ns0:c r="J36" s="3">
        <ns0:f>ROUND(J34*J35,2)</ns0:f>
        <ns0:v>74356.01</ns0:v>
      </ns0:c>
      <ns0:c r="K36" s="3">
        <ns0:f>ROUND(K34*K35,2)</ns0:f>
        <ns0:v>70223.53</ns0:v>
      </ns0:c>
      <ns0:c r="L36" s="3">
        <ns0:f>ROUND(L34*L35,2)</ns0:f>
        <ns0:v>62233.61</ns0:v>
      </ns0:c>
      <ns0:c r="M36" s="3">
        <ns0:f>ROUND(M34*M35,2)</ns0:f>
        <ns0:v>65899.07</ns0:v>
      </ns0:c>
      <ns0:c r="N36" s="3">
        <ns0:f>ROUND(N34*N35,2)</ns0:f>
        <ns0:v>86965.02</ns0:v>
      </ns0:c>
      <ns0:c r="O36" s="3">
        <ns0:f>SUM(C36:N36)</ns0:f>
        <ns0:v>901279.30</ns0:v>
      </ns0:c>
      <ns0:c r="P36" s="2" t="inlineStr">
        <ns0:is>
          <ns0:t>COGS1</ns0:t>
        </ns0:is>
      </ns0:c>
      <ns0:c r="Q36" s="2" t="inlineStr">
        <ns0:is>
          <ns0:t>演示占位-v1</ns0:t>
        </ns0:is>
      </ns0:c>
      <ns0:c r="R36" s="2" t="inlineStr">
        <ns0:is>
          <ns0:t>模拟权责发生制</ns0:t>
        </ns0:is>
      </ns0:c>
      <ns0:c r="S36" s="2" t="inlineStr">
        <ns0:is>
          <ns0:t>2027-01</ns0:t>
        </ns0:is>
      </ns0:c>
      <ns0:c r="T36" s="2" t="inlineStr">
        <ns0:is>
          <ns0:t>2027-06</ns0:t>
        </ns0:is>
      </ns0:c>
      <ns0:c r="U36" s="2" t="inlineStr">
        <ns0:is>
          <ns0:t>无</ns0:t>
        </ns0:is>
      </ns0:c>
      <ns0:c r="V36" s="2" t="inlineStr">
        <ns0:is>
          <ns0:t>无</ns0:t>
        </ns0:is>
      </ns0:c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 t="inlineStr">
        <ns0:is>
          <ns0:t>采购金额（占位）</ns0:t>
        </ns0:is>
      </ns0:c>
      <ns0:c r="C37" s="3">
        <ns0:f>C36</ns0:f>
        <ns0:v>97638.96</ns0:v>
      </ns0:c>
      <ns0:c r="D37" s="3">
        <ns0:f>D36</ns0:f>
        <ns0:v>91946.19</ns0:v>
      </ns0:c>
      <ns0:c r="E37" s="3">
        <ns0:f>E36</ns0:f>
        <ns0:v>66352.37</ns0:v>
      </ns0:c>
      <ns0:c r="F37" s="3">
        <ns0:f>F36</ns0:f>
        <ns0:v>70391.62</ns0:v>
      </ns0:c>
      <ns0:c r="G37" s="3">
        <ns0:f>G36</ns0:f>
        <ns0:v>66082.52</ns0:v>
      </ns0:c>
      <ns0:c r="H37" s="3">
        <ns0:f>H36</ns0:f>
        <ns0:v>83956.87</ns0:v>
      </ns0:c>
      <ns0:c r="I37" s="3">
        <ns0:f>I36</ns0:f>
        <ns0:v>65233.53</ns0:v>
      </ns0:c>
      <ns0:c r="J37" s="3">
        <ns0:f>J36</ns0:f>
        <ns0:v>74356.01</ns0:v>
      </ns0:c>
      <ns0:c r="K37" s="3">
        <ns0:f>K36</ns0:f>
        <ns0:v>70223.53</ns0:v>
      </ns0:c>
      <ns0:c r="L37" s="3">
        <ns0:f>L36</ns0:f>
        <ns0:v>62233.61</ns0:v>
      </ns0:c>
      <ns0:c r="M37" s="3">
        <ns0:f>M36</ns0:f>
        <ns0:v>65899.07</ns0:v>
      </ns0:c>
      <ns0:c r="N37" s="3">
        <ns0:f>N36</ns0:f>
        <ns0:v>86965.02</ns0:v>
      </ns0:c>
      <ns0:c r="O37" s="3">
        <ns0:f>SUM(C37:N37)</ns0:f>
        <ns0:v>901279.30</ns0:v>
      </ns0:c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 t="inlineStr">
        <ns0:is>
          <ns0:t>实时经营（月度，元）</ns0:t>
        </ns0:is>
      </ns0:c>
      <ns0:c r="C90" s="6" t="inlineStr">
        <ns0:is>
          <ns0:t>2027-01</ns0:t>
        </ns0:is>
      </ns0:c>
      <ns0:c r="D90" s="6" t="inlineStr">
        <ns0:is>
          <ns0:t>2027-02</ns0:t>
        </ns0:is>
      </ns0:c>
      <ns0:c r="E90" s="6" t="inlineStr">
        <ns0:is>
          <ns0:t>2027-03</ns0:t>
        </ns0:is>
      </ns0:c>
      <ns0:c r="F90" s="6" t="inlineStr">
        <ns0:is>
          <ns0:t>2027-04</ns0:t>
        </ns0:is>
      </ns0:c>
      <ns0:c r="G90" s="6" t="inlineStr">
        <ns0:is>
          <ns0:t>2027-05</ns0:t>
        </ns0:is>
      </ns0:c>
      <ns0:c r="H90" s="6" t="inlineStr">
        <ns0:is>
          <ns0:t>2027-06</ns0:t>
        </ns0:is>
      </ns0:c>
      <ns0:c r="I90" s="6" t="inlineStr">
        <ns0:is>
          <ns0:t>2027-07</ns0:t>
        </ns0:is>
      </ns0:c>
      <ns0:c r="J90" s="6" t="inlineStr">
        <ns0:is>
          <ns0:t>2027-08</ns0:t>
        </ns0:is>
      </ns0:c>
      <ns0:c r="K90" s="6" t="inlineStr">
        <ns0:is>
          <ns0:t>2027-09</ns0:t>
        </ns0:is>
      </ns0:c>
      <ns0:c r="L90" s="6" t="inlineStr">
        <ns0:is>
          <ns0:t>2027-10</ns0:t>
        </ns0:is>
      </ns0:c>
      <ns0:c r="M90" s="6" t="inlineStr">
        <ns0:is>
          <ns0:t>2027-11</ns0:t>
        </ns0:is>
      </ns0:c>
      <ns0:c r="N90" s="6" t="inlineStr">
        <ns0:is>
          <ns0:t>2027-12</ns0:t>
        </ns0:is>
      </ns0:c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 t="inlineStr">
        <ns0:is>
          <ns0:t>授权单价</ns0:t>
        </ns0:is>
      </ns0:c>
      <ns0:c r="C91" s="4">
        <ns0:v>1479.86</ns0:v>
      </ns0:c>
      <ns0:c r="D91" s="4">
        <ns0:v>2653.25</ns0:v>
      </ns0:c>
      <ns0:c r="E91" s="4">
        <ns0:v>2077.66</ns0:v>
      </ns0:c>
      <ns0:c r="F91" s="4">
        <ns0:v>2385.44</ns0:v>
      </ns0:c>
      <ns0:c r="G91" s="4">
        <ns0:v>2359.03</ns0:v>
      </ns0:c>
      <ns0:c r="H91" s="4">
        <ns0:v>1869.75</ns0:v>
      </ns0:c>
      <ns0:c r="I91" s="4">
        <ns0:v>1887.76</ns0:v>
      </ns0:c>
      <ns0:c r="J91" s="4">
        <ns0:v>2038.78</ns0:v>
      </ns0:c>
      <ns0:c r="K91" s="4">
        <ns0:v>2172.11</ns0:v>
      </ns0:c>
      <ns0:c r="L91" s="4">
        <ns0:v>2233.37</ns0:v>
      </ns0:c>
      <ns0:c r="M91" s="4">
        <ns0:v>1992.94</ns0:v>
      </ns0:c>
      <ns0:c r="N91" s="4">
        <ns0:v>2089.68</ns0:v>
      </ns0:c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 t="inlineStr">
        <ns0:is>
          <ns0:t>授权数量</ns0:t>
        </ns0:is>
      </ns0:c>
      <ns0:c r="C92" s="4">
        <ns0:v>140.37</ns0:v>
      </ns0:c>
      <ns0:c r="D92" s="4">
        <ns0:v>96.14</ns0:v>
      </ns0:c>
      <ns0:c r="E92" s="4">
        <ns0:v>138.74</ns0:v>
      </ns0:c>
      <ns0:c r="F92" s="4">
        <ns0:v>97.86</ns0:v>
      </ns0:c>
      <ns0:c r="G92" s="4">
        <ns0:v>113.64</ns0:v>
      </ns0:c>
      <ns0:c r="H92" s="4">
        <ns0:v>97.40</ns0:v>
      </ns0:c>
      <ns0:c r="I92" s="4">
        <ns0:v>127.48</ns0:v>
      </ns0:c>
      <ns0:c r="J92" s="4">
        <ns0:v>98.01</ns0:v>
      </ns0:c>
      <ns0:c r="K92" s="4">
        <ns0:v>121.69</ns0:v>
      </ns0:c>
      <ns0:c r="L92" s="4">
        <ns0:v>94.84</ns0:v>
      </ns0:c>
      <ns0:c r="M92" s="4">
        <ns0:v>107.29</ns0:v>
      </ns0:c>
      <ns0:c r="N92" s="4">
        <ns0:v>109.02</ns0:v>
      </ns0:c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 t="inlineStr">
        <ns0:is>
          <ns0:t>营业收入</ns0:t>
        </ns0:is>
      </ns0:c>
      <ns0:c r="C93" s="3">
        <ns0:f>ROUND(C91*C92,2)</ns0:f>
        <ns0:v>207727.95</ns0:v>
      </ns0:c>
      <ns0:c r="D93" s="3">
        <ns0:f>ROUND(D91*D92,2)</ns0:f>
        <ns0:v>255083.46</ns0:v>
      </ns0:c>
      <ns0:c r="E93" s="3">
        <ns0:f>ROUND(E91*E92,2)</ns0:f>
        <ns0:v>288254.55</ns0:v>
      </ns0:c>
      <ns0:c r="F93" s="3">
        <ns0:f>ROUND(F91*F92,2)</ns0:f>
        <ns0:v>233439.16</ns0:v>
      </ns0:c>
      <ns0:c r="G93" s="3">
        <ns0:f>ROUND(G91*G92,2)</ns0:f>
        <ns0:v>268080.17</ns0:v>
      </ns0:c>
      <ns0:c r="H93" s="3">
        <ns0:f>ROUND(H91*H92,2)</ns0:f>
        <ns0:v>182113.65</ns0:v>
      </ns0:c>
      <ns0:c r="I93" s="3">
        <ns0:f>ROUND(I91*I92,2)</ns0:f>
        <ns0:v>240651.64</ns0:v>
      </ns0:c>
      <ns0:c r="J93" s="3">
        <ns0:f>ROUND(J91*J92,2)</ns0:f>
        <ns0:v>199820.83</ns0:v>
      </ns0:c>
      <ns0:c r="K93" s="3">
        <ns0:f>ROUND(K91*K92,2)</ns0:f>
        <ns0:v>264324.07</ns0:v>
      </ns0:c>
      <ns0:c r="L93" s="3">
        <ns0:f>ROUND(L91*L92,2)</ns0:f>
        <ns0:v>211812.81</ns0:v>
      </ns0:c>
      <ns0:c r="M93" s="3">
        <ns0:f>ROUND(M91*M92,2)</ns0:f>
        <ns0:v>213822.53</ns0:v>
      </ns0:c>
      <ns0:c r="N93" s="3">
        <ns0:f>ROUND(N91*N92,2)</ns0:f>
        <ns0:v>227816.91</ns0:v>
      </ns0:c>
      <ns0:c r="O93" s="3">
        <ns0:f>SUM(C93:N93)</ns0:f>
        <ns0:v>2792947.73</ns0:v>
      </ns0:c>
      <ns0:c r="P93" s="2" t="inlineStr">
        <ns0:is>
          <ns0:t>REV1</ns0:t>
        </ns0:is>
      </ns0:c>
      <ns0:c r="Q93" s="2" t="inlineStr">
        <ns0:is>
          <ns0:t>演示占位-v1</ns0:t>
        </ns0:is>
      </ns0:c>
      <ns0:c r="R93" s="2" t="inlineStr">
        <ns0:is>
          <ns0:t>模拟权责发生制</ns0:t>
        </ns0:is>
      </ns0:c>
      <ns0:c r="S93" s="2" t="inlineStr">
        <ns0:is>
          <ns0:t>2027-01</ns0:t>
        </ns0:is>
      </ns0:c>
      <ns0:c r="T93" s="2" t="inlineStr">
        <ns0:is>
          <ns0:t>2027-06</ns0:t>
        </ns0:is>
      </ns0:c>
      <ns0:c r="U93" s="2" t="inlineStr">
        <ns0:is>
          <ns0:t>无</ns0:t>
        </ns0:is>
      </ns0:c>
      <ns0:c r="V93" s="2" t="inlineStr">
        <ns0:is>
          <ns0:t>无</ns0:t>
        </ns0:is>
      </ns0:c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 t="inlineStr">
        <ns0:is>
          <ns0:t>单位采购成本</ns0:t>
        </ns0:is>
      </ns0:c>
      <ns0:c r="C94" s="4">
        <ns0:v>726.14</ns0:v>
      </ns0:c>
      <ns0:c r="D94" s="4">
        <ns0:v>639.91</ns0:v>
      </ns0:c>
      <ns0:c r="E94" s="4">
        <ns0:v>626.16</ns0:v>
      </ns0:c>
      <ns0:c r="F94" s="4">
        <ns0:v>619.17</ns0:v>
      </ns0:c>
      <ns0:c r="G94" s="4">
        <ns0:v>697.59</ns0:v>
      </ns0:c>
      <ns0:c r="H94" s="4">
        <ns0:v>541.32</ns0:v>
      </ns0:c>
      <ns0:c r="I94" s="4">
        <ns0:v>495.38</ns0:v>
      </ns0:c>
      <ns0:c r="J94" s="4">
        <ns0:v>603.73</ns0:v>
      </ns0:c>
      <ns0:c r="K94" s="4">
        <ns0:v>520.60</ns0:v>
      </ns0:c>
      <ns0:c r="L94" s="4">
        <ns0:v>695.69</ns0:v>
      </ns0:c>
      <ns0:c r="M94" s="4">
        <ns0:v>635.32</ns0:v>
      </ns0:c>
      <ns0:c r="N94" s="4">
        <ns0:v>632.29</ns0:v>
      </ns0:c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 t="inlineStr">
        <ns0:is>
          <ns0:t>采购数量</ns0:t>
        </ns0:is>
      </ns0:c>
      <ns0:c r="C95" s="3">
        <ns0:f>C92</ns0:f>
        <ns0:v>140.37</ns0:v>
      </ns0:c>
      <ns0:c r="D95" s="3">
        <ns0:f>D92</ns0:f>
        <ns0:v>96.14</ns0:v>
      </ns0:c>
      <ns0:c r="E95" s="3">
        <ns0:f>E92</ns0:f>
        <ns0:v>138.74</ns0:v>
      </ns0:c>
      <ns0:c r="F95" s="3">
        <ns0:f>F92</ns0:f>
        <ns0:v>97.86</ns0:v>
      </ns0:c>
      <ns0:c r="G95" s="3">
        <ns0:f>G92</ns0:f>
        <ns0:v>113.64</ns0:v>
      </ns0:c>
      <ns0:c r="H95" s="3">
        <ns0:f>H92</ns0:f>
        <ns0:v>97.40</ns0:v>
      </ns0:c>
      <ns0:c r="I95" s="3">
        <ns0:f>I92</ns0:f>
        <ns0:v>127.48</ns0:v>
      </ns0:c>
      <ns0:c r="J95" s="3">
        <ns0:f>J92</ns0:f>
        <ns0:v>98.01</ns0:v>
      </ns0:c>
      <ns0:c r="K95" s="3">
        <ns0:f>K92</ns0:f>
        <ns0:v>121.69</ns0:v>
      </ns0:c>
      <ns0:c r="L95" s="3">
        <ns0:f>L92</ns0:f>
        <ns0:v>94.84</ns0:v>
      </ns0:c>
      <ns0:c r="M95" s="3">
        <ns0:f>M92</ns0:f>
        <ns0:v>107.29</ns0:v>
      </ns0:c>
      <ns0:c r="N95" s="3">
        <ns0:f>N92</ns0:f>
        <ns0:v>109.02</ns0:v>
      </ns0:c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 t="inlineStr">
        <ns0:is>
          <ns0:t>营业成本</ns0:t>
        </ns0:is>
      </ns0:c>
      <ns0:c r="C96" s="3">
        <ns0:f>ROUND(C94*C95,2)</ns0:f>
        <ns0:v>101928.27</ns0:v>
      </ns0:c>
      <ns0:c r="D96" s="3">
        <ns0:f>ROUND(D94*D95,2)</ns0:f>
        <ns0:v>61520.95</ns0:v>
      </ns0:c>
      <ns0:c r="E96" s="3">
        <ns0:f>ROUND(E94*E95,2)</ns0:f>
        <ns0:v>86873.44</ns0:v>
      </ns0:c>
      <ns0:c r="F96" s="3">
        <ns0:f>ROUND(F94*F95,2)</ns0:f>
        <ns0:v>60591.98</ns0:v>
      </ns0:c>
      <ns0:c r="G96" s="3">
        <ns0:f>ROUND(G94*G95,2)</ns0:f>
        <ns0:v>79274.13</ns0:v>
      </ns0:c>
      <ns0:c r="H96" s="3">
        <ns0:f>ROUND(H94*H95,2)</ns0:f>
        <ns0:v>52724.57</ns0:v>
      </ns0:c>
      <ns0:c r="I96" s="3">
        <ns0:f>ROUND(I94*I95,2)</ns0:f>
        <ns0:v>63151.04</ns0:v>
      </ns0:c>
      <ns0:c r="J96" s="3">
        <ns0:f>ROUND(J94*J95,2)</ns0:f>
        <ns0:v>59171.58</ns0:v>
      </ns0:c>
      <ns0:c r="K96" s="3">
        <ns0:f>ROUND(K94*K95,2)</ns0:f>
        <ns0:v>63351.81</ns0:v>
      </ns0:c>
      <ns0:c r="L96" s="3">
        <ns0:f>ROUND(L94*L95,2)</ns0:f>
        <ns0:v>65979.24</ns0:v>
      </ns0:c>
      <ns0:c r="M96" s="3">
        <ns0:f>ROUND(M94*M95,2)</ns0:f>
        <ns0:v>68163.48</ns0:v>
      </ns0:c>
      <ns0:c r="N96" s="3">
        <ns0:f>ROUND(N94*N95,2)</ns0:f>
        <ns0:v>68932.26</ns0:v>
      </ns0:c>
      <ns0:c r="O96" s="3">
        <ns0:f>SUM(C96:N96)</ns0:f>
        <ns0:v>831662.75</ns0:v>
      </ns0:c>
      <ns0:c r="P96" s="2" t="inlineStr">
        <ns0:is>
          <ns0:t>COGS1</ns0:t>
        </ns0:is>
      </ns0:c>
      <ns0:c r="Q96" s="2" t="inlineStr">
        <ns0:is>
          <ns0:t>演示占位-v1</ns0:t>
        </ns0:is>
      </ns0:c>
      <ns0:c r="R96" s="2" t="inlineStr">
        <ns0:is>
          <ns0:t>模拟权责发生制</ns0:t>
        </ns0:is>
      </ns0:c>
      <ns0:c r="S96" s="2" t="inlineStr">
        <ns0:is>
          <ns0:t>2027-01</ns0:t>
        </ns0:is>
      </ns0:c>
      <ns0:c r="T96" s="2" t="inlineStr">
        <ns0:is>
          <ns0:t>2027-06</ns0:t>
        </ns0:is>
      </ns0:c>
      <ns0:c r="U96" s="2" t="inlineStr">
        <ns0:is>
          <ns0:t>无</ns0:t>
        </ns0:is>
      </ns0:c>
      <ns0:c r="V96" s="2" t="inlineStr">
        <ns0:is>
          <ns0:t>无</ns0:t>
        </ns0:is>
      </ns0:c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 t="inlineStr">
        <ns0:is>
          <ns0:t>采购金额（占位）</ns0:t>
        </ns0:is>
      </ns0:c>
      <ns0:c r="C97" s="3">
        <ns0:f>C96</ns0:f>
        <ns0:v>101928.27</ns0:v>
      </ns0:c>
      <ns0:c r="D97" s="3">
        <ns0:f>D96</ns0:f>
        <ns0:v>61520.95</ns0:v>
      </ns0:c>
      <ns0:c r="E97" s="3">
        <ns0:f>E96</ns0:f>
        <ns0:v>86873.44</ns0:v>
      </ns0:c>
      <ns0:c r="F97" s="3">
        <ns0:f>F96</ns0:f>
        <ns0:v>60591.98</ns0:v>
      </ns0:c>
      <ns0:c r="G97" s="3">
        <ns0:f>G96</ns0:f>
        <ns0:v>79274.13</ns0:v>
      </ns0:c>
      <ns0:c r="H97" s="3">
        <ns0:f>H96</ns0:f>
        <ns0:v>52724.57</ns0:v>
      </ns0:c>
      <ns0:c r="I97" s="3">
        <ns0:f>I96</ns0:f>
        <ns0:v>63151.04</ns0:v>
      </ns0:c>
      <ns0:c r="J97" s="3">
        <ns0:f>J96</ns0:f>
        <ns0:v>59171.58</ns0:v>
      </ns0:c>
      <ns0:c r="K97" s="3">
        <ns0:f>K96</ns0:f>
        <ns0:v>63351.81</ns0:v>
      </ns0:c>
      <ns0:c r="L97" s="3">
        <ns0:f>L96</ns0:f>
        <ns0:v>65979.24</ns0:v>
      </ns0:c>
      <ns0:c r="M97" s="3">
        <ns0:f>M96</ns0:f>
        <ns0:v>68163.48</ns0:v>
      </ns0:c>
      <ns0:c r="N97" s="3">
        <ns0:f>N96</ns0:f>
        <ns0:v>68932.26</ns0:v>
      </ns0:c>
      <ns0:c r="O97" s="3">
        <ns0:f>SUM(C97:N97)</ns0:f>
        <ns0:v>831662.75</ns0:v>
      </ns0:c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N3:O3"/>
    <ns0:mergeCell ref="R3:S3"/>
  </ns0:mergeCells>
  <ns0:pageMargins left="0.7" right="0.7" top="0.75" bottom="0.75" header="0.3" footer="0.3"/>
</ns0:worksheet>
</file>

<file path=xl/worksheets/sheet5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20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11.125" hidden="0" customWidth="1"/>
    <ns0:col min="18" max="18" width="11.125" hidden="0" customWidth="1"/>
    <ns0:col min="19" max="19" width="14.625" hidden="0" customWidth="1"/>
    <ns0:col min="20" max="20" width="17.25" hidden="0" customWidth="1"/>
    <ns0:col min="21" max="21" width="20" hidden="0" customWidth="1"/>
    <ns0:col min="22" max="22" width="17.25" hidden="0" customWidth="1"/>
    <ns0:col min="50" max="50" width="20" hidden="0" customWidth="1"/>
    <ns0:col min="51" max="51" width="65" hidden="0" customWidth="1"/>
    <ns0:col min="23" max="23" width="13" hidden="0" customWidth="1"/>
    <ns0:col min="24" max="24" width="13" hidden="0" customWidth="1"/>
    <ns0:col min="25" max="25" width="13" hidden="0" customWidth="1"/>
    <ns0:col min="26" max="26" width="17.25" hidden="0" customWidth="1"/>
    <ns0:col min="27" max="27" width="17.25" hidden="0" customWidth="1"/>
    <ns0:col min="28" max="28" width="17.25" hidden="0" customWidth="1"/>
    <ns0:col min="29" max="29" width="17.25" hidden="0" customWidth="1"/>
    <ns0:col min="30" max="30" width="17.25" hidden="0" customWidth="1"/>
    <ns0:col min="31" max="31" width="17.25" hidden="0" customWidth="1"/>
    <ns0:col min="32" max="32" width="16.12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/>
      <ns0:c r="B2" s="2" t="inlineStr">
        <ns0:is>
          <ns0:t>项目名称</ns0:t>
        </ns0:is>
      </ns0:c>
      <ns0:c r="C2" s="3"/>
      <ns0:c r="D2" s="3" t="inlineStr">
        <ns0:is>
          <ns0:t>投资比例</ns0:t>
        </ns0:is>
      </ns0:c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 t="inlineStr">
        <ns0:is>
          <ns0:t>成本</ns0:t>
        </ns0:is>
      </ns0:c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/>
      <ns0:c r="B3" s="2"/>
      <ns0:c r="C3" s="6"/>
      <ns0:c r="D3" s="6"/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/>
      <ns0:c r="B4" s="2"/>
      <ns0:c r="C4" s="3"/>
      <ns0:c r="D4" s="3"/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/>
      <ns0:c r="B5" s="2"/>
      <ns0:c r="C5" s="3"/>
      <ns0:c r="D5" s="3"/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/>
      <ns0:c r="B6" s="2"/>
      <ns0:c r="C6" s="3"/>
      <ns0:c r="D6" s="3"/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/>
      <ns0:c r="C7" s="3"/>
      <ns0:c r="D7" s="3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2"/>
      <ns0:c r="C8" s="3"/>
      <ns0:c r="D8" s="3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实际数据状态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/>
      <ns0:c r="AY16" s="2"/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蓝色为输入参数；实际数为占位；金额单位：元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 t="inlineStr">
        <ns0:is>
          <ns0:t>预算基础（月度，元）</ns0:t>
        </ns0:is>
      </ns0:c>
      <ns0:c r="C30" s="6" t="inlineStr">
        <ns0:is>
          <ns0:t>2027-01</ns0:t>
        </ns0:is>
      </ns0:c>
      <ns0:c r="D30" s="6" t="inlineStr">
        <ns0:is>
          <ns0:t>2027-02</ns0:t>
        </ns0:is>
      </ns0:c>
      <ns0:c r="E30" s="6" t="inlineStr">
        <ns0:is>
          <ns0:t>2027-03</ns0:t>
        </ns0:is>
      </ns0:c>
      <ns0:c r="F30" s="6" t="inlineStr">
        <ns0:is>
          <ns0:t>2027-04</ns0:t>
        </ns0:is>
      </ns0:c>
      <ns0:c r="G30" s="6" t="inlineStr">
        <ns0:is>
          <ns0:t>2027-05</ns0:t>
        </ns0:is>
      </ns0:c>
      <ns0:c r="H30" s="6" t="inlineStr">
        <ns0:is>
          <ns0:t>2027-06</ns0:t>
        </ns0:is>
      </ns0:c>
      <ns0:c r="I30" s="6" t="inlineStr">
        <ns0:is>
          <ns0:t>2027-07</ns0:t>
        </ns0:is>
      </ns0:c>
      <ns0:c r="J30" s="6" t="inlineStr">
        <ns0:is>
          <ns0:t>2027-08</ns0:t>
        </ns0:is>
      </ns0:c>
      <ns0:c r="K30" s="6" t="inlineStr">
        <ns0:is>
          <ns0:t>2027-09</ns0:t>
        </ns0:is>
      </ns0:c>
      <ns0:c r="L30" s="6" t="inlineStr">
        <ns0:is>
          <ns0:t>2027-10</ns0:t>
        </ns0:is>
      </ns0:c>
      <ns0:c r="M30" s="6" t="inlineStr">
        <ns0:is>
          <ns0:t>2027-11</ns0:t>
        </ns0:is>
      </ns0:c>
      <ns0:c r="N30" s="6" t="inlineStr">
        <ns0:is>
          <ns0:t>2027-12</ns0:t>
        </ns0:is>
      </ns0:c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2" t="inlineStr">
        <ns0:is>
          <ns0:t>授权单价</ns0:t>
        </ns0:is>
      </ns0:c>
      <ns0:c r="C31" s="4">
        <ns0:v>1610.62</ns0:v>
      </ns0:c>
      <ns0:c r="D31" s="4">
        <ns0:v>1634.23</ns0:v>
      </ns0:c>
      <ns0:c r="E31" s="4">
        <ns0:v>1813.94</ns0:v>
      </ns0:c>
      <ns0:c r="F31" s="4">
        <ns0:v>2019.77</ns0:v>
      </ns0:c>
      <ns0:c r="G31" s="4">
        <ns0:v>2359.40</ns0:v>
      </ns0:c>
      <ns0:c r="H31" s="4">
        <ns0:v>1941.92</ns0:v>
      </ns0:c>
      <ns0:c r="I31" s="4">
        <ns0:v>2141.25</ns0:v>
      </ns0:c>
      <ns0:c r="J31" s="4">
        <ns0:v>1677.66</ns0:v>
      </ns0:c>
      <ns0:c r="K31" s="4">
        <ns0:v>1906.35</ns0:v>
      </ns0:c>
      <ns0:c r="L31" s="4">
        <ns0:v>2769.27</ns0:v>
      </ns0:c>
      <ns0:c r="M31" s="4">
        <ns0:v>1524.79</ns0:v>
      </ns0:c>
      <ns0:c r="N31" s="4">
        <ns0:v>1773.19</ns0:v>
      </ns0:c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授权数量</ns0:t>
        </ns0:is>
      </ns0:c>
      <ns0:c r="C32" s="4">
        <ns0:v>85.63</ns0:v>
      </ns0:c>
      <ns0:c r="D32" s="4">
        <ns0:v>99.17</ns0:v>
      </ns0:c>
      <ns0:c r="E32" s="4">
        <ns0:v>113.70</ns0:v>
      </ns0:c>
      <ns0:c r="F32" s="4">
        <ns0:v>93.03</ns0:v>
      </ns0:c>
      <ns0:c r="G32" s="4">
        <ns0:v>129.27</ns0:v>
      </ns0:c>
      <ns0:c r="H32" s="4">
        <ns0:v>101.77</ns0:v>
      </ns0:c>
      <ns0:c r="I32" s="4">
        <ns0:v>107.47</ns0:v>
      </ns0:c>
      <ns0:c r="J32" s="4">
        <ns0:v>111.85</ns0:v>
      </ns0:c>
      <ns0:c r="K32" s="4">
        <ns0:v>96.20</ns0:v>
      </ns0:c>
      <ns0:c r="L32" s="4">
        <ns0:v>85.29</ns0:v>
      </ns0:c>
      <ns0:c r="M32" s="4">
        <ns0:v>104.44</ns0:v>
      </ns0:c>
      <ns0:c r="N32" s="4">
        <ns0:v>135.04</ns0:v>
      </ns0:c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2" t="inlineStr">
        <ns0:is>
          <ns0:t>营业收入</ns0:t>
        </ns0:is>
      </ns0:c>
      <ns0:c r="C33" s="3">
        <ns0:f>ROUND(C31*C32,2)</ns0:f>
        <ns0:v>137917.39</ns0:v>
      </ns0:c>
      <ns0:c r="D33" s="3">
        <ns0:f>ROUND(D31*D32,2)</ns0:f>
        <ns0:v>162066.59</ns0:v>
      </ns0:c>
      <ns0:c r="E33" s="3">
        <ns0:f>ROUND(E31*E32,2)</ns0:f>
        <ns0:v>206244.98</ns0:v>
      </ns0:c>
      <ns0:c r="F33" s="3">
        <ns0:f>ROUND(F31*F32,2)</ns0:f>
        <ns0:v>187899.20</ns0:v>
      </ns0:c>
      <ns0:c r="G33" s="3">
        <ns0:f>ROUND(G31*G32,2)</ns0:f>
        <ns0:v>304999.64</ns0:v>
      </ns0:c>
      <ns0:c r="H33" s="3">
        <ns0:f>ROUND(H31*H32,2)</ns0:f>
        <ns0:v>197629.20</ns0:v>
      </ns0:c>
      <ns0:c r="I33" s="3">
        <ns0:f>ROUND(I31*I32,2)</ns0:f>
        <ns0:v>230120.14</ns0:v>
      </ns0:c>
      <ns0:c r="J33" s="3">
        <ns0:f>ROUND(J31*J32,2)</ns0:f>
        <ns0:v>187646.27</ns0:v>
      </ns0:c>
      <ns0:c r="K33" s="3">
        <ns0:f>ROUND(K31*K32,2)</ns0:f>
        <ns0:v>183390.87</ns0:v>
      </ns0:c>
      <ns0:c r="L33" s="3">
        <ns0:f>ROUND(L31*L32,2)</ns0:f>
        <ns0:v>236191.04</ns0:v>
      </ns0:c>
      <ns0:c r="M33" s="3">
        <ns0:f>ROUND(M31*M32,2)</ns0:f>
        <ns0:v>159249.07</ns0:v>
      </ns0:c>
      <ns0:c r="N33" s="3">
        <ns0:f>ROUND(N31*N32,2)</ns0:f>
        <ns0:v>239451.58</ns0:v>
      </ns0:c>
      <ns0:c r="O33" s="3">
        <ns0:f>SUM(C33:N33)</ns0:f>
        <ns0:v>2432805.97</ns0:v>
      </ns0:c>
      <ns0:c r="P33" s="2" t="inlineStr">
        <ns0:is>
          <ns0:t>REV2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2" t="inlineStr">
        <ns0:is>
          <ns0:t>单位采购成本</ns0:t>
        </ns0:is>
      </ns0:c>
      <ns0:c r="C34" s="4">
        <ns0:v>586.27</ns0:v>
      </ns0:c>
      <ns0:c r="D34" s="4">
        <ns0:v>648.11</ns0:v>
      </ns0:c>
      <ns0:c r="E34" s="4">
        <ns0:v>784.41</ns0:v>
      </ns0:c>
      <ns0:c r="F34" s="4">
        <ns0:v>596.28</ns0:v>
      </ns0:c>
      <ns0:c r="G34" s="4">
        <ns0:v>548.68</ns0:v>
      </ns0:c>
      <ns0:c r="H34" s="4">
        <ns0:v>585.35</ns0:v>
      </ns0:c>
      <ns0:c r="I34" s="4">
        <ns0:v>642.84</ns0:v>
      </ns0:c>
      <ns0:c r="J34" s="4">
        <ns0:v>586.49</ns0:v>
      </ns0:c>
      <ns0:c r="K34" s="4">
        <ns0:v>839.04</ns0:v>
      </ns0:c>
      <ns0:c r="L34" s="4">
        <ns0:v>593.48</ns0:v>
      </ns0:c>
      <ns0:c r="M34" s="4">
        <ns0:v>727.48</ns0:v>
      </ns0:c>
      <ns0:c r="N34" s="4">
        <ns0:v>588.50</ns0:v>
      </ns0:c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 t="inlineStr">
        <ns0:is>
          <ns0:t>采购数量</ns0:t>
        </ns0:is>
      </ns0:c>
      <ns0:c r="C35" s="3">
        <ns0:f>C32</ns0:f>
        <ns0:v>85.63</ns0:v>
      </ns0:c>
      <ns0:c r="D35" s="3">
        <ns0:f>D32</ns0:f>
        <ns0:v>99.17</ns0:v>
      </ns0:c>
      <ns0:c r="E35" s="3">
        <ns0:f>E32</ns0:f>
        <ns0:v>113.70</ns0:v>
      </ns0:c>
      <ns0:c r="F35" s="3">
        <ns0:f>F32</ns0:f>
        <ns0:v>93.03</ns0:v>
      </ns0:c>
      <ns0:c r="G35" s="3">
        <ns0:f>G32</ns0:f>
        <ns0:v>129.27</ns0:v>
      </ns0:c>
      <ns0:c r="H35" s="3">
        <ns0:f>H32</ns0:f>
        <ns0:v>101.77</ns0:v>
      </ns0:c>
      <ns0:c r="I35" s="3">
        <ns0:f>I32</ns0:f>
        <ns0:v>107.47</ns0:v>
      </ns0:c>
      <ns0:c r="J35" s="3">
        <ns0:f>J32</ns0:f>
        <ns0:v>111.85</ns0:v>
      </ns0:c>
      <ns0:c r="K35" s="3">
        <ns0:f>K32</ns0:f>
        <ns0:v>96.20</ns0:v>
      </ns0:c>
      <ns0:c r="L35" s="3">
        <ns0:f>L32</ns0:f>
        <ns0:v>85.29</ns0:v>
      </ns0:c>
      <ns0:c r="M35" s="3">
        <ns0:f>M32</ns0:f>
        <ns0:v>104.44</ns0:v>
      </ns0:c>
      <ns0:c r="N35" s="3">
        <ns0:f>N32</ns0:f>
        <ns0:v>135.04</ns0:v>
      </ns0:c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2" t="inlineStr">
        <ns0:is>
          <ns0:t>营业成本</ns0:t>
        </ns0:is>
      </ns0:c>
      <ns0:c r="C36" s="3">
        <ns0:f>ROUND(C34*C35,2)</ns0:f>
        <ns0:v>50202.30</ns0:v>
      </ns0:c>
      <ns0:c r="D36" s="3">
        <ns0:f>ROUND(D34*D35,2)</ns0:f>
        <ns0:v>64273.07</ns0:v>
      </ns0:c>
      <ns0:c r="E36" s="3">
        <ns0:f>ROUND(E34*E35,2)</ns0:f>
        <ns0:v>89187.42</ns0:v>
      </ns0:c>
      <ns0:c r="F36" s="3">
        <ns0:f>ROUND(F34*F35,2)</ns0:f>
        <ns0:v>55471.93</ns0:v>
      </ns0:c>
      <ns0:c r="G36" s="3">
        <ns0:f>ROUND(G34*G35,2)</ns0:f>
        <ns0:v>70927.86</ns0:v>
      </ns0:c>
      <ns0:c r="H36" s="3">
        <ns0:f>ROUND(H34*H35,2)</ns0:f>
        <ns0:v>59571.07</ns0:v>
      </ns0:c>
      <ns0:c r="I36" s="3">
        <ns0:f>ROUND(I34*I35,2)</ns0:f>
        <ns0:v>69086.01</ns0:v>
      </ns0:c>
      <ns0:c r="J36" s="3">
        <ns0:f>ROUND(J34*J35,2)</ns0:f>
        <ns0:v>65598.91</ns0:v>
      </ns0:c>
      <ns0:c r="K36" s="3">
        <ns0:f>ROUND(K34*K35,2)</ns0:f>
        <ns0:v>80715.65</ns0:v>
      </ns0:c>
      <ns0:c r="L36" s="3">
        <ns0:f>ROUND(L34*L35,2)</ns0:f>
        <ns0:v>50617.91</ns0:v>
      </ns0:c>
      <ns0:c r="M36" s="3">
        <ns0:f>ROUND(M34*M35,2)</ns0:f>
        <ns0:v>75978.01</ns0:v>
      </ns0:c>
      <ns0:c r="N36" s="3">
        <ns0:f>ROUND(N34*N35,2)</ns0:f>
        <ns0:v>79471.04</ns0:v>
      </ns0:c>
      <ns0:c r="O36" s="3">
        <ns0:f>SUM(C36:N36)</ns0:f>
        <ns0:v>811101.18</ns0:v>
      </ns0:c>
      <ns0:c r="P36" s="2" t="inlineStr">
        <ns0:is>
          <ns0:t>COGS2</ns0:t>
        </ns0:is>
      </ns0:c>
      <ns0:c r="Q36" s="2" t="inlineStr">
        <ns0:is>
          <ns0:t>演示占位-v1</ns0:t>
        </ns0:is>
      </ns0:c>
      <ns0:c r="R36" s="2" t="inlineStr">
        <ns0:is>
          <ns0:t>模拟权责发生制</ns0:t>
        </ns0:is>
      </ns0:c>
      <ns0:c r="S36" s="2" t="inlineStr">
        <ns0:is>
          <ns0:t>2027-01</ns0:t>
        </ns0:is>
      </ns0:c>
      <ns0:c r="T36" s="2" t="inlineStr">
        <ns0:is>
          <ns0:t>2027-06</ns0:t>
        </ns0:is>
      </ns0:c>
      <ns0:c r="U36" s="2" t="inlineStr">
        <ns0:is>
          <ns0:t>无</ns0:t>
        </ns0:is>
      </ns0:c>
      <ns0:c r="V36" s="2" t="inlineStr">
        <ns0:is>
          <ns0:t>无</ns0:t>
        </ns0:is>
      </ns0:c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 t="inlineStr">
        <ns0:is>
          <ns0:t>采购金额（占位）</ns0:t>
        </ns0:is>
      </ns0:c>
      <ns0:c r="C37" s="3">
        <ns0:f>C36</ns0:f>
        <ns0:v>50202.30</ns0:v>
      </ns0:c>
      <ns0:c r="D37" s="3">
        <ns0:f>D36</ns0:f>
        <ns0:v>64273.07</ns0:v>
      </ns0:c>
      <ns0:c r="E37" s="3">
        <ns0:f>E36</ns0:f>
        <ns0:v>89187.42</ns0:v>
      </ns0:c>
      <ns0:c r="F37" s="3">
        <ns0:f>F36</ns0:f>
        <ns0:v>55471.93</ns0:v>
      </ns0:c>
      <ns0:c r="G37" s="3">
        <ns0:f>G36</ns0:f>
        <ns0:v>70927.86</ns0:v>
      </ns0:c>
      <ns0:c r="H37" s="3">
        <ns0:f>H36</ns0:f>
        <ns0:v>59571.07</ns0:v>
      </ns0:c>
      <ns0:c r="I37" s="3">
        <ns0:f>I36</ns0:f>
        <ns0:v>69086.01</ns0:v>
      </ns0:c>
      <ns0:c r="J37" s="3">
        <ns0:f>J36</ns0:f>
        <ns0:v>65598.91</ns0:v>
      </ns0:c>
      <ns0:c r="K37" s="3">
        <ns0:f>K36</ns0:f>
        <ns0:v>80715.65</ns0:v>
      </ns0:c>
      <ns0:c r="L37" s="3">
        <ns0:f>L36</ns0:f>
        <ns0:v>50617.91</ns0:v>
      </ns0:c>
      <ns0:c r="M37" s="3">
        <ns0:f>M36</ns0:f>
        <ns0:v>75978.01</ns0:v>
      </ns0:c>
      <ns0:c r="N37" s="3">
        <ns0:f>N36</ns0:f>
        <ns0:v>79471.04</ns0:v>
      </ns0:c>
      <ns0:c r="O37" s="3">
        <ns0:f>SUM(C37:N37)</ns0:f>
        <ns0:v>811101.18</ns0:v>
      </ns0:c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 t="inlineStr">
        <ns0:is>
          <ns0:t>实时经营（月度，元）</ns0:t>
        </ns0:is>
      </ns0:c>
      <ns0:c r="C90" s="6" t="inlineStr">
        <ns0:is>
          <ns0:t>2027-01</ns0:t>
        </ns0:is>
      </ns0:c>
      <ns0:c r="D90" s="6" t="inlineStr">
        <ns0:is>
          <ns0:t>2027-02</ns0:t>
        </ns0:is>
      </ns0:c>
      <ns0:c r="E90" s="6" t="inlineStr">
        <ns0:is>
          <ns0:t>2027-03</ns0:t>
        </ns0:is>
      </ns0:c>
      <ns0:c r="F90" s="6" t="inlineStr">
        <ns0:is>
          <ns0:t>2027-04</ns0:t>
        </ns0:is>
      </ns0:c>
      <ns0:c r="G90" s="6" t="inlineStr">
        <ns0:is>
          <ns0:t>2027-05</ns0:t>
        </ns0:is>
      </ns0:c>
      <ns0:c r="H90" s="6" t="inlineStr">
        <ns0:is>
          <ns0:t>2027-06</ns0:t>
        </ns0:is>
      </ns0:c>
      <ns0:c r="I90" s="6" t="inlineStr">
        <ns0:is>
          <ns0:t>2027-07</ns0:t>
        </ns0:is>
      </ns0:c>
      <ns0:c r="J90" s="6" t="inlineStr">
        <ns0:is>
          <ns0:t>2027-08</ns0:t>
        </ns0:is>
      </ns0:c>
      <ns0:c r="K90" s="6" t="inlineStr">
        <ns0:is>
          <ns0:t>2027-09</ns0:t>
        </ns0:is>
      </ns0:c>
      <ns0:c r="L90" s="6" t="inlineStr">
        <ns0:is>
          <ns0:t>2027-10</ns0:t>
        </ns0:is>
      </ns0:c>
      <ns0:c r="M90" s="6" t="inlineStr">
        <ns0:is>
          <ns0:t>2027-11</ns0:t>
        </ns0:is>
      </ns0:c>
      <ns0:c r="N90" s="6" t="inlineStr">
        <ns0:is>
          <ns0:t>2027-12</ns0:t>
        </ns0:is>
      </ns0:c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 t="inlineStr">
        <ns0:is>
          <ns0:t>授权单价</ns0:t>
        </ns0:is>
      </ns0:c>
      <ns0:c r="C91" s="4">
        <ns0:v>2043.34</ns0:v>
      </ns0:c>
      <ns0:c r="D91" s="4">
        <ns0:v>2633.67</ns0:v>
      </ns0:c>
      <ns0:c r="E91" s="4">
        <ns0:v>2378.99</ns0:v>
      </ns0:c>
      <ns0:c r="F91" s="4">
        <ns0:v>2219.89</ns0:v>
      </ns0:c>
      <ns0:c r="G91" s="4">
        <ns0:v>2543.44</ns0:v>
      </ns0:c>
      <ns0:c r="H91" s="4">
        <ns0:v>2122.89</ns0:v>
      </ns0:c>
      <ns0:c r="I91" s="4">
        <ns0:v>2449.31</ns0:v>
      </ns0:c>
      <ns0:c r="J91" s="4">
        <ns0:v>1380.99</ns0:v>
      </ns0:c>
      <ns0:c r="K91" s="4">
        <ns0:v>2342.39</ns0:v>
      </ns0:c>
      <ns0:c r="L91" s="4">
        <ns0:v>1863.08</ns0:v>
      </ns0:c>
      <ns0:c r="M91" s="4">
        <ns0:v>2490.59</ns0:v>
      </ns0:c>
      <ns0:c r="N91" s="4">
        <ns0:v>2153.46</ns0:v>
      </ns0:c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 t="inlineStr">
        <ns0:is>
          <ns0:t>授权数量</ns0:t>
        </ns0:is>
      </ns0:c>
      <ns0:c r="C92" s="4">
        <ns0:v>124.35</ns0:v>
      </ns0:c>
      <ns0:c r="D92" s="4">
        <ns0:v>100.35</ns0:v>
      </ns0:c>
      <ns0:c r="E92" s="4">
        <ns0:v>119.49</ns0:v>
      </ns0:c>
      <ns0:c r="F92" s="4">
        <ns0:v>95.16</ns0:v>
      </ns0:c>
      <ns0:c r="G92" s="4">
        <ns0:v>130.41</ns0:v>
      </ns0:c>
      <ns0:c r="H92" s="4">
        <ns0:v>135.89</ns0:v>
      </ns0:c>
      <ns0:c r="I92" s="4">
        <ns0:v>133.68</ns0:v>
      </ns0:c>
      <ns0:c r="J92" s="4">
        <ns0:v>114.63</ns0:v>
      </ns0:c>
      <ns0:c r="K92" s="4">
        <ns0:v>97.58</ns0:v>
      </ns0:c>
      <ns0:c r="L92" s="4">
        <ns0:v>105.99</ns0:v>
      </ns0:c>
      <ns0:c r="M92" s="4">
        <ns0:v>120.39</ns0:v>
      </ns0:c>
      <ns0:c r="N92" s="4">
        <ns0:v>109.85</ns0:v>
      </ns0:c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 t="inlineStr">
        <ns0:is>
          <ns0:t>营业收入</ns0:t>
        </ns0:is>
      </ns0:c>
      <ns0:c r="C93" s="3">
        <ns0:f>ROUND(C91*C92,2)</ns0:f>
        <ns0:v>254089.33</ns0:v>
      </ns0:c>
      <ns0:c r="D93" s="3">
        <ns0:f>ROUND(D91*D92,2)</ns0:f>
        <ns0:v>264288.78</ns0:v>
      </ns0:c>
      <ns0:c r="E93" s="3">
        <ns0:f>ROUND(E91*E92,2)</ns0:f>
        <ns0:v>284265.52</ns0:v>
      </ns0:c>
      <ns0:c r="F93" s="3">
        <ns0:f>ROUND(F91*F92,2)</ns0:f>
        <ns0:v>211244.73</ns0:v>
      </ns0:c>
      <ns0:c r="G93" s="3">
        <ns0:f>ROUND(G91*G92,2)</ns0:f>
        <ns0:v>331690.01</ns0:v>
      </ns0:c>
      <ns0:c r="H93" s="3">
        <ns0:f>ROUND(H91*H92,2)</ns0:f>
        <ns0:v>288479.52</ns0:v>
      </ns0:c>
      <ns0:c r="I93" s="3">
        <ns0:f>ROUND(I91*I92,2)</ns0:f>
        <ns0:v>327423.76</ns0:v>
      </ns0:c>
      <ns0:c r="J93" s="3">
        <ns0:f>ROUND(J91*J92,2)</ns0:f>
        <ns0:v>158302.88</ns0:v>
      </ns0:c>
      <ns0:c r="K93" s="3">
        <ns0:f>ROUND(K91*K92,2)</ns0:f>
        <ns0:v>228570.42</ns0:v>
      </ns0:c>
      <ns0:c r="L93" s="3">
        <ns0:f>ROUND(L91*L92,2)</ns0:f>
        <ns0:v>197467.85</ns0:v>
      </ns0:c>
      <ns0:c r="M93" s="3">
        <ns0:f>ROUND(M91*M92,2)</ns0:f>
        <ns0:v>299842.13</ns0:v>
      </ns0:c>
      <ns0:c r="N93" s="3">
        <ns0:f>ROUND(N91*N92,2)</ns0:f>
        <ns0:v>236557.58</ns0:v>
      </ns0:c>
      <ns0:c r="O93" s="3">
        <ns0:f>SUM(C93:N93)</ns0:f>
        <ns0:v>3082222.51</ns0:v>
      </ns0:c>
      <ns0:c r="P93" s="2" t="inlineStr">
        <ns0:is>
          <ns0:t>REV2</ns0:t>
        </ns0:is>
      </ns0:c>
      <ns0:c r="Q93" s="2" t="inlineStr">
        <ns0:is>
          <ns0:t>演示占位-v1</ns0:t>
        </ns0:is>
      </ns0:c>
      <ns0:c r="R93" s="2" t="inlineStr">
        <ns0:is>
          <ns0:t>模拟权责发生制</ns0:t>
        </ns0:is>
      </ns0:c>
      <ns0:c r="S93" s="2" t="inlineStr">
        <ns0:is>
          <ns0:t>2027-01</ns0:t>
        </ns0:is>
      </ns0:c>
      <ns0:c r="T93" s="2" t="inlineStr">
        <ns0:is>
          <ns0:t>2027-06</ns0:t>
        </ns0:is>
      </ns0:c>
      <ns0:c r="U93" s="2" t="inlineStr">
        <ns0:is>
          <ns0:t>无</ns0:t>
        </ns0:is>
      </ns0:c>
      <ns0:c r="V93" s="2" t="inlineStr">
        <ns0:is>
          <ns0:t>无</ns0:t>
        </ns0:is>
      </ns0:c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 t="inlineStr">
        <ns0:is>
          <ns0:t>单位采购成本</ns0:t>
        </ns0:is>
      </ns0:c>
      <ns0:c r="C94" s="4">
        <ns0:v>642.89</ns0:v>
      </ns0:c>
      <ns0:c r="D94" s="4">
        <ns0:v>657.52</ns0:v>
      </ns0:c>
      <ns0:c r="E94" s="4">
        <ns0:v>677.45</ns0:v>
      </ns0:c>
      <ns0:c r="F94" s="4">
        <ns0:v>700.06</ns0:v>
      </ns0:c>
      <ns0:c r="G94" s="4">
        <ns0:v>600.40</ns0:v>
      </ns0:c>
      <ns0:c r="H94" s="4">
        <ns0:v>595.17</ns0:v>
      </ns0:c>
      <ns0:c r="I94" s="4">
        <ns0:v>853.89</ns0:v>
      </ns0:c>
      <ns0:c r="J94" s="4">
        <ns0:v>636.01</ns0:v>
      </ns0:c>
      <ns0:c r="K94" s="4">
        <ns0:v>735.86</ns0:v>
      </ns0:c>
      <ns0:c r="L94" s="4">
        <ns0:v>696.96</ns0:v>
      </ns0:c>
      <ns0:c r="M94" s="4">
        <ns0:v>914.46</ns0:v>
      </ns0:c>
      <ns0:c r="N94" s="4">
        <ns0:v>722.97</ns0:v>
      </ns0:c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 t="inlineStr">
        <ns0:is>
          <ns0:t>采购数量</ns0:t>
        </ns0:is>
      </ns0:c>
      <ns0:c r="C95" s="3">
        <ns0:f>C92</ns0:f>
        <ns0:v>124.35</ns0:v>
      </ns0:c>
      <ns0:c r="D95" s="3">
        <ns0:f>D92</ns0:f>
        <ns0:v>100.35</ns0:v>
      </ns0:c>
      <ns0:c r="E95" s="3">
        <ns0:f>E92</ns0:f>
        <ns0:v>119.49</ns0:v>
      </ns0:c>
      <ns0:c r="F95" s="3">
        <ns0:f>F92</ns0:f>
        <ns0:v>95.16</ns0:v>
      </ns0:c>
      <ns0:c r="G95" s="3">
        <ns0:f>G92</ns0:f>
        <ns0:v>130.41</ns0:v>
      </ns0:c>
      <ns0:c r="H95" s="3">
        <ns0:f>H92</ns0:f>
        <ns0:v>135.89</ns0:v>
      </ns0:c>
      <ns0:c r="I95" s="3">
        <ns0:f>I92</ns0:f>
        <ns0:v>133.68</ns0:v>
      </ns0:c>
      <ns0:c r="J95" s="3">
        <ns0:f>J92</ns0:f>
        <ns0:v>114.63</ns0:v>
      </ns0:c>
      <ns0:c r="K95" s="3">
        <ns0:f>K92</ns0:f>
        <ns0:v>97.58</ns0:v>
      </ns0:c>
      <ns0:c r="L95" s="3">
        <ns0:f>L92</ns0:f>
        <ns0:v>105.99</ns0:v>
      </ns0:c>
      <ns0:c r="M95" s="3">
        <ns0:f>M92</ns0:f>
        <ns0:v>120.39</ns0:v>
      </ns0:c>
      <ns0:c r="N95" s="3">
        <ns0:f>N92</ns0:f>
        <ns0:v>109.85</ns0:v>
      </ns0:c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 t="inlineStr">
        <ns0:is>
          <ns0:t>营业成本</ns0:t>
        </ns0:is>
      </ns0:c>
      <ns0:c r="C96" s="3">
        <ns0:f>ROUND(C94*C95,2)</ns0:f>
        <ns0:v>79943.37</ns0:v>
      </ns0:c>
      <ns0:c r="D96" s="3">
        <ns0:f>ROUND(D94*D95,2)</ns0:f>
        <ns0:v>65982.13</ns0:v>
      </ns0:c>
      <ns0:c r="E96" s="3">
        <ns0:f>ROUND(E94*E95,2)</ns0:f>
        <ns0:v>80948.50</ns0:v>
      </ns0:c>
      <ns0:c r="F96" s="3">
        <ns0:f>ROUND(F94*F95,2)</ns0:f>
        <ns0:v>66617.71</ns0:v>
      </ns0:c>
      <ns0:c r="G96" s="3">
        <ns0:f>ROUND(G94*G95,2)</ns0:f>
        <ns0:v>78298.16</ns0:v>
      </ns0:c>
      <ns0:c r="H96" s="3">
        <ns0:f>ROUND(H94*H95,2)</ns0:f>
        <ns0:v>80877.65</ns0:v>
      </ns0:c>
      <ns0:c r="I96" s="3">
        <ns0:f>ROUND(I94*I95,2)</ns0:f>
        <ns0:v>114148.02</ns0:v>
      </ns0:c>
      <ns0:c r="J96" s="3">
        <ns0:f>ROUND(J94*J95,2)</ns0:f>
        <ns0:v>72905.83</ns0:v>
      </ns0:c>
      <ns0:c r="K96" s="3">
        <ns0:f>ROUND(K94*K95,2)</ns0:f>
        <ns0:v>71805.22</ns0:v>
      </ns0:c>
      <ns0:c r="L96" s="3">
        <ns0:f>ROUND(L94*L95,2)</ns0:f>
        <ns0:v>73870.79</ns0:v>
      </ns0:c>
      <ns0:c r="M96" s="3">
        <ns0:f>ROUND(M94*M95,2)</ns0:f>
        <ns0:v>110091.84</ns0:v>
      </ns0:c>
      <ns0:c r="N96" s="3">
        <ns0:f>ROUND(N94*N95,2)</ns0:f>
        <ns0:v>79418.25</ns0:v>
      </ns0:c>
      <ns0:c r="O96" s="3">
        <ns0:f>SUM(C96:N96)</ns0:f>
        <ns0:v>974907.47</ns0:v>
      </ns0:c>
      <ns0:c r="P96" s="2" t="inlineStr">
        <ns0:is>
          <ns0:t>COGS2</ns0:t>
        </ns0:is>
      </ns0:c>
      <ns0:c r="Q96" s="2" t="inlineStr">
        <ns0:is>
          <ns0:t>演示占位-v1</ns0:t>
        </ns0:is>
      </ns0:c>
      <ns0:c r="R96" s="2" t="inlineStr">
        <ns0:is>
          <ns0:t>模拟权责发生制</ns0:t>
        </ns0:is>
      </ns0:c>
      <ns0:c r="S96" s="2" t="inlineStr">
        <ns0:is>
          <ns0:t>2027-01</ns0:t>
        </ns0:is>
      </ns0:c>
      <ns0:c r="T96" s="2" t="inlineStr">
        <ns0:is>
          <ns0:t>2027-06</ns0:t>
        </ns0:is>
      </ns0:c>
      <ns0:c r="U96" s="2" t="inlineStr">
        <ns0:is>
          <ns0:t>无</ns0:t>
        </ns0:is>
      </ns0:c>
      <ns0:c r="V96" s="2" t="inlineStr">
        <ns0:is>
          <ns0:t>无</ns0:t>
        </ns0:is>
      </ns0:c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 t="inlineStr">
        <ns0:is>
          <ns0:t>采购金额（占位）</ns0:t>
        </ns0:is>
      </ns0:c>
      <ns0:c r="C97" s="3">
        <ns0:f>C96</ns0:f>
        <ns0:v>79943.37</ns0:v>
      </ns0:c>
      <ns0:c r="D97" s="3">
        <ns0:f>D96</ns0:f>
        <ns0:v>65982.13</ns0:v>
      </ns0:c>
      <ns0:c r="E97" s="3">
        <ns0:f>E96</ns0:f>
        <ns0:v>80948.50</ns0:v>
      </ns0:c>
      <ns0:c r="F97" s="3">
        <ns0:f>F96</ns0:f>
        <ns0:v>66617.71</ns0:v>
      </ns0:c>
      <ns0:c r="G97" s="3">
        <ns0:f>G96</ns0:f>
        <ns0:v>78298.16</ns0:v>
      </ns0:c>
      <ns0:c r="H97" s="3">
        <ns0:f>H96</ns0:f>
        <ns0:v>80877.65</ns0:v>
      </ns0:c>
      <ns0:c r="I97" s="3">
        <ns0:f>I96</ns0:f>
        <ns0:v>114148.02</ns0:v>
      </ns0:c>
      <ns0:c r="J97" s="3">
        <ns0:f>J96</ns0:f>
        <ns0:v>72905.83</ns0:v>
      </ns0:c>
      <ns0:c r="K97" s="3">
        <ns0:f>K96</ns0:f>
        <ns0:v>71805.22</ns0:v>
      </ns0:c>
      <ns0:c r="L97" s="3">
        <ns0:f>L96</ns0:f>
        <ns0:v>73870.79</ns0:v>
      </ns0:c>
      <ns0:c r="M97" s="3">
        <ns0:f>M96</ns0:f>
        <ns0:v>110091.84</ns0:v>
      </ns0:c>
      <ns0:c r="N97" s="3">
        <ns0:f>N96</ns0:f>
        <ns0:v>79418.25</ns0:v>
      </ns0:c>
      <ns0:c r="O97" s="3">
        <ns0:f>SUM(C97:N97)</ns0:f>
        <ns0:v>974907.47</ns0:v>
      </ns0:c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L2:M2"/>
    <ns0:mergeCell ref="P2:Q2"/>
  </ns0:mergeCells>
  <ns0:pageMargins left="0.7" right="0.7" top="0.75" bottom="0.75" header="0.3" footer="0.3"/>
</ns0:worksheet>
</file>

<file path=xl/worksheets/sheet6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9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/>
      <ns0:c r="B2" s="2"/>
      <ns0:c r="C2" s="3"/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/>
      <ns0:c r="B3" s="2"/>
      <ns0:c r="C3" s="6"/>
      <ns0:c r="D3" s="6"/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/>
      <ns0:c r="B4" s="2"/>
      <ns0:c r="C4" s="3"/>
      <ns0:c r="D4" s="3"/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/>
      <ns0:c r="B5" s="2"/>
      <ns0:c r="C5" s="3"/>
      <ns0:c r="D5" s="3"/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/>
      <ns0:c r="B6" s="2" t="inlineStr">
        <ns0:is>
          <ns0:t>税金及附加</ns0:t>
        </ns0:is>
      </ns0:c>
      <ns0:c r="C6" s="3"/>
      <ns0:c r="D6" s="3"/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/>
      <ns0:c r="C7" s="3"/>
      <ns0:c r="D7" s="3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2"/>
      <ns0:c r="C8" s="3"/>
      <ns0:c r="D8" s="3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实际数据状态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/>
      <ns0:c r="AY16" s="2"/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蓝色为输入参数；实际数为占位；金额单位：元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 t="inlineStr">
        <ns0:is>
          <ns0:t>预算基础（月度，元）</ns0:t>
        </ns0:is>
      </ns0:c>
      <ns0:c r="C30" s="6"/>
      <ns0:c r="D30" s="6"/>
      <ns0:c r="E30" s="6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2" t="inlineStr">
        <ns0:is>
          <ns0:t>综合附加率（演示假设）</ns0:t>
        </ns0:is>
      </ns0:c>
      <ns0:c r="C31" s="4">
        <ns0:v>0.00843</ns0:v>
      </ns0:c>
      <ns0:c r="D31" s="3"/>
      <ns0:c r="E31" s="3"/>
      <ns0:c r="F31" s="3"/>
      <ns0:c r="G31" s="3"/>
      <ns0:c r="H31" s="3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计税收入</ns0:t>
        </ns0:is>
      </ns0:c>
      <ns0:c r="C32" s="3">
        <ns0:f>'收入非主控'!C33+'收入主控'!C33</ns0:f>
        <ns0:v>419355.49</ns0:v>
      </ns0:c>
      <ns0:c r="D32" s="3">
        <ns0:f>'收入非主控'!D33+'收入主控'!D33</ns0:f>
        <ns0:v>440052.36</ns0:v>
      </ns0:c>
      <ns0:c r="E32" s="3">
        <ns0:f>'收入非主控'!E33+'收入主控'!E33</ns0:f>
        <ns0:v>427779.36</ns0:v>
      </ns0:c>
      <ns0:c r="F32" s="3">
        <ns0:f>'收入非主控'!F33+'收入主控'!F33</ns0:f>
        <ns0:v>333225.17</ns0:v>
      </ns0:c>
      <ns0:c r="G32" s="3">
        <ns0:f>'收入非主控'!G33+'收入主控'!G33</ns0:f>
        <ns0:v>526266.11</ns0:v>
      </ns0:c>
      <ns0:c r="H32" s="3">
        <ns0:f>'收入非主控'!H33+'收入主控'!H33</ns0:f>
        <ns0:v>438107.96</ns0:v>
      </ns0:c>
      <ns0:c r="I32" s="3">
        <ns0:f>'收入非主控'!I33+'收入主控'!I33</ns0:f>
        <ns0:v>390372.84</ns0:v>
      </ns0:c>
      <ns0:c r="J32" s="3">
        <ns0:f>'收入非主控'!J33+'收入主控'!J33</ns0:f>
        <ns0:v>504765.51</ns0:v>
      </ns0:c>
      <ns0:c r="K32" s="3">
        <ns0:f>'收入非主控'!K33+'收入主控'!K33</ns0:f>
        <ns0:v>354203.25</ns0:v>
      </ns0:c>
      <ns0:c r="L32" s="3">
        <ns0:f>'收入非主控'!L33+'收入主控'!L33</ns0:f>
        <ns0:v>397981.80</ns0:v>
      </ns0:c>
      <ns0:c r="M32" s="3">
        <ns0:f>'收入非主控'!M33+'收入主控'!M33</ns0:f>
        <ns0:v>341496.44</ns0:v>
      </ns0:c>
      <ns0:c r="N32" s="3">
        <ns0:f>'收入非主控'!N33+'收入主控'!N33</ns0:f>
        <ns0:v>458863.49</ns0:v>
      </ns0:c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2" t="inlineStr">
        <ns0:is>
          <ns0:t>税金及附加</ns0:t>
        </ns0:is>
      </ns0:c>
      <ns0:c r="C33" s="3">
        <ns0:f>ROUND(C32*$C$31,2)</ns0:f>
        <ns0:v>3535.17</ns0:v>
      </ns0:c>
      <ns0:c r="D33" s="3">
        <ns0:f>ROUND(D32*$C$31,2)</ns0:f>
        <ns0:v>3709.64</ns0:v>
      </ns0:c>
      <ns0:c r="E33" s="3">
        <ns0:f>ROUND(E32*$C$31,2)</ns0:f>
        <ns0:v>3606.18</ns0:v>
      </ns0:c>
      <ns0:c r="F33" s="3">
        <ns0:f>ROUND(F32*$C$31,2)</ns0:f>
        <ns0:v>2809.09</ns0:v>
      </ns0:c>
      <ns0:c r="G33" s="3">
        <ns0:f>ROUND(G32*$C$31,2)</ns0:f>
        <ns0:v>4436.42</ns0:v>
      </ns0:c>
      <ns0:c r="H33" s="3">
        <ns0:f>ROUND(H32*$C$31,2)</ns0:f>
        <ns0:v>3693.25</ns0:v>
      </ns0:c>
      <ns0:c r="I33" s="3">
        <ns0:f>ROUND(I32*$C$31,2)</ns0:f>
        <ns0:v>3290.84</ns0:v>
      </ns0:c>
      <ns0:c r="J33" s="3">
        <ns0:f>ROUND(J32*$C$31,2)</ns0:f>
        <ns0:v>4255.17</ns0:v>
      </ns0:c>
      <ns0:c r="K33" s="3">
        <ns0:f>ROUND(K32*$C$31,2)</ns0:f>
        <ns0:v>2985.93</ns0:v>
      </ns0:c>
      <ns0:c r="L33" s="3">
        <ns0:f>ROUND(L32*$C$31,2)</ns0:f>
        <ns0:v>3354.99</ns0:v>
      </ns0:c>
      <ns0:c r="M33" s="3">
        <ns0:f>ROUND(M32*$C$31,2)</ns0:f>
        <ns0:v>2878.81</ns0:v>
      </ns0:c>
      <ns0:c r="N33" s="3">
        <ns0:f>ROUND(N32*$C$31,2)</ns0:f>
        <ns0:v>3868.22</ns0:v>
      </ns0:c>
      <ns0:c r="O33" s="3"/>
      <ns0:c r="P33" s="2" t="inlineStr">
        <ns0:is>
          <ns0:t>TAX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2"/>
      <ns0:c r="C34" s="3"/>
      <ns0:c r="D34" s="3"/>
      <ns0:c r="E34" s="3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 t="inlineStr">
        <ns0:is>
          <ns0:t>实时经营（月度，元）</ns0:t>
        </ns0:is>
      </ns0:c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 t="inlineStr">
        <ns0:is>
          <ns0:t>综合附加率（演示假设）</ns0:t>
        </ns0:is>
      </ns0:c>
      <ns0:c r="C91" s="4">
        <ns0:v>0.00701</ns0:v>
      </ns0:c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 t="inlineStr">
        <ns0:is>
          <ns0:t>计税收入</ns0:t>
        </ns0:is>
      </ns0:c>
      <ns0:c r="C92" s="3">
        <ns0:f>'收入非主控'!C93+'收入主控'!C93</ns0:f>
        <ns0:v>461817.28</ns0:v>
      </ns0:c>
      <ns0:c r="D92" s="3">
        <ns0:f>'收入非主控'!D93+'收入主控'!D93</ns0:f>
        <ns0:v>519372.24</ns0:v>
      </ns0:c>
      <ns0:c r="E92" s="3">
        <ns0:f>'收入非主控'!E93+'收入主控'!E93</ns0:f>
        <ns0:v>572520.07</ns0:v>
      </ns0:c>
      <ns0:c r="F92" s="3">
        <ns0:f>'收入非主控'!F93+'收入主控'!F93</ns0:f>
        <ns0:v>444683.89</ns0:v>
      </ns0:c>
      <ns0:c r="G92" s="3">
        <ns0:f>'收入非主控'!G93+'收入主控'!G93</ns0:f>
        <ns0:v>599770.18</ns0:v>
      </ns0:c>
      <ns0:c r="H92" s="3">
        <ns0:f>'收入非主控'!H93+'收入主控'!H93</ns0:f>
        <ns0:v>470593.17</ns0:v>
      </ns0:c>
      <ns0:c r="I92" s="3">
        <ns0:f>'收入非主控'!I93+'收入主控'!I93</ns0:f>
        <ns0:v>568075.40</ns0:v>
      </ns0:c>
      <ns0:c r="J92" s="3">
        <ns0:f>'收入非主控'!J93+'收入主控'!J93</ns0:f>
        <ns0:v>358123.71</ns0:v>
      </ns0:c>
      <ns0:c r="K92" s="3">
        <ns0:f>'收入非主控'!K93+'收入主控'!K93</ns0:f>
        <ns0:v>492894.49</ns0:v>
      </ns0:c>
      <ns0:c r="L92" s="3">
        <ns0:f>'收入非主控'!L93+'收入主控'!L93</ns0:f>
        <ns0:v>409280.66</ns0:v>
      </ns0:c>
      <ns0:c r="M92" s="3">
        <ns0:f>'收入非主控'!M93+'收入主控'!M93</ns0:f>
        <ns0:v>513664.66</ns0:v>
      </ns0:c>
      <ns0:c r="N92" s="3">
        <ns0:f>'收入非主控'!N93+'收入主控'!N93</ns0:f>
        <ns0:v>464374.49</ns0:v>
      </ns0:c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 t="inlineStr">
        <ns0:is>
          <ns0:t>税金及附加</ns0:t>
        </ns0:is>
      </ns0:c>
      <ns0:c r="C93" s="3">
        <ns0:f>ROUND(C92*$C$91,2)</ns0:f>
        <ns0:v>3237.34</ns0:v>
      </ns0:c>
      <ns0:c r="D93" s="3">
        <ns0:f>ROUND(D92*$C$91,2)</ns0:f>
        <ns0:v>3640.80</ns0:v>
      </ns0:c>
      <ns0:c r="E93" s="3">
        <ns0:f>ROUND(E92*$C$91,2)</ns0:f>
        <ns0:v>4013.37</ns0:v>
      </ns0:c>
      <ns0:c r="F93" s="3">
        <ns0:f>ROUND(F92*$C$91,2)</ns0:f>
        <ns0:v>3117.23</ns0:v>
      </ns0:c>
      <ns0:c r="G93" s="3">
        <ns0:f>ROUND(G92*$C$91,2)</ns0:f>
        <ns0:v>4204.39</ns0:v>
      </ns0:c>
      <ns0:c r="H93" s="3">
        <ns0:f>ROUND(H92*$C$91,2)</ns0:f>
        <ns0:v>3298.86</ns0:v>
      </ns0:c>
      <ns0:c r="I93" s="3">
        <ns0:f>ROUND(I92*$C$91,2)</ns0:f>
        <ns0:v>3982.21</ns0:v>
      </ns0:c>
      <ns0:c r="J93" s="3">
        <ns0:f>ROUND(J92*$C$91,2)</ns0:f>
        <ns0:v>2510.45</ns0:v>
      </ns0:c>
      <ns0:c r="K93" s="3">
        <ns0:f>ROUND(K92*$C$91,2)</ns0:f>
        <ns0:v>3455.19</ns0:v>
      </ns0:c>
      <ns0:c r="L93" s="3">
        <ns0:f>ROUND(L92*$C$91,2)</ns0:f>
        <ns0:v>2869.06</ns0:v>
      </ns0:c>
      <ns0:c r="M93" s="3">
        <ns0:f>ROUND(M92*$C$91,2)</ns0:f>
        <ns0:v>3600.79</ns0:v>
      </ns0:c>
      <ns0:c r="N93" s="3">
        <ns0:f>ROUND(N92*$C$91,2)</ns0:f>
        <ns0:v>3255.27</ns0:v>
      </ns0:c>
      <ns0:c r="O93" s="3"/>
      <ns0:c r="P93" s="2" t="inlineStr">
        <ns0:is>
          <ns0:t>TAX</ns0:t>
        </ns0:is>
      </ns0:c>
      <ns0:c r="Q93" s="2" t="inlineStr">
        <ns0:is>
          <ns0:t>演示占位-v1</ns0:t>
        </ns0:is>
      </ns0:c>
      <ns0:c r="R93" s="2" t="inlineStr">
        <ns0:is>
          <ns0:t>模拟权责发生制</ns0:t>
        </ns0:is>
      </ns0:c>
      <ns0:c r="S93" s="2" t="inlineStr">
        <ns0:is>
          <ns0:t>2027-01</ns0:t>
        </ns0:is>
      </ns0:c>
      <ns0:c r="T93" s="2" t="inlineStr">
        <ns0:is>
          <ns0:t>2027-06</ns0:t>
        </ns0:is>
      </ns0:c>
      <ns0:c r="U93" s="2" t="inlineStr">
        <ns0:is>
          <ns0:t>无</ns0:t>
        </ns0:is>
      </ns0:c>
      <ns0:c r="V93" s="2" t="inlineStr">
        <ns0:is>
          <ns0:t>无</ns0:t>
        </ns0:is>
      </ns0:c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pageMargins left="0.7" right="0.7" top="0.75" bottom="0.75" header="0.3" footer="0.3"/>
</ns0:worksheet>
</file>

<file path=xl/worksheets/sheet7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6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4.875" hidden="0" customWidth="1"/>
    <ns0:col min="17" max="17" width="9" hidden="0" customWidth="1"/>
    <ns0:col min="18" max="18" width="9.625" hidden="0" customWidth="1"/>
    <ns0:col min="19" max="19" width="9" hidden="0" customWidth="1"/>
    <ns0:col min="20" max="20" width="9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销售费用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 t="inlineStr">
        <ns0:is>
          <ns0:t>项目</ns0:t>
        </ns0:is>
      </ns0:c>
      <ns0:c r="B2" s="2"/>
      <ns0:c r="C2" s="3" t="inlineStr">
        <ns0:is>
          <ns0:t>预算基础（月度，元）</ns0:t>
        </ns0:is>
      </ns0:c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/>
      <ns0:c r="B3" s="2"/>
      <ns0:c r="C3" s="6" t="inlineStr">
        <ns0:is>
          <ns0:t>2027-01</ns0:t>
        </ns0:is>
      </ns0:c>
      <ns0:c r="D3" s="6" t="inlineStr">
        <ns0:is>
          <ns0:t>2027-02</ns0:t>
        </ns0:is>
      </ns0:c>
      <ns0:c r="E3" s="6" t="inlineStr">
        <ns0:is>
          <ns0:t>2027-03</ns0:t>
        </ns0:is>
      </ns0:c>
      <ns0:c r="F3" s="6" t="inlineStr">
        <ns0:is>
          <ns0:t>2027-04</ns0:t>
        </ns0:is>
      </ns0:c>
      <ns0:c r="G3" s="6" t="inlineStr">
        <ns0:is>
          <ns0:t>2027-05</ns0:t>
        </ns0:is>
      </ns0:c>
      <ns0:c r="H3" s="6" t="inlineStr">
        <ns0:is>
          <ns0:t>2027-06</ns0:t>
        </ns0:is>
      </ns0:c>
      <ns0:c r="I3" s="6" t="inlineStr">
        <ns0:is>
          <ns0:t>2027-07</ns0:t>
        </ns0:is>
      </ns0:c>
      <ns0:c r="J3" s="6" t="inlineStr">
        <ns0:is>
          <ns0:t>2027-08</ns0:t>
        </ns0:is>
      </ns0:c>
      <ns0:c r="K3" s="6" t="inlineStr">
        <ns0:is>
          <ns0:t>2027-09</ns0:t>
        </ns0:is>
      </ns0:c>
      <ns0:c r="L3" s="6" t="inlineStr">
        <ns0:is>
          <ns0:t>2027-10</ns0:t>
        </ns0:is>
      </ns0:c>
      <ns0:c r="M3" s="6" t="inlineStr">
        <ns0:is>
          <ns0:t>2027-11</ns0:t>
        </ns0:is>
      </ns0:c>
      <ns0:c r="N3" s="6" t="inlineStr">
        <ns0:is>
          <ns0:t>2027-12</ns0:t>
        </ns0:is>
      </ns0:c>
      <ns0:c r="O3" s="6" t="inlineStr">
        <ns0:is>
          <ns0:t>小计</ns0:t>
        </ns0:is>
      </ns0:c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 t="inlineStr">
        <ns0:is>
          <ns0:t>员工费用</ns0:t>
        </ns0:is>
      </ns0:c>
      <ns0:c r="B4" s="2" t="inlineStr">
        <ns0:is>
          <ns0:t>工资</ns0:t>
        </ns0:is>
      </ns0:c>
      <ns0:c r="C4" s="3">
        <ns0:f>ROUND(C204*C324,2)</ns0:f>
        <ns0:v>55.61</ns0:v>
      </ns0:c>
      <ns0:c r="D4" s="3">
        <ns0:f>ROUND(D204*D324,2)</ns0:f>
        <ns0:v>86.88</ns0:v>
      </ns0:c>
      <ns0:c r="E4" s="3">
        <ns0:f>ROUND(E204*E324,2)</ns0:f>
        <ns0:v>304.48</ns0:v>
      </ns0:c>
      <ns0:c r="F4" s="3">
        <ns0:f>ROUND(F204*F324,2)</ns0:f>
        <ns0:v>46.84</ns0:v>
      </ns0:c>
      <ns0:c r="G4" s="3">
        <ns0:f>ROUND(G204*G324,2)</ns0:f>
        <ns0:v>271.08</ns0:v>
      </ns0:c>
      <ns0:c r="H4" s="3">
        <ns0:f>ROUND(H204*H324,2)</ns0:f>
        <ns0:v>153.04</ns0:v>
      </ns0:c>
      <ns0:c r="I4" s="3">
        <ns0:f>ROUND(I204*I324,2)</ns0:f>
        <ns0:v>379.22</ns0:v>
      </ns0:c>
      <ns0:c r="J4" s="3">
        <ns0:f>ROUND(J204*J324,2)</ns0:f>
        <ns0:v>371.25</ns0:v>
      </ns0:c>
      <ns0:c r="K4" s="3">
        <ns0:f>ROUND(K204*K324,2)</ns0:f>
        <ns0:v>244.50</ns0:v>
      </ns0:c>
      <ns0:c r="L4" s="3">
        <ns0:f>ROUND(L204*L324,2)</ns0:f>
        <ns0:v>292.90</ns0:v>
      </ns0:c>
      <ns0:c r="M4" s="3">
        <ns0:f>ROUND(M204*M324,2)</ns0:f>
        <ns0:v>107.69</ns0:v>
      </ns0:c>
      <ns0:c r="N4" s="3">
        <ns0:f>ROUND(N204*N324,2)</ns0:f>
        <ns0:v>121.78</ns0:v>
      </ns0:c>
      <ns0:c r="O4" s="3">
        <ns0:f>SUM(C4:N4)</ns0:f>
        <ns0:v>2435.27</ns0:v>
      </ns0:c>
      <ns0:c r="P4" s="2" t="inlineStr">
        <ns0:is>
          <ns0:t>EXP1.004</ns0:t>
        </ns0:is>
      </ns0:c>
      <ns0:c r="Q4" s="2" t="inlineStr">
        <ns0:is>
          <ns0:t>演示占位-v1</ns0:t>
        </ns0:is>
      </ns0:c>
      <ns0:c r="R4" s="2" t="inlineStr">
        <ns0:is>
          <ns0:t>模拟权责发生制</ns0:t>
        </ns0:is>
      </ns0:c>
      <ns0:c r="S4" s="2" t="inlineStr">
        <ns0:is>
          <ns0:t>2027-01</ns0:t>
        </ns0:is>
      </ns0:c>
      <ns0:c r="T4" s="2" t="inlineStr">
        <ns0:is>
          <ns0:t>2027-06</ns0:t>
        </ns0:is>
      </ns0:c>
      <ns0:c r="U4" s="2" t="inlineStr">
        <ns0:is>
          <ns0:t>无</ns0:t>
        </ns0:is>
      </ns0:c>
      <ns0:c r="V4" s="2" t="inlineStr">
        <ns0:is>
          <ns0:t>无</ns0:t>
        </ns0:is>
      </ns0:c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/>
      <ns0:c r="B5" s="2" t="inlineStr">
        <ns0:is>
          <ns0:t>十三薪</ns0:t>
        </ns0:is>
      </ns0:c>
      <ns0:c r="C5" s="3">
        <ns0:f>ROUND(C205*C325,2)</ns0:f>
        <ns0:v>279.30</ns0:v>
      </ns0:c>
      <ns0:c r="D5" s="3">
        <ns0:f>ROUND(D205*D325,2)</ns0:f>
        <ns0:v>81.63</ns0:v>
      </ns0:c>
      <ns0:c r="E5" s="3">
        <ns0:f>ROUND(E205*E325,2)</ns0:f>
        <ns0:v>319.72</ns0:v>
      </ns0:c>
      <ns0:c r="F5" s="3">
        <ns0:f>ROUND(F205*F325,2)</ns0:f>
        <ns0:v>243.67</ns0:v>
      </ns0:c>
      <ns0:c r="G5" s="3">
        <ns0:f>ROUND(G205*G325,2)</ns0:f>
        <ns0:v>382.38</ns0:v>
      </ns0:c>
      <ns0:c r="H5" s="3">
        <ns0:f>ROUND(H205*H325,2)</ns0:f>
        <ns0:v>194.76</ns0:v>
      </ns0:c>
      <ns0:c r="I5" s="3">
        <ns0:f>ROUND(I205*I325,2)</ns0:f>
        <ns0:v>301.73</ns0:v>
      </ns0:c>
      <ns0:c r="J5" s="3">
        <ns0:f>ROUND(J205*J325,2)</ns0:f>
        <ns0:v>76.26</ns0:v>
      </ns0:c>
      <ns0:c r="K5" s="3">
        <ns0:f>ROUND(K205*K325,2)</ns0:f>
        <ns0:v>386.19</ns0:v>
      </ns0:c>
      <ns0:c r="L5" s="3">
        <ns0:f>ROUND(L205*L325,2)</ns0:f>
        <ns0:v>122.77</ns0:v>
      </ns0:c>
      <ns0:c r="M5" s="3">
        <ns0:f>ROUND(M205*M325,2)</ns0:f>
        <ns0:v>111.97</ns0:v>
      </ns0:c>
      <ns0:c r="N5" s="3">
        <ns0:f>ROUND(N205*N325,2)</ns0:f>
        <ns0:v>123.08</ns0:v>
      </ns0:c>
      <ns0:c r="O5" s="3">
        <ns0:f>SUM(C5:N5)</ns0:f>
        <ns0:v>2623.46</ns0:v>
      </ns0:c>
      <ns0:c r="P5" s="2" t="inlineStr">
        <ns0:is>
          <ns0:t>EXP1.005</ns0:t>
        </ns0:is>
      </ns0:c>
      <ns0:c r="Q5" s="2" t="inlineStr">
        <ns0:is>
          <ns0:t>演示占位-v1</ns0:t>
        </ns0:is>
      </ns0:c>
      <ns0:c r="R5" s="2" t="inlineStr">
        <ns0:is>
          <ns0:t>模拟权责发生制</ns0:t>
        </ns0:is>
      </ns0:c>
      <ns0:c r="S5" s="2" t="inlineStr">
        <ns0:is>
          <ns0:t>2027-01</ns0:t>
        </ns0:is>
      </ns0:c>
      <ns0:c r="T5" s="2" t="inlineStr">
        <ns0:is>
          <ns0:t>2027-06</ns0:t>
        </ns0:is>
      </ns0:c>
      <ns0:c r="U5" s="2" t="inlineStr">
        <ns0:is>
          <ns0:t>无</ns0:t>
        </ns0:is>
      </ns0:c>
      <ns0:c r="V5" s="2" t="inlineStr">
        <ns0:is>
          <ns0:t>无</ns0:t>
        </ns0:is>
      </ns0:c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/>
      <ns0:c r="B6" s="2" t="inlineStr">
        <ns0:is>
          <ns0:t>离职补偿金</ns0:t>
        </ns0:is>
      </ns0:c>
      <ns0:c r="C6" s="3">
        <ns0:f>ROUND(C206*C326,2)</ns0:f>
        <ns0:v>291.14</ns0:v>
      </ns0:c>
      <ns0:c r="D6" s="3">
        <ns0:f>ROUND(D206*D326,2)</ns0:f>
        <ns0:v>208.93</ns0:v>
      </ns0:c>
      <ns0:c r="E6" s="3">
        <ns0:f>ROUND(E206*E326,2)</ns0:f>
        <ns0:v>103.17</ns0:v>
      </ns0:c>
      <ns0:c r="F6" s="3">
        <ns0:f>ROUND(F206*F326,2)</ns0:f>
        <ns0:v>127.72</ns0:v>
      </ns0:c>
      <ns0:c r="G6" s="3">
        <ns0:f>ROUND(G206*G326,2)</ns0:f>
        <ns0:v>549.10</ns0:v>
      </ns0:c>
      <ns0:c r="H6" s="3">
        <ns0:f>ROUND(H206*H326,2)</ns0:f>
        <ns0:v>139.66</ns0:v>
      </ns0:c>
      <ns0:c r="I6" s="3">
        <ns0:f>ROUND(I206*I326,2)</ns0:f>
        <ns0:v>242.16</ns0:v>
      </ns0:c>
      <ns0:c r="J6" s="3">
        <ns0:f>ROUND(J206*J326,2)</ns0:f>
        <ns0:v>320.04</ns0:v>
      </ns0:c>
      <ns0:c r="K6" s="3">
        <ns0:f>ROUND(K206*K326,2)</ns0:f>
        <ns0:v>231.47</ns0:v>
      </ns0:c>
      <ns0:c r="L6" s="3">
        <ns0:f>ROUND(L206*L326,2)</ns0:f>
        <ns0:v>159.26</ns0:v>
      </ns0:c>
      <ns0:c r="M6" s="3">
        <ns0:f>ROUND(M206*M326,2)</ns0:f>
        <ns0:v>216.28</ns0:v>
      </ns0:c>
      <ns0:c r="N6" s="3">
        <ns0:f>ROUND(N206*N326,2)</ns0:f>
        <ns0:v>157.94</ns0:v>
      </ns0:c>
      <ns0:c r="O6" s="3">
        <ns0:f>SUM(C6:N6)</ns0:f>
        <ns0:v>2746.87</ns0:v>
      </ns0:c>
      <ns0:c r="P6" s="2" t="inlineStr">
        <ns0:is>
          <ns0:t>EXP1.006</ns0:t>
        </ns0:is>
      </ns0:c>
      <ns0:c r="Q6" s="2" t="inlineStr">
        <ns0:is>
          <ns0:t>演示占位-v1</ns0:t>
        </ns0:is>
      </ns0:c>
      <ns0:c r="R6" s="2" t="inlineStr">
        <ns0:is>
          <ns0:t>模拟权责发生制</ns0:t>
        </ns0:is>
      </ns0:c>
      <ns0:c r="S6" s="2" t="inlineStr">
        <ns0:is>
          <ns0:t>2027-01</ns0:t>
        </ns0:is>
      </ns0:c>
      <ns0:c r="T6" s="2" t="inlineStr">
        <ns0:is>
          <ns0:t>2027-06</ns0:t>
        </ns0:is>
      </ns0:c>
      <ns0:c r="U6" s="2" t="inlineStr">
        <ns0:is>
          <ns0:t>无</ns0:t>
        </ns0:is>
      </ns0:c>
      <ns0:c r="V6" s="2" t="inlineStr">
        <ns0:is>
          <ns0:t>无</ns0:t>
        </ns0:is>
      </ns0:c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 t="inlineStr">
        <ns0:is>
          <ns0:t>五险一金</ns0:t>
        </ns0:is>
      </ns0:c>
      <ns0:c r="C7" s="3">
        <ns0:f>ROUND(C207*C327,2)</ns0:f>
        <ns0:v>234.21</ns0:v>
      </ns0:c>
      <ns0:c r="D7" s="3">
        <ns0:f>ROUND(D207*D327,2)</ns0:f>
        <ns0:v>204.18</ns0:v>
      </ns0:c>
      <ns0:c r="E7" s="3">
        <ns0:f>ROUND(E207*E327,2)</ns0:f>
        <ns0:v>154.43</ns0:v>
      </ns0:c>
      <ns0:c r="F7" s="3">
        <ns0:f>ROUND(F207*F327,2)</ns0:f>
        <ns0:v>252.32</ns0:v>
      </ns0:c>
      <ns0:c r="G7" s="3">
        <ns0:f>ROUND(G207*G327,2)</ns0:f>
        <ns0:v>515.43</ns0:v>
      </ns0:c>
      <ns0:c r="H7" s="3">
        <ns0:f>ROUND(H207*H327,2)</ns0:f>
        <ns0:v>121.89</ns0:v>
      </ns0:c>
      <ns0:c r="I7" s="3">
        <ns0:f>ROUND(I207*I327,2)</ns0:f>
        <ns0:v>530.93</ns0:v>
      </ns0:c>
      <ns0:c r="J7" s="3">
        <ns0:f>ROUND(J207*J327,2)</ns0:f>
        <ns0:v>298.38</ns0:v>
      </ns0:c>
      <ns0:c r="K7" s="3">
        <ns0:f>ROUND(K207*K327,2)</ns0:f>
        <ns0:v>134.60</ns0:v>
      </ns0:c>
      <ns0:c r="L7" s="3">
        <ns0:f>ROUND(L207*L327,2)</ns0:f>
        <ns0:v>71.37</ns0:v>
      </ns0:c>
      <ns0:c r="M7" s="3">
        <ns0:f>ROUND(M207*M327,2)</ns0:f>
        <ns0:v>405.65</ns0:v>
      </ns0:c>
      <ns0:c r="N7" s="3">
        <ns0:f>ROUND(N207*N327,2)</ns0:f>
        <ns0:v>339.08</ns0:v>
      </ns0:c>
      <ns0:c r="O7" s="3">
        <ns0:f>SUM(C7:N7)</ns0:f>
        <ns0:v>3262.47</ns0:v>
      </ns0:c>
      <ns0:c r="P7" s="2" t="inlineStr">
        <ns0:is>
          <ns0:t>EXP1.007</ns0:t>
        </ns0:is>
      </ns0:c>
      <ns0:c r="Q7" s="2" t="inlineStr">
        <ns0:is>
          <ns0:t>演示占位-v1</ns0:t>
        </ns0:is>
      </ns0:c>
      <ns0:c r="R7" s="2" t="inlineStr">
        <ns0:is>
          <ns0:t>模拟权责发生制</ns0:t>
        </ns0:is>
      </ns0:c>
      <ns0:c r="S7" s="2" t="inlineStr">
        <ns0:is>
          <ns0:t>2027-01</ns0:t>
        </ns0:is>
      </ns0:c>
      <ns0:c r="T7" s="2" t="inlineStr">
        <ns0:is>
          <ns0:t>2027-06</ns0:t>
        </ns0:is>
      </ns0:c>
      <ns0:c r="U7" s="2" t="inlineStr">
        <ns0:is>
          <ns0:t>无</ns0:t>
        </ns0:is>
      </ns0:c>
      <ns0:c r="V7" s="2" t="inlineStr">
        <ns0:is>
          <ns0:t>无</ns0:t>
        </ns0:is>
      </ns0:c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2" t="inlineStr">
        <ns0:is>
          <ns0:t>福利费</ns0:t>
        </ns0:is>
      </ns0:c>
      <ns0:c r="C8" s="3">
        <ns0:f>ROUND(C208*C328,2)</ns0:f>
        <ns0:v>384.56</ns0:v>
      </ns0:c>
      <ns0:c r="D8" s="3">
        <ns0:f>ROUND(D208*D328,2)</ns0:f>
        <ns0:v>398.57</ns0:v>
      </ns0:c>
      <ns0:c r="E8" s="3">
        <ns0:f>ROUND(E208*E328,2)</ns0:f>
        <ns0:v>146.34</ns0:v>
      </ns0:c>
      <ns0:c r="F8" s="3">
        <ns0:f>ROUND(F208*F328,2)</ns0:f>
        <ns0:v>121.44</ns0:v>
      </ns0:c>
      <ns0:c r="G8" s="3">
        <ns0:f>ROUND(G208*G328,2)</ns0:f>
        <ns0:v>200.48</ns0:v>
      </ns0:c>
      <ns0:c r="H8" s="3">
        <ns0:f>ROUND(H208*H328,2)</ns0:f>
        <ns0:v>286.45</ns0:v>
      </ns0:c>
      <ns0:c r="I8" s="3">
        <ns0:f>ROUND(I208*I328,2)</ns0:f>
        <ns0:v>110.73</ns0:v>
      </ns0:c>
      <ns0:c r="J8" s="3">
        <ns0:f>ROUND(J208*J328,2)</ns0:f>
        <ns0:v>145.74</ns0:v>
      </ns0:c>
      <ns0:c r="K8" s="3">
        <ns0:f>ROUND(K208*K328,2)</ns0:f>
        <ns0:v>242.38</ns0:v>
      </ns0:c>
      <ns0:c r="L8" s="3">
        <ns0:f>ROUND(L208*L328,2)</ns0:f>
        <ns0:v>219.66</ns0:v>
      </ns0:c>
      <ns0:c r="M8" s="3">
        <ns0:f>ROUND(M208*M328,2)</ns0:f>
        <ns0:v>231.83</ns0:v>
      </ns0:c>
      <ns0:c r="N8" s="3">
        <ns0:f>ROUND(N208*N328,2)</ns0:f>
        <ns0:v>181.43</ns0:v>
      </ns0:c>
      <ns0:c r="O8" s="3">
        <ns0:f>SUM(C8:N8)</ns0:f>
        <ns0:v>2669.61</ns0:v>
      </ns0:c>
      <ns0:c r="P8" s="2" t="inlineStr">
        <ns0:is>
          <ns0:t>EXP1.008</ns0:t>
        </ns0:is>
      </ns0:c>
      <ns0:c r="Q8" s="2" t="inlineStr">
        <ns0:is>
          <ns0:t>演示占位-v1</ns0:t>
        </ns0:is>
      </ns0:c>
      <ns0:c r="R8" s="2" t="inlineStr">
        <ns0:is>
          <ns0:t>模拟权责发生制</ns0:t>
        </ns0:is>
      </ns0:c>
      <ns0:c r="S8" s="2" t="inlineStr">
        <ns0:is>
          <ns0:t>2027-01</ns0:t>
        </ns0:is>
      </ns0:c>
      <ns0:c r="T8" s="2" t="inlineStr">
        <ns0:is>
          <ns0:t>2027-06</ns0:t>
        </ns0:is>
      </ns0:c>
      <ns0:c r="U8" s="2" t="inlineStr">
        <ns0:is>
          <ns0:t>无</ns0:t>
        </ns0:is>
      </ns0:c>
      <ns0:c r="V8" s="2" t="inlineStr">
        <ns0:is>
          <ns0:t>无</ns0:t>
        </ns0:is>
      </ns0:c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 t="inlineStr">
        <ns0:is>
          <ns0:t>招聘费</ns0:t>
        </ns0:is>
      </ns0:c>
      <ns0:c r="C9" s="3">
        <ns0:f>ROUND(C209*C329,2)</ns0:f>
        <ns0:v>116.14</ns0:v>
      </ns0:c>
      <ns0:c r="D9" s="3">
        <ns0:f>ROUND(D209*D329,2)</ns0:f>
        <ns0:v>304.31</ns0:v>
      </ns0:c>
      <ns0:c r="E9" s="3">
        <ns0:f>ROUND(E209*E329,2)</ns0:f>
        <ns0:v>248.74</ns0:v>
      </ns0:c>
      <ns0:c r="F9" s="3">
        <ns0:f>ROUND(F209*F329,2)</ns0:f>
        <ns0:v>170.61</ns0:v>
      </ns0:c>
      <ns0:c r="G9" s="3">
        <ns0:f>ROUND(G209*G329,2)</ns0:f>
        <ns0:v>253.30</ns0:v>
      </ns0:c>
      <ns0:c r="H9" s="3">
        <ns0:f>ROUND(H209*H329,2)</ns0:f>
        <ns0:v>267.25</ns0:v>
      </ns0:c>
      <ns0:c r="I9" s="3">
        <ns0:f>ROUND(I209*I329,2)</ns0:f>
        <ns0:v>175.06</ns0:v>
      </ns0:c>
      <ns0:c r="J9" s="3">
        <ns0:f>ROUND(J209*J329,2)</ns0:f>
        <ns0:v>116.11</ns0:v>
      </ns0:c>
      <ns0:c r="K9" s="3">
        <ns0:f>ROUND(K209*K329,2)</ns0:f>
        <ns0:v>168.79</ns0:v>
      </ns0:c>
      <ns0:c r="L9" s="3">
        <ns0:f>ROUND(L209*L329,2)</ns0:f>
        <ns0:v>175.55</ns0:v>
      </ns0:c>
      <ns0:c r="M9" s="3">
        <ns0:f>ROUND(M209*M329,2)</ns0:f>
        <ns0:v>315.27</ns0:v>
      </ns0:c>
      <ns0:c r="N9" s="3">
        <ns0:f>ROUND(N209*N329,2)</ns0:f>
        <ns0:v>420.83</ns0:v>
      </ns0:c>
      <ns0:c r="O9" s="3">
        <ns0:f>SUM(C9:N9)</ns0:f>
        <ns0:v>2731.96</ns0:v>
      </ns0:c>
      <ns0:c r="P9" s="2" t="inlineStr">
        <ns0:is>
          <ns0:t>EXP1.009</ns0:t>
        </ns0:is>
      </ns0:c>
      <ns0:c r="Q9" s="2" t="inlineStr">
        <ns0:is>
          <ns0:t>演示占位-v1</ns0:t>
        </ns0:is>
      </ns0:c>
      <ns0:c r="R9" s="2" t="inlineStr">
        <ns0:is>
          <ns0:t>模拟权责发生制</ns0:t>
        </ns0:is>
      </ns0:c>
      <ns0:c r="S9" s="2" t="inlineStr">
        <ns0:is>
          <ns0:t>2027-01</ns0:t>
        </ns0:is>
      </ns0:c>
      <ns0:c r="T9" s="2" t="inlineStr">
        <ns0:is>
          <ns0:t>2027-06</ns0:t>
        </ns0:is>
      </ns0:c>
      <ns0:c r="U9" s="2" t="inlineStr">
        <ns0:is>
          <ns0:t>无</ns0:t>
        </ns0:is>
      </ns0:c>
      <ns0:c r="V9" s="2" t="inlineStr">
        <ns0:is>
          <ns0:t>无</ns0:t>
        </ns0:is>
      </ns0:c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 t="inlineStr">
        <ns0:is>
          <ns0:t>培训费</ns0:t>
        </ns0:is>
      </ns0:c>
      <ns0:c r="C10" s="3">
        <ns0:f>ROUND(C210*C330,2)</ns0:f>
        <ns0:v>134.06</ns0:v>
      </ns0:c>
      <ns0:c r="D10" s="3">
        <ns0:f>ROUND(D210*D330,2)</ns0:f>
        <ns0:v>306.99</ns0:v>
      </ns0:c>
      <ns0:c r="E10" s="3">
        <ns0:f>ROUND(E210*E330,2)</ns0:f>
        <ns0:v>480.98</ns0:v>
      </ns0:c>
      <ns0:c r="F10" s="3">
        <ns0:f>ROUND(F210*F330,2)</ns0:f>
        <ns0:v>362.58</ns0:v>
      </ns0:c>
      <ns0:c r="G10" s="3">
        <ns0:f>ROUND(G210*G330,2)</ns0:f>
        <ns0:v>44.92</ns0:v>
      </ns0:c>
      <ns0:c r="H10" s="3">
        <ns0:f>ROUND(H210*H330,2)</ns0:f>
        <ns0:v>351.50</ns0:v>
      </ns0:c>
      <ns0:c r="I10" s="3">
        <ns0:f>ROUND(I210*I330,2)</ns0:f>
        <ns0:v>148.12</ns0:v>
      </ns0:c>
      <ns0:c r="J10" s="3">
        <ns0:f>ROUND(J210*J330,2)</ns0:f>
        <ns0:v>230.58</ns0:v>
      </ns0:c>
      <ns0:c r="K10" s="3">
        <ns0:f>ROUND(K210*K330,2)</ns0:f>
        <ns0:v>298.45</ns0:v>
      </ns0:c>
      <ns0:c r="L10" s="3">
        <ns0:f>ROUND(L210*L330,2)</ns0:f>
        <ns0:v>397.57</ns0:v>
      </ns0:c>
      <ns0:c r="M10" s="3">
        <ns0:f>ROUND(M210*M330,2)</ns0:f>
        <ns0:v>157.70</ns0:v>
      </ns0:c>
      <ns0:c r="N10" s="3">
        <ns0:f>ROUND(N210*N330,2)</ns0:f>
        <ns0:v>232.30</ns0:v>
      </ns0:c>
      <ns0:c r="O10" s="3">
        <ns0:f>SUM(C10:N10)</ns0:f>
        <ns0:v>3145.75</ns0:v>
      </ns0:c>
      <ns0:c r="P10" s="2" t="inlineStr">
        <ns0:is>
          <ns0:t>EXP1.010</ns0:t>
        </ns0:is>
      </ns0:c>
      <ns0:c r="Q10" s="2" t="inlineStr">
        <ns0:is>
          <ns0:t>演示占位-v1</ns0:t>
        </ns0:is>
      </ns0:c>
      <ns0:c r="R10" s="2" t="inlineStr">
        <ns0:is>
          <ns0:t>模拟权责发生制</ns0:t>
        </ns0:is>
      </ns0:c>
      <ns0:c r="S10" s="2" t="inlineStr">
        <ns0:is>
          <ns0:t>2027-01</ns0:t>
        </ns0:is>
      </ns0:c>
      <ns0:c r="T10" s="2" t="inlineStr">
        <ns0:is>
          <ns0:t>2027-06</ns0:t>
        </ns0:is>
      </ns0:c>
      <ns0:c r="U10" s="2" t="inlineStr">
        <ns0:is>
          <ns0:t>无</ns0:t>
        </ns0:is>
      </ns0:c>
      <ns0:c r="V10" s="2" t="inlineStr">
        <ns0:is>
          <ns0:t>无</ns0:t>
        </ns0:is>
      </ns0:c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 t="inlineStr">
        <ns0:is>
          <ns0:t>房租</ns0:t>
        </ns0:is>
      </ns0:c>
      <ns0:c r="C11" s="3">
        <ns0:f>ROUND(C211*C331,2)</ns0:f>
        <ns0:v>204.84</ns0:v>
      </ns0:c>
      <ns0:c r="D11" s="3">
        <ns0:f>ROUND(D211*D331,2)</ns0:f>
        <ns0:v>369.11</ns0:v>
      </ns0:c>
      <ns0:c r="E11" s="3">
        <ns0:f>ROUND(E211*E331,2)</ns0:f>
        <ns0:v>201.75</ns0:v>
      </ns0:c>
      <ns0:c r="F11" s="3">
        <ns0:f>ROUND(F211*F331,2)</ns0:f>
        <ns0:v>205.47</ns0:v>
      </ns0:c>
      <ns0:c r="G11" s="3">
        <ns0:f>ROUND(G211*G331,2)</ns0:f>
        <ns0:v>314.39</ns0:v>
      </ns0:c>
      <ns0:c r="H11" s="3">
        <ns0:f>ROUND(H211*H331,2)</ns0:f>
        <ns0:v>656.53</ns0:v>
      </ns0:c>
      <ns0:c r="I11" s="3">
        <ns0:f>ROUND(I211*I331,2)</ns0:f>
        <ns0:v>384.48</ns0:v>
      </ns0:c>
      <ns0:c r="J11" s="3">
        <ns0:f>ROUND(J211*J331,2)</ns0:f>
        <ns0:v>171.20</ns0:v>
      </ns0:c>
      <ns0:c r="K11" s="3">
        <ns0:f>ROUND(K211*K331,2)</ns0:f>
        <ns0:v>129.44</ns0:v>
      </ns0:c>
      <ns0:c r="L11" s="3">
        <ns0:f>ROUND(L211*L331,2)</ns0:f>
        <ns0:v>78.87</ns0:v>
      </ns0:c>
      <ns0:c r="M11" s="3">
        <ns0:f>ROUND(M211*M331,2)</ns0:f>
        <ns0:v>288.47</ns0:v>
      </ns0:c>
      <ns0:c r="N11" s="3">
        <ns0:f>ROUND(N211*N331,2)</ns0:f>
        <ns0:v>358.27</ns0:v>
      </ns0:c>
      <ns0:c r="O11" s="3">
        <ns0:f>SUM(C11:N11)</ns0:f>
        <ns0:v>3362.82</ns0:v>
      </ns0:c>
      <ns0:c r="P11" s="2" t="inlineStr">
        <ns0:is>
          <ns0:t>EXP1.011</ns0:t>
        </ns0:is>
      </ns0:c>
      <ns0:c r="Q11" s="2" t="inlineStr">
        <ns0:is>
          <ns0:t>演示占位-v1</ns0:t>
        </ns0:is>
      </ns0:c>
      <ns0:c r="R11" s="2" t="inlineStr">
        <ns0:is>
          <ns0:t>模拟权责发生制</ns0:t>
        </ns0:is>
      </ns0:c>
      <ns0:c r="S11" s="2" t="inlineStr">
        <ns0:is>
          <ns0:t>2027-01</ns0:t>
        </ns0:is>
      </ns0:c>
      <ns0:c r="T11" s="2" t="inlineStr">
        <ns0:is>
          <ns0:t>2027-06</ns0:t>
        </ns0:is>
      </ns0:c>
      <ns0:c r="U11" s="2" t="inlineStr">
        <ns0:is>
          <ns0:t>无</ns0:t>
        </ns0:is>
      </ns0:c>
      <ns0:c r="V11" s="2" t="inlineStr">
        <ns0:is>
          <ns0:t>无</ns0:t>
        </ns0:is>
      </ns0:c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 t="inlineStr">
        <ns0:is>
          <ns0:t>物业管理费</ns0:t>
        </ns0:is>
      </ns0:c>
      <ns0:c r="C12" s="3">
        <ns0:f>ROUND(C212*C332,2)</ns0:f>
        <ns0:v>173.96</ns0:v>
      </ns0:c>
      <ns0:c r="D12" s="3">
        <ns0:f>ROUND(D212*D332,2)</ns0:f>
        <ns0:v>84.09</ns0:v>
      </ns0:c>
      <ns0:c r="E12" s="3">
        <ns0:f>ROUND(E212*E332,2)</ns0:f>
        <ns0:v>424.66</ns0:v>
      </ns0:c>
      <ns0:c r="F12" s="3">
        <ns0:f>ROUND(F212*F332,2)</ns0:f>
        <ns0:v>209.62</ns0:v>
      </ns0:c>
      <ns0:c r="G12" s="3">
        <ns0:f>ROUND(G212*G332,2)</ns0:f>
        <ns0:v>303.10</ns0:v>
      </ns0:c>
      <ns0:c r="H12" s="3">
        <ns0:f>ROUND(H212*H332,2)</ns0:f>
        <ns0:v>360.76</ns0:v>
      </ns0:c>
      <ns0:c r="I12" s="3">
        <ns0:f>ROUND(I212*I332,2)</ns0:f>
        <ns0:v>150.45</ns0:v>
      </ns0:c>
      <ns0:c r="J12" s="3">
        <ns0:f>ROUND(J212*J332,2)</ns0:f>
        <ns0:v>80.49</ns0:v>
      </ns0:c>
      <ns0:c r="K12" s="3">
        <ns0:f>ROUND(K212*K332,2)</ns0:f>
        <ns0:v>259.96</ns0:v>
      </ns0:c>
      <ns0:c r="L12" s="3">
        <ns0:f>ROUND(L212*L332,2)</ns0:f>
        <ns0:v>359.77</ns0:v>
      </ns0:c>
      <ns0:c r="M12" s="3">
        <ns0:f>ROUND(M212*M332,2)</ns0:f>
        <ns0:v>418.97</ns0:v>
      </ns0:c>
      <ns0:c r="N12" s="3">
        <ns0:f>ROUND(N212*N332,2)</ns0:f>
        <ns0:v>142.96</ns0:v>
      </ns0:c>
      <ns0:c r="O12" s="3">
        <ns0:f>SUM(C12:N12)</ns0:f>
        <ns0:v>2968.79</ns0:v>
      </ns0:c>
      <ns0:c r="P12" s="2" t="inlineStr">
        <ns0:is>
          <ns0:t>EXP1.012</ns0:t>
        </ns0:is>
      </ns0:c>
      <ns0:c r="Q12" s="2" t="inlineStr">
        <ns0:is>
          <ns0:t>演示占位-v1</ns0:t>
        </ns0:is>
      </ns0:c>
      <ns0:c r="R12" s="2" t="inlineStr">
        <ns0:is>
          <ns0:t>模拟权责发生制</ns0:t>
        </ns0:is>
      </ns0:c>
      <ns0:c r="S12" s="2" t="inlineStr">
        <ns0:is>
          <ns0:t>2027-01</ns0:t>
        </ns0:is>
      </ns0:c>
      <ns0:c r="T12" s="2" t="inlineStr">
        <ns0:is>
          <ns0:t>2027-06</ns0:t>
        </ns0:is>
      </ns0:c>
      <ns0:c r="U12" s="2" t="inlineStr">
        <ns0:is>
          <ns0:t>无</ns0:t>
        </ns0:is>
      </ns0:c>
      <ns0:c r="V12" s="2" t="inlineStr">
        <ns0:is>
          <ns0:t>无</ns0:t>
        </ns0:is>
      </ns0:c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 t="inlineStr">
        <ns0:is>
          <ns0:t>汽车费用</ns0:t>
        </ns0:is>
      </ns0:c>
      <ns0:c r="C13" s="3">
        <ns0:f>ROUND(C213*C333,2)</ns0:f>
        <ns0:v>659.56</ns0:v>
      </ns0:c>
      <ns0:c r="D13" s="3">
        <ns0:f>ROUND(D213*D333,2)</ns0:f>
        <ns0:v>141.66</ns0:v>
      </ns0:c>
      <ns0:c r="E13" s="3">
        <ns0:f>ROUND(E213*E333,2)</ns0:f>
        <ns0:v>126.48</ns0:v>
      </ns0:c>
      <ns0:c r="F13" s="3">
        <ns0:f>ROUND(F213*F333,2)</ns0:f>
        <ns0:v>230.50</ns0:v>
      </ns0:c>
      <ns0:c r="G13" s="3">
        <ns0:f>ROUND(G213*G333,2)</ns0:f>
        <ns0:v>119.35</ns0:v>
      </ns0:c>
      <ns0:c r="H13" s="3">
        <ns0:f>ROUND(H213*H333,2)</ns0:f>
        <ns0:v>106.54</ns0:v>
      </ns0:c>
      <ns0:c r="I13" s="3">
        <ns0:f>ROUND(I213*I333,2)</ns0:f>
        <ns0:v>287.70</ns0:v>
      </ns0:c>
      <ns0:c r="J13" s="3">
        <ns0:f>ROUND(J213*J333,2)</ns0:f>
        <ns0:v>152.06</ns0:v>
      </ns0:c>
      <ns0:c r="K13" s="3">
        <ns0:f>ROUND(K213*K333,2)</ns0:f>
        <ns0:v>179.89</ns0:v>
      </ns0:c>
      <ns0:c r="L13" s="3">
        <ns0:f>ROUND(L213*L333,2)</ns0:f>
        <ns0:v>373.10</ns0:v>
      </ns0:c>
      <ns0:c r="M13" s="3">
        <ns0:f>ROUND(M213*M333,2)</ns0:f>
        <ns0:v>132.10</ns0:v>
      </ns0:c>
      <ns0:c r="N13" s="3">
        <ns0:f>ROUND(N213*N333,2)</ns0:f>
        <ns0:v>142.44</ns0:v>
      </ns0:c>
      <ns0:c r="O13" s="3">
        <ns0:f>SUM(C13:N13)</ns0:f>
        <ns0:v>2651.38</ns0:v>
      </ns0:c>
      <ns0:c r="P13" s="2" t="inlineStr">
        <ns0:is>
          <ns0:t>EXP1.013</ns0:t>
        </ns0:is>
      </ns0:c>
      <ns0:c r="Q13" s="2" t="inlineStr">
        <ns0:is>
          <ns0:t>演示占位-v1</ns0:t>
        </ns0:is>
      </ns0:c>
      <ns0:c r="R13" s="2" t="inlineStr">
        <ns0:is>
          <ns0:t>模拟权责发生制</ns0:t>
        </ns0:is>
      </ns0:c>
      <ns0:c r="S13" s="2" t="inlineStr">
        <ns0:is>
          <ns0:t>2027-01</ns0:t>
        </ns0:is>
      </ns0:c>
      <ns0:c r="T13" s="2" t="inlineStr">
        <ns0:is>
          <ns0:t>2027-06</ns0:t>
        </ns0:is>
      </ns0:c>
      <ns0:c r="U13" s="2" t="inlineStr">
        <ns0:is>
          <ns0:t>无</ns0:t>
        </ns0:is>
      </ns0:c>
      <ns0:c r="V13" s="2" t="inlineStr">
        <ns0:is>
          <ns0:t>无</ns0:t>
        </ns0:is>
      </ns0:c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 t="inlineStr">
        <ns0:is>
          <ns0:t>办公费</ns0:t>
        </ns0:is>
      </ns0:c>
      <ns0:c r="C14" s="3">
        <ns0:f>ROUND(C214*C334,2)</ns0:f>
        <ns0:v>61.99</ns0:v>
      </ns0:c>
      <ns0:c r="D14" s="3">
        <ns0:f>ROUND(D214*D334,2)</ns0:f>
        <ns0:v>301.17</ns0:v>
      </ns0:c>
      <ns0:c r="E14" s="3">
        <ns0:f>ROUND(E214*E334,2)</ns0:f>
        <ns0:v>352.16</ns0:v>
      </ns0:c>
      <ns0:c r="F14" s="3">
        <ns0:f>ROUND(F214*F334,2)</ns0:f>
        <ns0:v>314.13</ns0:v>
      </ns0:c>
      <ns0:c r="G14" s="3">
        <ns0:f>ROUND(G214*G334,2)</ns0:f>
        <ns0:v>37.19</ns0:v>
      </ns0:c>
      <ns0:c r="H14" s="3">
        <ns0:f>ROUND(H214*H334,2)</ns0:f>
        <ns0:v>192.17</ns0:v>
      </ns0:c>
      <ns0:c r="I14" s="3">
        <ns0:f>ROUND(I214*I334,2)</ns0:f>
        <ns0:v>356.25</ns0:v>
      </ns0:c>
      <ns0:c r="J14" s="3">
        <ns0:f>ROUND(J214*J334,2)</ns0:f>
        <ns0:v>259.18</ns0:v>
      </ns0:c>
      <ns0:c r="K14" s="3">
        <ns0:f>ROUND(K214*K334,2)</ns0:f>
        <ns0:v>451.75</ns0:v>
      </ns0:c>
      <ns0:c r="L14" s="3">
        <ns0:f>ROUND(L214*L334,2)</ns0:f>
        <ns0:v>283.32</ns0:v>
      </ns0:c>
      <ns0:c r="M14" s="3">
        <ns0:f>ROUND(M214*M334,2)</ns0:f>
        <ns0:v>270.28</ns0:v>
      </ns0:c>
      <ns0:c r="N14" s="3">
        <ns0:f>ROUND(N214*N334,2)</ns0:f>
        <ns0:v>109.26</ns0:v>
      </ns0:c>
      <ns0:c r="O14" s="3">
        <ns0:f>SUM(C14:N14)</ns0:f>
        <ns0:v>2988.85</ns0:v>
      </ns0:c>
      <ns0:c r="P14" s="2" t="inlineStr">
        <ns0:is>
          <ns0:t>EXP1.014</ns0:t>
        </ns0:is>
      </ns0:c>
      <ns0:c r="Q14" s="2" t="inlineStr">
        <ns0:is>
          <ns0:t>演示占位-v1</ns0:t>
        </ns0:is>
      </ns0:c>
      <ns0:c r="R14" s="2" t="inlineStr">
        <ns0:is>
          <ns0:t>模拟权责发生制</ns0:t>
        </ns0:is>
      </ns0:c>
      <ns0:c r="S14" s="2" t="inlineStr">
        <ns0:is>
          <ns0:t>2027-01</ns0:t>
        </ns0:is>
      </ns0:c>
      <ns0:c r="T14" s="2" t="inlineStr">
        <ns0:is>
          <ns0:t>2027-06</ns0:t>
        </ns0:is>
      </ns0:c>
      <ns0:c r="U14" s="2" t="inlineStr">
        <ns0:is>
          <ns0:t>无</ns0:t>
        </ns0:is>
      </ns0:c>
      <ns0:c r="V14" s="2" t="inlineStr">
        <ns0:is>
          <ns0:t>无</ns0:t>
        </ns0:is>
      </ns0:c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实际数据状态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 t="inlineStr">
        <ns0:is>
          <ns0:t>办公用品</ns0:t>
        </ns0:is>
      </ns0:c>
      <ns0:c r="C15" s="3">
        <ns0:f>ROUND(C215*C335,2)</ns0:f>
        <ns0:v>226.22</ns0:v>
      </ns0:c>
      <ns0:c r="D15" s="3">
        <ns0:f>ROUND(D215*D335,2)</ns0:f>
        <ns0:v>156.62</ns0:v>
      </ns0:c>
      <ns0:c r="E15" s="3">
        <ns0:f>ROUND(E215*E335,2)</ns0:f>
        <ns0:v>354.56</ns0:v>
      </ns0:c>
      <ns0:c r="F15" s="3">
        <ns0:f>ROUND(F215*F335,2)</ns0:f>
        <ns0:v>74.15</ns0:v>
      </ns0:c>
      <ns0:c r="G15" s="3">
        <ns0:f>ROUND(G215*G335,2)</ns0:f>
        <ns0:v>70.52</ns0:v>
      </ns0:c>
      <ns0:c r="H15" s="3">
        <ns0:f>ROUND(H215*H335,2)</ns0:f>
        <ns0:v>139.14</ns0:v>
      </ns0:c>
      <ns0:c r="I15" s="3">
        <ns0:f>ROUND(I215*I335,2)</ns0:f>
        <ns0:v>92.74</ns0:v>
      </ns0:c>
      <ns0:c r="J15" s="3">
        <ns0:f>ROUND(J215*J335,2)</ns0:f>
        <ns0:v>164.83</ns0:v>
      </ns0:c>
      <ns0:c r="K15" s="3">
        <ns0:f>ROUND(K215*K335,2)</ns0:f>
        <ns0:v>126.02</ns0:v>
      </ns0:c>
      <ns0:c r="L15" s="3">
        <ns0:f>ROUND(L215*L335,2)</ns0:f>
        <ns0:v>225.85</ns0:v>
      </ns0:c>
      <ns0:c r="M15" s="3">
        <ns0:f>ROUND(M215*M335,2)</ns0:f>
        <ns0:v>207.28</ns0:v>
      </ns0:c>
      <ns0:c r="N15" s="3">
        <ns0:f>ROUND(N215*N335,2)</ns0:f>
        <ns0:v>401.48</ns0:v>
      </ns0:c>
      <ns0:c r="O15" s="3">
        <ns0:f>SUM(C15:N15)</ns0:f>
        <ns0:v>2239.41</ns0:v>
      </ns0:c>
      <ns0:c r="P15" s="2" t="inlineStr">
        <ns0:is>
          <ns0:t>EXP1.015</ns0:t>
        </ns0:is>
      </ns0:c>
      <ns0:c r="Q15" s="2" t="inlineStr">
        <ns0:is>
          <ns0:t>演示占位-v1</ns0:t>
        </ns0:is>
      </ns0:c>
      <ns0:c r="R15" s="2" t="inlineStr">
        <ns0:is>
          <ns0:t>模拟权责发生制</ns0:t>
        </ns0:is>
      </ns0:c>
      <ns0:c r="S15" s="2" t="inlineStr">
        <ns0:is>
          <ns0:t>2027-01</ns0:t>
        </ns0:is>
      </ns0:c>
      <ns0:c r="T15" s="2" t="inlineStr">
        <ns0:is>
          <ns0:t>2027-06</ns0:t>
        </ns0:is>
      </ns0:c>
      <ns0:c r="U15" s="2" t="inlineStr">
        <ns0:is>
          <ns0:t>无</ns0:t>
        </ns0:is>
      </ns0:c>
      <ns0:c r="V15" s="2" t="inlineStr">
        <ns0:is>
          <ns0:t>无</ns0:t>
        </ns0:is>
      </ns0:c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 t="inlineStr">
        <ns0:is>
          <ns0:t>水电煤</ns0:t>
        </ns0:is>
      </ns0:c>
      <ns0:c r="C16" s="3">
        <ns0:f>ROUND(C216*C336,2)</ns0:f>
        <ns0:v>273.12</ns0:v>
      </ns0:c>
      <ns0:c r="D16" s="3">
        <ns0:f>ROUND(D216*D336,2)</ns0:f>
        <ns0:v>97.85</ns0:v>
      </ns0:c>
      <ns0:c r="E16" s="3">
        <ns0:f>ROUND(E216*E336,2)</ns0:f>
        <ns0:v>250.58</ns0:v>
      </ns0:c>
      <ns0:c r="F16" s="3">
        <ns0:f>ROUND(F216*F336,2)</ns0:f>
        <ns0:v>465.18</ns0:v>
      </ns0:c>
      <ns0:c r="G16" s="3">
        <ns0:f>ROUND(G216*G336,2)</ns0:f>
        <ns0:v>126.43</ns0:v>
      </ns0:c>
      <ns0:c r="H16" s="3">
        <ns0:f>ROUND(H216*H336,2)</ns0:f>
        <ns0:v>271.73</ns0:v>
      </ns0:c>
      <ns0:c r="I16" s="3">
        <ns0:f>ROUND(I216*I336,2)</ns0:f>
        <ns0:v>92.87</ns0:v>
      </ns0:c>
      <ns0:c r="J16" s="3">
        <ns0:f>ROUND(J216*J336,2)</ns0:f>
        <ns0:v>278.55</ns0:v>
      </ns0:c>
      <ns0:c r="K16" s="3">
        <ns0:f>ROUND(K216*K336,2)</ns0:f>
        <ns0:v>202.51</ns0:v>
      </ns0:c>
      <ns0:c r="L16" s="3">
        <ns0:f>ROUND(L216*L336,2)</ns0:f>
        <ns0:v>420.55</ns0:v>
      </ns0:c>
      <ns0:c r="M16" s="3">
        <ns0:f>ROUND(M216*M336,2)</ns0:f>
        <ns0:v>142.52</ns0:v>
      </ns0:c>
      <ns0:c r="N16" s="3">
        <ns0:f>ROUND(N216*N336,2)</ns0:f>
        <ns0:v>340.74</ns0:v>
      </ns0:c>
      <ns0:c r="O16" s="3">
        <ns0:f>SUM(C16:N16)</ns0:f>
        <ns0:v>2962.63</ns0:v>
      </ns0:c>
      <ns0:c r="P16" s="2" t="inlineStr">
        <ns0:is>
          <ns0:t>EXP1.016</ns0:t>
        </ns0:is>
      </ns0:c>
      <ns0:c r="Q16" s="2" t="inlineStr">
        <ns0:is>
          <ns0:t>演示占位-v1</ns0:t>
        </ns0:is>
      </ns0:c>
      <ns0:c r="R16" s="2" t="inlineStr">
        <ns0:is>
          <ns0:t>模拟权责发生制</ns0:t>
        </ns0:is>
      </ns0:c>
      <ns0:c r="S16" s="2" t="inlineStr">
        <ns0:is>
          <ns0:t>2027-01</ns0:t>
        </ns0:is>
      </ns0:c>
      <ns0:c r="T16" s="2" t="inlineStr">
        <ns0:is>
          <ns0:t>2027-06</ns0:t>
        </ns0:is>
      </ns0:c>
      <ns0:c r="U16" s="2" t="inlineStr">
        <ns0:is>
          <ns0:t>无</ns0:t>
        </ns0:is>
      </ns0:c>
      <ns0:c r="V16" s="2" t="inlineStr">
        <ns0:is>
          <ns0:t>无</ns0:t>
        </ns0:is>
      </ns0:c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/>
      <ns0:c r="AY16" s="2"/>
    </ns0:row>
    <ns0:row r="17" ht="20" customHeight="1">
      <ns0:c r="A17" s="2"/>
      <ns0:c r="B17" s="2" t="inlineStr">
        <ns0:is>
          <ns0:t>咨询服务费</ns0:t>
        </ns0:is>
      </ns0:c>
      <ns0:c r="C17" s="3">
        <ns0:f>ROUND(C217*C337,2)</ns0:f>
        <ns0:v>163.27</ns0:v>
      </ns0:c>
      <ns0:c r="D17" s="3">
        <ns0:f>ROUND(D217*D337,2)</ns0:f>
        <ns0:v>226.68</ns0:v>
      </ns0:c>
      <ns0:c r="E17" s="3">
        <ns0:f>ROUND(E217*E337,2)</ns0:f>
        <ns0:v>326.23</ns0:v>
      </ns0:c>
      <ns0:c r="F17" s="3">
        <ns0:f>ROUND(F217*F337,2)</ns0:f>
        <ns0:v>145.32</ns0:v>
      </ns0:c>
      <ns0:c r="G17" s="3">
        <ns0:f>ROUND(G217*G337,2)</ns0:f>
        <ns0:v>167.91</ns0:v>
      </ns0:c>
      <ns0:c r="H17" s="3">
        <ns0:f>ROUND(H217*H337,2)</ns0:f>
        <ns0:v>162.73</ns0:v>
      </ns0:c>
      <ns0:c r="I17" s="3">
        <ns0:f>ROUND(I217*I337,2)</ns0:f>
        <ns0:v>493.52</ns0:v>
      </ns0:c>
      <ns0:c r="J17" s="3">
        <ns0:f>ROUND(J217*J337,2)</ns0:f>
        <ns0:v>313.66</ns0:v>
      </ns0:c>
      <ns0:c r="K17" s="3">
        <ns0:f>ROUND(K217*K337,2)</ns0:f>
        <ns0:v>199.39</ns0:v>
      </ns0:c>
      <ns0:c r="L17" s="3">
        <ns0:f>ROUND(L217*L337,2)</ns0:f>
        <ns0:v>216.23</ns0:v>
      </ns0:c>
      <ns0:c r="M17" s="3">
        <ns0:f>ROUND(M217*M337,2)</ns0:f>
        <ns0:v>194.14</ns0:v>
      </ns0:c>
      <ns0:c r="N17" s="3">
        <ns0:f>ROUND(N217*N337,2)</ns0:f>
        <ns0:v>176.26</ns0:v>
      </ns0:c>
      <ns0:c r="O17" s="3">
        <ns0:f>SUM(C17:N17)</ns0:f>
        <ns0:v>2785.34</ns0:v>
      </ns0:c>
      <ns0:c r="P17" s="2" t="inlineStr">
        <ns0:is>
          <ns0:t>EXP1.017</ns0:t>
        </ns0:is>
      </ns0:c>
      <ns0:c r="Q17" s="2" t="inlineStr">
        <ns0:is>
          <ns0:t>演示占位-v1</ns0:t>
        </ns0:is>
      </ns0:c>
      <ns0:c r="R17" s="2" t="inlineStr">
        <ns0:is>
          <ns0:t>模拟权责发生制</ns0:t>
        </ns0:is>
      </ns0:c>
      <ns0:c r="S17" s="2" t="inlineStr">
        <ns0:is>
          <ns0:t>2027-01</ns0:t>
        </ns0:is>
      </ns0:c>
      <ns0:c r="T17" s="2" t="inlineStr">
        <ns0:is>
          <ns0:t>2027-06</ns0:t>
        </ns0:is>
      </ns0:c>
      <ns0:c r="U17" s="2" t="inlineStr">
        <ns0:is>
          <ns0:t>无</ns0:t>
        </ns0:is>
      </ns0:c>
      <ns0:c r="V17" s="2" t="inlineStr">
        <ns0:is>
          <ns0:t>无</ns0:t>
        </ns0:is>
      </ns0:c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蓝色为输入参数；实际数为占位；金额单位：元</ns0:t>
        </ns0:is>
      </ns0:c>
    </ns0:row>
    <ns0:row r="18" ht="20" customHeight="1">
      <ns0:c r="A18" s="2"/>
      <ns0:c r="B18" s="2" t="inlineStr">
        <ns0:is>
          <ns0:t>电话费</ns0:t>
        </ns0:is>
      </ns0:c>
      <ns0:c r="C18" s="3">
        <ns0:f>ROUND(C218*C338,2)</ns0:f>
        <ns0:v>200.55</ns0:v>
      </ns0:c>
      <ns0:c r="D18" s="3">
        <ns0:f>ROUND(D218*D338,2)</ns0:f>
        <ns0:v>233.98</ns0:v>
      </ns0:c>
      <ns0:c r="E18" s="3">
        <ns0:f>ROUND(E218*E338,2)</ns0:f>
        <ns0:v>457.04</ns0:v>
      </ns0:c>
      <ns0:c r="F18" s="3">
        <ns0:f>ROUND(F218*F338,2)</ns0:f>
        <ns0:v>495.10</ns0:v>
      </ns0:c>
      <ns0:c r="G18" s="3">
        <ns0:f>ROUND(G218*G338,2)</ns0:f>
        <ns0:v>108.94</ns0:v>
      </ns0:c>
      <ns0:c r="H18" s="3">
        <ns0:f>ROUND(H218*H338,2)</ns0:f>
        <ns0:v>84.36</ns0:v>
      </ns0:c>
      <ns0:c r="I18" s="3">
        <ns0:f>ROUND(I218*I338,2)</ns0:f>
        <ns0:v>130.13</ns0:v>
      </ns0:c>
      <ns0:c r="J18" s="3">
        <ns0:f>ROUND(J218*J338,2)</ns0:f>
        <ns0:v>229.72</ns0:v>
      </ns0:c>
      <ns0:c r="K18" s="3">
        <ns0:f>ROUND(K218*K338,2)</ns0:f>
        <ns0:v>110.68</ns0:v>
      </ns0:c>
      <ns0:c r="L18" s="3">
        <ns0:f>ROUND(L218*L338,2)</ns0:f>
        <ns0:v>203.45</ns0:v>
      </ns0:c>
      <ns0:c r="M18" s="3">
        <ns0:f>ROUND(M218*M338,2)</ns0:f>
        <ns0:v>233.61</ns0:v>
      </ns0:c>
      <ns0:c r="N18" s="3">
        <ns0:f>ROUND(N218*N338,2)</ns0:f>
        <ns0:v>363.41</ns0:v>
      </ns0:c>
      <ns0:c r="O18" s="3">
        <ns0:f>SUM(C18:N18)</ns0:f>
        <ns0:v>2850.97</ns0:v>
      </ns0:c>
      <ns0:c r="P18" s="2" t="inlineStr">
        <ns0:is>
          <ns0:t>EXP1.018</ns0:t>
        </ns0:is>
      </ns0:c>
      <ns0:c r="Q18" s="2" t="inlineStr">
        <ns0:is>
          <ns0:t>演示占位-v1</ns0:t>
        </ns0:is>
      </ns0:c>
      <ns0:c r="R18" s="2" t="inlineStr">
        <ns0:is>
          <ns0:t>模拟权责发生制</ns0:t>
        </ns0:is>
      </ns0:c>
      <ns0:c r="S18" s="2" t="inlineStr">
        <ns0:is>
          <ns0:t>2027-01</ns0:t>
        </ns0:is>
      </ns0:c>
      <ns0:c r="T18" s="2" t="inlineStr">
        <ns0:is>
          <ns0:t>2027-06</ns0:t>
        </ns0:is>
      </ns0:c>
      <ns0:c r="U18" s="2" t="inlineStr">
        <ns0:is>
          <ns0:t>无</ns0:t>
        </ns0:is>
      </ns0:c>
      <ns0:c r="V18" s="2" t="inlineStr">
        <ns0:is>
          <ns0:t>无</ns0:t>
        </ns0:is>
      </ns0:c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 t="inlineStr">
        <ns0:is>
          <ns0:t>快递费</ns0:t>
        </ns0:is>
      </ns0:c>
      <ns0:c r="C19" s="3">
        <ns0:f>ROUND(C219*C339,2)</ns0:f>
        <ns0:v>73.77</ns0:v>
      </ns0:c>
      <ns0:c r="D19" s="3">
        <ns0:f>ROUND(D219*D339,2)</ns0:f>
        <ns0:v>220.24</ns0:v>
      </ns0:c>
      <ns0:c r="E19" s="3">
        <ns0:f>ROUND(E219*E339,2)</ns0:f>
        <ns0:v>127.91</ns0:v>
      </ns0:c>
      <ns0:c r="F19" s="3">
        <ns0:f>ROUND(F219*F339,2)</ns0:f>
        <ns0:v>358.62</ns0:v>
      </ns0:c>
      <ns0:c r="G19" s="3">
        <ns0:f>ROUND(G219*G339,2)</ns0:f>
        <ns0:v>158.92</ns0:v>
      </ns0:c>
      <ns0:c r="H19" s="3">
        <ns0:f>ROUND(H219*H339,2)</ns0:f>
        <ns0:v>112.18</ns0:v>
      </ns0:c>
      <ns0:c r="I19" s="3">
        <ns0:f>ROUND(I219*I339,2)</ns0:f>
        <ns0:v>185.19</ns0:v>
      </ns0:c>
      <ns0:c r="J19" s="3">
        <ns0:f>ROUND(J219*J339,2)</ns0:f>
        <ns0:v>165.52</ns0:v>
      </ns0:c>
      <ns0:c r="K19" s="3">
        <ns0:f>ROUND(K219*K339,2)</ns0:f>
        <ns0:v>340.65</ns0:v>
      </ns0:c>
      <ns0:c r="L19" s="3">
        <ns0:f>ROUND(L219*L339,2)</ns0:f>
        <ns0:v>111.60</ns0:v>
      </ns0:c>
      <ns0:c r="M19" s="3">
        <ns0:f>ROUND(M219*M339,2)</ns0:f>
        <ns0:v>211.19</ns0:v>
      </ns0:c>
      <ns0:c r="N19" s="3">
        <ns0:f>ROUND(N219*N339,2)</ns0:f>
        <ns0:v>360.83</ns0:v>
      </ns0:c>
      <ns0:c r="O19" s="3">
        <ns0:f>SUM(C19:N19)</ns0:f>
        <ns0:v>2426.62</ns0:v>
      </ns0:c>
      <ns0:c r="P19" s="2" t="inlineStr">
        <ns0:is>
          <ns0:t>EXP1.019</ns0:t>
        </ns0:is>
      </ns0:c>
      <ns0:c r="Q19" s="2" t="inlineStr">
        <ns0:is>
          <ns0:t>演示占位-v1</ns0:t>
        </ns0:is>
      </ns0:c>
      <ns0:c r="R19" s="2" t="inlineStr">
        <ns0:is>
          <ns0:t>模拟权责发生制</ns0:t>
        </ns0:is>
      </ns0:c>
      <ns0:c r="S19" s="2" t="inlineStr">
        <ns0:is>
          <ns0:t>2027-01</ns0:t>
        </ns0:is>
      </ns0:c>
      <ns0:c r="T19" s="2" t="inlineStr">
        <ns0:is>
          <ns0:t>2027-06</ns0:t>
        </ns0:is>
      </ns0:c>
      <ns0:c r="U19" s="2" t="inlineStr">
        <ns0:is>
          <ns0:t>无</ns0:t>
        </ns0:is>
      </ns0:c>
      <ns0:c r="V19" s="2" t="inlineStr">
        <ns0:is>
          <ns0:t>无</ns0:t>
        </ns0:is>
      </ns0:c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 t="inlineStr">
        <ns0:is>
          <ns0:t>折旧及摊销</ns0:t>
        </ns0:is>
      </ns0:c>
      <ns0:c r="C20" s="3">
        <ns0:f>ROUND('摊销明细'!C33/3,2)</ns0:f>
        <ns0:v>639.75</ns0:v>
      </ns0:c>
      <ns0:c r="D20" s="3">
        <ns0:f>ROUND('摊销明细'!D33/3,2)</ns0:f>
        <ns0:v>639.75</ns0:v>
      </ns0:c>
      <ns0:c r="E20" s="3">
        <ns0:f>ROUND('摊销明细'!E33/3,2)</ns0:f>
        <ns0:v>639.75</ns0:v>
      </ns0:c>
      <ns0:c r="F20" s="3">
        <ns0:f>ROUND('摊销明细'!F33/3,2)</ns0:f>
        <ns0:v>639.75</ns0:v>
      </ns0:c>
      <ns0:c r="G20" s="3">
        <ns0:f>ROUND('摊销明细'!G33/3,2)</ns0:f>
        <ns0:v>639.75</ns0:v>
      </ns0:c>
      <ns0:c r="H20" s="3">
        <ns0:f>ROUND('摊销明细'!H33/3,2)</ns0:f>
        <ns0:v>639.75</ns0:v>
      </ns0:c>
      <ns0:c r="I20" s="3">
        <ns0:f>ROUND('摊销明细'!I33/3,2)</ns0:f>
        <ns0:v>639.75</ns0:v>
      </ns0:c>
      <ns0:c r="J20" s="3">
        <ns0:f>ROUND('摊销明细'!J33/3,2)</ns0:f>
        <ns0:v>639.75</ns0:v>
      </ns0:c>
      <ns0:c r="K20" s="3">
        <ns0:f>ROUND('摊销明细'!K33/3,2)</ns0:f>
        <ns0:v>639.75</ns0:v>
      </ns0:c>
      <ns0:c r="L20" s="3">
        <ns0:f>ROUND('摊销明细'!L33/3,2)</ns0:f>
        <ns0:v>639.75</ns0:v>
      </ns0:c>
      <ns0:c r="M20" s="3">
        <ns0:f>ROUND('摊销明细'!M33/3,2)</ns0:f>
        <ns0:v>639.75</ns0:v>
      </ns0:c>
      <ns0:c r="N20" s="3">
        <ns0:f>ROUND('摊销明细'!N33/3,2)</ns0:f>
        <ns0:v>639.75</ns0:v>
      </ns0:c>
      <ns0:c r="O20" s="3">
        <ns0:f>SUM(C20:N20)</ns0:f>
        <ns0:v>7677.00</ns0:v>
      </ns0:c>
      <ns0:c r="P20" s="2" t="inlineStr">
        <ns0:is>
          <ns0:t>EXP1.020</ns0:t>
        </ns0:is>
      </ns0:c>
      <ns0:c r="Q20" s="2" t="inlineStr">
        <ns0:is>
          <ns0:t>演示占位-v1</ns0:t>
        </ns0:is>
      </ns0:c>
      <ns0:c r="R20" s="2" t="inlineStr">
        <ns0:is>
          <ns0:t>模拟权责发生制</ns0:t>
        </ns0:is>
      </ns0:c>
      <ns0:c r="S20" s="2" t="inlineStr">
        <ns0:is>
          <ns0:t>2027-01</ns0:t>
        </ns0:is>
      </ns0:c>
      <ns0:c r="T20" s="2" t="inlineStr">
        <ns0:is>
          <ns0:t>2027-06</ns0:t>
        </ns0:is>
      </ns0:c>
      <ns0:c r="U20" s="2" t="inlineStr">
        <ns0:is>
          <ns0:t>无</ns0:t>
        </ns0:is>
      </ns0:c>
      <ns0:c r="V20" s="2" t="inlineStr">
        <ns0:is>
          <ns0:t>无</ns0:t>
        </ns0:is>
      </ns0:c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 t="inlineStr">
        <ns0:is>
          <ns0:t>差旅费</ns0:t>
        </ns0:is>
      </ns0:c>
      <ns0:c r="B21" s="2" t="inlineStr">
        <ns0:is>
          <ns0:t>机票火车票</ns0:t>
        </ns0:is>
      </ns0:c>
      <ns0:c r="C21" s="3">
        <ns0:f>ROUND(C221*C341,2)</ns0:f>
        <ns0:v>334.09</ns0:v>
      </ns0:c>
      <ns0:c r="D21" s="3">
        <ns0:f>ROUND(D221*D341,2)</ns0:f>
        <ns0:v>143.28</ns0:v>
      </ns0:c>
      <ns0:c r="E21" s="3">
        <ns0:f>ROUND(E221*E341,2)</ns0:f>
        <ns0:v>456.06</ns0:v>
      </ns0:c>
      <ns0:c r="F21" s="3">
        <ns0:f>ROUND(F221*F341,2)</ns0:f>
        <ns0:v>221.78</ns0:v>
      </ns0:c>
      <ns0:c r="G21" s="3">
        <ns0:f>ROUND(G221*G341,2)</ns0:f>
        <ns0:v>229.62</ns0:v>
      </ns0:c>
      <ns0:c r="H21" s="3">
        <ns0:f>ROUND(H221*H341,2)</ns0:f>
        <ns0:v>403.23</ns0:v>
      </ns0:c>
      <ns0:c r="I21" s="3">
        <ns0:f>ROUND(I221*I341,2)</ns0:f>
        <ns0:v>192.65</ns0:v>
      </ns0:c>
      <ns0:c r="J21" s="3">
        <ns0:f>ROUND(J221*J341,2)</ns0:f>
        <ns0:v>324.16</ns0:v>
      </ns0:c>
      <ns0:c r="K21" s="3">
        <ns0:f>ROUND(K221*K341,2)</ns0:f>
        <ns0:v>135.81</ns0:v>
      </ns0:c>
      <ns0:c r="L21" s="3">
        <ns0:f>ROUND(L221*L341,2)</ns0:f>
        <ns0:v>231.77</ns0:v>
      </ns0:c>
      <ns0:c r="M21" s="3">
        <ns0:f>ROUND(M221*M341,2)</ns0:f>
        <ns0:v>66.54</ns0:v>
      </ns0:c>
      <ns0:c r="N21" s="3">
        <ns0:f>ROUND(N221*N341,2)</ns0:f>
        <ns0:v>97.78</ns0:v>
      </ns0:c>
      <ns0:c r="O21" s="3">
        <ns0:f>SUM(C21:N21)</ns0:f>
        <ns0:v>2836.77</ns0:v>
      </ns0:c>
      <ns0:c r="P21" s="2" t="inlineStr">
        <ns0:is>
          <ns0:t>EXP1.021</ns0:t>
        </ns0:is>
      </ns0:c>
      <ns0:c r="Q21" s="2" t="inlineStr">
        <ns0:is>
          <ns0:t>演示占位-v1</ns0:t>
        </ns0:is>
      </ns0:c>
      <ns0:c r="R21" s="2" t="inlineStr">
        <ns0:is>
          <ns0:t>模拟权责发生制</ns0:t>
        </ns0:is>
      </ns0:c>
      <ns0:c r="S21" s="2" t="inlineStr">
        <ns0:is>
          <ns0:t>2027-01</ns0:t>
        </ns0:is>
      </ns0:c>
      <ns0:c r="T21" s="2" t="inlineStr">
        <ns0:is>
          <ns0:t>2027-06</ns0:t>
        </ns0:is>
      </ns0:c>
      <ns0:c r="U21" s="2" t="inlineStr">
        <ns0:is>
          <ns0:t>无</ns0:t>
        </ns0:is>
      </ns0:c>
      <ns0:c r="V21" s="2" t="inlineStr">
        <ns0:is>
          <ns0:t>无</ns0:t>
        </ns0:is>
      </ns0:c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 t="inlineStr">
        <ns0:is>
          <ns0:t>住宿费</ns0:t>
        </ns0:is>
      </ns0:c>
      <ns0:c r="C22" s="3">
        <ns0:f>ROUND(C222*C342,2)</ns0:f>
        <ns0:v>183.71</ns0:v>
      </ns0:c>
      <ns0:c r="D22" s="3">
        <ns0:f>ROUND(D222*D342,2)</ns0:f>
        <ns0:v>108.92</ns0:v>
      </ns0:c>
      <ns0:c r="E22" s="3">
        <ns0:f>ROUND(E222*E342,2)</ns0:f>
        <ns0:v>431.28</ns0:v>
      </ns0:c>
      <ns0:c r="F22" s="3">
        <ns0:f>ROUND(F222*F342,2)</ns0:f>
        <ns0:v>242.45</ns0:v>
      </ns0:c>
      <ns0:c r="G22" s="3">
        <ns0:f>ROUND(G222*G342,2)</ns0:f>
        <ns0:v>172.23</ns0:v>
      </ns0:c>
      <ns0:c r="H22" s="3">
        <ns0:f>ROUND(H222*H342,2)</ns0:f>
        <ns0:v>186.98</ns0:v>
      </ns0:c>
      <ns0:c r="I22" s="3">
        <ns0:f>ROUND(I222*I342,2)</ns0:f>
        <ns0:v>142.06</ns0:v>
      </ns0:c>
      <ns0:c r="J22" s="3">
        <ns0:f>ROUND(J222*J342,2)</ns0:f>
        <ns0:v>310.96</ns0:v>
      </ns0:c>
      <ns0:c r="K22" s="3">
        <ns0:f>ROUND(K222*K342,2)</ns0:f>
        <ns0:v>215.04</ns0:v>
      </ns0:c>
      <ns0:c r="L22" s="3">
        <ns0:f>ROUND(L222*L342,2)</ns0:f>
        <ns0:v>82.80</ns0:v>
      </ns0:c>
      <ns0:c r="M22" s="3">
        <ns0:f>ROUND(M222*M342,2)</ns0:f>
        <ns0:v>253.61</ns0:v>
      </ns0:c>
      <ns0:c r="N22" s="3">
        <ns0:f>ROUND(N222*N342,2)</ns0:f>
        <ns0:v>519.18</ns0:v>
      </ns0:c>
      <ns0:c r="O22" s="3">
        <ns0:f>SUM(C22:N22)</ns0:f>
        <ns0:v>2849.22</ns0:v>
      </ns0:c>
      <ns0:c r="P22" s="2" t="inlineStr">
        <ns0:is>
          <ns0:t>EXP1.022</ns0:t>
        </ns0:is>
      </ns0:c>
      <ns0:c r="Q22" s="2" t="inlineStr">
        <ns0:is>
          <ns0:t>演示占位-v1</ns0:t>
        </ns0:is>
      </ns0:c>
      <ns0:c r="R22" s="2" t="inlineStr">
        <ns0:is>
          <ns0:t>模拟权责发生制</ns0:t>
        </ns0:is>
      </ns0:c>
      <ns0:c r="S22" s="2" t="inlineStr">
        <ns0:is>
          <ns0:t>2027-01</ns0:t>
        </ns0:is>
      </ns0:c>
      <ns0:c r="T22" s="2" t="inlineStr">
        <ns0:is>
          <ns0:t>2027-06</ns0:t>
        </ns0:is>
      </ns0:c>
      <ns0:c r="U22" s="2" t="inlineStr">
        <ns0:is>
          <ns0:t>无</ns0:t>
        </ns0:is>
      </ns0:c>
      <ns0:c r="V22" s="2" t="inlineStr">
        <ns0:is>
          <ns0:t>无</ns0:t>
        </ns0:is>
      </ns0:c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 t="inlineStr">
        <ns0:is>
          <ns0:t>交通费</ns0:t>
        </ns0:is>
      </ns0:c>
      <ns0:c r="C23" s="3">
        <ns0:f>ROUND(C223*C343,2)</ns0:f>
        <ns0:v>116.97</ns0:v>
      </ns0:c>
      <ns0:c r="D23" s="3">
        <ns0:f>ROUND(D223*D343,2)</ns0:f>
        <ns0:v>79.03</ns0:v>
      </ns0:c>
      <ns0:c r="E23" s="3">
        <ns0:f>ROUND(E223*E343,2)</ns0:f>
        <ns0:v>126.20</ns0:v>
      </ns0:c>
      <ns0:c r="F23" s="3">
        <ns0:f>ROUND(F223*F343,2)</ns0:f>
        <ns0:v>62.87</ns0:v>
      </ns0:c>
      <ns0:c r="G23" s="3">
        <ns0:f>ROUND(G223*G343,2)</ns0:f>
        <ns0:v>542.63</ns0:v>
      </ns0:c>
      <ns0:c r="H23" s="3">
        <ns0:f>ROUND(H223*H343,2)</ns0:f>
        <ns0:v>140.12</ns0:v>
      </ns0:c>
      <ns0:c r="I23" s="3">
        <ns0:f>ROUND(I223*I343,2)</ns0:f>
        <ns0:v>230.41</ns0:v>
      </ns0:c>
      <ns0:c r="J23" s="3">
        <ns0:f>ROUND(J223*J343,2)</ns0:f>
        <ns0:v>550.14</ns0:v>
      </ns0:c>
      <ns0:c r="K23" s="3">
        <ns0:f>ROUND(K223*K343,2)</ns0:f>
        <ns0:v>96.08</ns0:v>
      </ns0:c>
      <ns0:c r="L23" s="3">
        <ns0:f>ROUND(L223*L343,2)</ns0:f>
        <ns0:v>225.76</ns0:v>
      </ns0:c>
      <ns0:c r="M23" s="3">
        <ns0:f>ROUND(M223*M343,2)</ns0:f>
        <ns0:v>202.81</ns0:v>
      </ns0:c>
      <ns0:c r="N23" s="3">
        <ns0:f>ROUND(N223*N343,2)</ns0:f>
        <ns0:v>312.91</ns0:v>
      </ns0:c>
      <ns0:c r="O23" s="3">
        <ns0:f>SUM(C23:N23)</ns0:f>
        <ns0:v>2685.93</ns0:v>
      </ns0:c>
      <ns0:c r="P23" s="2" t="inlineStr">
        <ns0:is>
          <ns0:t>EXP1.023</ns0:t>
        </ns0:is>
      </ns0:c>
      <ns0:c r="Q23" s="2" t="inlineStr">
        <ns0:is>
          <ns0:t>演示占位-v1</ns0:t>
        </ns0:is>
      </ns0:c>
      <ns0:c r="R23" s="2" t="inlineStr">
        <ns0:is>
          <ns0:t>模拟权责发生制</ns0:t>
        </ns0:is>
      </ns0:c>
      <ns0:c r="S23" s="2" t="inlineStr">
        <ns0:is>
          <ns0:t>2027-01</ns0:t>
        </ns0:is>
      </ns0:c>
      <ns0:c r="T23" s="2" t="inlineStr">
        <ns0:is>
          <ns0:t>2027-06</ns0:t>
        </ns0:is>
      </ns0:c>
      <ns0:c r="U23" s="2" t="inlineStr">
        <ns0:is>
          <ns0:t>无</ns0:t>
        </ns0:is>
      </ns0:c>
      <ns0:c r="V23" s="2" t="inlineStr">
        <ns0:is>
          <ns0:t>无</ns0:t>
        </ns0:is>
      </ns0:c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 t="inlineStr">
        <ns0:is>
          <ns0:t>差旅补贴</ns0:t>
        </ns0:is>
      </ns0:c>
      <ns0:c r="C24" s="3">
        <ns0:f>ROUND(C224*C344,2)</ns0:f>
        <ns0:v>122.62</ns0:v>
      </ns0:c>
      <ns0:c r="D24" s="3">
        <ns0:f>ROUND(D224*D344,2)</ns0:f>
        <ns0:v>318.09</ns0:v>
      </ns0:c>
      <ns0:c r="E24" s="3">
        <ns0:f>ROUND(E224*E344,2)</ns0:f>
        <ns0:v>154.75</ns0:v>
      </ns0:c>
      <ns0:c r="F24" s="3">
        <ns0:f>ROUND(F224*F344,2)</ns0:f>
        <ns0:v>187.96</ns0:v>
      </ns0:c>
      <ns0:c r="G24" s="3">
        <ns0:f>ROUND(G224*G344,2)</ns0:f>
        <ns0:v>547.27</ns0:v>
      </ns0:c>
      <ns0:c r="H24" s="3">
        <ns0:f>ROUND(H224*H344,2)</ns0:f>
        <ns0:v>254.31</ns0:v>
      </ns0:c>
      <ns0:c r="I24" s="3">
        <ns0:f>ROUND(I224*I344,2)</ns0:f>
        <ns0:v>304.10</ns0:v>
      </ns0:c>
      <ns0:c r="J24" s="3">
        <ns0:f>ROUND(J224*J344,2)</ns0:f>
        <ns0:v>230.25</ns0:v>
      </ns0:c>
      <ns0:c r="K24" s="3">
        <ns0:f>ROUND(K224*K344,2)</ns0:f>
        <ns0:v>419.30</ns0:v>
      </ns0:c>
      <ns0:c r="L24" s="3">
        <ns0:f>ROUND(L224*L344,2)</ns0:f>
        <ns0:v>286.53</ns0:v>
      </ns0:c>
      <ns0:c r="M24" s="3">
        <ns0:f>ROUND(M224*M344,2)</ns0:f>
        <ns0:v>211.88</ns0:v>
      </ns0:c>
      <ns0:c r="N24" s="3">
        <ns0:f>ROUND(N224*N344,2)</ns0:f>
        <ns0:v>451.90</ns0:v>
      </ns0:c>
      <ns0:c r="O24" s="3">
        <ns0:f>SUM(C24:N24)</ns0:f>
        <ns0:v>3488.96</ns0:v>
      </ns0:c>
      <ns0:c r="P24" s="2" t="inlineStr">
        <ns0:is>
          <ns0:t>EXP1.024</ns0:t>
        </ns0:is>
      </ns0:c>
      <ns0:c r="Q24" s="2" t="inlineStr">
        <ns0:is>
          <ns0:t>演示占位-v1</ns0:t>
        </ns0:is>
      </ns0:c>
      <ns0:c r="R24" s="2" t="inlineStr">
        <ns0:is>
          <ns0:t>模拟权责发生制</ns0:t>
        </ns0:is>
      </ns0:c>
      <ns0:c r="S24" s="2" t="inlineStr">
        <ns0:is>
          <ns0:t>2027-01</ns0:t>
        </ns0:is>
      </ns0:c>
      <ns0:c r="T24" s="2" t="inlineStr">
        <ns0:is>
          <ns0:t>2027-06</ns0:t>
        </ns0:is>
      </ns0:c>
      <ns0:c r="U24" s="2" t="inlineStr">
        <ns0:is>
          <ns0:t>无</ns0:t>
        </ns0:is>
      </ns0:c>
      <ns0:c r="V24" s="2" t="inlineStr">
        <ns0:is>
          <ns0:t>无</ns0:t>
        </ns0:is>
      </ns0:c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 t="inlineStr">
        <ns0:is>
          <ns0:t>业务招待费</ns0:t>
        </ns0:is>
      </ns0:c>
      <ns0:c r="B25" s="2" t="inlineStr">
        <ns0:is>
          <ns0:t>业务招待费</ns0:t>
        </ns0:is>
      </ns0:c>
      <ns0:c r="C25" s="3">
        <ns0:f>ROUND(C225*C345,2)</ns0:f>
        <ns0:v>438.69</ns0:v>
      </ns0:c>
      <ns0:c r="D25" s="3">
        <ns0:f>ROUND(D225*D345,2)</ns0:f>
        <ns0:v>280.86</ns0:v>
      </ns0:c>
      <ns0:c r="E25" s="3">
        <ns0:f>ROUND(E225*E345,2)</ns0:f>
        <ns0:v>134.62</ns0:v>
      </ns0:c>
      <ns0:c r="F25" s="3">
        <ns0:f>ROUND(F225*F345,2)</ns0:f>
        <ns0:v>245.27</ns0:v>
      </ns0:c>
      <ns0:c r="G25" s="3">
        <ns0:f>ROUND(G225*G345,2)</ns0:f>
        <ns0:v>161.24</ns0:v>
      </ns0:c>
      <ns0:c r="H25" s="3">
        <ns0:f>ROUND(H225*H345,2)</ns0:f>
        <ns0:v>84.79</ns0:v>
      </ns0:c>
      <ns0:c r="I25" s="3">
        <ns0:f>ROUND(I225*I345,2)</ns0:f>
        <ns0:v>322.11</ns0:v>
      </ns0:c>
      <ns0:c r="J25" s="3">
        <ns0:f>ROUND(J225*J345,2)</ns0:f>
        <ns0:v>226.01</ns0:v>
      </ns0:c>
      <ns0:c r="K25" s="3">
        <ns0:f>ROUND(K225*K345,2)</ns0:f>
        <ns0:v>97.72</ns0:v>
      </ns0:c>
      <ns0:c r="L25" s="3">
        <ns0:f>ROUND(L225*L345,2)</ns0:f>
        <ns0:v>356.65</ns0:v>
      </ns0:c>
      <ns0:c r="M25" s="3">
        <ns0:f>ROUND(M225*M345,2)</ns0:f>
        <ns0:v>277.51</ns0:v>
      </ns0:c>
      <ns0:c r="N25" s="3">
        <ns0:f>ROUND(N225*N345,2)</ns0:f>
        <ns0:v>221.46</ns0:v>
      </ns0:c>
      <ns0:c r="O25" s="3">
        <ns0:f>SUM(C25:N25)</ns0:f>
        <ns0:v>2846.93</ns0:v>
      </ns0:c>
      <ns0:c r="P25" s="2" t="inlineStr">
        <ns0:is>
          <ns0:t>EXP1.025</ns0:t>
        </ns0:is>
      </ns0:c>
      <ns0:c r="Q25" s="2" t="inlineStr">
        <ns0:is>
          <ns0:t>演示占位-v1</ns0:t>
        </ns0:is>
      </ns0:c>
      <ns0:c r="R25" s="2" t="inlineStr">
        <ns0:is>
          <ns0:t>模拟权责发生制</ns0:t>
        </ns0:is>
      </ns0:c>
      <ns0:c r="S25" s="2" t="inlineStr">
        <ns0:is>
          <ns0:t>2027-01</ns0:t>
        </ns0:is>
      </ns0:c>
      <ns0:c r="T25" s="2" t="inlineStr">
        <ns0:is>
          <ns0:t>2027-06</ns0:t>
        </ns0:is>
      </ns0:c>
      <ns0:c r="U25" s="2" t="inlineStr">
        <ns0:is>
          <ns0:t>无</ns0:t>
        </ns0:is>
      </ns0:c>
      <ns0:c r="V25" s="2" t="inlineStr">
        <ns0:is>
          <ns0:t>无</ns0:t>
        </ns0:is>
      </ns0:c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 t="inlineStr">
        <ns0:is>
          <ns0:t>市内交通费</ns0:t>
        </ns0:is>
      </ns0:c>
      <ns0:c r="B26" s="2" t="inlineStr">
        <ns0:is>
          <ns0:t>市内交通费</ns0:t>
        </ns0:is>
      </ns0:c>
      <ns0:c r="C26" s="3">
        <ns0:f>ROUND(C226*C346,2)</ns0:f>
        <ns0:v>525.07</ns0:v>
      </ns0:c>
      <ns0:c r="D26" s="3">
        <ns0:f>ROUND(D226*D346,2)</ns0:f>
        <ns0:v>470.09</ns0:v>
      </ns0:c>
      <ns0:c r="E26" s="3">
        <ns0:f>ROUND(E226*E346,2)</ns0:f>
        <ns0:v>80.02</ns0:v>
      </ns0:c>
      <ns0:c r="F26" s="3">
        <ns0:f>ROUND(F226*F346,2)</ns0:f>
        <ns0:v>264.77</ns0:v>
      </ns0:c>
      <ns0:c r="G26" s="3">
        <ns0:f>ROUND(G226*G346,2)</ns0:f>
        <ns0:v>268.80</ns0:v>
      </ns0:c>
      <ns0:c r="H26" s="3">
        <ns0:f>ROUND(H226*H346,2)</ns0:f>
        <ns0:v>134.58</ns0:v>
      </ns0:c>
      <ns0:c r="I26" s="3">
        <ns0:f>ROUND(I226*I346,2)</ns0:f>
        <ns0:v>260.43</ns0:v>
      </ns0:c>
      <ns0:c r="J26" s="3">
        <ns0:f>ROUND(J226*J346,2)</ns0:f>
        <ns0:v>356.46</ns0:v>
      </ns0:c>
      <ns0:c r="K26" s="3">
        <ns0:f>ROUND(K226*K346,2)</ns0:f>
        <ns0:v>399.23</ns0:v>
      </ns0:c>
      <ns0:c r="L26" s="3">
        <ns0:f>ROUND(L226*L346,2)</ns0:f>
        <ns0:v>263.93</ns0:v>
      </ns0:c>
      <ns0:c r="M26" s="3">
        <ns0:f>ROUND(M226*M346,2)</ns0:f>
        <ns0:v>90.62</ns0:v>
      </ns0:c>
      <ns0:c r="N26" s="3">
        <ns0:f>ROUND(N226*N346,2)</ns0:f>
        <ns0:v>59.55</ns0:v>
      </ns0:c>
      <ns0:c r="O26" s="3">
        <ns0:f>SUM(C26:N26)</ns0:f>
        <ns0:v>3173.55</ns0:v>
      </ns0:c>
      <ns0:c r="P26" s="2" t="inlineStr">
        <ns0:is>
          <ns0:t>EXP1.026</ns0:t>
        </ns0:is>
      </ns0:c>
      <ns0:c r="Q26" s="2" t="inlineStr">
        <ns0:is>
          <ns0:t>演示占位-v1</ns0:t>
        </ns0:is>
      </ns0:c>
      <ns0:c r="R26" s="2" t="inlineStr">
        <ns0:is>
          <ns0:t>模拟权责发生制</ns0:t>
        </ns0:is>
      </ns0:c>
      <ns0:c r="S26" s="2" t="inlineStr">
        <ns0:is>
          <ns0:t>2027-01</ns0:t>
        </ns0:is>
      </ns0:c>
      <ns0:c r="T26" s="2" t="inlineStr">
        <ns0:is>
          <ns0:t>2027-06</ns0:t>
        </ns0:is>
      </ns0:c>
      <ns0:c r="U26" s="2" t="inlineStr">
        <ns0:is>
          <ns0:t>无</ns0:t>
        </ns0:is>
      </ns0:c>
      <ns0:c r="V26" s="2" t="inlineStr">
        <ns0:is>
          <ns0:t>无</ns0:t>
        </ns0:is>
      </ns0:c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 t="inlineStr">
        <ns0:is>
          <ns0:t>调研费用</ns0:t>
        </ns0:is>
      </ns0:c>
      <ns0:c r="B27" s="2" t="inlineStr">
        <ns0:is>
          <ns0:t>调研费用</ns0:t>
        </ns0:is>
      </ns0:c>
      <ns0:c r="C27" s="3">
        <ns0:f>ROUND(C227*C347,2)</ns0:f>
        <ns0:v>162.11</ns0:v>
      </ns0:c>
      <ns0:c r="D27" s="3">
        <ns0:f>ROUND(D227*D347,2)</ns0:f>
        <ns0:v>148.64</ns0:v>
      </ns0:c>
      <ns0:c r="E27" s="3">
        <ns0:f>ROUND(E227*E347,2)</ns0:f>
        <ns0:v>447.11</ns0:v>
      </ns0:c>
      <ns0:c r="F27" s="3">
        <ns0:f>ROUND(F227*F347,2)</ns0:f>
        <ns0:v>139.46</ns0:v>
      </ns0:c>
      <ns0:c r="G27" s="3">
        <ns0:f>ROUND(G227*G347,2)</ns0:f>
        <ns0:v>217.69</ns0:v>
      </ns0:c>
      <ns0:c r="H27" s="3">
        <ns0:f>ROUND(H227*H347,2)</ns0:f>
        <ns0:v>69.03</ns0:v>
      </ns0:c>
      <ns0:c r="I27" s="3">
        <ns0:f>ROUND(I227*I347,2)</ns0:f>
        <ns0:v>185.06</ns0:v>
      </ns0:c>
      <ns0:c r="J27" s="3">
        <ns0:f>ROUND(J227*J347,2)</ns0:f>
        <ns0:v>167.06</ns0:v>
      </ns0:c>
      <ns0:c r="K27" s="3">
        <ns0:f>ROUND(K227*K347,2)</ns0:f>
        <ns0:v>98.43</ns0:v>
      </ns0:c>
      <ns0:c r="L27" s="3">
        <ns0:f>ROUND(L227*L347,2)</ns0:f>
        <ns0:v>366.36</ns0:v>
      </ns0:c>
      <ns0:c r="M27" s="3">
        <ns0:f>ROUND(M227*M347,2)</ns0:f>
        <ns0:v>453.16</ns0:v>
      </ns0:c>
      <ns0:c r="N27" s="3">
        <ns0:f>ROUND(N227*N347,2)</ns0:f>
        <ns0:v>230.19</ns0:v>
      </ns0:c>
      <ns0:c r="O27" s="3">
        <ns0:f>SUM(C27:N27)</ns0:f>
        <ns0:v>2684.30</ns0:v>
      </ns0:c>
      <ns0:c r="P27" s="2" t="inlineStr">
        <ns0:is>
          <ns0:t>EXP1.027</ns0:t>
        </ns0:is>
      </ns0:c>
      <ns0:c r="Q27" s="2" t="inlineStr">
        <ns0:is>
          <ns0:t>演示占位-v1</ns0:t>
        </ns0:is>
      </ns0:c>
      <ns0:c r="R27" s="2" t="inlineStr">
        <ns0:is>
          <ns0:t>模拟权责发生制</ns0:t>
        </ns0:is>
      </ns0:c>
      <ns0:c r="S27" s="2" t="inlineStr">
        <ns0:is>
          <ns0:t>2027-01</ns0:t>
        </ns0:is>
      </ns0:c>
      <ns0:c r="T27" s="2" t="inlineStr">
        <ns0:is>
          <ns0:t>2027-06</ns0:t>
        </ns0:is>
      </ns0:c>
      <ns0:c r="U27" s="2" t="inlineStr">
        <ns0:is>
          <ns0:t>无</ns0:t>
        </ns0:is>
      </ns0:c>
      <ns0:c r="V27" s="2" t="inlineStr">
        <ns0:is>
          <ns0:t>无</ns0:t>
        </ns0:is>
      </ns0:c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 t="inlineStr">
        <ns0:is>
          <ns0:t>手续费</ns0:t>
        </ns0:is>
      </ns0:c>
      <ns0:c r="B28" s="2" t="inlineStr">
        <ns0:is>
          <ns0:t>手续费</ns0:t>
        </ns0:is>
      </ns0:c>
      <ns0:c r="C28" s="3">
        <ns0:f>ROUND(C228*C348,2)</ns0:f>
        <ns0:v>213.65</ns0:v>
      </ns0:c>
      <ns0:c r="D28" s="3">
        <ns0:f>ROUND(D228*D348,2)</ns0:f>
        <ns0:v>172.40</ns0:v>
      </ns0:c>
      <ns0:c r="E28" s="3">
        <ns0:f>ROUND(E228*E348,2)</ns0:f>
        <ns0:v>126.85</ns0:v>
      </ns0:c>
      <ns0:c r="F28" s="3">
        <ns0:f>ROUND(F228*F348,2)</ns0:f>
        <ns0:v>273.17</ns0:v>
      </ns0:c>
      <ns0:c r="G28" s="3">
        <ns0:f>ROUND(G228*G348,2)</ns0:f>
        <ns0:v>321.66</ns0:v>
      </ns0:c>
      <ns0:c r="H28" s="3">
        <ns0:f>ROUND(H228*H348,2)</ns0:f>
        <ns0:v>99.86</ns0:v>
      </ns0:c>
      <ns0:c r="I28" s="3">
        <ns0:f>ROUND(I228*I348,2)</ns0:f>
        <ns0:v>547.08</ns0:v>
      </ns0:c>
      <ns0:c r="J28" s="3">
        <ns0:f>ROUND(J228*J348,2)</ns0:f>
        <ns0:v>260.10</ns0:v>
      </ns0:c>
      <ns0:c r="K28" s="3">
        <ns0:f>ROUND(K228*K348,2)</ns0:f>
        <ns0:v>363.66</ns0:v>
      </ns0:c>
      <ns0:c r="L28" s="3">
        <ns0:f>ROUND(L228*L348,2)</ns0:f>
        <ns0:v>232.66</ns0:v>
      </ns0:c>
      <ns0:c r="M28" s="3">
        <ns0:f>ROUND(M228*M348,2)</ns0:f>
        <ns0:v>302.77</ns0:v>
      </ns0:c>
      <ns0:c r="N28" s="3">
        <ns0:f>ROUND(N228*N348,2)</ns0:f>
        <ns0:v>251.50</ns0:v>
      </ns0:c>
      <ns0:c r="O28" s="3">
        <ns0:f>SUM(C28:N28)</ns0:f>
        <ns0:v>3165.36</ns0:v>
      </ns0:c>
      <ns0:c r="P28" s="2" t="inlineStr">
        <ns0:is>
          <ns0:t>EXP1.028</ns0:t>
        </ns0:is>
      </ns0:c>
      <ns0:c r="Q28" s="2" t="inlineStr">
        <ns0:is>
          <ns0:t>演示占位-v1</ns0:t>
        </ns0:is>
      </ns0:c>
      <ns0:c r="R28" s="2" t="inlineStr">
        <ns0:is>
          <ns0:t>模拟权责发生制</ns0:t>
        </ns0:is>
      </ns0:c>
      <ns0:c r="S28" s="2" t="inlineStr">
        <ns0:is>
          <ns0:t>2027-01</ns0:t>
        </ns0:is>
      </ns0:c>
      <ns0:c r="T28" s="2" t="inlineStr">
        <ns0:is>
          <ns0:t>2027-06</ns0:t>
        </ns0:is>
      </ns0:c>
      <ns0:c r="U28" s="2" t="inlineStr">
        <ns0:is>
          <ns0:t>无</ns0:t>
        </ns0:is>
      </ns0:c>
      <ns0:c r="V28" s="2" t="inlineStr">
        <ns0:is>
          <ns0:t>无</ns0:t>
        </ns0:is>
      </ns0:c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 t="inlineStr">
        <ns0:is>
          <ns0:t>利息收入</ns0:t>
        </ns0:is>
      </ns0:c>
      <ns0:c r="C29" s="3">
        <ns0:f>0</ns0:f>
        <ns0:v>0</ns0:v>
      </ns0:c>
      <ns0:c r="D29" s="3">
        <ns0:f>0</ns0:f>
        <ns0:v>0</ns0:v>
      </ns0:c>
      <ns0:c r="E29" s="3">
        <ns0:f>0</ns0:f>
        <ns0:v>0</ns0:v>
      </ns0:c>
      <ns0:c r="F29" s="3">
        <ns0:f>0</ns0:f>
        <ns0:v>0</ns0:v>
      </ns0:c>
      <ns0:c r="G29" s="3">
        <ns0:f>0</ns0:f>
        <ns0:v>0</ns0:v>
      </ns0:c>
      <ns0:c r="H29" s="3">
        <ns0:f>0</ns0:f>
        <ns0:v>0</ns0:v>
      </ns0:c>
      <ns0:c r="I29" s="3">
        <ns0:f>0</ns0:f>
        <ns0:v>0</ns0:v>
      </ns0:c>
      <ns0:c r="J29" s="3">
        <ns0:f>0</ns0:f>
        <ns0:v>0</ns0:v>
      </ns0:c>
      <ns0:c r="K29" s="3">
        <ns0:f>0</ns0:f>
        <ns0:v>0</ns0:v>
      </ns0:c>
      <ns0:c r="L29" s="3">
        <ns0:f>0</ns0:f>
        <ns0:v>0</ns0:v>
      </ns0:c>
      <ns0:c r="M29" s="3">
        <ns0:f>0</ns0:f>
        <ns0:v>0</ns0:v>
      </ns0:c>
      <ns0:c r="N29" s="3">
        <ns0:f>0</ns0:f>
        <ns0:v>0</ns0:v>
      </ns0:c>
      <ns0:c r="O29" s="3">
        <ns0:f>SUM(C29:N29)</ns0:f>
        <ns0:v>0</ns0:v>
      </ns0:c>
      <ns0:c r="P29" s="2" t="inlineStr">
        <ns0:is>
          <ns0:t>EXP1.029</ns0:t>
        </ns0:is>
      </ns0:c>
      <ns0:c r="Q29" s="2" t="inlineStr">
        <ns0:is>
          <ns0:t>演示占位-v1</ns0:t>
        </ns0:is>
      </ns0:c>
      <ns0:c r="R29" s="2" t="inlineStr">
        <ns0:is>
          <ns0:t>模拟权责发生制</ns0:t>
        </ns0:is>
      </ns0:c>
      <ns0:c r="S29" s="2" t="inlineStr">
        <ns0:is>
          <ns0:t>2027-01</ns0:t>
        </ns0:is>
      </ns0:c>
      <ns0:c r="T29" s="2" t="inlineStr">
        <ns0:is>
          <ns0:t>2027-06</ns0:t>
        </ns0:is>
      </ns0:c>
      <ns0:c r="U29" s="2" t="inlineStr">
        <ns0:is>
          <ns0:t>无</ns0:t>
        </ns0:is>
      </ns0:c>
      <ns0:c r="V29" s="2" t="inlineStr">
        <ns0:is>
          <ns0:t>无</ns0:t>
        </ns0:is>
      </ns0:c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 t="inlineStr">
        <ns0:is>
          <ns0:t>利息支出</ns0:t>
        </ns0:is>
      </ns0:c>
      <ns0:c r="C30" s="6">
        <ns0:f>ROUND(C230*C350,2)</ns0:f>
        <ns0:v>67.49</ns0:v>
      </ns0:c>
      <ns0:c r="D30" s="6">
        <ns0:f>ROUND(D230*D350,2)</ns0:f>
        <ns0:v>202.73</ns0:v>
      </ns0:c>
      <ns0:c r="E30" s="6">
        <ns0:f>ROUND(E230*E350,2)</ns0:f>
        <ns0:v>93.72</ns0:v>
      </ns0:c>
      <ns0:c r="F30" s="6">
        <ns0:f>ROUND(F230*F350,2)</ns0:f>
        <ns0:v>118.13</ns0:v>
      </ns0:c>
      <ns0:c r="G30" s="6">
        <ns0:f>ROUND(G230*G350,2)</ns0:f>
        <ns0:v>120.02</ns0:v>
      </ns0:c>
      <ns0:c r="H30" s="6">
        <ns0:f>ROUND(H230*H350,2)</ns0:f>
        <ns0:v>88.68</ns0:v>
      </ns0:c>
      <ns0:c r="I30" s="6">
        <ns0:f>ROUND(I230*I350,2)</ns0:f>
        <ns0:v>170.30</ns0:v>
      </ns0:c>
      <ns0:c r="J30" s="6">
        <ns0:f>ROUND(J230*J350,2)</ns0:f>
        <ns0:v>262.64</ns0:v>
      </ns0:c>
      <ns0:c r="K30" s="6">
        <ns0:f>ROUND(K230*K350,2)</ns0:f>
        <ns0:v>186.25</ns0:v>
      </ns0:c>
      <ns0:c r="L30" s="6">
        <ns0:f>ROUND(L230*L350,2)</ns0:f>
        <ns0:v>232.90</ns0:v>
      </ns0:c>
      <ns0:c r="M30" s="6">
        <ns0:f>ROUND(M230*M350,2)</ns0:f>
        <ns0:v>207.43</ns0:v>
      </ns0:c>
      <ns0:c r="N30" s="6">
        <ns0:f>ROUND(N230*N350,2)</ns0:f>
        <ns0:v>78.09</ns0:v>
      </ns0:c>
      <ns0:c r="O30" s="6">
        <ns0:f>SUM(C30:N30)</ns0:f>
        <ns0:v>1828.38</ns0:v>
      </ns0:c>
      <ns0:c r="P30" s="2" t="inlineStr">
        <ns0:is>
          <ns0:t>EXP1.030</ns0:t>
        </ns0:is>
      </ns0:c>
      <ns0:c r="Q30" s="2" t="inlineStr">
        <ns0:is>
          <ns0:t>演示占位-v1</ns0:t>
        </ns0:is>
      </ns0:c>
      <ns0:c r="R30" s="2" t="inlineStr">
        <ns0:is>
          <ns0:t>模拟权责发生制</ns0:t>
        </ns0:is>
      </ns0:c>
      <ns0:c r="S30" s="2" t="inlineStr">
        <ns0:is>
          <ns0:t>2027-01</ns0:t>
        </ns0:is>
      </ns0:c>
      <ns0:c r="T30" s="2" t="inlineStr">
        <ns0:is>
          <ns0:t>2027-06</ns0:t>
        </ns0:is>
      </ns0:c>
      <ns0:c r="U30" s="2" t="inlineStr">
        <ns0:is>
          <ns0:t>无</ns0:t>
        </ns0:is>
      </ns0:c>
      <ns0:c r="V30" s="2" t="inlineStr">
        <ns0:is>
          <ns0:t>无</ns0:t>
        </ns0:is>
      </ns0:c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 t="inlineStr">
        <ns0:is>
          <ns0:t>税金</ns0:t>
        </ns0:is>
      </ns0:c>
      <ns0:c r="B31" s="2" t="inlineStr">
        <ns0:is>
          <ns0:t>车船税</ns0:t>
        </ns0:is>
      </ns0:c>
      <ns0:c r="C31" s="3">
        <ns0:f>ROUND(C231*C351,2)</ns0:f>
        <ns0:v>319.67</ns0:v>
      </ns0:c>
      <ns0:c r="D31" s="3">
        <ns0:f>ROUND(D231*D351,2)</ns0:f>
        <ns0:v>213.23</ns0:v>
      </ns0:c>
      <ns0:c r="E31" s="3">
        <ns0:f>ROUND(E231*E351,2)</ns0:f>
        <ns0:v>163.96</ns0:v>
      </ns0:c>
      <ns0:c r="F31" s="3">
        <ns0:f>ROUND(F231*F351,2)</ns0:f>
        <ns0:v>292.35</ns0:v>
      </ns0:c>
      <ns0:c r="G31" s="3">
        <ns0:f>ROUND(G231*G351,2)</ns0:f>
        <ns0:v>202.16</ns0:v>
      </ns0:c>
      <ns0:c r="H31" s="3">
        <ns0:f>ROUND(H231*H351,2)</ns0:f>
        <ns0:v>217.83</ns0:v>
      </ns0:c>
      <ns0:c r="I31" s="3">
        <ns0:f>ROUND(I231*I351,2)</ns0:f>
        <ns0:v>667.92</ns0:v>
      </ns0:c>
      <ns0:c r="J31" s="3">
        <ns0:f>ROUND(J231*J351,2)</ns0:f>
        <ns0:v>219.57</ns0:v>
      </ns0:c>
      <ns0:c r="K31" s="3">
        <ns0:f>ROUND(K231*K351,2)</ns0:f>
        <ns0:v>539.35</ns0:v>
      </ns0:c>
      <ns0:c r="L31" s="3">
        <ns0:f>ROUND(L231*L351,2)</ns0:f>
        <ns0:v>394.66</ns0:v>
      </ns0:c>
      <ns0:c r="M31" s="3">
        <ns0:f>ROUND(M231*M351,2)</ns0:f>
        <ns0:v>152.63</ns0:v>
      </ns0:c>
      <ns0:c r="N31" s="3">
        <ns0:f>ROUND(N231*N351,2)</ns0:f>
        <ns0:v>462.07</ns0:v>
      </ns0:c>
      <ns0:c r="O31" s="3">
        <ns0:f>SUM(C31:N31)</ns0:f>
        <ns0:v>3845.40</ns0:v>
      </ns0:c>
      <ns0:c r="P31" s="2" t="inlineStr">
        <ns0:is>
          <ns0:t>EXP1.031</ns0:t>
        </ns0:is>
      </ns0:c>
      <ns0:c r="Q31" s="2" t="inlineStr">
        <ns0:is>
          <ns0:t>演示占位-v1</ns0:t>
        </ns0:is>
      </ns0:c>
      <ns0:c r="R31" s="2" t="inlineStr">
        <ns0:is>
          <ns0:t>模拟权责发生制</ns0:t>
        </ns0:is>
      </ns0:c>
      <ns0:c r="S31" s="2" t="inlineStr">
        <ns0:is>
          <ns0:t>2027-01</ns0:t>
        </ns0:is>
      </ns0:c>
      <ns0:c r="T31" s="2" t="inlineStr">
        <ns0:is>
          <ns0:t>2027-06</ns0:t>
        </ns0:is>
      </ns0:c>
      <ns0:c r="U31" s="2" t="inlineStr">
        <ns0:is>
          <ns0:t>无</ns0:t>
        </ns0:is>
      </ns0:c>
      <ns0:c r="V31" s="2" t="inlineStr">
        <ns0:is>
          <ns0:t>无</ns0:t>
        </ns0:is>
      </ns0:c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印花税</ns0:t>
        </ns0:is>
      </ns0:c>
      <ns0:c r="C32" s="3">
        <ns0:f>ROUND(C232*C352,2)</ns0:f>
        <ns0:v>98.77</ns0:v>
      </ns0:c>
      <ns0:c r="D32" s="3">
        <ns0:f>ROUND(D232*D352,2)</ns0:f>
        <ns0:v>145.56</ns0:v>
      </ns0:c>
      <ns0:c r="E32" s="3">
        <ns0:f>ROUND(E232*E352,2)</ns0:f>
        <ns0:v>70.08</ns0:v>
      </ns0:c>
      <ns0:c r="F32" s="3">
        <ns0:f>ROUND(F232*F352,2)</ns0:f>
        <ns0:v>56.87</ns0:v>
      </ns0:c>
      <ns0:c r="G32" s="3">
        <ns0:f>ROUND(G232*G352,2)</ns0:f>
        <ns0:v>423.14</ns0:v>
      </ns0:c>
      <ns0:c r="H32" s="3">
        <ns0:f>ROUND(H232*H352,2)</ns0:f>
        <ns0:v>82.85</ns0:v>
      </ns0:c>
      <ns0:c r="I32" s="3">
        <ns0:f>ROUND(I232*I352,2)</ns0:f>
        <ns0:v>474.72</ns0:v>
      </ns0:c>
      <ns0:c r="J32" s="3">
        <ns0:f>ROUND(J232*J352,2)</ns0:f>
        <ns0:v>103.46</ns0:v>
      </ns0:c>
      <ns0:c r="K32" s="3">
        <ns0:f>ROUND(K232*K352,2)</ns0:f>
        <ns0:v>333.56</ns0:v>
      </ns0:c>
      <ns0:c r="L32" s="3">
        <ns0:f>ROUND(L232*L352,2)</ns0:f>
        <ns0:v>302.83</ns0:v>
      </ns0:c>
      <ns0:c r="M32" s="3">
        <ns0:f>ROUND(M232*M352,2)</ns0:f>
        <ns0:v>433.97</ns0:v>
      </ns0:c>
      <ns0:c r="N32" s="3">
        <ns0:f>ROUND(N232*N352,2)</ns0:f>
        <ns0:v>302.84</ns0:v>
      </ns0:c>
      <ns0:c r="O32" s="3">
        <ns0:f>SUM(C32:N32)</ns0:f>
        <ns0:v>2828.65</ns0:v>
      </ns0:c>
      <ns0:c r="P32" s="2" t="inlineStr">
        <ns0:is>
          <ns0:t>EXP1.032</ns0:t>
        </ns0:is>
      </ns0:c>
      <ns0:c r="Q32" s="2" t="inlineStr">
        <ns0:is>
          <ns0:t>演示占位-v1</ns0:t>
        </ns0:is>
      </ns0:c>
      <ns0:c r="R32" s="2" t="inlineStr">
        <ns0:is>
          <ns0:t>模拟权责发生制</ns0:t>
        </ns0:is>
      </ns0:c>
      <ns0:c r="S32" s="2" t="inlineStr">
        <ns0:is>
          <ns0:t>2027-01</ns0:t>
        </ns0:is>
      </ns0:c>
      <ns0:c r="T32" s="2" t="inlineStr">
        <ns0:is>
          <ns0:t>2027-06</ns0:t>
        </ns0:is>
      </ns0:c>
      <ns0:c r="U32" s="2" t="inlineStr">
        <ns0:is>
          <ns0:t>无</ns0:t>
        </ns0:is>
      </ns0:c>
      <ns0:c r="V32" s="2" t="inlineStr">
        <ns0:is>
          <ns0:t>无</ns0:t>
        </ns0:is>
      </ns0:c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 t="inlineStr">
        <ns0:is>
          <ns0:t>其他</ns0:t>
        </ns0:is>
      </ns0:c>
      <ns0:c r="B33" s="2" t="inlineStr">
        <ns0:is>
          <ns0:t>其他</ns0:t>
        </ns0:is>
      </ns0:c>
      <ns0:c r="C33" s="3">
        <ns0:f>ROUND(C233*C353,2)</ns0:f>
        <ns0:v>63.11</ns0:v>
      </ns0:c>
      <ns0:c r="D33" s="3">
        <ns0:f>ROUND(D233*D353,2)</ns0:f>
        <ns0:v>135.70</ns0:v>
      </ns0:c>
      <ns0:c r="E33" s="3">
        <ns0:f>ROUND(E233*E353,2)</ns0:f>
        <ns0:v>335.27</ns0:v>
      </ns0:c>
      <ns0:c r="F33" s="3">
        <ns0:f>ROUND(F233*F353,2)</ns0:f>
        <ns0:v>156.23</ns0:v>
      </ns0:c>
      <ns0:c r="G33" s="3">
        <ns0:f>ROUND(G233*G353,2)</ns0:f>
        <ns0:v>442.80</ns0:v>
      </ns0:c>
      <ns0:c r="H33" s="3">
        <ns0:f>ROUND(H233*H353,2)</ns0:f>
        <ns0:v>64.28</ns0:v>
      </ns0:c>
      <ns0:c r="I33" s="3">
        <ns0:f>ROUND(I233*I353,2)</ns0:f>
        <ns0:v>213.08</ns0:v>
      </ns0:c>
      <ns0:c r="J33" s="3">
        <ns0:f>ROUND(J233*J353,2)</ns0:f>
        <ns0:v>52.34</ns0:v>
      </ns0:c>
      <ns0:c r="K33" s="3">
        <ns0:f>ROUND(K233*K353,2)</ns0:f>
        <ns0:v>216.05</ns0:v>
      </ns0:c>
      <ns0:c r="L33" s="3">
        <ns0:f>ROUND(L233*L353,2)</ns0:f>
        <ns0:v>114.70</ns0:v>
      </ns0:c>
      <ns0:c r="M33" s="3">
        <ns0:f>ROUND(M233*M353,2)</ns0:f>
        <ns0:v>323.70</ns0:v>
      </ns0:c>
      <ns0:c r="N33" s="3">
        <ns0:f>ROUND(N233*N353,2)</ns0:f>
        <ns0:v>218.93</ns0:v>
      </ns0:c>
      <ns0:c r="O33" s="3">
        <ns0:f>SUM(C33:N33)</ns0:f>
        <ns0:v>2336.19</ns0:v>
      </ns0:c>
      <ns0:c r="P33" s="2" t="inlineStr">
        <ns0:is>
          <ns0:t>EXP1.033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 t="inlineStr">
        <ns0:is>
          <ns0:t>合计</ns0:t>
        </ns0:is>
      </ns0:c>
      <ns0:c r="B34" s="2"/>
      <ns0:c r="C34" s="3">
        <ns0:f>SUM(C4:C33)</ns0:f>
        <ns0:v>6818.00</ns0:v>
      </ns0:c>
      <ns0:c r="D34" s="3">
        <ns0:f>SUM(D4:D33)</ns0:f>
        <ns0:v>6481.17</ns0:v>
      </ns0:c>
      <ns0:c r="E34" s="3">
        <ns0:f>SUM(E4:E33)</ns0:f>
        <ns0:v>7638.90</ns0:v>
      </ns0:c>
      <ns0:c r="F34" s="3">
        <ns0:f>SUM(F4:F33)</ns0:f>
        <ns0:v>6724.33</ns0:v>
      </ns0:c>
      <ns0:c r="G34" s="3">
        <ns0:f>SUM(G4:G33)</ns0:f>
        <ns0:v>7912.45</ns0:v>
      </ns0:c>
      <ns0:c r="H34" s="3">
        <ns0:f>SUM(H4:H33)</ns0:f>
        <ns0:v>6066.98</ns0:v>
      </ns0:c>
      <ns0:c r="I34" s="3">
        <ns0:f>SUM(I4:I33)</ns0:f>
        <ns0:v>8410.95</ns0:v>
      </ns0:c>
      <ns0:c r="J34" s="3">
        <ns0:f>SUM(J4:J33)</ns0:f>
        <ns0:v>7076.47</ns0:v>
      </ns0:c>
      <ns0:c r="K34" s="3">
        <ns0:f>SUM(K4:K33)</ns0:f>
        <ns0:v>7446.90</ns0:v>
      </ns0:c>
      <ns0:c r="L34" s="3">
        <ns0:f>SUM(L4:L33)</ns0:f>
        <ns0:v>7443.12</ns0:v>
      </ns0:c>
      <ns0:c r="M34" s="3">
        <ns0:f>SUM(M4:M33)</ns0:f>
        <ns0:v>7261.33</ns0:v>
      </ns0:c>
      <ns0:c r="N34" s="3">
        <ns0:f>SUM(N4:N33)</ns0:f>
        <ns0:v>7818.24</ns0:v>
      </ns0:c>
      <ns0:c r="O34" s="3">
        <ns0:f>SUM(C34:N34)</ns0:f>
        <ns0:v>87098.84</ns0:v>
      </ns0:c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 t="inlineStr">
        <ns0:is>
          <ns0:t>增值税附加</ns0:t>
        </ns0:is>
      </ns0:c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 t="inlineStr">
        <ns0:is>
          <ns0:t>三费及税金合计</ns0:t>
        </ns0:is>
      </ns0:c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 t="inlineStr">
        <ns0:is>
          <ns0:t>销售费用</ns0:t>
        </ns0:is>
      </ns0:c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 t="inlineStr">
        <ns0:is>
          <ns0:t>实时经营（月度，元）</ns0:t>
        </ns0:is>
      </ns0:c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 t="inlineStr">
        <ns0:is>
          <ns0:t>2027-01</ns0:t>
        </ns0:is>
      </ns0:c>
      <ns0:c r="D63" s="3" t="inlineStr">
        <ns0:is>
          <ns0:t>2027-02</ns0:t>
        </ns0:is>
      </ns0:c>
      <ns0:c r="E63" s="3" t="inlineStr">
        <ns0:is>
          <ns0:t>2027-03</ns0:t>
        </ns0:is>
      </ns0:c>
      <ns0:c r="F63" s="3" t="inlineStr">
        <ns0:is>
          <ns0:t>2027-04</ns0:t>
        </ns0:is>
      </ns0:c>
      <ns0:c r="G63" s="3" t="inlineStr">
        <ns0:is>
          <ns0:t>2027-05</ns0:t>
        </ns0:is>
      </ns0:c>
      <ns0:c r="H63" s="3" t="inlineStr">
        <ns0:is>
          <ns0:t>2027-06</ns0:t>
        </ns0:is>
      </ns0:c>
      <ns0:c r="I63" s="3" t="inlineStr">
        <ns0:is>
          <ns0:t>2027-07</ns0:t>
        </ns0:is>
      </ns0:c>
      <ns0:c r="J63" s="3" t="inlineStr">
        <ns0:is>
          <ns0:t>2027-08</ns0:t>
        </ns0:is>
      </ns0:c>
      <ns0:c r="K63" s="3" t="inlineStr">
        <ns0:is>
          <ns0:t>2027-09</ns0:t>
        </ns0:is>
      </ns0:c>
      <ns0:c r="L63" s="3" t="inlineStr">
        <ns0:is>
          <ns0:t>2027-10</ns0:t>
        </ns0:is>
      </ns0:c>
      <ns0:c r="M63" s="3" t="inlineStr">
        <ns0:is>
          <ns0:t>2027-11</ns0:t>
        </ns0:is>
      </ns0:c>
      <ns0:c r="N63" s="3" t="inlineStr">
        <ns0:is>
          <ns0:t>2027-12</ns0:t>
        </ns0:is>
      </ns0:c>
      <ns0:c r="O63" s="3" t="inlineStr">
        <ns0:is>
          <ns0:t>小计</ns0:t>
        </ns0:is>
      </ns0:c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 t="inlineStr">
        <ns0:is>
          <ns0:t>工资</ns0:t>
        </ns0:is>
      </ns0:c>
      <ns0:c r="C64" s="3">
        <ns0:f>ROUND(C264*C384,2)</ns0:f>
        <ns0:v>335.44</ns0:v>
      </ns0:c>
      <ns0:c r="D64" s="3">
        <ns0:f>ROUND(D264*D384,2)</ns0:f>
        <ns0:v>58.95</ns0:v>
      </ns0:c>
      <ns0:c r="E64" s="3">
        <ns0:f>ROUND(E264*E384,2)</ns0:f>
        <ns0:v>96.43</ns0:v>
      </ns0:c>
      <ns0:c r="F64" s="3">
        <ns0:f>ROUND(F264*F384,2)</ns0:f>
        <ns0:v>373.07</ns0:v>
      </ns0:c>
      <ns0:c r="G64" s="3">
        <ns0:f>ROUND(G264*G384,2)</ns0:f>
        <ns0:v>240.39</ns0:v>
      </ns0:c>
      <ns0:c r="H64" s="3">
        <ns0:f>ROUND(H264*H384,2)</ns0:f>
        <ns0:v>410.58</ns0:v>
      </ns0:c>
      <ns0:c r="I64" s="3">
        <ns0:f>ROUND(I264*I384,2)</ns0:f>
        <ns0:v>167.92</ns0:v>
      </ns0:c>
      <ns0:c r="J64" s="3">
        <ns0:f>ROUND(J264*J384,2)</ns0:f>
        <ns0:v>329.53</ns0:v>
      </ns0:c>
      <ns0:c r="K64" s="3">
        <ns0:f>ROUND(K264*K384,2)</ns0:f>
        <ns0:v>121.25</ns0:v>
      </ns0:c>
      <ns0:c r="L64" s="3">
        <ns0:f>ROUND(L264*L384,2)</ns0:f>
        <ns0:v>125.04</ns0:v>
      </ns0:c>
      <ns0:c r="M64" s="3">
        <ns0:f>ROUND(M264*M384,2)</ns0:f>
        <ns0:v>105.80</ns0:v>
      </ns0:c>
      <ns0:c r="N64" s="3">
        <ns0:f>ROUND(N264*N384,2)</ns0:f>
        <ns0:v>146.77</ns0:v>
      </ns0:c>
      <ns0:c r="O64" s="3">
        <ns0:f>SUM(C64:N64)</ns0:f>
        <ns0:v>2511.17</ns0:v>
      </ns0:c>
      <ns0:c r="P64" s="2" t="inlineStr">
        <ns0:is>
          <ns0:t>EXP1.004</ns0:t>
        </ns0:is>
      </ns0:c>
      <ns0:c r="Q64" s="2" t="inlineStr">
        <ns0:is>
          <ns0:t>演示占位-v1</ns0:t>
        </ns0:is>
      </ns0:c>
      <ns0:c r="R64" s="2" t="inlineStr">
        <ns0:is>
          <ns0:t>模拟权责发生制</ns0:t>
        </ns0:is>
      </ns0:c>
      <ns0:c r="S64" s="2" t="inlineStr">
        <ns0:is>
          <ns0:t>2027-01</ns0:t>
        </ns0:is>
      </ns0:c>
      <ns0:c r="T64" s="2" t="inlineStr">
        <ns0:is>
          <ns0:t>2027-06</ns0:t>
        </ns0:is>
      </ns0:c>
      <ns0:c r="U64" s="2" t="inlineStr">
        <ns0:is>
          <ns0:t>无</ns0:t>
        </ns0:is>
      </ns0:c>
      <ns0:c r="V64" s="2" t="inlineStr">
        <ns0:is>
          <ns0:t>无</ns0:t>
        </ns0:is>
      </ns0:c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 t="inlineStr">
        <ns0:is>
          <ns0:t>十三薪</ns0:t>
        </ns0:is>
      </ns0:c>
      <ns0:c r="C65" s="3">
        <ns0:f>ROUND(C265*C385,2)</ns0:f>
        <ns0:v>80.20</ns0:v>
      </ns0:c>
      <ns0:c r="D65" s="3">
        <ns0:f>ROUND(D265*D385,2)</ns0:f>
        <ns0:v>169.80</ns0:v>
      </ns0:c>
      <ns0:c r="E65" s="3">
        <ns0:f>ROUND(E265*E385,2)</ns0:f>
        <ns0:v>288.90</ns0:v>
      </ns0:c>
      <ns0:c r="F65" s="3">
        <ns0:f>ROUND(F265*F385,2)</ns0:f>
        <ns0:v>194.82</ns0:v>
      </ns0:c>
      <ns0:c r="G65" s="3">
        <ns0:f>ROUND(G265*G385,2)</ns0:f>
        <ns0:v>168.31</ns0:v>
      </ns0:c>
      <ns0:c r="H65" s="3">
        <ns0:f>ROUND(H265*H385,2)</ns0:f>
        <ns0:v>308.02</ns0:v>
      </ns0:c>
      <ns0:c r="I65" s="3">
        <ns0:f>ROUND(I265*I385,2)</ns0:f>
        <ns0:v>84.58</ns0:v>
      </ns0:c>
      <ns0:c r="J65" s="3">
        <ns0:f>ROUND(J265*J385,2)</ns0:f>
        <ns0:v>202.23</ns0:v>
      </ns0:c>
      <ns0:c r="K65" s="3">
        <ns0:f>ROUND(K265*K385,2)</ns0:f>
        <ns0:v>289.14</ns0:v>
      </ns0:c>
      <ns0:c r="L65" s="3">
        <ns0:f>ROUND(L265*L385,2)</ns0:f>
        <ns0:v>388.59</ns0:v>
      </ns0:c>
      <ns0:c r="M65" s="3">
        <ns0:f>ROUND(M265*M385,2)</ns0:f>
        <ns0:v>210.73</ns0:v>
      </ns0:c>
      <ns0:c r="N65" s="3">
        <ns0:f>ROUND(N265*N385,2)</ns0:f>
        <ns0:v>478.83</ns0:v>
      </ns0:c>
      <ns0:c r="O65" s="3">
        <ns0:f>SUM(C65:N65)</ns0:f>
        <ns0:v>2864.15</ns0:v>
      </ns0:c>
      <ns0:c r="P65" s="2" t="inlineStr">
        <ns0:is>
          <ns0:t>EXP1.005</ns0:t>
        </ns0:is>
      </ns0:c>
      <ns0:c r="Q65" s="2" t="inlineStr">
        <ns0:is>
          <ns0:t>演示占位-v1</ns0:t>
        </ns0:is>
      </ns0:c>
      <ns0:c r="R65" s="2" t="inlineStr">
        <ns0:is>
          <ns0:t>模拟权责发生制</ns0:t>
        </ns0:is>
      </ns0:c>
      <ns0:c r="S65" s="2" t="inlineStr">
        <ns0:is>
          <ns0:t>2027-01</ns0:t>
        </ns0:is>
      </ns0:c>
      <ns0:c r="T65" s="2" t="inlineStr">
        <ns0:is>
          <ns0:t>2027-06</ns0:t>
        </ns0:is>
      </ns0:c>
      <ns0:c r="U65" s="2" t="inlineStr">
        <ns0:is>
          <ns0:t>无</ns0:t>
        </ns0:is>
      </ns0:c>
      <ns0:c r="V65" s="2" t="inlineStr">
        <ns0:is>
          <ns0:t>无</ns0:t>
        </ns0:is>
      </ns0:c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 t="inlineStr">
        <ns0:is>
          <ns0:t>离职补偿金</ns0:t>
        </ns0:is>
      </ns0:c>
      <ns0:c r="C66" s="3">
        <ns0:f>ROUND(C266*C386,2)</ns0:f>
        <ns0:v>205.21</ns0:v>
      </ns0:c>
      <ns0:c r="D66" s="3">
        <ns0:f>ROUND(D266*D386,2)</ns0:f>
        <ns0:v>283.07</ns0:v>
      </ns0:c>
      <ns0:c r="E66" s="3">
        <ns0:f>ROUND(E266*E386,2)</ns0:f>
        <ns0:v>195.15</ns0:v>
      </ns0:c>
      <ns0:c r="F66" s="3">
        <ns0:f>ROUND(F266*F386,2)</ns0:f>
        <ns0:v>272.55</ns0:v>
      </ns0:c>
      <ns0:c r="G66" s="3">
        <ns0:f>ROUND(G266*G386,2)</ns0:f>
        <ns0:v>116.29</ns0:v>
      </ns0:c>
      <ns0:c r="H66" s="3">
        <ns0:f>ROUND(H266*H386,2)</ns0:f>
        <ns0:v>117.75</ns0:v>
      </ns0:c>
      <ns0:c r="I66" s="3">
        <ns0:f>ROUND(I266*I386,2)</ns0:f>
        <ns0:v>222.00</ns0:v>
      </ns0:c>
      <ns0:c r="J66" s="3">
        <ns0:f>ROUND(J266*J386,2)</ns0:f>
        <ns0:v>206.97</ns0:v>
      </ns0:c>
      <ns0:c r="K66" s="3">
        <ns0:f>ROUND(K266*K386,2)</ns0:f>
        <ns0:v>252.90</ns0:v>
      </ns0:c>
      <ns0:c r="L66" s="3">
        <ns0:f>ROUND(L266*L386,2)</ns0:f>
        <ns0:v>247.19</ns0:v>
      </ns0:c>
      <ns0:c r="M66" s="3">
        <ns0:f>ROUND(M266*M386,2)</ns0:f>
        <ns0:v>409.42</ns0:v>
      </ns0:c>
      <ns0:c r="N66" s="3">
        <ns0:f>ROUND(N266*N386,2)</ns0:f>
        <ns0:v>477.70</ns0:v>
      </ns0:c>
      <ns0:c r="O66" s="3">
        <ns0:f>SUM(C66:N66)</ns0:f>
        <ns0:v>3006.20</ns0:v>
      </ns0:c>
      <ns0:c r="P66" s="2" t="inlineStr">
        <ns0:is>
          <ns0:t>EXP1.006</ns0:t>
        </ns0:is>
      </ns0:c>
      <ns0:c r="Q66" s="2" t="inlineStr">
        <ns0:is>
          <ns0:t>演示占位-v1</ns0:t>
        </ns0:is>
      </ns0:c>
      <ns0:c r="R66" s="2" t="inlineStr">
        <ns0:is>
          <ns0:t>模拟权责发生制</ns0:t>
        </ns0:is>
      </ns0:c>
      <ns0:c r="S66" s="2" t="inlineStr">
        <ns0:is>
          <ns0:t>2027-01</ns0:t>
        </ns0:is>
      </ns0:c>
      <ns0:c r="T66" s="2" t="inlineStr">
        <ns0:is>
          <ns0:t>2027-06</ns0:t>
        </ns0:is>
      </ns0:c>
      <ns0:c r="U66" s="2" t="inlineStr">
        <ns0:is>
          <ns0:t>无</ns0:t>
        </ns0:is>
      </ns0:c>
      <ns0:c r="V66" s="2" t="inlineStr">
        <ns0:is>
          <ns0:t>无</ns0:t>
        </ns0:is>
      </ns0:c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 t="inlineStr">
        <ns0:is>
          <ns0:t>五险一金</ns0:t>
        </ns0:is>
      </ns0:c>
      <ns0:c r="C67" s="3">
        <ns0:f>ROUND(C267*C387,2)</ns0:f>
        <ns0:v>138.23</ns0:v>
      </ns0:c>
      <ns0:c r="D67" s="3">
        <ns0:f>ROUND(D267*D387,2)</ns0:f>
        <ns0:v>174.37</ns0:v>
      </ns0:c>
      <ns0:c r="E67" s="3">
        <ns0:f>ROUND(E267*E387,2)</ns0:f>
        <ns0:v>285.73</ns0:v>
      </ns0:c>
      <ns0:c r="F67" s="3">
        <ns0:f>ROUND(F267*F387,2)</ns0:f>
        <ns0:v>194.17</ns0:v>
      </ns0:c>
      <ns0:c r="G67" s="3">
        <ns0:f>ROUND(G267*G387,2)</ns0:f>
        <ns0:v>267.09</ns0:v>
      </ns0:c>
      <ns0:c r="H67" s="3">
        <ns0:f>ROUND(H267*H387,2)</ns0:f>
        <ns0:v>144.72</ns0:v>
      </ns0:c>
      <ns0:c r="I67" s="3">
        <ns0:f>ROUND(I267*I387,2)</ns0:f>
        <ns0:v>267.50</ns0:v>
      </ns0:c>
      <ns0:c r="J67" s="3">
        <ns0:f>ROUND(J267*J387,2)</ns0:f>
        <ns0:v>424.82</ns0:v>
      </ns0:c>
      <ns0:c r="K67" s="3">
        <ns0:f>ROUND(K267*K387,2)</ns0:f>
        <ns0:v>459.21</ns0:v>
      </ns0:c>
      <ns0:c r="L67" s="3">
        <ns0:f>ROUND(L267*L387,2)</ns0:f>
        <ns0:v>256.97</ns0:v>
      </ns0:c>
      <ns0:c r="M67" s="3">
        <ns0:f>ROUND(M267*M387,2)</ns0:f>
        <ns0:v>319.96</ns0:v>
      </ns0:c>
      <ns0:c r="N67" s="3">
        <ns0:f>ROUND(N267*N387,2)</ns0:f>
        <ns0:v>205.63</ns0:v>
      </ns0:c>
      <ns0:c r="O67" s="3">
        <ns0:f>SUM(C67:N67)</ns0:f>
        <ns0:v>3138.40</ns0:v>
      </ns0:c>
      <ns0:c r="P67" s="2" t="inlineStr">
        <ns0:is>
          <ns0:t>EXP1.007</ns0:t>
        </ns0:is>
      </ns0:c>
      <ns0:c r="Q67" s="2" t="inlineStr">
        <ns0:is>
          <ns0:t>演示占位-v1</ns0:t>
        </ns0:is>
      </ns0:c>
      <ns0:c r="R67" s="2" t="inlineStr">
        <ns0:is>
          <ns0:t>模拟权责发生制</ns0:t>
        </ns0:is>
      </ns0:c>
      <ns0:c r="S67" s="2" t="inlineStr">
        <ns0:is>
          <ns0:t>2027-01</ns0:t>
        </ns0:is>
      </ns0:c>
      <ns0:c r="T67" s="2" t="inlineStr">
        <ns0:is>
          <ns0:t>2027-06</ns0:t>
        </ns0:is>
      </ns0:c>
      <ns0:c r="U67" s="2" t="inlineStr">
        <ns0:is>
          <ns0:t>无</ns0:t>
        </ns0:is>
      </ns0:c>
      <ns0:c r="V67" s="2" t="inlineStr">
        <ns0:is>
          <ns0:t>无</ns0:t>
        </ns0:is>
      </ns0:c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 t="inlineStr">
        <ns0:is>
          <ns0:t>福利费</ns0:t>
        </ns0:is>
      </ns0:c>
      <ns0:c r="C68" s="3">
        <ns0:f>ROUND(C268*C388,2)</ns0:f>
        <ns0:v>486.46</ns0:v>
      </ns0:c>
      <ns0:c r="D68" s="3">
        <ns0:f>ROUND(D268*D388,2)</ns0:f>
        <ns0:v>104.32</ns0:v>
      </ns0:c>
      <ns0:c r="E68" s="3">
        <ns0:f>ROUND(E268*E388,2)</ns0:f>
        <ns0:v>125.07</ns0:v>
      </ns0:c>
      <ns0:c r="F68" s="3">
        <ns0:f>ROUND(F268*F388,2)</ns0:f>
        <ns0:v>148.19</ns0:v>
      </ns0:c>
      <ns0:c r="G68" s="3">
        <ns0:f>ROUND(G268*G388,2)</ns0:f>
        <ns0:v>170.89</ns0:v>
      </ns0:c>
      <ns0:c r="H68" s="3">
        <ns0:f>ROUND(H268*H388,2)</ns0:f>
        <ns0:v>185.89</ns0:v>
      </ns0:c>
      <ns0:c r="I68" s="3">
        <ns0:f>ROUND(I268*I388,2)</ns0:f>
        <ns0:v>211.45</ns0:v>
      </ns0:c>
      <ns0:c r="J68" s="3">
        <ns0:f>ROUND(J268*J388,2)</ns0:f>
        <ns0:v>194.77</ns0:v>
      </ns0:c>
      <ns0:c r="K68" s="3">
        <ns0:f>ROUND(K268*K388,2)</ns0:f>
        <ns0:v>269.59</ns0:v>
      </ns0:c>
      <ns0:c r="L68" s="3">
        <ns0:f>ROUND(L268*L388,2)</ns0:f>
        <ns0:v>182.12</ns0:v>
      </ns0:c>
      <ns0:c r="M68" s="3">
        <ns0:f>ROUND(M268*M388,2)</ns0:f>
        <ns0:v>211.15</ns0:v>
      </ns0:c>
      <ns0:c r="N68" s="3">
        <ns0:f>ROUND(N268*N388,2)</ns0:f>
        <ns0:v>260.50</ns0:v>
      </ns0:c>
      <ns0:c r="O68" s="3">
        <ns0:f>SUM(C68:N68)</ns0:f>
        <ns0:v>2550.40</ns0:v>
      </ns0:c>
      <ns0:c r="P68" s="2" t="inlineStr">
        <ns0:is>
          <ns0:t>EXP1.008</ns0:t>
        </ns0:is>
      </ns0:c>
      <ns0:c r="Q68" s="2" t="inlineStr">
        <ns0:is>
          <ns0:t>演示占位-v1</ns0:t>
        </ns0:is>
      </ns0:c>
      <ns0:c r="R68" s="2" t="inlineStr">
        <ns0:is>
          <ns0:t>模拟权责发生制</ns0:t>
        </ns0:is>
      </ns0:c>
      <ns0:c r="S68" s="2" t="inlineStr">
        <ns0:is>
          <ns0:t>2027-01</ns0:t>
        </ns0:is>
      </ns0:c>
      <ns0:c r="T68" s="2" t="inlineStr">
        <ns0:is>
          <ns0:t>2027-06</ns0:t>
        </ns0:is>
      </ns0:c>
      <ns0:c r="U68" s="2" t="inlineStr">
        <ns0:is>
          <ns0:t>无</ns0:t>
        </ns0:is>
      </ns0:c>
      <ns0:c r="V68" s="2" t="inlineStr">
        <ns0:is>
          <ns0:t>无</ns0:t>
        </ns0:is>
      </ns0:c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 t="inlineStr">
        <ns0:is>
          <ns0:t>招聘费</ns0:t>
        </ns0:is>
      </ns0:c>
      <ns0:c r="C69" s="3">
        <ns0:f>ROUND(C269*C389,2)</ns0:f>
        <ns0:v>235.45</ns0:v>
      </ns0:c>
      <ns0:c r="D69" s="3">
        <ns0:f>ROUND(D269*D389,2)</ns0:f>
        <ns0:v>369.99</ns0:v>
      </ns0:c>
      <ns0:c r="E69" s="3">
        <ns0:f>ROUND(E269*E389,2)</ns0:f>
        <ns0:v>301.07</ns0:v>
      </ns0:c>
      <ns0:c r="F69" s="3">
        <ns0:f>ROUND(F269*F389,2)</ns0:f>
        <ns0:v>163.29</ns0:v>
      </ns0:c>
      <ns0:c r="G69" s="3">
        <ns0:f>ROUND(G269*G389,2)</ns0:f>
        <ns0:v>273.09</ns0:v>
      </ns0:c>
      <ns0:c r="H69" s="3">
        <ns0:f>ROUND(H269*H389,2)</ns0:f>
        <ns0:v>179.32</ns0:v>
      </ns0:c>
      <ns0:c r="I69" s="3">
        <ns0:f>ROUND(I269*I389,2)</ns0:f>
        <ns0:v>188.26</ns0:v>
      </ns0:c>
      <ns0:c r="J69" s="3">
        <ns0:f>ROUND(J269*J389,2)</ns0:f>
        <ns0:v>366.31</ns0:v>
      </ns0:c>
      <ns0:c r="K69" s="3">
        <ns0:f>ROUND(K269*K389,2)</ns0:f>
        <ns0:v>315.70</ns0:v>
      </ns0:c>
      <ns0:c r="L69" s="3">
        <ns0:f>ROUND(L269*L389,2)</ns0:f>
        <ns0:v>136.22</ns0:v>
      </ns0:c>
      <ns0:c r="M69" s="3">
        <ns0:f>ROUND(M269*M389,2)</ns0:f>
        <ns0:v>303.11</ns0:v>
      </ns0:c>
      <ns0:c r="N69" s="3">
        <ns0:f>ROUND(N269*N389,2)</ns0:f>
        <ns0:v>239.65</ns0:v>
      </ns0:c>
      <ns0:c r="O69" s="3">
        <ns0:f>SUM(C69:N69)</ns0:f>
        <ns0:v>3071.46</ns0:v>
      </ns0:c>
      <ns0:c r="P69" s="2" t="inlineStr">
        <ns0:is>
          <ns0:t>EXP1.009</ns0:t>
        </ns0:is>
      </ns0:c>
      <ns0:c r="Q69" s="2" t="inlineStr">
        <ns0:is>
          <ns0:t>演示占位-v1</ns0:t>
        </ns0:is>
      </ns0:c>
      <ns0:c r="R69" s="2" t="inlineStr">
        <ns0:is>
          <ns0:t>模拟权责发生制</ns0:t>
        </ns0:is>
      </ns0:c>
      <ns0:c r="S69" s="2" t="inlineStr">
        <ns0:is>
          <ns0:t>2027-01</ns0:t>
        </ns0:is>
      </ns0:c>
      <ns0:c r="T69" s="2" t="inlineStr">
        <ns0:is>
          <ns0:t>2027-06</ns0:t>
        </ns0:is>
      </ns0:c>
      <ns0:c r="U69" s="2" t="inlineStr">
        <ns0:is>
          <ns0:t>无</ns0:t>
        </ns0:is>
      </ns0:c>
      <ns0:c r="V69" s="2" t="inlineStr">
        <ns0:is>
          <ns0:t>无</ns0:t>
        </ns0:is>
      </ns0:c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 t="inlineStr">
        <ns0:is>
          <ns0:t>培训费</ns0:t>
        </ns0:is>
      </ns0:c>
      <ns0:c r="C70" s="3">
        <ns0:f>ROUND(C270*C390,2)</ns0:f>
        <ns0:v>257.52</ns0:v>
      </ns0:c>
      <ns0:c r="D70" s="3">
        <ns0:f>ROUND(D270*D390,2)</ns0:f>
        <ns0:v>57.67</ns0:v>
      </ns0:c>
      <ns0:c r="E70" s="3">
        <ns0:f>ROUND(E270*E390,2)</ns0:f>
        <ns0:v>149.31</ns0:v>
      </ns0:c>
      <ns0:c r="F70" s="3">
        <ns0:f>ROUND(F270*F390,2)</ns0:f>
        <ns0:v>424.92</ns0:v>
      </ns0:c>
      <ns0:c r="G70" s="3">
        <ns0:f>ROUND(G270*G390,2)</ns0:f>
        <ns0:v>239.28</ns0:v>
      </ns0:c>
      <ns0:c r="H70" s="3">
        <ns0:f>ROUND(H270*H390,2)</ns0:f>
        <ns0:v>134.11</ns0:v>
      </ns0:c>
      <ns0:c r="I70" s="3">
        <ns0:f>ROUND(I270*I390,2)</ns0:f>
        <ns0:v>443.60</ns0:v>
      </ns0:c>
      <ns0:c r="J70" s="3">
        <ns0:f>ROUND(J270*J390,2)</ns0:f>
        <ns0:v>235.34</ns0:v>
      </ns0:c>
      <ns0:c r="K70" s="3">
        <ns0:f>ROUND(K270*K390,2)</ns0:f>
        <ns0:v>85.42</ns0:v>
      </ns0:c>
      <ns0:c r="L70" s="3">
        <ns0:f>ROUND(L270*L390,2)</ns0:f>
        <ns0:v>107.27</ns0:v>
      </ns0:c>
      <ns0:c r="M70" s="3">
        <ns0:f>ROUND(M270*M390,2)</ns0:f>
        <ns0:v>177.36</ns0:v>
      </ns0:c>
      <ns0:c r="N70" s="3">
        <ns0:f>ROUND(N270*N390,2)</ns0:f>
        <ns0:v>329.97</ns0:v>
      </ns0:c>
      <ns0:c r="O70" s="3">
        <ns0:f>SUM(C70:N70)</ns0:f>
        <ns0:v>2641.77</ns0:v>
      </ns0:c>
      <ns0:c r="P70" s="2" t="inlineStr">
        <ns0:is>
          <ns0:t>EXP1.010</ns0:t>
        </ns0:is>
      </ns0:c>
      <ns0:c r="Q70" s="2" t="inlineStr">
        <ns0:is>
          <ns0:t>演示占位-v1</ns0:t>
        </ns0:is>
      </ns0:c>
      <ns0:c r="R70" s="2" t="inlineStr">
        <ns0:is>
          <ns0:t>模拟权责发生制</ns0:t>
        </ns0:is>
      </ns0:c>
      <ns0:c r="S70" s="2" t="inlineStr">
        <ns0:is>
          <ns0:t>2027-01</ns0:t>
        </ns0:is>
      </ns0:c>
      <ns0:c r="T70" s="2" t="inlineStr">
        <ns0:is>
          <ns0:t>2027-06</ns0:t>
        </ns0:is>
      </ns0:c>
      <ns0:c r="U70" s="2" t="inlineStr">
        <ns0:is>
          <ns0:t>无</ns0:t>
        </ns0:is>
      </ns0:c>
      <ns0:c r="V70" s="2" t="inlineStr">
        <ns0:is>
          <ns0:t>无</ns0:t>
        </ns0:is>
      </ns0:c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 t="inlineStr">
        <ns0:is>
          <ns0:t>房租</ns0:t>
        </ns0:is>
      </ns0:c>
      <ns0:c r="C71" s="3">
        <ns0:f>ROUND(C271*C391,2)</ns0:f>
        <ns0:v>276.33</ns0:v>
      </ns0:c>
      <ns0:c r="D71" s="3">
        <ns0:f>ROUND(D271*D391,2)</ns0:f>
        <ns0:v>289.44</ns0:v>
      </ns0:c>
      <ns0:c r="E71" s="3">
        <ns0:f>ROUND(E271*E391,2)</ns0:f>
        <ns0:v>392.33</ns0:v>
      </ns0:c>
      <ns0:c r="F71" s="3">
        <ns0:f>ROUND(F271*F391,2)</ns0:f>
        <ns0:v>551.52</ns0:v>
      </ns0:c>
      <ns0:c r="G71" s="3">
        <ns0:f>ROUND(G271*G391,2)</ns0:f>
        <ns0:v>495.21</ns0:v>
      </ns0:c>
      <ns0:c r="H71" s="3">
        <ns0:f>ROUND(H271*H391,2)</ns0:f>
        <ns0:v>249.44</ns0:v>
      </ns0:c>
      <ns0:c r="I71" s="3">
        <ns0:f>ROUND(I271*I391,2)</ns0:f>
        <ns0:v>133.01</ns0:v>
      </ns0:c>
      <ns0:c r="J71" s="3">
        <ns0:f>ROUND(J271*J391,2)</ns0:f>
        <ns0:v>60.68</ns0:v>
      </ns0:c>
      <ns0:c r="K71" s="3">
        <ns0:f>ROUND(K271*K391,2)</ns0:f>
        <ns0:v>145.69</ns0:v>
      </ns0:c>
      <ns0:c r="L71" s="3">
        <ns0:f>ROUND(L271*L391,2)</ns0:f>
        <ns0:v>161.86</ns0:v>
      </ns0:c>
      <ns0:c r="M71" s="3">
        <ns0:f>ROUND(M271*M391,2)</ns0:f>
        <ns0:v>386.44</ns0:v>
      </ns0:c>
      <ns0:c r="N71" s="3">
        <ns0:f>ROUND(N271*N391,2)</ns0:f>
        <ns0:v>205.06</ns0:v>
      </ns0:c>
      <ns0:c r="O71" s="3">
        <ns0:f>SUM(C71:N71)</ns0:f>
        <ns0:v>3347.01</ns0:v>
      </ns0:c>
      <ns0:c r="P71" s="2" t="inlineStr">
        <ns0:is>
          <ns0:t>EXP1.011</ns0:t>
        </ns0:is>
      </ns0:c>
      <ns0:c r="Q71" s="2" t="inlineStr">
        <ns0:is>
          <ns0:t>演示占位-v1</ns0:t>
        </ns0:is>
      </ns0:c>
      <ns0:c r="R71" s="2" t="inlineStr">
        <ns0:is>
          <ns0:t>模拟权责发生制</ns0:t>
        </ns0:is>
      </ns0:c>
      <ns0:c r="S71" s="2" t="inlineStr">
        <ns0:is>
          <ns0:t>2027-01</ns0:t>
        </ns0:is>
      </ns0:c>
      <ns0:c r="T71" s="2" t="inlineStr">
        <ns0:is>
          <ns0:t>2027-06</ns0:t>
        </ns0:is>
      </ns0:c>
      <ns0:c r="U71" s="2" t="inlineStr">
        <ns0:is>
          <ns0:t>无</ns0:t>
        </ns0:is>
      </ns0:c>
      <ns0:c r="V71" s="2" t="inlineStr">
        <ns0:is>
          <ns0:t>无</ns0:t>
        </ns0:is>
      </ns0:c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 t="inlineStr">
        <ns0:is>
          <ns0:t>物业管理费</ns0:t>
        </ns0:is>
      </ns0:c>
      <ns0:c r="C72" s="3">
        <ns0:f>ROUND(C272*C392,2)</ns0:f>
        <ns0:v>474.47</ns0:v>
      </ns0:c>
      <ns0:c r="D72" s="3">
        <ns0:f>ROUND(D272*D392,2)</ns0:f>
        <ns0:v>206.52</ns0:v>
      </ns0:c>
      <ns0:c r="E72" s="3">
        <ns0:f>ROUND(E272*E392,2)</ns0:f>
        <ns0:v>62.40</ns0:v>
      </ns0:c>
      <ns0:c r="F72" s="3">
        <ns0:f>ROUND(F272*F392,2)</ns0:f>
        <ns0:v>158.29</ns0:v>
      </ns0:c>
      <ns0:c r="G72" s="3">
        <ns0:f>ROUND(G272*G392,2)</ns0:f>
        <ns0:v>400.55</ns0:v>
      </ns0:c>
      <ns0:c r="H72" s="3">
        <ns0:f>ROUND(H272*H392,2)</ns0:f>
        <ns0:v>238.70</ns0:v>
      </ns0:c>
      <ns0:c r="I72" s="3">
        <ns0:f>ROUND(I272*I392,2)</ns0:f>
        <ns0:v>154.92</ns0:v>
      </ns0:c>
      <ns0:c r="J72" s="3">
        <ns0:f>ROUND(J272*J392,2)</ns0:f>
        <ns0:v>251.66</ns0:v>
      </ns0:c>
      <ns0:c r="K72" s="3">
        <ns0:f>ROUND(K272*K392,2)</ns0:f>
        <ns0:v>287.54</ns0:v>
      </ns0:c>
      <ns0:c r="L72" s="3">
        <ns0:f>ROUND(L272*L392,2)</ns0:f>
        <ns0:v>215.85</ns0:v>
      </ns0:c>
      <ns0:c r="M72" s="3">
        <ns0:f>ROUND(M272*M392,2)</ns0:f>
        <ns0:v>230.14</ns0:v>
      </ns0:c>
      <ns0:c r="N72" s="3">
        <ns0:f>ROUND(N272*N392,2)</ns0:f>
        <ns0:v>184.96</ns0:v>
      </ns0:c>
      <ns0:c r="O72" s="3">
        <ns0:f>SUM(C72:N72)</ns0:f>
        <ns0:v>2866.00</ns0:v>
      </ns0:c>
      <ns0:c r="P72" s="2" t="inlineStr">
        <ns0:is>
          <ns0:t>EXP1.012</ns0:t>
        </ns0:is>
      </ns0:c>
      <ns0:c r="Q72" s="2" t="inlineStr">
        <ns0:is>
          <ns0:t>演示占位-v1</ns0:t>
        </ns0:is>
      </ns0:c>
      <ns0:c r="R72" s="2" t="inlineStr">
        <ns0:is>
          <ns0:t>模拟权责发生制</ns0:t>
        </ns0:is>
      </ns0:c>
      <ns0:c r="S72" s="2" t="inlineStr">
        <ns0:is>
          <ns0:t>2027-01</ns0:t>
        </ns0:is>
      </ns0:c>
      <ns0:c r="T72" s="2" t="inlineStr">
        <ns0:is>
          <ns0:t>2027-06</ns0:t>
        </ns0:is>
      </ns0:c>
      <ns0:c r="U72" s="2" t="inlineStr">
        <ns0:is>
          <ns0:t>无</ns0:t>
        </ns0:is>
      </ns0:c>
      <ns0:c r="V72" s="2" t="inlineStr">
        <ns0:is>
          <ns0:t>无</ns0:t>
        </ns0:is>
      </ns0:c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 t="inlineStr">
        <ns0:is>
          <ns0:t>汽车费用</ns0:t>
        </ns0:is>
      </ns0:c>
      <ns0:c r="C73" s="3">
        <ns0:f>ROUND(C273*C393,2)</ns0:f>
        <ns0:v>145.95</ns0:v>
      </ns0:c>
      <ns0:c r="D73" s="3">
        <ns0:f>ROUND(D273*D393,2)</ns0:f>
        <ns0:v>230.01</ns0:v>
      </ns0:c>
      <ns0:c r="E73" s="3">
        <ns0:f>ROUND(E273*E393,2)</ns0:f>
        <ns0:v>70.18</ns0:v>
      </ns0:c>
      <ns0:c r="F73" s="3">
        <ns0:f>ROUND(F273*F393,2)</ns0:f>
        <ns0:v>319.12</ns0:v>
      </ns0:c>
      <ns0:c r="G73" s="3">
        <ns0:f>ROUND(G273*G393,2)</ns0:f>
        <ns0:v>513.25</ns0:v>
      </ns0:c>
      <ns0:c r="H73" s="3">
        <ns0:f>ROUND(H273*H393,2)</ns0:f>
        <ns0:v>458.00</ns0:v>
      </ns0:c>
      <ns0:c r="I73" s="3">
        <ns0:f>ROUND(I273*I393,2)</ns0:f>
        <ns0:v>94.98</ns0:v>
      </ns0:c>
      <ns0:c r="J73" s="3">
        <ns0:f>ROUND(J273*J393,2)</ns0:f>
        <ns0:v>179.68</ns0:v>
      </ns0:c>
      <ns0:c r="K73" s="3">
        <ns0:f>ROUND(K273*K393,2)</ns0:f>
        <ns0:v>534.64</ns0:v>
      </ns0:c>
      <ns0:c r="L73" s="3">
        <ns0:f>ROUND(L273*L393,2)</ns0:f>
        <ns0:v>227.62</ns0:v>
      </ns0:c>
      <ns0:c r="M73" s="3">
        <ns0:f>ROUND(M273*M393,2)</ns0:f>
        <ns0:v>222.55</ns0:v>
      </ns0:c>
      <ns0:c r="N73" s="3">
        <ns0:f>ROUND(N273*N393,2)</ns0:f>
        <ns0:v>362.69</ns0:v>
      </ns0:c>
      <ns0:c r="O73" s="3">
        <ns0:f>SUM(C73:N73)</ns0:f>
        <ns0:v>3358.67</ns0:v>
      </ns0:c>
      <ns0:c r="P73" s="2" t="inlineStr">
        <ns0:is>
          <ns0:t>EXP1.013</ns0:t>
        </ns0:is>
      </ns0:c>
      <ns0:c r="Q73" s="2" t="inlineStr">
        <ns0:is>
          <ns0:t>演示占位-v1</ns0:t>
        </ns0:is>
      </ns0:c>
      <ns0:c r="R73" s="2" t="inlineStr">
        <ns0:is>
          <ns0:t>模拟权责发生制</ns0:t>
        </ns0:is>
      </ns0:c>
      <ns0:c r="S73" s="2" t="inlineStr">
        <ns0:is>
          <ns0:t>2027-01</ns0:t>
        </ns0:is>
      </ns0:c>
      <ns0:c r="T73" s="2" t="inlineStr">
        <ns0:is>
          <ns0:t>2027-06</ns0:t>
        </ns0:is>
      </ns0:c>
      <ns0:c r="U73" s="2" t="inlineStr">
        <ns0:is>
          <ns0:t>无</ns0:t>
        </ns0:is>
      </ns0:c>
      <ns0:c r="V73" s="2" t="inlineStr">
        <ns0:is>
          <ns0:t>无</ns0:t>
        </ns0:is>
      </ns0:c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 t="inlineStr">
        <ns0:is>
          <ns0:t>办公费</ns0:t>
        </ns0:is>
      </ns0:c>
      <ns0:c r="C74" s="3">
        <ns0:f>ROUND(C274*C394,2)</ns0:f>
        <ns0:v>148.14</ns0:v>
      </ns0:c>
      <ns0:c r="D74" s="3">
        <ns0:f>ROUND(D274*D394,2)</ns0:f>
        <ns0:v>302.57</ns0:v>
      </ns0:c>
      <ns0:c r="E74" s="3">
        <ns0:f>ROUND(E274*E394,2)</ns0:f>
        <ns0:v>184.64</ns0:v>
      </ns0:c>
      <ns0:c r="F74" s="3">
        <ns0:f>ROUND(F274*F394,2)</ns0:f>
        <ns0:v>435.67</ns0:v>
      </ns0:c>
      <ns0:c r="G74" s="3">
        <ns0:f>ROUND(G274*G394,2)</ns0:f>
        <ns0:v>184.83</ns0:v>
      </ns0:c>
      <ns0:c r="H74" s="3">
        <ns0:f>ROUND(H274*H394,2)</ns0:f>
        <ns0:v>122.53</ns0:v>
      </ns0:c>
      <ns0:c r="I74" s="3">
        <ns0:f>ROUND(I274*I394,2)</ns0:f>
        <ns0:v>219.48</ns0:v>
      </ns0:c>
      <ns0:c r="J74" s="3">
        <ns0:f>ROUND(J274*J394,2)</ns0:f>
        <ns0:v>223.88</ns0:v>
      </ns0:c>
      <ns0:c r="K74" s="3">
        <ns0:f>ROUND(K274*K394,2)</ns0:f>
        <ns0:v>92.98</ns0:v>
      </ns0:c>
      <ns0:c r="L74" s="3">
        <ns0:f>ROUND(L274*L394,2)</ns0:f>
        <ns0:v>91.62</ns0:v>
      </ns0:c>
      <ns0:c r="M74" s="3">
        <ns0:f>ROUND(M274*M394,2)</ns0:f>
        <ns0:v>169.55</ns0:v>
      </ns0:c>
      <ns0:c r="N74" s="3">
        <ns0:f>ROUND(N274*N394,2)</ns0:f>
        <ns0:v>97.77</ns0:v>
      </ns0:c>
      <ns0:c r="O74" s="3">
        <ns0:f>SUM(C74:N74)</ns0:f>
        <ns0:v>2273.66</ns0:v>
      </ns0:c>
      <ns0:c r="P74" s="2" t="inlineStr">
        <ns0:is>
          <ns0:t>EXP1.014</ns0:t>
        </ns0:is>
      </ns0:c>
      <ns0:c r="Q74" s="2" t="inlineStr">
        <ns0:is>
          <ns0:t>演示占位-v1</ns0:t>
        </ns0:is>
      </ns0:c>
      <ns0:c r="R74" s="2" t="inlineStr">
        <ns0:is>
          <ns0:t>模拟权责发生制</ns0:t>
        </ns0:is>
      </ns0:c>
      <ns0:c r="S74" s="2" t="inlineStr">
        <ns0:is>
          <ns0:t>2027-01</ns0:t>
        </ns0:is>
      </ns0:c>
      <ns0:c r="T74" s="2" t="inlineStr">
        <ns0:is>
          <ns0:t>2027-06</ns0:t>
        </ns0:is>
      </ns0:c>
      <ns0:c r="U74" s="2" t="inlineStr">
        <ns0:is>
          <ns0:t>无</ns0:t>
        </ns0:is>
      </ns0:c>
      <ns0:c r="V74" s="2" t="inlineStr">
        <ns0:is>
          <ns0:t>无</ns0:t>
        </ns0:is>
      </ns0:c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 t="inlineStr">
        <ns0:is>
          <ns0:t>办公用品</ns0:t>
        </ns0:is>
      </ns0:c>
      <ns0:c r="C75" s="3">
        <ns0:f>ROUND(C275*C395,2)</ns0:f>
        <ns0:v>92.97</ns0:v>
      </ns0:c>
      <ns0:c r="D75" s="3">
        <ns0:f>ROUND(D275*D395,2)</ns0:f>
        <ns0:v>522.71</ns0:v>
      </ns0:c>
      <ns0:c r="E75" s="3">
        <ns0:f>ROUND(E275*E395,2)</ns0:f>
        <ns0:v>233.29</ns0:v>
      </ns0:c>
      <ns0:c r="F75" s="3">
        <ns0:f>ROUND(F275*F395,2)</ns0:f>
        <ns0:v>295.25</ns0:v>
      </ns0:c>
      <ns0:c r="G75" s="3">
        <ns0:f>ROUND(G275*G395,2)</ns0:f>
        <ns0:v>280.52</ns0:v>
      </ns0:c>
      <ns0:c r="H75" s="3">
        <ns0:f>ROUND(H275*H395,2)</ns0:f>
        <ns0:v>247.65</ns0:v>
      </ns0:c>
      <ns0:c r="I75" s="3">
        <ns0:f>ROUND(I275*I395,2)</ns0:f>
        <ns0:v>168.13</ns0:v>
      </ns0:c>
      <ns0:c r="J75" s="3">
        <ns0:f>ROUND(J275*J395,2)</ns0:f>
        <ns0:v>117.88</ns0:v>
      </ns0:c>
      <ns0:c r="K75" s="3">
        <ns0:f>ROUND(K275*K395,2)</ns0:f>
        <ns0:v>325.53</ns0:v>
      </ns0:c>
      <ns0:c r="L75" s="3">
        <ns0:f>ROUND(L275*L395,2)</ns0:f>
        <ns0:v>307.23</ns0:v>
      </ns0:c>
      <ns0:c r="M75" s="3">
        <ns0:f>ROUND(M275*M395,2)</ns0:f>
        <ns0:v>522.76</ns0:v>
      </ns0:c>
      <ns0:c r="N75" s="3">
        <ns0:f>ROUND(N275*N395,2)</ns0:f>
        <ns0:v>226.20</ns0:v>
      </ns0:c>
      <ns0:c r="O75" s="3">
        <ns0:f>SUM(C75:N75)</ns0:f>
        <ns0:v>3340.12</ns0:v>
      </ns0:c>
      <ns0:c r="P75" s="2" t="inlineStr">
        <ns0:is>
          <ns0:t>EXP1.015</ns0:t>
        </ns0:is>
      </ns0:c>
      <ns0:c r="Q75" s="2" t="inlineStr">
        <ns0:is>
          <ns0:t>演示占位-v1</ns0:t>
        </ns0:is>
      </ns0:c>
      <ns0:c r="R75" s="2" t="inlineStr">
        <ns0:is>
          <ns0:t>模拟权责发生制</ns0:t>
        </ns0:is>
      </ns0:c>
      <ns0:c r="S75" s="2" t="inlineStr">
        <ns0:is>
          <ns0:t>2027-01</ns0:t>
        </ns0:is>
      </ns0:c>
      <ns0:c r="T75" s="2" t="inlineStr">
        <ns0:is>
          <ns0:t>2027-06</ns0:t>
        </ns0:is>
      </ns0:c>
      <ns0:c r="U75" s="2" t="inlineStr">
        <ns0:is>
          <ns0:t>无</ns0:t>
        </ns0:is>
      </ns0:c>
      <ns0:c r="V75" s="2" t="inlineStr">
        <ns0:is>
          <ns0:t>无</ns0:t>
        </ns0:is>
      </ns0:c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 t="inlineStr">
        <ns0:is>
          <ns0:t>水电煤</ns0:t>
        </ns0:is>
      </ns0:c>
      <ns0:c r="C76" s="3">
        <ns0:f>ROUND(C276*C396,2)</ns0:f>
        <ns0:v>281.85</ns0:v>
      </ns0:c>
      <ns0:c r="D76" s="3">
        <ns0:f>ROUND(D276*D396,2)</ns0:f>
        <ns0:v>296.17</ns0:v>
      </ns0:c>
      <ns0:c r="E76" s="3">
        <ns0:f>ROUND(E276*E396,2)</ns0:f>
        <ns0:v>198.28</ns0:v>
      </ns0:c>
      <ns0:c r="F76" s="3">
        <ns0:f>ROUND(F276*F396,2)</ns0:f>
        <ns0:v>215.29</ns0:v>
      </ns0:c>
      <ns0:c r="G76" s="3">
        <ns0:f>ROUND(G276*G396,2)</ns0:f>
        <ns0:v>231.86</ns0:v>
      </ns0:c>
      <ns0:c r="H76" s="3">
        <ns0:f>ROUND(H276*H396,2)</ns0:f>
        <ns0:v>162.10</ns0:v>
      </ns0:c>
      <ns0:c r="I76" s="3">
        <ns0:f>ROUND(I276*I396,2)</ns0:f>
        <ns0:v>88.18</ns0:v>
      </ns0:c>
      <ns0:c r="J76" s="3">
        <ns0:f>ROUND(J276*J396,2)</ns0:f>
        <ns0:v>225.77</ns0:v>
      </ns0:c>
      <ns0:c r="K76" s="3">
        <ns0:f>ROUND(K276*K396,2)</ns0:f>
        <ns0:v>209.02</ns0:v>
      </ns0:c>
      <ns0:c r="L76" s="3">
        <ns0:f>ROUND(L276*L396,2)</ns0:f>
        <ns0:v>389.95</ns0:v>
      </ns0:c>
      <ns0:c r="M76" s="3">
        <ns0:f>ROUND(M276*M396,2)</ns0:f>
        <ns0:v>62.60</ns0:v>
      </ns0:c>
      <ns0:c r="N76" s="3">
        <ns0:f>ROUND(N276*N396,2)</ns0:f>
        <ns0:v>284.36</ns0:v>
      </ns0:c>
      <ns0:c r="O76" s="3">
        <ns0:f>SUM(C76:N76)</ns0:f>
        <ns0:v>2645.43</ns0:v>
      </ns0:c>
      <ns0:c r="P76" s="2" t="inlineStr">
        <ns0:is>
          <ns0:t>EXP1.016</ns0:t>
        </ns0:is>
      </ns0:c>
      <ns0:c r="Q76" s="2" t="inlineStr">
        <ns0:is>
          <ns0:t>演示占位-v1</ns0:t>
        </ns0:is>
      </ns0:c>
      <ns0:c r="R76" s="2" t="inlineStr">
        <ns0:is>
          <ns0:t>模拟权责发生制</ns0:t>
        </ns0:is>
      </ns0:c>
      <ns0:c r="S76" s="2" t="inlineStr">
        <ns0:is>
          <ns0:t>2027-01</ns0:t>
        </ns0:is>
      </ns0:c>
      <ns0:c r="T76" s="2" t="inlineStr">
        <ns0:is>
          <ns0:t>2027-06</ns0:t>
        </ns0:is>
      </ns0:c>
      <ns0:c r="U76" s="2" t="inlineStr">
        <ns0:is>
          <ns0:t>无</ns0:t>
        </ns0:is>
      </ns0:c>
      <ns0:c r="V76" s="2" t="inlineStr">
        <ns0:is>
          <ns0:t>无</ns0:t>
        </ns0:is>
      </ns0:c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 t="inlineStr">
        <ns0:is>
          <ns0:t>咨询服务费</ns0:t>
        </ns0:is>
      </ns0:c>
      <ns0:c r="C77" s="3">
        <ns0:f>ROUND(C277*C397,2)</ns0:f>
        <ns0:v>384.33</ns0:v>
      </ns0:c>
      <ns0:c r="D77" s="3">
        <ns0:f>ROUND(D277*D397,2)</ns0:f>
        <ns0:v>152.59</ns0:v>
      </ns0:c>
      <ns0:c r="E77" s="3">
        <ns0:f>ROUND(E277*E397,2)</ns0:f>
        <ns0:v>101.54</ns0:v>
      </ns0:c>
      <ns0:c r="F77" s="3">
        <ns0:f>ROUND(F277*F397,2)</ns0:f>
        <ns0:v>228.39</ns0:v>
      </ns0:c>
      <ns0:c r="G77" s="3">
        <ns0:f>ROUND(G277*G397,2)</ns0:f>
        <ns0:v>258.14</ns0:v>
      </ns0:c>
      <ns0:c r="H77" s="3">
        <ns0:f>ROUND(H277*H397,2)</ns0:f>
        <ns0:v>386.37</ns0:v>
      </ns0:c>
      <ns0:c r="I77" s="3">
        <ns0:f>ROUND(I277*I397,2)</ns0:f>
        <ns0:v>401.42</ns0:v>
      </ns0:c>
      <ns0:c r="J77" s="3">
        <ns0:f>ROUND(J277*J397,2)</ns0:f>
        <ns0:v>401.75</ns0:v>
      </ns0:c>
      <ns0:c r="K77" s="3">
        <ns0:f>ROUND(K277*K397,2)</ns0:f>
        <ns0:v>257.06</ns0:v>
      </ns0:c>
      <ns0:c r="L77" s="3">
        <ns0:f>ROUND(L277*L397,2)</ns0:f>
        <ns0:v>307.32</ns0:v>
      </ns0:c>
      <ns0:c r="M77" s="3">
        <ns0:f>ROUND(M277*M397,2)</ns0:f>
        <ns0:v>375.51</ns0:v>
      </ns0:c>
      <ns0:c r="N77" s="3">
        <ns0:f>ROUND(N277*N397,2)</ns0:f>
        <ns0:v>112.44</ns0:v>
      </ns0:c>
      <ns0:c r="O77" s="3">
        <ns0:f>SUM(C77:N77)</ns0:f>
        <ns0:v>3366.86</ns0:v>
      </ns0:c>
      <ns0:c r="P77" s="2" t="inlineStr">
        <ns0:is>
          <ns0:t>EXP1.017</ns0:t>
        </ns0:is>
      </ns0:c>
      <ns0:c r="Q77" s="2" t="inlineStr">
        <ns0:is>
          <ns0:t>演示占位-v1</ns0:t>
        </ns0:is>
      </ns0:c>
      <ns0:c r="R77" s="2" t="inlineStr">
        <ns0:is>
          <ns0:t>模拟权责发生制</ns0:t>
        </ns0:is>
      </ns0:c>
      <ns0:c r="S77" s="2" t="inlineStr">
        <ns0:is>
          <ns0:t>2027-01</ns0:t>
        </ns0:is>
      </ns0:c>
      <ns0:c r="T77" s="2" t="inlineStr">
        <ns0:is>
          <ns0:t>2027-06</ns0:t>
        </ns0:is>
      </ns0:c>
      <ns0:c r="U77" s="2" t="inlineStr">
        <ns0:is>
          <ns0:t>无</ns0:t>
        </ns0:is>
      </ns0:c>
      <ns0:c r="V77" s="2" t="inlineStr">
        <ns0:is>
          <ns0:t>无</ns0:t>
        </ns0:is>
      </ns0:c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 t="inlineStr">
        <ns0:is>
          <ns0:t>电话费</ns0:t>
        </ns0:is>
      </ns0:c>
      <ns0:c r="C78" s="3">
        <ns0:f>ROUND(C278*C398,2)</ns0:f>
        <ns0:v>269.83</ns0:v>
      </ns0:c>
      <ns0:c r="D78" s="3">
        <ns0:f>ROUND(D278*D398,2)</ns0:f>
        <ns0:v>353.46</ns0:v>
      </ns0:c>
      <ns0:c r="E78" s="3">
        <ns0:f>ROUND(E278*E398,2)</ns0:f>
        <ns0:v>394.29</ns0:v>
      </ns0:c>
      <ns0:c r="F78" s="3">
        <ns0:f>ROUND(F278*F398,2)</ns0:f>
        <ns0:v>169.21</ns0:v>
      </ns0:c>
      <ns0:c r="G78" s="3">
        <ns0:f>ROUND(G278*G398,2)</ns0:f>
        <ns0:v>152.28</ns0:v>
      </ns0:c>
      <ns0:c r="H78" s="3">
        <ns0:f>ROUND(H278*H398,2)</ns0:f>
        <ns0:v>43.94</ns0:v>
      </ns0:c>
      <ns0:c r="I78" s="3">
        <ns0:f>ROUND(I278*I398,2)</ns0:f>
        <ns0:v>44.88</ns0:v>
      </ns0:c>
      <ns0:c r="J78" s="3">
        <ns0:f>ROUND(J278*J398,2)</ns0:f>
        <ns0:v>95.78</ns0:v>
      </ns0:c>
      <ns0:c r="K78" s="3">
        <ns0:f>ROUND(K278*K398,2)</ns0:f>
        <ns0:v>408.46</ns0:v>
      </ns0:c>
      <ns0:c r="L78" s="3">
        <ns0:f>ROUND(L278*L398,2)</ns0:f>
        <ns0:v>271.13</ns0:v>
      </ns0:c>
      <ns0:c r="M78" s="3">
        <ns0:f>ROUND(M278*M398,2)</ns0:f>
        <ns0:v>127.63</ns0:v>
      </ns0:c>
      <ns0:c r="N78" s="3">
        <ns0:f>ROUND(N278*N398,2)</ns0:f>
        <ns0:v>81.55</ns0:v>
      </ns0:c>
      <ns0:c r="O78" s="3">
        <ns0:f>SUM(C78:N78)</ns0:f>
        <ns0:v>2412.44</ns0:v>
      </ns0:c>
      <ns0:c r="P78" s="2" t="inlineStr">
        <ns0:is>
          <ns0:t>EXP1.018</ns0:t>
        </ns0:is>
      </ns0:c>
      <ns0:c r="Q78" s="2" t="inlineStr">
        <ns0:is>
          <ns0:t>演示占位-v1</ns0:t>
        </ns0:is>
      </ns0:c>
      <ns0:c r="R78" s="2" t="inlineStr">
        <ns0:is>
          <ns0:t>模拟权责发生制</ns0:t>
        </ns0:is>
      </ns0:c>
      <ns0:c r="S78" s="2" t="inlineStr">
        <ns0:is>
          <ns0:t>2027-01</ns0:t>
        </ns0:is>
      </ns0:c>
      <ns0:c r="T78" s="2" t="inlineStr">
        <ns0:is>
          <ns0:t>2027-06</ns0:t>
        </ns0:is>
      </ns0:c>
      <ns0:c r="U78" s="2" t="inlineStr">
        <ns0:is>
          <ns0:t>无</ns0:t>
        </ns0:is>
      </ns0:c>
      <ns0:c r="V78" s="2" t="inlineStr">
        <ns0:is>
          <ns0:t>无</ns0:t>
        </ns0:is>
      </ns0:c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 t="inlineStr">
        <ns0:is>
          <ns0:t>快递费</ns0:t>
        </ns0:is>
      </ns0:c>
      <ns0:c r="C79" s="3">
        <ns0:f>ROUND(C279*C399,2)</ns0:f>
        <ns0:v>133.47</ns0:v>
      </ns0:c>
      <ns0:c r="D79" s="3">
        <ns0:f>ROUND(D279*D399,2)</ns0:f>
        <ns0:v>200.75</ns0:v>
      </ns0:c>
      <ns0:c r="E79" s="3">
        <ns0:f>ROUND(E279*E399,2)</ns0:f>
        <ns0:v>455.25</ns0:v>
      </ns0:c>
      <ns0:c r="F79" s="3">
        <ns0:f>ROUND(F279*F399,2)</ns0:f>
        <ns0:v>320.15</ns0:v>
      </ns0:c>
      <ns0:c r="G79" s="3">
        <ns0:f>ROUND(G279*G399,2)</ns0:f>
        <ns0:v>404.46</ns0:v>
      </ns0:c>
      <ns0:c r="H79" s="3">
        <ns0:f>ROUND(H279*H399,2)</ns0:f>
        <ns0:v>117.22</ns0:v>
      </ns0:c>
      <ns0:c r="I79" s="3">
        <ns0:f>ROUND(I279*I399,2)</ns0:f>
        <ns0:v>290.04</ns0:v>
      </ns0:c>
      <ns0:c r="J79" s="3">
        <ns0:f>ROUND(J279*J399,2)</ns0:f>
        <ns0:v>396.89</ns0:v>
      </ns0:c>
      <ns0:c r="K79" s="3">
        <ns0:f>ROUND(K279*K399,2)</ns0:f>
        <ns0:v>192.36</ns0:v>
      </ns0:c>
      <ns0:c r="L79" s="3">
        <ns0:f>ROUND(L279*L399,2)</ns0:f>
        <ns0:v>296.06</ns0:v>
      </ns0:c>
      <ns0:c r="M79" s="3">
        <ns0:f>ROUND(M279*M399,2)</ns0:f>
        <ns0:v>270.10</ns0:v>
      </ns0:c>
      <ns0:c r="N79" s="3">
        <ns0:f>ROUND(N279*N399,2)</ns0:f>
        <ns0:v>425.02</ns0:v>
      </ns0:c>
      <ns0:c r="O79" s="3">
        <ns0:f>SUM(C79:N79)</ns0:f>
        <ns0:v>3501.77</ns0:v>
      </ns0:c>
      <ns0:c r="P79" s="2" t="inlineStr">
        <ns0:is>
          <ns0:t>EXP1.019</ns0:t>
        </ns0:is>
      </ns0:c>
      <ns0:c r="Q79" s="2" t="inlineStr">
        <ns0:is>
          <ns0:t>演示占位-v1</ns0:t>
        </ns0:is>
      </ns0:c>
      <ns0:c r="R79" s="2" t="inlineStr">
        <ns0:is>
          <ns0:t>模拟权责发生制</ns0:t>
        </ns0:is>
      </ns0:c>
      <ns0:c r="S79" s="2" t="inlineStr">
        <ns0:is>
          <ns0:t>2027-01</ns0:t>
        </ns0:is>
      </ns0:c>
      <ns0:c r="T79" s="2" t="inlineStr">
        <ns0:is>
          <ns0:t>2027-06</ns0:t>
        </ns0:is>
      </ns0:c>
      <ns0:c r="U79" s="2" t="inlineStr">
        <ns0:is>
          <ns0:t>无</ns0:t>
        </ns0:is>
      </ns0:c>
      <ns0:c r="V79" s="2" t="inlineStr">
        <ns0:is>
          <ns0:t>无</ns0:t>
        </ns0:is>
      </ns0:c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 t="inlineStr">
        <ns0:is>
          <ns0:t>折旧及摊销</ns0:t>
        </ns0:is>
      </ns0:c>
      <ns0:c r="C80" s="3">
        <ns0:f>ROUND('摊销明细'!C93/3,2)</ns0:f>
        <ns0:v>624.24</ns0:v>
      </ns0:c>
      <ns0:c r="D80" s="3">
        <ns0:f>ROUND('摊销明细'!D93/3,2)</ns0:f>
        <ns0:v>624.24</ns0:v>
      </ns0:c>
      <ns0:c r="E80" s="3">
        <ns0:f>ROUND('摊销明细'!E93/3,2)</ns0:f>
        <ns0:v>624.24</ns0:v>
      </ns0:c>
      <ns0:c r="F80" s="3">
        <ns0:f>ROUND('摊销明细'!F93/3,2)</ns0:f>
        <ns0:v>624.24</ns0:v>
      </ns0:c>
      <ns0:c r="G80" s="3">
        <ns0:f>ROUND('摊销明细'!G93/3,2)</ns0:f>
        <ns0:v>624.24</ns0:v>
      </ns0:c>
      <ns0:c r="H80" s="3">
        <ns0:f>ROUND('摊销明细'!H93/3,2)</ns0:f>
        <ns0:v>624.24</ns0:v>
      </ns0:c>
      <ns0:c r="I80" s="3">
        <ns0:f>ROUND('摊销明细'!I93/3,2)</ns0:f>
        <ns0:v>624.24</ns0:v>
      </ns0:c>
      <ns0:c r="J80" s="3">
        <ns0:f>ROUND('摊销明细'!J93/3,2)</ns0:f>
        <ns0:v>624.24</ns0:v>
      </ns0:c>
      <ns0:c r="K80" s="3">
        <ns0:f>ROUND('摊销明细'!K93/3,2)</ns0:f>
        <ns0:v>624.24</ns0:v>
      </ns0:c>
      <ns0:c r="L80" s="3">
        <ns0:f>ROUND('摊销明细'!L93/3,2)</ns0:f>
        <ns0:v>624.24</ns0:v>
      </ns0:c>
      <ns0:c r="M80" s="3">
        <ns0:f>ROUND('摊销明细'!M93/3,2)</ns0:f>
        <ns0:v>624.24</ns0:v>
      </ns0:c>
      <ns0:c r="N80" s="3">
        <ns0:f>ROUND('摊销明细'!N93/3,2)</ns0:f>
        <ns0:v>624.24</ns0:v>
      </ns0:c>
      <ns0:c r="O80" s="3">
        <ns0:f>SUM(C80:N80)</ns0:f>
        <ns0:v>7490.88</ns0:v>
      </ns0:c>
      <ns0:c r="P80" s="2" t="inlineStr">
        <ns0:is>
          <ns0:t>EXP1.020</ns0:t>
        </ns0:is>
      </ns0:c>
      <ns0:c r="Q80" s="2" t="inlineStr">
        <ns0:is>
          <ns0:t>演示占位-v1</ns0:t>
        </ns0:is>
      </ns0:c>
      <ns0:c r="R80" s="2" t="inlineStr">
        <ns0:is>
          <ns0:t>模拟权责发生制</ns0:t>
        </ns0:is>
      </ns0:c>
      <ns0:c r="S80" s="2" t="inlineStr">
        <ns0:is>
          <ns0:t>2027-01</ns0:t>
        </ns0:is>
      </ns0:c>
      <ns0:c r="T80" s="2" t="inlineStr">
        <ns0:is>
          <ns0:t>2027-06</ns0:t>
        </ns0:is>
      </ns0:c>
      <ns0:c r="U80" s="2" t="inlineStr">
        <ns0:is>
          <ns0:t>无</ns0:t>
        </ns0:is>
      </ns0:c>
      <ns0:c r="V80" s="2" t="inlineStr">
        <ns0:is>
          <ns0:t>无</ns0:t>
        </ns0:is>
      </ns0:c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 t="inlineStr">
        <ns0:is>
          <ns0:t>机票火车票</ns0:t>
        </ns0:is>
      </ns0:c>
      <ns0:c r="C81" s="3">
        <ns0:f>ROUND(C281*C401,2)</ns0:f>
        <ns0:v>199.53</ns0:v>
      </ns0:c>
      <ns0:c r="D81" s="3">
        <ns0:f>ROUND(D281*D401,2)</ns0:f>
        <ns0:v>149.48</ns0:v>
      </ns0:c>
      <ns0:c r="E81" s="3">
        <ns0:f>ROUND(E281*E401,2)</ns0:f>
        <ns0:v>195.56</ns0:v>
      </ns0:c>
      <ns0:c r="F81" s="3">
        <ns0:f>ROUND(F281*F401,2)</ns0:f>
        <ns0:v>381.39</ns0:v>
      </ns0:c>
      <ns0:c r="G81" s="3">
        <ns0:f>ROUND(G281*G401,2)</ns0:f>
        <ns0:v>169.27</ns0:v>
      </ns0:c>
      <ns0:c r="H81" s="3">
        <ns0:f>ROUND(H281*H401,2)</ns0:f>
        <ns0:v>69.72</ns0:v>
      </ns0:c>
      <ns0:c r="I81" s="3">
        <ns0:f>ROUND(I281*I401,2)</ns0:f>
        <ns0:v>128.55</ns0:v>
      </ns0:c>
      <ns0:c r="J81" s="3">
        <ns0:f>ROUND(J281*J401,2)</ns0:f>
        <ns0:v>96.86</ns0:v>
      </ns0:c>
      <ns0:c r="K81" s="3">
        <ns0:f>ROUND(K281*K401,2)</ns0:f>
        <ns0:v>243.95</ns0:v>
      </ns0:c>
      <ns0:c r="L81" s="3">
        <ns0:f>ROUND(L281*L401,2)</ns0:f>
        <ns0:v>128.27</ns0:v>
      </ns0:c>
      <ns0:c r="M81" s="3">
        <ns0:f>ROUND(M281*M401,2)</ns0:f>
        <ns0:v>197.13</ns0:v>
      </ns0:c>
      <ns0:c r="N81" s="3">
        <ns0:f>ROUND(N281*N401,2)</ns0:f>
        <ns0:v>592.12</ns0:v>
      </ns0:c>
      <ns0:c r="O81" s="3">
        <ns0:f>SUM(C81:N81)</ns0:f>
        <ns0:v>2551.83</ns0:v>
      </ns0:c>
      <ns0:c r="P81" s="2" t="inlineStr">
        <ns0:is>
          <ns0:t>EXP1.021</ns0:t>
        </ns0:is>
      </ns0:c>
      <ns0:c r="Q81" s="2" t="inlineStr">
        <ns0:is>
          <ns0:t>演示占位-v1</ns0:t>
        </ns0:is>
      </ns0:c>
      <ns0:c r="R81" s="2" t="inlineStr">
        <ns0:is>
          <ns0:t>模拟权责发生制</ns0:t>
        </ns0:is>
      </ns0:c>
      <ns0:c r="S81" s="2" t="inlineStr">
        <ns0:is>
          <ns0:t>2027-01</ns0:t>
        </ns0:is>
      </ns0:c>
      <ns0:c r="T81" s="2" t="inlineStr">
        <ns0:is>
          <ns0:t>2027-06</ns0:t>
        </ns0:is>
      </ns0:c>
      <ns0:c r="U81" s="2" t="inlineStr">
        <ns0:is>
          <ns0:t>无</ns0:t>
        </ns0:is>
      </ns0:c>
      <ns0:c r="V81" s="2" t="inlineStr">
        <ns0:is>
          <ns0:t>无</ns0:t>
        </ns0:is>
      </ns0:c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 t="inlineStr">
        <ns0:is>
          <ns0:t>住宿费</ns0:t>
        </ns0:is>
      </ns0:c>
      <ns0:c r="C82" s="3">
        <ns0:f>ROUND(C282*C402,2)</ns0:f>
        <ns0:v>425.21</ns0:v>
      </ns0:c>
      <ns0:c r="D82" s="3">
        <ns0:f>ROUND(D282*D402,2)</ns0:f>
        <ns0:v>76.20</ns0:v>
      </ns0:c>
      <ns0:c r="E82" s="3">
        <ns0:f>ROUND(E282*E402,2)</ns0:f>
        <ns0:v>318.98</ns0:v>
      </ns0:c>
      <ns0:c r="F82" s="3">
        <ns0:f>ROUND(F282*F402,2)</ns0:f>
        <ns0:v>390.77</ns0:v>
      </ns0:c>
      <ns0:c r="G82" s="3">
        <ns0:f>ROUND(G282*G402,2)</ns0:f>
        <ns0:v>150.54</ns0:v>
      </ns0:c>
      <ns0:c r="H82" s="3">
        <ns0:f>ROUND(H282*H402,2)</ns0:f>
        <ns0:v>302.14</ns0:v>
      </ns0:c>
      <ns0:c r="I82" s="3">
        <ns0:f>ROUND(I282*I402,2)</ns0:f>
        <ns0:v>160.22</ns0:v>
      </ns0:c>
      <ns0:c r="J82" s="3">
        <ns0:f>ROUND(J282*J402,2)</ns0:f>
        <ns0:v>517.72</ns0:v>
      </ns0:c>
      <ns0:c r="K82" s="3">
        <ns0:f>ROUND(K282*K402,2)</ns0:f>
        <ns0:v>96.08</ns0:v>
      </ns0:c>
      <ns0:c r="L82" s="3">
        <ns0:f>ROUND(L282*L402,2)</ns0:f>
        <ns0:v>212.12</ns0:v>
      </ns0:c>
      <ns0:c r="M82" s="3">
        <ns0:f>ROUND(M282*M402,2)</ns0:f>
        <ns0:v>68.04</ns0:v>
      </ns0:c>
      <ns0:c r="N82" s="3">
        <ns0:f>ROUND(N282*N402,2)</ns0:f>
        <ns0:v>186.23</ns0:v>
      </ns0:c>
      <ns0:c r="O82" s="3">
        <ns0:f>SUM(C82:N82)</ns0:f>
        <ns0:v>2904.25</ns0:v>
      </ns0:c>
      <ns0:c r="P82" s="2" t="inlineStr">
        <ns0:is>
          <ns0:t>EXP1.022</ns0:t>
        </ns0:is>
      </ns0:c>
      <ns0:c r="Q82" s="2" t="inlineStr">
        <ns0:is>
          <ns0:t>演示占位-v1</ns0:t>
        </ns0:is>
      </ns0:c>
      <ns0:c r="R82" s="2" t="inlineStr">
        <ns0:is>
          <ns0:t>模拟权责发生制</ns0:t>
        </ns0:is>
      </ns0:c>
      <ns0:c r="S82" s="2" t="inlineStr">
        <ns0:is>
          <ns0:t>2027-01</ns0:t>
        </ns0:is>
      </ns0:c>
      <ns0:c r="T82" s="2" t="inlineStr">
        <ns0:is>
          <ns0:t>2027-06</ns0:t>
        </ns0:is>
      </ns0:c>
      <ns0:c r="U82" s="2" t="inlineStr">
        <ns0:is>
          <ns0:t>无</ns0:t>
        </ns0:is>
      </ns0:c>
      <ns0:c r="V82" s="2" t="inlineStr">
        <ns0:is>
          <ns0:t>无</ns0:t>
        </ns0:is>
      </ns0:c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 t="inlineStr">
        <ns0:is>
          <ns0:t>交通费</ns0:t>
        </ns0:is>
      </ns0:c>
      <ns0:c r="C83" s="3">
        <ns0:f>ROUND(C283*C403,2)</ns0:f>
        <ns0:v>419.35</ns0:v>
      </ns0:c>
      <ns0:c r="D83" s="3">
        <ns0:f>ROUND(D283*D403,2)</ns0:f>
        <ns0:v>282.31</ns0:v>
      </ns0:c>
      <ns0:c r="E83" s="3">
        <ns0:f>ROUND(E283*E403,2)</ns0:f>
        <ns0:v>161.77</ns0:v>
      </ns0:c>
      <ns0:c r="F83" s="3">
        <ns0:f>ROUND(F283*F403,2)</ns0:f>
        <ns0:v>100.29</ns0:v>
      </ns0:c>
      <ns0:c r="G83" s="3">
        <ns0:f>ROUND(G283*G403,2)</ns0:f>
        <ns0:v>328.44</ns0:v>
      </ns0:c>
      <ns0:c r="H83" s="3">
        <ns0:f>ROUND(H283*H403,2)</ns0:f>
        <ns0:v>192.70</ns0:v>
      </ns0:c>
      <ns0:c r="I83" s="3">
        <ns0:f>ROUND(I283*I403,2)</ns0:f>
        <ns0:v>132.61</ns0:v>
      </ns0:c>
      <ns0:c r="J83" s="3">
        <ns0:f>ROUND(J283*J403,2)</ns0:f>
        <ns0:v>224.20</ns0:v>
      </ns0:c>
      <ns0:c r="K83" s="3">
        <ns0:f>ROUND(K283*K403,2)</ns0:f>
        <ns0:v>112.89</ns0:v>
      </ns0:c>
      <ns0:c r="L83" s="3">
        <ns0:f>ROUND(L283*L403,2)</ns0:f>
        <ns0:v>350.03</ns0:v>
      </ns0:c>
      <ns0:c r="M83" s="3">
        <ns0:f>ROUND(M283*M403,2)</ns0:f>
        <ns0:v>238.67</ns0:v>
      </ns0:c>
      <ns0:c r="N83" s="3">
        <ns0:f>ROUND(N283*N403,2)</ns0:f>
        <ns0:v>176.92</ns0:v>
      </ns0:c>
      <ns0:c r="O83" s="3">
        <ns0:f>SUM(C83:N83)</ns0:f>
        <ns0:v>2720.18</ns0:v>
      </ns0:c>
      <ns0:c r="P83" s="2" t="inlineStr">
        <ns0:is>
          <ns0:t>EXP1.023</ns0:t>
        </ns0:is>
      </ns0:c>
      <ns0:c r="Q83" s="2" t="inlineStr">
        <ns0:is>
          <ns0:t>演示占位-v1</ns0:t>
        </ns0:is>
      </ns0:c>
      <ns0:c r="R83" s="2" t="inlineStr">
        <ns0:is>
          <ns0:t>模拟权责发生制</ns0:t>
        </ns0:is>
      </ns0:c>
      <ns0:c r="S83" s="2" t="inlineStr">
        <ns0:is>
          <ns0:t>2027-01</ns0:t>
        </ns0:is>
      </ns0:c>
      <ns0:c r="T83" s="2" t="inlineStr">
        <ns0:is>
          <ns0:t>2027-06</ns0:t>
        </ns0:is>
      </ns0:c>
      <ns0:c r="U83" s="2" t="inlineStr">
        <ns0:is>
          <ns0:t>无</ns0:t>
        </ns0:is>
      </ns0:c>
      <ns0:c r="V83" s="2" t="inlineStr">
        <ns0:is>
          <ns0:t>无</ns0:t>
        </ns0:is>
      </ns0:c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 t="inlineStr">
        <ns0:is>
          <ns0:t>差旅补贴</ns0:t>
        </ns0:is>
      </ns0:c>
      <ns0:c r="C84" s="3">
        <ns0:f>ROUND(C284*C404,2)</ns0:f>
        <ns0:v>334.32</ns0:v>
      </ns0:c>
      <ns0:c r="D84" s="3">
        <ns0:f>ROUND(D284*D404,2)</ns0:f>
        <ns0:v>70.90</ns0:v>
      </ns0:c>
      <ns0:c r="E84" s="3">
        <ns0:f>ROUND(E284*E404,2)</ns0:f>
        <ns0:v>84.09</ns0:v>
      </ns0:c>
      <ns0:c r="F84" s="3">
        <ns0:f>ROUND(F284*F404,2)</ns0:f>
        <ns0:v>43.42</ns0:v>
      </ns0:c>
      <ns0:c r="G84" s="3">
        <ns0:f>ROUND(G284*G404,2)</ns0:f>
        <ns0:v>465.10</ns0:v>
      </ns0:c>
      <ns0:c r="H84" s="3">
        <ns0:f>ROUND(H284*H404,2)</ns0:f>
        <ns0:v>204.64</ns0:v>
      </ns0:c>
      <ns0:c r="I84" s="3">
        <ns0:f>ROUND(I284*I404,2)</ns0:f>
        <ns0:v>111.40</ns0:v>
      </ns0:c>
      <ns0:c r="J84" s="3">
        <ns0:f>ROUND(J284*J404,2)</ns0:f>
        <ns0:v>299.98</ns0:v>
      </ns0:c>
      <ns0:c r="K84" s="3">
        <ns0:f>ROUND(K284*K404,2)</ns0:f>
        <ns0:v>373.84</ns0:v>
      </ns0:c>
      <ns0:c r="L84" s="3">
        <ns0:f>ROUND(L284*L404,2)</ns0:f>
        <ns0:v>113.05</ns0:v>
      </ns0:c>
      <ns0:c r="M84" s="3">
        <ns0:f>ROUND(M284*M404,2)</ns0:f>
        <ns0:v>154.29</ns0:v>
      </ns0:c>
      <ns0:c r="N84" s="3">
        <ns0:f>ROUND(N284*N404,2)</ns0:f>
        <ns0:v>274.84</ns0:v>
      </ns0:c>
      <ns0:c r="O84" s="3">
        <ns0:f>SUM(C84:N84)</ns0:f>
        <ns0:v>2529.87</ns0:v>
      </ns0:c>
      <ns0:c r="P84" s="2" t="inlineStr">
        <ns0:is>
          <ns0:t>EXP1.024</ns0:t>
        </ns0:is>
      </ns0:c>
      <ns0:c r="Q84" s="2" t="inlineStr">
        <ns0:is>
          <ns0:t>演示占位-v1</ns0:t>
        </ns0:is>
      </ns0:c>
      <ns0:c r="R84" s="2" t="inlineStr">
        <ns0:is>
          <ns0:t>模拟权责发生制</ns0:t>
        </ns0:is>
      </ns0:c>
      <ns0:c r="S84" s="2" t="inlineStr">
        <ns0:is>
          <ns0:t>2027-01</ns0:t>
        </ns0:is>
      </ns0:c>
      <ns0:c r="T84" s="2" t="inlineStr">
        <ns0:is>
          <ns0:t>2027-06</ns0:t>
        </ns0:is>
      </ns0:c>
      <ns0:c r="U84" s="2" t="inlineStr">
        <ns0:is>
          <ns0:t>无</ns0:t>
        </ns0:is>
      </ns0:c>
      <ns0:c r="V84" s="2" t="inlineStr">
        <ns0:is>
          <ns0:t>无</ns0:t>
        </ns0:is>
      </ns0:c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 t="inlineStr">
        <ns0:is>
          <ns0:t>业务招待费</ns0:t>
        </ns0:is>
      </ns0:c>
      <ns0:c r="C85" s="3">
        <ns0:f>ROUND(C285*C405,2)</ns0:f>
        <ns0:v>445.34</ns0:v>
      </ns0:c>
      <ns0:c r="D85" s="3">
        <ns0:f>ROUND(D285*D405,2)</ns0:f>
        <ns0:v>303.46</ns0:v>
      </ns0:c>
      <ns0:c r="E85" s="3">
        <ns0:f>ROUND(E285*E405,2)</ns0:f>
        <ns0:v>418.43</ns0:v>
      </ns0:c>
      <ns0:c r="F85" s="3">
        <ns0:f>ROUND(F285*F405,2)</ns0:f>
        <ns0:v>252.18</ns0:v>
      </ns0:c>
      <ns0:c r="G85" s="3">
        <ns0:f>ROUND(G285*G405,2)</ns0:f>
        <ns0:v>449.16</ns0:v>
      </ns0:c>
      <ns0:c r="H85" s="3">
        <ns0:f>ROUND(H285*H405,2)</ns0:f>
        <ns0:v>154.77</ns0:v>
      </ns0:c>
      <ns0:c r="I85" s="3">
        <ns0:f>ROUND(I285*I405,2)</ns0:f>
        <ns0:v>211.06</ns0:v>
      </ns0:c>
      <ns0:c r="J85" s="3">
        <ns0:f>ROUND(J285*J405,2)</ns0:f>
        <ns0:v>161.47</ns0:v>
      </ns0:c>
      <ns0:c r="K85" s="3">
        <ns0:f>ROUND(K285*K405,2)</ns0:f>
        <ns0:v>346.70</ns0:v>
      </ns0:c>
      <ns0:c r="L85" s="3">
        <ns0:f>ROUND(L285*L405,2)</ns0:f>
        <ns0:v>75.49</ns0:v>
      </ns0:c>
      <ns0:c r="M85" s="3">
        <ns0:f>ROUND(M285*M405,2)</ns0:f>
        <ns0:v>287.08</ns0:v>
      </ns0:c>
      <ns0:c r="N85" s="3">
        <ns0:f>ROUND(N285*N405,2)</ns0:f>
        <ns0:v>470.47</ns0:v>
      </ns0:c>
      <ns0:c r="O85" s="3">
        <ns0:f>SUM(C85:N85)</ns0:f>
        <ns0:v>3575.61</ns0:v>
      </ns0:c>
      <ns0:c r="P85" s="2" t="inlineStr">
        <ns0:is>
          <ns0:t>EXP1.025</ns0:t>
        </ns0:is>
      </ns0:c>
      <ns0:c r="Q85" s="2" t="inlineStr">
        <ns0:is>
          <ns0:t>演示占位-v1</ns0:t>
        </ns0:is>
      </ns0:c>
      <ns0:c r="R85" s="2" t="inlineStr">
        <ns0:is>
          <ns0:t>模拟权责发生制</ns0:t>
        </ns0:is>
      </ns0:c>
      <ns0:c r="S85" s="2" t="inlineStr">
        <ns0:is>
          <ns0:t>2027-01</ns0:t>
        </ns0:is>
      </ns0:c>
      <ns0:c r="T85" s="2" t="inlineStr">
        <ns0:is>
          <ns0:t>2027-06</ns0:t>
        </ns0:is>
      </ns0:c>
      <ns0:c r="U85" s="2" t="inlineStr">
        <ns0:is>
          <ns0:t>无</ns0:t>
        </ns0:is>
      </ns0:c>
      <ns0:c r="V85" s="2" t="inlineStr">
        <ns0:is>
          <ns0:t>无</ns0:t>
        </ns0:is>
      </ns0:c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 t="inlineStr">
        <ns0:is>
          <ns0:t>市内交通费</ns0:t>
        </ns0:is>
      </ns0:c>
      <ns0:c r="C86" s="3">
        <ns0:f>ROUND(C286*C406,2)</ns0:f>
        <ns0:v>415.87</ns0:v>
      </ns0:c>
      <ns0:c r="D86" s="3">
        <ns0:f>ROUND(D286*D406,2)</ns0:f>
        <ns0:v>238.72</ns0:v>
      </ns0:c>
      <ns0:c r="E86" s="3">
        <ns0:f>ROUND(E286*E406,2)</ns0:f>
        <ns0:v>140.24</ns0:v>
      </ns0:c>
      <ns0:c r="F86" s="3">
        <ns0:f>ROUND(F286*F406,2)</ns0:f>
        <ns0:v>125.40</ns0:v>
      </ns0:c>
      <ns0:c r="G86" s="3">
        <ns0:f>ROUND(G286*G406,2)</ns0:f>
        <ns0:v>243.34</ns0:v>
      </ns0:c>
      <ns0:c r="H86" s="3">
        <ns0:f>ROUND(H286*H406,2)</ns0:f>
        <ns0:v>155.82</ns0:v>
      </ns0:c>
      <ns0:c r="I86" s="3">
        <ns0:f>ROUND(I286*I406,2)</ns0:f>
        <ns0:v>107.27</ns0:v>
      </ns0:c>
      <ns0:c r="J86" s="3">
        <ns0:f>ROUND(J286*J406,2)</ns0:f>
        <ns0:v>189.51</ns0:v>
      </ns0:c>
      <ns0:c r="K86" s="3">
        <ns0:f>ROUND(K286*K406,2)</ns0:f>
        <ns0:v>501.31</ns0:v>
      </ns0:c>
      <ns0:c r="L86" s="3">
        <ns0:f>ROUND(L286*L406,2)</ns0:f>
        <ns0:v>211.70</ns0:v>
      </ns0:c>
      <ns0:c r="M86" s="3">
        <ns0:f>ROUND(M286*M406,2)</ns0:f>
        <ns0:v>448.65</ns0:v>
      </ns0:c>
      <ns0:c r="N86" s="3">
        <ns0:f>ROUND(N286*N406,2)</ns0:f>
        <ns0:v>105.53</ns0:v>
      </ns0:c>
      <ns0:c r="O86" s="3">
        <ns0:f>SUM(C86:N86)</ns0:f>
        <ns0:v>2883.36</ns0:v>
      </ns0:c>
      <ns0:c r="P86" s="2" t="inlineStr">
        <ns0:is>
          <ns0:t>EXP1.026</ns0:t>
        </ns0:is>
      </ns0:c>
      <ns0:c r="Q86" s="2" t="inlineStr">
        <ns0:is>
          <ns0:t>演示占位-v1</ns0:t>
        </ns0:is>
      </ns0:c>
      <ns0:c r="R86" s="2" t="inlineStr">
        <ns0:is>
          <ns0:t>模拟权责发生制</ns0:t>
        </ns0:is>
      </ns0:c>
      <ns0:c r="S86" s="2" t="inlineStr">
        <ns0:is>
          <ns0:t>2027-01</ns0:t>
        </ns0:is>
      </ns0:c>
      <ns0:c r="T86" s="2" t="inlineStr">
        <ns0:is>
          <ns0:t>2027-06</ns0:t>
        </ns0:is>
      </ns0:c>
      <ns0:c r="U86" s="2" t="inlineStr">
        <ns0:is>
          <ns0:t>无</ns0:t>
        </ns0:is>
      </ns0:c>
      <ns0:c r="V86" s="2" t="inlineStr">
        <ns0:is>
          <ns0:t>无</ns0:t>
        </ns0:is>
      </ns0:c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 t="inlineStr">
        <ns0:is>
          <ns0:t>调研费用</ns0:t>
        </ns0:is>
      </ns0:c>
      <ns0:c r="C87" s="3">
        <ns0:f>ROUND(C287*C407,2)</ns0:f>
        <ns0:v>243.72</ns0:v>
      </ns0:c>
      <ns0:c r="D87" s="3">
        <ns0:f>ROUND(D287*D407,2)</ns0:f>
        <ns0:v>95.90</ns0:v>
      </ns0:c>
      <ns0:c r="E87" s="3">
        <ns0:f>ROUND(E287*E407,2)</ns0:f>
        <ns0:v>185.40</ns0:v>
      </ns0:c>
      <ns0:c r="F87" s="3">
        <ns0:f>ROUND(F287*F407,2)</ns0:f>
        <ns0:v>128.66</ns0:v>
      </ns0:c>
      <ns0:c r="G87" s="3">
        <ns0:f>ROUND(G287*G407,2)</ns0:f>
        <ns0:v>222.65</ns0:v>
      </ns0:c>
      <ns0:c r="H87" s="3">
        <ns0:f>ROUND(H287*H407,2)</ns0:f>
        <ns0:v>198.88</ns0:v>
      </ns0:c>
      <ns0:c r="I87" s="3">
        <ns0:f>ROUND(I287*I407,2)</ns0:f>
        <ns0:v>186.43</ns0:v>
      </ns0:c>
      <ns0:c r="J87" s="3">
        <ns0:f>ROUND(J287*J407,2)</ns0:f>
        <ns0:v>100.93</ns0:v>
      </ns0:c>
      <ns0:c r="K87" s="3">
        <ns0:f>ROUND(K287*K407,2)</ns0:f>
        <ns0:v>216.05</ns0:v>
      </ns0:c>
      <ns0:c r="L87" s="3">
        <ns0:f>ROUND(L287*L407,2)</ns0:f>
        <ns0:v>160.45</ns0:v>
      </ns0:c>
      <ns0:c r="M87" s="3">
        <ns0:f>ROUND(M287*M407,2)</ns0:f>
        <ns0:v>420.53</ns0:v>
      </ns0:c>
      <ns0:c r="N87" s="3">
        <ns0:f>ROUND(N287*N407,2)</ns0:f>
        <ns0:v>273.69</ns0:v>
      </ns0:c>
      <ns0:c r="O87" s="3">
        <ns0:f>SUM(C87:N87)</ns0:f>
        <ns0:v>2433.29</ns0:v>
      </ns0:c>
      <ns0:c r="P87" s="2" t="inlineStr">
        <ns0:is>
          <ns0:t>EXP1.027</ns0:t>
        </ns0:is>
      </ns0:c>
      <ns0:c r="Q87" s="2" t="inlineStr">
        <ns0:is>
          <ns0:t>演示占位-v1</ns0:t>
        </ns0:is>
      </ns0:c>
      <ns0:c r="R87" s="2" t="inlineStr">
        <ns0:is>
          <ns0:t>模拟权责发生制</ns0:t>
        </ns0:is>
      </ns0:c>
      <ns0:c r="S87" s="2" t="inlineStr">
        <ns0:is>
          <ns0:t>2027-01</ns0:t>
        </ns0:is>
      </ns0:c>
      <ns0:c r="T87" s="2" t="inlineStr">
        <ns0:is>
          <ns0:t>2027-06</ns0:t>
        </ns0:is>
      </ns0:c>
      <ns0:c r="U87" s="2" t="inlineStr">
        <ns0:is>
          <ns0:t>无</ns0:t>
        </ns0:is>
      </ns0:c>
      <ns0:c r="V87" s="2" t="inlineStr">
        <ns0:is>
          <ns0:t>无</ns0:t>
        </ns0:is>
      </ns0:c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 t="inlineStr">
        <ns0:is>
          <ns0:t>手续费</ns0:t>
        </ns0:is>
      </ns0:c>
      <ns0:c r="C88" s="3">
        <ns0:f>ROUND(C288*C408,2)</ns0:f>
        <ns0:v>324.74</ns0:v>
      </ns0:c>
      <ns0:c r="D88" s="3">
        <ns0:f>ROUND(D288*D408,2)</ns0:f>
        <ns0:v>40.77</ns0:v>
      </ns0:c>
      <ns0:c r="E88" s="3">
        <ns0:f>ROUND(E288*E408,2)</ns0:f>
        <ns0:v>140.87</ns0:v>
      </ns0:c>
      <ns0:c r="F88" s="3">
        <ns0:f>ROUND(F288*F408,2)</ns0:f>
        <ns0:v>129.98</ns0:v>
      </ns0:c>
      <ns0:c r="G88" s="3">
        <ns0:f>ROUND(G288*G408,2)</ns0:f>
        <ns0:v>397.37</ns0:v>
      </ns0:c>
      <ns0:c r="H88" s="3">
        <ns0:f>ROUND(H288*H408,2)</ns0:f>
        <ns0:v>221.13</ns0:v>
      </ns0:c>
      <ns0:c r="I88" s="3">
        <ns0:f>ROUND(I288*I408,2)</ns0:f>
        <ns0:v>247.99</ns0:v>
      </ns0:c>
      <ns0:c r="J88" s="3">
        <ns0:f>ROUND(J288*J408,2)</ns0:f>
        <ns0:v>384.84</ns0:v>
      </ns0:c>
      <ns0:c r="K88" s="3">
        <ns0:f>ROUND(K288*K408,2)</ns0:f>
        <ns0:v>247.93</ns0:v>
      </ns0:c>
      <ns0:c r="L88" s="3">
        <ns0:f>ROUND(L288*L408,2)</ns0:f>
        <ns0:v>65.62</ns0:v>
      </ns0:c>
      <ns0:c r="M88" s="3">
        <ns0:f>ROUND(M288*M408,2)</ns0:f>
        <ns0:v>104.63</ns0:v>
      </ns0:c>
      <ns0:c r="N88" s="3">
        <ns0:f>ROUND(N288*N408,2)</ns0:f>
        <ns0:v>196.35</ns0:v>
      </ns0:c>
      <ns0:c r="O88" s="3">
        <ns0:f>SUM(C88:N88)</ns0:f>
        <ns0:v>2502.22</ns0:v>
      </ns0:c>
      <ns0:c r="P88" s="2" t="inlineStr">
        <ns0:is>
          <ns0:t>EXP1.028</ns0:t>
        </ns0:is>
      </ns0:c>
      <ns0:c r="Q88" s="2" t="inlineStr">
        <ns0:is>
          <ns0:t>演示占位-v1</ns0:t>
        </ns0:is>
      </ns0:c>
      <ns0:c r="R88" s="2" t="inlineStr">
        <ns0:is>
          <ns0:t>模拟权责发生制</ns0:t>
        </ns0:is>
      </ns0:c>
      <ns0:c r="S88" s="2" t="inlineStr">
        <ns0:is>
          <ns0:t>2027-01</ns0:t>
        </ns0:is>
      </ns0:c>
      <ns0:c r="T88" s="2" t="inlineStr">
        <ns0:is>
          <ns0:t>2027-06</ns0:t>
        </ns0:is>
      </ns0:c>
      <ns0:c r="U88" s="2" t="inlineStr">
        <ns0:is>
          <ns0:t>无</ns0:t>
        </ns0:is>
      </ns0:c>
      <ns0:c r="V88" s="2" t="inlineStr">
        <ns0:is>
          <ns0:t>无</ns0:t>
        </ns0:is>
      </ns0:c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 t="inlineStr">
        <ns0:is>
          <ns0:t>利息收入</ns0:t>
        </ns0:is>
      </ns0:c>
      <ns0:c r="C89" s="3">
        <ns0:f>0</ns0:f>
        <ns0:v>0</ns0:v>
      </ns0:c>
      <ns0:c r="D89" s="3">
        <ns0:f>0</ns0:f>
        <ns0:v>0</ns0:v>
      </ns0:c>
      <ns0:c r="E89" s="3">
        <ns0:f>0</ns0:f>
        <ns0:v>0</ns0:v>
      </ns0:c>
      <ns0:c r="F89" s="3">
        <ns0:f>0</ns0:f>
        <ns0:v>0</ns0:v>
      </ns0:c>
      <ns0:c r="G89" s="3">
        <ns0:f>0</ns0:f>
        <ns0:v>0</ns0:v>
      </ns0:c>
      <ns0:c r="H89" s="3">
        <ns0:f>0</ns0:f>
        <ns0:v>0</ns0:v>
      </ns0:c>
      <ns0:c r="I89" s="3">
        <ns0:f>0</ns0:f>
        <ns0:v>0</ns0:v>
      </ns0:c>
      <ns0:c r="J89" s="3">
        <ns0:f>0</ns0:f>
        <ns0:v>0</ns0:v>
      </ns0:c>
      <ns0:c r="K89" s="3">
        <ns0:f>0</ns0:f>
        <ns0:v>0</ns0:v>
      </ns0:c>
      <ns0:c r="L89" s="3">
        <ns0:f>0</ns0:f>
        <ns0:v>0</ns0:v>
      </ns0:c>
      <ns0:c r="M89" s="3">
        <ns0:f>0</ns0:f>
        <ns0:v>0</ns0:v>
      </ns0:c>
      <ns0:c r="N89" s="3">
        <ns0:f>0</ns0:f>
        <ns0:v>0</ns0:v>
      </ns0:c>
      <ns0:c r="O89" s="3">
        <ns0:f>SUM(C89:N89)</ns0:f>
        <ns0:v>0</ns0:v>
      </ns0:c>
      <ns0:c r="P89" s="2" t="inlineStr">
        <ns0:is>
          <ns0:t>EXP1.029</ns0:t>
        </ns0:is>
      </ns0:c>
      <ns0:c r="Q89" s="2" t="inlineStr">
        <ns0:is>
          <ns0:t>演示占位-v1</ns0:t>
        </ns0:is>
      </ns0:c>
      <ns0:c r="R89" s="2" t="inlineStr">
        <ns0:is>
          <ns0:t>模拟权责发生制</ns0:t>
        </ns0:is>
      </ns0:c>
      <ns0:c r="S89" s="2" t="inlineStr">
        <ns0:is>
          <ns0:t>2027-01</ns0:t>
        </ns0:is>
      </ns0:c>
      <ns0:c r="T89" s="2" t="inlineStr">
        <ns0:is>
          <ns0:t>2027-06</ns0:t>
        </ns0:is>
      </ns0:c>
      <ns0:c r="U89" s="2" t="inlineStr">
        <ns0:is>
          <ns0:t>无</ns0:t>
        </ns0:is>
      </ns0:c>
      <ns0:c r="V89" s="2" t="inlineStr">
        <ns0:is>
          <ns0:t>无</ns0:t>
        </ns0:is>
      </ns0:c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 t="inlineStr">
        <ns0:is>
          <ns0:t>利息支出</ns0:t>
        </ns0:is>
      </ns0:c>
      <ns0:c r="C90" s="6">
        <ns0:f>ROUND(C290*C410,2)</ns0:f>
        <ns0:v>456.88</ns0:v>
      </ns0:c>
      <ns0:c r="D90" s="6">
        <ns0:f>ROUND(D290*D410,2)</ns0:f>
        <ns0:v>164.20</ns0:v>
      </ns0:c>
      <ns0:c r="E90" s="6">
        <ns0:f>ROUND(E290*E410,2)</ns0:f>
        <ns0:v>136.40</ns0:v>
      </ns0:c>
      <ns0:c r="F90" s="6">
        <ns0:f>ROUND(F290*F410,2)</ns0:f>
        <ns0:v>236.29</ns0:v>
      </ns0:c>
      <ns0:c r="G90" s="6">
        <ns0:f>ROUND(G290*G410,2)</ns0:f>
        <ns0:v>684.34</ns0:v>
      </ns0:c>
      <ns0:c r="H90" s="6">
        <ns0:f>ROUND(H290*H410,2)</ns0:f>
        <ns0:v>257.59</ns0:v>
      </ns0:c>
      <ns0:c r="I90" s="6">
        <ns0:f>ROUND(I290*I410,2)</ns0:f>
        <ns0:v>269.06</ns0:v>
      </ns0:c>
      <ns0:c r="J90" s="6">
        <ns0:f>ROUND(J290*J410,2)</ns0:f>
        <ns0:v>209.05</ns0:v>
      </ns0:c>
      <ns0:c r="K90" s="6">
        <ns0:f>ROUND(K290*K410,2)</ns0:f>
        <ns0:v>246.94</ns0:v>
      </ns0:c>
      <ns0:c r="L90" s="6">
        <ns0:f>ROUND(L290*L410,2)</ns0:f>
        <ns0:v>97.30</ns0:v>
      </ns0:c>
      <ns0:c r="M90" s="6">
        <ns0:f>ROUND(M290*M410,2)</ns0:f>
        <ns0:v>521.81</ns0:v>
      </ns0:c>
      <ns0:c r="N90" s="6">
        <ns0:f>ROUND(N290*N410,2)</ns0:f>
        <ns0:v>171.55</ns0:v>
      </ns0:c>
      <ns0:c r="O90" s="6">
        <ns0:f>SUM(C90:N90)</ns0:f>
        <ns0:v>3451.41</ns0:v>
      </ns0:c>
      <ns0:c r="P90" s="2" t="inlineStr">
        <ns0:is>
          <ns0:t>EXP1.030</ns0:t>
        </ns0:is>
      </ns0:c>
      <ns0:c r="Q90" s="2" t="inlineStr">
        <ns0:is>
          <ns0:t>演示占位-v1</ns0:t>
        </ns0:is>
      </ns0:c>
      <ns0:c r="R90" s="2" t="inlineStr">
        <ns0:is>
          <ns0:t>模拟权责发生制</ns0:t>
        </ns0:is>
      </ns0:c>
      <ns0:c r="S90" s="2" t="inlineStr">
        <ns0:is>
          <ns0:t>2027-01</ns0:t>
        </ns0:is>
      </ns0:c>
      <ns0:c r="T90" s="2" t="inlineStr">
        <ns0:is>
          <ns0:t>2027-06</ns0:t>
        </ns0:is>
      </ns0:c>
      <ns0:c r="U90" s="2" t="inlineStr">
        <ns0:is>
          <ns0:t>无</ns0:t>
        </ns0:is>
      </ns0:c>
      <ns0:c r="V90" s="2" t="inlineStr">
        <ns0:is>
          <ns0:t>无</ns0:t>
        </ns0:is>
      </ns0:c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 t="inlineStr">
        <ns0:is>
          <ns0:t>车船税</ns0:t>
        </ns0:is>
      </ns0:c>
      <ns0:c r="C91" s="3">
        <ns0:f>ROUND(C291*C411,2)</ns0:f>
        <ns0:v>405.61</ns0:v>
      </ns0:c>
      <ns0:c r="D91" s="3">
        <ns0:f>ROUND(D291*D411,2)</ns0:f>
        <ns0:v>253.89</ns0:v>
      </ns0:c>
      <ns0:c r="E91" s="3">
        <ns0:f>ROUND(E291*E411,2)</ns0:f>
        <ns0:v>500.11</ns0:v>
      </ns0:c>
      <ns0:c r="F91" s="3">
        <ns0:f>ROUND(F291*F411,2)</ns0:f>
        <ns0:v>453.95</ns0:v>
      </ns0:c>
      <ns0:c r="G91" s="3">
        <ns0:f>ROUND(G291*G411,2)</ns0:f>
        <ns0:v>400.31</ns0:v>
      </ns0:c>
      <ns0:c r="H91" s="3">
        <ns0:f>ROUND(H291*H411,2)</ns0:f>
        <ns0:v>365.52</ns0:v>
      </ns0:c>
      <ns0:c r="I91" s="3">
        <ns0:f>ROUND(I291*I411,2)</ns0:f>
        <ns0:v>131.69</ns0:v>
      </ns0:c>
      <ns0:c r="J91" s="3">
        <ns0:f>ROUND(J291*J411,2)</ns0:f>
        <ns0:v>221.13</ns0:v>
      </ns0:c>
      <ns0:c r="K91" s="3">
        <ns0:f>ROUND(K291*K411,2)</ns0:f>
        <ns0:v>298.95</ns0:v>
      </ns0:c>
      <ns0:c r="L91" s="3">
        <ns0:f>ROUND(L291*L411,2)</ns0:f>
        <ns0:v>116.97</ns0:v>
      </ns0:c>
      <ns0:c r="M91" s="3">
        <ns0:f>ROUND(M291*M411,2)</ns0:f>
        <ns0:v>191.96</ns0:v>
      </ns0:c>
      <ns0:c r="N91" s="3">
        <ns0:f>ROUND(N291*N411,2)</ns0:f>
        <ns0:v>468.18</ns0:v>
      </ns0:c>
      <ns0:c r="O91" s="3">
        <ns0:f>SUM(C91:N91)</ns0:f>
        <ns0:v>3808.27</ns0:v>
      </ns0:c>
      <ns0:c r="P91" s="2" t="inlineStr">
        <ns0:is>
          <ns0:t>EXP1.031</ns0:t>
        </ns0:is>
      </ns0:c>
      <ns0:c r="Q91" s="2" t="inlineStr">
        <ns0:is>
          <ns0:t>演示占位-v1</ns0:t>
        </ns0:is>
      </ns0:c>
      <ns0:c r="R91" s="2" t="inlineStr">
        <ns0:is>
          <ns0:t>模拟权责发生制</ns0:t>
        </ns0:is>
      </ns0:c>
      <ns0:c r="S91" s="2" t="inlineStr">
        <ns0:is>
          <ns0:t>2027-01</ns0:t>
        </ns0:is>
      </ns0:c>
      <ns0:c r="T91" s="2" t="inlineStr">
        <ns0:is>
          <ns0:t>2027-06</ns0:t>
        </ns0:is>
      </ns0:c>
      <ns0:c r="U91" s="2" t="inlineStr">
        <ns0:is>
          <ns0:t>无</ns0:t>
        </ns0:is>
      </ns0:c>
      <ns0:c r="V91" s="2" t="inlineStr">
        <ns0:is>
          <ns0:t>无</ns0:t>
        </ns0:is>
      </ns0:c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 t="inlineStr">
        <ns0:is>
          <ns0:t>印花税</ns0:t>
        </ns0:is>
      </ns0:c>
      <ns0:c r="C92" s="3">
        <ns0:f>ROUND(C292*C412,2)</ns0:f>
        <ns0:v>154.60</ns0:v>
      </ns0:c>
      <ns0:c r="D92" s="3">
        <ns0:f>ROUND(D292*D412,2)</ns0:f>
        <ns0:v>165.96</ns0:v>
      </ns0:c>
      <ns0:c r="E92" s="3">
        <ns0:f>ROUND(E292*E412,2)</ns0:f>
        <ns0:v>275.12</ns0:v>
      </ns0:c>
      <ns0:c r="F92" s="3">
        <ns0:f>ROUND(F292*F412,2)</ns0:f>
        <ns0:v>470.51</ns0:v>
      </ns0:c>
      <ns0:c r="G92" s="3">
        <ns0:f>ROUND(G292*G412,2)</ns0:f>
        <ns0:v>271.11</ns0:v>
      </ns0:c>
      <ns0:c r="H92" s="3">
        <ns0:f>ROUND(H292*H412,2)</ns0:f>
        <ns0:v>336.75</ns0:v>
      </ns0:c>
      <ns0:c r="I92" s="3">
        <ns0:f>ROUND(I292*I412,2)</ns0:f>
        <ns0:v>324.89</ns0:v>
      </ns0:c>
      <ns0:c r="J92" s="3">
        <ns0:f>ROUND(J292*J412,2)</ns0:f>
        <ns0:v>140.42</ns0:v>
      </ns0:c>
      <ns0:c r="K92" s="3">
        <ns0:f>ROUND(K292*K412,2)</ns0:f>
        <ns0:v>285.06</ns0:v>
      </ns0:c>
      <ns0:c r="L92" s="3">
        <ns0:f>ROUND(L292*L412,2)</ns0:f>
        <ns0:v>139.30</ns0:v>
      </ns0:c>
      <ns0:c r="M92" s="3">
        <ns0:f>ROUND(M292*M412,2)</ns0:f>
        <ns0:v>173.48</ns0:v>
      </ns0:c>
      <ns0:c r="N92" s="3">
        <ns0:f>ROUND(N292*N412,2)</ns0:f>
        <ns0:v>352.39</ns0:v>
      </ns0:c>
      <ns0:c r="O92" s="3">
        <ns0:f>SUM(C92:N92)</ns0:f>
        <ns0:v>3089.59</ns0:v>
      </ns0:c>
      <ns0:c r="P92" s="2" t="inlineStr">
        <ns0:is>
          <ns0:t>EXP1.032</ns0:t>
        </ns0:is>
      </ns0:c>
      <ns0:c r="Q92" s="2" t="inlineStr">
        <ns0:is>
          <ns0:t>演示占位-v1</ns0:t>
        </ns0:is>
      </ns0:c>
      <ns0:c r="R92" s="2" t="inlineStr">
        <ns0:is>
          <ns0:t>模拟权责发生制</ns0:t>
        </ns0:is>
      </ns0:c>
      <ns0:c r="S92" s="2" t="inlineStr">
        <ns0:is>
          <ns0:t>2027-01</ns0:t>
        </ns0:is>
      </ns0:c>
      <ns0:c r="T92" s="2" t="inlineStr">
        <ns0:is>
          <ns0:t>2027-06</ns0:t>
        </ns0:is>
      </ns0:c>
      <ns0:c r="U92" s="2" t="inlineStr">
        <ns0:is>
          <ns0:t>无</ns0:t>
        </ns0:is>
      </ns0:c>
      <ns0:c r="V92" s="2" t="inlineStr">
        <ns0:is>
          <ns0:t>无</ns0:t>
        </ns0:is>
      </ns0:c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 t="inlineStr">
        <ns0:is>
          <ns0:t>其他</ns0:t>
        </ns0:is>
      </ns0:c>
      <ns0:c r="C93" s="3">
        <ns0:f>ROUND(C293*C413,2)</ns0:f>
        <ns0:v>98.17</ns0:v>
      </ns0:c>
      <ns0:c r="D93" s="3">
        <ns0:f>ROUND(D293*D413,2)</ns0:f>
        <ns0:v>158.90</ns0:v>
      </ns0:c>
      <ns0:c r="E93" s="3">
        <ns0:f>ROUND(E293*E413,2)</ns0:f>
        <ns0:v>123.99</ns0:v>
      </ns0:c>
      <ns0:c r="F93" s="3">
        <ns0:f>ROUND(F293*F413,2)</ns0:f>
        <ns0:v>137.72</ns0:v>
      </ns0:c>
      <ns0:c r="G93" s="3">
        <ns0:f>ROUND(G293*G413,2)</ns0:f>
        <ns0:v>76.62</ns0:v>
      </ns0:c>
      <ns0:c r="H93" s="3">
        <ns0:f>ROUND(H293*H413,2)</ns0:f>
        <ns0:v>232.06</ns0:v>
      </ns0:c>
      <ns0:c r="I93" s="3">
        <ns0:f>ROUND(I293*I413,2)</ns0:f>
        <ns0:v>402.38</ns0:v>
      </ns0:c>
      <ns0:c r="J93" s="3">
        <ns0:f>ROUND(J293*J413,2)</ns0:f>
        <ns0:v>229.92</ns0:v>
      </ns0:c>
      <ns0:c r="K93" s="3">
        <ns0:f>ROUND(K293*K413,2)</ns0:f>
        <ns0:v>83.63</ns0:v>
      </ns0:c>
      <ns0:c r="L93" s="3">
        <ns0:f>ROUND(L293*L413,2)</ns0:f>
        <ns0:v>291.20</ns0:v>
      </ns0:c>
      <ns0:c r="M93" s="3">
        <ns0:f>ROUND(M293*M413,2)</ns0:f>
        <ns0:v>258.62</ns0:v>
      </ns0:c>
      <ns0:c r="N93" s="3">
        <ns0:f>ROUND(N293*N413,2)</ns0:f>
        <ns0:v>370.68</ns0:v>
      </ns0:c>
      <ns0:c r="O93" s="3">
        <ns0:f>SUM(C93:N93)</ns0:f>
        <ns0:v>2463.89</ns0:v>
      </ns0:c>
      <ns0:c r="P93" s="2" t="inlineStr">
        <ns0:is>
          <ns0:t>EXP1.033</ns0:t>
        </ns0:is>
      </ns0:c>
      <ns0:c r="Q93" s="2" t="inlineStr">
        <ns0:is>
          <ns0:t>演示占位-v1</ns0:t>
        </ns0:is>
      </ns0:c>
      <ns0:c r="R93" s="2" t="inlineStr">
        <ns0:is>
          <ns0:t>模拟权责发生制</ns0:t>
        </ns0:is>
      </ns0:c>
      <ns0:c r="S93" s="2" t="inlineStr">
        <ns0:is>
          <ns0:t>2027-01</ns0:t>
        </ns0:is>
      </ns0:c>
      <ns0:c r="T93" s="2" t="inlineStr">
        <ns0:is>
          <ns0:t>2027-06</ns0:t>
        </ns0:is>
      </ns0:c>
      <ns0:c r="U93" s="2" t="inlineStr">
        <ns0:is>
          <ns0:t>无</ns0:t>
        </ns0:is>
      </ns0:c>
      <ns0:c r="V93" s="2" t="inlineStr">
        <ns0:is>
          <ns0:t>无</ns0:t>
        </ns0:is>
      </ns0:c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 t="inlineStr">
        <ns0:is>
          <ns0:t>合计</ns0:t>
        </ns0:is>
      </ns0:c>
      <ns0:c r="B94" s="2"/>
      <ns0:c r="C94" s="3">
        <ns0:f>SUM(C64:C93)</ns0:f>
        <ns0:v>8493.43</ns0:v>
      </ns0:c>
      <ns0:c r="D94" s="3">
        <ns0:f>SUM(D64:D93)</ns0:f>
        <ns0:v>6397.32</ns0:v>
      </ns0:c>
      <ns0:c r="E94" s="3">
        <ns0:f>SUM(E64:E93)</ns0:f>
        <ns0:v>6839.06</ns0:v>
      </ns0:c>
      <ns0:c r="F94" s="3">
        <ns0:f>SUM(F64:F93)</ns0:f>
        <ns0:v>7938.70</ns0:v>
      </ns0:c>
      <ns0:c r="G94" s="3">
        <ns0:f>SUM(G64:G93)</ns0:f>
        <ns0:v>8878.93</ns0:v>
      </ns0:c>
      <ns0:c r="H94" s="3">
        <ns0:f>SUM(H64:H93)</ns0:f>
        <ns0:v>6822.30</ns0:v>
      </ns0:c>
      <ns0:c r="I94" s="3">
        <ns0:f>SUM(I64:I93)</ns0:f>
        <ns0:v>6218.14</ns0:v>
      </ns0:c>
      <ns0:c r="J94" s="3">
        <ns0:f>SUM(J64:J93)</ns0:f>
        <ns0:v>7314.21</ns0:v>
      </ns0:c>
      <ns0:c r="K94" s="3">
        <ns0:f>SUM(K64:K93)</ns0:f>
        <ns0:v>7924.06</ns0:v>
      </ns0:c>
      <ns0:c r="L94" s="3">
        <ns0:f>SUM(L64:L93)</ns0:f>
        <ns0:v>6297.78</ns0:v>
      </ns0:c>
      <ns0:c r="M94" s="3">
        <ns0:f>SUM(M64:M93)</ns0:f>
        <ns0:v>7793.94</ns0:v>
      </ns0:c>
      <ns0:c r="N94" s="3">
        <ns0:f>SUM(N64:N93)</ns0:f>
        <ns0:v>8382.29</ns0:v>
      </ns0:c>
      <ns0:c r="O94" s="3">
        <ns0:f>SUM(C94:N94)</ns0:f>
        <ns0:v>89300.16</ns0:v>
      </ns0:c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 t="inlineStr">
        <ns0:is>
          <ns0:t>工资单价</ns0:t>
        </ns0:is>
      </ns0:c>
      <ns0:c r="C204" s="4">
        <ns0:v>19.86</ns0:v>
      </ns0:c>
      <ns0:c r="D204" s="4">
        <ns0:v>25.78</ns0:v>
      </ns0:c>
      <ns0:c r="E204" s="4">
        <ns0:v>63.17</ns0:v>
      </ns0:c>
      <ns0:c r="F204" s="4">
        <ns0:v>22.96</ns0:v>
      </ns0:c>
      <ns0:c r="G204" s="4">
        <ns0:v>41.64</ns0:v>
      </ns0:c>
      <ns0:c r="H204" s="4">
        <ns0:v>26.57</ns0:v>
      </ns0:c>
      <ns0:c r="I204" s="4">
        <ns0:v>72.37</ns0:v>
      </ns0:c>
      <ns0:c r="J204" s="4">
        <ns0:v>55.66</ns0:v>
      </ns0:c>
      <ns0:c r="K204" s="4">
        <ns0:v>39.12</ns0:v>
      </ns0:c>
      <ns0:c r="L204" s="4">
        <ns0:v>40.40</ns0:v>
      </ns0:c>
      <ns0:c r="M204" s="4">
        <ns0:v>30.68</ns0:v>
      </ns0:c>
      <ns0:c r="N204" s="4">
        <ns0:v>18.48</ns0:v>
      </ns0:c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 t="inlineStr">
        <ns0:is>
          <ns0:t>十三薪单价</ns0:t>
        </ns0:is>
      </ns0:c>
      <ns0:c r="C205" s="4">
        <ns0:v>41.50</ns0:v>
      </ns0:c>
      <ns0:c r="D205" s="4">
        <ns0:v>23.06</ns0:v>
      </ns0:c>
      <ns0:c r="E205" s="4">
        <ns0:v>42.18</ns0:v>
      </ns0:c>
      <ns0:c r="F205" s="4">
        <ns0:v>39.88</ns0:v>
      </ns0:c>
      <ns0:c r="G205" s="4">
        <ns0:v>50.38</ns0:v>
      </ns0:c>
      <ns0:c r="H205" s="4">
        <ns0:v>35.54</ns0:v>
      </ns0:c>
      <ns0:c r="I205" s="4">
        <ns0:v>44.90</ns0:v>
      </ns0:c>
      <ns0:c r="J205" s="4">
        <ns0:v>26.48</ns0:v>
      </ns0:c>
      <ns0:c r="K205" s="4">
        <ns0:v>59.69</ns0:v>
      </ns0:c>
      <ns0:c r="L205" s="4">
        <ns0:v>52.02</ns0:v>
      </ns0:c>
      <ns0:c r="M205" s="4">
        <ns0:v>53.83</ns0:v>
      </ns0:c>
      <ns0:c r="N205" s="4">
        <ns0:v>48.08</ns0:v>
      </ns0:c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 t="inlineStr">
        <ns0:is>
          <ns0:t>离职补偿金单价</ns0:t>
        </ns0:is>
      </ns0:c>
      <ns0:c r="C206" s="4">
        <ns0:v>37.86</ns0:v>
      </ns0:c>
      <ns0:c r="D206" s="4">
        <ns0:v>24.07</ns0:v>
      </ns0:c>
      <ns0:c r="E206" s="4">
        <ns0:v>23.29</ns0:v>
      </ns0:c>
      <ns0:c r="F206" s="4">
        <ns0:v>28.32</ns0:v>
      </ns0:c>
      <ns0:c r="G206" s="4">
        <ns0:v>62.54</ns0:v>
      </ns0:c>
      <ns0:c r="H206" s="4">
        <ns0:v>16.09</ns0:v>
      </ns0:c>
      <ns0:c r="I206" s="4">
        <ns0:v>36.36</ns0:v>
      </ns0:c>
      <ns0:c r="J206" s="4">
        <ns0:v>50.64</ns0:v>
      </ns0:c>
      <ns0:c r="K206" s="4">
        <ns0:v>30.10</ns0:v>
      </ns0:c>
      <ns0:c r="L206" s="4">
        <ns0:v>22.85</ns0:v>
      </ns0:c>
      <ns0:c r="M206" s="4">
        <ns0:v>31.30</ns0:v>
      </ns0:c>
      <ns0:c r="N206" s="4">
        <ns0:v>31.03</ns0:v>
      </ns0:c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 t="inlineStr">
        <ns0:is>
          <ns0:t>五险一金单价</ns0:t>
        </ns0:is>
      </ns0:c>
      <ns0:c r="C207" s="4">
        <ns0:v>45.39</ns0:v>
      </ns0:c>
      <ns0:c r="D207" s="4">
        <ns0:v>42.45</ns0:v>
      </ns0:c>
      <ns0:c r="E207" s="4">
        <ns0:v>60.09</ns0:v>
      </ns0:c>
      <ns0:c r="F207" s="4">
        <ns0:v>32.60</ns0:v>
      </ns0:c>
      <ns0:c r="G207" s="4">
        <ns0:v>72.29</ns0:v>
      </ns0:c>
      <ns0:c r="H207" s="4">
        <ns0:v>21.31</ns0:v>
      </ns0:c>
      <ns0:c r="I207" s="4">
        <ns0:v>62.17</ns0:v>
      </ns0:c>
      <ns0:c r="J207" s="4">
        <ns0:v>49.40</ns0:v>
      </ns0:c>
      <ns0:c r="K207" s="4">
        <ns0:v>20.06</ns0:v>
      </ns0:c>
      <ns0:c r="L207" s="4">
        <ns0:v>25.40</ns0:v>
      </ns0:c>
      <ns0:c r="M207" s="4">
        <ns0:v>46.36</ns0:v>
      </ns0:c>
      <ns0:c r="N207" s="4">
        <ns0:v>41.15</ns0:v>
      </ns0:c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 t="inlineStr">
        <ns0:is>
          <ns0:t>福利费单价</ns0:t>
        </ns0:is>
      </ns0:c>
      <ns0:c r="C208" s="4">
        <ns0:v>53.71</ns0:v>
      </ns0:c>
      <ns0:c r="D208" s="4">
        <ns0:v>65.88</ns0:v>
      </ns0:c>
      <ns0:c r="E208" s="4">
        <ns0:v>26.95</ns0:v>
      </ns0:c>
      <ns0:c r="F208" s="4">
        <ns0:v>53.03</ns0:v>
      </ns0:c>
      <ns0:c r="G208" s="4">
        <ns0:v>29.57</ns0:v>
      </ns0:c>
      <ns0:c r="H208" s="4">
        <ns0:v>33.66</ns0:v>
      </ns0:c>
      <ns0:c r="I208" s="4">
        <ns0:v>22.19</ns0:v>
      </ns0:c>
      <ns0:c r="J208" s="4">
        <ns0:v>50.43</ns0:v>
      </ns0:c>
      <ns0:c r="K208" s="4">
        <ns0:v>44.31</ns0:v>
      </ns0:c>
      <ns0:c r="L208" s="4">
        <ns0:v>30.09</ns0:v>
      </ns0:c>
      <ns0:c r="M208" s="4">
        <ns0:v>65.12</ns0:v>
      </ns0:c>
      <ns0:c r="N208" s="4">
        <ns0:v>57.78</ns0:v>
      </ns0:c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 t="inlineStr">
        <ns0:is>
          <ns0:t>招聘费单价</ns0:t>
        </ns0:is>
      </ns0:c>
      <ns0:c r="C209" s="4">
        <ns0:v>40.75</ns0:v>
      </ns0:c>
      <ns0:c r="D209" s="4">
        <ns0:v>74.77</ns0:v>
      </ns0:c>
      <ns0:c r="E209" s="4">
        <ns0:v>52.81</ns0:v>
      </ns0:c>
      <ns0:c r="F209" s="4">
        <ns0:v>48.06</ns0:v>
      </ns0:c>
      <ns0:c r="G209" s="4">
        <ns0:v>59.32</ns0:v>
      </ns0:c>
      <ns0:c r="H209" s="4">
        <ns0:v>40.74</ns0:v>
      </ns0:c>
      <ns0:c r="I209" s="4">
        <ns0:v>29.08</ns0:v>
      </ns0:c>
      <ns0:c r="J209" s="4">
        <ns0:v>59.24</ns0:v>
      </ns0:c>
      <ns0:c r="K209" s="4">
        <ns0:v>25.23</ns0:v>
      </ns0:c>
      <ns0:c r="L209" s="4">
        <ns0:v>32.39</ns0:v>
      </ns0:c>
      <ns0:c r="M209" s="4">
        <ns0:v>70.53</ns0:v>
      </ns0:c>
      <ns0:c r="N209" s="4">
        <ns0:v>50.58</ns0:v>
      </ns0:c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 t="inlineStr">
        <ns0:is>
          <ns0:t>培训费单价</ns0:t>
        </ns0:is>
      </ns0:c>
      <ns0:c r="C210" s="4">
        <ns0:v>49.47</ns0:v>
      </ns0:c>
      <ns0:c r="D210" s="4">
        <ns0:v>45.48</ns0:v>
      </ns0:c>
      <ns0:c r="E210" s="4">
        <ns0:v>57.88</ns0:v>
      </ns0:c>
      <ns0:c r="F210" s="4">
        <ns0:v>59.44</ns0:v>
      </ns0:c>
      <ns0:c r="G210" s="4">
        <ns0:v>18.04</ns0:v>
      </ns0:c>
      <ns0:c r="H210" s="4">
        <ns0:v>45.59</ns0:v>
      </ns0:c>
      <ns0:c r="I210" s="4">
        <ns0:v>50.21</ns0:v>
      </ns0:c>
      <ns0:c r="J210" s="4">
        <ns0:v>38.05</ns0:v>
      </ns0:c>
      <ns0:c r="K210" s="4">
        <ns0:v>36.53</ns0:v>
      </ns0:c>
      <ns0:c r="L210" s="4">
        <ns0:v>47.33</ns0:v>
      </ns0:c>
      <ns0:c r="M210" s="4">
        <ns0:v>62.83</ns0:v>
      </ns0:c>
      <ns0:c r="N210" s="4">
        <ns0:v>46.74</ns0:v>
      </ns0:c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 t="inlineStr">
        <ns0:is>
          <ns0:t>房租单价</ns0:t>
        </ns0:is>
      </ns0:c>
      <ns0:c r="C211" s="4">
        <ns0:v>24.62</ns0:v>
      </ns0:c>
      <ns0:c r="D211" s="4">
        <ns0:v>63.75</ns0:v>
      </ns0:c>
      <ns0:c r="E211" s="4">
        <ns0:v>24.22</ns0:v>
      </ns0:c>
      <ns0:c r="F211" s="4">
        <ns0:v>25.18</ns0:v>
      </ns0:c>
      <ns0:c r="G211" s="4">
        <ns0:v>36.22</ns0:v>
      </ns0:c>
      <ns0:c r="H211" s="4">
        <ns0:v>76.43</ns0:v>
      </ns0:c>
      <ns0:c r="I211" s="4">
        <ns0:v>63.03</ns0:v>
      </ns0:c>
      <ns0:c r="J211" s="4">
        <ns0:v>40.86</ns0:v>
      </ns0:c>
      <ns0:c r="K211" s="4">
        <ns0:v>21.29</ns0:v>
      </ns0:c>
      <ns0:c r="L211" s="4">
        <ns0:v>30.22</ns0:v>
      </ns0:c>
      <ns0:c r="M211" s="4">
        <ns0:v>53.52</ns0:v>
      </ns0:c>
      <ns0:c r="N211" s="4">
        <ns0:v>46.11</ns0:v>
      </ns0:c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 t="inlineStr">
        <ns0:is>
          <ns0:t>物业管理费单价</ns0:t>
        </ns0:is>
      </ns0:c>
      <ns0:c r="C212" s="4">
        <ns0:v>21.45</ns0:v>
      </ns0:c>
      <ns0:c r="D212" s="4">
        <ns0:v>18.28</ns0:v>
      </ns0:c>
      <ns0:c r="E212" s="4">
        <ns0:v>58.98</ns0:v>
      </ns0:c>
      <ns0:c r="F212" s="4">
        <ns0:v>36.33</ns0:v>
      </ns0:c>
      <ns0:c r="G212" s="4">
        <ns0:v>41.35</ns0:v>
      </ns0:c>
      <ns0:c r="H212" s="4">
        <ns0:v>62.20</ns0:v>
      </ns0:c>
      <ns0:c r="I212" s="4">
        <ns0:v>25.85</ns0:v>
      </ns0:c>
      <ns0:c r="J212" s="4">
        <ns0:v>29.27</ns0:v>
      </ns0:c>
      <ns0:c r="K212" s="4">
        <ns0:v>28.63</ns0:v>
      </ns0:c>
      <ns0:c r="L212" s="4">
        <ns0:v>52.14</ns0:v>
      </ns0:c>
      <ns0:c r="M212" s="4">
        <ns0:v>46.97</ns0:v>
      </ns0:c>
      <ns0:c r="N212" s="4">
        <ns0:v>17.08</ns0:v>
      </ns0:c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 t="inlineStr">
        <ns0:is>
          <ns0:t>汽车费用单价</ns0:t>
        </ns0:is>
      </ns0:c>
      <ns0:c r="C213" s="4">
        <ns0:v>70.92</ns0:v>
      </ns0:c>
      <ns0:c r="D213" s="4">
        <ns0:v>48.02</ns0:v>
      </ns0:c>
      <ns0:c r="E213" s="4">
        <ns0:v>20.60</ns0:v>
      </ns0:c>
      <ns0:c r="F213" s="4">
        <ns0:v>52.15</ns0:v>
      </ns0:c>
      <ns0:c r="G213" s="4">
        <ns0:v>44.04</ns0:v>
      </ns0:c>
      <ns0:c r="H213" s="4">
        <ns0:v>26.77</ns0:v>
      </ns0:c>
      <ns0:c r="I213" s="4">
        <ns0:v>37.51</ns0:v>
      </ns0:c>
      <ns0:c r="J213" s="4">
        <ns0:v>35.28</ns0:v>
      </ns0:c>
      <ns0:c r="K213" s="4">
        <ns0:v>48.10</ns0:v>
      </ns0:c>
      <ns0:c r="L213" s="4">
        <ns0:v>51.32</ns0:v>
      </ns0:c>
      <ns0:c r="M213" s="4">
        <ns0:v>17.29</ns0:v>
      </ns0:c>
      <ns0:c r="N213" s="4">
        <ns0:v>43.56</ns0:v>
      </ns0:c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 t="inlineStr">
        <ns0:is>
          <ns0:t>办公费单价</ns0:t>
        </ns0:is>
      </ns0:c>
      <ns0:c r="C214" s="4">
        <ns0:v>20.46</ns0:v>
      </ns0:c>
      <ns0:c r="D214" s="4">
        <ns0:v>55.16</ns0:v>
      </ns0:c>
      <ns0:c r="E214" s="4">
        <ns0:v>41.14</ns0:v>
      </ns0:c>
      <ns0:c r="F214" s="4">
        <ns0:v>52.53</ns0:v>
      </ns0:c>
      <ns0:c r="G214" s="4">
        <ns0:v>18.23</ns0:v>
      </ns0:c>
      <ns0:c r="H214" s="4">
        <ns0:v>58.41</ns0:v>
      </ns0:c>
      <ns0:c r="I214" s="4">
        <ns0:v>49.07</ns0:v>
      </ns0:c>
      <ns0:c r="J214" s="4">
        <ns0:v>39.57</ns0:v>
      </ns0:c>
      <ns0:c r="K214" s="4">
        <ns0:v>55.43</ns0:v>
      </ns0:c>
      <ns0:c r="L214" s="4">
        <ns0:v>39.35</ns0:v>
      </ns0:c>
      <ns0:c r="M214" s="4">
        <ns0:v>62.71</ns0:v>
      </ns0:c>
      <ns0:c r="N214" s="4">
        <ns0:v>17.51</ns0:v>
      </ns0:c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 t="inlineStr">
        <ns0:is>
          <ns0:t>办公用品单价</ns0:t>
        </ns0:is>
      </ns0:c>
      <ns0:c r="C215" s="4">
        <ns0:v>66.34</ns0:v>
      </ns0:c>
      <ns0:c r="D215" s="4">
        <ns0:v>69.92</ns0:v>
      </ns0:c>
      <ns0:c r="E215" s="4">
        <ns0:v>52.84</ns0:v>
      </ns0:c>
      <ns0:c r="F215" s="4">
        <ns0:v>34.49</ns0:v>
      </ns0:c>
      <ns0:c r="G215" s="4">
        <ns0:v>32.35</ns0:v>
      </ns0:c>
      <ns0:c r="H215" s="4">
        <ns0:v>55.88</ns0:v>
      </ns0:c>
      <ns0:c r="I215" s="4">
        <ns0:v>36.51</ns0:v>
      </ns0:c>
      <ns0:c r="J215" s="4">
        <ns0:v>51.03</ns0:v>
      </ns0:c>
      <ns0:c r="K215" s="4">
        <ns0:v>22.83</ns0:v>
      </ns0:c>
      <ns0:c r="L215" s="4">
        <ns0:v>63.44</ns0:v>
      </ns0:c>
      <ns0:c r="M215" s="4">
        <ns0:v>27.60</ns0:v>
      </ns0:c>
      <ns0:c r="N215" s="4">
        <ns0:v>67.59</ns0:v>
      </ns0:c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 t="inlineStr">
        <ns0:is>
          <ns0:t>水电煤单价</ns0:t>
        </ns0:is>
      </ns0:c>
      <ns0:c r="C216" s="4">
        <ns0:v>70.21</ns0:v>
      </ns0:c>
      <ns0:c r="D216" s="4">
        <ns0:v>25.09</ns0:v>
      </ns0:c>
      <ns0:c r="E216" s="4">
        <ns0:v>34.90</ns0:v>
      </ns0:c>
      <ns0:c r="F216" s="4">
        <ns0:v>56.66</ns0:v>
      </ns0:c>
      <ns0:c r="G216" s="4">
        <ns0:v>16.57</ns0:v>
      </ns0:c>
      <ns0:c r="H216" s="4">
        <ns0:v>60.25</ns0:v>
      </ns0:c>
      <ns0:c r="I216" s="4">
        <ns0:v>19.07</ns0:v>
      </ns0:c>
      <ns0:c r="J216" s="4">
        <ns0:v>29.76</ns0:v>
      </ns0:c>
      <ns0:c r="K216" s="4">
        <ns0:v>39.63</ns0:v>
      </ns0:c>
      <ns0:c r="L216" s="4">
        <ns0:v>68.83</ns0:v>
      </ns0:c>
      <ns0:c r="M216" s="4">
        <ns0:v>28.00</ns0:v>
      </ns0:c>
      <ns0:c r="N216" s="4">
        <ns0:v>58.85</ns0:v>
      </ns0:c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 t="inlineStr">
        <ns0:is>
          <ns0:t>咨询服务费单价</ns0:t>
        </ns0:is>
      </ns0:c>
      <ns0:c r="C217" s="4">
        <ns0:v>24.70</ns0:v>
      </ns0:c>
      <ns0:c r="D217" s="4">
        <ns0:v>54.36</ns0:v>
      </ns0:c>
      <ns0:c r="E217" s="4">
        <ns0:v>33.12</ns0:v>
      </ns0:c>
      <ns0:c r="F217" s="4">
        <ns0:v>31.73</ns0:v>
      </ns0:c>
      <ns0:c r="G217" s="4">
        <ns0:v>24.95</ns0:v>
      </ns0:c>
      <ns0:c r="H217" s="4">
        <ns0:v>27.77</ns0:v>
      </ns0:c>
      <ns0:c r="I217" s="4">
        <ns0:v>64.26</ns0:v>
      </ns0:c>
      <ns0:c r="J217" s="4">
        <ns0:v>52.19</ns0:v>
      </ns0:c>
      <ns0:c r="K217" s="4">
        <ns0:v>76.69</ns0:v>
      </ns0:c>
      <ns0:c r="L217" s="4">
        <ns0:v>29.26</ns0:v>
      </ns0:c>
      <ns0:c r="M217" s="4">
        <ns0:v>24.42</ns0:v>
      </ns0:c>
      <ns0:c r="N217" s="4">
        <ns0:v>45.90</ns0:v>
      </ns0:c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 t="inlineStr">
        <ns0:is>
          <ns0:t>电话费单价</ns0:t>
        </ns0:is>
      </ns0:c>
      <ns0:c r="C218" s="4">
        <ns0:v>26.92</ns0:v>
      </ns0:c>
      <ns0:c r="D218" s="4">
        <ns0:v>61.25</ns0:v>
      </ns0:c>
      <ns0:c r="E218" s="4">
        <ns0:v>69.04</ns0:v>
      </ns0:c>
      <ns0:c r="F218" s="4">
        <ns0:v>73.24</ns0:v>
      </ns0:c>
      <ns0:c r="G218" s="4">
        <ns0:v>47.78</ns0:v>
      </ns0:c>
      <ns0:c r="H218" s="4">
        <ns0:v>31.36</ns0:v>
      </ns0:c>
      <ns0:c r="I218" s="4">
        <ns0:v>22.87</ns0:v>
      </ns0:c>
      <ns0:c r="J218" s="4">
        <ns0:v>45.22</ns0:v>
      </ns0:c>
      <ns0:c r="K218" s="4">
        <ns0:v>25.80</ns0:v>
      </ns0:c>
      <ns0:c r="L218" s="4">
        <ns0:v>55.74</ns0:v>
      </ns0:c>
      <ns0:c r="M218" s="4">
        <ns0:v>30.30</ns0:v>
      </ns0:c>
      <ns0:c r="N218" s="4">
        <ns0:v>59.38</ns0:v>
      </ns0:c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 t="inlineStr">
        <ns0:is>
          <ns0:t>快递费单价</ns0:t>
        </ns0:is>
      </ns0:c>
      <ns0:c r="C219" s="4">
        <ns0:v>35.81</ns0:v>
      </ns0:c>
      <ns0:c r="D219" s="4">
        <ns0:v>31.78</ns0:v>
      </ns0:c>
      <ns0:c r="E219" s="4">
        <ns0:v>31.35</ns0:v>
      </ns0:c>
      <ns0:c r="F219" s="4">
        <ns0:v>55.60</ns0:v>
      </ns0:c>
      <ns0:c r="G219" s="4">
        <ns0:v>31.47</ns0:v>
      </ns0:c>
      <ns0:c r="H219" s="4">
        <ns0:v>41.86</ns0:v>
      </ns0:c>
      <ns0:c r="I219" s="4">
        <ns0:v>33.07</ns0:v>
      </ns0:c>
      <ns0:c r="J219" s="4">
        <ns0:v>48.54</ns0:v>
      </ns0:c>
      <ns0:c r="K219" s="4">
        <ns0:v>55.39</ns0:v>
      </ns0:c>
      <ns0:c r="L219" s="4">
        <ns0:v>23.01</ns0:v>
      </ns0:c>
      <ns0:c r="M219" s="4">
        <ns0:v>46.01</ns0:v>
      </ns0:c>
      <ns0:c r="N219" s="4">
        <ns0:v>48.11</ns0:v>
      </ns0:c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 t="inlineStr">
        <ns0:is>
          <ns0:t>折旧及摊销单价</ns0:t>
        </ns0:is>
      </ns0:c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 t="inlineStr">
        <ns0:is>
          <ns0:t>机票火车票单价</ns0:t>
        </ns0:is>
      </ns0:c>
      <ns0:c r="C221" s="4">
        <ns0:v>53.03</ns0:v>
      </ns0:c>
      <ns0:c r="D221" s="4">
        <ns0:v>25.36</ns0:v>
      </ns0:c>
      <ns0:c r="E221" s="4">
        <ns0:v>53.03</ns0:v>
      </ns0:c>
      <ns0:c r="F221" s="4">
        <ns0:v>36.78</ns0:v>
      </ns0:c>
      <ns0:c r="G221" s="4">
        <ns0:v>28.92</ns0:v>
      </ns0:c>
      <ns0:c r="H221" s="4">
        <ns0:v>53.98</ns0:v>
      </ns0:c>
      <ns0:c r="I221" s="4">
        <ns0:v>52.78</ns0:v>
      </ns0:c>
      <ns0:c r="J221" s="4">
        <ns0:v>54.39</ns0:v>
      </ns0:c>
      <ns0:c r="K221" s="4">
        <ns0:v>27.66</ns0:v>
      </ns0:c>
      <ns0:c r="L221" s="4">
        <ns0:v>41.76</ns0:v>
      </ns0:c>
      <ns0:c r="M221" s="4">
        <ns0:v>24.92</ns0:v>
      </ns0:c>
      <ns0:c r="N221" s="4">
        <ns0:v>43.65</ns0:v>
      </ns0:c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 t="inlineStr">
        <ns0:is>
          <ns0:t>住宿费单价</ns0:t>
        </ns0:is>
      </ns0:c>
      <ns0:c r="C222" s="4">
        <ns0:v>34.02</ns0:v>
      </ns0:c>
      <ns0:c r="D222" s="4">
        <ns0:v>53.13</ns0:v>
      </ns0:c>
      <ns0:c r="E222" s="4">
        <ns0:v>55.08</ns0:v>
      </ns0:c>
      <ns0:c r="F222" s="4">
        <ns0:v>65.00</ns0:v>
      </ns0:c>
      <ns0:c r="G222" s="4">
        <ns0:v>65.99</ns0:v>
      </ns0:c>
      <ns0:c r="H222" s="4">
        <ns0:v>29.08</ns0:v>
      </ns0:c>
      <ns0:c r="I222" s="4">
        <ns0:v>54.64</ns0:v>
      </ns0:c>
      <ns0:c r="J222" s="4">
        <ns0:v>36.67</ns0:v>
      </ns0:c>
      <ns0:c r="K222" s="4">
        <ns0:v>63.81</ns0:v>
      </ns0:c>
      <ns0:c r="L222" s="4">
        <ns0:v>20.00</ns0:v>
      </ns0:c>
      <ns0:c r="M222" s="4">
        <ns0:v>36.49</ns0:v>
      </ns0:c>
      <ns0:c r="N222" s="4">
        <ns0:v>70.35</ns0:v>
      </ns0:c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 t="inlineStr">
        <ns0:is>
          <ns0:t>交通费单价</ns0:t>
        </ns0:is>
      </ns0:c>
      <ns0:c r="C223" s="4">
        <ns0:v>53.17</ns0:v>
      </ns0:c>
      <ns0:c r="D223" s="4">
        <ns0:v>34.97</ns0:v>
      </ns0:c>
      <ns0:c r="E223" s="4">
        <ns0:v>50.28</ns0:v>
      </ns0:c>
      <ns0:c r="F223" s="4">
        <ns0:v>27.94</ns0:v>
      </ns0:c>
      <ns0:c r="G223" s="4">
        <ns0:v>68.17</ns0:v>
      </ns0:c>
      <ns0:c r="H223" s="4">
        <ns0:v>62.00</ns0:v>
      </ns0:c>
      <ns0:c r="I223" s="4">
        <ns0:v>31.52</ns0:v>
      </ns0:c>
      <ns0:c r="J223" s="4">
        <ns0:v>68.94</ns0:v>
      </ns0:c>
      <ns0:c r="K223" s="4">
        <ns0:v>34.56</ns0:v>
      </ns0:c>
      <ns0:c r="L223" s="4">
        <ns0:v>59.41</ns0:v>
      </ns0:c>
      <ns0:c r="M223" s="4">
        <ns0:v>31.01</ns0:v>
      </ns0:c>
      <ns0:c r="N223" s="4">
        <ns0:v>47.41</ns0:v>
      </ns0:c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 t="inlineStr">
        <ns0:is>
          <ns0:t>差旅补贴单价</ns0:t>
        </ns0:is>
      </ns0:c>
      <ns0:c r="C224" s="4">
        <ns0:v>21.78</ns0:v>
      </ns0:c>
      <ns0:c r="D224" s="4">
        <ns0:v>36.27</ns0:v>
      </ns0:c>
      <ns0:c r="E224" s="4">
        <ns0:v>18.78</ns0:v>
      </ns0:c>
      <ns0:c r="F224" s="4">
        <ns0:v>27.60</ns0:v>
      </ns0:c>
      <ns0:c r="G224" s="4">
        <ns0:v>62.26</ns0:v>
      </ns0:c>
      <ns0:c r="H224" s="4">
        <ns0:v>34.09</ns0:v>
      </ns0:c>
      <ns0:c r="I224" s="4">
        <ns0:v>52.25</ns0:v>
      </ns0:c>
      <ns0:c r="J224" s="4">
        <ns0:v>52.93</ns0:v>
      </ns0:c>
      <ns0:c r="K224" s="4">
        <ns0:v>54.81</ns0:v>
      </ns0:c>
      <ns0:c r="L224" s="4">
        <ns0:v>40.13</ns0:v>
      </ns0:c>
      <ns0:c r="M224" s="4">
        <ns0:v>54.75</ns0:v>
      </ns0:c>
      <ns0:c r="N224" s="4">
        <ns0:v>53.29</ns0:v>
      </ns0:c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 t="inlineStr">
        <ns0:is>
          <ns0:t>业务招待费单价</ns0:t>
        </ns0:is>
      </ns0:c>
      <ns0:c r="C225" s="4">
        <ns0:v>51.61</ns0:v>
      </ns0:c>
      <ns0:c r="D225" s="4">
        <ns0:v>36.10</ns0:v>
      </ns0:c>
      <ns0:c r="E225" s="4">
        <ns0:v>28.95</ns0:v>
      </ns0:c>
      <ns0:c r="F225" s="4">
        <ns0:v>60.56</ns0:v>
      </ns0:c>
      <ns0:c r="G225" s="4">
        <ns0:v>24.58</ns0:v>
      </ns0:c>
      <ns0:c r="H225" s="4">
        <ns0:v>33.12</ns0:v>
      </ns0:c>
      <ns0:c r="I225" s="4">
        <ns0:v>44.49</ns0:v>
      </ns0:c>
      <ns0:c r="J225" s="4">
        <ns0:v>27.23</ns0:v>
      </ns0:c>
      <ns0:c r="K225" s="4">
        <ns0:v>27.76</ns0:v>
      </ns0:c>
      <ns0:c r="L225" s="4">
        <ns0:v>39.76</ns0:v>
      </ns0:c>
      <ns0:c r="M225" s="4">
        <ns0:v>40.16</ns0:v>
      </ns0:c>
      <ns0:c r="N225" s="4">
        <ns0:v>56.35</ns0:v>
      </ns0:c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 t="inlineStr">
        <ns0:is>
          <ns0:t>市内交通费单价</ns0:t>
        </ns0:is>
      </ns0:c>
      <ns0:c r="C226" s="4">
        <ns0:v>67.23</ns0:v>
      </ns0:c>
      <ns0:c r="D226" s="4">
        <ns0:v>55.50</ns0:v>
      </ns0:c>
      <ns0:c r="E226" s="4">
        <ns0:v>32.66</ns0:v>
      </ns0:c>
      <ns0:c r="F226" s="4">
        <ns0:v>34.52</ns0:v>
      </ns0:c>
      <ns0:c r="G226" s="4">
        <ns0:v>31.22</ns0:v>
      </ns0:c>
      <ns0:c r="H226" s="4">
        <ns0:v>25.93</ns0:v>
      </ns0:c>
      <ns0:c r="I226" s="4">
        <ns0:v>30.82</ns0:v>
      </ns0:c>
      <ns0:c r="J226" s="4">
        <ns0:v>59.91</ns0:v>
      </ns0:c>
      <ns0:c r="K226" s="4">
        <ns0:v>41.76</ns0:v>
      </ns0:c>
      <ns0:c r="L226" s="4">
        <ns0:v>34.10</ns0:v>
      </ns0:c>
      <ns0:c r="M226" s="4">
        <ns0:v>17.36</ns0:v>
      </ns0:c>
      <ns0:c r="N226" s="4">
        <ns0:v>25.78</ns0:v>
      </ns0:c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 t="inlineStr">
        <ns0:is>
          <ns0:t>调研费用单价</ns0:t>
        </ns0:is>
      </ns0:c>
      <ns0:c r="C227" s="4">
        <ns0:v>25.57</ns0:v>
      </ns0:c>
      <ns0:c r="D227" s="4">
        <ns0:v>22.59</ns0:v>
      </ns0:c>
      <ns0:c r="E227" s="4">
        <ns0:v>60.42</ns0:v>
      </ns0:c>
      <ns0:c r="F227" s="4">
        <ns0:v>34.35</ns0:v>
      </ns0:c>
      <ns0:c r="G227" s="4">
        <ns0:v>62.02</ns0:v>
      </ns0:c>
      <ns0:c r="H227" s="4">
        <ns0:v>30.68</ns0:v>
      </ns0:c>
      <ns0:c r="I227" s="4">
        <ns0:v>27.58</ns0:v>
      </ns0:c>
      <ns0:c r="J227" s="4">
        <ns0:v>18.92</ns0:v>
      </ns0:c>
      <ns0:c r="K227" s="4">
        <ns0:v>38.15</ns0:v>
      </ns0:c>
      <ns0:c r="L227" s="4">
        <ns0:v>42.60</ns0:v>
      </ns0:c>
      <ns0:c r="M227" s="4">
        <ns0:v>58.70</ns0:v>
      </ns0:c>
      <ns0:c r="N227" s="4">
        <ns0:v>27.70</ns0:v>
      </ns0:c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 t="inlineStr">
        <ns0:is>
          <ns0:t>手续费单价</ns0:t>
        </ns0:is>
      </ns0:c>
      <ns0:c r="C228" s="4">
        <ns0:v>31.84</ns0:v>
      </ns0:c>
      <ns0:c r="D228" s="4">
        <ns0:v>21.74</ns0:v>
      </ns0:c>
      <ns0:c r="E228" s="4">
        <ns0:v>54.21</ns0:v>
      </ns0:c>
      <ns0:c r="F228" s="4">
        <ns0:v>44.49</ns0:v>
      </ns0:c>
      <ns0:c r="G228" s="4">
        <ns0:v>42.38</ns0:v>
      </ns0:c>
      <ns0:c r="H228" s="4">
        <ns0:v>17.96</ns0:v>
      </ns0:c>
      <ns0:c r="I228" s="4">
        <ns0:v>56.81</ns0:v>
      </ns0:c>
      <ns0:c r="J228" s="4">
        <ns0:v>51.71</ns0:v>
      </ns0:c>
      <ns0:c r="K228" s="4">
        <ns0:v>58.56</ns0:v>
      </ns0:c>
      <ns0:c r="L228" s="4">
        <ns0:v>26.62</ns0:v>
      </ns0:c>
      <ns0:c r="M228" s="4">
        <ns0:v>40.97</ns0:v>
      </ns0:c>
      <ns0:c r="N228" s="4">
        <ns0:v>38.28</ns0:v>
      </ns0:c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 t="inlineStr">
        <ns0:is>
          <ns0:t>利息收入单价</ns0:t>
        </ns0:is>
      </ns0:c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 t="inlineStr">
        <ns0:is>
          <ns0:t>利息支出单价</ns0:t>
        </ns0:is>
      </ns0:c>
      <ns0:c r="C230" s="4">
        <ns0:v>18.44</ns0:v>
      </ns0:c>
      <ns0:c r="D230" s="4">
        <ns0:v>29.99</ns0:v>
      </ns0:c>
      <ns0:c r="E230" s="4">
        <ns0:v>20.33</ns0:v>
      </ns0:c>
      <ns0:c r="F230" s="4">
        <ns0:v>39.51</ns0:v>
      </ns0:c>
      <ns0:c r="G230" s="4">
        <ns0:v>35.30</ns0:v>
      </ns0:c>
      <ns0:c r="H230" s="4">
        <ns0:v>24.98</ns0:v>
      </ns0:c>
      <ns0:c r="I230" s="4">
        <ns0:v>44.35</ns0:v>
      </ns0:c>
      <ns0:c r="J230" s="4">
        <ns0:v>46.24</ns0:v>
      </ns0:c>
      <ns0:c r="K230" s="4">
        <ns0:v>52.17</ns0:v>
      </ns0:c>
      <ns0:c r="L230" s="4">
        <ns0:v>34.97</ns0:v>
      </ns0:c>
      <ns0:c r="M230" s="4">
        <ns0:v>30.64</ns0:v>
      </ns0:c>
      <ns0:c r="N230" s="4">
        <ns0:v>17.51</ns0:v>
      </ns0:c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 t="inlineStr">
        <ns0:is>
          <ns0:t>车船税单价</ns0:t>
        </ns0:is>
      </ns0:c>
      <ns0:c r="C231" s="4">
        <ns0:v>56.28</ns0:v>
      </ns0:c>
      <ns0:c r="D231" s="4">
        <ns0:v>47.07</ns0:v>
      </ns0:c>
      <ns0:c r="E231" s="4">
        <ns0:v>31.29</ns0:v>
      </ns0:c>
      <ns0:c r="F231" s="4">
        <ns0:v>33.72</ns0:v>
      </ns0:c>
      <ns0:c r="G231" s="4">
        <ns0:v>40.27</ns0:v>
      </ns0:c>
      <ns0:c r="H231" s="4">
        <ns0:v>48.30</ns0:v>
      </ns0:c>
      <ns0:c r="I231" s="4">
        <ns0:v>76.16</ns0:v>
      </ns0:c>
      <ns0:c r="J231" s="4">
        <ns0:v>39.85</ns0:v>
      </ns0:c>
      <ns0:c r="K231" s="4">
        <ns0:v>61.71</ns0:v>
      </ns0:c>
      <ns0:c r="L231" s="4">
        <ns0:v>58.21</ns0:v>
      </ns0:c>
      <ns0:c r="M231" s="4">
        <ns0:v>21.14</ns0:v>
      </ns0:c>
      <ns0:c r="N231" s="4">
        <ns0:v>56.35</ns0:v>
      </ns0:c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 t="inlineStr">
        <ns0:is>
          <ns0:t>印花税单价</ns0:t>
        </ns0:is>
      </ns0:c>
      <ns0:c r="C232" s="4">
        <ns0:v>20.97</ns0:v>
      </ns0:c>
      <ns0:c r="D232" s="4">
        <ns0:v>43.45</ns0:v>
      </ns0:c>
      <ns0:c r="E232" s="4">
        <ns0:v>27.81</ns0:v>
      </ns0:c>
      <ns0:c r="F232" s="4">
        <ns0:v>28.58</ns0:v>
      </ns0:c>
      <ns0:c r="G232" s="4">
        <ns0:v>51.54</ns0:v>
      </ns0:c>
      <ns0:c r="H232" s="4">
        <ns0:v>17.78</ns0:v>
      </ns0:c>
      <ns0:c r="I232" s="4">
        <ns0:v>65.12</ns0:v>
      </ns0:c>
      <ns0:c r="J232" s="4">
        <ns0:v>25.93</ns0:v>
      </ns0:c>
      <ns0:c r="K232" s="4">
        <ns0:v>42.17</ns0:v>
      </ns0:c>
      <ns0:c r="L232" s="4">
        <ns0:v>54.27</ns0:v>
      </ns0:c>
      <ns0:c r="M232" s="4">
        <ns0:v>44.51</ns0:v>
      </ns0:c>
      <ns0:c r="N232" s="4">
        <ns0:v>48.07</ns0:v>
      </ns0:c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 t="inlineStr">
        <ns0:is>
          <ns0:t>其他单价</ns0:t>
        </ns0:is>
      </ns0:c>
      <ns0:c r="C233" s="4">
        <ns0:v>20.49</ns0:v>
      </ns0:c>
      <ns0:c r="D233" s="4">
        <ns0:v>63.41</ns0:v>
      </ns0:c>
      <ns0:c r="E233" s="4">
        <ns0:v>35.07</ns0:v>
      </ns0:c>
      <ns0:c r="F233" s="4">
        <ns0:v>21.17</ns0:v>
      </ns0:c>
      <ns0:c r="G233" s="4">
        <ns0:v>63.53</ns0:v>
      </ns0:c>
      <ns0:c r="H233" s="4">
        <ns0:v>18.21</ns0:v>
      </ns0:c>
      <ns0:c r="I233" s="4">
        <ns0:v>29.39</ns0:v>
      </ns0:c>
      <ns0:c r="J233" s="4">
        <ns0:v>18.56</ns0:v>
      </ns0:c>
      <ns0:c r="K233" s="4">
        <ns0:v>25.21</ns0:v>
      </ns0:c>
      <ns0:c r="L233" s="4">
        <ns0:v>26.55</ns0:v>
      </ns0:c>
      <ns0:c r="M233" s="4">
        <ns0:v>63.72</ns0:v>
      </ns0:c>
      <ns0:c r="N233" s="4">
        <ns0:v>31.41</ns0:v>
      </ns0:c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 t="inlineStr">
        <ns0:is>
          <ns0:t>工资单价</ns0:t>
        </ns0:is>
      </ns0:c>
      <ns0:c r="C264" s="4">
        <ns0:v>54.90</ns0:v>
      </ns0:c>
      <ns0:c r="D264" s="4">
        <ns0:v>19.52</ns0:v>
      </ns0:c>
      <ns0:c r="E264" s="4">
        <ns0:v>39.04</ns0:v>
      </ns0:c>
      <ns0:c r="F264" s="4">
        <ns0:v>75.52</ns0:v>
      </ns0:c>
      <ns0:c r="G264" s="4">
        <ns0:v>43.47</ns0:v>
      </ns0:c>
      <ns0:c r="H264" s="4">
        <ns0:v>57.91</ns0:v>
      </ns0:c>
      <ns0:c r="I264" s="4">
        <ns0:v>36.19</ns0:v>
      </ns0:c>
      <ns0:c r="J264" s="4">
        <ns0:v>51.17</ns0:v>
      </ns0:c>
      <ns0:c r="K264" s="4">
        <ns0:v>43.46</ns0:v>
      </ns0:c>
      <ns0:c r="L264" s="4">
        <ns0:v>46.31</ns0:v>
      </ns0:c>
      <ns0:c r="M264" s="4">
        <ns0:v>24.10</ns0:v>
      </ns0:c>
      <ns0:c r="N264" s="4">
        <ns0:v>28.28</ns0:v>
      </ns0:c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 t="inlineStr">
        <ns0:is>
          <ns0:t>十三薪单价</ns0:t>
        </ns0:is>
      </ns0:c>
      <ns0:c r="C265" s="4">
        <ns0:v>23.52</ns0:v>
      </ns0:c>
      <ns0:c r="D265" s="4">
        <ns0:v>29.53</ns0:v>
      </ns0:c>
      <ns0:c r="E265" s="4">
        <ns0:v>58.96</ns0:v>
      </ns0:c>
      <ns0:c r="F265" s="4">
        <ns0:v>24.85</ns0:v>
      </ns0:c>
      <ns0:c r="G265" s="4">
        <ns0:v>28.82</ns0:v>
      </ns0:c>
      <ns0:c r="H265" s="4">
        <ns0:v>35.65</ns0:v>
      </ns0:c>
      <ns0:c r="I265" s="4">
        <ns0:v>41.46</ns0:v>
      </ns0:c>
      <ns0:c r="J265" s="4">
        <ns0:v>53.36</ns0:v>
      </ns0:c>
      <ns0:c r="K265" s="4">
        <ns0:v>54.35</ns0:v>
      </ns0:c>
      <ns0:c r="L265" s="4">
        <ns0:v>66.20</ns0:v>
      </ns0:c>
      <ns0:c r="M265" s="4">
        <ns0:v>52.55</ns0:v>
      </ns0:c>
      <ns0:c r="N265" s="4">
        <ns0:v>68.21</ns0:v>
      </ns0:c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 t="inlineStr">
        <ns0:is>
          <ns0:t>离职补偿金单价</ns0:t>
        </ns0:is>
      </ns0:c>
      <ns0:c r="C266" s="4">
        <ns0:v>31.62</ns0:v>
      </ns0:c>
      <ns0:c r="D266" s="4">
        <ns0:v>53.41</ns0:v>
      </ns0:c>
      <ns0:c r="E266" s="4">
        <ns0:v>20.52</ns0:v>
      </ns0:c>
      <ns0:c r="F266" s="4">
        <ns0:v>54.62</ns0:v>
      </ns0:c>
      <ns0:c r="G266" s="4">
        <ns0:v>29.59</ns0:v>
      </ns0:c>
      <ns0:c r="H266" s="4">
        <ns0:v>37.38</ns0:v>
      </ns0:c>
      <ns0:c r="I266" s="4">
        <ns0:v>40.29</ns0:v>
      </ns0:c>
      <ns0:c r="J266" s="4">
        <ns0:v>26.81</ns0:v>
      </ns0:c>
      <ns0:c r="K266" s="4">
        <ns0:v>45.65</ns0:v>
      </ns0:c>
      <ns0:c r="L266" s="4">
        <ns0:v>64.88</ns0:v>
      </ns0:c>
      <ns0:c r="M266" s="4">
        <ns0:v>58.74</ns0:v>
      </ns0:c>
      <ns0:c r="N266" s="4">
        <ns0:v>60.24</ns0:v>
      </ns0:c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 t="inlineStr">
        <ns0:is>
          <ns0:t>五险一金单价</ns0:t>
        </ns0:is>
      </ns0:c>
      <ns0:c r="C267" s="4">
        <ns0:v>47.83</ns0:v>
      </ns0:c>
      <ns0:c r="D267" s="4">
        <ns0:v>36.48</ns0:v>
      </ns0:c>
      <ns0:c r="E267" s="4">
        <ns0:v>51.39</ns0:v>
      </ns0:c>
      <ns0:c r="F267" s="4">
        <ns0:v>46.90</ns0:v>
      </ns0:c>
      <ns0:c r="G267" s="4">
        <ns0:v>58.19</ns0:v>
      </ns0:c>
      <ns0:c r="H267" s="4">
        <ns0:v>54.82</ns0:v>
      </ns0:c>
      <ns0:c r="I267" s="4">
        <ns0:v>44.07</ns0:v>
      </ns0:c>
      <ns0:c r="J267" s="4">
        <ns0:v>60.95</ns0:v>
      </ns0:c>
      <ns0:c r="K267" s="4">
        <ns0:v>59.10</ns0:v>
      </ns0:c>
      <ns0:c r="L267" s="4">
        <ns0:v>69.83</ns0:v>
      </ns0:c>
      <ns0:c r="M267" s="4">
        <ns0:v>35.91</ns0:v>
      </ns0:c>
      <ns0:c r="N267" s="4">
        <ns0:v>32.64</ns0:v>
      </ns0:c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 t="inlineStr">
        <ns0:is>
          <ns0:t>福利费单价</ns0:t>
        </ns0:is>
      </ns0:c>
      <ns0:c r="C268" s="4">
        <ns0:v>54.72</ns0:v>
      </ns0:c>
      <ns0:c r="D268" s="4">
        <ns0:v>21.87</ns0:v>
      </ns0:c>
      <ns0:c r="E268" s="4">
        <ns0:v>51.26</ns0:v>
      </ns0:c>
      <ns0:c r="F268" s="4">
        <ns0:v>33.68</ns0:v>
      </ns0:c>
      <ns0:c r="G268" s="4">
        <ns0:v>23.41</ns0:v>
      </ns0:c>
      <ns0:c r="H268" s="4">
        <ns0:v>53.11</ns0:v>
      </ns0:c>
      <ns0:c r="I268" s="4">
        <ns0:v>25.63</ns0:v>
      </ns0:c>
      <ns0:c r="J268" s="4">
        <ns0:v>42.25</ns0:v>
      </ns0:c>
      <ns0:c r="K268" s="4">
        <ns0:v>48.40</ns0:v>
      </ns0:c>
      <ns0:c r="L268" s="4">
        <ns0:v>24.88</ns0:v>
      </ns0:c>
      <ns0:c r="M268" s="4">
        <ns0:v>31.80</ns0:v>
      </ns0:c>
      <ns0:c r="N268" s="4">
        <ns0:v>32.24</ns0:v>
      </ns0:c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 t="inlineStr">
        <ns0:is>
          <ns0:t>招聘费单价</ns0:t>
        </ns0:is>
      </ns0:c>
      <ns0:c r="C269" s="4">
        <ns0:v>53.15</ns0:v>
      </ns0:c>
      <ns0:c r="D269" s="4">
        <ns0:v>57.72</ns0:v>
      </ns0:c>
      <ns0:c r="E269" s="4">
        <ns0:v>37.54</ns0:v>
      </ns0:c>
      <ns0:c r="F269" s="4">
        <ns0:v>23.70</ns0:v>
      </ns0:c>
      <ns0:c r="G269" s="4">
        <ns0:v>40.22</ns0:v>
      </ns0:c>
      <ns0:c r="H269" s="4">
        <ns0:v>58.22</ns0:v>
      </ns0:c>
      <ns0:c r="I269" s="4">
        <ns0:v>26.78</ns0:v>
      </ns0:c>
      <ns0:c r="J269" s="4">
        <ns0:v>56.53</ns0:v>
      </ns0:c>
      <ns0:c r="K269" s="4">
        <ns0:v>59.01</ns0:v>
      </ns0:c>
      <ns0:c r="L269" s="4">
        <ns0:v>18.09</ns0:v>
      </ns0:c>
      <ns0:c r="M269" s="4">
        <ns0:v>36.74</ns0:v>
      </ns0:c>
      <ns0:c r="N269" s="4">
        <ns0:v>30.49</ns0:v>
      </ns0:c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 t="inlineStr">
        <ns0:is>
          <ns0:t>培训费单价</ns0:t>
        </ns0:is>
      </ns0:c>
      <ns0:c r="C270" s="4">
        <ns0:v>39.74</ns0:v>
      </ns0:c>
      <ns0:c r="D270" s="4">
        <ns0:v>20.97</ns0:v>
      </ns0:c>
      <ns0:c r="E270" s="4">
        <ns0:v>21.36</ns0:v>
      </ns0:c>
      <ns0:c r="F270" s="4">
        <ns0:v>54.13</ns0:v>
      </ns0:c>
      <ns0:c r="G270" s="4">
        <ns0:v>36.20</ns0:v>
      </ns0:c>
      <ns0:c r="H270" s="4">
        <ns0:v>41.78</ns0:v>
      </ns0:c>
      <ns0:c r="I270" s="4">
        <ns0:v>58.60</ns0:v>
      </ns0:c>
      <ns0:c r="J270" s="4">
        <ns0:v>50.94</ns0:v>
      </ns0:c>
      <ns0:c r="K270" s="4">
        <ns0:v>30.95</ns0:v>
      </ns0:c>
      <ns0:c r="L270" s="4">
        <ns0:v>24.83</ns0:v>
      </ns0:c>
      <ns0:c r="M270" s="4">
        <ns0:v>40.31</ns0:v>
      </ns0:c>
      <ns0:c r="N270" s="4">
        <ns0:v>44.59</ns0:v>
      </ns0:c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 t="inlineStr">
        <ns0:is>
          <ns0:t>房租单价</ns0:t>
        </ns0:is>
      </ns0:c>
      <ns0:c r="C271" s="4">
        <ns0:v>39.03</ns0:v>
      </ns0:c>
      <ns0:c r="D271" s="4">
        <ns0:v>47.14</ns0:v>
      </ns0:c>
      <ns0:c r="E271" s="4">
        <ns0:v>68.47</ns0:v>
      </ns0:c>
      <ns0:c r="F271" s="4">
        <ns0:v>66.05</ns0:v>
      </ns0:c>
      <ns0:c r="G271" s="4">
        <ns0:v>56.79</ns0:v>
      </ns0:c>
      <ns0:c r="H271" s="4">
        <ns0:v>39.91</ns0:v>
      </ns0:c>
      <ns0:c r="I271" s="4">
        <ns0:v>52.16</ns0:v>
      </ns0:c>
      <ns0:c r="J271" s="4">
        <ns0:v>18.06</ns0:v>
      </ns0:c>
      <ns0:c r="K271" s="4">
        <ns0:v>28.29</ns0:v>
      </ns0:c>
      <ns0:c r="L271" s="4">
        <ns0:v>36.05</ns0:v>
      </ns0:c>
      <ns0:c r="M271" s="4">
        <ns0:v>56.25</ns0:v>
      </ns0:c>
      <ns0:c r="N271" s="4">
        <ns0:v>53.68</ns0:v>
      </ns0:c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 t="inlineStr">
        <ns0:is>
          <ns0:t>物业管理费单价</ns0:t>
        </ns0:is>
      </ns0:c>
      <ns0:c r="C272" s="4">
        <ns0:v>54.60</ns0:v>
      </ns0:c>
      <ns0:c r="D272" s="4">
        <ns0:v>40.10</ns0:v>
      </ns0:c>
      <ns0:c r="E272" s="4">
        <ns0:v>26.00</ns0:v>
      </ns0:c>
      <ns0:c r="F272" s="4">
        <ns0:v>35.02</ns0:v>
      </ns0:c>
      <ns0:c r="G272" s="4">
        <ns0:v>43.68</ns0:v>
      </ns0:c>
      <ns0:c r="H272" s="4">
        <ns0:v>37.71</ns0:v>
      </ns0:c>
      <ns0:c r="I272" s="4">
        <ns0:v>39.22</ns0:v>
      </ns0:c>
      <ns0:c r="J272" s="4">
        <ns0:v>54.12</ns0:v>
      </ns0:c>
      <ns0:c r="K272" s="4">
        <ns0:v>39.66</ns0:v>
      </ns0:c>
      <ns0:c r="L272" s="4">
        <ns0:v>64.05</ns0:v>
      </ns0:c>
      <ns0:c r="M272" s="4">
        <ns0:v>38.42</ns0:v>
      </ns0:c>
      <ns0:c r="N272" s="4">
        <ns0:v>43.52</ns0:v>
      </ns0:c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 t="inlineStr">
        <ns0:is>
          <ns0:t>汽车费用单价</ns0:t>
        </ns0:is>
      </ns0:c>
      <ns0:c r="C273" s="4">
        <ns0:v>48.49</ns0:v>
      </ns0:c>
      <ns0:c r="D273" s="4">
        <ns0:v>50.44</ns0:v>
      </ns0:c>
      <ns0:c r="E273" s="4">
        <ns0:v>20.46</ns0:v>
      </ns0:c>
      <ns0:c r="F273" s="4">
        <ns0:v>64.08</ns0:v>
      </ns0:c>
      <ns0:c r="G273" s="4">
        <ns0:v>63.60</ns0:v>
      </ns0:c>
      <ns0:c r="H273" s="4">
        <ns0:v>53.38</ns0:v>
      </ns0:c>
      <ns0:c r="I273" s="4">
        <ns0:v>43.37</ns0:v>
      </ns0:c>
      <ns0:c r="J273" s="4">
        <ns0:v>53.16</ns0:v>
      </ns0:c>
      <ns0:c r="K273" s="4">
        <ns0:v>62.24</ns0:v>
      </ns0:c>
      <ns0:c r="L273" s="4">
        <ns0:v>32.15</ns0:v>
      </ns0:c>
      <ns0:c r="M273" s="4">
        <ns0:v>32.16</ns0:v>
      </ns0:c>
      <ns0:c r="N273" s="4">
        <ns0:v>48.23</ns0:v>
      </ns0:c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 t="inlineStr">
        <ns0:is>
          <ns0:t>办公费单价</ns0:t>
        </ns0:is>
      </ns0:c>
      <ns0:c r="C274" s="4">
        <ns0:v>38.18</ns0:v>
      </ns0:c>
      <ns0:c r="D274" s="4">
        <ns0:v>34.50</ns0:v>
      </ns0:c>
      <ns0:c r="E274" s="4">
        <ns0:v>41.40</ns0:v>
      </ns0:c>
      <ns0:c r="F274" s="4">
        <ns0:v>61.19</ns0:v>
      </ns0:c>
      <ns0:c r="G274" s="4">
        <ns0:v>24.71</ns0:v>
      </ns0:c>
      <ns0:c r="H274" s="4">
        <ns0:v>49.81</ns0:v>
      </ns0:c>
      <ns0:c r="I274" s="4">
        <ns0:v>29.50</ns0:v>
      </ns0:c>
      <ns0:c r="J274" s="4">
        <ns0:v>28.74</ns0:v>
      </ns0:c>
      <ns0:c r="K274" s="4">
        <ns0:v>31.52</ns0:v>
      </ns0:c>
      <ns0:c r="L274" s="4">
        <ns0:v>40.72</ns0:v>
      </ns0:c>
      <ns0:c r="M274" s="4">
        <ns0:v>28.64</ns0:v>
      </ns0:c>
      <ns0:c r="N274" s="4">
        <ns0:v>33.83</ns0:v>
      </ns0:c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 t="inlineStr">
        <ns0:is>
          <ns0:t>办公用品单价</ns0:t>
        </ns0:is>
      </ns0:c>
      <ns0:c r="C275" s="4">
        <ns0:v>27.67</ns0:v>
      </ns0:c>
      <ns0:c r="D275" s="4">
        <ns0:v>62.60</ns0:v>
      </ns0:c>
      <ns0:c r="E275" s="4">
        <ns0:v>49.53</ns0:v>
      </ns0:c>
      <ns0:c r="F275" s="4">
        <ns0:v>70.13</ns0:v>
      </ns0:c>
      <ns0:c r="G275" s="4">
        <ns0:v>62.20</ns0:v>
      </ns0:c>
      <ns0:c r="H275" s="4">
        <ns0:v>68.60</ns0:v>
      </ns0:c>
      <ns0:c r="I275" s="4">
        <ns0:v>19.37</ns0:v>
      </ns0:c>
      <ns0:c r="J275" s="4">
        <ns0:v>19.23</ns0:v>
      </ns0:c>
      <ns0:c r="K275" s="4">
        <ns0:v>33.56</ns0:v>
      </ns0:c>
      <ns0:c r="L275" s="4">
        <ns0:v>62.70</ns0:v>
      </ns0:c>
      <ns0:c r="M275" s="4">
        <ns0:v>57.07</ns0:v>
      </ns0:c>
      <ns0:c r="N275" s="4">
        <ns0:v>30.24</ns0:v>
      </ns0:c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 t="inlineStr">
        <ns0:is>
          <ns0:t>水电煤单价</ns0:t>
        </ns0:is>
      </ns0:c>
      <ns0:c r="C276" s="4">
        <ns0:v>38.93</ns0:v>
      </ns0:c>
      <ns0:c r="D276" s="4">
        <ns0:v>31.11</ns0:v>
      </ns0:c>
      <ns0:c r="E276" s="4">
        <ns0:v>29.55</ns0:v>
      </ns0:c>
      <ns0:c r="F276" s="4">
        <ns0:v>61.51</ns0:v>
      </ns0:c>
      <ns0:c r="G276" s="4">
        <ns0:v>75.28</ns0:v>
      </ns0:c>
      <ns0:c r="H276" s="4">
        <ns0:v>29.05</ns0:v>
      </ns0:c>
      <ns0:c r="I276" s="4">
        <ns0:v>37.05</ns0:v>
      </ns0:c>
      <ns0:c r="J276" s="4">
        <ns0:v>24.54</ns0:v>
      </ns0:c>
      <ns0:c r="K276" s="4">
        <ns0:v>53.05</ns0:v>
      </ns0:c>
      <ns0:c r="L276" s="4">
        <ns0:v>57.43</ns0:v>
      </ns0:c>
      <ns0:c r="M276" s="4">
        <ns0:v>19.44</ns0:v>
      </ns0:c>
      <ns0:c r="N276" s="4">
        <ns0:v>68.52</ns0:v>
      </ns0:c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 t="inlineStr">
        <ns0:is>
          <ns0:t>咨询服务费单价</ns0:t>
        </ns0:is>
      </ns0:c>
      <ns0:c r="C277" s="4">
        <ns0:v>52.29</ns0:v>
      </ns0:c>
      <ns0:c r="D277" s="4">
        <ns0:v>41.69</ns0:v>
      </ns0:c>
      <ns0:c r="E277" s="4">
        <ns0:v>37.06</ns0:v>
      </ns0:c>
      <ns0:c r="F277" s="4">
        <ns0:v>42.06</ns0:v>
      </ns0:c>
      <ns0:c r="G277" s="4">
        <ns0:v>33.18</ns0:v>
      </ns0:c>
      <ns0:c r="H277" s="4">
        <ns0:v>61.72</ns0:v>
      </ns0:c>
      <ns0:c r="I277" s="4">
        <ns0:v>69.45</ns0:v>
      </ns0:c>
      <ns0:c r="J277" s="4">
        <ns0:v>52.04</ns0:v>
      </ns0:c>
      <ns0:c r="K277" s="4">
        <ns0:v>47.34</ns0:v>
      </ns0:c>
      <ns0:c r="L277" s="4">
        <ns0:v>31.65</ns0:v>
      </ns0:c>
      <ns0:c r="M277" s="4">
        <ns0:v>51.37</ns0:v>
      </ns0:c>
      <ns0:c r="N277" s="4">
        <ns0:v>54.85</ns0:v>
      </ns0:c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 t="inlineStr">
        <ns0:is>
          <ns0:t>电话费单价</ns0:t>
        </ns0:is>
      </ns0:c>
      <ns0:c r="C278" s="4">
        <ns0:v>33.19</ns0:v>
      </ns0:c>
      <ns0:c r="D278" s="4">
        <ns0:v>51.45</ns0:v>
      </ns0:c>
      <ns0:c r="E278" s="4">
        <ns0:v>61.32</ns0:v>
      </ns0:c>
      <ns0:c r="F278" s="4">
        <ns0:v>69.92</ns0:v>
      </ns0:c>
      <ns0:c r="G278" s="4">
        <ns0:v>16.57</ns0:v>
      </ns0:c>
      <ns0:c r="H278" s="4">
        <ns0:v>17.30</ns0:v>
      </ns0:c>
      <ns0:c r="I278" s="4">
        <ns0:v>21.68</ns0:v>
      </ns0:c>
      <ns0:c r="J278" s="4">
        <ns0:v>19.35</ns0:v>
      </ns0:c>
      <ns0:c r="K278" s="4">
        <ns0:v>56.73</ns0:v>
      </ns0:c>
      <ns0:c r="L278" s="4">
        <ns0:v>69.70</ns0:v>
      </ns0:c>
      <ns0:c r="M278" s="4">
        <ns0:v>32.81</ns0:v>
      </ns0:c>
      <ns0:c r="N278" s="4">
        <ns0:v>19.51</ns0:v>
      </ns0:c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 t="inlineStr">
        <ns0:is>
          <ns0:t>快递费单价</ns0:t>
        </ns0:is>
      </ns0:c>
      <ns0:c r="C279" s="4">
        <ns0:v>59.85</ns0:v>
      </ns0:c>
      <ns0:c r="D279" s="4">
        <ns0:v>58.02</ns0:v>
      </ns0:c>
      <ns0:c r="E279" s="4">
        <ns0:v>59.98</ns0:v>
      </ns0:c>
      <ns0:c r="F279" s="4">
        <ns0:v>55.39</ns0:v>
      </ns0:c>
      <ns0:c r="G279" s="4">
        <ns0:v>69.02</ns0:v>
      </ns0:c>
      <ns0:c r="H279" s="4">
        <ns0:v>28.11</ns0:v>
      </ns0:c>
      <ns0:c r="I279" s="4">
        <ns0:v>46.63</ns0:v>
      </ns0:c>
      <ns0:c r="J279" s="4">
        <ns0:v>62.70</ns0:v>
      </ns0:c>
      <ns0:c r="K279" s="4">
        <ns0:v>47.38</ns0:v>
      </ns0:c>
      <ns0:c r="L279" s="4">
        <ns0:v>40.28</ns0:v>
      </ns0:c>
      <ns0:c r="M279" s="4">
        <ns0:v>59.89</ns0:v>
      </ns0:c>
      <ns0:c r="N279" s="4">
        <ns0:v>66.41</ns0:v>
      </ns0:c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 t="inlineStr">
        <ns0:is>
          <ns0:t>折旧及摊销单价</ns0:t>
        </ns0:is>
      </ns0:c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 t="inlineStr">
        <ns0:is>
          <ns0:t>机票火车票单价</ns0:t>
        </ns0:is>
      </ns0:c>
      <ns0:c r="C281" s="4">
        <ns0:v>46.51</ns0:v>
      </ns0:c>
      <ns0:c r="D281" s="4">
        <ns0:v>30.26</ns0:v>
      </ns0:c>
      <ns0:c r="E281" s="4">
        <ns0:v>25.80</ns0:v>
      </ns0:c>
      <ns0:c r="F281" s="4">
        <ns0:v>70.89</ns0:v>
      </ns0:c>
      <ns0:c r="G281" s="4">
        <ns0:v>44.78</ns0:v>
      </ns0:c>
      <ns0:c r="H281" s="4">
        <ns0:v>16.72</ns0:v>
      </ns0:c>
      <ns0:c r="I281" s="4">
        <ns0:v>20.47</ns0:v>
      </ns0:c>
      <ns0:c r="J281" s="4">
        <ns0:v>47.02</ns0:v>
      </ns0:c>
      <ns0:c r="K281" s="4">
        <ns0:v>61.76</ns0:v>
      </ns0:c>
      <ns0:c r="L281" s="4">
        <ns0:v>24.34</ns0:v>
      </ns0:c>
      <ns0:c r="M281" s="4">
        <ns0:v>24.58</ns0:v>
      </ns0:c>
      <ns0:c r="N281" s="4">
        <ns0:v>68.06</ns0:v>
      </ns0:c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 t="inlineStr">
        <ns0:is>
          <ns0:t>住宿费单价</ns0:t>
        </ns0:is>
      </ns0:c>
      <ns0:c r="C282" s="4">
        <ns0:v>53.62</ns0:v>
      </ns0:c>
      <ns0:c r="D282" s="4">
        <ns0:v>22.68</ns0:v>
      </ns0:c>
      <ns0:c r="E282" s="4">
        <ns0:v>54.62</ns0:v>
      </ns0:c>
      <ns0:c r="F282" s="4">
        <ns0:v>64.59</ns0:v>
      </ns0:c>
      <ns0:c r="G282" s="4">
        <ns0:v>37.54</ns0:v>
      </ns0:c>
      <ns0:c r="H282" s="4">
        <ns0:v>55.54</ns0:v>
      </ns0:c>
      <ns0:c r="I282" s="4">
        <ns0:v>19.78</ns0:v>
      </ns0:c>
      <ns0:c r="J282" s="4">
        <ns0:v>54.96</ns0:v>
      </ns0:c>
      <ns0:c r="K282" s="4">
        <ns0:v>30.50</ns0:v>
      </ns0:c>
      <ns0:c r="L282" s="4">
        <ns0:v>54.53</ns0:v>
      </ns0:c>
      <ns0:c r="M282" s="4">
        <ns0:v>31.50</ns0:v>
      </ns0:c>
      <ns0:c r="N282" s="4">
        <ns0:v>27.59</ns0:v>
      </ns0:c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 t="inlineStr">
        <ns0:is>
          <ns0:t>交通费单价</ns0:t>
        </ns0:is>
      </ns0:c>
      <ns0:c r="C283" s="4">
        <ns0:v>59.23</ns0:v>
      </ns0:c>
      <ns0:c r="D283" s="4">
        <ns0:v>44.74</ns0:v>
      </ns0:c>
      <ns0:c r="E283" s="4">
        <ns0:v>29.52</ns0:v>
      </ns0:c>
      <ns0:c r="F283" s="4">
        <ns0:v>15.67</ns0:v>
      </ns0:c>
      <ns0:c r="G283" s="4">
        <ns0:v>57.42</ns0:v>
      </ns0:c>
      <ns0:c r="H283" s="4">
        <ns0:v>54.90</ns0:v>
      </ns0:c>
      <ns0:c r="I283" s="4">
        <ns0:v>28.58</ns0:v>
      </ns0:c>
      <ns0:c r="J283" s="4">
        <ns0:v>28.38</ns0:v>
      </ns0:c>
      <ns0:c r="K283" s="4">
        <ns0:v>19.77</ns0:v>
      </ns0:c>
      <ns0:c r="L283" s="4">
        <ns0:v>52.01</ns0:v>
      </ns0:c>
      <ns0:c r="M283" s="4">
        <ns0:v>30.25</ns0:v>
      </ns0:c>
      <ns0:c r="N283" s="4">
        <ns0:v>36.18</ns0:v>
      </ns0:c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 t="inlineStr">
        <ns0:is>
          <ns0:t>差旅补贴单价</ns0:t>
        </ns0:is>
      </ns0:c>
      <ns0:c r="C284" s="4">
        <ns0:v>42.48</ns0:v>
      </ns0:c>
      <ns0:c r="D284" s="4">
        <ns0:v>20.73</ns0:v>
      </ns0:c>
      <ns0:c r="E284" s="4">
        <ns0:v>16.75</ns0:v>
      </ns0:c>
      <ns0:c r="F284" s="4">
        <ns0:v>20.58</ns0:v>
      </ns0:c>
      <ns0:c r="G284" s="4">
        <ns0:v>59.40</ns0:v>
      </ns0:c>
      <ns0:c r="H284" s="4">
        <ns0:v>49.67</ns0:v>
      </ns0:c>
      <ns0:c r="I284" s="4">
        <ns0:v>28.86</ns0:v>
      </ns0:c>
      <ns0:c r="J284" s="4">
        <ns0:v>43.35</ns0:v>
      </ns0:c>
      <ns0:c r="K284" s="4">
        <ns0:v>61.69</ns0:v>
      </ns0:c>
      <ns0:c r="L284" s="4">
        <ns0:v>23.75</ns0:v>
      </ns0:c>
      <ns0:c r="M284" s="4">
        <ns0:v>21.34</ns0:v>
      </ns0:c>
      <ns0:c r="N284" s="4">
        <ns0:v>31.70</ns0:v>
      </ns0:c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 t="inlineStr">
        <ns0:is>
          <ns0:t>业务招待费单价</ns0:t>
        </ns0:is>
      </ns0:c>
      <ns0:c r="C285" s="4">
        <ns0:v>62.99</ns0:v>
      </ns0:c>
      <ns0:c r="D285" s="4">
        <ns0:v>60.45</ns0:v>
      </ns0:c>
      <ns0:c r="E285" s="4">
        <ns0:v>65.38</ns0:v>
      </ns0:c>
      <ns0:c r="F285" s="4">
        <ns0:v>28.56</ns0:v>
      </ns0:c>
      <ns0:c r="G285" s="4">
        <ns0:v>48.61</ns0:v>
      </ns0:c>
      <ns0:c r="H285" s="4">
        <ns0:v>25.54</ns0:v>
      </ns0:c>
      <ns0:c r="I285" s="4">
        <ns0:v>51.73</ns0:v>
      </ns0:c>
      <ns0:c r="J285" s="4">
        <ns0:v>38.63</ns0:v>
      </ns0:c>
      <ns0:c r="K285" s="4">
        <ns0:v>48.02</ns0:v>
      </ns0:c>
      <ns0:c r="L285" s="4">
        <ns0:v>36.12</ns0:v>
      </ns0:c>
      <ns0:c r="M285" s="4">
        <ns0:v>51.54</ns0:v>
      </ns0:c>
      <ns0:c r="N285" s="4">
        <ns0:v>59.03</ns0:v>
      </ns0:c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 t="inlineStr">
        <ns0:is>
          <ns0:t>市内交通费单价</ns0:t>
        </ns0:is>
      </ns0:c>
      <ns0:c r="C286" s="4">
        <ns0:v>66.86</ns0:v>
      </ns0:c>
      <ns0:c r="D286" s="4">
        <ns0:v>47.84</ns0:v>
      </ns0:c>
      <ns0:c r="E286" s="4">
        <ns0:v>23.77</ns0:v>
      </ns0:c>
      <ns0:c r="F286" s="4">
        <ns0:v>16.35</ns0:v>
      </ns0:c>
      <ns0:c r="G286" s="4">
        <ns0:v>58.92</ns0:v>
      </ns0:c>
      <ns0:c r="H286" s="4">
        <ns0:v>63.34</ns0:v>
      </ns0:c>
      <ns0:c r="I286" s="4">
        <ns0:v>29.23</ns0:v>
      </ns0:c>
      <ns0:c r="J286" s="4">
        <ns0:v>35.96</ns0:v>
      </ns0:c>
      <ns0:c r="K286" s="4">
        <ns0:v>61.89</ns0:v>
      </ns0:c>
      <ns0:c r="L286" s="4">
        <ns0:v>32.47</ns0:v>
      </ns0:c>
      <ns0:c r="M286" s="4">
        <ns0:v>63.82</ns0:v>
      </ns0:c>
      <ns0:c r="N286" s="4">
        <ns0:v>23.93</ns0:v>
      </ns0:c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 t="inlineStr">
        <ns0:is>
          <ns0:t>调研费用单价</ns0:t>
        </ns0:is>
      </ns0:c>
      <ns0:c r="C287" s="4">
        <ns0:v>50.46</ns0:v>
      </ns0:c>
      <ns0:c r="D287" s="4">
        <ns0:v>22.78</ns0:v>
      </ns0:c>
      <ns0:c r="E287" s="4">
        <ns0:v>45.11</ns0:v>
      </ns0:c>
      <ns0:c r="F287" s="4">
        <ns0:v>51.88</ns0:v>
      </ns0:c>
      <ns0:c r="G287" s="4">
        <ns0:v>42.49</ns0:v>
      </ns0:c>
      <ns0:c r="H287" s="4">
        <ns0:v>31.72</ns0:v>
      </ns0:c>
      <ns0:c r="I287" s="4">
        <ns0:v>32.88</ns0:v>
      </ns0:c>
      <ns0:c r="J287" s="4">
        <ns0:v>42.95</ns0:v>
      </ns0:c>
      <ns0:c r="K287" s="4">
        <ns0:v>45.87</ns0:v>
      </ns0:c>
      <ns0:c r="L287" s="4">
        <ns0:v>23.02</ns0:v>
      </ns0:c>
      <ns0:c r="M287" s="4">
        <ns0:v>60.77</ns0:v>
      </ns0:c>
      <ns0:c r="N287" s="4">
        <ns0:v>48.96</ns0:v>
      </ns0:c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 t="inlineStr">
        <ns0:is>
          <ns0:t>手续费单价</ns0:t>
        </ns0:is>
      </ns0:c>
      <ns0:c r="C288" s="4">
        <ns0:v>34.51</ns0:v>
      </ns0:c>
      <ns0:c r="D288" s="4">
        <ns0:v>16.71</ns0:v>
      </ns0:c>
      <ns0:c r="E288" s="4">
        <ns0:v>27.30</ns0:v>
      </ns0:c>
      <ns0:c r="F288" s="4">
        <ns0:v>41.93</ns0:v>
      </ns0:c>
      <ns0:c r="G288" s="4">
        <ns0:v>68.63</ns0:v>
      </ns0:c>
      <ns0:c r="H288" s="4">
        <ns0:v>52.03</ns0:v>
      </ns0:c>
      <ns0:c r="I288" s="4">
        <ns0:v>49.01</ns0:v>
      </ns0:c>
      <ns0:c r="J288" s="4">
        <ns0:v>49.85</ns0:v>
      </ns0:c>
      <ns0:c r="K288" s="4">
        <ns0:v>74.01</ns0:v>
      </ns0:c>
      <ns0:c r="L288" s="4">
        <ns0:v>26.46</ns0:v>
      </ns0:c>
      <ns0:c r="M288" s="4">
        <ns0:v>28.51</ns0:v>
      </ns0:c>
      <ns0:c r="N288" s="4">
        <ns0:v>33.97</ns0:v>
      </ns0:c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 t="inlineStr">
        <ns0:is>
          <ns0:t>利息收入单价</ns0:t>
        </ns0:is>
      </ns0:c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 t="inlineStr">
        <ns0:is>
          <ns0:t>利息支出单价</ns0:t>
        </ns0:is>
      </ns0:c>
      <ns0:c r="C290" s="4">
        <ns0:v>61.74</ns0:v>
      </ns0:c>
      <ns0:c r="D290" s="4">
        <ns0:v>65.16</ns0:v>
      </ns0:c>
      <ns0:c r="E290" s="4">
        <ns0:v>52.26</ns0:v>
      </ns0:c>
      <ns0:c r="F290" s="4">
        <ns0:v>56.80</ns0:v>
      </ns0:c>
      <ns0:c r="G290" s="4">
        <ns0:v>72.88</ns0:v>
      </ns0:c>
      <ns0:c r="H290" s="4">
        <ns0:v>37.55</ns0:v>
      </ns0:c>
      <ns0:c r="I290" s="4">
        <ns0:v>33.59</ns0:v>
      </ns0:c>
      <ns0:c r="J290" s="4">
        <ns0:v>25.65</ns0:v>
      </ns0:c>
      <ns0:c r="K290" s="4">
        <ns0:v>43.94</ns0:v>
      </ns0:c>
      <ns0:c r="L290" s="4">
        <ns0:v>17.82</ns0:v>
      </ns0:c>
      <ns0:c r="M290" s="4">
        <ns0:v>62.12</ns0:v>
      </ns0:c>
      <ns0:c r="N290" s="4">
        <ns0:v>47.39</ns0:v>
      </ns0:c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 t="inlineStr">
        <ns0:is>
          <ns0:t>车船税单价</ns0:t>
        </ns0:is>
      </ns0:c>
      <ns0:c r="C291" s="4">
        <ns0:v>61.55</ns0:v>
      </ns0:c>
      <ns0:c r="D291" s="4">
        <ns0:v>29.66</ns0:v>
      </ns0:c>
      <ns0:c r="E291" s="4">
        <ns0:v>65.46</ns0:v>
      </ns0:c>
      <ns0:c r="F291" s="4">
        <ns0:v>59.73</ns0:v>
      </ns0:c>
      <ns0:c r="G291" s="4">
        <ns0:v>51.19</ns0:v>
      </ns0:c>
      <ns0:c r="H291" s="4">
        <ns0:v>76.31</ns0:v>
      </ns0:c>
      <ns0:c r="I291" s="4">
        <ns0:v>17.99</ns0:v>
      </ns0:c>
      <ns0:c r="J291" s="4">
        <ns0:v>49.58</ns0:v>
      </ns0:c>
      <ns0:c r="K291" s="4">
        <ns0:v>48.14</ns0:v>
      </ns0:c>
      <ns0:c r="L291" s="4">
        <ns0:v>34.71</ns0:v>
      </ns0:c>
      <ns0:c r="M291" s="4">
        <ns0:v>69.55</ns0:v>
      </ns0:c>
      <ns0:c r="N291" s="4">
        <ns0:v>60.41</ns0:v>
      </ns0:c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 t="inlineStr">
        <ns0:is>
          <ns0:t>印花税单价</ns0:t>
        </ns0:is>
      </ns0:c>
      <ns0:c r="C292" s="4">
        <ns0:v>19.77</ns0:v>
      </ns0:c>
      <ns0:c r="D292" s="4">
        <ns0:v>35.16</ns0:v>
      </ns0:c>
      <ns0:c r="E292" s="4">
        <ns0:v>59.94</ns0:v>
      </ns0:c>
      <ns0:c r="F292" s="4">
        <ns0:v>65.99</ns0:v>
      </ns0:c>
      <ns0:c r="G292" s="4">
        <ns0:v>53.58</ns0:v>
      </ns0:c>
      <ns0:c r="H292" s="4">
        <ns0:v>72.89</ns0:v>
      </ns0:c>
      <ns0:c r="I292" s="4">
        <ns0:v>35.82</ns0:v>
      </ns0:c>
      <ns0:c r="J292" s="4">
        <ns0:v>22.54</ns0:v>
      </ns0:c>
      <ns0:c r="K292" s="4">
        <ns0:v>52.40</ns0:v>
      </ns0:c>
      <ns0:c r="L292" s="4">
        <ns0:v>19.03</ns0:v>
      </ns0:c>
      <ns0:c r="M292" s="4">
        <ns0:v>22.50</ns0:v>
      </ns0:c>
      <ns0:c r="N292" s="4">
        <ns0:v>47.30</ns0:v>
      </ns0:c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 t="inlineStr">
        <ns0:is>
          <ns0:t>其他单价</ns0:t>
        </ns0:is>
      </ns0:c>
      <ns0:c r="C293" s="4">
        <ns0:v>24.12</ns0:v>
      </ns0:c>
      <ns0:c r="D293" s="4">
        <ns0:v>23.13</ns0:v>
      </ns0:c>
      <ns0:c r="E293" s="4">
        <ns0:v>42.03</ns0:v>
      </ns0:c>
      <ns0:c r="F293" s="4">
        <ns0:v>22.43</ns0:v>
      </ns0:c>
      <ns0:c r="G293" s="4">
        <ns0:v>27.86</ns0:v>
      </ns0:c>
      <ns0:c r="H293" s="4">
        <ns0:v>25.67</ns0:v>
      </ns0:c>
      <ns0:c r="I293" s="4">
        <ns0:v>60.60</ns0:v>
      </ns0:c>
      <ns0:c r="J293" s="4">
        <ns0:v>56.77</ns0:v>
      </ns0:c>
      <ns0:c r="K293" s="4">
        <ns0:v>35.74</ns0:v>
      </ns0:c>
      <ns0:c r="L293" s="4">
        <ns0:v>41.13</ns0:v>
      </ns0:c>
      <ns0:c r="M293" s="4">
        <ns0:v>28.42</ns0:v>
      </ns0:c>
      <ns0:c r="N293" s="4">
        <ns0:v>50.64</ns0:v>
      </ns0:c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 t="inlineStr">
        <ns0:is>
          <ns0:t>工资数量</ns0:t>
        </ns0:is>
      </ns0:c>
      <ns0:c r="C324" s="4">
        <ns0:v>2.80</ns0:v>
      </ns0:c>
      <ns0:c r="D324" s="4">
        <ns0:v>3.37</ns0:v>
      </ns0:c>
      <ns0:c r="E324" s="4">
        <ns0:v>4.82</ns0:v>
      </ns0:c>
      <ns0:c r="F324" s="4">
        <ns0:v>2.04</ns0:v>
      </ns0:c>
      <ns0:c r="G324" s="4">
        <ns0:v>6.51</ns0:v>
      </ns0:c>
      <ns0:c r="H324" s="4">
        <ns0:v>5.76</ns0:v>
      </ns0:c>
      <ns0:c r="I324" s="4">
        <ns0:v>5.24</ns0:v>
      </ns0:c>
      <ns0:c r="J324" s="4">
        <ns0:v>6.67</ns0:v>
      </ns0:c>
      <ns0:c r="K324" s="4">
        <ns0:v>6.25</ns0:v>
      </ns0:c>
      <ns0:c r="L324" s="4">
        <ns0:v>7.25</ns0:v>
      </ns0:c>
      <ns0:c r="M324" s="4">
        <ns0:v>3.51</ns0:v>
      </ns0:c>
      <ns0:c r="N324" s="4">
        <ns0:v>6.59</ns0:v>
      </ns0:c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 t="inlineStr">
        <ns0:is>
          <ns0:t>十三薪数量</ns0:t>
        </ns0:is>
      </ns0:c>
      <ns0:c r="C325" s="4">
        <ns0:v>6.73</ns0:v>
      </ns0:c>
      <ns0:c r="D325" s="4">
        <ns0:v>3.54</ns0:v>
      </ns0:c>
      <ns0:c r="E325" s="4">
        <ns0:v>7.58</ns0:v>
      </ns0:c>
      <ns0:c r="F325" s="4">
        <ns0:v>6.11</ns0:v>
      </ns0:c>
      <ns0:c r="G325" s="4">
        <ns0:v>7.59</ns0:v>
      </ns0:c>
      <ns0:c r="H325" s="4">
        <ns0:v>5.48</ns0:v>
      </ns0:c>
      <ns0:c r="I325" s="4">
        <ns0:v>6.72</ns0:v>
      </ns0:c>
      <ns0:c r="J325" s="4">
        <ns0:v>2.88</ns0:v>
      </ns0:c>
      <ns0:c r="K325" s="4">
        <ns0:v>6.47</ns0:v>
      </ns0:c>
      <ns0:c r="L325" s="4">
        <ns0:v>2.36</ns0:v>
      </ns0:c>
      <ns0:c r="M325" s="4">
        <ns0:v>2.08</ns0:v>
      </ns0:c>
      <ns0:c r="N325" s="4">
        <ns0:v>2.56</ns0:v>
      </ns0:c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 t="inlineStr">
        <ns0:is>
          <ns0:t>离职补偿金数量</ns0:t>
        </ns0:is>
      </ns0:c>
      <ns0:c r="C326" s="4">
        <ns0:v>7.69</ns0:v>
      </ns0:c>
      <ns0:c r="D326" s="4">
        <ns0:v>8.68</ns0:v>
      </ns0:c>
      <ns0:c r="E326" s="4">
        <ns0:v>4.43</ns0:v>
      </ns0:c>
      <ns0:c r="F326" s="4">
        <ns0:v>4.51</ns0:v>
      </ns0:c>
      <ns0:c r="G326" s="4">
        <ns0:v>8.78</ns0:v>
      </ns0:c>
      <ns0:c r="H326" s="4">
        <ns0:v>8.68</ns0:v>
      </ns0:c>
      <ns0:c r="I326" s="4">
        <ns0:v>6.66</ns0:v>
      </ns0:c>
      <ns0:c r="J326" s="4">
        <ns0:v>6.32</ns0:v>
      </ns0:c>
      <ns0:c r="K326" s="4">
        <ns0:v>7.69</ns0:v>
      </ns0:c>
      <ns0:c r="L326" s="4">
        <ns0:v>6.97</ns0:v>
      </ns0:c>
      <ns0:c r="M326" s="4">
        <ns0:v>6.91</ns0:v>
      </ns0:c>
      <ns0:c r="N326" s="4">
        <ns0:v>5.09</ns0:v>
      </ns0:c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 t="inlineStr">
        <ns0:is>
          <ns0:t>五险一金数量</ns0:t>
        </ns0:is>
      </ns0:c>
      <ns0:c r="C327" s="4">
        <ns0:v>5.16</ns0:v>
      </ns0:c>
      <ns0:c r="D327" s="4">
        <ns0:v>4.81</ns0:v>
      </ns0:c>
      <ns0:c r="E327" s="4">
        <ns0:v>2.57</ns0:v>
      </ns0:c>
      <ns0:c r="F327" s="4">
        <ns0:v>7.74</ns0:v>
      </ns0:c>
      <ns0:c r="G327" s="4">
        <ns0:v>7.13</ns0:v>
      </ns0:c>
      <ns0:c r="H327" s="4">
        <ns0:v>5.72</ns0:v>
      </ns0:c>
      <ns0:c r="I327" s="4">
        <ns0:v>8.54</ns0:v>
      </ns0:c>
      <ns0:c r="J327" s="4">
        <ns0:v>6.04</ns0:v>
      </ns0:c>
      <ns0:c r="K327" s="4">
        <ns0:v>6.71</ns0:v>
      </ns0:c>
      <ns0:c r="L327" s="4">
        <ns0:v>2.81</ns0:v>
      </ns0:c>
      <ns0:c r="M327" s="4">
        <ns0:v>8.75</ns0:v>
      </ns0:c>
      <ns0:c r="N327" s="4">
        <ns0:v>8.24</ns0:v>
      </ns0:c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 t="inlineStr">
        <ns0:is>
          <ns0:t>福利费数量</ns0:t>
        </ns0:is>
      </ns0:c>
      <ns0:c r="C328" s="4">
        <ns0:v>7.16</ns0:v>
      </ns0:c>
      <ns0:c r="D328" s="4">
        <ns0:v>6.05</ns0:v>
      </ns0:c>
      <ns0:c r="E328" s="4">
        <ns0:v>5.43</ns0:v>
      </ns0:c>
      <ns0:c r="F328" s="4">
        <ns0:v>2.29</ns0:v>
      </ns0:c>
      <ns0:c r="G328" s="4">
        <ns0:v>6.78</ns0:v>
      </ns0:c>
      <ns0:c r="H328" s="4">
        <ns0:v>8.51</ns0:v>
      </ns0:c>
      <ns0:c r="I328" s="4">
        <ns0:v>4.99</ns0:v>
      </ns0:c>
      <ns0:c r="J328" s="4">
        <ns0:v>2.89</ns0:v>
      </ns0:c>
      <ns0:c r="K328" s="4">
        <ns0:v>5.47</ns0:v>
      </ns0:c>
      <ns0:c r="L328" s="4">
        <ns0:v>7.30</ns0:v>
      </ns0:c>
      <ns0:c r="M328" s="4">
        <ns0:v>3.56</ns0:v>
      </ns0:c>
      <ns0:c r="N328" s="4">
        <ns0:v>3.14</ns0:v>
      </ns0:c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 t="inlineStr">
        <ns0:is>
          <ns0:t>招聘费数量</ns0:t>
        </ns0:is>
      </ns0:c>
      <ns0:c r="C329" s="4">
        <ns0:v>2.85</ns0:v>
      </ns0:c>
      <ns0:c r="D329" s="4">
        <ns0:v>4.07</ns0:v>
      </ns0:c>
      <ns0:c r="E329" s="4">
        <ns0:v>4.71</ns0:v>
      </ns0:c>
      <ns0:c r="F329" s="4">
        <ns0:v>3.55</ns0:v>
      </ns0:c>
      <ns0:c r="G329" s="4">
        <ns0:v>4.27</ns0:v>
      </ns0:c>
      <ns0:c r="H329" s="4">
        <ns0:v>6.56</ns0:v>
      </ns0:c>
      <ns0:c r="I329" s="4">
        <ns0:v>6.02</ns0:v>
      </ns0:c>
      <ns0:c r="J329" s="4">
        <ns0:v>1.96</ns0:v>
      </ns0:c>
      <ns0:c r="K329" s="4">
        <ns0:v>6.69</ns0:v>
      </ns0:c>
      <ns0:c r="L329" s="4">
        <ns0:v>5.42</ns0:v>
      </ns0:c>
      <ns0:c r="M329" s="4">
        <ns0:v>4.47</ns0:v>
      </ns0:c>
      <ns0:c r="N329" s="4">
        <ns0:v>8.32</ns0:v>
      </ns0:c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 t="inlineStr">
        <ns0:is>
          <ns0:t>培训费数量</ns0:t>
        </ns0:is>
      </ns0:c>
      <ns0:c r="C330" s="4">
        <ns0:v>2.71</ns0:v>
      </ns0:c>
      <ns0:c r="D330" s="4">
        <ns0:v>6.75</ns0:v>
      </ns0:c>
      <ns0:c r="E330" s="4">
        <ns0:v>8.31</ns0:v>
      </ns0:c>
      <ns0:c r="F330" s="4">
        <ns0:v>6.10</ns0:v>
      </ns0:c>
      <ns0:c r="G330" s="4">
        <ns0:v>2.49</ns0:v>
      </ns0:c>
      <ns0:c r="H330" s="4">
        <ns0:v>7.71</ns0:v>
      </ns0:c>
      <ns0:c r="I330" s="4">
        <ns0:v>2.95</ns0:v>
      </ns0:c>
      <ns0:c r="J330" s="4">
        <ns0:v>6.06</ns0:v>
      </ns0:c>
      <ns0:c r="K330" s="4">
        <ns0:v>8.17</ns0:v>
      </ns0:c>
      <ns0:c r="L330" s="4">
        <ns0:v>8.40</ns0:v>
      </ns0:c>
      <ns0:c r="M330" s="4">
        <ns0:v>2.51</ns0:v>
      </ns0:c>
      <ns0:c r="N330" s="4">
        <ns0:v>4.97</ns0:v>
      </ns0:c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 t="inlineStr">
        <ns0:is>
          <ns0:t>房租数量</ns0:t>
        </ns0:is>
      </ns0:c>
      <ns0:c r="C331" s="4">
        <ns0:v>8.32</ns0:v>
      </ns0:c>
      <ns0:c r="D331" s="4">
        <ns0:v>5.79</ns0:v>
      </ns0:c>
      <ns0:c r="E331" s="4">
        <ns0:v>8.33</ns0:v>
      </ns0:c>
      <ns0:c r="F331" s="4">
        <ns0:v>8.16</ns0:v>
      </ns0:c>
      <ns0:c r="G331" s="4">
        <ns0:v>8.68</ns0:v>
      </ns0:c>
      <ns0:c r="H331" s="4">
        <ns0:v>8.59</ns0:v>
      </ns0:c>
      <ns0:c r="I331" s="4">
        <ns0:v>6.10</ns0:v>
      </ns0:c>
      <ns0:c r="J331" s="4">
        <ns0:v>4.19</ns0:v>
      </ns0:c>
      <ns0:c r="K331" s="4">
        <ns0:v>6.08</ns0:v>
      </ns0:c>
      <ns0:c r="L331" s="4">
        <ns0:v>2.61</ns0:v>
      </ns0:c>
      <ns0:c r="M331" s="4">
        <ns0:v>5.39</ns0:v>
      </ns0:c>
      <ns0:c r="N331" s="4">
        <ns0:v>7.77</ns0:v>
      </ns0:c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 t="inlineStr">
        <ns0:is>
          <ns0:t>物业管理费数量</ns0:t>
        </ns0:is>
      </ns0:c>
      <ns0:c r="C332" s="4">
        <ns0:v>8.11</ns0:v>
      </ns0:c>
      <ns0:c r="D332" s="4">
        <ns0:v>4.60</ns0:v>
      </ns0:c>
      <ns0:c r="E332" s="4">
        <ns0:v>7.20</ns0:v>
      </ns0:c>
      <ns0:c r="F332" s="4">
        <ns0:v>5.77</ns0:v>
      </ns0:c>
      <ns0:c r="G332" s="4">
        <ns0:v>7.33</ns0:v>
      </ns0:c>
      <ns0:c r="H332" s="4">
        <ns0:v>5.80</ns0:v>
      </ns0:c>
      <ns0:c r="I332" s="4">
        <ns0:v>5.82</ns0:v>
      </ns0:c>
      <ns0:c r="J332" s="4">
        <ns0:v>2.75</ns0:v>
      </ns0:c>
      <ns0:c r="K332" s="4">
        <ns0:v>9.08</ns0:v>
      </ns0:c>
      <ns0:c r="L332" s="4">
        <ns0:v>6.90</ns0:v>
      </ns0:c>
      <ns0:c r="M332" s="4">
        <ns0:v>8.92</ns0:v>
      </ns0:c>
      <ns0:c r="N332" s="4">
        <ns0:v>8.37</ns0:v>
      </ns0:c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 t="inlineStr">
        <ns0:is>
          <ns0:t>汽车费用数量</ns0:t>
        </ns0:is>
      </ns0:c>
      <ns0:c r="C333" s="4">
        <ns0:v>9.30</ns0:v>
      </ns0:c>
      <ns0:c r="D333" s="4">
        <ns0:v>2.95</ns0:v>
      </ns0:c>
      <ns0:c r="E333" s="4">
        <ns0:v>6.14</ns0:v>
      </ns0:c>
      <ns0:c r="F333" s="4">
        <ns0:v>4.42</ns0:v>
      </ns0:c>
      <ns0:c r="G333" s="4">
        <ns0:v>2.71</ns0:v>
      </ns0:c>
      <ns0:c r="H333" s="4">
        <ns0:v>3.98</ns0:v>
      </ns0:c>
      <ns0:c r="I333" s="4">
        <ns0:v>7.67</ns0:v>
      </ns0:c>
      <ns0:c r="J333" s="4">
        <ns0:v>4.31</ns0:v>
      </ns0:c>
      <ns0:c r="K333" s="4">
        <ns0:v>3.74</ns0:v>
      </ns0:c>
      <ns0:c r="L333" s="4">
        <ns0:v>7.27</ns0:v>
      </ns0:c>
      <ns0:c r="M333" s="4">
        <ns0:v>7.64</ns0:v>
      </ns0:c>
      <ns0:c r="N333" s="4">
        <ns0:v>3.27</ns0:v>
      </ns0:c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 t="inlineStr">
        <ns0:is>
          <ns0:t>办公费数量</ns0:t>
        </ns0:is>
      </ns0:c>
      <ns0:c r="C334" s="4">
        <ns0:v>3.03</ns0:v>
      </ns0:c>
      <ns0:c r="D334" s="4">
        <ns0:v>5.46</ns0:v>
      </ns0:c>
      <ns0:c r="E334" s="4">
        <ns0:v>8.56</ns0:v>
      </ns0:c>
      <ns0:c r="F334" s="4">
        <ns0:v>5.98</ns0:v>
      </ns0:c>
      <ns0:c r="G334" s="4">
        <ns0:v>2.04</ns0:v>
      </ns0:c>
      <ns0:c r="H334" s="4">
        <ns0:v>3.29</ns0:v>
      </ns0:c>
      <ns0:c r="I334" s="4">
        <ns0:v>7.26</ns0:v>
      </ns0:c>
      <ns0:c r="J334" s="4">
        <ns0:v>6.55</ns0:v>
      </ns0:c>
      <ns0:c r="K334" s="4">
        <ns0:v>8.15</ns0:v>
      </ns0:c>
      <ns0:c r="L334" s="4">
        <ns0:v>7.20</ns0:v>
      </ns0:c>
      <ns0:c r="M334" s="4">
        <ns0:v>4.31</ns0:v>
      </ns0:c>
      <ns0:c r="N334" s="4">
        <ns0:v>6.24</ns0:v>
      </ns0:c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 t="inlineStr">
        <ns0:is>
          <ns0:t>办公用品数量</ns0:t>
        </ns0:is>
      </ns0:c>
      <ns0:c r="C335" s="4">
        <ns0:v>3.41</ns0:v>
      </ns0:c>
      <ns0:c r="D335" s="4">
        <ns0:v>2.24</ns0:v>
      </ns0:c>
      <ns0:c r="E335" s="4">
        <ns0:v>6.71</ns0:v>
      </ns0:c>
      <ns0:c r="F335" s="4">
        <ns0:v>2.15</ns0:v>
      </ns0:c>
      <ns0:c r="G335" s="4">
        <ns0:v>2.18</ns0:v>
      </ns0:c>
      <ns0:c r="H335" s="4">
        <ns0:v>2.49</ns0:v>
      </ns0:c>
      <ns0:c r="I335" s="4">
        <ns0:v>2.54</ns0:v>
      </ns0:c>
      <ns0:c r="J335" s="4">
        <ns0:v>3.23</ns0:v>
      </ns0:c>
      <ns0:c r="K335" s="4">
        <ns0:v>5.52</ns0:v>
      </ns0:c>
      <ns0:c r="L335" s="4">
        <ns0:v>3.56</ns0:v>
      </ns0:c>
      <ns0:c r="M335" s="4">
        <ns0:v>7.51</ns0:v>
      </ns0:c>
      <ns0:c r="N335" s="4">
        <ns0:v>5.94</ns0:v>
      </ns0:c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 t="inlineStr">
        <ns0:is>
          <ns0:t>水电煤数量</ns0:t>
        </ns0:is>
      </ns0:c>
      <ns0:c r="C336" s="4">
        <ns0:v>3.89</ns0:v>
      </ns0:c>
      <ns0:c r="D336" s="4">
        <ns0:v>3.90</ns0:v>
      </ns0:c>
      <ns0:c r="E336" s="4">
        <ns0:v>7.18</ns0:v>
      </ns0:c>
      <ns0:c r="F336" s="4">
        <ns0:v>8.21</ns0:v>
      </ns0:c>
      <ns0:c r="G336" s="4">
        <ns0:v>7.63</ns0:v>
      </ns0:c>
      <ns0:c r="H336" s="4">
        <ns0:v>4.51</ns0:v>
      </ns0:c>
      <ns0:c r="I336" s="4">
        <ns0:v>4.87</ns0:v>
      </ns0:c>
      <ns0:c r="J336" s="4">
        <ns0:v>9.36</ns0:v>
      </ns0:c>
      <ns0:c r="K336" s="4">
        <ns0:v>5.11</ns0:v>
      </ns0:c>
      <ns0:c r="L336" s="4">
        <ns0:v>6.11</ns0:v>
      </ns0:c>
      <ns0:c r="M336" s="4">
        <ns0:v>5.09</ns0:v>
      </ns0:c>
      <ns0:c r="N336" s="4">
        <ns0:v>5.79</ns0:v>
      </ns0:c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 t="inlineStr">
        <ns0:is>
          <ns0:t>咨询服务费数量</ns0:t>
        </ns0:is>
      </ns0:c>
      <ns0:c r="C337" s="4">
        <ns0:v>6.61</ns0:v>
      </ns0:c>
      <ns0:c r="D337" s="4">
        <ns0:v>4.17</ns0:v>
      </ns0:c>
      <ns0:c r="E337" s="4">
        <ns0:v>9.85</ns0:v>
      </ns0:c>
      <ns0:c r="F337" s="4">
        <ns0:v>4.58</ns0:v>
      </ns0:c>
      <ns0:c r="G337" s="4">
        <ns0:v>6.73</ns0:v>
      </ns0:c>
      <ns0:c r="H337" s="4">
        <ns0:v>5.86</ns0:v>
      </ns0:c>
      <ns0:c r="I337" s="4">
        <ns0:v>7.68</ns0:v>
      </ns0:c>
      <ns0:c r="J337" s="4">
        <ns0:v>6.01</ns0:v>
      </ns0:c>
      <ns0:c r="K337" s="4">
        <ns0:v>2.60</ns0:v>
      </ns0:c>
      <ns0:c r="L337" s="4">
        <ns0:v>7.39</ns0:v>
      </ns0:c>
      <ns0:c r="M337" s="4">
        <ns0:v>7.95</ns0:v>
      </ns0:c>
      <ns0:c r="N337" s="4">
        <ns0:v>3.84</ns0:v>
      </ns0:c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 t="inlineStr">
        <ns0:is>
          <ns0:t>电话费数量</ns0:t>
        </ns0:is>
      </ns0:c>
      <ns0:c r="C338" s="4">
        <ns0:v>7.45</ns0:v>
      </ns0:c>
      <ns0:c r="D338" s="4">
        <ns0:v>3.82</ns0:v>
      </ns0:c>
      <ns0:c r="E338" s="4">
        <ns0:v>6.62</ns0:v>
      </ns0:c>
      <ns0:c r="F338" s="4">
        <ns0:v>6.76</ns0:v>
      </ns0:c>
      <ns0:c r="G338" s="4">
        <ns0:v>2.28</ns0:v>
      </ns0:c>
      <ns0:c r="H338" s="4">
        <ns0:v>2.69</ns0:v>
      </ns0:c>
      <ns0:c r="I338" s="4">
        <ns0:v>5.69</ns0:v>
      </ns0:c>
      <ns0:c r="J338" s="4">
        <ns0:v>5.08</ns0:v>
      </ns0:c>
      <ns0:c r="K338" s="4">
        <ns0:v>4.29</ns0:v>
      </ns0:c>
      <ns0:c r="L338" s="4">
        <ns0:v>3.65</ns0:v>
      </ns0:c>
      <ns0:c r="M338" s="4">
        <ns0:v>7.71</ns0:v>
      </ns0:c>
      <ns0:c r="N338" s="4">
        <ns0:v>6.12</ns0:v>
      </ns0:c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 t="inlineStr">
        <ns0:is>
          <ns0:t>快递费数量</ns0:t>
        </ns0:is>
      </ns0:c>
      <ns0:c r="C339" s="4">
        <ns0:v>2.06</ns0:v>
      </ns0:c>
      <ns0:c r="D339" s="4">
        <ns0:v>6.93</ns0:v>
      </ns0:c>
      <ns0:c r="E339" s="4">
        <ns0:v>4.08</ns0:v>
      </ns0:c>
      <ns0:c r="F339" s="4">
        <ns0:v>6.45</ns0:v>
      </ns0:c>
      <ns0:c r="G339" s="4">
        <ns0:v>5.05</ns0:v>
      </ns0:c>
      <ns0:c r="H339" s="4">
        <ns0:v>2.68</ns0:v>
      </ns0:c>
      <ns0:c r="I339" s="4">
        <ns0:v>5.60</ns0:v>
      </ns0:c>
      <ns0:c r="J339" s="4">
        <ns0:v>3.41</ns0:v>
      </ns0:c>
      <ns0:c r="K339" s="4">
        <ns0:v>6.15</ns0:v>
      </ns0:c>
      <ns0:c r="L339" s="4">
        <ns0:v>4.85</ns0:v>
      </ns0:c>
      <ns0:c r="M339" s="4">
        <ns0:v>4.59</ns0:v>
      </ns0:c>
      <ns0:c r="N339" s="4">
        <ns0:v>7.50</ns0:v>
      </ns0:c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 t="inlineStr">
        <ns0:is>
          <ns0:t>折旧及摊销数量</ns0:t>
        </ns0:is>
      </ns0:c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 t="inlineStr">
        <ns0:is>
          <ns0:t>机票火车票数量</ns0:t>
        </ns0:is>
      </ns0:c>
      <ns0:c r="C341" s="4">
        <ns0:v>6.30</ns0:v>
      </ns0:c>
      <ns0:c r="D341" s="4">
        <ns0:v>5.65</ns0:v>
      </ns0:c>
      <ns0:c r="E341" s="4">
        <ns0:v>8.60</ns0:v>
      </ns0:c>
      <ns0:c r="F341" s="4">
        <ns0:v>6.03</ns0:v>
      </ns0:c>
      <ns0:c r="G341" s="4">
        <ns0:v>7.94</ns0:v>
      </ns0:c>
      <ns0:c r="H341" s="4">
        <ns0:v>7.47</ns0:v>
      </ns0:c>
      <ns0:c r="I341" s="4">
        <ns0:v>3.65</ns0:v>
      </ns0:c>
      <ns0:c r="J341" s="4">
        <ns0:v>5.96</ns0:v>
      </ns0:c>
      <ns0:c r="K341" s="4">
        <ns0:v>4.91</ns0:v>
      </ns0:c>
      <ns0:c r="L341" s="4">
        <ns0:v>5.55</ns0:v>
      </ns0:c>
      <ns0:c r="M341" s="4">
        <ns0:v>2.67</ns0:v>
      </ns0:c>
      <ns0:c r="N341" s="4">
        <ns0:v>2.24</ns0:v>
      </ns0:c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 t="inlineStr">
        <ns0:is>
          <ns0:t>住宿费数量</ns0:t>
        </ns0:is>
      </ns0:c>
      <ns0:c r="C342" s="4">
        <ns0:v>5.40</ns0:v>
      </ns0:c>
      <ns0:c r="D342" s="4">
        <ns0:v>2.05</ns0:v>
      </ns0:c>
      <ns0:c r="E342" s="4">
        <ns0:v>7.83</ns0:v>
      </ns0:c>
      <ns0:c r="F342" s="4">
        <ns0:v>3.73</ns0:v>
      </ns0:c>
      <ns0:c r="G342" s="4">
        <ns0:v>2.61</ns0:v>
      </ns0:c>
      <ns0:c r="H342" s="4">
        <ns0:v>6.43</ns0:v>
      </ns0:c>
      <ns0:c r="I342" s="4">
        <ns0:v>2.60</ns0:v>
      </ns0:c>
      <ns0:c r="J342" s="4">
        <ns0:v>8.48</ns0:v>
      </ns0:c>
      <ns0:c r="K342" s="4">
        <ns0:v>3.37</ns0:v>
      </ns0:c>
      <ns0:c r="L342" s="4">
        <ns0:v>4.14</ns0:v>
      </ns0:c>
      <ns0:c r="M342" s="4">
        <ns0:v>6.95</ns0:v>
      </ns0:c>
      <ns0:c r="N342" s="4">
        <ns0:v>7.38</ns0:v>
      </ns0:c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 t="inlineStr">
        <ns0:is>
          <ns0:t>交通费数量</ns0:t>
        </ns0:is>
      </ns0:c>
      <ns0:c r="C343" s="4">
        <ns0:v>2.20</ns0:v>
      </ns0:c>
      <ns0:c r="D343" s="4">
        <ns0:v>2.26</ns0:v>
      </ns0:c>
      <ns0:c r="E343" s="4">
        <ns0:v>2.51</ns0:v>
      </ns0:c>
      <ns0:c r="F343" s="4">
        <ns0:v>2.25</ns0:v>
      </ns0:c>
      <ns0:c r="G343" s="4">
        <ns0:v>7.96</ns0:v>
      </ns0:c>
      <ns0:c r="H343" s="4">
        <ns0:v>2.26</ns0:v>
      </ns0:c>
      <ns0:c r="I343" s="4">
        <ns0:v>7.31</ns0:v>
      </ns0:c>
      <ns0:c r="J343" s="4">
        <ns0:v>7.98</ns0:v>
      </ns0:c>
      <ns0:c r="K343" s="4">
        <ns0:v>2.78</ns0:v>
      </ns0:c>
      <ns0:c r="L343" s="4">
        <ns0:v>3.80</ns0:v>
      </ns0:c>
      <ns0:c r="M343" s="4">
        <ns0:v>6.54</ns0:v>
      </ns0:c>
      <ns0:c r="N343" s="4">
        <ns0:v>6.60</ns0:v>
      </ns0:c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 t="inlineStr">
        <ns0:is>
          <ns0:t>差旅补贴数量</ns0:t>
        </ns0:is>
      </ns0:c>
      <ns0:c r="C344" s="4">
        <ns0:v>5.63</ns0:v>
      </ns0:c>
      <ns0:c r="D344" s="4">
        <ns0:v>8.77</ns0:v>
      </ns0:c>
      <ns0:c r="E344" s="4">
        <ns0:v>8.24</ns0:v>
      </ns0:c>
      <ns0:c r="F344" s="4">
        <ns0:v>6.81</ns0:v>
      </ns0:c>
      <ns0:c r="G344" s="4">
        <ns0:v>8.79</ns0:v>
      </ns0:c>
      <ns0:c r="H344" s="4">
        <ns0:v>7.46</ns0:v>
      </ns0:c>
      <ns0:c r="I344" s="4">
        <ns0:v>5.82</ns0:v>
      </ns0:c>
      <ns0:c r="J344" s="4">
        <ns0:v>4.35</ns0:v>
      </ns0:c>
      <ns0:c r="K344" s="4">
        <ns0:v>7.65</ns0:v>
      </ns0:c>
      <ns0:c r="L344" s="4">
        <ns0:v>7.14</ns0:v>
      </ns0:c>
      <ns0:c r="M344" s="4">
        <ns0:v>3.87</ns0:v>
      </ns0:c>
      <ns0:c r="N344" s="4">
        <ns0:v>8.48</ns0:v>
      </ns0:c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 t="inlineStr">
        <ns0:is>
          <ns0:t>业务招待费数量</ns0:t>
        </ns0:is>
      </ns0:c>
      <ns0:c r="C345" s="4">
        <ns0:v>8.50</ns0:v>
      </ns0:c>
      <ns0:c r="D345" s="4">
        <ns0:v>7.78</ns0:v>
      </ns0:c>
      <ns0:c r="E345" s="4">
        <ns0:v>4.65</ns0:v>
      </ns0:c>
      <ns0:c r="F345" s="4">
        <ns0:v>4.05</ns0:v>
      </ns0:c>
      <ns0:c r="G345" s="4">
        <ns0:v>6.56</ns0:v>
      </ns0:c>
      <ns0:c r="H345" s="4">
        <ns0:v>2.56</ns0:v>
      </ns0:c>
      <ns0:c r="I345" s="4">
        <ns0:v>7.24</ns0:v>
      </ns0:c>
      <ns0:c r="J345" s="4">
        <ns0:v>8.30</ns0:v>
      </ns0:c>
      <ns0:c r="K345" s="4">
        <ns0:v>3.52</ns0:v>
      </ns0:c>
      <ns0:c r="L345" s="4">
        <ns0:v>8.97</ns0:v>
      </ns0:c>
      <ns0:c r="M345" s="4">
        <ns0:v>6.91</ns0:v>
      </ns0:c>
      <ns0:c r="N345" s="4">
        <ns0:v>3.93</ns0:v>
      </ns0:c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 t="inlineStr">
        <ns0:is>
          <ns0:t>市内交通费数量</ns0:t>
        </ns0:is>
      </ns0:c>
      <ns0:c r="C346" s="4">
        <ns0:v>7.81</ns0:v>
      </ns0:c>
      <ns0:c r="D346" s="4">
        <ns0:v>8.47</ns0:v>
      </ns0:c>
      <ns0:c r="E346" s="4">
        <ns0:v>2.45</ns0:v>
      </ns0:c>
      <ns0:c r="F346" s="4">
        <ns0:v>7.67</ns0:v>
      </ns0:c>
      <ns0:c r="G346" s="4">
        <ns0:v>8.61</ns0:v>
      </ns0:c>
      <ns0:c r="H346" s="4">
        <ns0:v>5.19</ns0:v>
      </ns0:c>
      <ns0:c r="I346" s="4">
        <ns0:v>8.45</ns0:v>
      </ns0:c>
      <ns0:c r="J346" s="4">
        <ns0:v>5.95</ns0:v>
      </ns0:c>
      <ns0:c r="K346" s="4">
        <ns0:v>9.56</ns0:v>
      </ns0:c>
      <ns0:c r="L346" s="4">
        <ns0:v>7.74</ns0:v>
      </ns0:c>
      <ns0:c r="M346" s="4">
        <ns0:v>5.22</ns0:v>
      </ns0:c>
      <ns0:c r="N346" s="4">
        <ns0:v>2.31</ns0:v>
      </ns0:c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 t="inlineStr">
        <ns0:is>
          <ns0:t>调研费用数量</ns0:t>
        </ns0:is>
      </ns0:c>
      <ns0:c r="C347" s="4">
        <ns0:v>6.34</ns0:v>
      </ns0:c>
      <ns0:c r="D347" s="4">
        <ns0:v>6.58</ns0:v>
      </ns0:c>
      <ns0:c r="E347" s="4">
        <ns0:v>7.40</ns0:v>
      </ns0:c>
      <ns0:c r="F347" s="4">
        <ns0:v>4.06</ns0:v>
      </ns0:c>
      <ns0:c r="G347" s="4">
        <ns0:v>3.51</ns0:v>
      </ns0:c>
      <ns0:c r="H347" s="4">
        <ns0:v>2.25</ns0:v>
      </ns0:c>
      <ns0:c r="I347" s="4">
        <ns0:v>6.71</ns0:v>
      </ns0:c>
      <ns0:c r="J347" s="4">
        <ns0:v>8.83</ns0:v>
      </ns0:c>
      <ns0:c r="K347" s="4">
        <ns0:v>2.58</ns0:v>
      </ns0:c>
      <ns0:c r="L347" s="4">
        <ns0:v>8.60</ns0:v>
      </ns0:c>
      <ns0:c r="M347" s="4">
        <ns0:v>7.72</ns0:v>
      </ns0:c>
      <ns0:c r="N347" s="4">
        <ns0:v>8.31</ns0:v>
      </ns0:c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 t="inlineStr">
        <ns0:is>
          <ns0:t>手续费数量</ns0:t>
        </ns0:is>
      </ns0:c>
      <ns0:c r="C348" s="4">
        <ns0:v>6.71</ns0:v>
      </ns0:c>
      <ns0:c r="D348" s="4">
        <ns0:v>7.93</ns0:v>
      </ns0:c>
      <ns0:c r="E348" s="4">
        <ns0:v>2.34</ns0:v>
      </ns0:c>
      <ns0:c r="F348" s="4">
        <ns0:v>6.14</ns0:v>
      </ns0:c>
      <ns0:c r="G348" s="4">
        <ns0:v>7.59</ns0:v>
      </ns0:c>
      <ns0:c r="H348" s="4">
        <ns0:v>5.56</ns0:v>
      </ns0:c>
      <ns0:c r="I348" s="4">
        <ns0:v>9.63</ns0:v>
      </ns0:c>
      <ns0:c r="J348" s="4">
        <ns0:v>5.03</ns0:v>
      </ns0:c>
      <ns0:c r="K348" s="4">
        <ns0:v>6.21</ns0:v>
      </ns0:c>
      <ns0:c r="L348" s="4">
        <ns0:v>8.74</ns0:v>
      </ns0:c>
      <ns0:c r="M348" s="4">
        <ns0:v>7.39</ns0:v>
      </ns0:c>
      <ns0:c r="N348" s="4">
        <ns0:v>6.57</ns0:v>
      </ns0:c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 t="inlineStr">
        <ns0:is>
          <ns0:t>利息收入数量</ns0:t>
        </ns0:is>
      </ns0:c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 t="inlineStr">
        <ns0:is>
          <ns0:t>利息支出数量</ns0:t>
        </ns0:is>
      </ns0:c>
      <ns0:c r="C350" s="4">
        <ns0:v>3.66</ns0:v>
      </ns0:c>
      <ns0:c r="D350" s="4">
        <ns0:v>6.76</ns0:v>
      </ns0:c>
      <ns0:c r="E350" s="4">
        <ns0:v>4.61</ns0:v>
      </ns0:c>
      <ns0:c r="F350" s="4">
        <ns0:v>2.99</ns0:v>
      </ns0:c>
      <ns0:c r="G350" s="4">
        <ns0:v>3.40</ns0:v>
      </ns0:c>
      <ns0:c r="H350" s="4">
        <ns0:v>3.55</ns0:v>
      </ns0:c>
      <ns0:c r="I350" s="4">
        <ns0:v>3.84</ns0:v>
      </ns0:c>
      <ns0:c r="J350" s="4">
        <ns0:v>5.68</ns0:v>
      </ns0:c>
      <ns0:c r="K350" s="4">
        <ns0:v>3.57</ns0:v>
      </ns0:c>
      <ns0:c r="L350" s="4">
        <ns0:v>6.66</ns0:v>
      </ns0:c>
      <ns0:c r="M350" s="4">
        <ns0:v>6.77</ns0:v>
      </ns0:c>
      <ns0:c r="N350" s="4">
        <ns0:v>4.46</ns0:v>
      </ns0:c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 t="inlineStr">
        <ns0:is>
          <ns0:t>车船税数量</ns0:t>
        </ns0:is>
      </ns0:c>
      <ns0:c r="C351" s="4">
        <ns0:v>5.68</ns0:v>
      </ns0:c>
      <ns0:c r="D351" s="4">
        <ns0:v>4.53</ns0:v>
      </ns0:c>
      <ns0:c r="E351" s="4">
        <ns0:v>5.24</ns0:v>
      </ns0:c>
      <ns0:c r="F351" s="4">
        <ns0:v>8.67</ns0:v>
      </ns0:c>
      <ns0:c r="G351" s="4">
        <ns0:v>5.02</ns0:v>
      </ns0:c>
      <ns0:c r="H351" s="4">
        <ns0:v>4.51</ns0:v>
      </ns0:c>
      <ns0:c r="I351" s="4">
        <ns0:v>8.77</ns0:v>
      </ns0:c>
      <ns0:c r="J351" s="4">
        <ns0:v>5.51</ns0:v>
      </ns0:c>
      <ns0:c r="K351" s="4">
        <ns0:v>8.74</ns0:v>
      </ns0:c>
      <ns0:c r="L351" s="4">
        <ns0:v>6.78</ns0:v>
      </ns0:c>
      <ns0:c r="M351" s="4">
        <ns0:v>7.22</ns0:v>
      </ns0:c>
      <ns0:c r="N351" s="4">
        <ns0:v>8.20</ns0:v>
      </ns0:c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 t="inlineStr">
        <ns0:is>
          <ns0:t>印花税数量</ns0:t>
        </ns0:is>
      </ns0:c>
      <ns0:c r="C352" s="4">
        <ns0:v>4.71</ns0:v>
      </ns0:c>
      <ns0:c r="D352" s="4">
        <ns0:v>3.35</ns0:v>
      </ns0:c>
      <ns0:c r="E352" s="4">
        <ns0:v>2.52</ns0:v>
      </ns0:c>
      <ns0:c r="F352" s="4">
        <ns0:v>1.99</ns0:v>
      </ns0:c>
      <ns0:c r="G352" s="4">
        <ns0:v>8.21</ns0:v>
      </ns0:c>
      <ns0:c r="H352" s="4">
        <ns0:v>4.66</ns0:v>
      </ns0:c>
      <ns0:c r="I352" s="4">
        <ns0:v>7.29</ns0:v>
      </ns0:c>
      <ns0:c r="J352" s="4">
        <ns0:v>3.99</ns0:v>
      </ns0:c>
      <ns0:c r="K352" s="4">
        <ns0:v>7.91</ns0:v>
      </ns0:c>
      <ns0:c r="L352" s="4">
        <ns0:v>5.58</ns0:v>
      </ns0:c>
      <ns0:c r="M352" s="4">
        <ns0:v>9.75</ns0:v>
      </ns0:c>
      <ns0:c r="N352" s="4">
        <ns0:v>6.30</ns0:v>
      </ns0:c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 t="inlineStr">
        <ns0:is>
          <ns0:t>其他数量</ns0:t>
        </ns0:is>
      </ns0:c>
      <ns0:c r="C353" s="4">
        <ns0:v>3.08</ns0:v>
      </ns0:c>
      <ns0:c r="D353" s="4">
        <ns0:v>2.14</ns0:v>
      </ns0:c>
      <ns0:c r="E353" s="4">
        <ns0:v>9.56</ns0:v>
      </ns0:c>
      <ns0:c r="F353" s="4">
        <ns0:v>7.38</ns0:v>
      </ns0:c>
      <ns0:c r="G353" s="4">
        <ns0:v>6.97</ns0:v>
      </ns0:c>
      <ns0:c r="H353" s="4">
        <ns0:v>3.53</ns0:v>
      </ns0:c>
      <ns0:c r="I353" s="4">
        <ns0:v>7.25</ns0:v>
      </ns0:c>
      <ns0:c r="J353" s="4">
        <ns0:v>2.82</ns0:v>
      </ns0:c>
      <ns0:c r="K353" s="4">
        <ns0:v>8.57</ns0:v>
      </ns0:c>
      <ns0:c r="L353" s="4">
        <ns0:v>4.32</ns0:v>
      </ns0:c>
      <ns0:c r="M353" s="4">
        <ns0:v>5.08</ns0:v>
      </ns0:c>
      <ns0:c r="N353" s="4">
        <ns0:v>6.97</ns0:v>
      </ns0:c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 t="inlineStr">
        <ns0:is>
          <ns0:t>工资数量</ns0:t>
        </ns0:is>
      </ns0:c>
      <ns0:c r="C384" s="4">
        <ns0:v>6.11</ns0:v>
      </ns0:c>
      <ns0:c r="D384" s="4">
        <ns0:v>3.02</ns0:v>
      </ns0:c>
      <ns0:c r="E384" s="4">
        <ns0:v>2.47</ns0:v>
      </ns0:c>
      <ns0:c r="F384" s="4">
        <ns0:v>4.94</ns0:v>
      </ns0:c>
      <ns0:c r="G384" s="4">
        <ns0:v>5.53</ns0:v>
      </ns0:c>
      <ns0:c r="H384" s="4">
        <ns0:v>7.09</ns0:v>
      </ns0:c>
      <ns0:c r="I384" s="4">
        <ns0:v>4.64</ns0:v>
      </ns0:c>
      <ns0:c r="J384" s="4">
        <ns0:v>6.44</ns0:v>
      </ns0:c>
      <ns0:c r="K384" s="4">
        <ns0:v>2.79</ns0:v>
      </ns0:c>
      <ns0:c r="L384" s="4">
        <ns0:v>2.70</ns0:v>
      </ns0:c>
      <ns0:c r="M384" s="4">
        <ns0:v>4.39</ns0:v>
      </ns0:c>
      <ns0:c r="N384" s="4">
        <ns0:v>5.19</ns0:v>
      </ns0:c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 t="inlineStr">
        <ns0:is>
          <ns0:t>十三薪数量</ns0:t>
        </ns0:is>
      </ns0:c>
      <ns0:c r="C385" s="4">
        <ns0:v>3.41</ns0:v>
      </ns0:c>
      <ns0:c r="D385" s="4">
        <ns0:v>5.75</ns0:v>
      </ns0:c>
      <ns0:c r="E385" s="4">
        <ns0:v>4.90</ns0:v>
      </ns0:c>
      <ns0:c r="F385" s="4">
        <ns0:v>7.84</ns0:v>
      </ns0:c>
      <ns0:c r="G385" s="4">
        <ns0:v>5.84</ns0:v>
      </ns0:c>
      <ns0:c r="H385" s="4">
        <ns0:v>8.64</ns0:v>
      </ns0:c>
      <ns0:c r="I385" s="4">
        <ns0:v>2.04</ns0:v>
      </ns0:c>
      <ns0:c r="J385" s="4">
        <ns0:v>3.79</ns0:v>
      </ns0:c>
      <ns0:c r="K385" s="4">
        <ns0:v>5.32</ns0:v>
      </ns0:c>
      <ns0:c r="L385" s="4">
        <ns0:v>5.87</ns0:v>
      </ns0:c>
      <ns0:c r="M385" s="4">
        <ns0:v>4.01</ns0:v>
      </ns0:c>
      <ns0:c r="N385" s="4">
        <ns0:v>7.02</ns0:v>
      </ns0:c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 t="inlineStr">
        <ns0:is>
          <ns0:t>离职补偿金数量</ns0:t>
        </ns0:is>
      </ns0:c>
      <ns0:c r="C386" s="4">
        <ns0:v>6.49</ns0:v>
      </ns0:c>
      <ns0:c r="D386" s="4">
        <ns0:v>5.30</ns0:v>
      </ns0:c>
      <ns0:c r="E386" s="4">
        <ns0:v>9.51</ns0:v>
      </ns0:c>
      <ns0:c r="F386" s="4">
        <ns0:v>4.99</ns0:v>
      </ns0:c>
      <ns0:c r="G386" s="4">
        <ns0:v>3.93</ns0:v>
      </ns0:c>
      <ns0:c r="H386" s="4">
        <ns0:v>3.15</ns0:v>
      </ns0:c>
      <ns0:c r="I386" s="4">
        <ns0:v>5.51</ns0:v>
      </ns0:c>
      <ns0:c r="J386" s="4">
        <ns0:v>7.72</ns0:v>
      </ns0:c>
      <ns0:c r="K386" s="4">
        <ns0:v>5.54</ns0:v>
      </ns0:c>
      <ns0:c r="L386" s="4">
        <ns0:v>3.81</ns0:v>
      </ns0:c>
      <ns0:c r="M386" s="4">
        <ns0:v>6.97</ns0:v>
      </ns0:c>
      <ns0:c r="N386" s="4">
        <ns0:v>7.93</ns0:v>
      </ns0:c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 t="inlineStr">
        <ns0:is>
          <ns0:t>五险一金数量</ns0:t>
        </ns0:is>
      </ns0:c>
      <ns0:c r="C387" s="4">
        <ns0:v>2.89</ns0:v>
      </ns0:c>
      <ns0:c r="D387" s="4">
        <ns0:v>4.78</ns0:v>
      </ns0:c>
      <ns0:c r="E387" s="4">
        <ns0:v>5.56</ns0:v>
      </ns0:c>
      <ns0:c r="F387" s="4">
        <ns0:v>4.14</ns0:v>
      </ns0:c>
      <ns0:c r="G387" s="4">
        <ns0:v>4.59</ns0:v>
      </ns0:c>
      <ns0:c r="H387" s="4">
        <ns0:v>2.64</ns0:v>
      </ns0:c>
      <ns0:c r="I387" s="4">
        <ns0:v>6.07</ns0:v>
      </ns0:c>
      <ns0:c r="J387" s="4">
        <ns0:v>6.97</ns0:v>
      </ns0:c>
      <ns0:c r="K387" s="4">
        <ns0:v>7.77</ns0:v>
      </ns0:c>
      <ns0:c r="L387" s="4">
        <ns0:v>3.68</ns0:v>
      </ns0:c>
      <ns0:c r="M387" s="4">
        <ns0:v>8.91</ns0:v>
      </ns0:c>
      <ns0:c r="N387" s="4">
        <ns0:v>6.30</ns0:v>
      </ns0:c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 t="inlineStr">
        <ns0:is>
          <ns0:t>福利费数量</ns0:t>
        </ns0:is>
      </ns0:c>
      <ns0:c r="C388" s="4">
        <ns0:v>8.89</ns0:v>
      </ns0:c>
      <ns0:c r="D388" s="4">
        <ns0:v>4.77</ns0:v>
      </ns0:c>
      <ns0:c r="E388" s="4">
        <ns0:v>2.44</ns0:v>
      </ns0:c>
      <ns0:c r="F388" s="4">
        <ns0:v>4.40</ns0:v>
      </ns0:c>
      <ns0:c r="G388" s="4">
        <ns0:v>7.30</ns0:v>
      </ns0:c>
      <ns0:c r="H388" s="4">
        <ns0:v>3.50</ns0:v>
      </ns0:c>
      <ns0:c r="I388" s="4">
        <ns0:v>8.25</ns0:v>
      </ns0:c>
      <ns0:c r="J388" s="4">
        <ns0:v>4.61</ns0:v>
      </ns0:c>
      <ns0:c r="K388" s="4">
        <ns0:v>5.57</ns0:v>
      </ns0:c>
      <ns0:c r="L388" s="4">
        <ns0:v>7.32</ns0:v>
      </ns0:c>
      <ns0:c r="M388" s="4">
        <ns0:v>6.64</ns0:v>
      </ns0:c>
      <ns0:c r="N388" s="4">
        <ns0:v>8.08</ns0:v>
      </ns0:c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 t="inlineStr">
        <ns0:is>
          <ns0:t>招聘费数量</ns0:t>
        </ns0:is>
      </ns0:c>
      <ns0:c r="C389" s="4">
        <ns0:v>4.43</ns0:v>
      </ns0:c>
      <ns0:c r="D389" s="4">
        <ns0:v>6.41</ns0:v>
      </ns0:c>
      <ns0:c r="E389" s="4">
        <ns0:v>8.02</ns0:v>
      </ns0:c>
      <ns0:c r="F389" s="4">
        <ns0:v>6.89</ns0:v>
      </ns0:c>
      <ns0:c r="G389" s="4">
        <ns0:v>6.79</ns0:v>
      </ns0:c>
      <ns0:c r="H389" s="4">
        <ns0:v>3.08</ns0:v>
      </ns0:c>
      <ns0:c r="I389" s="4">
        <ns0:v>7.03</ns0:v>
      </ns0:c>
      <ns0:c r="J389" s="4">
        <ns0:v>6.48</ns0:v>
      </ns0:c>
      <ns0:c r="K389" s="4">
        <ns0:v>5.35</ns0:v>
      </ns0:c>
      <ns0:c r="L389" s="4">
        <ns0:v>7.53</ns0:v>
      </ns0:c>
      <ns0:c r="M389" s="4">
        <ns0:v>8.25</ns0:v>
      </ns0:c>
      <ns0:c r="N389" s="4">
        <ns0:v>7.86</ns0:v>
      </ns0:c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 t="inlineStr">
        <ns0:is>
          <ns0:t>培训费数量</ns0:t>
        </ns0:is>
      </ns0:c>
      <ns0:c r="C390" s="4">
        <ns0:v>6.48</ns0:v>
      </ns0:c>
      <ns0:c r="D390" s="4">
        <ns0:v>2.75</ns0:v>
      </ns0:c>
      <ns0:c r="E390" s="4">
        <ns0:v>6.99</ns0:v>
      </ns0:c>
      <ns0:c r="F390" s="4">
        <ns0:v>7.85</ns0:v>
      </ns0:c>
      <ns0:c r="G390" s="4">
        <ns0:v>6.61</ns0:v>
      </ns0:c>
      <ns0:c r="H390" s="4">
        <ns0:v>3.21</ns0:v>
      </ns0:c>
      <ns0:c r="I390" s="4">
        <ns0:v>7.57</ns0:v>
      </ns0:c>
      <ns0:c r="J390" s="4">
        <ns0:v>4.62</ns0:v>
      </ns0:c>
      <ns0:c r="K390" s="4">
        <ns0:v>2.76</ns0:v>
      </ns0:c>
      <ns0:c r="L390" s="4">
        <ns0:v>4.32</ns0:v>
      </ns0:c>
      <ns0:c r="M390" s="4">
        <ns0:v>4.40</ns0:v>
      </ns0:c>
      <ns0:c r="N390" s="4">
        <ns0:v>7.40</ns0:v>
      </ns0:c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 t="inlineStr">
        <ns0:is>
          <ns0:t>房租数量</ns0:t>
        </ns0:is>
      </ns0:c>
      <ns0:c r="C391" s="4">
        <ns0:v>7.08</ns0:v>
      </ns0:c>
      <ns0:c r="D391" s="4">
        <ns0:v>6.14</ns0:v>
      </ns0:c>
      <ns0:c r="E391" s="4">
        <ns0:v>5.73</ns0:v>
      </ns0:c>
      <ns0:c r="F391" s="4">
        <ns0:v>8.35</ns0:v>
      </ns0:c>
      <ns0:c r="G391" s="4">
        <ns0:v>8.72</ns0:v>
      </ns0:c>
      <ns0:c r="H391" s="4">
        <ns0:v>6.25</ns0:v>
      </ns0:c>
      <ns0:c r="I391" s="4">
        <ns0:v>2.55</ns0:v>
      </ns0:c>
      <ns0:c r="J391" s="4">
        <ns0:v>3.36</ns0:v>
      </ns0:c>
      <ns0:c r="K391" s="4">
        <ns0:v>5.15</ns0:v>
      </ns0:c>
      <ns0:c r="L391" s="4">
        <ns0:v>4.49</ns0:v>
      </ns0:c>
      <ns0:c r="M391" s="4">
        <ns0:v>6.87</ns0:v>
      </ns0:c>
      <ns0:c r="N391" s="4">
        <ns0:v>3.82</ns0:v>
      </ns0:c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 t="inlineStr">
        <ns0:is>
          <ns0:t>物业管理费数量</ns0:t>
        </ns0:is>
      </ns0:c>
      <ns0:c r="C392" s="4">
        <ns0:v>8.69</ns0:v>
      </ns0:c>
      <ns0:c r="D392" s="4">
        <ns0:v>5.15</ns0:v>
      </ns0:c>
      <ns0:c r="E392" s="4">
        <ns0:v>2.40</ns0:v>
      </ns0:c>
      <ns0:c r="F392" s="4">
        <ns0:v>4.52</ns0:v>
      </ns0:c>
      <ns0:c r="G392" s="4">
        <ns0:v>9.17</ns0:v>
      </ns0:c>
      <ns0:c r="H392" s="4">
        <ns0:v>6.33</ns0:v>
      </ns0:c>
      <ns0:c r="I392" s="4">
        <ns0:v>3.95</ns0:v>
      </ns0:c>
      <ns0:c r="J392" s="4">
        <ns0:v>4.65</ns0:v>
      </ns0:c>
      <ns0:c r="K392" s="4">
        <ns0:v>7.25</ns0:v>
      </ns0:c>
      <ns0:c r="L392" s="4">
        <ns0:v>3.37</ns0:v>
      </ns0:c>
      <ns0:c r="M392" s="4">
        <ns0:v>5.99</ns0:v>
      </ns0:c>
      <ns0:c r="N392" s="4">
        <ns0:v>4.25</ns0:v>
      </ns0:c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 t="inlineStr">
        <ns0:is>
          <ns0:t>汽车费用数量</ns0:t>
        </ns0:is>
      </ns0:c>
      <ns0:c r="C393" s="4">
        <ns0:v>3.01</ns0:v>
      </ns0:c>
      <ns0:c r="D393" s="4">
        <ns0:v>4.56</ns0:v>
      </ns0:c>
      <ns0:c r="E393" s="4">
        <ns0:v>3.43</ns0:v>
      </ns0:c>
      <ns0:c r="F393" s="4">
        <ns0:v>4.98</ns0:v>
      </ns0:c>
      <ns0:c r="G393" s="4">
        <ns0:v>8.07</ns0:v>
      </ns0:c>
      <ns0:c r="H393" s="4">
        <ns0:v>8.58</ns0:v>
      </ns0:c>
      <ns0:c r="I393" s="4">
        <ns0:v>2.19</ns0:v>
      </ns0:c>
      <ns0:c r="J393" s="4">
        <ns0:v>3.38</ns0:v>
      </ns0:c>
      <ns0:c r="K393" s="4">
        <ns0:v>8.59</ns0:v>
      </ns0:c>
      <ns0:c r="L393" s="4">
        <ns0:v>7.08</ns0:v>
      </ns0:c>
      <ns0:c r="M393" s="4">
        <ns0:v>6.92</ns0:v>
      </ns0:c>
      <ns0:c r="N393" s="4">
        <ns0:v>7.52</ns0:v>
      </ns0:c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 t="inlineStr">
        <ns0:is>
          <ns0:t>办公费数量</ns0:t>
        </ns0:is>
      </ns0:c>
      <ns0:c r="C394" s="4">
        <ns0:v>3.88</ns0:v>
      </ns0:c>
      <ns0:c r="D394" s="4">
        <ns0:v>8.77</ns0:v>
      </ns0:c>
      <ns0:c r="E394" s="4">
        <ns0:v>4.46</ns0:v>
      </ns0:c>
      <ns0:c r="F394" s="4">
        <ns0:v>7.12</ns0:v>
      </ns0:c>
      <ns0:c r="G394" s="4">
        <ns0:v>7.48</ns0:v>
      </ns0:c>
      <ns0:c r="H394" s="4">
        <ns0:v>2.46</ns0:v>
      </ns0:c>
      <ns0:c r="I394" s="4">
        <ns0:v>7.44</ns0:v>
      </ns0:c>
      <ns0:c r="J394" s="4">
        <ns0:v>7.79</ns0:v>
      </ns0:c>
      <ns0:c r="K394" s="4">
        <ns0:v>2.95</ns0:v>
      </ns0:c>
      <ns0:c r="L394" s="4">
        <ns0:v>2.25</ns0:v>
      </ns0:c>
      <ns0:c r="M394" s="4">
        <ns0:v>5.92</ns0:v>
      </ns0:c>
      <ns0:c r="N394" s="4">
        <ns0:v>2.89</ns0:v>
      </ns0:c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 t="inlineStr">
        <ns0:is>
          <ns0:t>办公用品数量</ns0:t>
        </ns0:is>
      </ns0:c>
      <ns0:c r="C395" s="4">
        <ns0:v>3.36</ns0:v>
      </ns0:c>
      <ns0:c r="D395" s="4">
        <ns0:v>8.35</ns0:v>
      </ns0:c>
      <ns0:c r="E395" s="4">
        <ns0:v>4.71</ns0:v>
      </ns0:c>
      <ns0:c r="F395" s="4">
        <ns0:v>4.21</ns0:v>
      </ns0:c>
      <ns0:c r="G395" s="4">
        <ns0:v>4.51</ns0:v>
      </ns0:c>
      <ns0:c r="H395" s="4">
        <ns0:v>3.61</ns0:v>
      </ns0:c>
      <ns0:c r="I395" s="4">
        <ns0:v>8.68</ns0:v>
      </ns0:c>
      <ns0:c r="J395" s="4">
        <ns0:v>6.13</ns0:v>
      </ns0:c>
      <ns0:c r="K395" s="4">
        <ns0:v>9.70</ns0:v>
      </ns0:c>
      <ns0:c r="L395" s="4">
        <ns0:v>4.90</ns0:v>
      </ns0:c>
      <ns0:c r="M395" s="4">
        <ns0:v>9.16</ns0:v>
      </ns0:c>
      <ns0:c r="N395" s="4">
        <ns0:v>7.48</ns0:v>
      </ns0:c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 t="inlineStr">
        <ns0:is>
          <ns0:t>水电煤数量</ns0:t>
        </ns0:is>
      </ns0:c>
      <ns0:c r="C396" s="4">
        <ns0:v>7.24</ns0:v>
      </ns0:c>
      <ns0:c r="D396" s="4">
        <ns0:v>9.52</ns0:v>
      </ns0:c>
      <ns0:c r="E396" s="4">
        <ns0:v>6.71</ns0:v>
      </ns0:c>
      <ns0:c r="F396" s="4">
        <ns0:v>3.50</ns0:v>
      </ns0:c>
      <ns0:c r="G396" s="4">
        <ns0:v>3.08</ns0:v>
      </ns0:c>
      <ns0:c r="H396" s="4">
        <ns0:v>5.58</ns0:v>
      </ns0:c>
      <ns0:c r="I396" s="4">
        <ns0:v>2.38</ns0:v>
      </ns0:c>
      <ns0:c r="J396" s="4">
        <ns0:v>9.20</ns0:v>
      </ns0:c>
      <ns0:c r="K396" s="4">
        <ns0:v>3.94</ns0:v>
      </ns0:c>
      <ns0:c r="L396" s="4">
        <ns0:v>6.79</ns0:v>
      </ns0:c>
      <ns0:c r="M396" s="4">
        <ns0:v>3.22</ns0:v>
      </ns0:c>
      <ns0:c r="N396" s="4">
        <ns0:v>4.15</ns0:v>
      </ns0:c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 t="inlineStr">
        <ns0:is>
          <ns0:t>咨询服务费数量</ns0:t>
        </ns0:is>
      </ns0:c>
      <ns0:c r="C397" s="4">
        <ns0:v>7.35</ns0:v>
      </ns0:c>
      <ns0:c r="D397" s="4">
        <ns0:v>3.66</ns0:v>
      </ns0:c>
      <ns0:c r="E397" s="4">
        <ns0:v>2.74</ns0:v>
      </ns0:c>
      <ns0:c r="F397" s="4">
        <ns0:v>5.43</ns0:v>
      </ns0:c>
      <ns0:c r="G397" s="4">
        <ns0:v>7.78</ns0:v>
      </ns0:c>
      <ns0:c r="H397" s="4">
        <ns0:v>6.26</ns0:v>
      </ns0:c>
      <ns0:c r="I397" s="4">
        <ns0:v>5.78</ns0:v>
      </ns0:c>
      <ns0:c r="J397" s="4">
        <ns0:v>7.72</ns0:v>
      </ns0:c>
      <ns0:c r="K397" s="4">
        <ns0:v>5.43</ns0:v>
      </ns0:c>
      <ns0:c r="L397" s="4">
        <ns0:v>9.71</ns0:v>
      </ns0:c>
      <ns0:c r="M397" s="4">
        <ns0:v>7.31</ns0:v>
      </ns0:c>
      <ns0:c r="N397" s="4">
        <ns0:v>2.05</ns0:v>
      </ns0:c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 t="inlineStr">
        <ns0:is>
          <ns0:t>电话费数量</ns0:t>
        </ns0:is>
      </ns0:c>
      <ns0:c r="C398" s="4">
        <ns0:v>8.13</ns0:v>
      </ns0:c>
      <ns0:c r="D398" s="4">
        <ns0:v>6.87</ns0:v>
      </ns0:c>
      <ns0:c r="E398" s="4">
        <ns0:v>6.43</ns0:v>
      </ns0:c>
      <ns0:c r="F398" s="4">
        <ns0:v>2.42</ns0:v>
      </ns0:c>
      <ns0:c r="G398" s="4">
        <ns0:v>9.19</ns0:v>
      </ns0:c>
      <ns0:c r="H398" s="4">
        <ns0:v>2.54</ns0:v>
      </ns0:c>
      <ns0:c r="I398" s="4">
        <ns0:v>2.07</ns0:v>
      </ns0:c>
      <ns0:c r="J398" s="4">
        <ns0:v>4.95</ns0:v>
      </ns0:c>
      <ns0:c r="K398" s="4">
        <ns0:v>7.20</ns0:v>
      </ns0:c>
      <ns0:c r="L398" s="4">
        <ns0:v>3.89</ns0:v>
      </ns0:c>
      <ns0:c r="M398" s="4">
        <ns0:v>3.89</ns0:v>
      </ns0:c>
      <ns0:c r="N398" s="4">
        <ns0:v>4.18</ns0:v>
      </ns0:c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 t="inlineStr">
        <ns0:is>
          <ns0:t>快递费数量</ns0:t>
        </ns0:is>
      </ns0:c>
      <ns0:c r="C399" s="4">
        <ns0:v>2.23</ns0:v>
      </ns0:c>
      <ns0:c r="D399" s="4">
        <ns0:v>3.46</ns0:v>
      </ns0:c>
      <ns0:c r="E399" s="4">
        <ns0:v>7.59</ns0:v>
      </ns0:c>
      <ns0:c r="F399" s="4">
        <ns0:v>5.78</ns0:v>
      </ns0:c>
      <ns0:c r="G399" s="4">
        <ns0:v>5.86</ns0:v>
      </ns0:c>
      <ns0:c r="H399" s="4">
        <ns0:v>4.17</ns0:v>
      </ns0:c>
      <ns0:c r="I399" s="4">
        <ns0:v>6.22</ns0:v>
      </ns0:c>
      <ns0:c r="J399" s="4">
        <ns0:v>6.33</ns0:v>
      </ns0:c>
      <ns0:c r="K399" s="4">
        <ns0:v>4.06</ns0:v>
      </ns0:c>
      <ns0:c r="L399" s="4">
        <ns0:v>7.35</ns0:v>
      </ns0:c>
      <ns0:c r="M399" s="4">
        <ns0:v>4.51</ns0:v>
      </ns0:c>
      <ns0:c r="N399" s="4">
        <ns0:v>6.40</ns0:v>
      </ns0:c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 t="inlineStr">
        <ns0:is>
          <ns0:t>折旧及摊销数量</ns0:t>
        </ns0:is>
      </ns0:c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 t="inlineStr">
        <ns0:is>
          <ns0:t>机票火车票数量</ns0:t>
        </ns0:is>
      </ns0:c>
      <ns0:c r="C401" s="4">
        <ns0:v>4.29</ns0:v>
      </ns0:c>
      <ns0:c r="D401" s="4">
        <ns0:v>4.94</ns0:v>
      </ns0:c>
      <ns0:c r="E401" s="4">
        <ns0:v>7.58</ns0:v>
      </ns0:c>
      <ns0:c r="F401" s="4">
        <ns0:v>5.38</ns0:v>
      </ns0:c>
      <ns0:c r="G401" s="4">
        <ns0:v>3.78</ns0:v>
      </ns0:c>
      <ns0:c r="H401" s="4">
        <ns0:v>4.17</ns0:v>
      </ns0:c>
      <ns0:c r="I401" s="4">
        <ns0:v>6.28</ns0:v>
      </ns0:c>
      <ns0:c r="J401" s="4">
        <ns0:v>2.06</ns0:v>
      </ns0:c>
      <ns0:c r="K401" s="4">
        <ns0:v>3.95</ns0:v>
      </ns0:c>
      <ns0:c r="L401" s="4">
        <ns0:v>5.27</ns0:v>
      </ns0:c>
      <ns0:c r="M401" s="4">
        <ns0:v>8.02</ns0:v>
      </ns0:c>
      <ns0:c r="N401" s="4">
        <ns0:v>8.70</ns0:v>
      </ns0:c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 t="inlineStr">
        <ns0:is>
          <ns0:t>住宿费数量</ns0:t>
        </ns0:is>
      </ns0:c>
      <ns0:c r="C402" s="4">
        <ns0:v>7.93</ns0:v>
      </ns0:c>
      <ns0:c r="D402" s="4">
        <ns0:v>3.36</ns0:v>
      </ns0:c>
      <ns0:c r="E402" s="4">
        <ns0:v>5.84</ns0:v>
      </ns0:c>
      <ns0:c r="F402" s="4">
        <ns0:v>6.05</ns0:v>
      </ns0:c>
      <ns0:c r="G402" s="4">
        <ns0:v>4.01</ns0:v>
      </ns0:c>
      <ns0:c r="H402" s="4">
        <ns0:v>5.44</ns0:v>
      </ns0:c>
      <ns0:c r="I402" s="4">
        <ns0:v>8.10</ns0:v>
      </ns0:c>
      <ns0:c r="J402" s="4">
        <ns0:v>9.42</ns0:v>
      </ns0:c>
      <ns0:c r="K402" s="4">
        <ns0:v>3.15</ns0:v>
      </ns0:c>
      <ns0:c r="L402" s="4">
        <ns0:v>3.89</ns0:v>
      </ns0:c>
      <ns0:c r="M402" s="4">
        <ns0:v>2.16</ns0:v>
      </ns0:c>
      <ns0:c r="N402" s="4">
        <ns0:v>6.75</ns0:v>
      </ns0:c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 t="inlineStr">
        <ns0:is>
          <ns0:t>交通费数量</ns0:t>
        </ns0:is>
      </ns0:c>
      <ns0:c r="C403" s="4">
        <ns0:v>7.08</ns0:v>
      </ns0:c>
      <ns0:c r="D403" s="4">
        <ns0:v>6.31</ns0:v>
      </ns0:c>
      <ns0:c r="E403" s="4">
        <ns0:v>5.48</ns0:v>
      </ns0:c>
      <ns0:c r="F403" s="4">
        <ns0:v>6.40</ns0:v>
      </ns0:c>
      <ns0:c r="G403" s="4">
        <ns0:v>5.72</ns0:v>
      </ns0:c>
      <ns0:c r="H403" s="4">
        <ns0:v>3.51</ns0:v>
      </ns0:c>
      <ns0:c r="I403" s="4">
        <ns0:v>4.64</ns0:v>
      </ns0:c>
      <ns0:c r="J403" s="4">
        <ns0:v>7.90</ns0:v>
      </ns0:c>
      <ns0:c r="K403" s="4">
        <ns0:v>5.71</ns0:v>
      </ns0:c>
      <ns0:c r="L403" s="4">
        <ns0:v>6.73</ns0:v>
      </ns0:c>
      <ns0:c r="M403" s="4">
        <ns0:v>7.89</ns0:v>
      </ns0:c>
      <ns0:c r="N403" s="4">
        <ns0:v>4.89</ns0:v>
      </ns0:c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 t="inlineStr">
        <ns0:is>
          <ns0:t>差旅补贴数量</ns0:t>
        </ns0:is>
      </ns0:c>
      <ns0:c r="C404" s="4">
        <ns0:v>7.87</ns0:v>
      </ns0:c>
      <ns0:c r="D404" s="4">
        <ns0:v>3.42</ns0:v>
      </ns0:c>
      <ns0:c r="E404" s="4">
        <ns0:v>5.02</ns0:v>
      </ns0:c>
      <ns0:c r="F404" s="4">
        <ns0:v>2.11</ns0:v>
      </ns0:c>
      <ns0:c r="G404" s="4">
        <ns0:v>7.83</ns0:v>
      </ns0:c>
      <ns0:c r="H404" s="4">
        <ns0:v>4.12</ns0:v>
      </ns0:c>
      <ns0:c r="I404" s="4">
        <ns0:v>3.86</ns0:v>
      </ns0:c>
      <ns0:c r="J404" s="4">
        <ns0:v>6.92</ns0:v>
      </ns0:c>
      <ns0:c r="K404" s="4">
        <ns0:v>6.06</ns0:v>
      </ns0:c>
      <ns0:c r="L404" s="4">
        <ns0:v>4.76</ns0:v>
      </ns0:c>
      <ns0:c r="M404" s="4">
        <ns0:v>7.23</ns0:v>
      </ns0:c>
      <ns0:c r="N404" s="4">
        <ns0:v>8.67</ns0:v>
      </ns0:c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 t="inlineStr">
        <ns0:is>
          <ns0:t>业务招待费数量</ns0:t>
        </ns0:is>
      </ns0:c>
      <ns0:c r="C405" s="4">
        <ns0:v>7.07</ns0:v>
      </ns0:c>
      <ns0:c r="D405" s="4">
        <ns0:v>5.02</ns0:v>
      </ns0:c>
      <ns0:c r="E405" s="4">
        <ns0:v>6.40</ns0:v>
      </ns0:c>
      <ns0:c r="F405" s="4">
        <ns0:v>8.83</ns0:v>
      </ns0:c>
      <ns0:c r="G405" s="4">
        <ns0:v>9.24</ns0:v>
      </ns0:c>
      <ns0:c r="H405" s="4">
        <ns0:v>6.06</ns0:v>
      </ns0:c>
      <ns0:c r="I405" s="4">
        <ns0:v>4.08</ns0:v>
      </ns0:c>
      <ns0:c r="J405" s="4">
        <ns0:v>4.18</ns0:v>
      </ns0:c>
      <ns0:c r="K405" s="4">
        <ns0:v>7.22</ns0:v>
      </ns0:c>
      <ns0:c r="L405" s="4">
        <ns0:v>2.09</ns0:v>
      </ns0:c>
      <ns0:c r="M405" s="4">
        <ns0:v>5.57</ns0:v>
      </ns0:c>
      <ns0:c r="N405" s="4">
        <ns0:v>7.97</ns0:v>
      </ns0:c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 t="inlineStr">
        <ns0:is>
          <ns0:t>市内交通费数量</ns0:t>
        </ns0:is>
      </ns0:c>
      <ns0:c r="C406" s="4">
        <ns0:v>6.22</ns0:v>
      </ns0:c>
      <ns0:c r="D406" s="4">
        <ns0:v>4.99</ns0:v>
      </ns0:c>
      <ns0:c r="E406" s="4">
        <ns0:v>5.90</ns0:v>
      </ns0:c>
      <ns0:c r="F406" s="4">
        <ns0:v>7.67</ns0:v>
      </ns0:c>
      <ns0:c r="G406" s="4">
        <ns0:v>4.13</ns0:v>
      </ns0:c>
      <ns0:c r="H406" s="4">
        <ns0:v>2.46</ns0:v>
      </ns0:c>
      <ns0:c r="I406" s="4">
        <ns0:v>3.67</ns0:v>
      </ns0:c>
      <ns0:c r="J406" s="4">
        <ns0:v>5.27</ns0:v>
      </ns0:c>
      <ns0:c r="K406" s="4">
        <ns0:v>8.10</ns0:v>
      </ns0:c>
      <ns0:c r="L406" s="4">
        <ns0:v>6.52</ns0:v>
      </ns0:c>
      <ns0:c r="M406" s="4">
        <ns0:v>7.03</ns0:v>
      </ns0:c>
      <ns0:c r="N406" s="4">
        <ns0:v>4.41</ns0:v>
      </ns0:c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 t="inlineStr">
        <ns0:is>
          <ns0:t>调研费用数量</ns0:t>
        </ns0:is>
      </ns0:c>
      <ns0:c r="C407" s="4">
        <ns0:v>4.83</ns0:v>
      </ns0:c>
      <ns0:c r="D407" s="4">
        <ns0:v>4.21</ns0:v>
      </ns0:c>
      <ns0:c r="E407" s="4">
        <ns0:v>4.11</ns0:v>
      </ns0:c>
      <ns0:c r="F407" s="4">
        <ns0:v>2.48</ns0:v>
      </ns0:c>
      <ns0:c r="G407" s="4">
        <ns0:v>5.24</ns0:v>
      </ns0:c>
      <ns0:c r="H407" s="4">
        <ns0:v>6.27</ns0:v>
      </ns0:c>
      <ns0:c r="I407" s="4">
        <ns0:v>5.67</ns0:v>
      </ns0:c>
      <ns0:c r="J407" s="4">
        <ns0:v>2.35</ns0:v>
      </ns0:c>
      <ns0:c r="K407" s="4">
        <ns0:v>4.71</ns0:v>
      </ns0:c>
      <ns0:c r="L407" s="4">
        <ns0:v>6.97</ns0:v>
      </ns0:c>
      <ns0:c r="M407" s="4">
        <ns0:v>6.92</ns0:v>
      </ns0:c>
      <ns0:c r="N407" s="4">
        <ns0:v>5.59</ns0:v>
      </ns0:c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 t="inlineStr">
        <ns0:is>
          <ns0:t>手续费数量</ns0:t>
        </ns0:is>
      </ns0:c>
      <ns0:c r="C408" s="4">
        <ns0:v>9.41</ns0:v>
      </ns0:c>
      <ns0:c r="D408" s="4">
        <ns0:v>2.44</ns0:v>
      </ns0:c>
      <ns0:c r="E408" s="4">
        <ns0:v>5.16</ns0:v>
      </ns0:c>
      <ns0:c r="F408" s="4">
        <ns0:v>3.10</ns0:v>
      </ns0:c>
      <ns0:c r="G408" s="4">
        <ns0:v>5.79</ns0:v>
      </ns0:c>
      <ns0:c r="H408" s="4">
        <ns0:v>4.25</ns0:v>
      </ns0:c>
      <ns0:c r="I408" s="4">
        <ns0:v>5.06</ns0:v>
      </ns0:c>
      <ns0:c r="J408" s="4">
        <ns0:v>7.72</ns0:v>
      </ns0:c>
      <ns0:c r="K408" s="4">
        <ns0:v>3.35</ns0:v>
      </ns0:c>
      <ns0:c r="L408" s="4">
        <ns0:v>2.48</ns0:v>
      </ns0:c>
      <ns0:c r="M408" s="4">
        <ns0:v>3.67</ns0:v>
      </ns0:c>
      <ns0:c r="N408" s="4">
        <ns0:v>5.78</ns0:v>
      </ns0:c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 t="inlineStr">
        <ns0:is>
          <ns0:t>利息收入数量</ns0:t>
        </ns0:is>
      </ns0:c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 t="inlineStr">
        <ns0:is>
          <ns0:t>利息支出数量</ns0:t>
        </ns0:is>
      </ns0:c>
      <ns0:c r="C410" s="4">
        <ns0:v>7.40</ns0:v>
      </ns0:c>
      <ns0:c r="D410" s="4">
        <ns0:v>2.52</ns0:v>
      </ns0:c>
      <ns0:c r="E410" s="4">
        <ns0:v>2.61</ns0:v>
      </ns0:c>
      <ns0:c r="F410" s="4">
        <ns0:v>4.16</ns0:v>
      </ns0:c>
      <ns0:c r="G410" s="4">
        <ns0:v>9.39</ns0:v>
      </ns0:c>
      <ns0:c r="H410" s="4">
        <ns0:v>6.86</ns0:v>
      </ns0:c>
      <ns0:c r="I410" s="4">
        <ns0:v>8.01</ns0:v>
      </ns0:c>
      <ns0:c r="J410" s="4">
        <ns0:v>8.15</ns0:v>
      </ns0:c>
      <ns0:c r="K410" s="4">
        <ns0:v>5.62</ns0:v>
      </ns0:c>
      <ns0:c r="L410" s="4">
        <ns0:v>5.46</ns0:v>
      </ns0:c>
      <ns0:c r="M410" s="4">
        <ns0:v>8.40</ns0:v>
      </ns0:c>
      <ns0:c r="N410" s="4">
        <ns0:v>3.62</ns0:v>
      </ns0:c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 t="inlineStr">
        <ns0:is>
          <ns0:t>车船税数量</ns0:t>
        </ns0:is>
      </ns0:c>
      <ns0:c r="C411" s="4">
        <ns0:v>6.59</ns0:v>
      </ns0:c>
      <ns0:c r="D411" s="4">
        <ns0:v>8.56</ns0:v>
      </ns0:c>
      <ns0:c r="E411" s="4">
        <ns0:v>7.64</ns0:v>
      </ns0:c>
      <ns0:c r="F411" s="4">
        <ns0:v>7.60</ns0:v>
      </ns0:c>
      <ns0:c r="G411" s="4">
        <ns0:v>7.82</ns0:v>
      </ns0:c>
      <ns0:c r="H411" s="4">
        <ns0:v>4.79</ns0:v>
      </ns0:c>
      <ns0:c r="I411" s="4">
        <ns0:v>7.32</ns0:v>
      </ns0:c>
      <ns0:c r="J411" s="4">
        <ns0:v>4.46</ns0:v>
      </ns0:c>
      <ns0:c r="K411" s="4">
        <ns0:v>6.21</ns0:v>
      </ns0:c>
      <ns0:c r="L411" s="4">
        <ns0:v>3.37</ns0:v>
      </ns0:c>
      <ns0:c r="M411" s="4">
        <ns0:v>2.76</ns0:v>
      </ns0:c>
      <ns0:c r="N411" s="4">
        <ns0:v>7.75</ns0:v>
      </ns0:c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 t="inlineStr">
        <ns0:is>
          <ns0:t>印花税数量</ns0:t>
        </ns0:is>
      </ns0:c>
      <ns0:c r="C412" s="4">
        <ns0:v>7.82</ns0:v>
      </ns0:c>
      <ns0:c r="D412" s="4">
        <ns0:v>4.72</ns0:v>
      </ns0:c>
      <ns0:c r="E412" s="4">
        <ns0:v>4.59</ns0:v>
      </ns0:c>
      <ns0:c r="F412" s="4">
        <ns0:v>7.13</ns0:v>
      </ns0:c>
      <ns0:c r="G412" s="4">
        <ns0:v>5.06</ns0:v>
      </ns0:c>
      <ns0:c r="H412" s="4">
        <ns0:v>4.62</ns0:v>
      </ns0:c>
      <ns0:c r="I412" s="4">
        <ns0:v>9.07</ns0:v>
      </ns0:c>
      <ns0:c r="J412" s="4">
        <ns0:v>6.23</ns0:v>
      </ns0:c>
      <ns0:c r="K412" s="4">
        <ns0:v>5.44</ns0:v>
      </ns0:c>
      <ns0:c r="L412" s="4">
        <ns0:v>7.32</ns0:v>
      </ns0:c>
      <ns0:c r="M412" s="4">
        <ns0:v>7.71</ns0:v>
      </ns0:c>
      <ns0:c r="N412" s="4">
        <ns0:v>7.45</ns0:v>
      </ns0:c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 t="inlineStr">
        <ns0:is>
          <ns0:t>其他数量</ns0:t>
        </ns0:is>
      </ns0:c>
      <ns0:c r="C413" s="4">
        <ns0:v>4.07</ns0:v>
      </ns0:c>
      <ns0:c r="D413" s="4">
        <ns0:v>6.87</ns0:v>
      </ns0:c>
      <ns0:c r="E413" s="4">
        <ns0:v>2.95</ns0:v>
      </ns0:c>
      <ns0:c r="F413" s="4">
        <ns0:v>6.14</ns0:v>
      </ns0:c>
      <ns0:c r="G413" s="4">
        <ns0:v>2.75</ns0:v>
      </ns0:c>
      <ns0:c r="H413" s="4">
        <ns0:v>9.04</ns0:v>
      </ns0:c>
      <ns0:c r="I413" s="4">
        <ns0:v>6.64</ns0:v>
      </ns0:c>
      <ns0:c r="J413" s="4">
        <ns0:v>4.05</ns0:v>
      </ns0:c>
      <ns0:c r="K413" s="4">
        <ns0:v>2.34</ns0:v>
      </ns0:c>
      <ns0:c r="L413" s="4">
        <ns0:v>7.08</ns0:v>
      </ns0:c>
      <ns0:c r="M413" s="4">
        <ns0:v>9.10</ns0:v>
      </ns0:c>
      <ns0:c r="N413" s="4">
        <ns0:v>7.32</ns0:v>
      </ns0:c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25:B25"/>
    <ns0:mergeCell ref="A26:B26"/>
    <ns0:mergeCell ref="A27:B27"/>
    <ns0:mergeCell ref="A33:B33"/>
    <ns0:mergeCell ref="A34:B34"/>
    <ns0:mergeCell ref="A35:B35"/>
    <ns0:mergeCell ref="A36:B36"/>
    <ns0:mergeCell ref="A4:A10"/>
    <ns0:mergeCell ref="A11:A20"/>
    <ns0:mergeCell ref="A21:A24"/>
    <ns0:mergeCell ref="A29:A30"/>
    <ns0:mergeCell ref="A31:A32"/>
    <ns0:mergeCell ref="A2:B3"/>
  </ns0:mergeCells>
  <ns0:pageMargins left="0.7" right="0.7" top="0.75" bottom="0.75" header="0.3" footer="0.3"/>
</ns0:worksheet>
</file>

<file path=xl/worksheets/sheet8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6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2.625" hidden="0" customWidth="1"/>
    <ns0:col min="17" max="17" width="12.625" hidden="0" customWidth="1"/>
    <ns0:col min="18" max="18" width="9" hidden="0" customWidth="1"/>
    <ns0:col min="19" max="19" width="9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管理费用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 t="inlineStr">
        <ns0:is>
          <ns0:t>项目</ns0:t>
        </ns0:is>
      </ns0:c>
      <ns0:c r="B2" s="2"/>
      <ns0:c r="C2" s="3" t="inlineStr">
        <ns0:is>
          <ns0:t>预算基础（月度，元）</ns0:t>
        </ns0:is>
      </ns0:c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/>
      <ns0:c r="B3" s="2"/>
      <ns0:c r="C3" s="6" t="inlineStr">
        <ns0:is>
          <ns0:t>2027-01</ns0:t>
        </ns0:is>
      </ns0:c>
      <ns0:c r="D3" s="6" t="inlineStr">
        <ns0:is>
          <ns0:t>2027-02</ns0:t>
        </ns0:is>
      </ns0:c>
      <ns0:c r="E3" s="6" t="inlineStr">
        <ns0:is>
          <ns0:t>2027-03</ns0:t>
        </ns0:is>
      </ns0:c>
      <ns0:c r="F3" s="6" t="inlineStr">
        <ns0:is>
          <ns0:t>2027-04</ns0:t>
        </ns0:is>
      </ns0:c>
      <ns0:c r="G3" s="6" t="inlineStr">
        <ns0:is>
          <ns0:t>2027-05</ns0:t>
        </ns0:is>
      </ns0:c>
      <ns0:c r="H3" s="6" t="inlineStr">
        <ns0:is>
          <ns0:t>2027-06</ns0:t>
        </ns0:is>
      </ns0:c>
      <ns0:c r="I3" s="6" t="inlineStr">
        <ns0:is>
          <ns0:t>2027-07</ns0:t>
        </ns0:is>
      </ns0:c>
      <ns0:c r="J3" s="6" t="inlineStr">
        <ns0:is>
          <ns0:t>2027-08</ns0:t>
        </ns0:is>
      </ns0:c>
      <ns0:c r="K3" s="6" t="inlineStr">
        <ns0:is>
          <ns0:t>2027-09</ns0:t>
        </ns0:is>
      </ns0:c>
      <ns0:c r="L3" s="6" t="inlineStr">
        <ns0:is>
          <ns0:t>2027-10</ns0:t>
        </ns0:is>
      </ns0:c>
      <ns0:c r="M3" s="6" t="inlineStr">
        <ns0:is>
          <ns0:t>2027-11</ns0:t>
        </ns0:is>
      </ns0:c>
      <ns0:c r="N3" s="6" t="inlineStr">
        <ns0:is>
          <ns0:t>2027-12</ns0:t>
        </ns0:is>
      </ns0:c>
      <ns0:c r="O3" s="6" t="inlineStr">
        <ns0:is>
          <ns0:t>小计</ns0:t>
        </ns0:is>
      </ns0:c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 t="inlineStr">
        <ns0:is>
          <ns0:t>员工费用</ns0:t>
        </ns0:is>
      </ns0:c>
      <ns0:c r="B4" s="2" t="inlineStr">
        <ns0:is>
          <ns0:t>工资</ns0:t>
        </ns0:is>
      </ns0:c>
      <ns0:c r="C4" s="3">
        <ns0:f>ROUND(C204*C324,2)</ns0:f>
        <ns0:v>411.28</ns0:v>
      </ns0:c>
      <ns0:c r="D4" s="3">
        <ns0:f>ROUND(D204*D324,2)</ns0:f>
        <ns0:v>139.10</ns0:v>
      </ns0:c>
      <ns0:c r="E4" s="3">
        <ns0:f>ROUND(E204*E324,2)</ns0:f>
        <ns0:v>134.28</ns0:v>
      </ns0:c>
      <ns0:c r="F4" s="3">
        <ns0:f>ROUND(F204*F324,2)</ns0:f>
        <ns0:v>390.44</ns0:v>
      </ns0:c>
      <ns0:c r="G4" s="3">
        <ns0:f>ROUND(G204*G324,2)</ns0:f>
        <ns0:v>163.17</ns0:v>
      </ns0:c>
      <ns0:c r="H4" s="3">
        <ns0:f>ROUND(H204*H324,2)</ns0:f>
        <ns0:v>219.89</ns0:v>
      </ns0:c>
      <ns0:c r="I4" s="3">
        <ns0:f>ROUND(I204*I324,2)</ns0:f>
        <ns0:v>95.26</ns0:v>
      </ns0:c>
      <ns0:c r="J4" s="3">
        <ns0:f>ROUND(J204*J324,2)</ns0:f>
        <ns0:v>193.07</ns0:v>
      </ns0:c>
      <ns0:c r="K4" s="3">
        <ns0:f>ROUND(K204*K324,2)</ns0:f>
        <ns0:v>222.14</ns0:v>
      </ns0:c>
      <ns0:c r="L4" s="3">
        <ns0:f>ROUND(L204*L324,2)</ns0:f>
        <ns0:v>175.40</ns0:v>
      </ns0:c>
      <ns0:c r="M4" s="3">
        <ns0:f>ROUND(M204*M324,2)</ns0:f>
        <ns0:v>347.47</ns0:v>
      </ns0:c>
      <ns0:c r="N4" s="3">
        <ns0:f>ROUND(N204*N324,2)</ns0:f>
        <ns0:v>398.83</ns0:v>
      </ns0:c>
      <ns0:c r="O4" s="3">
        <ns0:f>SUM(C4:N4)</ns0:f>
        <ns0:v>2890.33</ns0:v>
      </ns0:c>
      <ns0:c r="P4" s="2" t="inlineStr">
        <ns0:is>
          <ns0:t>EXP2.004</ns0:t>
        </ns0:is>
      </ns0:c>
      <ns0:c r="Q4" s="2" t="inlineStr">
        <ns0:is>
          <ns0:t>演示占位-v1</ns0:t>
        </ns0:is>
      </ns0:c>
      <ns0:c r="R4" s="2" t="inlineStr">
        <ns0:is>
          <ns0:t>模拟权责发生制</ns0:t>
        </ns0:is>
      </ns0:c>
      <ns0:c r="S4" s="2" t="inlineStr">
        <ns0:is>
          <ns0:t>2027-01</ns0:t>
        </ns0:is>
      </ns0:c>
      <ns0:c r="T4" s="2" t="inlineStr">
        <ns0:is>
          <ns0:t>2027-06</ns0:t>
        </ns0:is>
      </ns0:c>
      <ns0:c r="U4" s="2" t="inlineStr">
        <ns0:is>
          <ns0:t>无</ns0:t>
        </ns0:is>
      </ns0:c>
      <ns0:c r="V4" s="2" t="inlineStr">
        <ns0:is>
          <ns0:t>无</ns0:t>
        </ns0:is>
      </ns0:c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/>
      <ns0:c r="B5" s="2" t="inlineStr">
        <ns0:is>
          <ns0:t>十三薪</ns0:t>
        </ns0:is>
      </ns0:c>
      <ns0:c r="C5" s="3">
        <ns0:f>ROUND(C205*C325,2)</ns0:f>
        <ns0:v>157.39</ns0:v>
      </ns0:c>
      <ns0:c r="D5" s="3">
        <ns0:f>ROUND(D205*D325,2)</ns0:f>
        <ns0:v>198.22</ns0:v>
      </ns0:c>
      <ns0:c r="E5" s="3">
        <ns0:f>ROUND(E205*E325,2)</ns0:f>
        <ns0:v>382.47</ns0:v>
      </ns0:c>
      <ns0:c r="F5" s="3">
        <ns0:f>ROUND(F205*F325,2)</ns0:f>
        <ns0:v>107.21</ns0:v>
      </ns0:c>
      <ns0:c r="G5" s="3">
        <ns0:f>ROUND(G205*G325,2)</ns0:f>
        <ns0:v>405.73</ns0:v>
      </ns0:c>
      <ns0:c r="H5" s="3">
        <ns0:f>ROUND(H205*H325,2)</ns0:f>
        <ns0:v>171.18</ns0:v>
      </ns0:c>
      <ns0:c r="I5" s="3">
        <ns0:f>ROUND(I205*I325,2)</ns0:f>
        <ns0:v>93.22</ns0:v>
      </ns0:c>
      <ns0:c r="J5" s="3">
        <ns0:f>ROUND(J205*J325,2)</ns0:f>
        <ns0:v>185.59</ns0:v>
      </ns0:c>
      <ns0:c r="K5" s="3">
        <ns0:f>ROUND(K205*K325,2)</ns0:f>
        <ns0:v>273.57</ns0:v>
      </ns0:c>
      <ns0:c r="L5" s="3">
        <ns0:f>ROUND(L205*L325,2)</ns0:f>
        <ns0:v>95.24</ns0:v>
      </ns0:c>
      <ns0:c r="M5" s="3">
        <ns0:f>ROUND(M205*M325,2)</ns0:f>
        <ns0:v>318.15</ns0:v>
      </ns0:c>
      <ns0:c r="N5" s="3">
        <ns0:f>ROUND(N205*N325,2)</ns0:f>
        <ns0:v>181.43</ns0:v>
      </ns0:c>
      <ns0:c r="O5" s="3">
        <ns0:f>SUM(C5:N5)</ns0:f>
        <ns0:v>2569.40</ns0:v>
      </ns0:c>
      <ns0:c r="P5" s="2" t="inlineStr">
        <ns0:is>
          <ns0:t>EXP2.005</ns0:t>
        </ns0:is>
      </ns0:c>
      <ns0:c r="Q5" s="2" t="inlineStr">
        <ns0:is>
          <ns0:t>演示占位-v1</ns0:t>
        </ns0:is>
      </ns0:c>
      <ns0:c r="R5" s="2" t="inlineStr">
        <ns0:is>
          <ns0:t>模拟权责发生制</ns0:t>
        </ns0:is>
      </ns0:c>
      <ns0:c r="S5" s="2" t="inlineStr">
        <ns0:is>
          <ns0:t>2027-01</ns0:t>
        </ns0:is>
      </ns0:c>
      <ns0:c r="T5" s="2" t="inlineStr">
        <ns0:is>
          <ns0:t>2027-06</ns0:t>
        </ns0:is>
      </ns0:c>
      <ns0:c r="U5" s="2" t="inlineStr">
        <ns0:is>
          <ns0:t>无</ns0:t>
        </ns0:is>
      </ns0:c>
      <ns0:c r="V5" s="2" t="inlineStr">
        <ns0:is>
          <ns0:t>无</ns0:t>
        </ns0:is>
      </ns0:c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/>
      <ns0:c r="B6" s="2" t="inlineStr">
        <ns0:is>
          <ns0:t>离职补偿金</ns0:t>
        </ns0:is>
      </ns0:c>
      <ns0:c r="C6" s="3">
        <ns0:f>ROUND(C206*C326,2)</ns0:f>
        <ns0:v>154.43</ns0:v>
      </ns0:c>
      <ns0:c r="D6" s="3">
        <ns0:f>ROUND(D206*D326,2)</ns0:f>
        <ns0:v>68.98</ns0:v>
      </ns0:c>
      <ns0:c r="E6" s="3">
        <ns0:f>ROUND(E206*E326,2)</ns0:f>
        <ns0:v>158.23</ns0:v>
      </ns0:c>
      <ns0:c r="F6" s="3">
        <ns0:f>ROUND(F206*F326,2)</ns0:f>
        <ns0:v>384.63</ns0:v>
      </ns0:c>
      <ns0:c r="G6" s="3">
        <ns0:f>ROUND(G206*G326,2)</ns0:f>
        <ns0:v>271.87</ns0:v>
      </ns0:c>
      <ns0:c r="H6" s="3">
        <ns0:f>ROUND(H206*H326,2)</ns0:f>
        <ns0:v>142.76</ns0:v>
      </ns0:c>
      <ns0:c r="I6" s="3">
        <ns0:f>ROUND(I206*I326,2)</ns0:f>
        <ns0:v>50.07</ns0:v>
      </ns0:c>
      <ns0:c r="J6" s="3">
        <ns0:f>ROUND(J206*J326,2)</ns0:f>
        <ns0:v>115.93</ns0:v>
      </ns0:c>
      <ns0:c r="K6" s="3">
        <ns0:f>ROUND(K206*K326,2)</ns0:f>
        <ns0:v>69.69</ns0:v>
      </ns0:c>
      <ns0:c r="L6" s="3">
        <ns0:f>ROUND(L206*L326,2)</ns0:f>
        <ns0:v>303.26</ns0:v>
      </ns0:c>
      <ns0:c r="M6" s="3">
        <ns0:f>ROUND(M206*M326,2)</ns0:f>
        <ns0:v>243.94</ns0:v>
      </ns0:c>
      <ns0:c r="N6" s="3">
        <ns0:f>ROUND(N206*N326,2)</ns0:f>
        <ns0:v>197.44</ns0:v>
      </ns0:c>
      <ns0:c r="O6" s="3">
        <ns0:f>SUM(C6:N6)</ns0:f>
        <ns0:v>2161.23</ns0:v>
      </ns0:c>
      <ns0:c r="P6" s="2" t="inlineStr">
        <ns0:is>
          <ns0:t>EXP2.006</ns0:t>
        </ns0:is>
      </ns0:c>
      <ns0:c r="Q6" s="2" t="inlineStr">
        <ns0:is>
          <ns0:t>演示占位-v1</ns0:t>
        </ns0:is>
      </ns0:c>
      <ns0:c r="R6" s="2" t="inlineStr">
        <ns0:is>
          <ns0:t>模拟权责发生制</ns0:t>
        </ns0:is>
      </ns0:c>
      <ns0:c r="S6" s="2" t="inlineStr">
        <ns0:is>
          <ns0:t>2027-01</ns0:t>
        </ns0:is>
      </ns0:c>
      <ns0:c r="T6" s="2" t="inlineStr">
        <ns0:is>
          <ns0:t>2027-06</ns0:t>
        </ns0:is>
      </ns0:c>
      <ns0:c r="U6" s="2" t="inlineStr">
        <ns0:is>
          <ns0:t>无</ns0:t>
        </ns0:is>
      </ns0:c>
      <ns0:c r="V6" s="2" t="inlineStr">
        <ns0:is>
          <ns0:t>无</ns0:t>
        </ns0:is>
      </ns0:c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 t="inlineStr">
        <ns0:is>
          <ns0:t>五险一金</ns0:t>
        </ns0:is>
      </ns0:c>
      <ns0:c r="C7" s="3">
        <ns0:f>ROUND(C207*C327,2)</ns0:f>
        <ns0:v>199.39</ns0:v>
      </ns0:c>
      <ns0:c r="D7" s="3">
        <ns0:f>ROUND(D207*D327,2)</ns0:f>
        <ns0:v>134.32</ns0:v>
      </ns0:c>
      <ns0:c r="E7" s="3">
        <ns0:f>ROUND(E207*E327,2)</ns0:f>
        <ns0:v>206.06</ns0:v>
      </ns0:c>
      <ns0:c r="F7" s="3">
        <ns0:f>ROUND(F207*F327,2)</ns0:f>
        <ns0:v>357.22</ns0:v>
      </ns0:c>
      <ns0:c r="G7" s="3">
        <ns0:f>ROUND(G207*G327,2)</ns0:f>
        <ns0:v>130.74</ns0:v>
      </ns0:c>
      <ns0:c r="H7" s="3">
        <ns0:f>ROUND(H207*H327,2)</ns0:f>
        <ns0:v>326.01</ns0:v>
      </ns0:c>
      <ns0:c r="I7" s="3">
        <ns0:f>ROUND(I207*I327,2)</ns0:f>
        <ns0:v>497.57</ns0:v>
      </ns0:c>
      <ns0:c r="J7" s="3">
        <ns0:f>ROUND(J207*J327,2)</ns0:f>
        <ns0:v>310.58</ns0:v>
      </ns0:c>
      <ns0:c r="K7" s="3">
        <ns0:f>ROUND(K207*K327,2)</ns0:f>
        <ns0:v>458.06</ns0:v>
      </ns0:c>
      <ns0:c r="L7" s="3">
        <ns0:f>ROUND(L207*L327,2)</ns0:f>
        <ns0:v>364.01</ns0:v>
      </ns0:c>
      <ns0:c r="M7" s="3">
        <ns0:f>ROUND(M207*M327,2)</ns0:f>
        <ns0:v>502.16</ns0:v>
      </ns0:c>
      <ns0:c r="N7" s="3">
        <ns0:f>ROUND(N207*N327,2)</ns0:f>
        <ns0:v>445.52</ns0:v>
      </ns0:c>
      <ns0:c r="O7" s="3">
        <ns0:f>SUM(C7:N7)</ns0:f>
        <ns0:v>3931.64</ns0:v>
      </ns0:c>
      <ns0:c r="P7" s="2" t="inlineStr">
        <ns0:is>
          <ns0:t>EXP2.007</ns0:t>
        </ns0:is>
      </ns0:c>
      <ns0:c r="Q7" s="2" t="inlineStr">
        <ns0:is>
          <ns0:t>演示占位-v1</ns0:t>
        </ns0:is>
      </ns0:c>
      <ns0:c r="R7" s="2" t="inlineStr">
        <ns0:is>
          <ns0:t>模拟权责发生制</ns0:t>
        </ns0:is>
      </ns0:c>
      <ns0:c r="S7" s="2" t="inlineStr">
        <ns0:is>
          <ns0:t>2027-01</ns0:t>
        </ns0:is>
      </ns0:c>
      <ns0:c r="T7" s="2" t="inlineStr">
        <ns0:is>
          <ns0:t>2027-06</ns0:t>
        </ns0:is>
      </ns0:c>
      <ns0:c r="U7" s="2" t="inlineStr">
        <ns0:is>
          <ns0:t>无</ns0:t>
        </ns0:is>
      </ns0:c>
      <ns0:c r="V7" s="2" t="inlineStr">
        <ns0:is>
          <ns0:t>无</ns0:t>
        </ns0:is>
      </ns0:c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2" t="inlineStr">
        <ns0:is>
          <ns0:t>福利费</ns0:t>
        </ns0:is>
      </ns0:c>
      <ns0:c r="C8" s="3">
        <ns0:f>ROUND(C208*C328,2)</ns0:f>
        <ns0:v>132.02</ns0:v>
      </ns0:c>
      <ns0:c r="D8" s="3">
        <ns0:f>ROUND(D208*D328,2)</ns0:f>
        <ns0:v>455.37</ns0:v>
      </ns0:c>
      <ns0:c r="E8" s="3">
        <ns0:f>ROUND(E208*E328,2)</ns0:f>
        <ns0:v>501.19</ns0:v>
      </ns0:c>
      <ns0:c r="F8" s="3">
        <ns0:f>ROUND(F208*F328,2)</ns0:f>
        <ns0:v>86.56</ns0:v>
      </ns0:c>
      <ns0:c r="G8" s="3">
        <ns0:f>ROUND(G208*G328,2)</ns0:f>
        <ns0:v>212.83</ns0:v>
      </ns0:c>
      <ns0:c r="H8" s="3">
        <ns0:f>ROUND(H208*H328,2)</ns0:f>
        <ns0:v>466.14</ns0:v>
      </ns0:c>
      <ns0:c r="I8" s="3">
        <ns0:f>ROUND(I208*I328,2)</ns0:f>
        <ns0:v>190.88</ns0:v>
      </ns0:c>
      <ns0:c r="J8" s="3">
        <ns0:f>ROUND(J208*J328,2)</ns0:f>
        <ns0:v>390.36</ns0:v>
      </ns0:c>
      <ns0:c r="K8" s="3">
        <ns0:f>ROUND(K208*K328,2)</ns0:f>
        <ns0:v>267.26</ns0:v>
      </ns0:c>
      <ns0:c r="L8" s="3">
        <ns0:f>ROUND(L208*L328,2)</ns0:f>
        <ns0:v>547.55</ns0:v>
      </ns0:c>
      <ns0:c r="M8" s="3">
        <ns0:f>ROUND(M208*M328,2)</ns0:f>
        <ns0:v>172.79</ns0:v>
      </ns0:c>
      <ns0:c r="N8" s="3">
        <ns0:f>ROUND(N208*N328,2)</ns0:f>
        <ns0:v>534.72</ns0:v>
      </ns0:c>
      <ns0:c r="O8" s="3">
        <ns0:f>SUM(C8:N8)</ns0:f>
        <ns0:v>3957.67</ns0:v>
      </ns0:c>
      <ns0:c r="P8" s="2" t="inlineStr">
        <ns0:is>
          <ns0:t>EXP2.008</ns0:t>
        </ns0:is>
      </ns0:c>
      <ns0:c r="Q8" s="2" t="inlineStr">
        <ns0:is>
          <ns0:t>演示占位-v1</ns0:t>
        </ns0:is>
      </ns0:c>
      <ns0:c r="R8" s="2" t="inlineStr">
        <ns0:is>
          <ns0:t>模拟权责发生制</ns0:t>
        </ns0:is>
      </ns0:c>
      <ns0:c r="S8" s="2" t="inlineStr">
        <ns0:is>
          <ns0:t>2027-01</ns0:t>
        </ns0:is>
      </ns0:c>
      <ns0:c r="T8" s="2" t="inlineStr">
        <ns0:is>
          <ns0:t>2027-06</ns0:t>
        </ns0:is>
      </ns0:c>
      <ns0:c r="U8" s="2" t="inlineStr">
        <ns0:is>
          <ns0:t>无</ns0:t>
        </ns0:is>
      </ns0:c>
      <ns0:c r="V8" s="2" t="inlineStr">
        <ns0:is>
          <ns0:t>无</ns0:t>
        </ns0:is>
      </ns0:c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 t="inlineStr">
        <ns0:is>
          <ns0:t>招聘费</ns0:t>
        </ns0:is>
      </ns0:c>
      <ns0:c r="C9" s="3">
        <ns0:f>ROUND(C209*C329,2)</ns0:f>
        <ns0:v>385.21</ns0:v>
      </ns0:c>
      <ns0:c r="D9" s="3">
        <ns0:f>ROUND(D209*D329,2)</ns0:f>
        <ns0:v>185.01</ns0:v>
      </ns0:c>
      <ns0:c r="E9" s="3">
        <ns0:f>ROUND(E209*E329,2)</ns0:f>
        <ns0:v>351.45</ns0:v>
      </ns0:c>
      <ns0:c r="F9" s="3">
        <ns0:f>ROUND(F209*F329,2)</ns0:f>
        <ns0:v>319.09</ns0:v>
      </ns0:c>
      <ns0:c r="G9" s="3">
        <ns0:f>ROUND(G209*G329,2)</ns0:f>
        <ns0:v>232.45</ns0:v>
      </ns0:c>
      <ns0:c r="H9" s="3">
        <ns0:f>ROUND(H209*H329,2)</ns0:f>
        <ns0:v>145.60</ns0:v>
      </ns0:c>
      <ns0:c r="I9" s="3">
        <ns0:f>ROUND(I209*I329,2)</ns0:f>
        <ns0:v>298.72</ns0:v>
      </ns0:c>
      <ns0:c r="J9" s="3">
        <ns0:f>ROUND(J209*J329,2)</ns0:f>
        <ns0:v>118.50</ns0:v>
      </ns0:c>
      <ns0:c r="K9" s="3">
        <ns0:f>ROUND(K209*K329,2)</ns0:f>
        <ns0:v>226.26</ns0:v>
      </ns0:c>
      <ns0:c r="L9" s="3">
        <ns0:f>ROUND(L209*L329,2)</ns0:f>
        <ns0:v>77.72</ns0:v>
      </ns0:c>
      <ns0:c r="M9" s="3">
        <ns0:f>ROUND(M209*M329,2)</ns0:f>
        <ns0:v>283.94</ns0:v>
      </ns0:c>
      <ns0:c r="N9" s="3">
        <ns0:f>ROUND(N209*N329,2)</ns0:f>
        <ns0:v>316.36</ns0:v>
      </ns0:c>
      <ns0:c r="O9" s="3">
        <ns0:f>SUM(C9:N9)</ns0:f>
        <ns0:v>2940.31</ns0:v>
      </ns0:c>
      <ns0:c r="P9" s="2" t="inlineStr">
        <ns0:is>
          <ns0:t>EXP2.009</ns0:t>
        </ns0:is>
      </ns0:c>
      <ns0:c r="Q9" s="2" t="inlineStr">
        <ns0:is>
          <ns0:t>演示占位-v1</ns0:t>
        </ns0:is>
      </ns0:c>
      <ns0:c r="R9" s="2" t="inlineStr">
        <ns0:is>
          <ns0:t>模拟权责发生制</ns0:t>
        </ns0:is>
      </ns0:c>
      <ns0:c r="S9" s="2" t="inlineStr">
        <ns0:is>
          <ns0:t>2027-01</ns0:t>
        </ns0:is>
      </ns0:c>
      <ns0:c r="T9" s="2" t="inlineStr">
        <ns0:is>
          <ns0:t>2027-06</ns0:t>
        </ns0:is>
      </ns0:c>
      <ns0:c r="U9" s="2" t="inlineStr">
        <ns0:is>
          <ns0:t>无</ns0:t>
        </ns0:is>
      </ns0:c>
      <ns0:c r="V9" s="2" t="inlineStr">
        <ns0:is>
          <ns0:t>无</ns0:t>
        </ns0:is>
      </ns0:c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 t="inlineStr">
        <ns0:is>
          <ns0:t>培训费</ns0:t>
        </ns0:is>
      </ns0:c>
      <ns0:c r="C10" s="3">
        <ns0:f>ROUND(C210*C330,2)</ns0:f>
        <ns0:v>380.08</ns0:v>
      </ns0:c>
      <ns0:c r="D10" s="3">
        <ns0:f>ROUND(D210*D330,2)</ns0:f>
        <ns0:v>285.01</ns0:v>
      </ns0:c>
      <ns0:c r="E10" s="3">
        <ns0:f>ROUND(E210*E330,2)</ns0:f>
        <ns0:v>131.59</ns0:v>
      </ns0:c>
      <ns0:c r="F10" s="3">
        <ns0:f>ROUND(F210*F330,2)</ns0:f>
        <ns0:v>245.59</ns0:v>
      </ns0:c>
      <ns0:c r="G10" s="3">
        <ns0:f>ROUND(G210*G330,2)</ns0:f>
        <ns0:v>463.43</ns0:v>
      </ns0:c>
      <ns0:c r="H10" s="3">
        <ns0:f>ROUND(H210*H330,2)</ns0:f>
        <ns0:v>174.64</ns0:v>
      </ns0:c>
      <ns0:c r="I10" s="3">
        <ns0:f>ROUND(I210*I330,2)</ns0:f>
        <ns0:v>133.86</ns0:v>
      </ns0:c>
      <ns0:c r="J10" s="3">
        <ns0:f>ROUND(J210*J330,2)</ns0:f>
        <ns0:v>148.75</ns0:v>
      </ns0:c>
      <ns0:c r="K10" s="3">
        <ns0:f>ROUND(K210*K330,2)</ns0:f>
        <ns0:v>153.74</ns0:v>
      </ns0:c>
      <ns0:c r="L10" s="3">
        <ns0:f>ROUND(L210*L330,2)</ns0:f>
        <ns0:v>331.75</ns0:v>
      </ns0:c>
      <ns0:c r="M10" s="3">
        <ns0:f>ROUND(M210*M330,2)</ns0:f>
        <ns0:v>150.43</ns0:v>
      </ns0:c>
      <ns0:c r="N10" s="3">
        <ns0:f>ROUND(N210*N330,2)</ns0:f>
        <ns0:v>132.01</ns0:v>
      </ns0:c>
      <ns0:c r="O10" s="3">
        <ns0:f>SUM(C10:N10)</ns0:f>
        <ns0:v>2730.88</ns0:v>
      </ns0:c>
      <ns0:c r="P10" s="2" t="inlineStr">
        <ns0:is>
          <ns0:t>EXP2.010</ns0:t>
        </ns0:is>
      </ns0:c>
      <ns0:c r="Q10" s="2" t="inlineStr">
        <ns0:is>
          <ns0:t>演示占位-v1</ns0:t>
        </ns0:is>
      </ns0:c>
      <ns0:c r="R10" s="2" t="inlineStr">
        <ns0:is>
          <ns0:t>模拟权责发生制</ns0:t>
        </ns0:is>
      </ns0:c>
      <ns0:c r="S10" s="2" t="inlineStr">
        <ns0:is>
          <ns0:t>2027-01</ns0:t>
        </ns0:is>
      </ns0:c>
      <ns0:c r="T10" s="2" t="inlineStr">
        <ns0:is>
          <ns0:t>2027-06</ns0:t>
        </ns0:is>
      </ns0:c>
      <ns0:c r="U10" s="2" t="inlineStr">
        <ns0:is>
          <ns0:t>无</ns0:t>
        </ns0:is>
      </ns0:c>
      <ns0:c r="V10" s="2" t="inlineStr">
        <ns0:is>
          <ns0:t>无</ns0:t>
        </ns0:is>
      </ns0:c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 t="inlineStr">
        <ns0:is>
          <ns0:t>房租</ns0:t>
        </ns0:is>
      </ns0:c>
      <ns0:c r="C11" s="3">
        <ns0:f>ROUND(C211*C331,2)</ns0:f>
        <ns0:v>167.41</ns0:v>
      </ns0:c>
      <ns0:c r="D11" s="3">
        <ns0:f>ROUND(D211*D331,2)</ns0:f>
        <ns0:v>491.59</ns0:v>
      </ns0:c>
      <ns0:c r="E11" s="3">
        <ns0:f>ROUND(E211*E331,2)</ns0:f>
        <ns0:v>107.86</ns0:v>
      </ns0:c>
      <ns0:c r="F11" s="3">
        <ns0:f>ROUND(F211*F331,2)</ns0:f>
        <ns0:v>213.58</ns0:v>
      </ns0:c>
      <ns0:c r="G11" s="3">
        <ns0:f>ROUND(G211*G331,2)</ns0:f>
        <ns0:v>139.20</ns0:v>
      </ns0:c>
      <ns0:c r="H11" s="3">
        <ns0:f>ROUND(H211*H331,2)</ns0:f>
        <ns0:v>377.89</ns0:v>
      </ns0:c>
      <ns0:c r="I11" s="3">
        <ns0:f>ROUND(I211*I331,2)</ns0:f>
        <ns0:v>66.20</ns0:v>
      </ns0:c>
      <ns0:c r="J11" s="3">
        <ns0:f>ROUND(J211*J331,2)</ns0:f>
        <ns0:v>266.12</ns0:v>
      </ns0:c>
      <ns0:c r="K11" s="3">
        <ns0:f>ROUND(K211*K331,2)</ns0:f>
        <ns0:v>92.01</ns0:v>
      </ns0:c>
      <ns0:c r="L11" s="3">
        <ns0:f>ROUND(L211*L331,2)</ns0:f>
        <ns0:v>171.49</ns0:v>
      </ns0:c>
      <ns0:c r="M11" s="3">
        <ns0:f>ROUND(M211*M331,2)</ns0:f>
        <ns0:v>148.39</ns0:v>
      </ns0:c>
      <ns0:c r="N11" s="3">
        <ns0:f>ROUND(N211*N331,2)</ns0:f>
        <ns0:v>249.51</ns0:v>
      </ns0:c>
      <ns0:c r="O11" s="3">
        <ns0:f>SUM(C11:N11)</ns0:f>
        <ns0:v>2491.25</ns0:v>
      </ns0:c>
      <ns0:c r="P11" s="2" t="inlineStr">
        <ns0:is>
          <ns0:t>EXP2.011</ns0:t>
        </ns0:is>
      </ns0:c>
      <ns0:c r="Q11" s="2" t="inlineStr">
        <ns0:is>
          <ns0:t>演示占位-v1</ns0:t>
        </ns0:is>
      </ns0:c>
      <ns0:c r="R11" s="2" t="inlineStr">
        <ns0:is>
          <ns0:t>模拟权责发生制</ns0:t>
        </ns0:is>
      </ns0:c>
      <ns0:c r="S11" s="2" t="inlineStr">
        <ns0:is>
          <ns0:t>2027-01</ns0:t>
        </ns0:is>
      </ns0:c>
      <ns0:c r="T11" s="2" t="inlineStr">
        <ns0:is>
          <ns0:t>2027-06</ns0:t>
        </ns0:is>
      </ns0:c>
      <ns0:c r="U11" s="2" t="inlineStr">
        <ns0:is>
          <ns0:t>无</ns0:t>
        </ns0:is>
      </ns0:c>
      <ns0:c r="V11" s="2" t="inlineStr">
        <ns0:is>
          <ns0:t>无</ns0:t>
        </ns0:is>
      </ns0:c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 t="inlineStr">
        <ns0:is>
          <ns0:t>物业管理费</ns0:t>
        </ns0:is>
      </ns0:c>
      <ns0:c r="C12" s="3">
        <ns0:f>ROUND(C212*C332,2)</ns0:f>
        <ns0:v>96.99</ns0:v>
      </ns0:c>
      <ns0:c r="D12" s="3">
        <ns0:f>ROUND(D212*D332,2)</ns0:f>
        <ns0:v>144.22</ns0:v>
      </ns0:c>
      <ns0:c r="E12" s="3">
        <ns0:f>ROUND(E212*E332,2)</ns0:f>
        <ns0:v>477.67</ns0:v>
      </ns0:c>
      <ns0:c r="F12" s="3">
        <ns0:f>ROUND(F212*F332,2)</ns0:f>
        <ns0:v>217.14</ns0:v>
      </ns0:c>
      <ns0:c r="G12" s="3">
        <ns0:f>ROUND(G212*G332,2)</ns0:f>
        <ns0:v>92.65</ns0:v>
      </ns0:c>
      <ns0:c r="H12" s="3">
        <ns0:f>ROUND(H212*H332,2)</ns0:f>
        <ns0:v>70.83</ns0:v>
      </ns0:c>
      <ns0:c r="I12" s="3">
        <ns0:f>ROUND(I212*I332,2)</ns0:f>
        <ns0:v>446.31</ns0:v>
      </ns0:c>
      <ns0:c r="J12" s="3">
        <ns0:f>ROUND(J212*J332,2)</ns0:f>
        <ns0:v>128.21</ns0:v>
      </ns0:c>
      <ns0:c r="K12" s="3">
        <ns0:f>ROUND(K212*K332,2)</ns0:f>
        <ns0:v>326.48</ns0:v>
      </ns0:c>
      <ns0:c r="L12" s="3">
        <ns0:f>ROUND(L212*L332,2)</ns0:f>
        <ns0:v>267.62</ns0:v>
      </ns0:c>
      <ns0:c r="M12" s="3">
        <ns0:f>ROUND(M212*M332,2)</ns0:f>
        <ns0:v>320.93</ns0:v>
      </ns0:c>
      <ns0:c r="N12" s="3">
        <ns0:f>ROUND(N212*N332,2)</ns0:f>
        <ns0:v>235.89</ns0:v>
      </ns0:c>
      <ns0:c r="O12" s="3">
        <ns0:f>SUM(C12:N12)</ns0:f>
        <ns0:v>2824.94</ns0:v>
      </ns0:c>
      <ns0:c r="P12" s="2" t="inlineStr">
        <ns0:is>
          <ns0:t>EXP2.012</ns0:t>
        </ns0:is>
      </ns0:c>
      <ns0:c r="Q12" s="2" t="inlineStr">
        <ns0:is>
          <ns0:t>演示占位-v1</ns0:t>
        </ns0:is>
      </ns0:c>
      <ns0:c r="R12" s="2" t="inlineStr">
        <ns0:is>
          <ns0:t>模拟权责发生制</ns0:t>
        </ns0:is>
      </ns0:c>
      <ns0:c r="S12" s="2" t="inlineStr">
        <ns0:is>
          <ns0:t>2027-01</ns0:t>
        </ns0:is>
      </ns0:c>
      <ns0:c r="T12" s="2" t="inlineStr">
        <ns0:is>
          <ns0:t>2027-06</ns0:t>
        </ns0:is>
      </ns0:c>
      <ns0:c r="U12" s="2" t="inlineStr">
        <ns0:is>
          <ns0:t>无</ns0:t>
        </ns0:is>
      </ns0:c>
      <ns0:c r="V12" s="2" t="inlineStr">
        <ns0:is>
          <ns0:t>无</ns0:t>
        </ns0:is>
      </ns0:c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 t="inlineStr">
        <ns0:is>
          <ns0:t>汽车费用</ns0:t>
        </ns0:is>
      </ns0:c>
      <ns0:c r="C13" s="3">
        <ns0:f>ROUND(C213*C333,2)</ns0:f>
        <ns0:v>284.22</ns0:v>
      </ns0:c>
      <ns0:c r="D13" s="3">
        <ns0:f>ROUND(D213*D333,2)</ns0:f>
        <ns0:v>429.54</ns0:v>
      </ns0:c>
      <ns0:c r="E13" s="3">
        <ns0:f>ROUND(E213*E333,2)</ns0:f>
        <ns0:v>187.37</ns0:v>
      </ns0:c>
      <ns0:c r="F13" s="3">
        <ns0:f>ROUND(F213*F333,2)</ns0:f>
        <ns0:v>84.29</ns0:v>
      </ns0:c>
      <ns0:c r="G13" s="3">
        <ns0:f>ROUND(G213*G333,2)</ns0:f>
        <ns0:v>161.54</ns0:v>
      </ns0:c>
      <ns0:c r="H13" s="3">
        <ns0:f>ROUND(H213*H333,2)</ns0:f>
        <ns0:v>377.22</ns0:v>
      </ns0:c>
      <ns0:c r="I13" s="3">
        <ns0:f>ROUND(I213*I333,2)</ns0:f>
        <ns0:v>187.03</ns0:v>
      </ns0:c>
      <ns0:c r="J13" s="3">
        <ns0:f>ROUND(J213*J333,2)</ns0:f>
        <ns0:v>228.55</ns0:v>
      </ns0:c>
      <ns0:c r="K13" s="3">
        <ns0:f>ROUND(K213*K333,2)</ns0:f>
        <ns0:v>351.92</ns0:v>
      </ns0:c>
      <ns0:c r="L13" s="3">
        <ns0:f>ROUND(L213*L333,2)</ns0:f>
        <ns0:v>257.33</ns0:v>
      </ns0:c>
      <ns0:c r="M13" s="3">
        <ns0:f>ROUND(M213*M333,2)</ns0:f>
        <ns0:v>226.60</ns0:v>
      </ns0:c>
      <ns0:c r="N13" s="3">
        <ns0:f>ROUND(N213*N333,2)</ns0:f>
        <ns0:v>156.36</ns0:v>
      </ns0:c>
      <ns0:c r="O13" s="3">
        <ns0:f>SUM(C13:N13)</ns0:f>
        <ns0:v>2931.97</ns0:v>
      </ns0:c>
      <ns0:c r="P13" s="2" t="inlineStr">
        <ns0:is>
          <ns0:t>EXP2.013</ns0:t>
        </ns0:is>
      </ns0:c>
      <ns0:c r="Q13" s="2" t="inlineStr">
        <ns0:is>
          <ns0:t>演示占位-v1</ns0:t>
        </ns0:is>
      </ns0:c>
      <ns0:c r="R13" s="2" t="inlineStr">
        <ns0:is>
          <ns0:t>模拟权责发生制</ns0:t>
        </ns0:is>
      </ns0:c>
      <ns0:c r="S13" s="2" t="inlineStr">
        <ns0:is>
          <ns0:t>2027-01</ns0:t>
        </ns0:is>
      </ns0:c>
      <ns0:c r="T13" s="2" t="inlineStr">
        <ns0:is>
          <ns0:t>2027-06</ns0:t>
        </ns0:is>
      </ns0:c>
      <ns0:c r="U13" s="2" t="inlineStr">
        <ns0:is>
          <ns0:t>无</ns0:t>
        </ns0:is>
      </ns0:c>
      <ns0:c r="V13" s="2" t="inlineStr">
        <ns0:is>
          <ns0:t>无</ns0:t>
        </ns0:is>
      </ns0:c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 t="inlineStr">
        <ns0:is>
          <ns0:t>办公费</ns0:t>
        </ns0:is>
      </ns0:c>
      <ns0:c r="C14" s="3">
        <ns0:f>ROUND(C214*C334,2)</ns0:f>
        <ns0:v>387.89</ns0:v>
      </ns0:c>
      <ns0:c r="D14" s="3">
        <ns0:f>ROUND(D214*D334,2)</ns0:f>
        <ns0:v>277.23</ns0:v>
      </ns0:c>
      <ns0:c r="E14" s="3">
        <ns0:f>ROUND(E214*E334,2)</ns0:f>
        <ns0:v>137.94</ns0:v>
      </ns0:c>
      <ns0:c r="F14" s="3">
        <ns0:f>ROUND(F214*F334,2)</ns0:f>
        <ns0:v>358.80</ns0:v>
      </ns0:c>
      <ns0:c r="G14" s="3">
        <ns0:f>ROUND(G214*G334,2)</ns0:f>
        <ns0:v>159.45</ns0:v>
      </ns0:c>
      <ns0:c r="H14" s="3">
        <ns0:f>ROUND(H214*H334,2)</ns0:f>
        <ns0:v>185.12</ns0:v>
      </ns0:c>
      <ns0:c r="I14" s="3">
        <ns0:f>ROUND(I214*I334,2)</ns0:f>
        <ns0:v>120.23</ns0:v>
      </ns0:c>
      <ns0:c r="J14" s="3">
        <ns0:f>ROUND(J214*J334,2)</ns0:f>
        <ns0:v>151.15</ns0:v>
      </ns0:c>
      <ns0:c r="K14" s="3">
        <ns0:f>ROUND(K214*K334,2)</ns0:f>
        <ns0:v>191.27</ns0:v>
      </ns0:c>
      <ns0:c r="L14" s="3">
        <ns0:f>ROUND(L214*L334,2)</ns0:f>
        <ns0:v>180.17</ns0:v>
      </ns0:c>
      <ns0:c r="M14" s="3">
        <ns0:f>ROUND(M214*M334,2)</ns0:f>
        <ns0:v>175.42</ns0:v>
      </ns0:c>
      <ns0:c r="N14" s="3">
        <ns0:f>ROUND(N214*N334,2)</ns0:f>
        <ns0:v>152.11</ns0:v>
      </ns0:c>
      <ns0:c r="O14" s="3">
        <ns0:f>SUM(C14:N14)</ns0:f>
        <ns0:v>2476.78</ns0:v>
      </ns0:c>
      <ns0:c r="P14" s="2" t="inlineStr">
        <ns0:is>
          <ns0:t>EXP2.014</ns0:t>
        </ns0:is>
      </ns0:c>
      <ns0:c r="Q14" s="2" t="inlineStr">
        <ns0:is>
          <ns0:t>演示占位-v1</ns0:t>
        </ns0:is>
      </ns0:c>
      <ns0:c r="R14" s="2" t="inlineStr">
        <ns0:is>
          <ns0:t>模拟权责发生制</ns0:t>
        </ns0:is>
      </ns0:c>
      <ns0:c r="S14" s="2" t="inlineStr">
        <ns0:is>
          <ns0:t>2027-01</ns0:t>
        </ns0:is>
      </ns0:c>
      <ns0:c r="T14" s="2" t="inlineStr">
        <ns0:is>
          <ns0:t>2027-06</ns0:t>
        </ns0:is>
      </ns0:c>
      <ns0:c r="U14" s="2" t="inlineStr">
        <ns0:is>
          <ns0:t>无</ns0:t>
        </ns0:is>
      </ns0:c>
      <ns0:c r="V14" s="2" t="inlineStr">
        <ns0:is>
          <ns0:t>无</ns0:t>
        </ns0:is>
      </ns0:c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实际数据状态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 t="inlineStr">
        <ns0:is>
          <ns0:t>办公用品</ns0:t>
        </ns0:is>
      </ns0:c>
      <ns0:c r="C15" s="3">
        <ns0:f>ROUND(C215*C335,2)</ns0:f>
        <ns0:v>352.48</ns0:v>
      </ns0:c>
      <ns0:c r="D15" s="3">
        <ns0:f>ROUND(D215*D335,2)</ns0:f>
        <ns0:v>137.19</ns0:v>
      </ns0:c>
      <ns0:c r="E15" s="3">
        <ns0:f>ROUND(E215*E335,2)</ns0:f>
        <ns0:v>241.06</ns0:v>
      </ns0:c>
      <ns0:c r="F15" s="3">
        <ns0:f>ROUND(F215*F335,2)</ns0:f>
        <ns0:v>211.22</ns0:v>
      </ns0:c>
      <ns0:c r="G15" s="3">
        <ns0:f>ROUND(G215*G335,2)</ns0:f>
        <ns0:v>289.19</ns0:v>
      </ns0:c>
      <ns0:c r="H15" s="3">
        <ns0:f>ROUND(H215*H335,2)</ns0:f>
        <ns0:v>266.81</ns0:v>
      </ns0:c>
      <ns0:c r="I15" s="3">
        <ns0:f>ROUND(I215*I335,2)</ns0:f>
        <ns0:v>276.81</ns0:v>
      </ns0:c>
      <ns0:c r="J15" s="3">
        <ns0:f>ROUND(J215*J335,2)</ns0:f>
        <ns0:v>438.17</ns0:v>
      </ns0:c>
      <ns0:c r="K15" s="3">
        <ns0:f>ROUND(K215*K335,2)</ns0:f>
        <ns0:v>166.22</ns0:v>
      </ns0:c>
      <ns0:c r="L15" s="3">
        <ns0:f>ROUND(L215*L335,2)</ns0:f>
        <ns0:v>166.85</ns0:v>
      </ns0:c>
      <ns0:c r="M15" s="3">
        <ns0:f>ROUND(M215*M335,2)</ns0:f>
        <ns0:v>154.35</ns0:v>
      </ns0:c>
      <ns0:c r="N15" s="3">
        <ns0:f>ROUND(N215*N335,2)</ns0:f>
        <ns0:v>320.26</ns0:v>
      </ns0:c>
      <ns0:c r="O15" s="3">
        <ns0:f>SUM(C15:N15)</ns0:f>
        <ns0:v>3020.61</ns0:v>
      </ns0:c>
      <ns0:c r="P15" s="2" t="inlineStr">
        <ns0:is>
          <ns0:t>EXP2.015</ns0:t>
        </ns0:is>
      </ns0:c>
      <ns0:c r="Q15" s="2" t="inlineStr">
        <ns0:is>
          <ns0:t>演示占位-v1</ns0:t>
        </ns0:is>
      </ns0:c>
      <ns0:c r="R15" s="2" t="inlineStr">
        <ns0:is>
          <ns0:t>模拟权责发生制</ns0:t>
        </ns0:is>
      </ns0:c>
      <ns0:c r="S15" s="2" t="inlineStr">
        <ns0:is>
          <ns0:t>2027-01</ns0:t>
        </ns0:is>
      </ns0:c>
      <ns0:c r="T15" s="2" t="inlineStr">
        <ns0:is>
          <ns0:t>2027-06</ns0:t>
        </ns0:is>
      </ns0:c>
      <ns0:c r="U15" s="2" t="inlineStr">
        <ns0:is>
          <ns0:t>无</ns0:t>
        </ns0:is>
      </ns0:c>
      <ns0:c r="V15" s="2" t="inlineStr">
        <ns0:is>
          <ns0:t>无</ns0:t>
        </ns0:is>
      </ns0:c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 t="inlineStr">
        <ns0:is>
          <ns0:t>水电煤</ns0:t>
        </ns0:is>
      </ns0:c>
      <ns0:c r="C16" s="3">
        <ns0:f>ROUND(C216*C336,2)</ns0:f>
        <ns0:v>317.05</ns0:v>
      </ns0:c>
      <ns0:c r="D16" s="3">
        <ns0:f>ROUND(D216*D336,2)</ns0:f>
        <ns0:v>105.12</ns0:v>
      </ns0:c>
      <ns0:c r="E16" s="3">
        <ns0:f>ROUND(E216*E336,2)</ns0:f>
        <ns0:v>132.32</ns0:v>
      </ns0:c>
      <ns0:c r="F16" s="3">
        <ns0:f>ROUND(F216*F336,2)</ns0:f>
        <ns0:v>270.90</ns0:v>
      </ns0:c>
      <ns0:c r="G16" s="3">
        <ns0:f>ROUND(G216*G336,2)</ns0:f>
        <ns0:v>154.14</ns0:v>
      </ns0:c>
      <ns0:c r="H16" s="3">
        <ns0:f>ROUND(H216*H336,2)</ns0:f>
        <ns0:v>91.92</ns0:v>
      </ns0:c>
      <ns0:c r="I16" s="3">
        <ns0:f>ROUND(I216*I336,2)</ns0:f>
        <ns0:v>159.25</ns0:v>
      </ns0:c>
      <ns0:c r="J16" s="3">
        <ns0:f>ROUND(J216*J336,2)</ns0:f>
        <ns0:v>110.62</ns0:v>
      </ns0:c>
      <ns0:c r="K16" s="3">
        <ns0:f>ROUND(K216*K336,2)</ns0:f>
        <ns0:v>431.45</ns0:v>
      </ns0:c>
      <ns0:c r="L16" s="3">
        <ns0:f>ROUND(L216*L336,2)</ns0:f>
        <ns0:v>261.62</ns0:v>
      </ns0:c>
      <ns0:c r="M16" s="3">
        <ns0:f>ROUND(M216*M336,2)</ns0:f>
        <ns0:v>471.50</ns0:v>
      </ns0:c>
      <ns0:c r="N16" s="3">
        <ns0:f>ROUND(N216*N336,2)</ns0:f>
        <ns0:v>392.06</ns0:v>
      </ns0:c>
      <ns0:c r="O16" s="3">
        <ns0:f>SUM(C16:N16)</ns0:f>
        <ns0:v>2897.95</ns0:v>
      </ns0:c>
      <ns0:c r="P16" s="2" t="inlineStr">
        <ns0:is>
          <ns0:t>EXP2.016</ns0:t>
        </ns0:is>
      </ns0:c>
      <ns0:c r="Q16" s="2" t="inlineStr">
        <ns0:is>
          <ns0:t>演示占位-v1</ns0:t>
        </ns0:is>
      </ns0:c>
      <ns0:c r="R16" s="2" t="inlineStr">
        <ns0:is>
          <ns0:t>模拟权责发生制</ns0:t>
        </ns0:is>
      </ns0:c>
      <ns0:c r="S16" s="2" t="inlineStr">
        <ns0:is>
          <ns0:t>2027-01</ns0:t>
        </ns0:is>
      </ns0:c>
      <ns0:c r="T16" s="2" t="inlineStr">
        <ns0:is>
          <ns0:t>2027-06</ns0:t>
        </ns0:is>
      </ns0:c>
      <ns0:c r="U16" s="2" t="inlineStr">
        <ns0:is>
          <ns0:t>无</ns0:t>
        </ns0:is>
      </ns0:c>
      <ns0:c r="V16" s="2" t="inlineStr">
        <ns0:is>
          <ns0:t>无</ns0:t>
        </ns0:is>
      </ns0:c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/>
      <ns0:c r="AY16" s="2"/>
    </ns0:row>
    <ns0:row r="17" ht="20" customHeight="1">
      <ns0:c r="A17" s="2"/>
      <ns0:c r="B17" s="2" t="inlineStr">
        <ns0:is>
          <ns0:t>咨询服务费</ns0:t>
        </ns0:is>
      </ns0:c>
      <ns0:c r="C17" s="3">
        <ns0:f>ROUND(C217*C337,2)</ns0:f>
        <ns0:v>91.85</ns0:v>
      </ns0:c>
      <ns0:c r="D17" s="3">
        <ns0:f>ROUND(D217*D337,2)</ns0:f>
        <ns0:v>179.33</ns0:v>
      </ns0:c>
      <ns0:c r="E17" s="3">
        <ns0:f>ROUND(E217*E337,2)</ns0:f>
        <ns0:v>353.42</ns0:v>
      </ns0:c>
      <ns0:c r="F17" s="3">
        <ns0:f>ROUND(F217*F337,2)</ns0:f>
        <ns0:v>199.77</ns0:v>
      </ns0:c>
      <ns0:c r="G17" s="3">
        <ns0:f>ROUND(G217*G337,2)</ns0:f>
        <ns0:v>160.36</ns0:v>
      </ns0:c>
      <ns0:c r="H17" s="3">
        <ns0:f>ROUND(H217*H337,2)</ns0:f>
        <ns0:v>189.43</ns0:v>
      </ns0:c>
      <ns0:c r="I17" s="3">
        <ns0:f>ROUND(I217*I337,2)</ns0:f>
        <ns0:v>187.32</ns0:v>
      </ns0:c>
      <ns0:c r="J17" s="3">
        <ns0:f>ROUND(J217*J337,2)</ns0:f>
        <ns0:v>256.40</ns0:v>
      </ns0:c>
      <ns0:c r="K17" s="3">
        <ns0:f>ROUND(K217*K337,2)</ns0:f>
        <ns0:v>216.89</ns0:v>
      </ns0:c>
      <ns0:c r="L17" s="3">
        <ns0:f>ROUND(L217*L337,2)</ns0:f>
        <ns0:v>292.92</ns0:v>
      </ns0:c>
      <ns0:c r="M17" s="3">
        <ns0:f>ROUND(M217*M337,2)</ns0:f>
        <ns0:v>268.01</ns0:v>
      </ns0:c>
      <ns0:c r="N17" s="3">
        <ns0:f>ROUND(N217*N337,2)</ns0:f>
        <ns0:v>109.81</ns0:v>
      </ns0:c>
      <ns0:c r="O17" s="3">
        <ns0:f>SUM(C17:N17)</ns0:f>
        <ns0:v>2505.51</ns0:v>
      </ns0:c>
      <ns0:c r="P17" s="2" t="inlineStr">
        <ns0:is>
          <ns0:t>EXP2.017</ns0:t>
        </ns0:is>
      </ns0:c>
      <ns0:c r="Q17" s="2" t="inlineStr">
        <ns0:is>
          <ns0:t>演示占位-v1</ns0:t>
        </ns0:is>
      </ns0:c>
      <ns0:c r="R17" s="2" t="inlineStr">
        <ns0:is>
          <ns0:t>模拟权责发生制</ns0:t>
        </ns0:is>
      </ns0:c>
      <ns0:c r="S17" s="2" t="inlineStr">
        <ns0:is>
          <ns0:t>2027-01</ns0:t>
        </ns0:is>
      </ns0:c>
      <ns0:c r="T17" s="2" t="inlineStr">
        <ns0:is>
          <ns0:t>2027-06</ns0:t>
        </ns0:is>
      </ns0:c>
      <ns0:c r="U17" s="2" t="inlineStr">
        <ns0:is>
          <ns0:t>无</ns0:t>
        </ns0:is>
      </ns0:c>
      <ns0:c r="V17" s="2" t="inlineStr">
        <ns0:is>
          <ns0:t>无</ns0:t>
        </ns0:is>
      </ns0:c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蓝色为输入参数；实际数为占位；金额单位：元</ns0:t>
        </ns0:is>
      </ns0:c>
    </ns0:row>
    <ns0:row r="18" ht="20" customHeight="1">
      <ns0:c r="A18" s="2"/>
      <ns0:c r="B18" s="2" t="inlineStr">
        <ns0:is>
          <ns0:t>电话费</ns0:t>
        </ns0:is>
      </ns0:c>
      <ns0:c r="C18" s="3">
        <ns0:f>ROUND(C218*C338,2)</ns0:f>
        <ns0:v>69.78</ns0:v>
      </ns0:c>
      <ns0:c r="D18" s="3">
        <ns0:f>ROUND(D218*D338,2)</ns0:f>
        <ns0:v>348.26</ns0:v>
      </ns0:c>
      <ns0:c r="E18" s="3">
        <ns0:f>ROUND(E218*E338,2)</ns0:f>
        <ns0:v>482.71</ns0:v>
      </ns0:c>
      <ns0:c r="F18" s="3">
        <ns0:f>ROUND(F218*F338,2)</ns0:f>
        <ns0:v>89.65</ns0:v>
      </ns0:c>
      <ns0:c r="G18" s="3">
        <ns0:f>ROUND(G218*G338,2)</ns0:f>
        <ns0:v>109.69</ns0:v>
      </ns0:c>
      <ns0:c r="H18" s="3">
        <ns0:f>ROUND(H218*H338,2)</ns0:f>
        <ns0:v>80.52</ns0:v>
      </ns0:c>
      <ns0:c r="I18" s="3">
        <ns0:f>ROUND(I218*I338,2)</ns0:f>
        <ns0:v>225.33</ns0:v>
      </ns0:c>
      <ns0:c r="J18" s="3">
        <ns0:f>ROUND(J218*J338,2)</ns0:f>
        <ns0:v>154.96</ns0:v>
      </ns0:c>
      <ns0:c r="K18" s="3">
        <ns0:f>ROUND(K218*K338,2)</ns0:f>
        <ns0:v>187.86</ns0:v>
      </ns0:c>
      <ns0:c r="L18" s="3">
        <ns0:f>ROUND(L218*L338,2)</ns0:f>
        <ns0:v>56.25</ns0:v>
      </ns0:c>
      <ns0:c r="M18" s="3">
        <ns0:f>ROUND(M218*M338,2)</ns0:f>
        <ns0:v>115.07</ns0:v>
      </ns0:c>
      <ns0:c r="N18" s="3">
        <ns0:f>ROUND(N218*N338,2)</ns0:f>
        <ns0:v>442.79</ns0:v>
      </ns0:c>
      <ns0:c r="O18" s="3">
        <ns0:f>SUM(C18:N18)</ns0:f>
        <ns0:v>2362.87</ns0:v>
      </ns0:c>
      <ns0:c r="P18" s="2" t="inlineStr">
        <ns0:is>
          <ns0:t>EXP2.018</ns0:t>
        </ns0:is>
      </ns0:c>
      <ns0:c r="Q18" s="2" t="inlineStr">
        <ns0:is>
          <ns0:t>演示占位-v1</ns0:t>
        </ns0:is>
      </ns0:c>
      <ns0:c r="R18" s="2" t="inlineStr">
        <ns0:is>
          <ns0:t>模拟权责发生制</ns0:t>
        </ns0:is>
      </ns0:c>
      <ns0:c r="S18" s="2" t="inlineStr">
        <ns0:is>
          <ns0:t>2027-01</ns0:t>
        </ns0:is>
      </ns0:c>
      <ns0:c r="T18" s="2" t="inlineStr">
        <ns0:is>
          <ns0:t>2027-06</ns0:t>
        </ns0:is>
      </ns0:c>
      <ns0:c r="U18" s="2" t="inlineStr">
        <ns0:is>
          <ns0:t>无</ns0:t>
        </ns0:is>
      </ns0:c>
      <ns0:c r="V18" s="2" t="inlineStr">
        <ns0:is>
          <ns0:t>无</ns0:t>
        </ns0:is>
      </ns0:c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 t="inlineStr">
        <ns0:is>
          <ns0:t>快递费</ns0:t>
        </ns0:is>
      </ns0:c>
      <ns0:c r="C19" s="3">
        <ns0:f>ROUND(C219*C339,2)</ns0:f>
        <ns0:v>192.43</ns0:v>
      </ns0:c>
      <ns0:c r="D19" s="3">
        <ns0:f>ROUND(D219*D339,2)</ns0:f>
        <ns0:v>157.50</ns0:v>
      </ns0:c>
      <ns0:c r="E19" s="3">
        <ns0:f>ROUND(E219*E339,2)</ns0:f>
        <ns0:v>490.96</ns0:v>
      </ns0:c>
      <ns0:c r="F19" s="3">
        <ns0:f>ROUND(F219*F339,2)</ns0:f>
        <ns0:v>175.24</ns0:v>
      </ns0:c>
      <ns0:c r="G19" s="3">
        <ns0:f>ROUND(G219*G339,2)</ns0:f>
        <ns0:v>288.85</ns0:v>
      </ns0:c>
      <ns0:c r="H19" s="3">
        <ns0:f>ROUND(H219*H339,2)</ns0:f>
        <ns0:v>117.13</ns0:v>
      </ns0:c>
      <ns0:c r="I19" s="3">
        <ns0:f>ROUND(I219*I339,2)</ns0:f>
        <ns0:v>72.24</ns0:v>
      </ns0:c>
      <ns0:c r="J19" s="3">
        <ns0:f>ROUND(J219*J339,2)</ns0:f>
        <ns0:v>237.62</ns0:v>
      </ns0:c>
      <ns0:c r="K19" s="3">
        <ns0:f>ROUND(K219*K339,2)</ns0:f>
        <ns0:v>103.59</ns0:v>
      </ns0:c>
      <ns0:c r="L19" s="3">
        <ns0:f>ROUND(L219*L339,2)</ns0:f>
        <ns0:v>152.70</ns0:v>
      </ns0:c>
      <ns0:c r="M19" s="3">
        <ns0:f>ROUND(M219*M339,2)</ns0:f>
        <ns0:v>223.84</ns0:v>
      </ns0:c>
      <ns0:c r="N19" s="3">
        <ns0:f>ROUND(N219*N339,2)</ns0:f>
        <ns0:v>524.46</ns0:v>
      </ns0:c>
      <ns0:c r="O19" s="3">
        <ns0:f>SUM(C19:N19)</ns0:f>
        <ns0:v>2736.56</ns0:v>
      </ns0:c>
      <ns0:c r="P19" s="2" t="inlineStr">
        <ns0:is>
          <ns0:t>EXP2.019</ns0:t>
        </ns0:is>
      </ns0:c>
      <ns0:c r="Q19" s="2" t="inlineStr">
        <ns0:is>
          <ns0:t>演示占位-v1</ns0:t>
        </ns0:is>
      </ns0:c>
      <ns0:c r="R19" s="2" t="inlineStr">
        <ns0:is>
          <ns0:t>模拟权责发生制</ns0:t>
        </ns0:is>
      </ns0:c>
      <ns0:c r="S19" s="2" t="inlineStr">
        <ns0:is>
          <ns0:t>2027-01</ns0:t>
        </ns0:is>
      </ns0:c>
      <ns0:c r="T19" s="2" t="inlineStr">
        <ns0:is>
          <ns0:t>2027-06</ns0:t>
        </ns0:is>
      </ns0:c>
      <ns0:c r="U19" s="2" t="inlineStr">
        <ns0:is>
          <ns0:t>无</ns0:t>
        </ns0:is>
      </ns0:c>
      <ns0:c r="V19" s="2" t="inlineStr">
        <ns0:is>
          <ns0:t>无</ns0:t>
        </ns0:is>
      </ns0:c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 t="inlineStr">
        <ns0:is>
          <ns0:t>折旧及摊销</ns0:t>
        </ns0:is>
      </ns0:c>
      <ns0:c r="C20" s="3">
        <ns0:f>ROUND('摊销明细'!C33/3,2)</ns0:f>
        <ns0:v>639.75</ns0:v>
      </ns0:c>
      <ns0:c r="D20" s="3">
        <ns0:f>ROUND('摊销明细'!D33/3,2)</ns0:f>
        <ns0:v>639.75</ns0:v>
      </ns0:c>
      <ns0:c r="E20" s="3">
        <ns0:f>ROUND('摊销明细'!E33/3,2)</ns0:f>
        <ns0:v>639.75</ns0:v>
      </ns0:c>
      <ns0:c r="F20" s="3">
        <ns0:f>ROUND('摊销明细'!F33/3,2)</ns0:f>
        <ns0:v>639.75</ns0:v>
      </ns0:c>
      <ns0:c r="G20" s="3">
        <ns0:f>ROUND('摊销明细'!G33/3,2)</ns0:f>
        <ns0:v>639.75</ns0:v>
      </ns0:c>
      <ns0:c r="H20" s="3">
        <ns0:f>ROUND('摊销明细'!H33/3,2)</ns0:f>
        <ns0:v>639.75</ns0:v>
      </ns0:c>
      <ns0:c r="I20" s="3">
        <ns0:f>ROUND('摊销明细'!I33/3,2)</ns0:f>
        <ns0:v>639.75</ns0:v>
      </ns0:c>
      <ns0:c r="J20" s="3">
        <ns0:f>ROUND('摊销明细'!J33/3,2)</ns0:f>
        <ns0:v>639.75</ns0:v>
      </ns0:c>
      <ns0:c r="K20" s="3">
        <ns0:f>ROUND('摊销明细'!K33/3,2)</ns0:f>
        <ns0:v>639.75</ns0:v>
      </ns0:c>
      <ns0:c r="L20" s="3">
        <ns0:f>ROUND('摊销明细'!L33/3,2)</ns0:f>
        <ns0:v>639.75</ns0:v>
      </ns0:c>
      <ns0:c r="M20" s="3">
        <ns0:f>ROUND('摊销明细'!M33/3,2)</ns0:f>
        <ns0:v>639.75</ns0:v>
      </ns0:c>
      <ns0:c r="N20" s="3">
        <ns0:f>ROUND('摊销明细'!N33/3,2)</ns0:f>
        <ns0:v>639.75</ns0:v>
      </ns0:c>
      <ns0:c r="O20" s="3">
        <ns0:f>SUM(C20:N20)</ns0:f>
        <ns0:v>7677.00</ns0:v>
      </ns0:c>
      <ns0:c r="P20" s="2" t="inlineStr">
        <ns0:is>
          <ns0:t>EXP2.020</ns0:t>
        </ns0:is>
      </ns0:c>
      <ns0:c r="Q20" s="2" t="inlineStr">
        <ns0:is>
          <ns0:t>演示占位-v1</ns0:t>
        </ns0:is>
      </ns0:c>
      <ns0:c r="R20" s="2" t="inlineStr">
        <ns0:is>
          <ns0:t>模拟权责发生制</ns0:t>
        </ns0:is>
      </ns0:c>
      <ns0:c r="S20" s="2" t="inlineStr">
        <ns0:is>
          <ns0:t>2027-01</ns0:t>
        </ns0:is>
      </ns0:c>
      <ns0:c r="T20" s="2" t="inlineStr">
        <ns0:is>
          <ns0:t>2027-06</ns0:t>
        </ns0:is>
      </ns0:c>
      <ns0:c r="U20" s="2" t="inlineStr">
        <ns0:is>
          <ns0:t>无</ns0:t>
        </ns0:is>
      </ns0:c>
      <ns0:c r="V20" s="2" t="inlineStr">
        <ns0:is>
          <ns0:t>无</ns0:t>
        </ns0:is>
      </ns0:c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 t="inlineStr">
        <ns0:is>
          <ns0:t>差旅费</ns0:t>
        </ns0:is>
      </ns0:c>
      <ns0:c r="B21" s="2" t="inlineStr">
        <ns0:is>
          <ns0:t>机票火车票</ns0:t>
        </ns0:is>
      </ns0:c>
      <ns0:c r="C21" s="3">
        <ns0:f>ROUND(C221*C341,2)</ns0:f>
        <ns0:v>277.86</ns0:v>
      </ns0:c>
      <ns0:c r="D21" s="3">
        <ns0:f>ROUND(D221*D341,2)</ns0:f>
        <ns0:v>229.65</ns0:v>
      </ns0:c>
      <ns0:c r="E21" s="3">
        <ns0:f>ROUND(E221*E341,2)</ns0:f>
        <ns0:v>304.69</ns0:v>
      </ns0:c>
      <ns0:c r="F21" s="3">
        <ns0:f>ROUND(F221*F341,2)</ns0:f>
        <ns0:v>382.27</ns0:v>
      </ns0:c>
      <ns0:c r="G21" s="3">
        <ns0:f>ROUND(G221*G341,2)</ns0:f>
        <ns0:v>310.31</ns0:v>
      </ns0:c>
      <ns0:c r="H21" s="3">
        <ns0:f>ROUND(H221*H341,2)</ns0:f>
        <ns0:v>462.88</ns0:v>
      </ns0:c>
      <ns0:c r="I21" s="3">
        <ns0:f>ROUND(I221*I341,2)</ns0:f>
        <ns0:v>262.13</ns0:v>
      </ns0:c>
      <ns0:c r="J21" s="3">
        <ns0:f>ROUND(J221*J341,2)</ns0:f>
        <ns0:v>125.19</ns0:v>
      </ns0:c>
      <ns0:c r="K21" s="3">
        <ns0:f>ROUND(K221*K341,2)</ns0:f>
        <ns0:v>234.41</ns0:v>
      </ns0:c>
      <ns0:c r="L21" s="3">
        <ns0:f>ROUND(L221*L341,2)</ns0:f>
        <ns0:v>339.39</ns0:v>
      </ns0:c>
      <ns0:c r="M21" s="3">
        <ns0:f>ROUND(M221*M341,2)</ns0:f>
        <ns0:v>309.30</ns0:v>
      </ns0:c>
      <ns0:c r="N21" s="3">
        <ns0:f>ROUND(N221*N341,2)</ns0:f>
        <ns0:v>159.83</ns0:v>
      </ns0:c>
      <ns0:c r="O21" s="3">
        <ns0:f>SUM(C21:N21)</ns0:f>
        <ns0:v>3397.91</ns0:v>
      </ns0:c>
      <ns0:c r="P21" s="2" t="inlineStr">
        <ns0:is>
          <ns0:t>EXP2.021</ns0:t>
        </ns0:is>
      </ns0:c>
      <ns0:c r="Q21" s="2" t="inlineStr">
        <ns0:is>
          <ns0:t>演示占位-v1</ns0:t>
        </ns0:is>
      </ns0:c>
      <ns0:c r="R21" s="2" t="inlineStr">
        <ns0:is>
          <ns0:t>模拟权责发生制</ns0:t>
        </ns0:is>
      </ns0:c>
      <ns0:c r="S21" s="2" t="inlineStr">
        <ns0:is>
          <ns0:t>2027-01</ns0:t>
        </ns0:is>
      </ns0:c>
      <ns0:c r="T21" s="2" t="inlineStr">
        <ns0:is>
          <ns0:t>2027-06</ns0:t>
        </ns0:is>
      </ns0:c>
      <ns0:c r="U21" s="2" t="inlineStr">
        <ns0:is>
          <ns0:t>无</ns0:t>
        </ns0:is>
      </ns0:c>
      <ns0:c r="V21" s="2" t="inlineStr">
        <ns0:is>
          <ns0:t>无</ns0:t>
        </ns0:is>
      </ns0:c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 t="inlineStr">
        <ns0:is>
          <ns0:t>住宿费</ns0:t>
        </ns0:is>
      </ns0:c>
      <ns0:c r="C22" s="3">
        <ns0:f>ROUND(C222*C342,2)</ns0:f>
        <ns0:v>149.72</ns0:v>
      </ns0:c>
      <ns0:c r="D22" s="3">
        <ns0:f>ROUND(D222*D342,2)</ns0:f>
        <ns0:v>130.05</ns0:v>
      </ns0:c>
      <ns0:c r="E22" s="3">
        <ns0:f>ROUND(E222*E342,2)</ns0:f>
        <ns0:v>131.59</ns0:v>
      </ns0:c>
      <ns0:c r="F22" s="3">
        <ns0:f>ROUND(F222*F342,2)</ns0:f>
        <ns0:v>272.95</ns0:v>
      </ns0:c>
      <ns0:c r="G22" s="3">
        <ns0:f>ROUND(G222*G342,2)</ns0:f>
        <ns0:v>284.85</ns0:v>
      </ns0:c>
      <ns0:c r="H22" s="3">
        <ns0:f>ROUND(H222*H342,2)</ns0:f>
        <ns0:v>119.24</ns0:v>
      </ns0:c>
      <ns0:c r="I22" s="3">
        <ns0:f>ROUND(I222*I342,2)</ns0:f>
        <ns0:v>241.50</ns0:v>
      </ns0:c>
      <ns0:c r="J22" s="3">
        <ns0:f>ROUND(J222*J342,2)</ns0:f>
        <ns0:v>482.90</ns0:v>
      </ns0:c>
      <ns0:c r="K22" s="3">
        <ns0:f>ROUND(K222*K342,2)</ns0:f>
        <ns0:v>166.98</ns0:v>
      </ns0:c>
      <ns0:c r="L22" s="3">
        <ns0:f>ROUND(L222*L342,2)</ns0:f>
        <ns0:v>381.10</ns0:v>
      </ns0:c>
      <ns0:c r="M22" s="3">
        <ns0:f>ROUND(M222*M342,2)</ns0:f>
        <ns0:v>332.83</ns0:v>
      </ns0:c>
      <ns0:c r="N22" s="3">
        <ns0:f>ROUND(N222*N342,2)</ns0:f>
        <ns0:v>261.21</ns0:v>
      </ns0:c>
      <ns0:c r="O22" s="3">
        <ns0:f>SUM(C22:N22)</ns0:f>
        <ns0:v>2954.92</ns0:v>
      </ns0:c>
      <ns0:c r="P22" s="2" t="inlineStr">
        <ns0:is>
          <ns0:t>EXP2.022</ns0:t>
        </ns0:is>
      </ns0:c>
      <ns0:c r="Q22" s="2" t="inlineStr">
        <ns0:is>
          <ns0:t>演示占位-v1</ns0:t>
        </ns0:is>
      </ns0:c>
      <ns0:c r="R22" s="2" t="inlineStr">
        <ns0:is>
          <ns0:t>模拟权责发生制</ns0:t>
        </ns0:is>
      </ns0:c>
      <ns0:c r="S22" s="2" t="inlineStr">
        <ns0:is>
          <ns0:t>2027-01</ns0:t>
        </ns0:is>
      </ns0:c>
      <ns0:c r="T22" s="2" t="inlineStr">
        <ns0:is>
          <ns0:t>2027-06</ns0:t>
        </ns0:is>
      </ns0:c>
      <ns0:c r="U22" s="2" t="inlineStr">
        <ns0:is>
          <ns0:t>无</ns0:t>
        </ns0:is>
      </ns0:c>
      <ns0:c r="V22" s="2" t="inlineStr">
        <ns0:is>
          <ns0:t>无</ns0:t>
        </ns0:is>
      </ns0:c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 t="inlineStr">
        <ns0:is>
          <ns0:t>交通费</ns0:t>
        </ns0:is>
      </ns0:c>
      <ns0:c r="C23" s="3">
        <ns0:f>ROUND(C223*C343,2)</ns0:f>
        <ns0:v>481.50</ns0:v>
      </ns0:c>
      <ns0:c r="D23" s="3">
        <ns0:f>ROUND(D223*D343,2)</ns0:f>
        <ns0:v>257.45</ns0:v>
      </ns0:c>
      <ns0:c r="E23" s="3">
        <ns0:f>ROUND(E223*E343,2)</ns0:f>
        <ns0:v>434.48</ns0:v>
      </ns0:c>
      <ns0:c r="F23" s="3">
        <ns0:f>ROUND(F223*F343,2)</ns0:f>
        <ns0:v>57.06</ns0:v>
      </ns0:c>
      <ns0:c r="G23" s="3">
        <ns0:f>ROUND(G223*G343,2)</ns0:f>
        <ns0:v>346.22</ns0:v>
      </ns0:c>
      <ns0:c r="H23" s="3">
        <ns0:f>ROUND(H223*H343,2)</ns0:f>
        <ns0:v>363.07</ns0:v>
      </ns0:c>
      <ns0:c r="I23" s="3">
        <ns0:f>ROUND(I223*I343,2)</ns0:f>
        <ns0:v>114.49</ns0:v>
      </ns0:c>
      <ns0:c r="J23" s="3">
        <ns0:f>ROUND(J223*J343,2)</ns0:f>
        <ns0:v>486.85</ns0:v>
      </ns0:c>
      <ns0:c r="K23" s="3">
        <ns0:f>ROUND(K223*K343,2)</ns0:f>
        <ns0:v>207.65</ns0:v>
      </ns0:c>
      <ns0:c r="L23" s="3">
        <ns0:f>ROUND(L223*L343,2)</ns0:f>
        <ns0:v>81.62</ns0:v>
      </ns0:c>
      <ns0:c r="M23" s="3">
        <ns0:f>ROUND(M223*M343,2)</ns0:f>
        <ns0:v>198.12</ns0:v>
      </ns0:c>
      <ns0:c r="N23" s="3">
        <ns0:f>ROUND(N223*N343,2)</ns0:f>
        <ns0:v>362.24</ns0:v>
      </ns0:c>
      <ns0:c r="O23" s="3">
        <ns0:f>SUM(C23:N23)</ns0:f>
        <ns0:v>3390.75</ns0:v>
      </ns0:c>
      <ns0:c r="P23" s="2" t="inlineStr">
        <ns0:is>
          <ns0:t>EXP2.023</ns0:t>
        </ns0:is>
      </ns0:c>
      <ns0:c r="Q23" s="2" t="inlineStr">
        <ns0:is>
          <ns0:t>演示占位-v1</ns0:t>
        </ns0:is>
      </ns0:c>
      <ns0:c r="R23" s="2" t="inlineStr">
        <ns0:is>
          <ns0:t>模拟权责发生制</ns0:t>
        </ns0:is>
      </ns0:c>
      <ns0:c r="S23" s="2" t="inlineStr">
        <ns0:is>
          <ns0:t>2027-01</ns0:t>
        </ns0:is>
      </ns0:c>
      <ns0:c r="T23" s="2" t="inlineStr">
        <ns0:is>
          <ns0:t>2027-06</ns0:t>
        </ns0:is>
      </ns0:c>
      <ns0:c r="U23" s="2" t="inlineStr">
        <ns0:is>
          <ns0:t>无</ns0:t>
        </ns0:is>
      </ns0:c>
      <ns0:c r="V23" s="2" t="inlineStr">
        <ns0:is>
          <ns0:t>无</ns0:t>
        </ns0:is>
      </ns0:c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 t="inlineStr">
        <ns0:is>
          <ns0:t>差旅补贴</ns0:t>
        </ns0:is>
      </ns0:c>
      <ns0:c r="C24" s="3">
        <ns0:f>ROUND(C224*C344,2)</ns0:f>
        <ns0:v>85.48</ns0:v>
      </ns0:c>
      <ns0:c r="D24" s="3">
        <ns0:f>ROUND(D224*D344,2)</ns0:f>
        <ns0:v>240.35</ns0:v>
      </ns0:c>
      <ns0:c r="E24" s="3">
        <ns0:f>ROUND(E224*E344,2)</ns0:f>
        <ns0:v>223.91</ns0:v>
      </ns0:c>
      <ns0:c r="F24" s="3">
        <ns0:f>ROUND(F224*F344,2)</ns0:f>
        <ns0:v>190.52</ns0:v>
      </ns0:c>
      <ns0:c r="G24" s="3">
        <ns0:f>ROUND(G224*G344,2)</ns0:f>
        <ns0:v>65.94</ns0:v>
      </ns0:c>
      <ns0:c r="H24" s="3">
        <ns0:f>ROUND(H224*H344,2)</ns0:f>
        <ns0:v>112.29</ns0:v>
      </ns0:c>
      <ns0:c r="I24" s="3">
        <ns0:f>ROUND(I224*I344,2)</ns0:f>
        <ns0:v>360.08</ns0:v>
      </ns0:c>
      <ns0:c r="J24" s="3">
        <ns0:f>ROUND(J224*J344,2)</ns0:f>
        <ns0:v>325.01</ns0:v>
      </ns0:c>
      <ns0:c r="K24" s="3">
        <ns0:f>ROUND(K224*K344,2)</ns0:f>
        <ns0:v>312.02</ns0:v>
      </ns0:c>
      <ns0:c r="L24" s="3">
        <ns0:f>ROUND(L224*L344,2)</ns0:f>
        <ns0:v>151.67</ns0:v>
      </ns0:c>
      <ns0:c r="M24" s="3">
        <ns0:f>ROUND(M224*M344,2)</ns0:f>
        <ns0:v>317.08</ns0:v>
      </ns0:c>
      <ns0:c r="N24" s="3">
        <ns0:f>ROUND(N224*N344,2)</ns0:f>
        <ns0:v>226.44</ns0:v>
      </ns0:c>
      <ns0:c r="O24" s="3">
        <ns0:f>SUM(C24:N24)</ns0:f>
        <ns0:v>2610.79</ns0:v>
      </ns0:c>
      <ns0:c r="P24" s="2" t="inlineStr">
        <ns0:is>
          <ns0:t>EXP2.024</ns0:t>
        </ns0:is>
      </ns0:c>
      <ns0:c r="Q24" s="2" t="inlineStr">
        <ns0:is>
          <ns0:t>演示占位-v1</ns0:t>
        </ns0:is>
      </ns0:c>
      <ns0:c r="R24" s="2" t="inlineStr">
        <ns0:is>
          <ns0:t>模拟权责发生制</ns0:t>
        </ns0:is>
      </ns0:c>
      <ns0:c r="S24" s="2" t="inlineStr">
        <ns0:is>
          <ns0:t>2027-01</ns0:t>
        </ns0:is>
      </ns0:c>
      <ns0:c r="T24" s="2" t="inlineStr">
        <ns0:is>
          <ns0:t>2027-06</ns0:t>
        </ns0:is>
      </ns0:c>
      <ns0:c r="U24" s="2" t="inlineStr">
        <ns0:is>
          <ns0:t>无</ns0:t>
        </ns0:is>
      </ns0:c>
      <ns0:c r="V24" s="2" t="inlineStr">
        <ns0:is>
          <ns0:t>无</ns0:t>
        </ns0:is>
      </ns0:c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 t="inlineStr">
        <ns0:is>
          <ns0:t>业务招待费</ns0:t>
        </ns0:is>
      </ns0:c>
      <ns0:c r="B25" s="2" t="inlineStr">
        <ns0:is>
          <ns0:t>业务招待费</ns0:t>
        </ns0:is>
      </ns0:c>
      <ns0:c r="C25" s="3">
        <ns0:f>ROUND(C225*C345,2)</ns0:f>
        <ns0:v>272.83</ns0:v>
      </ns0:c>
      <ns0:c r="D25" s="3">
        <ns0:f>ROUND(D225*D345,2)</ns0:f>
        <ns0:v>276.37</ns0:v>
      </ns0:c>
      <ns0:c r="E25" s="3">
        <ns0:f>ROUND(E225*E345,2)</ns0:f>
        <ns0:v>228.01</ns0:v>
      </ns0:c>
      <ns0:c r="F25" s="3">
        <ns0:f>ROUND(F225*F345,2)</ns0:f>
        <ns0:v>179.99</ns0:v>
      </ns0:c>
      <ns0:c r="G25" s="3">
        <ns0:f>ROUND(G225*G345,2)</ns0:f>
        <ns0:v>462.77</ns0:v>
      </ns0:c>
      <ns0:c r="H25" s="3">
        <ns0:f>ROUND(H225*H345,2)</ns0:f>
        <ns0:v>441.12</ns0:v>
      </ns0:c>
      <ns0:c r="I25" s="3">
        <ns0:f>ROUND(I225*I345,2)</ns0:f>
        <ns0:v>357.28</ns0:v>
      </ns0:c>
      <ns0:c r="J25" s="3">
        <ns0:f>ROUND(J225*J345,2)</ns0:f>
        <ns0:v>186.50</ns0:v>
      </ns0:c>
      <ns0:c r="K25" s="3">
        <ns0:f>ROUND(K225*K345,2)</ns0:f>
        <ns0:v>195.81</ns0:v>
      </ns0:c>
      <ns0:c r="L25" s="3">
        <ns0:f>ROUND(L225*L345,2)</ns0:f>
        <ns0:v>125.92</ns0:v>
      </ns0:c>
      <ns0:c r="M25" s="3">
        <ns0:f>ROUND(M225*M345,2)</ns0:f>
        <ns0:v>50.98</ns0:v>
      </ns0:c>
      <ns0:c r="N25" s="3">
        <ns0:f>ROUND(N225*N345,2)</ns0:f>
        <ns0:v>203.47</ns0:v>
      </ns0:c>
      <ns0:c r="O25" s="3">
        <ns0:f>SUM(C25:N25)</ns0:f>
        <ns0:v>2981.05</ns0:v>
      </ns0:c>
      <ns0:c r="P25" s="2" t="inlineStr">
        <ns0:is>
          <ns0:t>EXP2.025</ns0:t>
        </ns0:is>
      </ns0:c>
      <ns0:c r="Q25" s="2" t="inlineStr">
        <ns0:is>
          <ns0:t>演示占位-v1</ns0:t>
        </ns0:is>
      </ns0:c>
      <ns0:c r="R25" s="2" t="inlineStr">
        <ns0:is>
          <ns0:t>模拟权责发生制</ns0:t>
        </ns0:is>
      </ns0:c>
      <ns0:c r="S25" s="2" t="inlineStr">
        <ns0:is>
          <ns0:t>2027-01</ns0:t>
        </ns0:is>
      </ns0:c>
      <ns0:c r="T25" s="2" t="inlineStr">
        <ns0:is>
          <ns0:t>2027-06</ns0:t>
        </ns0:is>
      </ns0:c>
      <ns0:c r="U25" s="2" t="inlineStr">
        <ns0:is>
          <ns0:t>无</ns0:t>
        </ns0:is>
      </ns0:c>
      <ns0:c r="V25" s="2" t="inlineStr">
        <ns0:is>
          <ns0:t>无</ns0:t>
        </ns0:is>
      </ns0:c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 t="inlineStr">
        <ns0:is>
          <ns0:t>市内交通费</ns0:t>
        </ns0:is>
      </ns0:c>
      <ns0:c r="B26" s="2" t="inlineStr">
        <ns0:is>
          <ns0:t>市内交通费</ns0:t>
        </ns0:is>
      </ns0:c>
      <ns0:c r="C26" s="3">
        <ns0:f>ROUND(C226*C346,2)</ns0:f>
        <ns0:v>202.83</ns0:v>
      </ns0:c>
      <ns0:c r="D26" s="3">
        <ns0:f>ROUND(D226*D346,2)</ns0:f>
        <ns0:v>478.25</ns0:v>
      </ns0:c>
      <ns0:c r="E26" s="3">
        <ns0:f>ROUND(E226*E346,2)</ns0:f>
        <ns0:v>267.45</ns0:v>
      </ns0:c>
      <ns0:c r="F26" s="3">
        <ns0:f>ROUND(F226*F346,2)</ns0:f>
        <ns0:v>282.65</ns0:v>
      </ns0:c>
      <ns0:c r="G26" s="3">
        <ns0:f>ROUND(G226*G346,2)</ns0:f>
        <ns0:v>107.90</ns0:v>
      </ns0:c>
      <ns0:c r="H26" s="3">
        <ns0:f>ROUND(H226*H346,2)</ns0:f>
        <ns0:v>150.33</ns0:v>
      </ns0:c>
      <ns0:c r="I26" s="3">
        <ns0:f>ROUND(I226*I346,2)</ns0:f>
        <ns0:v>449.18</ns0:v>
      </ns0:c>
      <ns0:c r="J26" s="3">
        <ns0:f>ROUND(J226*J346,2)</ns0:f>
        <ns0:v>168.45</ns0:v>
      </ns0:c>
      <ns0:c r="K26" s="3">
        <ns0:f>ROUND(K226*K346,2)</ns0:f>
        <ns0:v>297.51</ns0:v>
      </ns0:c>
      <ns0:c r="L26" s="3">
        <ns0:f>ROUND(L226*L346,2)</ns0:f>
        <ns0:v>191.21</ns0:v>
      </ns0:c>
      <ns0:c r="M26" s="3">
        <ns0:f>ROUND(M226*M346,2)</ns0:f>
        <ns0:v>217.79</ns0:v>
      </ns0:c>
      <ns0:c r="N26" s="3">
        <ns0:f>ROUND(N226*N346,2)</ns0:f>
        <ns0:v>128.12</ns0:v>
      </ns0:c>
      <ns0:c r="O26" s="3">
        <ns0:f>SUM(C26:N26)</ns0:f>
        <ns0:v>2941.67</ns0:v>
      </ns0:c>
      <ns0:c r="P26" s="2" t="inlineStr">
        <ns0:is>
          <ns0:t>EXP2.026</ns0:t>
        </ns0:is>
      </ns0:c>
      <ns0:c r="Q26" s="2" t="inlineStr">
        <ns0:is>
          <ns0:t>演示占位-v1</ns0:t>
        </ns0:is>
      </ns0:c>
      <ns0:c r="R26" s="2" t="inlineStr">
        <ns0:is>
          <ns0:t>模拟权责发生制</ns0:t>
        </ns0:is>
      </ns0:c>
      <ns0:c r="S26" s="2" t="inlineStr">
        <ns0:is>
          <ns0:t>2027-01</ns0:t>
        </ns0:is>
      </ns0:c>
      <ns0:c r="T26" s="2" t="inlineStr">
        <ns0:is>
          <ns0:t>2027-06</ns0:t>
        </ns0:is>
      </ns0:c>
      <ns0:c r="U26" s="2" t="inlineStr">
        <ns0:is>
          <ns0:t>无</ns0:t>
        </ns0:is>
      </ns0:c>
      <ns0:c r="V26" s="2" t="inlineStr">
        <ns0:is>
          <ns0:t>无</ns0:t>
        </ns0:is>
      </ns0:c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 t="inlineStr">
        <ns0:is>
          <ns0:t>调研费用</ns0:t>
        </ns0:is>
      </ns0:c>
      <ns0:c r="B27" s="2" t="inlineStr">
        <ns0:is>
          <ns0:t>调研费用</ns0:t>
        </ns0:is>
      </ns0:c>
      <ns0:c r="C27" s="3">
        <ns0:f>ROUND(C227*C347,2)</ns0:f>
        <ns0:v>99.21</ns0:v>
      </ns0:c>
      <ns0:c r="D27" s="3">
        <ns0:f>ROUND(D227*D347,2)</ns0:f>
        <ns0:v>109.13</ns0:v>
      </ns0:c>
      <ns0:c r="E27" s="3">
        <ns0:f>ROUND(E227*E347,2)</ns0:f>
        <ns0:v>287.65</ns0:v>
      </ns0:c>
      <ns0:c r="F27" s="3">
        <ns0:f>ROUND(F227*F347,2)</ns0:f>
        <ns0:v>271.87</ns0:v>
      </ns0:c>
      <ns0:c r="G27" s="3">
        <ns0:f>ROUND(G227*G347,2)</ns0:f>
        <ns0:v>149.42</ns0:v>
      </ns0:c>
      <ns0:c r="H27" s="3">
        <ns0:f>ROUND(H227*H347,2)</ns0:f>
        <ns0:v>152.12</ns0:v>
      </ns0:c>
      <ns0:c r="I27" s="3">
        <ns0:f>ROUND(I227*I347,2)</ns0:f>
        <ns0:v>149.29</ns0:v>
      </ns0:c>
      <ns0:c r="J27" s="3">
        <ns0:f>ROUND(J227*J347,2)</ns0:f>
        <ns0:v>152.96</ns0:v>
      </ns0:c>
      <ns0:c r="K27" s="3">
        <ns0:f>ROUND(K227*K347,2)</ns0:f>
        <ns0:v>241.82</ns0:v>
      </ns0:c>
      <ns0:c r="L27" s="3">
        <ns0:f>ROUND(L227*L347,2)</ns0:f>
        <ns0:v>104.17</ns0:v>
      </ns0:c>
      <ns0:c r="M27" s="3">
        <ns0:f>ROUND(M227*M347,2)</ns0:f>
        <ns0:v>44.40</ns0:v>
      </ns0:c>
      <ns0:c r="N27" s="3">
        <ns0:f>ROUND(N227*N347,2)</ns0:f>
        <ns0:v>269.05</ns0:v>
      </ns0:c>
      <ns0:c r="O27" s="3">
        <ns0:f>SUM(C27:N27)</ns0:f>
        <ns0:v>2031.09</ns0:v>
      </ns0:c>
      <ns0:c r="P27" s="2" t="inlineStr">
        <ns0:is>
          <ns0:t>EXP2.027</ns0:t>
        </ns0:is>
      </ns0:c>
      <ns0:c r="Q27" s="2" t="inlineStr">
        <ns0:is>
          <ns0:t>演示占位-v1</ns0:t>
        </ns0:is>
      </ns0:c>
      <ns0:c r="R27" s="2" t="inlineStr">
        <ns0:is>
          <ns0:t>模拟权责发生制</ns0:t>
        </ns0:is>
      </ns0:c>
      <ns0:c r="S27" s="2" t="inlineStr">
        <ns0:is>
          <ns0:t>2027-01</ns0:t>
        </ns0:is>
      </ns0:c>
      <ns0:c r="T27" s="2" t="inlineStr">
        <ns0:is>
          <ns0:t>2027-06</ns0:t>
        </ns0:is>
      </ns0:c>
      <ns0:c r="U27" s="2" t="inlineStr">
        <ns0:is>
          <ns0:t>无</ns0:t>
        </ns0:is>
      </ns0:c>
      <ns0:c r="V27" s="2" t="inlineStr">
        <ns0:is>
          <ns0:t>无</ns0:t>
        </ns0:is>
      </ns0:c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 t="inlineStr">
        <ns0:is>
          <ns0:t>手续费</ns0:t>
        </ns0:is>
      </ns0:c>
      <ns0:c r="B28" s="2" t="inlineStr">
        <ns0:is>
          <ns0:t>手续费</ns0:t>
        </ns0:is>
      </ns0:c>
      <ns0:c r="C28" s="3">
        <ns0:f>ROUND(C228*C348,2)</ns0:f>
        <ns0:v>253.91</ns0:v>
      </ns0:c>
      <ns0:c r="D28" s="3">
        <ns0:f>ROUND(D228*D348,2)</ns0:f>
        <ns0:v>238.36</ns0:v>
      </ns0:c>
      <ns0:c r="E28" s="3">
        <ns0:f>ROUND(E228*E348,2)</ns0:f>
        <ns0:v>259.38</ns0:v>
      </ns0:c>
      <ns0:c r="F28" s="3">
        <ns0:f>ROUND(F228*F348,2)</ns0:f>
        <ns0:v>300.57</ns0:v>
      </ns0:c>
      <ns0:c r="G28" s="3">
        <ns0:f>ROUND(G228*G348,2)</ns0:f>
        <ns0:v>369.70</ns0:v>
      </ns0:c>
      <ns0:c r="H28" s="3">
        <ns0:f>ROUND(H228*H348,2)</ns0:f>
        <ns0:v>417.70</ns0:v>
      </ns0:c>
      <ns0:c r="I28" s="3">
        <ns0:f>ROUND(I228*I348,2)</ns0:f>
        <ns0:v>458.96</ns0:v>
      </ns0:c>
      <ns0:c r="J28" s="3">
        <ns0:f>ROUND(J228*J348,2)</ns0:f>
        <ns0:v>90.21</ns0:v>
      </ns0:c>
      <ns0:c r="K28" s="3">
        <ns0:f>ROUND(K228*K348,2)</ns0:f>
        <ns0:v>129.73</ns0:v>
      </ns0:c>
      <ns0:c r="L28" s="3">
        <ns0:f>ROUND(L228*L348,2)</ns0:f>
        <ns0:v>217.50</ns0:v>
      </ns0:c>
      <ns0:c r="M28" s="3">
        <ns0:f>ROUND(M228*M348,2)</ns0:f>
        <ns0:v>139.71</ns0:v>
      </ns0:c>
      <ns0:c r="N28" s="3">
        <ns0:f>ROUND(N228*N348,2)</ns0:f>
        <ns0:v>472.99</ns0:v>
      </ns0:c>
      <ns0:c r="O28" s="3">
        <ns0:f>SUM(C28:N28)</ns0:f>
        <ns0:v>3348.72</ns0:v>
      </ns0:c>
      <ns0:c r="P28" s="2" t="inlineStr">
        <ns0:is>
          <ns0:t>EXP2.028</ns0:t>
        </ns0:is>
      </ns0:c>
      <ns0:c r="Q28" s="2" t="inlineStr">
        <ns0:is>
          <ns0:t>演示占位-v1</ns0:t>
        </ns0:is>
      </ns0:c>
      <ns0:c r="R28" s="2" t="inlineStr">
        <ns0:is>
          <ns0:t>模拟权责发生制</ns0:t>
        </ns0:is>
      </ns0:c>
      <ns0:c r="S28" s="2" t="inlineStr">
        <ns0:is>
          <ns0:t>2027-01</ns0:t>
        </ns0:is>
      </ns0:c>
      <ns0:c r="T28" s="2" t="inlineStr">
        <ns0:is>
          <ns0:t>2027-06</ns0:t>
        </ns0:is>
      </ns0:c>
      <ns0:c r="U28" s="2" t="inlineStr">
        <ns0:is>
          <ns0:t>无</ns0:t>
        </ns0:is>
      </ns0:c>
      <ns0:c r="V28" s="2" t="inlineStr">
        <ns0:is>
          <ns0:t>无</ns0:t>
        </ns0:is>
      </ns0:c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 t="inlineStr">
        <ns0:is>
          <ns0:t>利息收入</ns0:t>
        </ns0:is>
      </ns0:c>
      <ns0:c r="C29" s="3">
        <ns0:f>0</ns0:f>
        <ns0:v>0</ns0:v>
      </ns0:c>
      <ns0:c r="D29" s="3">
        <ns0:f>0</ns0:f>
        <ns0:v>0</ns0:v>
      </ns0:c>
      <ns0:c r="E29" s="3">
        <ns0:f>0</ns0:f>
        <ns0:v>0</ns0:v>
      </ns0:c>
      <ns0:c r="F29" s="3">
        <ns0:f>0</ns0:f>
        <ns0:v>0</ns0:v>
      </ns0:c>
      <ns0:c r="G29" s="3">
        <ns0:f>0</ns0:f>
        <ns0:v>0</ns0:v>
      </ns0:c>
      <ns0:c r="H29" s="3">
        <ns0:f>0</ns0:f>
        <ns0:v>0</ns0:v>
      </ns0:c>
      <ns0:c r="I29" s="3">
        <ns0:f>0</ns0:f>
        <ns0:v>0</ns0:v>
      </ns0:c>
      <ns0:c r="J29" s="3">
        <ns0:f>0</ns0:f>
        <ns0:v>0</ns0:v>
      </ns0:c>
      <ns0:c r="K29" s="3">
        <ns0:f>0</ns0:f>
        <ns0:v>0</ns0:v>
      </ns0:c>
      <ns0:c r="L29" s="3">
        <ns0:f>0</ns0:f>
        <ns0:v>0</ns0:v>
      </ns0:c>
      <ns0:c r="M29" s="3">
        <ns0:f>0</ns0:f>
        <ns0:v>0</ns0:v>
      </ns0:c>
      <ns0:c r="N29" s="3">
        <ns0:f>0</ns0:f>
        <ns0:v>0</ns0:v>
      </ns0:c>
      <ns0:c r="O29" s="3">
        <ns0:f>SUM(C29:N29)</ns0:f>
        <ns0:v>0</ns0:v>
      </ns0:c>
      <ns0:c r="P29" s="2" t="inlineStr">
        <ns0:is>
          <ns0:t>EXP2.029</ns0:t>
        </ns0:is>
      </ns0:c>
      <ns0:c r="Q29" s="2" t="inlineStr">
        <ns0:is>
          <ns0:t>演示占位-v1</ns0:t>
        </ns0:is>
      </ns0:c>
      <ns0:c r="R29" s="2" t="inlineStr">
        <ns0:is>
          <ns0:t>模拟权责发生制</ns0:t>
        </ns0:is>
      </ns0:c>
      <ns0:c r="S29" s="2" t="inlineStr">
        <ns0:is>
          <ns0:t>2027-01</ns0:t>
        </ns0:is>
      </ns0:c>
      <ns0:c r="T29" s="2" t="inlineStr">
        <ns0:is>
          <ns0:t>2027-06</ns0:t>
        </ns0:is>
      </ns0:c>
      <ns0:c r="U29" s="2" t="inlineStr">
        <ns0:is>
          <ns0:t>无</ns0:t>
        </ns0:is>
      </ns0:c>
      <ns0:c r="V29" s="2" t="inlineStr">
        <ns0:is>
          <ns0:t>无</ns0:t>
        </ns0:is>
      </ns0:c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 t="inlineStr">
        <ns0:is>
          <ns0:t>利息支出</ns0:t>
        </ns0:is>
      </ns0:c>
      <ns0:c r="C30" s="6">
        <ns0:f>ROUND(C230*C350,2)</ns0:f>
        <ns0:v>480.03</ns0:v>
      </ns0:c>
      <ns0:c r="D30" s="6">
        <ns0:f>ROUND(D230*D350,2)</ns0:f>
        <ns0:v>325.06</ns0:v>
      </ns0:c>
      <ns0:c r="E30" s="6">
        <ns0:f>ROUND(E230*E350,2)</ns0:f>
        <ns0:v>141.08</ns0:v>
      </ns0:c>
      <ns0:c r="F30" s="6">
        <ns0:f>ROUND(F230*F350,2)</ns0:f>
        <ns0:v>66.41</ns0:v>
      </ns0:c>
      <ns0:c r="G30" s="6">
        <ns0:f>ROUND(G230*G350,2)</ns0:f>
        <ns0:v>154.07</ns0:v>
      </ns0:c>
      <ns0:c r="H30" s="6">
        <ns0:f>ROUND(H230*H350,2)</ns0:f>
        <ns0:v>60.05</ns0:v>
      </ns0:c>
      <ns0:c r="I30" s="6">
        <ns0:f>ROUND(I230*I350,2)</ns0:f>
        <ns0:v>271.61</ns0:v>
      </ns0:c>
      <ns0:c r="J30" s="6">
        <ns0:f>ROUND(J230*J350,2)</ns0:f>
        <ns0:v>85.92</ns0:v>
      </ns0:c>
      <ns0:c r="K30" s="6">
        <ns0:f>ROUND(K230*K350,2)</ns0:f>
        <ns0:v>172.41</ns0:v>
      </ns0:c>
      <ns0:c r="L30" s="6">
        <ns0:f>ROUND(L230*L350,2)</ns0:f>
        <ns0:v>179.83</ns0:v>
      </ns0:c>
      <ns0:c r="M30" s="6">
        <ns0:f>ROUND(M230*M350,2)</ns0:f>
        <ns0:v>177.87</ns0:v>
      </ns0:c>
      <ns0:c r="N30" s="6">
        <ns0:f>ROUND(N230*N350,2)</ns0:f>
        <ns0:v>423.84</ns0:v>
      </ns0:c>
      <ns0:c r="O30" s="6">
        <ns0:f>SUM(C30:N30)</ns0:f>
        <ns0:v>2538.18</ns0:v>
      </ns0:c>
      <ns0:c r="P30" s="2" t="inlineStr">
        <ns0:is>
          <ns0:t>EXP2.030</ns0:t>
        </ns0:is>
      </ns0:c>
      <ns0:c r="Q30" s="2" t="inlineStr">
        <ns0:is>
          <ns0:t>演示占位-v1</ns0:t>
        </ns0:is>
      </ns0:c>
      <ns0:c r="R30" s="2" t="inlineStr">
        <ns0:is>
          <ns0:t>模拟权责发生制</ns0:t>
        </ns0:is>
      </ns0:c>
      <ns0:c r="S30" s="2" t="inlineStr">
        <ns0:is>
          <ns0:t>2027-01</ns0:t>
        </ns0:is>
      </ns0:c>
      <ns0:c r="T30" s="2" t="inlineStr">
        <ns0:is>
          <ns0:t>2027-06</ns0:t>
        </ns0:is>
      </ns0:c>
      <ns0:c r="U30" s="2" t="inlineStr">
        <ns0:is>
          <ns0:t>无</ns0:t>
        </ns0:is>
      </ns0:c>
      <ns0:c r="V30" s="2" t="inlineStr">
        <ns0:is>
          <ns0:t>无</ns0:t>
        </ns0:is>
      </ns0:c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 t="inlineStr">
        <ns0:is>
          <ns0:t>税金</ns0:t>
        </ns0:is>
      </ns0:c>
      <ns0:c r="B31" s="2" t="inlineStr">
        <ns0:is>
          <ns0:t>车船税</ns0:t>
        </ns0:is>
      </ns0:c>
      <ns0:c r="C31" s="3">
        <ns0:f>ROUND(C231*C351,2)</ns0:f>
        <ns0:v>460.84</ns0:v>
      </ns0:c>
      <ns0:c r="D31" s="3">
        <ns0:f>ROUND(D231*D351,2)</ns0:f>
        <ns0:v>542.50</ns0:v>
      </ns0:c>
      <ns0:c r="E31" s="3">
        <ns0:f>ROUND(E231*E351,2)</ns0:f>
        <ns0:v>99.91</ns0:v>
      </ns0:c>
      <ns0:c r="F31" s="3">
        <ns0:f>ROUND(F231*F351,2)</ns0:f>
        <ns0:v>333.60</ns0:v>
      </ns0:c>
      <ns0:c r="G31" s="3">
        <ns0:f>ROUND(G231*G351,2)</ns0:f>
        <ns0:v>420.69</ns0:v>
      </ns0:c>
      <ns0:c r="H31" s="3">
        <ns0:f>ROUND(H231*H351,2)</ns0:f>
        <ns0:v>254.06</ns0:v>
      </ns0:c>
      <ns0:c r="I31" s="3">
        <ns0:f>ROUND(I231*I351,2)</ns0:f>
        <ns0:v>251.63</ns0:v>
      </ns0:c>
      <ns0:c r="J31" s="3">
        <ns0:f>ROUND(J231*J351,2)</ns0:f>
        <ns0:v>242.17</ns0:v>
      </ns0:c>
      <ns0:c r="K31" s="3">
        <ns0:f>ROUND(K231*K351,2)</ns0:f>
        <ns0:v>65.67</ns0:v>
      </ns0:c>
      <ns0:c r="L31" s="3">
        <ns0:f>ROUND(L231*L351,2)</ns0:f>
        <ns0:v>200.09</ns0:v>
      </ns0:c>
      <ns0:c r="M31" s="3">
        <ns0:f>ROUND(M231*M351,2)</ns0:f>
        <ns0:v>317.59</ns0:v>
      </ns0:c>
      <ns0:c r="N31" s="3">
        <ns0:f>ROUND(N231*N351,2)</ns0:f>
        <ns0:v>189.12</ns0:v>
      </ns0:c>
      <ns0:c r="O31" s="3">
        <ns0:f>SUM(C31:N31)</ns0:f>
        <ns0:v>3377.87</ns0:v>
      </ns0:c>
      <ns0:c r="P31" s="2" t="inlineStr">
        <ns0:is>
          <ns0:t>EXP2.031</ns0:t>
        </ns0:is>
      </ns0:c>
      <ns0:c r="Q31" s="2" t="inlineStr">
        <ns0:is>
          <ns0:t>演示占位-v1</ns0:t>
        </ns0:is>
      </ns0:c>
      <ns0:c r="R31" s="2" t="inlineStr">
        <ns0:is>
          <ns0:t>模拟权责发生制</ns0:t>
        </ns0:is>
      </ns0:c>
      <ns0:c r="S31" s="2" t="inlineStr">
        <ns0:is>
          <ns0:t>2027-01</ns0:t>
        </ns0:is>
      </ns0:c>
      <ns0:c r="T31" s="2" t="inlineStr">
        <ns0:is>
          <ns0:t>2027-06</ns0:t>
        </ns0:is>
      </ns0:c>
      <ns0:c r="U31" s="2" t="inlineStr">
        <ns0:is>
          <ns0:t>无</ns0:t>
        </ns0:is>
      </ns0:c>
      <ns0:c r="V31" s="2" t="inlineStr">
        <ns0:is>
          <ns0:t>无</ns0:t>
        </ns0:is>
      </ns0:c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印花税</ns0:t>
        </ns0:is>
      </ns0:c>
      <ns0:c r="C32" s="3">
        <ns0:f>ROUND(C232*C352,2)</ns0:f>
        <ns0:v>187.27</ns0:v>
      </ns0:c>
      <ns0:c r="D32" s="3">
        <ns0:f>ROUND(D232*D352,2)</ns0:f>
        <ns0:v>435.42</ns0:v>
      </ns0:c>
      <ns0:c r="E32" s="3">
        <ns0:f>ROUND(E232*E352,2)</ns0:f>
        <ns0:v>138.92</ns0:v>
      </ns0:c>
      <ns0:c r="F32" s="3">
        <ns0:f>ROUND(F232*F352,2)</ns0:f>
        <ns0:v>351.99</ns0:v>
      </ns0:c>
      <ns0:c r="G32" s="3">
        <ns0:f>ROUND(G232*G352,2)</ns0:f>
        <ns0:v>199.44</ns0:v>
      </ns0:c>
      <ns0:c r="H32" s="3">
        <ns0:f>ROUND(H232*H352,2)</ns0:f>
        <ns0:v>318.66</ns0:v>
      </ns0:c>
      <ns0:c r="I32" s="3">
        <ns0:f>ROUND(I232*I352,2)</ns0:f>
        <ns0:v>386.47</ns0:v>
      </ns0:c>
      <ns0:c r="J32" s="3">
        <ns0:f>ROUND(J232*J352,2)</ns0:f>
        <ns0:v>234.29</ns0:v>
      </ns0:c>
      <ns0:c r="K32" s="3">
        <ns0:f>ROUND(K232*K352,2)</ns0:f>
        <ns0:v>136.22</ns0:v>
      </ns0:c>
      <ns0:c r="L32" s="3">
        <ns0:f>ROUND(L232*L352,2)</ns0:f>
        <ns0:v>99.97</ns0:v>
      </ns0:c>
      <ns0:c r="M32" s="3">
        <ns0:f>ROUND(M232*M352,2)</ns0:f>
        <ns0:v>188.75</ns0:v>
      </ns0:c>
      <ns0:c r="N32" s="3">
        <ns0:f>ROUND(N232*N352,2)</ns0:f>
        <ns0:v>292.60</ns0:v>
      </ns0:c>
      <ns0:c r="O32" s="3">
        <ns0:f>SUM(C32:N32)</ns0:f>
        <ns0:v>2970.00</ns0:v>
      </ns0:c>
      <ns0:c r="P32" s="2" t="inlineStr">
        <ns0:is>
          <ns0:t>EXP2.032</ns0:t>
        </ns0:is>
      </ns0:c>
      <ns0:c r="Q32" s="2" t="inlineStr">
        <ns0:is>
          <ns0:t>演示占位-v1</ns0:t>
        </ns0:is>
      </ns0:c>
      <ns0:c r="R32" s="2" t="inlineStr">
        <ns0:is>
          <ns0:t>模拟权责发生制</ns0:t>
        </ns0:is>
      </ns0:c>
      <ns0:c r="S32" s="2" t="inlineStr">
        <ns0:is>
          <ns0:t>2027-01</ns0:t>
        </ns0:is>
      </ns0:c>
      <ns0:c r="T32" s="2" t="inlineStr">
        <ns0:is>
          <ns0:t>2027-06</ns0:t>
        </ns0:is>
      </ns0:c>
      <ns0:c r="U32" s="2" t="inlineStr">
        <ns0:is>
          <ns0:t>无</ns0:t>
        </ns0:is>
      </ns0:c>
      <ns0:c r="V32" s="2" t="inlineStr">
        <ns0:is>
          <ns0:t>无</ns0:t>
        </ns0:is>
      </ns0:c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 t="inlineStr">
        <ns0:is>
          <ns0:t>其他</ns0:t>
        </ns0:is>
      </ns0:c>
      <ns0:c r="B33" s="2" t="inlineStr">
        <ns0:is>
          <ns0:t>其他</ns0:t>
        </ns0:is>
      </ns0:c>
      <ns0:c r="C33" s="3">
        <ns0:f>ROUND(C233*C353,2)</ns0:f>
        <ns0:v>120.61</ns0:v>
      </ns0:c>
      <ns0:c r="D33" s="3">
        <ns0:f>ROUND(D233*D353,2)</ns0:f>
        <ns0:v>416.03</ns0:v>
      </ns0:c>
      <ns0:c r="E33" s="3">
        <ns0:f>ROUND(E233*E353,2)</ns0:f>
        <ns0:v>299.17</ns0:v>
      </ns0:c>
      <ns0:c r="F33" s="3">
        <ns0:f>ROUND(F233*F353,2)</ns0:f>
        <ns0:v>252.30</ns0:v>
      </ns0:c>
      <ns0:c r="G33" s="3">
        <ns0:f>ROUND(G233*G353,2)</ns0:f>
        <ns0:v>317.08</ns0:v>
      </ns0:c>
      <ns0:c r="H33" s="3">
        <ns0:f>ROUND(H233*H353,2)</ns0:f>
        <ns0:v>156.90</ns0:v>
      </ns0:c>
      <ns0:c r="I33" s="3">
        <ns0:f>ROUND(I233*I353,2)</ns0:f>
        <ns0:v>215.60</ns0:v>
      </ns0:c>
      <ns0:c r="J33" s="3">
        <ns0:f>ROUND(J233*J353,2)</ns0:f>
        <ns0:v>217.43</ns0:v>
      </ns0:c>
      <ns0:c r="K33" s="3">
        <ns0:f>ROUND(K233*K353,2)</ns0:f>
        <ns0:v>136.75</ns0:v>
      </ns0:c>
      <ns0:c r="L33" s="3">
        <ns0:f>ROUND(L233*L353,2)</ns0:f>
        <ns0:v>440.57</ns0:v>
      </ns0:c>
      <ns0:c r="M33" s="3">
        <ns0:f>ROUND(M233*M353,2)</ns0:f>
        <ns0:v>150.02</ns0:v>
      </ns0:c>
      <ns0:c r="N33" s="3">
        <ns0:f>ROUND(N233*N353,2)</ns0:f>
        <ns0:v>180.54</ns0:v>
      </ns0:c>
      <ns0:c r="O33" s="3">
        <ns0:f>SUM(C33:N33)</ns0:f>
        <ns0:v>2903.00</ns0:v>
      </ns0:c>
      <ns0:c r="P33" s="2" t="inlineStr">
        <ns0:is>
          <ns0:t>EXP2.033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 t="inlineStr">
        <ns0:is>
          <ns0:t>合计</ns0:t>
        </ns0:is>
      </ns0:c>
      <ns0:c r="B34" s="2"/>
      <ns0:c r="C34" s="3">
        <ns0:f>SUM(C4:C33)</ns0:f>
        <ns0:v>7491.74</ns0:v>
      </ns0:c>
      <ns0:c r="D34" s="3">
        <ns0:f>SUM(D4:D33)</ns0:f>
        <ns0:v>8054.36</ns0:v>
      </ns0:c>
      <ns0:c r="E34" s="3">
        <ns0:f>SUM(E4:E33)</ns0:f>
        <ns0:v>7932.57</ns0:v>
      </ns0:c>
      <ns0:c r="F34" s="3">
        <ns0:f>SUM(F4:F33)</ns0:f>
        <ns0:v>7293.26</ns0:v>
      </ns0:c>
      <ns0:c r="G34" s="3">
        <ns0:f>SUM(G4:G33)</ns0:f>
        <ns0:v>7263.43</ns0:v>
      </ns0:c>
      <ns0:c r="H34" s="3">
        <ns0:f>SUM(H4:H33)</ns0:f>
        <ns0:v>7051.26</ns0:v>
      </ns0:c>
      <ns0:c r="I34" s="3">
        <ns0:f>SUM(I4:I33)</ns0:f>
        <ns0:v>7258.27</ns0:v>
      </ns0:c>
      <ns0:c r="J34" s="3">
        <ns0:f>SUM(J4:J33)</ns0:f>
        <ns0:v>6872.21</ns0:v>
      </ns0:c>
      <ns0:c r="K34" s="3">
        <ns0:f>SUM(K4:K33)</ns0:f>
        <ns0:v>6675.14</ns0:v>
      </ns0:c>
      <ns0:c r="L34" s="3">
        <ns0:f>SUM(L4:L33)</ns0:f>
        <ns0:v>6854.67</ns0:v>
      </ns0:c>
      <ns0:c r="M34" s="3">
        <ns0:f>SUM(M4:M33)</ns0:f>
        <ns0:v>7207.18</ns0:v>
      </ns0:c>
      <ns0:c r="N34" s="3">
        <ns0:f>SUM(N4:N33)</ns0:f>
        <ns0:v>8598.76</ns0:v>
      </ns0:c>
      <ns0:c r="O34" s="3">
        <ns0:f>SUM(C34:N34)</ns0:f>
        <ns0:v>88552.85</ns0:v>
      </ns0:c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 t="inlineStr">
        <ns0:is>
          <ns0:t>增值税附加</ns0:t>
        </ns0:is>
      </ns0:c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 t="inlineStr">
        <ns0:is>
          <ns0:t>三费及税金合计</ns0:t>
        </ns0:is>
      </ns0:c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 t="inlineStr">
        <ns0:is>
          <ns0:t>管理费用</ns0:t>
        </ns0:is>
      </ns0:c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 t="inlineStr">
        <ns0:is>
          <ns0:t>实时经营（月度，元）</ns0:t>
        </ns0:is>
      </ns0:c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 t="inlineStr">
        <ns0:is>
          <ns0:t>2027-01</ns0:t>
        </ns0:is>
      </ns0:c>
      <ns0:c r="D63" s="3" t="inlineStr">
        <ns0:is>
          <ns0:t>2027-02</ns0:t>
        </ns0:is>
      </ns0:c>
      <ns0:c r="E63" s="3" t="inlineStr">
        <ns0:is>
          <ns0:t>2027-03</ns0:t>
        </ns0:is>
      </ns0:c>
      <ns0:c r="F63" s="3" t="inlineStr">
        <ns0:is>
          <ns0:t>2027-04</ns0:t>
        </ns0:is>
      </ns0:c>
      <ns0:c r="G63" s="3" t="inlineStr">
        <ns0:is>
          <ns0:t>2027-05</ns0:t>
        </ns0:is>
      </ns0:c>
      <ns0:c r="H63" s="3" t="inlineStr">
        <ns0:is>
          <ns0:t>2027-06</ns0:t>
        </ns0:is>
      </ns0:c>
      <ns0:c r="I63" s="3" t="inlineStr">
        <ns0:is>
          <ns0:t>2027-07</ns0:t>
        </ns0:is>
      </ns0:c>
      <ns0:c r="J63" s="3" t="inlineStr">
        <ns0:is>
          <ns0:t>2027-08</ns0:t>
        </ns0:is>
      </ns0:c>
      <ns0:c r="K63" s="3" t="inlineStr">
        <ns0:is>
          <ns0:t>2027-09</ns0:t>
        </ns0:is>
      </ns0:c>
      <ns0:c r="L63" s="3" t="inlineStr">
        <ns0:is>
          <ns0:t>2027-10</ns0:t>
        </ns0:is>
      </ns0:c>
      <ns0:c r="M63" s="3" t="inlineStr">
        <ns0:is>
          <ns0:t>2027-11</ns0:t>
        </ns0:is>
      </ns0:c>
      <ns0:c r="N63" s="3" t="inlineStr">
        <ns0:is>
          <ns0:t>2027-12</ns0:t>
        </ns0:is>
      </ns0:c>
      <ns0:c r="O63" s="3" t="inlineStr">
        <ns0:is>
          <ns0:t>小计</ns0:t>
        </ns0:is>
      </ns0:c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 t="inlineStr">
        <ns0:is>
          <ns0:t>工资</ns0:t>
        </ns0:is>
      </ns0:c>
      <ns0:c r="C64" s="3">
        <ns0:f>ROUND(C264*C384,2)</ns0:f>
        <ns0:v>558.98</ns0:v>
      </ns0:c>
      <ns0:c r="D64" s="3">
        <ns0:f>ROUND(D264*D384,2)</ns0:f>
        <ns0:v>477.17</ns0:v>
      </ns0:c>
      <ns0:c r="E64" s="3">
        <ns0:f>ROUND(E264*E384,2)</ns0:f>
        <ns0:v>87.99</ns0:v>
      </ns0:c>
      <ns0:c r="F64" s="3">
        <ns0:f>ROUND(F264*F384,2)</ns0:f>
        <ns0:v>252.78</ns0:v>
      </ns0:c>
      <ns0:c r="G64" s="3">
        <ns0:f>ROUND(G264*G384,2)</ns0:f>
        <ns0:v>225.35</ns0:v>
      </ns0:c>
      <ns0:c r="H64" s="3">
        <ns0:f>ROUND(H264*H384,2)</ns0:f>
        <ns0:v>323.52</ns0:v>
      </ns0:c>
      <ns0:c r="I64" s="3">
        <ns0:f>ROUND(I264*I384,2)</ns0:f>
        <ns0:v>335.47</ns0:v>
      </ns0:c>
      <ns0:c r="J64" s="3">
        <ns0:f>ROUND(J264*J384,2)</ns0:f>
        <ns0:v>115.86</ns0:v>
      </ns0:c>
      <ns0:c r="K64" s="3">
        <ns0:f>ROUND(K264*K384,2)</ns0:f>
        <ns0:v>276.18</ns0:v>
      </ns0:c>
      <ns0:c r="L64" s="3">
        <ns0:f>ROUND(L264*L384,2)</ns0:f>
        <ns0:v>196.30</ns0:v>
      </ns0:c>
      <ns0:c r="M64" s="3">
        <ns0:f>ROUND(M264*M384,2)</ns0:f>
        <ns0:v>58.61</ns0:v>
      </ns0:c>
      <ns0:c r="N64" s="3">
        <ns0:f>ROUND(N264*N384,2)</ns0:f>
        <ns0:v>126.31</ns0:v>
      </ns0:c>
      <ns0:c r="O64" s="3">
        <ns0:f>SUM(C64:N64)</ns0:f>
        <ns0:v>3034.52</ns0:v>
      </ns0:c>
      <ns0:c r="P64" s="2" t="inlineStr">
        <ns0:is>
          <ns0:t>EXP2.004</ns0:t>
        </ns0:is>
      </ns0:c>
      <ns0:c r="Q64" s="2" t="inlineStr">
        <ns0:is>
          <ns0:t>演示占位-v1</ns0:t>
        </ns0:is>
      </ns0:c>
      <ns0:c r="R64" s="2" t="inlineStr">
        <ns0:is>
          <ns0:t>模拟权责发生制</ns0:t>
        </ns0:is>
      </ns0:c>
      <ns0:c r="S64" s="2" t="inlineStr">
        <ns0:is>
          <ns0:t>2027-01</ns0:t>
        </ns0:is>
      </ns0:c>
      <ns0:c r="T64" s="2" t="inlineStr">
        <ns0:is>
          <ns0:t>2027-06</ns0:t>
        </ns0:is>
      </ns0:c>
      <ns0:c r="U64" s="2" t="inlineStr">
        <ns0:is>
          <ns0:t>无</ns0:t>
        </ns0:is>
      </ns0:c>
      <ns0:c r="V64" s="2" t="inlineStr">
        <ns0:is>
          <ns0:t>无</ns0:t>
        </ns0:is>
      </ns0:c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 t="inlineStr">
        <ns0:is>
          <ns0:t>十三薪</ns0:t>
        </ns0:is>
      </ns0:c>
      <ns0:c r="C65" s="3">
        <ns0:f>ROUND(C265*C385,2)</ns0:f>
        <ns0:v>178.71</ns0:v>
      </ns0:c>
      <ns0:c r="D65" s="3">
        <ns0:f>ROUND(D265*D385,2)</ns0:f>
        <ns0:v>167.46</ns0:v>
      </ns0:c>
      <ns0:c r="E65" s="3">
        <ns0:f>ROUND(E265*E385,2)</ns0:f>
        <ns0:v>279.85</ns0:v>
      </ns0:c>
      <ns0:c r="F65" s="3">
        <ns0:f>ROUND(F265*F385,2)</ns0:f>
        <ns0:v>252.65</ns0:v>
      </ns0:c>
      <ns0:c r="G65" s="3">
        <ns0:f>ROUND(G265*G385,2)</ns0:f>
        <ns0:v>230.43</ns0:v>
      </ns0:c>
      <ns0:c r="H65" s="3">
        <ns0:f>ROUND(H265*H385,2)</ns0:f>
        <ns0:v>121.72</ns0:v>
      </ns0:c>
      <ns0:c r="I65" s="3">
        <ns0:f>ROUND(I265*I385,2)</ns0:f>
        <ns0:v>297.39</ns0:v>
      </ns0:c>
      <ns0:c r="J65" s="3">
        <ns0:f>ROUND(J265*J385,2)</ns0:f>
        <ns0:v>95.80</ns0:v>
      </ns0:c>
      <ns0:c r="K65" s="3">
        <ns0:f>ROUND(K265*K385,2)</ns0:f>
        <ns0:v>506.80</ns0:v>
      </ns0:c>
      <ns0:c r="L65" s="3">
        <ns0:f>ROUND(L265*L385,2)</ns0:f>
        <ns0:v>112.00</ns0:v>
      </ns0:c>
      <ns0:c r="M65" s="3">
        <ns0:f>ROUND(M265*M385,2)</ns0:f>
        <ns0:v>395.14</ns0:v>
      </ns0:c>
      <ns0:c r="N65" s="3">
        <ns0:f>ROUND(N265*N385,2)</ns0:f>
        <ns0:v>322.60</ns0:v>
      </ns0:c>
      <ns0:c r="O65" s="3">
        <ns0:f>SUM(C65:N65)</ns0:f>
        <ns0:v>2960.55</ns0:v>
      </ns0:c>
      <ns0:c r="P65" s="2" t="inlineStr">
        <ns0:is>
          <ns0:t>EXP2.005</ns0:t>
        </ns0:is>
      </ns0:c>
      <ns0:c r="Q65" s="2" t="inlineStr">
        <ns0:is>
          <ns0:t>演示占位-v1</ns0:t>
        </ns0:is>
      </ns0:c>
      <ns0:c r="R65" s="2" t="inlineStr">
        <ns0:is>
          <ns0:t>模拟权责发生制</ns0:t>
        </ns0:is>
      </ns0:c>
      <ns0:c r="S65" s="2" t="inlineStr">
        <ns0:is>
          <ns0:t>2027-01</ns0:t>
        </ns0:is>
      </ns0:c>
      <ns0:c r="T65" s="2" t="inlineStr">
        <ns0:is>
          <ns0:t>2027-06</ns0:t>
        </ns0:is>
      </ns0:c>
      <ns0:c r="U65" s="2" t="inlineStr">
        <ns0:is>
          <ns0:t>无</ns0:t>
        </ns0:is>
      </ns0:c>
      <ns0:c r="V65" s="2" t="inlineStr">
        <ns0:is>
          <ns0:t>无</ns0:t>
        </ns0:is>
      </ns0:c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 t="inlineStr">
        <ns0:is>
          <ns0:t>离职补偿金</ns0:t>
        </ns0:is>
      </ns0:c>
      <ns0:c r="C66" s="3">
        <ns0:f>ROUND(C266*C386,2)</ns0:f>
        <ns0:v>168.26</ns0:v>
      </ns0:c>
      <ns0:c r="D66" s="3">
        <ns0:f>ROUND(D266*D386,2)</ns0:f>
        <ns0:v>194.00</ns0:v>
      </ns0:c>
      <ns0:c r="E66" s="3">
        <ns0:f>ROUND(E266*E386,2)</ns0:f>
        <ns0:v>337.91</ns0:v>
      </ns0:c>
      <ns0:c r="F66" s="3">
        <ns0:f>ROUND(F266*F386,2)</ns0:f>
        <ns0:v>404.12</ns0:v>
      </ns0:c>
      <ns0:c r="G66" s="3">
        <ns0:f>ROUND(G266*G386,2)</ns0:f>
        <ns0:v>93.07</ns0:v>
      </ns0:c>
      <ns0:c r="H66" s="3">
        <ns0:f>ROUND(H266*H386,2)</ns0:f>
        <ns0:v>330.77</ns0:v>
      </ns0:c>
      <ns0:c r="I66" s="3">
        <ns0:f>ROUND(I266*I386,2)</ns0:f>
        <ns0:v>228.55</ns0:v>
      </ns0:c>
      <ns0:c r="J66" s="3">
        <ns0:f>ROUND(J266*J386,2)</ns0:f>
        <ns0:v>356.64</ns0:v>
      </ns0:c>
      <ns0:c r="K66" s="3">
        <ns0:f>ROUND(K266*K386,2)</ns0:f>
        <ns0:v>345.53</ns0:v>
      </ns0:c>
      <ns0:c r="L66" s="3">
        <ns0:f>ROUND(L266*L386,2)</ns0:f>
        <ns0:v>387.42</ns0:v>
      </ns0:c>
      <ns0:c r="M66" s="3">
        <ns0:f>ROUND(M266*M386,2)</ns0:f>
        <ns0:v>236.21</ns0:v>
      </ns0:c>
      <ns0:c r="N66" s="3">
        <ns0:f>ROUND(N266*N386,2)</ns0:f>
        <ns0:v>159.19</ns0:v>
      </ns0:c>
      <ns0:c r="O66" s="3">
        <ns0:f>SUM(C66:N66)</ns0:f>
        <ns0:v>3241.67</ns0:v>
      </ns0:c>
      <ns0:c r="P66" s="2" t="inlineStr">
        <ns0:is>
          <ns0:t>EXP2.006</ns0:t>
        </ns0:is>
      </ns0:c>
      <ns0:c r="Q66" s="2" t="inlineStr">
        <ns0:is>
          <ns0:t>演示占位-v1</ns0:t>
        </ns0:is>
      </ns0:c>
      <ns0:c r="R66" s="2" t="inlineStr">
        <ns0:is>
          <ns0:t>模拟权责发生制</ns0:t>
        </ns0:is>
      </ns0:c>
      <ns0:c r="S66" s="2" t="inlineStr">
        <ns0:is>
          <ns0:t>2027-01</ns0:t>
        </ns0:is>
      </ns0:c>
      <ns0:c r="T66" s="2" t="inlineStr">
        <ns0:is>
          <ns0:t>2027-06</ns0:t>
        </ns0:is>
      </ns0:c>
      <ns0:c r="U66" s="2" t="inlineStr">
        <ns0:is>
          <ns0:t>无</ns0:t>
        </ns0:is>
      </ns0:c>
      <ns0:c r="V66" s="2" t="inlineStr">
        <ns0:is>
          <ns0:t>无</ns0:t>
        </ns0:is>
      </ns0:c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 t="inlineStr">
        <ns0:is>
          <ns0:t>五险一金</ns0:t>
        </ns0:is>
      </ns0:c>
      <ns0:c r="C67" s="3">
        <ns0:f>ROUND(C267*C387,2)</ns0:f>
        <ns0:v>389.36</ns0:v>
      </ns0:c>
      <ns0:c r="D67" s="3">
        <ns0:f>ROUND(D267*D387,2)</ns0:f>
        <ns0:v>203.78</ns0:v>
      </ns0:c>
      <ns0:c r="E67" s="3">
        <ns0:f>ROUND(E267*E387,2)</ns0:f>
        <ns0:v>211.56</ns0:v>
      </ns0:c>
      <ns0:c r="F67" s="3">
        <ns0:f>ROUND(F267*F387,2)</ns0:f>
        <ns0:v>302.34</ns0:v>
      </ns0:c>
      <ns0:c r="G67" s="3">
        <ns0:f>ROUND(G267*G387,2)</ns0:f>
        <ns0:v>320.47</ns0:v>
      </ns0:c>
      <ns0:c r="H67" s="3">
        <ns0:f>ROUND(H267*H387,2)</ns0:f>
        <ns0:v>129.25</ns0:v>
      </ns0:c>
      <ns0:c r="I67" s="3">
        <ns0:f>ROUND(I267*I387,2)</ns0:f>
        <ns0:v>243.76</ns0:v>
      </ns0:c>
      <ns0:c r="J67" s="3">
        <ns0:f>ROUND(J267*J387,2)</ns0:f>
        <ns0:v>292.88</ns0:v>
      </ns0:c>
      <ns0:c r="K67" s="3">
        <ns0:f>ROUND(K267*K387,2)</ns0:f>
        <ns0:v>236.33</ns0:v>
      </ns0:c>
      <ns0:c r="L67" s="3">
        <ns0:f>ROUND(L267*L387,2)</ns0:f>
        <ns0:v>290.73</ns0:v>
      </ns0:c>
      <ns0:c r="M67" s="3">
        <ns0:f>ROUND(M267*M387,2)</ns0:f>
        <ns0:v>116.17</ns0:v>
      </ns0:c>
      <ns0:c r="N67" s="3">
        <ns0:f>ROUND(N267*N387,2)</ns0:f>
        <ns0:v>155.46</ns0:v>
      </ns0:c>
      <ns0:c r="O67" s="3">
        <ns0:f>SUM(C67:N67)</ns0:f>
        <ns0:v>2892.09</ns0:v>
      </ns0:c>
      <ns0:c r="P67" s="2" t="inlineStr">
        <ns0:is>
          <ns0:t>EXP2.007</ns0:t>
        </ns0:is>
      </ns0:c>
      <ns0:c r="Q67" s="2" t="inlineStr">
        <ns0:is>
          <ns0:t>演示占位-v1</ns0:t>
        </ns0:is>
      </ns0:c>
      <ns0:c r="R67" s="2" t="inlineStr">
        <ns0:is>
          <ns0:t>模拟权责发生制</ns0:t>
        </ns0:is>
      </ns0:c>
      <ns0:c r="S67" s="2" t="inlineStr">
        <ns0:is>
          <ns0:t>2027-01</ns0:t>
        </ns0:is>
      </ns0:c>
      <ns0:c r="T67" s="2" t="inlineStr">
        <ns0:is>
          <ns0:t>2027-06</ns0:t>
        </ns0:is>
      </ns0:c>
      <ns0:c r="U67" s="2" t="inlineStr">
        <ns0:is>
          <ns0:t>无</ns0:t>
        </ns0:is>
      </ns0:c>
      <ns0:c r="V67" s="2" t="inlineStr">
        <ns0:is>
          <ns0:t>无</ns0:t>
        </ns0:is>
      </ns0:c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 t="inlineStr">
        <ns0:is>
          <ns0:t>福利费</ns0:t>
        </ns0:is>
      </ns0:c>
      <ns0:c r="C68" s="3">
        <ns0:f>ROUND(C268*C388,2)</ns0:f>
        <ns0:v>211.65</ns0:v>
      </ns0:c>
      <ns0:c r="D68" s="3">
        <ns0:f>ROUND(D268*D388,2)</ns0:f>
        <ns0:v>213.86</ns0:v>
      </ns0:c>
      <ns0:c r="E68" s="3">
        <ns0:f>ROUND(E268*E388,2)</ns0:f>
        <ns0:v>215.76</ns0:v>
      </ns0:c>
      <ns0:c r="F68" s="3">
        <ns0:f>ROUND(F268*F388,2)</ns0:f>
        <ns0:v>297.94</ns0:v>
      </ns0:c>
      <ns0:c r="G68" s="3">
        <ns0:f>ROUND(G268*G388,2)</ns0:f>
        <ns0:v>462.55</ns0:v>
      </ns0:c>
      <ns0:c r="H68" s="3">
        <ns0:f>ROUND(H268*H388,2)</ns0:f>
        <ns0:v>236.12</ns0:v>
      </ns0:c>
      <ns0:c r="I68" s="3">
        <ns0:f>ROUND(I268*I388,2)</ns0:f>
        <ns0:v>167.13</ns0:v>
      </ns0:c>
      <ns0:c r="J68" s="3">
        <ns0:f>ROUND(J268*J388,2)</ns0:f>
        <ns0:v>568.51</ns0:v>
      </ns0:c>
      <ns0:c r="K68" s="3">
        <ns0:f>ROUND(K268*K388,2)</ns0:f>
        <ns0:v>355.27</ns0:v>
      </ns0:c>
      <ns0:c r="L68" s="3">
        <ns0:f>ROUND(L268*L388,2)</ns0:f>
        <ns0:v>243.55</ns0:v>
      </ns0:c>
      <ns0:c r="M68" s="3">
        <ns0:f>ROUND(M268*M388,2)</ns0:f>
        <ns0:v>194.72</ns0:v>
      </ns0:c>
      <ns0:c r="N68" s="3">
        <ns0:f>ROUND(N268*N388,2)</ns0:f>
        <ns0:v>115.77</ns0:v>
      </ns0:c>
      <ns0:c r="O68" s="3">
        <ns0:f>SUM(C68:N68)</ns0:f>
        <ns0:v>3282.83</ns0:v>
      </ns0:c>
      <ns0:c r="P68" s="2" t="inlineStr">
        <ns0:is>
          <ns0:t>EXP2.008</ns0:t>
        </ns0:is>
      </ns0:c>
      <ns0:c r="Q68" s="2" t="inlineStr">
        <ns0:is>
          <ns0:t>演示占位-v1</ns0:t>
        </ns0:is>
      </ns0:c>
      <ns0:c r="R68" s="2" t="inlineStr">
        <ns0:is>
          <ns0:t>模拟权责发生制</ns0:t>
        </ns0:is>
      </ns0:c>
      <ns0:c r="S68" s="2" t="inlineStr">
        <ns0:is>
          <ns0:t>2027-01</ns0:t>
        </ns0:is>
      </ns0:c>
      <ns0:c r="T68" s="2" t="inlineStr">
        <ns0:is>
          <ns0:t>2027-06</ns0:t>
        </ns0:is>
      </ns0:c>
      <ns0:c r="U68" s="2" t="inlineStr">
        <ns0:is>
          <ns0:t>无</ns0:t>
        </ns0:is>
      </ns0:c>
      <ns0:c r="V68" s="2" t="inlineStr">
        <ns0:is>
          <ns0:t>无</ns0:t>
        </ns0:is>
      </ns0:c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 t="inlineStr">
        <ns0:is>
          <ns0:t>招聘费</ns0:t>
        </ns0:is>
      </ns0:c>
      <ns0:c r="C69" s="3">
        <ns0:f>ROUND(C269*C389,2)</ns0:f>
        <ns0:v>280.36</ns0:v>
      </ns0:c>
      <ns0:c r="D69" s="3">
        <ns0:f>ROUND(D269*D389,2)</ns0:f>
        <ns0:v>217.98</ns0:v>
      </ns0:c>
      <ns0:c r="E69" s="3">
        <ns0:f>ROUND(E269*E389,2)</ns0:f>
        <ns0:v>465.74</ns0:v>
      </ns0:c>
      <ns0:c r="F69" s="3">
        <ns0:f>ROUND(F269*F389,2)</ns0:f>
        <ns0:v>300.49</ns0:v>
      </ns0:c>
      <ns0:c r="G69" s="3">
        <ns0:f>ROUND(G269*G389,2)</ns0:f>
        <ns0:v>598.60</ns0:v>
      </ns0:c>
      <ns0:c r="H69" s="3">
        <ns0:f>ROUND(H269*H389,2)</ns0:f>
        <ns0:v>131.13</ns0:v>
      </ns0:c>
      <ns0:c r="I69" s="3">
        <ns0:f>ROUND(I269*I389,2)</ns0:f>
        <ns0:v>323.12</ns0:v>
      </ns0:c>
      <ns0:c r="J69" s="3">
        <ns0:f>ROUND(J269*J389,2)</ns0:f>
        <ns0:v>117.59</ns0:v>
      </ns0:c>
      <ns0:c r="K69" s="3">
        <ns0:f>ROUND(K269*K389,2)</ns0:f>
        <ns0:v>384.47</ns0:v>
      </ns0:c>
      <ns0:c r="L69" s="3">
        <ns0:f>ROUND(L269*L389,2)</ns0:f>
        <ns0:v>166.75</ns0:v>
      </ns0:c>
      <ns0:c r="M69" s="3">
        <ns0:f>ROUND(M269*M389,2)</ns0:f>
        <ns0:v>132.52</ns0:v>
      </ns0:c>
      <ns0:c r="N69" s="3">
        <ns0:f>ROUND(N269*N389,2)</ns0:f>
        <ns0:v>517.45</ns0:v>
      </ns0:c>
      <ns0:c r="O69" s="3">
        <ns0:f>SUM(C69:N69)</ns0:f>
        <ns0:v>3636.20</ns0:v>
      </ns0:c>
      <ns0:c r="P69" s="2" t="inlineStr">
        <ns0:is>
          <ns0:t>EXP2.009</ns0:t>
        </ns0:is>
      </ns0:c>
      <ns0:c r="Q69" s="2" t="inlineStr">
        <ns0:is>
          <ns0:t>演示占位-v1</ns0:t>
        </ns0:is>
      </ns0:c>
      <ns0:c r="R69" s="2" t="inlineStr">
        <ns0:is>
          <ns0:t>模拟权责发生制</ns0:t>
        </ns0:is>
      </ns0:c>
      <ns0:c r="S69" s="2" t="inlineStr">
        <ns0:is>
          <ns0:t>2027-01</ns0:t>
        </ns0:is>
      </ns0:c>
      <ns0:c r="T69" s="2" t="inlineStr">
        <ns0:is>
          <ns0:t>2027-06</ns0:t>
        </ns0:is>
      </ns0:c>
      <ns0:c r="U69" s="2" t="inlineStr">
        <ns0:is>
          <ns0:t>无</ns0:t>
        </ns0:is>
      </ns0:c>
      <ns0:c r="V69" s="2" t="inlineStr">
        <ns0:is>
          <ns0:t>无</ns0:t>
        </ns0:is>
      </ns0:c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 t="inlineStr">
        <ns0:is>
          <ns0:t>培训费</ns0:t>
        </ns0:is>
      </ns0:c>
      <ns0:c r="C70" s="3">
        <ns0:f>ROUND(C270*C390,2)</ns0:f>
        <ns0:v>275.54</ns0:v>
      </ns0:c>
      <ns0:c r="D70" s="3">
        <ns0:f>ROUND(D270*D390,2)</ns0:f>
        <ns0:v>236.57</ns0:v>
      </ns0:c>
      <ns0:c r="E70" s="3">
        <ns0:f>ROUND(E270*E390,2)</ns0:f>
        <ns0:v>219.24</ns0:v>
      </ns0:c>
      <ns0:c r="F70" s="3">
        <ns0:f>ROUND(F270*F390,2)</ns0:f>
        <ns0:v>218.49</ns0:v>
      </ns0:c>
      <ns0:c r="G70" s="3">
        <ns0:f>ROUND(G270*G390,2)</ns0:f>
        <ns0:v>185.08</ns0:v>
      </ns0:c>
      <ns0:c r="H70" s="3">
        <ns0:f>ROUND(H270*H390,2)</ns0:f>
        <ns0:v>127.97</ns0:v>
      </ns0:c>
      <ns0:c r="I70" s="3">
        <ns0:f>ROUND(I270*I390,2)</ns0:f>
        <ns0:v>214.92</ns0:v>
      </ns0:c>
      <ns0:c r="J70" s="3">
        <ns0:f>ROUND(J270*J390,2)</ns0:f>
        <ns0:v>131.92</ns0:v>
      </ns0:c>
      <ns0:c r="K70" s="3">
        <ns0:f>ROUND(K270*K390,2)</ns0:f>
        <ns0:v>410.77</ns0:v>
      </ns0:c>
      <ns0:c r="L70" s="3">
        <ns0:f>ROUND(L270*L390,2)</ns0:f>
        <ns0:v>162.71</ns0:v>
      </ns0:c>
      <ns0:c r="M70" s="3">
        <ns0:f>ROUND(M270*M390,2)</ns0:f>
        <ns0:v>164.89</ns0:v>
      </ns0:c>
      <ns0:c r="N70" s="3">
        <ns0:f>ROUND(N270*N390,2)</ns0:f>
        <ns0:v>322.42</ns0:v>
      </ns0:c>
      <ns0:c r="O70" s="3">
        <ns0:f>SUM(C70:N70)</ns0:f>
        <ns0:v>2670.52</ns0:v>
      </ns0:c>
      <ns0:c r="P70" s="2" t="inlineStr">
        <ns0:is>
          <ns0:t>EXP2.010</ns0:t>
        </ns0:is>
      </ns0:c>
      <ns0:c r="Q70" s="2" t="inlineStr">
        <ns0:is>
          <ns0:t>演示占位-v1</ns0:t>
        </ns0:is>
      </ns0:c>
      <ns0:c r="R70" s="2" t="inlineStr">
        <ns0:is>
          <ns0:t>模拟权责发生制</ns0:t>
        </ns0:is>
      </ns0:c>
      <ns0:c r="S70" s="2" t="inlineStr">
        <ns0:is>
          <ns0:t>2027-01</ns0:t>
        </ns0:is>
      </ns0:c>
      <ns0:c r="T70" s="2" t="inlineStr">
        <ns0:is>
          <ns0:t>2027-06</ns0:t>
        </ns0:is>
      </ns0:c>
      <ns0:c r="U70" s="2" t="inlineStr">
        <ns0:is>
          <ns0:t>无</ns0:t>
        </ns0:is>
      </ns0:c>
      <ns0:c r="V70" s="2" t="inlineStr">
        <ns0:is>
          <ns0:t>无</ns0:t>
        </ns0:is>
      </ns0:c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 t="inlineStr">
        <ns0:is>
          <ns0:t>房租</ns0:t>
        </ns0:is>
      </ns0:c>
      <ns0:c r="C71" s="3">
        <ns0:f>ROUND(C271*C391,2)</ns0:f>
        <ns0:v>93.45</ns0:v>
      </ns0:c>
      <ns0:c r="D71" s="3">
        <ns0:f>ROUND(D271*D391,2)</ns0:f>
        <ns0:v>97.41</ns0:v>
      </ns0:c>
      <ns0:c r="E71" s="3">
        <ns0:f>ROUND(E271*E391,2)</ns0:f>
        <ns0:v>209.63</ns0:v>
      </ns0:c>
      <ns0:c r="F71" s="3">
        <ns0:f>ROUND(F271*F391,2)</ns0:f>
        <ns0:v>87.24</ns0:v>
      </ns0:c>
      <ns0:c r="G71" s="3">
        <ns0:f>ROUND(G271*G391,2)</ns0:f>
        <ns0:v>273.08</ns0:v>
      </ns0:c>
      <ns0:c r="H71" s="3">
        <ns0:f>ROUND(H271*H391,2)</ns0:f>
        <ns0:v>207.59</ns0:v>
      </ns0:c>
      <ns0:c r="I71" s="3">
        <ns0:f>ROUND(I271*I391,2)</ns0:f>
        <ns0:v>144.83</ns0:v>
      </ns0:c>
      <ns0:c r="J71" s="3">
        <ns0:f>ROUND(J271*J391,2)</ns0:f>
        <ns0:v>189.34</ns0:v>
      </ns0:c>
      <ns0:c r="K71" s="3">
        <ns0:f>ROUND(K271*K391,2)</ns0:f>
        <ns0:v>230.12</ns0:v>
      </ns0:c>
      <ns0:c r="L71" s="3">
        <ns0:f>ROUND(L271*L391,2)</ns0:f>
        <ns0:v>406.65</ns0:v>
      </ns0:c>
      <ns0:c r="M71" s="3">
        <ns0:f>ROUND(M271*M391,2)</ns0:f>
        <ns0:v>155.25</ns0:v>
      </ns0:c>
      <ns0:c r="N71" s="3">
        <ns0:f>ROUND(N271*N391,2)</ns0:f>
        <ns0:v>165.08</ns0:v>
      </ns0:c>
      <ns0:c r="O71" s="3">
        <ns0:f>SUM(C71:N71)</ns0:f>
        <ns0:v>2259.67</ns0:v>
      </ns0:c>
      <ns0:c r="P71" s="2" t="inlineStr">
        <ns0:is>
          <ns0:t>EXP2.011</ns0:t>
        </ns0:is>
      </ns0:c>
      <ns0:c r="Q71" s="2" t="inlineStr">
        <ns0:is>
          <ns0:t>演示占位-v1</ns0:t>
        </ns0:is>
      </ns0:c>
      <ns0:c r="R71" s="2" t="inlineStr">
        <ns0:is>
          <ns0:t>模拟权责发生制</ns0:t>
        </ns0:is>
      </ns0:c>
      <ns0:c r="S71" s="2" t="inlineStr">
        <ns0:is>
          <ns0:t>2027-01</ns0:t>
        </ns0:is>
      </ns0:c>
      <ns0:c r="T71" s="2" t="inlineStr">
        <ns0:is>
          <ns0:t>2027-06</ns0:t>
        </ns0:is>
      </ns0:c>
      <ns0:c r="U71" s="2" t="inlineStr">
        <ns0:is>
          <ns0:t>无</ns0:t>
        </ns0:is>
      </ns0:c>
      <ns0:c r="V71" s="2" t="inlineStr">
        <ns0:is>
          <ns0:t>无</ns0:t>
        </ns0:is>
      </ns0:c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 t="inlineStr">
        <ns0:is>
          <ns0:t>物业管理费</ns0:t>
        </ns0:is>
      </ns0:c>
      <ns0:c r="C72" s="3">
        <ns0:f>ROUND(C272*C392,2)</ns0:f>
        <ns0:v>410.33</ns0:v>
      </ns0:c>
      <ns0:c r="D72" s="3">
        <ns0:f>ROUND(D272*D392,2)</ns0:f>
        <ns0:v>349.46</ns0:v>
      </ns0:c>
      <ns0:c r="E72" s="3">
        <ns0:f>ROUND(E272*E392,2)</ns0:f>
        <ns0:v>167.50</ns0:v>
      </ns0:c>
      <ns0:c r="F72" s="3">
        <ns0:f>ROUND(F272*F392,2)</ns0:f>
        <ns0:v>86.33</ns0:v>
      </ns0:c>
      <ns0:c r="G72" s="3">
        <ns0:f>ROUND(G272*G392,2)</ns0:f>
        <ns0:v>82.21</ns0:v>
      </ns0:c>
      <ns0:c r="H72" s="3">
        <ns0:f>ROUND(H272*H392,2)</ns0:f>
        <ns0:v>307.38</ns0:v>
      </ns0:c>
      <ns0:c r="I72" s="3">
        <ns0:f>ROUND(I272*I392,2)</ns0:f>
        <ns0:v>285.10</ns0:v>
      </ns0:c>
      <ns0:c r="J72" s="3">
        <ns0:f>ROUND(J272*J392,2)</ns0:f>
        <ns0:v>80.44</ns0:v>
      </ns0:c>
      <ns0:c r="K72" s="3">
        <ns0:f>ROUND(K272*K392,2)</ns0:f>
        <ns0:v>168.70</ns0:v>
      </ns0:c>
      <ns0:c r="L72" s="3">
        <ns0:f>ROUND(L272*L392,2)</ns0:f>
        <ns0:v>276.28</ns0:v>
      </ns0:c>
      <ns0:c r="M72" s="3">
        <ns0:f>ROUND(M272*M392,2)</ns0:f>
        <ns0:v>201.79</ns0:v>
      </ns0:c>
      <ns0:c r="N72" s="3">
        <ns0:f>ROUND(N272*N392,2)</ns0:f>
        <ns0:v>84.94</ns0:v>
      </ns0:c>
      <ns0:c r="O72" s="3">
        <ns0:f>SUM(C72:N72)</ns0:f>
        <ns0:v>2500.46</ns0:v>
      </ns0:c>
      <ns0:c r="P72" s="2" t="inlineStr">
        <ns0:is>
          <ns0:t>EXP2.012</ns0:t>
        </ns0:is>
      </ns0:c>
      <ns0:c r="Q72" s="2" t="inlineStr">
        <ns0:is>
          <ns0:t>演示占位-v1</ns0:t>
        </ns0:is>
      </ns0:c>
      <ns0:c r="R72" s="2" t="inlineStr">
        <ns0:is>
          <ns0:t>模拟权责发生制</ns0:t>
        </ns0:is>
      </ns0:c>
      <ns0:c r="S72" s="2" t="inlineStr">
        <ns0:is>
          <ns0:t>2027-01</ns0:t>
        </ns0:is>
      </ns0:c>
      <ns0:c r="T72" s="2" t="inlineStr">
        <ns0:is>
          <ns0:t>2027-06</ns0:t>
        </ns0:is>
      </ns0:c>
      <ns0:c r="U72" s="2" t="inlineStr">
        <ns0:is>
          <ns0:t>无</ns0:t>
        </ns0:is>
      </ns0:c>
      <ns0:c r="V72" s="2" t="inlineStr">
        <ns0:is>
          <ns0:t>无</ns0:t>
        </ns0:is>
      </ns0:c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 t="inlineStr">
        <ns0:is>
          <ns0:t>汽车费用</ns0:t>
        </ns0:is>
      </ns0:c>
      <ns0:c r="C73" s="3">
        <ns0:f>ROUND(C273*C393,2)</ns0:f>
        <ns0:v>259.90</ns0:v>
      </ns0:c>
      <ns0:c r="D73" s="3">
        <ns0:f>ROUND(D273*D393,2)</ns0:f>
        <ns0:v>131.50</ns0:v>
      </ns0:c>
      <ns0:c r="E73" s="3">
        <ns0:f>ROUND(E273*E393,2)</ns0:f>
        <ns0:v>118.04</ns0:v>
      </ns0:c>
      <ns0:c r="F73" s="3">
        <ns0:f>ROUND(F273*F393,2)</ns0:f>
        <ns0:v>337.61</ns0:v>
      </ns0:c>
      <ns0:c r="G73" s="3">
        <ns0:f>ROUND(G273*G393,2)</ns0:f>
        <ns0:v>165.68</ns0:v>
      </ns0:c>
      <ns0:c r="H73" s="3">
        <ns0:f>ROUND(H273*H393,2)</ns0:f>
        <ns0:v>125.99</ns0:v>
      </ns0:c>
      <ns0:c r="I73" s="3">
        <ns0:f>ROUND(I273*I393,2)</ns0:f>
        <ns0:v>69.34</ns0:v>
      </ns0:c>
      <ns0:c r="J73" s="3">
        <ns0:f>ROUND(J273*J393,2)</ns0:f>
        <ns0:v>374.26</ns0:v>
      </ns0:c>
      <ns0:c r="K73" s="3">
        <ns0:f>ROUND(K273*K393,2)</ns0:f>
        <ns0:v>134.39</ns0:v>
      </ns0:c>
      <ns0:c r="L73" s="3">
        <ns0:f>ROUND(L273*L393,2)</ns0:f>
        <ns0:v>294.49</ns0:v>
      </ns0:c>
      <ns0:c r="M73" s="3">
        <ns0:f>ROUND(M273*M393,2)</ns0:f>
        <ns0:v>129.13</ns0:v>
      </ns0:c>
      <ns0:c r="N73" s="3">
        <ns0:f>ROUND(N273*N393,2)</ns0:f>
        <ns0:v>300.91</ns0:v>
      </ns0:c>
      <ns0:c r="O73" s="3">
        <ns0:f>SUM(C73:N73)</ns0:f>
        <ns0:v>2441.24</ns0:v>
      </ns0:c>
      <ns0:c r="P73" s="2" t="inlineStr">
        <ns0:is>
          <ns0:t>EXP2.013</ns0:t>
        </ns0:is>
      </ns0:c>
      <ns0:c r="Q73" s="2" t="inlineStr">
        <ns0:is>
          <ns0:t>演示占位-v1</ns0:t>
        </ns0:is>
      </ns0:c>
      <ns0:c r="R73" s="2" t="inlineStr">
        <ns0:is>
          <ns0:t>模拟权责发生制</ns0:t>
        </ns0:is>
      </ns0:c>
      <ns0:c r="S73" s="2" t="inlineStr">
        <ns0:is>
          <ns0:t>2027-01</ns0:t>
        </ns0:is>
      </ns0:c>
      <ns0:c r="T73" s="2" t="inlineStr">
        <ns0:is>
          <ns0:t>2027-06</ns0:t>
        </ns0:is>
      </ns0:c>
      <ns0:c r="U73" s="2" t="inlineStr">
        <ns0:is>
          <ns0:t>无</ns0:t>
        </ns0:is>
      </ns0:c>
      <ns0:c r="V73" s="2" t="inlineStr">
        <ns0:is>
          <ns0:t>无</ns0:t>
        </ns0:is>
      </ns0:c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 t="inlineStr">
        <ns0:is>
          <ns0:t>办公费</ns0:t>
        </ns0:is>
      </ns0:c>
      <ns0:c r="C74" s="3">
        <ns0:f>ROUND(C274*C394,2)</ns0:f>
        <ns0:v>185.95</ns0:v>
      </ns0:c>
      <ns0:c r="D74" s="3">
        <ns0:f>ROUND(D274*D394,2)</ns0:f>
        <ns0:v>248.99</ns0:v>
      </ns0:c>
      <ns0:c r="E74" s="3">
        <ns0:f>ROUND(E274*E394,2)</ns0:f>
        <ns0:v>184.99</ns0:v>
      </ns0:c>
      <ns0:c r="F74" s="3">
        <ns0:f>ROUND(F274*F394,2)</ns0:f>
        <ns0:v>315.33</ns0:v>
      </ns0:c>
      <ns0:c r="G74" s="3">
        <ns0:f>ROUND(G274*G394,2)</ns0:f>
        <ns0:v>243.24</ns0:v>
      </ns0:c>
      <ns0:c r="H74" s="3">
        <ns0:f>ROUND(H274*H394,2)</ns0:f>
        <ns0:v>177.93</ns0:v>
      </ns0:c>
      <ns0:c r="I74" s="3">
        <ns0:f>ROUND(I274*I394,2)</ns0:f>
        <ns0:v>90.70</ns0:v>
      </ns0:c>
      <ns0:c r="J74" s="3">
        <ns0:f>ROUND(J274*J394,2)</ns0:f>
        <ns0:v>226.31</ns0:v>
      </ns0:c>
      <ns0:c r="K74" s="3">
        <ns0:f>ROUND(K274*K394,2)</ns0:f>
        <ns0:v>161.10</ns0:v>
      </ns0:c>
      <ns0:c r="L74" s="3">
        <ns0:f>ROUND(L274*L394,2)</ns0:f>
        <ns0:v>162.82</ns0:v>
      </ns0:c>
      <ns0:c r="M74" s="3">
        <ns0:f>ROUND(M274*M394,2)</ns0:f>
        <ns0:v>168.37</ns0:v>
      </ns0:c>
      <ns0:c r="N74" s="3">
        <ns0:f>ROUND(N274*N394,2)</ns0:f>
        <ns0:v>316.29</ns0:v>
      </ns0:c>
      <ns0:c r="O74" s="3">
        <ns0:f>SUM(C74:N74)</ns0:f>
        <ns0:v>2482.02</ns0:v>
      </ns0:c>
      <ns0:c r="P74" s="2" t="inlineStr">
        <ns0:is>
          <ns0:t>EXP2.014</ns0:t>
        </ns0:is>
      </ns0:c>
      <ns0:c r="Q74" s="2" t="inlineStr">
        <ns0:is>
          <ns0:t>演示占位-v1</ns0:t>
        </ns0:is>
      </ns0:c>
      <ns0:c r="R74" s="2" t="inlineStr">
        <ns0:is>
          <ns0:t>模拟权责发生制</ns0:t>
        </ns0:is>
      </ns0:c>
      <ns0:c r="S74" s="2" t="inlineStr">
        <ns0:is>
          <ns0:t>2027-01</ns0:t>
        </ns0:is>
      </ns0:c>
      <ns0:c r="T74" s="2" t="inlineStr">
        <ns0:is>
          <ns0:t>2027-06</ns0:t>
        </ns0:is>
      </ns0:c>
      <ns0:c r="U74" s="2" t="inlineStr">
        <ns0:is>
          <ns0:t>无</ns0:t>
        </ns0:is>
      </ns0:c>
      <ns0:c r="V74" s="2" t="inlineStr">
        <ns0:is>
          <ns0:t>无</ns0:t>
        </ns0:is>
      </ns0:c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 t="inlineStr">
        <ns0:is>
          <ns0:t>办公用品</ns0:t>
        </ns0:is>
      </ns0:c>
      <ns0:c r="C75" s="3">
        <ns0:f>ROUND(C275*C395,2)</ns0:f>
        <ns0:v>402.44</ns0:v>
      </ns0:c>
      <ns0:c r="D75" s="3">
        <ns0:f>ROUND(D275*D395,2)</ns0:f>
        <ns0:v>191.47</ns0:v>
      </ns0:c>
      <ns0:c r="E75" s="3">
        <ns0:f>ROUND(E275*E395,2)</ns0:f>
        <ns0:v>79.93</ns0:v>
      </ns0:c>
      <ns0:c r="F75" s="3">
        <ns0:f>ROUND(F275*F395,2)</ns0:f>
        <ns0:v>220.53</ns0:v>
      </ns0:c>
      <ns0:c r="G75" s="3">
        <ns0:f>ROUND(G275*G395,2)</ns0:f>
        <ns0:v>386.80</ns0:v>
      </ns0:c>
      <ns0:c r="H75" s="3">
        <ns0:f>ROUND(H275*H395,2)</ns0:f>
        <ns0:v>332.72</ns0:v>
      </ns0:c>
      <ns0:c r="I75" s="3">
        <ns0:f>ROUND(I275*I395,2)</ns0:f>
        <ns0:v>69.96</ns0:v>
      </ns0:c>
      <ns0:c r="J75" s="3">
        <ns0:f>ROUND(J275*J395,2)</ns0:f>
        <ns0:v>150.11</ns0:v>
      </ns0:c>
      <ns0:c r="K75" s="3">
        <ns0:f>ROUND(K275*K395,2)</ns0:f>
        <ns0:v>195.03</ns0:v>
      </ns0:c>
      <ns0:c r="L75" s="3">
        <ns0:f>ROUND(L275*L395,2)</ns0:f>
        <ns0:v>593.94</ns0:v>
      </ns0:c>
      <ns0:c r="M75" s="3">
        <ns0:f>ROUND(M275*M395,2)</ns0:f>
        <ns0:v>490.06</ns0:v>
      </ns0:c>
      <ns0:c r="N75" s="3">
        <ns0:f>ROUND(N275*N395,2)</ns0:f>
        <ns0:v>342.52</ns0:v>
      </ns0:c>
      <ns0:c r="O75" s="3">
        <ns0:f>SUM(C75:N75)</ns0:f>
        <ns0:v>3455.51</ns0:v>
      </ns0:c>
      <ns0:c r="P75" s="2" t="inlineStr">
        <ns0:is>
          <ns0:t>EXP2.015</ns0:t>
        </ns0:is>
      </ns0:c>
      <ns0:c r="Q75" s="2" t="inlineStr">
        <ns0:is>
          <ns0:t>演示占位-v1</ns0:t>
        </ns0:is>
      </ns0:c>
      <ns0:c r="R75" s="2" t="inlineStr">
        <ns0:is>
          <ns0:t>模拟权责发生制</ns0:t>
        </ns0:is>
      </ns0:c>
      <ns0:c r="S75" s="2" t="inlineStr">
        <ns0:is>
          <ns0:t>2027-01</ns0:t>
        </ns0:is>
      </ns0:c>
      <ns0:c r="T75" s="2" t="inlineStr">
        <ns0:is>
          <ns0:t>2027-06</ns0:t>
        </ns0:is>
      </ns0:c>
      <ns0:c r="U75" s="2" t="inlineStr">
        <ns0:is>
          <ns0:t>无</ns0:t>
        </ns0:is>
      </ns0:c>
      <ns0:c r="V75" s="2" t="inlineStr">
        <ns0:is>
          <ns0:t>无</ns0:t>
        </ns0:is>
      </ns0:c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 t="inlineStr">
        <ns0:is>
          <ns0:t>水电煤</ns0:t>
        </ns0:is>
      </ns0:c>
      <ns0:c r="C76" s="3">
        <ns0:f>ROUND(C276*C396,2)</ns0:f>
        <ns0:v>174.08</ns0:v>
      </ns0:c>
      <ns0:c r="D76" s="3">
        <ns0:f>ROUND(D276*D396,2)</ns0:f>
        <ns0:v>105.59</ns0:v>
      </ns0:c>
      <ns0:c r="E76" s="3">
        <ns0:f>ROUND(E276*E396,2)</ns0:f>
        <ns0:v>348.45</ns0:v>
      </ns0:c>
      <ns0:c r="F76" s="3">
        <ns0:f>ROUND(F276*F396,2)</ns0:f>
        <ns0:v>458.00</ns0:v>
      </ns0:c>
      <ns0:c r="G76" s="3">
        <ns0:f>ROUND(G276*G396,2)</ns0:f>
        <ns0:v>59.94</ns0:v>
      </ns0:c>
      <ns0:c r="H76" s="3">
        <ns0:f>ROUND(H276*H396,2)</ns0:f>
        <ns0:v>357.32</ns0:v>
      </ns0:c>
      <ns0:c r="I76" s="3">
        <ns0:f>ROUND(I276*I396,2)</ns0:f>
        <ns0:v>127.40</ns0:v>
      </ns0:c>
      <ns0:c r="J76" s="3">
        <ns0:f>ROUND(J276*J396,2)</ns0:f>
        <ns0:v>310.75</ns0:v>
      </ns0:c>
      <ns0:c r="K76" s="3">
        <ns0:f>ROUND(K276*K396,2)</ns0:f>
        <ns0:v>255.56</ns0:v>
      </ns0:c>
      <ns0:c r="L76" s="3">
        <ns0:f>ROUND(L276*L396,2)</ns0:f>
        <ns0:v>67.69</ns0:v>
      </ns0:c>
      <ns0:c r="M76" s="3">
        <ns0:f>ROUND(M276*M396,2)</ns0:f>
        <ns0:v>129.77</ns0:v>
      </ns0:c>
      <ns0:c r="N76" s="3">
        <ns0:f>ROUND(N276*N396,2)</ns0:f>
        <ns0:v>118.26</ns0:v>
      </ns0:c>
      <ns0:c r="O76" s="3">
        <ns0:f>SUM(C76:N76)</ns0:f>
        <ns0:v>2512.81</ns0:v>
      </ns0:c>
      <ns0:c r="P76" s="2" t="inlineStr">
        <ns0:is>
          <ns0:t>EXP2.016</ns0:t>
        </ns0:is>
      </ns0:c>
      <ns0:c r="Q76" s="2" t="inlineStr">
        <ns0:is>
          <ns0:t>演示占位-v1</ns0:t>
        </ns0:is>
      </ns0:c>
      <ns0:c r="R76" s="2" t="inlineStr">
        <ns0:is>
          <ns0:t>模拟权责发生制</ns0:t>
        </ns0:is>
      </ns0:c>
      <ns0:c r="S76" s="2" t="inlineStr">
        <ns0:is>
          <ns0:t>2027-01</ns0:t>
        </ns0:is>
      </ns0:c>
      <ns0:c r="T76" s="2" t="inlineStr">
        <ns0:is>
          <ns0:t>2027-06</ns0:t>
        </ns0:is>
      </ns0:c>
      <ns0:c r="U76" s="2" t="inlineStr">
        <ns0:is>
          <ns0:t>无</ns0:t>
        </ns0:is>
      </ns0:c>
      <ns0:c r="V76" s="2" t="inlineStr">
        <ns0:is>
          <ns0:t>无</ns0:t>
        </ns0:is>
      </ns0:c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 t="inlineStr">
        <ns0:is>
          <ns0:t>咨询服务费</ns0:t>
        </ns0:is>
      </ns0:c>
      <ns0:c r="C77" s="3">
        <ns0:f>ROUND(C277*C397,2)</ns0:f>
        <ns0:v>156.13</ns0:v>
      </ns0:c>
      <ns0:c r="D77" s="3">
        <ns0:f>ROUND(D277*D397,2)</ns0:f>
        <ns0:v>318.36</ns0:v>
      </ns0:c>
      <ns0:c r="E77" s="3">
        <ns0:f>ROUND(E277*E397,2)</ns0:f>
        <ns0:v>64.31</ns0:v>
      </ns0:c>
      <ns0:c r="F77" s="3">
        <ns0:f>ROUND(F277*F397,2)</ns0:f>
        <ns0:v>225.87</ns0:v>
      </ns0:c>
      <ns0:c r="G77" s="3">
        <ns0:f>ROUND(G277*G397,2)</ns0:f>
        <ns0:v>104.84</ns0:v>
      </ns0:c>
      <ns0:c r="H77" s="3">
        <ns0:f>ROUND(H277*H397,2)</ns0:f>
        <ns0:v>492.38</ns0:v>
      </ns0:c>
      <ns0:c r="I77" s="3">
        <ns0:f>ROUND(I277*I397,2)</ns0:f>
        <ns0:v>199.75</ns0:v>
      </ns0:c>
      <ns0:c r="J77" s="3">
        <ns0:f>ROUND(J277*J397,2)</ns0:f>
        <ns0:v>333.00</ns0:v>
      </ns0:c>
      <ns0:c r="K77" s="3">
        <ns0:f>ROUND(K277*K397,2)</ns0:f>
        <ns0:v>505.26</ns0:v>
      </ns0:c>
      <ns0:c r="L77" s="3">
        <ns0:f>ROUND(L277*L397,2)</ns0:f>
        <ns0:v>197.53</ns0:v>
      </ns0:c>
      <ns0:c r="M77" s="3">
        <ns0:f>ROUND(M277*M397,2)</ns0:f>
        <ns0:v>178.49</ns0:v>
      </ns0:c>
      <ns0:c r="N77" s="3">
        <ns0:f>ROUND(N277*N397,2)</ns0:f>
        <ns0:v>85.03</ns0:v>
      </ns0:c>
      <ns0:c r="O77" s="3">
        <ns0:f>SUM(C77:N77)</ns0:f>
        <ns0:v>2860.95</ns0:v>
      </ns0:c>
      <ns0:c r="P77" s="2" t="inlineStr">
        <ns0:is>
          <ns0:t>EXP2.017</ns0:t>
        </ns0:is>
      </ns0:c>
      <ns0:c r="Q77" s="2" t="inlineStr">
        <ns0:is>
          <ns0:t>演示占位-v1</ns0:t>
        </ns0:is>
      </ns0:c>
      <ns0:c r="R77" s="2" t="inlineStr">
        <ns0:is>
          <ns0:t>模拟权责发生制</ns0:t>
        </ns0:is>
      </ns0:c>
      <ns0:c r="S77" s="2" t="inlineStr">
        <ns0:is>
          <ns0:t>2027-01</ns0:t>
        </ns0:is>
      </ns0:c>
      <ns0:c r="T77" s="2" t="inlineStr">
        <ns0:is>
          <ns0:t>2027-06</ns0:t>
        </ns0:is>
      </ns0:c>
      <ns0:c r="U77" s="2" t="inlineStr">
        <ns0:is>
          <ns0:t>无</ns0:t>
        </ns0:is>
      </ns0:c>
      <ns0:c r="V77" s="2" t="inlineStr">
        <ns0:is>
          <ns0:t>无</ns0:t>
        </ns0:is>
      </ns0:c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 t="inlineStr">
        <ns0:is>
          <ns0:t>电话费</ns0:t>
        </ns0:is>
      </ns0:c>
      <ns0:c r="C78" s="3">
        <ns0:f>ROUND(C278*C398,2)</ns0:f>
        <ns0:v>367.05</ns0:v>
      </ns0:c>
      <ns0:c r="D78" s="3">
        <ns0:f>ROUND(D278*D398,2)</ns0:f>
        <ns0:v>397.31</ns0:v>
      </ns0:c>
      <ns0:c r="E78" s="3">
        <ns0:f>ROUND(E278*E398,2)</ns0:f>
        <ns0:v>85.74</ns0:v>
      </ns0:c>
      <ns0:c r="F78" s="3">
        <ns0:f>ROUND(F278*F398,2)</ns0:f>
        <ns0:v>141.62</ns0:v>
      </ns0:c>
      <ns0:c r="G78" s="3">
        <ns0:f>ROUND(G278*G398,2)</ns0:f>
        <ns0:v>193.43</ns0:v>
      </ns0:c>
      <ns0:c r="H78" s="3">
        <ns0:f>ROUND(H278*H398,2)</ns0:f>
        <ns0:v>189.99</ns0:v>
      </ns0:c>
      <ns0:c r="I78" s="3">
        <ns0:f>ROUND(I278*I398,2)</ns0:f>
        <ns0:v>200.38</ns0:v>
      </ns0:c>
      <ns0:c r="J78" s="3">
        <ns0:f>ROUND(J278*J398,2)</ns0:f>
        <ns0:v>126.33</ns0:v>
      </ns0:c>
      <ns0:c r="K78" s="3">
        <ns0:f>ROUND(K278*K398,2)</ns0:f>
        <ns0:v>132.91</ns0:v>
      </ns0:c>
      <ns0:c r="L78" s="3">
        <ns0:f>ROUND(L278*L398,2)</ns0:f>
        <ns0:v>217.01</ns0:v>
      </ns0:c>
      <ns0:c r="M78" s="3">
        <ns0:f>ROUND(M278*M398,2)</ns0:f>
        <ns0:v>363.43</ns0:v>
      </ns0:c>
      <ns0:c r="N78" s="3">
        <ns0:f>ROUND(N278*N398,2)</ns0:f>
        <ns0:v>193.13</ns0:v>
      </ns0:c>
      <ns0:c r="O78" s="3">
        <ns0:f>SUM(C78:N78)</ns0:f>
        <ns0:v>2608.33</ns0:v>
      </ns0:c>
      <ns0:c r="P78" s="2" t="inlineStr">
        <ns0:is>
          <ns0:t>EXP2.018</ns0:t>
        </ns0:is>
      </ns0:c>
      <ns0:c r="Q78" s="2" t="inlineStr">
        <ns0:is>
          <ns0:t>演示占位-v1</ns0:t>
        </ns0:is>
      </ns0:c>
      <ns0:c r="R78" s="2" t="inlineStr">
        <ns0:is>
          <ns0:t>模拟权责发生制</ns0:t>
        </ns0:is>
      </ns0:c>
      <ns0:c r="S78" s="2" t="inlineStr">
        <ns0:is>
          <ns0:t>2027-01</ns0:t>
        </ns0:is>
      </ns0:c>
      <ns0:c r="T78" s="2" t="inlineStr">
        <ns0:is>
          <ns0:t>2027-06</ns0:t>
        </ns0:is>
      </ns0:c>
      <ns0:c r="U78" s="2" t="inlineStr">
        <ns0:is>
          <ns0:t>无</ns0:t>
        </ns0:is>
      </ns0:c>
      <ns0:c r="V78" s="2" t="inlineStr">
        <ns0:is>
          <ns0:t>无</ns0:t>
        </ns0:is>
      </ns0:c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 t="inlineStr">
        <ns0:is>
          <ns0:t>快递费</ns0:t>
        </ns0:is>
      </ns0:c>
      <ns0:c r="C79" s="3">
        <ns0:f>ROUND(C279*C399,2)</ns0:f>
        <ns0:v>51.63</ns0:v>
      </ns0:c>
      <ns0:c r="D79" s="3">
        <ns0:f>ROUND(D279*D399,2)</ns0:f>
        <ns0:v>61.59</ns0:v>
      </ns0:c>
      <ns0:c r="E79" s="3">
        <ns0:f>ROUND(E279*E399,2)</ns0:f>
        <ns0:v>286.75</ns0:v>
      </ns0:c>
      <ns0:c r="F79" s="3">
        <ns0:f>ROUND(F279*F399,2)</ns0:f>
        <ns0:v>93.39</ns0:v>
      </ns0:c>
      <ns0:c r="G79" s="3">
        <ns0:f>ROUND(G279*G399,2)</ns0:f>
        <ns0:v>64.87</ns0:v>
      </ns0:c>
      <ns0:c r="H79" s="3">
        <ns0:f>ROUND(H279*H399,2)</ns0:f>
        <ns0:v>57.53</ns0:v>
      </ns0:c>
      <ns0:c r="I79" s="3">
        <ns0:f>ROUND(I279*I399,2)</ns0:f>
        <ns0:v>178.92</ns0:v>
      </ns0:c>
      <ns0:c r="J79" s="3">
        <ns0:f>ROUND(J279*J399,2)</ns0:f>
        <ns0:v>370.42</ns0:v>
      </ns0:c>
      <ns0:c r="K79" s="3">
        <ns0:f>ROUND(K279*K399,2)</ns0:f>
        <ns0:v>146.58</ns0:v>
      </ns0:c>
      <ns0:c r="L79" s="3">
        <ns0:f>ROUND(L279*L399,2)</ns0:f>
        <ns0:v>298.91</ns0:v>
      </ns0:c>
      <ns0:c r="M79" s="3">
        <ns0:f>ROUND(M279*M399,2)</ns0:f>
        <ns0:v>497.11</ns0:v>
      </ns0:c>
      <ns0:c r="N79" s="3">
        <ns0:f>ROUND(N279*N399,2)</ns0:f>
        <ns0:v>82.01</ns0:v>
      </ns0:c>
      <ns0:c r="O79" s="3">
        <ns0:f>SUM(C79:N79)</ns0:f>
        <ns0:v>2189.71</ns0:v>
      </ns0:c>
      <ns0:c r="P79" s="2" t="inlineStr">
        <ns0:is>
          <ns0:t>EXP2.019</ns0:t>
        </ns0:is>
      </ns0:c>
      <ns0:c r="Q79" s="2" t="inlineStr">
        <ns0:is>
          <ns0:t>演示占位-v1</ns0:t>
        </ns0:is>
      </ns0:c>
      <ns0:c r="R79" s="2" t="inlineStr">
        <ns0:is>
          <ns0:t>模拟权责发生制</ns0:t>
        </ns0:is>
      </ns0:c>
      <ns0:c r="S79" s="2" t="inlineStr">
        <ns0:is>
          <ns0:t>2027-01</ns0:t>
        </ns0:is>
      </ns0:c>
      <ns0:c r="T79" s="2" t="inlineStr">
        <ns0:is>
          <ns0:t>2027-06</ns0:t>
        </ns0:is>
      </ns0:c>
      <ns0:c r="U79" s="2" t="inlineStr">
        <ns0:is>
          <ns0:t>无</ns0:t>
        </ns0:is>
      </ns0:c>
      <ns0:c r="V79" s="2" t="inlineStr">
        <ns0:is>
          <ns0:t>无</ns0:t>
        </ns0:is>
      </ns0:c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 t="inlineStr">
        <ns0:is>
          <ns0:t>折旧及摊销</ns0:t>
        </ns0:is>
      </ns0:c>
      <ns0:c r="C80" s="3">
        <ns0:f>ROUND('摊销明细'!C93/3,2)</ns0:f>
        <ns0:v>624.24</ns0:v>
      </ns0:c>
      <ns0:c r="D80" s="3">
        <ns0:f>ROUND('摊销明细'!D93/3,2)</ns0:f>
        <ns0:v>624.24</ns0:v>
      </ns0:c>
      <ns0:c r="E80" s="3">
        <ns0:f>ROUND('摊销明细'!E93/3,2)</ns0:f>
        <ns0:v>624.24</ns0:v>
      </ns0:c>
      <ns0:c r="F80" s="3">
        <ns0:f>ROUND('摊销明细'!F93/3,2)</ns0:f>
        <ns0:v>624.24</ns0:v>
      </ns0:c>
      <ns0:c r="G80" s="3">
        <ns0:f>ROUND('摊销明细'!G93/3,2)</ns0:f>
        <ns0:v>624.24</ns0:v>
      </ns0:c>
      <ns0:c r="H80" s="3">
        <ns0:f>ROUND('摊销明细'!H93/3,2)</ns0:f>
        <ns0:v>624.24</ns0:v>
      </ns0:c>
      <ns0:c r="I80" s="3">
        <ns0:f>ROUND('摊销明细'!I93/3,2)</ns0:f>
        <ns0:v>624.24</ns0:v>
      </ns0:c>
      <ns0:c r="J80" s="3">
        <ns0:f>ROUND('摊销明细'!J93/3,2)</ns0:f>
        <ns0:v>624.24</ns0:v>
      </ns0:c>
      <ns0:c r="K80" s="3">
        <ns0:f>ROUND('摊销明细'!K93/3,2)</ns0:f>
        <ns0:v>624.24</ns0:v>
      </ns0:c>
      <ns0:c r="L80" s="3">
        <ns0:f>ROUND('摊销明细'!L93/3,2)</ns0:f>
        <ns0:v>624.24</ns0:v>
      </ns0:c>
      <ns0:c r="M80" s="3">
        <ns0:f>ROUND('摊销明细'!M93/3,2)</ns0:f>
        <ns0:v>624.24</ns0:v>
      </ns0:c>
      <ns0:c r="N80" s="3">
        <ns0:f>ROUND('摊销明细'!N93/3,2)</ns0:f>
        <ns0:v>624.24</ns0:v>
      </ns0:c>
      <ns0:c r="O80" s="3">
        <ns0:f>SUM(C80:N80)</ns0:f>
        <ns0:v>7490.88</ns0:v>
      </ns0:c>
      <ns0:c r="P80" s="2" t="inlineStr">
        <ns0:is>
          <ns0:t>EXP2.020</ns0:t>
        </ns0:is>
      </ns0:c>
      <ns0:c r="Q80" s="2" t="inlineStr">
        <ns0:is>
          <ns0:t>演示占位-v1</ns0:t>
        </ns0:is>
      </ns0:c>
      <ns0:c r="R80" s="2" t="inlineStr">
        <ns0:is>
          <ns0:t>模拟权责发生制</ns0:t>
        </ns0:is>
      </ns0:c>
      <ns0:c r="S80" s="2" t="inlineStr">
        <ns0:is>
          <ns0:t>2027-01</ns0:t>
        </ns0:is>
      </ns0:c>
      <ns0:c r="T80" s="2" t="inlineStr">
        <ns0:is>
          <ns0:t>2027-06</ns0:t>
        </ns0:is>
      </ns0:c>
      <ns0:c r="U80" s="2" t="inlineStr">
        <ns0:is>
          <ns0:t>无</ns0:t>
        </ns0:is>
      </ns0:c>
      <ns0:c r="V80" s="2" t="inlineStr">
        <ns0:is>
          <ns0:t>无</ns0:t>
        </ns0:is>
      </ns0:c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 t="inlineStr">
        <ns0:is>
          <ns0:t>机票火车票</ns0:t>
        </ns0:is>
      </ns0:c>
      <ns0:c r="C81" s="3">
        <ns0:f>ROUND(C281*C401,2)</ns0:f>
        <ns0:v>206.31</ns0:v>
      </ns0:c>
      <ns0:c r="D81" s="3">
        <ns0:f>ROUND(D281*D401,2)</ns0:f>
        <ns0:v>248.11</ns0:v>
      </ns0:c>
      <ns0:c r="E81" s="3">
        <ns0:f>ROUND(E281*E401,2)</ns0:f>
        <ns0:v>250.23</ns0:v>
      </ns0:c>
      <ns0:c r="F81" s="3">
        <ns0:f>ROUND(F281*F401,2)</ns0:f>
        <ns0:v>253.97</ns0:v>
      </ns0:c>
      <ns0:c r="G81" s="3">
        <ns0:f>ROUND(G281*G401,2)</ns0:f>
        <ns0:v>183.87</ns0:v>
      </ns0:c>
      <ns0:c r="H81" s="3">
        <ns0:f>ROUND(H281*H401,2)</ns0:f>
        <ns0:v>404.25</ns0:v>
      </ns0:c>
      <ns0:c r="I81" s="3">
        <ns0:f>ROUND(I281*I401,2)</ns0:f>
        <ns0:v>143.17</ns0:v>
      </ns0:c>
      <ns0:c r="J81" s="3">
        <ns0:f>ROUND(J281*J401,2)</ns0:f>
        <ns0:v>264.62</ns0:v>
      </ns0:c>
      <ns0:c r="K81" s="3">
        <ns0:f>ROUND(K281*K401,2)</ns0:f>
        <ns0:v>243.14</ns0:v>
      </ns0:c>
      <ns0:c r="L81" s="3">
        <ns0:f>ROUND(L281*L401,2)</ns0:f>
        <ns0:v>551.78</ns0:v>
      </ns0:c>
      <ns0:c r="M81" s="3">
        <ns0:f>ROUND(M281*M401,2)</ns0:f>
        <ns0:v>116.77</ns0:v>
      </ns0:c>
      <ns0:c r="N81" s="3">
        <ns0:f>ROUND(N281*N401,2)</ns0:f>
        <ns0:v>156.93</ns0:v>
      </ns0:c>
      <ns0:c r="O81" s="3">
        <ns0:f>SUM(C81:N81)</ns0:f>
        <ns0:v>3023.15</ns0:v>
      </ns0:c>
      <ns0:c r="P81" s="2" t="inlineStr">
        <ns0:is>
          <ns0:t>EXP2.021</ns0:t>
        </ns0:is>
      </ns0:c>
      <ns0:c r="Q81" s="2" t="inlineStr">
        <ns0:is>
          <ns0:t>演示占位-v1</ns0:t>
        </ns0:is>
      </ns0:c>
      <ns0:c r="R81" s="2" t="inlineStr">
        <ns0:is>
          <ns0:t>模拟权责发生制</ns0:t>
        </ns0:is>
      </ns0:c>
      <ns0:c r="S81" s="2" t="inlineStr">
        <ns0:is>
          <ns0:t>2027-01</ns0:t>
        </ns0:is>
      </ns0:c>
      <ns0:c r="T81" s="2" t="inlineStr">
        <ns0:is>
          <ns0:t>2027-06</ns0:t>
        </ns0:is>
      </ns0:c>
      <ns0:c r="U81" s="2" t="inlineStr">
        <ns0:is>
          <ns0:t>无</ns0:t>
        </ns0:is>
      </ns0:c>
      <ns0:c r="V81" s="2" t="inlineStr">
        <ns0:is>
          <ns0:t>无</ns0:t>
        </ns0:is>
      </ns0:c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 t="inlineStr">
        <ns0:is>
          <ns0:t>住宿费</ns0:t>
        </ns0:is>
      </ns0:c>
      <ns0:c r="C82" s="3">
        <ns0:f>ROUND(C282*C402,2)</ns0:f>
        <ns0:v>372.28</ns0:v>
      </ns0:c>
      <ns0:c r="D82" s="3">
        <ns0:f>ROUND(D282*D402,2)</ns0:f>
        <ns0:v>228.13</ns0:v>
      </ns0:c>
      <ns0:c r="E82" s="3">
        <ns0:f>ROUND(E282*E402,2)</ns0:f>
        <ns0:v>186.36</ns0:v>
      </ns0:c>
      <ns0:c r="F82" s="3">
        <ns0:f>ROUND(F282*F402,2)</ns0:f>
        <ns0:v>105.89</ns0:v>
      </ns0:c>
      <ns0:c r="G82" s="3">
        <ns0:f>ROUND(G282*G402,2)</ns0:f>
        <ns0:v>622.94</ns0:v>
      </ns0:c>
      <ns0:c r="H82" s="3">
        <ns0:f>ROUND(H282*H402,2)</ns0:f>
        <ns0:v>116.98</ns0:v>
      </ns0:c>
      <ns0:c r="I82" s="3">
        <ns0:f>ROUND(I282*I402,2)</ns0:f>
        <ns0:v>160.67</ns0:v>
      </ns0:c>
      <ns0:c r="J82" s="3">
        <ns0:f>ROUND(J282*J402,2)</ns0:f>
        <ns0:v>118.93</ns0:v>
      </ns0:c>
      <ns0:c r="K82" s="3">
        <ns0:f>ROUND(K282*K402,2)</ns0:f>
        <ns0:v>132.97</ns0:v>
      </ns0:c>
      <ns0:c r="L82" s="3">
        <ns0:f>ROUND(L282*L402,2)</ns0:f>
        <ns0:v>630.47</ns0:v>
      </ns0:c>
      <ns0:c r="M82" s="3">
        <ns0:f>ROUND(M282*M402,2)</ns0:f>
        <ns0:v>355.57</ns0:v>
      </ns0:c>
      <ns0:c r="N82" s="3">
        <ns0:f>ROUND(N282*N402,2)</ns0:f>
        <ns0:v>231.76</ns0:v>
      </ns0:c>
      <ns0:c r="O82" s="3">
        <ns0:f>SUM(C82:N82)</ns0:f>
        <ns0:v>3262.95</ns0:v>
      </ns0:c>
      <ns0:c r="P82" s="2" t="inlineStr">
        <ns0:is>
          <ns0:t>EXP2.022</ns0:t>
        </ns0:is>
      </ns0:c>
      <ns0:c r="Q82" s="2" t="inlineStr">
        <ns0:is>
          <ns0:t>演示占位-v1</ns0:t>
        </ns0:is>
      </ns0:c>
      <ns0:c r="R82" s="2" t="inlineStr">
        <ns0:is>
          <ns0:t>模拟权责发生制</ns0:t>
        </ns0:is>
      </ns0:c>
      <ns0:c r="S82" s="2" t="inlineStr">
        <ns0:is>
          <ns0:t>2027-01</ns0:t>
        </ns0:is>
      </ns0:c>
      <ns0:c r="T82" s="2" t="inlineStr">
        <ns0:is>
          <ns0:t>2027-06</ns0:t>
        </ns0:is>
      </ns0:c>
      <ns0:c r="U82" s="2" t="inlineStr">
        <ns0:is>
          <ns0:t>无</ns0:t>
        </ns0:is>
      </ns0:c>
      <ns0:c r="V82" s="2" t="inlineStr">
        <ns0:is>
          <ns0:t>无</ns0:t>
        </ns0:is>
      </ns0:c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 t="inlineStr">
        <ns0:is>
          <ns0:t>交通费</ns0:t>
        </ns0:is>
      </ns0:c>
      <ns0:c r="C83" s="3">
        <ns0:f>ROUND(C283*C403,2)</ns0:f>
        <ns0:v>63.02</ns0:v>
      </ns0:c>
      <ns0:c r="D83" s="3">
        <ns0:f>ROUND(D283*D403,2)</ns0:f>
        <ns0:v>43.41</ns0:v>
      </ns0:c>
      <ns0:c r="E83" s="3">
        <ns0:f>ROUND(E283*E403,2)</ns0:f>
        <ns0:v>219.03</ns0:v>
      </ns0:c>
      <ns0:c r="F83" s="3">
        <ns0:f>ROUND(F283*F403,2)</ns0:f>
        <ns0:v>477.09</ns0:v>
      </ns0:c>
      <ns0:c r="G83" s="3">
        <ns0:f>ROUND(G283*G403,2)</ns0:f>
        <ns0:v>334.29</ns0:v>
      </ns0:c>
      <ns0:c r="H83" s="3">
        <ns0:f>ROUND(H283*H403,2)</ns0:f>
        <ns0:v>227.86</ns0:v>
      </ns0:c>
      <ns0:c r="I83" s="3">
        <ns0:f>ROUND(I283*I403,2)</ns0:f>
        <ns0:v>352.89</ns0:v>
      </ns0:c>
      <ns0:c r="J83" s="3">
        <ns0:f>ROUND(J283*J403,2)</ns0:f>
        <ns0:v>399.03</ns0:v>
      </ns0:c>
      <ns0:c r="K83" s="3">
        <ns0:f>ROUND(K283*K403,2)</ns0:f>
        <ns0:v>485.61</ns0:v>
      </ns0:c>
      <ns0:c r="L83" s="3">
        <ns0:f>ROUND(L283*L403,2)</ns0:f>
        <ns0:v>225.13</ns0:v>
      </ns0:c>
      <ns0:c r="M83" s="3">
        <ns0:f>ROUND(M283*M403,2)</ns0:f>
        <ns0:v>190.14</ns0:v>
      </ns0:c>
      <ns0:c r="N83" s="3">
        <ns0:f>ROUND(N283*N403,2)</ns0:f>
        <ns0:v>96.60</ns0:v>
      </ns0:c>
      <ns0:c r="O83" s="3">
        <ns0:f>SUM(C83:N83)</ns0:f>
        <ns0:v>3114.10</ns0:v>
      </ns0:c>
      <ns0:c r="P83" s="2" t="inlineStr">
        <ns0:is>
          <ns0:t>EXP2.023</ns0:t>
        </ns0:is>
      </ns0:c>
      <ns0:c r="Q83" s="2" t="inlineStr">
        <ns0:is>
          <ns0:t>演示占位-v1</ns0:t>
        </ns0:is>
      </ns0:c>
      <ns0:c r="R83" s="2" t="inlineStr">
        <ns0:is>
          <ns0:t>模拟权责发生制</ns0:t>
        </ns0:is>
      </ns0:c>
      <ns0:c r="S83" s="2" t="inlineStr">
        <ns0:is>
          <ns0:t>2027-01</ns0:t>
        </ns0:is>
      </ns0:c>
      <ns0:c r="T83" s="2" t="inlineStr">
        <ns0:is>
          <ns0:t>2027-06</ns0:t>
        </ns0:is>
      </ns0:c>
      <ns0:c r="U83" s="2" t="inlineStr">
        <ns0:is>
          <ns0:t>无</ns0:t>
        </ns0:is>
      </ns0:c>
      <ns0:c r="V83" s="2" t="inlineStr">
        <ns0:is>
          <ns0:t>无</ns0:t>
        </ns0:is>
      </ns0:c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 t="inlineStr">
        <ns0:is>
          <ns0:t>差旅补贴</ns0:t>
        </ns0:is>
      </ns0:c>
      <ns0:c r="C84" s="3">
        <ns0:f>ROUND(C284*C404,2)</ns0:f>
        <ns0:v>265.81</ns0:v>
      </ns0:c>
      <ns0:c r="D84" s="3">
        <ns0:f>ROUND(D284*D404,2)</ns0:f>
        <ns0:v>305.16</ns0:v>
      </ns0:c>
      <ns0:c r="E84" s="3">
        <ns0:f>ROUND(E284*E404,2)</ns0:f>
        <ns0:v>347.71</ns0:v>
      </ns0:c>
      <ns0:c r="F84" s="3">
        <ns0:f>ROUND(F284*F404,2)</ns0:f>
        <ns0:v>118.63</ns0:v>
      </ns0:c>
      <ns0:c r="G84" s="3">
        <ns0:f>ROUND(G284*G404,2)</ns0:f>
        <ns0:v>306.30</ns0:v>
      </ns0:c>
      <ns0:c r="H84" s="3">
        <ns0:f>ROUND(H284*H404,2)</ns0:f>
        <ns0:v>49.20</ns0:v>
      </ns0:c>
      <ns0:c r="I84" s="3">
        <ns0:f>ROUND(I284*I404,2)</ns0:f>
        <ns0:v>256.88</ns0:v>
      </ns0:c>
      <ns0:c r="J84" s="3">
        <ns0:f>ROUND(J284*J404,2)</ns0:f>
        <ns0:v>195.48</ns0:v>
      </ns0:c>
      <ns0:c r="K84" s="3">
        <ns0:f>ROUND(K284*K404,2)</ns0:f>
        <ns0:v>105.84</ns0:v>
      </ns0:c>
      <ns0:c r="L84" s="3">
        <ns0:f>ROUND(L284*L404,2)</ns0:f>
        <ns0:v>252.19</ns0:v>
      </ns0:c>
      <ns0:c r="M84" s="3">
        <ns0:f>ROUND(M284*M404,2)</ns0:f>
        <ns0:v>181.86</ns0:v>
      </ns0:c>
      <ns0:c r="N84" s="3">
        <ns0:f>ROUND(N284*N404,2)</ns0:f>
        <ns0:v>158.65</ns0:v>
      </ns0:c>
      <ns0:c r="O84" s="3">
        <ns0:f>SUM(C84:N84)</ns0:f>
        <ns0:v>2543.71</ns0:v>
      </ns0:c>
      <ns0:c r="P84" s="2" t="inlineStr">
        <ns0:is>
          <ns0:t>EXP2.024</ns0:t>
        </ns0:is>
      </ns0:c>
      <ns0:c r="Q84" s="2" t="inlineStr">
        <ns0:is>
          <ns0:t>演示占位-v1</ns0:t>
        </ns0:is>
      </ns0:c>
      <ns0:c r="R84" s="2" t="inlineStr">
        <ns0:is>
          <ns0:t>模拟权责发生制</ns0:t>
        </ns0:is>
      </ns0:c>
      <ns0:c r="S84" s="2" t="inlineStr">
        <ns0:is>
          <ns0:t>2027-01</ns0:t>
        </ns0:is>
      </ns0:c>
      <ns0:c r="T84" s="2" t="inlineStr">
        <ns0:is>
          <ns0:t>2027-06</ns0:t>
        </ns0:is>
      </ns0:c>
      <ns0:c r="U84" s="2" t="inlineStr">
        <ns0:is>
          <ns0:t>无</ns0:t>
        </ns0:is>
      </ns0:c>
      <ns0:c r="V84" s="2" t="inlineStr">
        <ns0:is>
          <ns0:t>无</ns0:t>
        </ns0:is>
      </ns0:c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 t="inlineStr">
        <ns0:is>
          <ns0:t>业务招待费</ns0:t>
        </ns0:is>
      </ns0:c>
      <ns0:c r="C85" s="3">
        <ns0:f>ROUND(C285*C405,2)</ns0:f>
        <ns0:v>324.83</ns0:v>
      </ns0:c>
      <ns0:c r="D85" s="3">
        <ns0:f>ROUND(D285*D405,2)</ns0:f>
        <ns0:v>87.24</ns0:v>
      </ns0:c>
      <ns0:c r="E85" s="3">
        <ns0:f>ROUND(E285*E405,2)</ns0:f>
        <ns0:v>316.99</ns0:v>
      </ns0:c>
      <ns0:c r="F85" s="3">
        <ns0:f>ROUND(F285*F405,2)</ns0:f>
        <ns0:v>413.08</ns0:v>
      </ns0:c>
      <ns0:c r="G85" s="3">
        <ns0:f>ROUND(G285*G405,2)</ns0:f>
        <ns0:v>156.57</ns0:v>
      </ns0:c>
      <ns0:c r="H85" s="3">
        <ns0:f>ROUND(H285*H405,2)</ns0:f>
        <ns0:v>489.31</ns0:v>
      </ns0:c>
      <ns0:c r="I85" s="3">
        <ns0:f>ROUND(I285*I405,2)</ns0:f>
        <ns0:v>133.94</ns0:v>
      </ns0:c>
      <ns0:c r="J85" s="3">
        <ns0:f>ROUND(J285*J405,2)</ns0:f>
        <ns0:v>261.87</ns0:v>
      </ns0:c>
      <ns0:c r="K85" s="3">
        <ns0:f>ROUND(K285*K405,2)</ns0:f>
        <ns0:v>135.83</ns0:v>
      </ns0:c>
      <ns0:c r="L85" s="3">
        <ns0:f>ROUND(L285*L405,2)</ns0:f>
        <ns0:v>297.39</ns0:v>
      </ns0:c>
      <ns0:c r="M85" s="3">
        <ns0:f>ROUND(M285*M405,2)</ns0:f>
        <ns0:v>373.52</ns0:v>
      </ns0:c>
      <ns0:c r="N85" s="3">
        <ns0:f>ROUND(N285*N405,2)</ns0:f>
        <ns0:v>129.77</ns0:v>
      </ns0:c>
      <ns0:c r="O85" s="3">
        <ns0:f>SUM(C85:N85)</ns0:f>
        <ns0:v>3120.34</ns0:v>
      </ns0:c>
      <ns0:c r="P85" s="2" t="inlineStr">
        <ns0:is>
          <ns0:t>EXP2.025</ns0:t>
        </ns0:is>
      </ns0:c>
      <ns0:c r="Q85" s="2" t="inlineStr">
        <ns0:is>
          <ns0:t>演示占位-v1</ns0:t>
        </ns0:is>
      </ns0:c>
      <ns0:c r="R85" s="2" t="inlineStr">
        <ns0:is>
          <ns0:t>模拟权责发生制</ns0:t>
        </ns0:is>
      </ns0:c>
      <ns0:c r="S85" s="2" t="inlineStr">
        <ns0:is>
          <ns0:t>2027-01</ns0:t>
        </ns0:is>
      </ns0:c>
      <ns0:c r="T85" s="2" t="inlineStr">
        <ns0:is>
          <ns0:t>2027-06</ns0:t>
        </ns0:is>
      </ns0:c>
      <ns0:c r="U85" s="2" t="inlineStr">
        <ns0:is>
          <ns0:t>无</ns0:t>
        </ns0:is>
      </ns0:c>
      <ns0:c r="V85" s="2" t="inlineStr">
        <ns0:is>
          <ns0:t>无</ns0:t>
        </ns0:is>
      </ns0:c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 t="inlineStr">
        <ns0:is>
          <ns0:t>市内交通费</ns0:t>
        </ns0:is>
      </ns0:c>
      <ns0:c r="C86" s="3">
        <ns0:f>ROUND(C286*C406,2)</ns0:f>
        <ns0:v>442.92</ns0:v>
      </ns0:c>
      <ns0:c r="D86" s="3">
        <ns0:f>ROUND(D286*D406,2)</ns0:f>
        <ns0:v>264.96</ns0:v>
      </ns0:c>
      <ns0:c r="E86" s="3">
        <ns0:f>ROUND(E286*E406,2)</ns0:f>
        <ns0:v>203.13</ns0:v>
      </ns0:c>
      <ns0:c r="F86" s="3">
        <ns0:f>ROUND(F286*F406,2)</ns0:f>
        <ns0:v>301.75</ns0:v>
      </ns0:c>
      <ns0:c r="G86" s="3">
        <ns0:f>ROUND(G286*G406,2)</ns0:f>
        <ns0:v>174.51</ns0:v>
      </ns0:c>
      <ns0:c r="H86" s="3">
        <ns0:f>ROUND(H286*H406,2)</ns0:f>
        <ns0:v>353.27</ns0:v>
      </ns0:c>
      <ns0:c r="I86" s="3">
        <ns0:f>ROUND(I286*I406,2)</ns0:f>
        <ns0:v>486.99</ns0:v>
      </ns0:c>
      <ns0:c r="J86" s="3">
        <ns0:f>ROUND(J286*J406,2)</ns0:f>
        <ns0:v>154.46</ns0:v>
      </ns0:c>
      <ns0:c r="K86" s="3">
        <ns0:f>ROUND(K286*K406,2)</ns0:f>
        <ns0:v>178.66</ns0:v>
      </ns0:c>
      <ns0:c r="L86" s="3">
        <ns0:f>ROUND(L286*L406,2)</ns0:f>
        <ns0:v>90.75</ns0:v>
      </ns0:c>
      <ns0:c r="M86" s="3">
        <ns0:f>ROUND(M286*M406,2)</ns0:f>
        <ns0:v>307.82</ns0:v>
      </ns0:c>
      <ns0:c r="N86" s="3">
        <ns0:f>ROUND(N286*N406,2)</ns0:f>
        <ns0:v>351.70</ns0:v>
      </ns0:c>
      <ns0:c r="O86" s="3">
        <ns0:f>SUM(C86:N86)</ns0:f>
        <ns0:v>3310.92</ns0:v>
      </ns0:c>
      <ns0:c r="P86" s="2" t="inlineStr">
        <ns0:is>
          <ns0:t>EXP2.026</ns0:t>
        </ns0:is>
      </ns0:c>
      <ns0:c r="Q86" s="2" t="inlineStr">
        <ns0:is>
          <ns0:t>演示占位-v1</ns0:t>
        </ns0:is>
      </ns0:c>
      <ns0:c r="R86" s="2" t="inlineStr">
        <ns0:is>
          <ns0:t>模拟权责发生制</ns0:t>
        </ns0:is>
      </ns0:c>
      <ns0:c r="S86" s="2" t="inlineStr">
        <ns0:is>
          <ns0:t>2027-01</ns0:t>
        </ns0:is>
      </ns0:c>
      <ns0:c r="T86" s="2" t="inlineStr">
        <ns0:is>
          <ns0:t>2027-06</ns0:t>
        </ns0:is>
      </ns0:c>
      <ns0:c r="U86" s="2" t="inlineStr">
        <ns0:is>
          <ns0:t>无</ns0:t>
        </ns0:is>
      </ns0:c>
      <ns0:c r="V86" s="2" t="inlineStr">
        <ns0:is>
          <ns0:t>无</ns0:t>
        </ns0:is>
      </ns0:c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 t="inlineStr">
        <ns0:is>
          <ns0:t>调研费用</ns0:t>
        </ns0:is>
      </ns0:c>
      <ns0:c r="C87" s="3">
        <ns0:f>ROUND(C287*C407,2)</ns0:f>
        <ns0:v>269.47</ns0:v>
      </ns0:c>
      <ns0:c r="D87" s="3">
        <ns0:f>ROUND(D287*D407,2)</ns0:f>
        <ns0:v>178.12</ns0:v>
      </ns0:c>
      <ns0:c r="E87" s="3">
        <ns0:f>ROUND(E287*E407,2)</ns0:f>
        <ns0:v>181.10</ns0:v>
      </ns0:c>
      <ns0:c r="F87" s="3">
        <ns0:f>ROUND(F287*F407,2)</ns0:f>
        <ns0:v>191.50</ns0:v>
      </ns0:c>
      <ns0:c r="G87" s="3">
        <ns0:f>ROUND(G287*G407,2)</ns0:f>
        <ns0:v>283.62</ns0:v>
      </ns0:c>
      <ns0:c r="H87" s="3">
        <ns0:f>ROUND(H287*H407,2)</ns0:f>
        <ns0:v>202.50</ns0:v>
      </ns0:c>
      <ns0:c r="I87" s="3">
        <ns0:f>ROUND(I287*I407,2)</ns0:f>
        <ns0:v>112.00</ns0:v>
      </ns0:c>
      <ns0:c r="J87" s="3">
        <ns0:f>ROUND(J287*J407,2)</ns0:f>
        <ns0:v>298.28</ns0:v>
      </ns0:c>
      <ns0:c r="K87" s="3">
        <ns0:f>ROUND(K287*K407,2)</ns0:f>
        <ns0:v>78.98</ns0:v>
      </ns0:c>
      <ns0:c r="L87" s="3">
        <ns0:f>ROUND(L287*L407,2)</ns0:f>
        <ns0:v>167.23</ns0:v>
      </ns0:c>
      <ns0:c r="M87" s="3">
        <ns0:f>ROUND(M287*M407,2)</ns0:f>
        <ns0:v>149.74</ns0:v>
      </ns0:c>
      <ns0:c r="N87" s="3">
        <ns0:f>ROUND(N287*N407,2)</ns0:f>
        <ns0:v>499.21</ns0:v>
      </ns0:c>
      <ns0:c r="O87" s="3">
        <ns0:f>SUM(C87:N87)</ns0:f>
        <ns0:v>2611.75</ns0:v>
      </ns0:c>
      <ns0:c r="P87" s="2" t="inlineStr">
        <ns0:is>
          <ns0:t>EXP2.027</ns0:t>
        </ns0:is>
      </ns0:c>
      <ns0:c r="Q87" s="2" t="inlineStr">
        <ns0:is>
          <ns0:t>演示占位-v1</ns0:t>
        </ns0:is>
      </ns0:c>
      <ns0:c r="R87" s="2" t="inlineStr">
        <ns0:is>
          <ns0:t>模拟权责发生制</ns0:t>
        </ns0:is>
      </ns0:c>
      <ns0:c r="S87" s="2" t="inlineStr">
        <ns0:is>
          <ns0:t>2027-01</ns0:t>
        </ns0:is>
      </ns0:c>
      <ns0:c r="T87" s="2" t="inlineStr">
        <ns0:is>
          <ns0:t>2027-06</ns0:t>
        </ns0:is>
      </ns0:c>
      <ns0:c r="U87" s="2" t="inlineStr">
        <ns0:is>
          <ns0:t>无</ns0:t>
        </ns0:is>
      </ns0:c>
      <ns0:c r="V87" s="2" t="inlineStr">
        <ns0:is>
          <ns0:t>无</ns0:t>
        </ns0:is>
      </ns0:c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 t="inlineStr">
        <ns0:is>
          <ns0:t>手续费</ns0:t>
        </ns0:is>
      </ns0:c>
      <ns0:c r="C88" s="3">
        <ns0:f>ROUND(C288*C408,2)</ns0:f>
        <ns0:v>391.36</ns0:v>
      </ns0:c>
      <ns0:c r="D88" s="3">
        <ns0:f>ROUND(D288*D408,2)</ns0:f>
        <ns0:v>183.93</ns0:v>
      </ns0:c>
      <ns0:c r="E88" s="3">
        <ns0:f>ROUND(E288*E408,2)</ns0:f>
        <ns0:v>154.77</ns0:v>
      </ns0:c>
      <ns0:c r="F88" s="3">
        <ns0:f>ROUND(F288*F408,2)</ns0:f>
        <ns0:v>435.77</ns0:v>
      </ns0:c>
      <ns0:c r="G88" s="3">
        <ns0:f>ROUND(G288*G408,2)</ns0:f>
        <ns0:v>206.65</ns0:v>
      </ns0:c>
      <ns0:c r="H88" s="3">
        <ns0:f>ROUND(H288*H408,2)</ns0:f>
        <ns0:v>228.37</ns0:v>
      </ns0:c>
      <ns0:c r="I88" s="3">
        <ns0:f>ROUND(I288*I408,2)</ns0:f>
        <ns0:v>68.04</ns0:v>
      </ns0:c>
      <ns0:c r="J88" s="3">
        <ns0:f>ROUND(J288*J408,2)</ns0:f>
        <ns0:v>265.93</ns0:v>
      </ns0:c>
      <ns0:c r="K88" s="3">
        <ns0:f>ROUND(K288*K408,2)</ns0:f>
        <ns0:v>185.10</ns0:v>
      </ns0:c>
      <ns0:c r="L88" s="3">
        <ns0:f>ROUND(L288*L408,2)</ns0:f>
        <ns0:v>390.65</ns0:v>
      </ns0:c>
      <ns0:c r="M88" s="3">
        <ns0:f>ROUND(M288*M408,2)</ns0:f>
        <ns0:v>259.64</ns0:v>
      </ns0:c>
      <ns0:c r="N88" s="3">
        <ns0:f>ROUND(N288*N408,2)</ns0:f>
        <ns0:v>316.40</ns0:v>
      </ns0:c>
      <ns0:c r="O88" s="3">
        <ns0:f>SUM(C88:N88)</ns0:f>
        <ns0:v>3086.61</ns0:v>
      </ns0:c>
      <ns0:c r="P88" s="2" t="inlineStr">
        <ns0:is>
          <ns0:t>EXP2.028</ns0:t>
        </ns0:is>
      </ns0:c>
      <ns0:c r="Q88" s="2" t="inlineStr">
        <ns0:is>
          <ns0:t>演示占位-v1</ns0:t>
        </ns0:is>
      </ns0:c>
      <ns0:c r="R88" s="2" t="inlineStr">
        <ns0:is>
          <ns0:t>模拟权责发生制</ns0:t>
        </ns0:is>
      </ns0:c>
      <ns0:c r="S88" s="2" t="inlineStr">
        <ns0:is>
          <ns0:t>2027-01</ns0:t>
        </ns0:is>
      </ns0:c>
      <ns0:c r="T88" s="2" t="inlineStr">
        <ns0:is>
          <ns0:t>2027-06</ns0:t>
        </ns0:is>
      </ns0:c>
      <ns0:c r="U88" s="2" t="inlineStr">
        <ns0:is>
          <ns0:t>无</ns0:t>
        </ns0:is>
      </ns0:c>
      <ns0:c r="V88" s="2" t="inlineStr">
        <ns0:is>
          <ns0:t>无</ns0:t>
        </ns0:is>
      </ns0:c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 t="inlineStr">
        <ns0:is>
          <ns0:t>利息收入</ns0:t>
        </ns0:is>
      </ns0:c>
      <ns0:c r="C89" s="3">
        <ns0:f>0</ns0:f>
        <ns0:v>0</ns0:v>
      </ns0:c>
      <ns0:c r="D89" s="3">
        <ns0:f>0</ns0:f>
        <ns0:v>0</ns0:v>
      </ns0:c>
      <ns0:c r="E89" s="3">
        <ns0:f>0</ns0:f>
        <ns0:v>0</ns0:v>
      </ns0:c>
      <ns0:c r="F89" s="3">
        <ns0:f>0</ns0:f>
        <ns0:v>0</ns0:v>
      </ns0:c>
      <ns0:c r="G89" s="3">
        <ns0:f>0</ns0:f>
        <ns0:v>0</ns0:v>
      </ns0:c>
      <ns0:c r="H89" s="3">
        <ns0:f>0</ns0:f>
        <ns0:v>0</ns0:v>
      </ns0:c>
      <ns0:c r="I89" s="3">
        <ns0:f>0</ns0:f>
        <ns0:v>0</ns0:v>
      </ns0:c>
      <ns0:c r="J89" s="3">
        <ns0:f>0</ns0:f>
        <ns0:v>0</ns0:v>
      </ns0:c>
      <ns0:c r="K89" s="3">
        <ns0:f>0</ns0:f>
        <ns0:v>0</ns0:v>
      </ns0:c>
      <ns0:c r="L89" s="3">
        <ns0:f>0</ns0:f>
        <ns0:v>0</ns0:v>
      </ns0:c>
      <ns0:c r="M89" s="3">
        <ns0:f>0</ns0:f>
        <ns0:v>0</ns0:v>
      </ns0:c>
      <ns0:c r="N89" s="3">
        <ns0:f>0</ns0:f>
        <ns0:v>0</ns0:v>
      </ns0:c>
      <ns0:c r="O89" s="3">
        <ns0:f>SUM(C89:N89)</ns0:f>
        <ns0:v>0</ns0:v>
      </ns0:c>
      <ns0:c r="P89" s="2" t="inlineStr">
        <ns0:is>
          <ns0:t>EXP2.029</ns0:t>
        </ns0:is>
      </ns0:c>
      <ns0:c r="Q89" s="2" t="inlineStr">
        <ns0:is>
          <ns0:t>演示占位-v1</ns0:t>
        </ns0:is>
      </ns0:c>
      <ns0:c r="R89" s="2" t="inlineStr">
        <ns0:is>
          <ns0:t>模拟权责发生制</ns0:t>
        </ns0:is>
      </ns0:c>
      <ns0:c r="S89" s="2" t="inlineStr">
        <ns0:is>
          <ns0:t>2027-01</ns0:t>
        </ns0:is>
      </ns0:c>
      <ns0:c r="T89" s="2" t="inlineStr">
        <ns0:is>
          <ns0:t>2027-06</ns0:t>
        </ns0:is>
      </ns0:c>
      <ns0:c r="U89" s="2" t="inlineStr">
        <ns0:is>
          <ns0:t>无</ns0:t>
        </ns0:is>
      </ns0:c>
      <ns0:c r="V89" s="2" t="inlineStr">
        <ns0:is>
          <ns0:t>无</ns0:t>
        </ns0:is>
      </ns0:c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 t="inlineStr">
        <ns0:is>
          <ns0:t>利息支出</ns0:t>
        </ns0:is>
      </ns0:c>
      <ns0:c r="C90" s="6">
        <ns0:f>ROUND(C290*C410,2)</ns0:f>
        <ns0:v>255.92</ns0:v>
      </ns0:c>
      <ns0:c r="D90" s="6">
        <ns0:f>ROUND(D290*D410,2)</ns0:f>
        <ns0:v>146.96</ns0:v>
      </ns0:c>
      <ns0:c r="E90" s="6">
        <ns0:f>ROUND(E290*E410,2)</ns0:f>
        <ns0:v>132.78</ns0:v>
      </ns0:c>
      <ns0:c r="F90" s="6">
        <ns0:f>ROUND(F290*F410,2)</ns0:f>
        <ns0:v>365.26</ns0:v>
      </ns0:c>
      <ns0:c r="G90" s="6">
        <ns0:f>ROUND(G290*G410,2)</ns0:f>
        <ns0:v>359.54</ns0:v>
      </ns0:c>
      <ns0:c r="H90" s="6">
        <ns0:f>ROUND(H290*H410,2)</ns0:f>
        <ns0:v>279.97</ns0:v>
      </ns0:c>
      <ns0:c r="I90" s="6">
        <ns0:f>ROUND(I290*I410,2)</ns0:f>
        <ns0:v>173.64</ns0:v>
      </ns0:c>
      <ns0:c r="J90" s="6">
        <ns0:f>ROUND(J290*J410,2)</ns0:f>
        <ns0:v>134.01</ns0:v>
      </ns0:c>
      <ns0:c r="K90" s="6">
        <ns0:f>ROUND(K290*K410,2)</ns0:f>
        <ns0:v>87.79</ns0:v>
      </ns0:c>
      <ns0:c r="L90" s="6">
        <ns0:f>ROUND(L290*L410,2)</ns0:f>
        <ns0:v>417.23</ns0:v>
      </ns0:c>
      <ns0:c r="M90" s="6">
        <ns0:f>ROUND(M290*M410,2)</ns0:f>
        <ns0:v>300.85</ns0:v>
      </ns0:c>
      <ns0:c r="N90" s="6">
        <ns0:f>ROUND(N290*N410,2)</ns0:f>
        <ns0:v>106.13</ns0:v>
      </ns0:c>
      <ns0:c r="O90" s="6">
        <ns0:f>SUM(C90:N90)</ns0:f>
        <ns0:v>2760.08</ns0:v>
      </ns0:c>
      <ns0:c r="P90" s="2" t="inlineStr">
        <ns0:is>
          <ns0:t>EXP2.030</ns0:t>
        </ns0:is>
      </ns0:c>
      <ns0:c r="Q90" s="2" t="inlineStr">
        <ns0:is>
          <ns0:t>演示占位-v1</ns0:t>
        </ns0:is>
      </ns0:c>
      <ns0:c r="R90" s="2" t="inlineStr">
        <ns0:is>
          <ns0:t>模拟权责发生制</ns0:t>
        </ns0:is>
      </ns0:c>
      <ns0:c r="S90" s="2" t="inlineStr">
        <ns0:is>
          <ns0:t>2027-01</ns0:t>
        </ns0:is>
      </ns0:c>
      <ns0:c r="T90" s="2" t="inlineStr">
        <ns0:is>
          <ns0:t>2027-06</ns0:t>
        </ns0:is>
      </ns0:c>
      <ns0:c r="U90" s="2" t="inlineStr">
        <ns0:is>
          <ns0:t>无</ns0:t>
        </ns0:is>
      </ns0:c>
      <ns0:c r="V90" s="2" t="inlineStr">
        <ns0:is>
          <ns0:t>无</ns0:t>
        </ns0:is>
      </ns0:c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 t="inlineStr">
        <ns0:is>
          <ns0:t>车船税</ns0:t>
        </ns0:is>
      </ns0:c>
      <ns0:c r="C91" s="3">
        <ns0:f>ROUND(C291*C411,2)</ns0:f>
        <ns0:v>142.08</ns0:v>
      </ns0:c>
      <ns0:c r="D91" s="3">
        <ns0:f>ROUND(D291*D411,2)</ns0:f>
        <ns0:v>464.46</ns0:v>
      </ns0:c>
      <ns0:c r="E91" s="3">
        <ns0:f>ROUND(E291*E411,2)</ns0:f>
        <ns0:v>505.06</ns0:v>
      </ns0:c>
      <ns0:c r="F91" s="3">
        <ns0:f>ROUND(F291*F411,2)</ns0:f>
        <ns0:v>108.65</ns0:v>
      </ns0:c>
      <ns0:c r="G91" s="3">
        <ns0:f>ROUND(G291*G411,2)</ns0:f>
        <ns0:v>241.52</ns0:v>
      </ns0:c>
      <ns0:c r="H91" s="3">
        <ns0:f>ROUND(H291*H411,2)</ns0:f>
        <ns0:v>48.49</ns0:v>
      </ns0:c>
      <ns0:c r="I91" s="3">
        <ns0:f>ROUND(I291*I411,2)</ns0:f>
        <ns0:v>96.48</ns0:v>
      </ns0:c>
      <ns0:c r="J91" s="3">
        <ns0:f>ROUND(J291*J411,2)</ns0:f>
        <ns0:v>195.64</ns0:v>
      </ns0:c>
      <ns0:c r="K91" s="3">
        <ns0:f>ROUND(K291*K411,2)</ns0:f>
        <ns0:v>441.40</ns0:v>
      </ns0:c>
      <ns0:c r="L91" s="3">
        <ns0:f>ROUND(L291*L411,2)</ns0:f>
        <ns0:v>246.59</ns0:v>
      </ns0:c>
      <ns0:c r="M91" s="3">
        <ns0:f>ROUND(M291*M411,2)</ns0:f>
        <ns0:v>432.91</ns0:v>
      </ns0:c>
      <ns0:c r="N91" s="3">
        <ns0:f>ROUND(N291*N411,2)</ns0:f>
        <ns0:v>314.58</ns0:v>
      </ns0:c>
      <ns0:c r="O91" s="3">
        <ns0:f>SUM(C91:N91)</ns0:f>
        <ns0:v>3237.86</ns0:v>
      </ns0:c>
      <ns0:c r="P91" s="2" t="inlineStr">
        <ns0:is>
          <ns0:t>EXP2.031</ns0:t>
        </ns0:is>
      </ns0:c>
      <ns0:c r="Q91" s="2" t="inlineStr">
        <ns0:is>
          <ns0:t>演示占位-v1</ns0:t>
        </ns0:is>
      </ns0:c>
      <ns0:c r="R91" s="2" t="inlineStr">
        <ns0:is>
          <ns0:t>模拟权责发生制</ns0:t>
        </ns0:is>
      </ns0:c>
      <ns0:c r="S91" s="2" t="inlineStr">
        <ns0:is>
          <ns0:t>2027-01</ns0:t>
        </ns0:is>
      </ns0:c>
      <ns0:c r="T91" s="2" t="inlineStr">
        <ns0:is>
          <ns0:t>2027-06</ns0:t>
        </ns0:is>
      </ns0:c>
      <ns0:c r="U91" s="2" t="inlineStr">
        <ns0:is>
          <ns0:t>无</ns0:t>
        </ns0:is>
      </ns0:c>
      <ns0:c r="V91" s="2" t="inlineStr">
        <ns0:is>
          <ns0:t>无</ns0:t>
        </ns0:is>
      </ns0:c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 t="inlineStr">
        <ns0:is>
          <ns0:t>印花税</ns0:t>
        </ns0:is>
      </ns0:c>
      <ns0:c r="C92" s="3">
        <ns0:f>ROUND(C292*C412,2)</ns0:f>
        <ns0:v>81.26</ns0:v>
      </ns0:c>
      <ns0:c r="D92" s="3">
        <ns0:f>ROUND(D292*D412,2)</ns0:f>
        <ns0:v>307.93</ns0:v>
      </ns0:c>
      <ns0:c r="E92" s="3">
        <ns0:f>ROUND(E292*E412,2)</ns0:f>
        <ns0:v>270.90</ns0:v>
      </ns0:c>
      <ns0:c r="F92" s="3">
        <ns0:f>ROUND(F292*F412,2)</ns0:f>
        <ns0:v>471.13</ns0:v>
      </ns0:c>
      <ns0:c r="G92" s="3">
        <ns0:f>ROUND(G292*G412,2)</ns0:f>
        <ns0:v>129.46</ns0:v>
      </ns0:c>
      <ns0:c r="H92" s="3">
        <ns0:f>ROUND(H292*H412,2)</ns0:f>
        <ns0:v>120.98</ns0:v>
      </ns0:c>
      <ns0:c r="I92" s="3">
        <ns0:f>ROUND(I292*I412,2)</ns0:f>
        <ns0:v>333.38</ns0:v>
      </ns0:c>
      <ns0:c r="J92" s="3">
        <ns0:f>ROUND(J292*J412,2)</ns0:f>
        <ns0:v>82.84</ns0:v>
      </ns0:c>
      <ns0:c r="K92" s="3">
        <ns0:f>ROUND(K292*K412,2)</ns0:f>
        <ns0:v>39.20</ns0:v>
      </ns0:c>
      <ns0:c r="L92" s="3">
        <ns0:f>ROUND(L292*L412,2)</ns0:f>
        <ns0:v>268.90</ns0:v>
      </ns0:c>
      <ns0:c r="M92" s="3">
        <ns0:f>ROUND(M292*M412,2)</ns0:f>
        <ns0:v>247.61</ns0:v>
      </ns0:c>
      <ns0:c r="N92" s="3">
        <ns0:f>ROUND(N292*N412,2)</ns0:f>
        <ns0:v>232.02</ns0:v>
      </ns0:c>
      <ns0:c r="O92" s="3">
        <ns0:f>SUM(C92:N92)</ns0:f>
        <ns0:v>2585.61</ns0:v>
      </ns0:c>
      <ns0:c r="P92" s="2" t="inlineStr">
        <ns0:is>
          <ns0:t>EXP2.032</ns0:t>
        </ns0:is>
      </ns0:c>
      <ns0:c r="Q92" s="2" t="inlineStr">
        <ns0:is>
          <ns0:t>演示占位-v1</ns0:t>
        </ns0:is>
      </ns0:c>
      <ns0:c r="R92" s="2" t="inlineStr">
        <ns0:is>
          <ns0:t>模拟权责发生制</ns0:t>
        </ns0:is>
      </ns0:c>
      <ns0:c r="S92" s="2" t="inlineStr">
        <ns0:is>
          <ns0:t>2027-01</ns0:t>
        </ns0:is>
      </ns0:c>
      <ns0:c r="T92" s="2" t="inlineStr">
        <ns0:is>
          <ns0:t>2027-06</ns0:t>
        </ns0:is>
      </ns0:c>
      <ns0:c r="U92" s="2" t="inlineStr">
        <ns0:is>
          <ns0:t>无</ns0:t>
        </ns0:is>
      </ns0:c>
      <ns0:c r="V92" s="2" t="inlineStr">
        <ns0:is>
          <ns0:t>无</ns0:t>
        </ns0:is>
      </ns0:c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 t="inlineStr">
        <ns0:is>
          <ns0:t>其他</ns0:t>
        </ns0:is>
      </ns0:c>
      <ns0:c r="C93" s="3">
        <ns0:f>ROUND(C293*C413,2)</ns0:f>
        <ns0:v>163.03</ns0:v>
      </ns0:c>
      <ns0:c r="D93" s="3">
        <ns0:f>ROUND(D293*D413,2)</ns0:f>
        <ns0:v>380.12</ns0:v>
      </ns0:c>
      <ns0:c r="E93" s="3">
        <ns0:f>ROUND(E293*E413,2)</ns0:f>
        <ns0:v>311.78</ns0:v>
      </ns0:c>
      <ns0:c r="F93" s="3">
        <ns0:f>ROUND(F293*F413,2)</ns0:f>
        <ns0:v>168.85</ns0:v>
      </ns0:c>
      <ns0:c r="G93" s="3">
        <ns0:f>ROUND(G293*G413,2)</ns0:f>
        <ns0:v>371.01</ns0:v>
      </ns0:c>
      <ns0:c r="H93" s="3">
        <ns0:f>ROUND(H293*H413,2)</ns0:f>
        <ns0:v>356.93</ns0:v>
      </ns0:c>
      <ns0:c r="I93" s="3">
        <ns0:f>ROUND(I293*I413,2)</ns0:f>
        <ns0:v>339.69</ns0:v>
      </ns0:c>
      <ns0:c r="J93" s="3">
        <ns0:f>ROUND(J293*J413,2)</ns0:f>
        <ns0:v>198.36</ns0:v>
      </ns0:c>
      <ns0:c r="K93" s="3">
        <ns0:f>ROUND(K293*K413,2)</ns0:f>
        <ns0:v>98.45</ns0:v>
      </ns0:c>
      <ns0:c r="L93" s="3">
        <ns0:f>ROUND(L293*L413,2)</ns0:f>
        <ns0:v>109.42</ns0:v>
      </ns0:c>
      <ns0:c r="M93" s="3">
        <ns0:f>ROUND(M293*M413,2)</ns0:f>
        <ns0:v>102.24</ns0:v>
      </ns0:c>
      <ns0:c r="N93" s="3">
        <ns0:f>ROUND(N293*N413,2)</ns0:f>
        <ns0:v>121.98</ns0:v>
      </ns0:c>
      <ns0:c r="O93" s="3">
        <ns0:f>SUM(C93:N93)</ns0:f>
        <ns0:v>2721.86</ns0:v>
      </ns0:c>
      <ns0:c r="P93" s="2" t="inlineStr">
        <ns0:is>
          <ns0:t>EXP2.033</ns0:t>
        </ns0:is>
      </ns0:c>
      <ns0:c r="Q93" s="2" t="inlineStr">
        <ns0:is>
          <ns0:t>演示占位-v1</ns0:t>
        </ns0:is>
      </ns0:c>
      <ns0:c r="R93" s="2" t="inlineStr">
        <ns0:is>
          <ns0:t>模拟权责发生制</ns0:t>
        </ns0:is>
      </ns0:c>
      <ns0:c r="S93" s="2" t="inlineStr">
        <ns0:is>
          <ns0:t>2027-01</ns0:t>
        </ns0:is>
      </ns0:c>
      <ns0:c r="T93" s="2" t="inlineStr">
        <ns0:is>
          <ns0:t>2027-06</ns0:t>
        </ns0:is>
      </ns0:c>
      <ns0:c r="U93" s="2" t="inlineStr">
        <ns0:is>
          <ns0:t>无</ns0:t>
        </ns0:is>
      </ns0:c>
      <ns0:c r="V93" s="2" t="inlineStr">
        <ns0:is>
          <ns0:t>无</ns0:t>
        </ns0:is>
      </ns0:c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 t="inlineStr">
        <ns0:is>
          <ns0:t>合计</ns0:t>
        </ns0:is>
      </ns0:c>
      <ns0:c r="B94" s="2"/>
      <ns0:c r="C94" s="3">
        <ns0:f>SUM(C64:C93)</ns0:f>
        <ns0:v>7766.35</ns0:v>
      </ns0:c>
      <ns0:c r="D94" s="3">
        <ns0:f>SUM(D64:D93)</ns0:f>
        <ns0:v>7075.27</ns0:v>
      </ns0:c>
      <ns0:c r="E94" s="3">
        <ns0:f>SUM(E64:E93)</ns0:f>
        <ns0:v>7067.47</ns0:v>
      </ns0:c>
      <ns0:c r="F94" s="3">
        <ns0:f>SUM(F64:F93)</ns0:f>
        <ns0:v>8030.54</ns0:v>
      </ns0:c>
      <ns0:c r="G94" s="3">
        <ns0:f>SUM(G64:G93)</ns0:f>
        <ns0:v>7684.16</ns0:v>
      </ns0:c>
      <ns0:c r="H94" s="3">
        <ns0:f>SUM(H64:H93)</ns0:f>
        <ns0:v>7151.66</ns0:v>
      </ns0:c>
      <ns0:c r="I94" s="3">
        <ns0:f>SUM(I64:I93)</ns0:f>
        <ns0:v>6458.73</ns0:v>
      </ns0:c>
      <ns0:c r="J94" s="3">
        <ns0:f>SUM(J64:J93)</ns0:f>
        <ns0:v>7033.85</ns0:v>
      </ns0:c>
      <ns0:c r="K94" s="3">
        <ns0:f>SUM(K64:K93)</ns0:f>
        <ns0:v>7282.21</ns0:v>
      </ns0:c>
      <ns0:c r="L94" s="3">
        <ns0:f>SUM(L64:L93)</ns0:f>
        <ns0:v>8346.75</ns0:v>
      </ns0:c>
      <ns0:c r="M94" s="3">
        <ns0:f>SUM(M64:M93)</ns0:f>
        <ns0:v>7254.57</ns0:v>
      </ns0:c>
      <ns0:c r="N94" s="3">
        <ns0:f>SUM(N64:N93)</ns0:f>
        <ns0:v>6747.34</ns0:v>
      </ns0:c>
      <ns0:c r="O94" s="3">
        <ns0:f>SUM(C94:N94)</ns0:f>
        <ns0:v>87898.90</ns0:v>
      </ns0:c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 t="inlineStr">
        <ns0:is>
          <ns0:t>工资单价</ns0:t>
        </ns0:is>
      </ns0:c>
      <ns0:c r="C204" s="4">
        <ns0:v>58.67</ns0:v>
      </ns0:c>
      <ns0:c r="D204" s="4">
        <ns0:v>36.80</ns0:v>
      </ns0:c>
      <ns0:c r="E204" s="4">
        <ns0:v>28.57</ns0:v>
      </ns0:c>
      <ns0:c r="F204" s="4">
        <ns0:v>59.70</ns0:v>
      </ns0:c>
      <ns0:c r="G204" s="4">
        <ns0:v>17.23</ns0:v>
      </ns0:c>
      <ns0:c r="H204" s="4">
        <ns0:v>59.27</ns0:v>
      </ns0:c>
      <ns0:c r="I204" s="4">
        <ns0:v>41.60</ns0:v>
      </ns0:c>
      <ns0:c r="J204" s="4">
        <ns0:v>26.52</ns0:v>
      </ns0:c>
      <ns0:c r="K204" s="4">
        <ns0:v>66.71</ns0:v>
      </ns0:c>
      <ns0:c r="L204" s="4">
        <ns0:v>44.86</ns0:v>
      </ns0:c>
      <ns0:c r="M204" s="4">
        <ns0:v>54.98</ns0:v>
      </ns0:c>
      <ns0:c r="N204" s="4">
        <ns0:v>54.56</ns0:v>
      </ns0:c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 t="inlineStr">
        <ns0:is>
          <ns0:t>十三薪单价</ns0:t>
        </ns0:is>
      </ns0:c>
      <ns0:c r="C205" s="4">
        <ns0:v>69.95</ns0:v>
      </ns0:c>
      <ns0:c r="D205" s="4">
        <ns0:v>39.33</ns0:v>
      </ns0:c>
      <ns0:c r="E205" s="4">
        <ns0:v>54.56</ns0:v>
      </ns0:c>
      <ns0:c r="F205" s="4">
        <ns0:v>24.31</ns0:v>
      </ns0:c>
      <ns0:c r="G205" s="4">
        <ns0:v>56.04</ns0:v>
      </ns0:c>
      <ns0:c r="H205" s="4">
        <ns0:v>39.81</ns0:v>
      </ns0:c>
      <ns0:c r="I205" s="4">
        <ns0:v>37.59</ns0:v>
      </ns0:c>
      <ns0:c r="J205" s="4">
        <ns0:v>39.32</ns0:v>
      </ns0:c>
      <ns0:c r="K205" s="4">
        <ns0:v>41.83</ns0:v>
      </ns0:c>
      <ns0:c r="L205" s="4">
        <ns0:v>48.59</ns0:v>
      </ns0:c>
      <ns0:c r="M205" s="4">
        <ns0:v>41.48</ns0:v>
      </ns0:c>
      <ns0:c r="N205" s="4">
        <ns0:v>35.16</ns0:v>
      </ns0:c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 t="inlineStr">
        <ns0:is>
          <ns0:t>离职补偿金单价</ns0:t>
        </ns0:is>
      </ns0:c>
      <ns0:c r="C206" s="4">
        <ns0:v>45.42</ns0:v>
      </ns0:c>
      <ns0:c r="D206" s="4">
        <ns0:v>26.13</ns0:v>
      </ns0:c>
      <ns0:c r="E206" s="4">
        <ns0:v>43.47</ns0:v>
      </ns0:c>
      <ns0:c r="F206" s="4">
        <ns0:v>49.63</ns0:v>
      </ns0:c>
      <ns0:c r="G206" s="4">
        <ns0:v>41.57</ns0:v>
      </ns0:c>
      <ns0:c r="H206" s="4">
        <ns0:v>51.17</ns0:v>
      </ns0:c>
      <ns0:c r="I206" s="4">
        <ns0:v>17.63</ns0:v>
      </ns0:c>
      <ns0:c r="J206" s="4">
        <ns0:v>30.19</ns0:v>
      </ns0:c>
      <ns0:c r="K206" s="4">
        <ns0:v>22.85</ns0:v>
      </ns0:c>
      <ns0:c r="L206" s="4">
        <ns0:v>50.46</ns0:v>
      </ns0:c>
      <ns0:c r="M206" s="4">
        <ns0:v>39.86</ns0:v>
      </ns0:c>
      <ns0:c r="N206" s="4">
        <ns0:v>36.63</ns0:v>
      </ns0:c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 t="inlineStr">
        <ns0:is>
          <ns0:t>五险一金单价</ns0:t>
        </ns0:is>
      </ns0:c>
      <ns0:c r="C207" s="4">
        <ns0:v>31.75</ns0:v>
      </ns0:c>
      <ns0:c r="D207" s="4">
        <ns0:v>18.25</ns0:v>
      </ns0:c>
      <ns0:c r="E207" s="4">
        <ns0:v>28.78</ns0:v>
      </ns0:c>
      <ns0:c r="F207" s="4">
        <ns0:v>58.37</ns0:v>
      </ns0:c>
      <ns0:c r="G207" s="4">
        <ns0:v>19.03</ns0:v>
      </ns0:c>
      <ns0:c r="H207" s="4">
        <ns0:v>49.32</ns0:v>
      </ns0:c>
      <ns0:c r="I207" s="4">
        <ns0:v>68.16</ns0:v>
      </ns0:c>
      <ns0:c r="J207" s="4">
        <ns0:v>58.60</ns0:v>
      </ns0:c>
      <ns0:c r="K207" s="4">
        <ns0:v>68.47</ns0:v>
      </ns0:c>
      <ns0:c r="L207" s="4">
        <ns0:v>62.33</ns0:v>
      </ns0:c>
      <ns0:c r="M207" s="4">
        <ns0:v>67.86</ns0:v>
      </ns0:c>
      <ns0:c r="N207" s="4">
        <ns0:v>64.85</ns0:v>
      </ns0:c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 t="inlineStr">
        <ns0:is>
          <ns0:t>福利费单价</ns0:t>
        </ns0:is>
      </ns0:c>
      <ns0:c r="C208" s="4">
        <ns0:v>19.53</ns0:v>
      </ns0:c>
      <ns0:c r="D208" s="4">
        <ns0:v>69.31</ns0:v>
      </ns0:c>
      <ns0:c r="E208" s="4">
        <ns0:v>66.12</ns0:v>
      </ns0:c>
      <ns0:c r="F208" s="4">
        <ns0:v>31.94</ns0:v>
      </ns0:c>
      <ns0:c r="G208" s="4">
        <ns0:v>35.59</ns0:v>
      </ns0:c>
      <ns0:c r="H208" s="4">
        <ns0:v>57.69</ns0:v>
      </ns0:c>
      <ns0:c r="I208" s="4">
        <ns0:v>40.10</ns0:v>
      </ns0:c>
      <ns0:c r="J208" s="4">
        <ns0:v>51.91</ns0:v>
      </ns0:c>
      <ns0:c r="K208" s="4">
        <ns0:v>60.33</ns0:v>
      </ns0:c>
      <ns0:c r="L208" s="4">
        <ns0:v>62.72</ns0:v>
      </ns0:c>
      <ns0:c r="M208" s="4">
        <ns0:v>23.07</ns0:v>
      </ns0:c>
      <ns0:c r="N208" s="4">
        <ns0:v>62.54</ns0:v>
      </ns0:c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 t="inlineStr">
        <ns0:is>
          <ns0:t>招聘费单价</ns0:t>
        </ns0:is>
      </ns0:c>
      <ns0:c r="C209" s="4">
        <ns0:v>57.84</ns0:v>
      </ns0:c>
      <ns0:c r="D209" s="4">
        <ns0:v>32.92</ns0:v>
      </ns0:c>
      <ns0:c r="E209" s="4">
        <ns0:v>57.52</ns0:v>
      </ns0:c>
      <ns0:c r="F209" s="4">
        <ns0:v>41.82</ns0:v>
      </ns0:c>
      <ns0:c r="G209" s="4">
        <ns0:v>42.73</ns0:v>
      </ns0:c>
      <ns0:c r="H209" s="4">
        <ns0:v>34.42</ns0:v>
      </ns0:c>
      <ns0:c r="I209" s="4">
        <ns0:v>41.26</ns0:v>
      </ns0:c>
      <ns0:c r="J209" s="4">
        <ns0:v>43.09</ns0:v>
      </ns0:c>
      <ns0:c r="K209" s="4">
        <ns0:v>39.01</ns0:v>
      </ns0:c>
      <ns0:c r="L209" s="4">
        <ns0:v>30.60</ns0:v>
      </ns0:c>
      <ns0:c r="M209" s="4">
        <ns0:v>41.27</ns0:v>
      </ns0:c>
      <ns0:c r="N209" s="4">
        <ns0:v>35.19</ns0:v>
      </ns0:c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 t="inlineStr">
        <ns0:is>
          <ns0:t>培训费单价</ns0:t>
        </ns0:is>
      </ns0:c>
      <ns0:c r="C210" s="4">
        <ns0:v>45.41</ns0:v>
      </ns0:c>
      <ns0:c r="D210" s="4">
        <ns0:v>43.38</ns0:v>
      </ns0:c>
      <ns0:c r="E210" s="4">
        <ns0:v>24.46</ns0:v>
      </ns0:c>
      <ns0:c r="F210" s="4">
        <ns0:v>56.20</ns0:v>
      </ns0:c>
      <ns0:c r="G210" s="4">
        <ns0:v>70.11</ns0:v>
      </ns0:c>
      <ns0:c r="H210" s="4">
        <ns0:v>58.02</ns0:v>
      </ns0:c>
      <ns0:c r="I210" s="4">
        <ns0:v>41.06</ns0:v>
      </ns0:c>
      <ns0:c r="J210" s="4">
        <ns0:v>18.41</ns0:v>
      </ns0:c>
      <ns0:c r="K210" s="4">
        <ns0:v>32.85</ns0:v>
      </ns0:c>
      <ns0:c r="L210" s="4">
        <ns0:v>48.29</ns0:v>
      </ns0:c>
      <ns0:c r="M210" s="4">
        <ns0:v>24.54</ns0:v>
      </ns0:c>
      <ns0:c r="N210" s="4">
        <ns0:v>57.90</ns0:v>
      </ns0:c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 t="inlineStr">
        <ns0:is>
          <ns0:t>房租单价</ns0:t>
        </ns0:is>
      </ns0:c>
      <ns0:c r="C211" s="4">
        <ns0:v>34.66</ns0:v>
      </ns0:c>
      <ns0:c r="D211" s="4">
        <ns0:v>69.14</ns0:v>
      </ns0:c>
      <ns0:c r="E211" s="4">
        <ns0:v>23.81</ns0:v>
      </ns0:c>
      <ns0:c r="F211" s="4">
        <ns0:v>27.81</ns0:v>
      </ns0:c>
      <ns0:c r="G211" s="4">
        <ns0:v>18.56</ns0:v>
      </ns0:c>
      <ns0:c r="H211" s="4">
        <ns0:v>67.36</ns0:v>
      </ns0:c>
      <ns0:c r="I211" s="4">
        <ns0:v>18.70</ns0:v>
      </ns0:c>
      <ns0:c r="J211" s="4">
        <ns0:v>48.21</ns0:v>
      </ns0:c>
      <ns0:c r="K211" s="4">
        <ns0:v>28.31</ns0:v>
      </ns0:c>
      <ns0:c r="L211" s="4">
        <ns0:v>29.67</ns0:v>
      </ns0:c>
      <ns0:c r="M211" s="4">
        <ns0:v>30.85</ns0:v>
      </ns0:c>
      <ns0:c r="N211" s="4">
        <ns0:v>61.76</ns0:v>
      </ns0:c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 t="inlineStr">
        <ns0:is>
          <ns0:t>物业管理费单价</ns0:t>
        </ns0:is>
      </ns0:c>
      <ns0:c r="C212" s="4">
        <ns0:v>30.50</ns0:v>
      </ns0:c>
      <ns0:c r="D212" s="4">
        <ns0:v>18.73</ns0:v>
      </ns0:c>
      <ns0:c r="E212" s="4">
        <ns0:v>64.29</ns0:v>
      </ns0:c>
      <ns0:c r="F212" s="4">
        <ns0:v>37.83</ns0:v>
      </ns0:c>
      <ns0:c r="G212" s="4">
        <ns0:v>23.88</ns0:v>
      </ns0:c>
      <ns0:c r="H212" s="4">
        <ns0:v>18.07</ns0:v>
      </ns0:c>
      <ns0:c r="I212" s="4">
        <ns0:v>61.73</ns0:v>
      </ns0:c>
      <ns0:c r="J212" s="4">
        <ns0:v>29.61</ns0:v>
      </ns0:c>
      <ns0:c r="K212" s="4">
        <ns0:v>53.61</ns0:v>
      </ns0:c>
      <ns0:c r="L212" s="4">
        <ns0:v>36.71</ns0:v>
      </ns0:c>
      <ns0:c r="M212" s="4">
        <ns0:v>50.54</ns0:v>
      </ns0:c>
      <ns0:c r="N212" s="4">
        <ns0:v>56.03</ns0:v>
      </ns0:c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 t="inlineStr">
        <ns0:is>
          <ns0:t>汽车费用单价</ns0:t>
        </ns0:is>
      </ns0:c>
      <ns0:c r="C213" s="4">
        <ns0:v>32.52</ns0:v>
      </ns0:c>
      <ns0:c r="D213" s="4">
        <ns0:v>72.07</ns0:v>
      </ns0:c>
      <ns0:c r="E213" s="4">
        <ns0:v>37.40</ns0:v>
      </ns0:c>
      <ns0:c r="F213" s="4">
        <ns0:v>17.82</ns0:v>
      </ns0:c>
      <ns0:c r="G213" s="4">
        <ns0:v>56.68</ns0:v>
      </ns0:c>
      <ns0:c r="H213" s="4">
        <ns0:v>68.71</ns0:v>
      </ns0:c>
      <ns0:c r="I213" s="4">
        <ns0:v>34.13</ns0:v>
      </ns0:c>
      <ns0:c r="J213" s="4">
        <ns0:v>34.42</ns0:v>
      </ns0:c>
      <ns0:c r="K213" s="4">
        <ns0:v>47.75</ns0:v>
      </ns0:c>
      <ns0:c r="L213" s="4">
        <ns0:v>46.45</ns0:v>
      </ns0:c>
      <ns0:c r="M213" s="4">
        <ns0:v>55.54</ns0:v>
      </ns0:c>
      <ns0:c r="N213" s="4">
        <ns0:v>47.24</ns0:v>
      </ns0:c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 t="inlineStr">
        <ns0:is>
          <ns0:t>办公费单价</ns0:t>
        </ns0:is>
      </ns0:c>
      <ns0:c r="C214" s="4">
        <ns0:v>58.86</ns0:v>
      </ns0:c>
      <ns0:c r="D214" s="4">
        <ns0:v>58.86</ns0:v>
      </ns0:c>
      <ns0:c r="E214" s="4">
        <ns0:v>22.07</ns0:v>
      </ns0:c>
      <ns0:c r="F214" s="4">
        <ns0:v>41.48</ns0:v>
      </ns0:c>
      <ns0:c r="G214" s="4">
        <ns0:v>26.98</ns0:v>
      </ns0:c>
      <ns0:c r="H214" s="4">
        <ns0:v>22.33</ns0:v>
      </ns0:c>
      <ns0:c r="I214" s="4">
        <ns0:v>46.60</ns0:v>
      </ns0:c>
      <ns0:c r="J214" s="4">
        <ns0:v>53.41</ns0:v>
      </ns0:c>
      <ns0:c r="K214" s="4">
        <ns0:v>31.10</ns0:v>
      </ns0:c>
      <ns0:c r="L214" s="4">
        <ns0:v>46.92</ns0:v>
      </ns0:c>
      <ns0:c r="M214" s="4">
        <ns0:v>48.06</ns0:v>
      </ns0:c>
      <ns0:c r="N214" s="4">
        <ns0:v>60.36</ns0:v>
      </ns0:c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 t="inlineStr">
        <ns0:is>
          <ns0:t>办公用品单价</ns0:t>
        </ns0:is>
      </ns0:c>
      <ns0:c r="C215" s="4">
        <ns0:v>43.09</ns0:v>
      </ns0:c>
      <ns0:c r="D215" s="4">
        <ns0:v>43.97</ns0:v>
      </ns0:c>
      <ns0:c r="E215" s="4">
        <ns0:v>51.29</ns0:v>
      </ns0:c>
      <ns0:c r="F215" s="4">
        <ns0:v>63.24</ns0:v>
      </ns0:c>
      <ns0:c r="G215" s="4">
        <ns0:v>36.33</ns0:v>
      </ns0:c>
      <ns0:c r="H215" s="4">
        <ns0:v>61.62</ns0:v>
      </ns0:c>
      <ns0:c r="I215" s="4">
        <ns0:v>53.75</ns0:v>
      </ns0:c>
      <ns0:c r="J215" s="4">
        <ns0:v>68.25</ns0:v>
      </ns0:c>
      <ns0:c r="K215" s="4">
        <ns0:v>24.09</ns0:v>
      </ns0:c>
      <ns0:c r="L215" s="4">
        <ns0:v>26.03</ns0:v>
      </ns0:c>
      <ns0:c r="M215" s="4">
        <ns0:v>58.69</ns0:v>
      </ns0:c>
      <ns0:c r="N215" s="4">
        <ns0:v>41.70</ns0:v>
      </ns0:c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 t="inlineStr">
        <ns0:is>
          <ns0:t>水电煤单价</ns0:t>
        </ns0:is>
      </ns0:c>
      <ns0:c r="C216" s="4">
        <ns0:v>47.04</ns0:v>
      </ns0:c>
      <ns0:c r="D216" s="4">
        <ns0:v>29.20</ns0:v>
      </ns0:c>
      <ns0:c r="E216" s="4">
        <ns0:v>29.87</ns0:v>
      </ns0:c>
      <ns0:c r="F216" s="4">
        <ns0:v>55.74</ns0:v>
      </ns0:c>
      <ns0:c r="G216" s="4">
        <ns0:v>26.17</ns0:v>
      </ns0:c>
      <ns0:c r="H216" s="4">
        <ns0:v>45.06</ns0:v>
      </ns0:c>
      <ns0:c r="I216" s="4">
        <ns0:v>26.90</ns0:v>
      </ns0:c>
      <ns0:c r="J216" s="4">
        <ns0:v>35.57</ns0:v>
      </ns0:c>
      <ns0:c r="K216" s="4">
        <ns0:v>47.05</ns0:v>
      </ns0:c>
      <ns0:c r="L216" s="4">
        <ns0:v>53.61</ns0:v>
      </ns0:c>
      <ns0:c r="M216" s="4">
        <ns0:v>57.64</ns0:v>
      </ns0:c>
      <ns0:c r="N216" s="4">
        <ns0:v>55.69</ns0:v>
      </ns0:c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 t="inlineStr">
        <ns0:is>
          <ns0:t>咨询服务费单价</ns0:t>
        </ns0:is>
      </ns0:c>
      <ns0:c r="C217" s="4">
        <ns0:v>19.71</ns0:v>
      </ns0:c>
      <ns0:c r="D217" s="4">
        <ns0:v>39.07</ns0:v>
      </ns0:c>
      <ns0:c r="E217" s="4">
        <ns0:v>43.74</ns0:v>
      </ns0:c>
      <ns0:c r="F217" s="4">
        <ns0:v>26.60</ns0:v>
      </ns0:c>
      <ns0:c r="G217" s="4">
        <ns0:v>19.39</ns0:v>
      </ns0:c>
      <ns0:c r="H217" s="4">
        <ns0:v>50.65</ns0:v>
      </ns0:c>
      <ns0:c r="I217" s="4">
        <ns0:v>45.03</ns0:v>
      </ns0:c>
      <ns0:c r="J217" s="4">
        <ns0:v>45.38</ns0:v>
      </ns0:c>
      <ns0:c r="K217" s="4">
        <ns0:v>29.23</ns0:v>
      </ns0:c>
      <ns0:c r="L217" s="4">
        <ns0:v>55.06</ns0:v>
      </ns0:c>
      <ns0:c r="M217" s="4">
        <ns0:v>35.64</ns0:v>
      </ns0:c>
      <ns0:c r="N217" s="4">
        <ns0:v>18.18</ns0:v>
      </ns0:c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 t="inlineStr">
        <ns0:is>
          <ns0:t>电话费单价</ns0:t>
        </ns0:is>
      </ns0:c>
      <ns0:c r="C218" s="4">
        <ns0:v>20.83</ns0:v>
      </ns0:c>
      <ns0:c r="D218" s="4">
        <ns0:v>65.34</ns0:v>
      </ns0:c>
      <ns0:c r="E218" s="4">
        <ns0:v>66.58</ns0:v>
      </ns0:c>
      <ns0:c r="F218" s="4">
        <ns0:v>33.08</ns0:v>
      </ns0:c>
      <ns0:c r="G218" s="4">
        <ns0:v>26.56</ns0:v>
      </ns0:c>
      <ns0:c r="H218" s="4">
        <ns0:v>29.28</ns0:v>
      </ns0:c>
      <ns0:c r="I218" s="4">
        <ns0:v>39.74</ns0:v>
      </ns0:c>
      <ns0:c r="J218" s="4">
        <ns0:v>43.65</ns0:v>
      </ns0:c>
      <ns0:c r="K218" s="4">
        <ns0:v>63.04</ns0:v>
      </ns0:c>
      <ns0:c r="L218" s="4">
        <ns0:v>17.36</ns0:v>
      </ns0:c>
      <ns0:c r="M218" s="4">
        <ns0:v>21.23</ns0:v>
      </ns0:c>
      <ns0:c r="N218" s="4">
        <ns0:v>57.06</ns0:v>
      </ns0:c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 t="inlineStr">
        <ns0:is>
          <ns0:t>快递费单价</ns0:t>
        </ns0:is>
      </ns0:c>
      <ns0:c r="C219" s="4">
        <ns0:v>28.85</ns0:v>
      </ns0:c>
      <ns0:c r="D219" s="4">
        <ns0:v>33.87</ns0:v>
      </ns0:c>
      <ns0:c r="E219" s="4">
        <ns0:v>68.57</ns0:v>
      </ns0:c>
      <ns0:c r="F219" s="4">
        <ns0:v>22.21</ns0:v>
      </ns0:c>
      <ns0:c r="G219" s="4">
        <ns0:v>58.59</ns0:v>
      </ns0:c>
      <ns0:c r="H219" s="4">
        <ns0:v>55.25</ns0:v>
      </ns0:c>
      <ns0:c r="I219" s="4">
        <ns0:v>16.16</ns0:v>
      </ns0:c>
      <ns0:c r="J219" s="4">
        <ns0:v>41.11</ns0:v>
      </ns0:c>
      <ns0:c r="K219" s="4">
        <ns0:v>23.98</ns0:v>
      </ns0:c>
      <ns0:c r="L219" s="4">
        <ns0:v>25.24</ns0:v>
      </ns0:c>
      <ns0:c r="M219" s="4">
        <ns0:v>34.92</ns0:v>
      </ns0:c>
      <ns0:c r="N219" s="4">
        <ns0:v>57.76</ns0:v>
      </ns0:c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 t="inlineStr">
        <ns0:is>
          <ns0:t>折旧及摊销单价</ns0:t>
        </ns0:is>
      </ns0:c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 t="inlineStr">
        <ns0:is>
          <ns0:t>机票火车票单价</ns0:t>
        </ns0:is>
      </ns0:c>
      <ns0:c r="C221" s="4">
        <ns0:v>41.41</ns0:v>
      </ns0:c>
      <ns0:c r="D221" s="4">
        <ns0:v>61.90</ns0:v>
      </ns0:c>
      <ns0:c r="E221" s="4">
        <ns0:v>31.25</ns0:v>
      </ns0:c>
      <ns0:c r="F221" s="4">
        <ns0:v>49.71</ns0:v>
      </ns0:c>
      <ns0:c r="G221" s="4">
        <ns0:v>54.25</ns0:v>
      </ns0:c>
      <ns0:c r="H221" s="4">
        <ns0:v>52.72</ns0:v>
      </ns0:c>
      <ns0:c r="I221" s="4">
        <ns0:v>34.40</ns0:v>
      </ns0:c>
      <ns0:c r="J221" s="4">
        <ns0:v>21.04</ns0:v>
      </ns0:c>
      <ns0:c r="K221" s="4">
        <ns0:v>57.88</ns0:v>
      </ns0:c>
      <ns0:c r="L221" s="4">
        <ns0:v>37.46</ns0:v>
      </ns0:c>
      <ns0:c r="M221" s="4">
        <ns0:v>51.04</ns0:v>
      </ns0:c>
      <ns0:c r="N221" s="4">
        <ns0:v>33.72</ns0:v>
      </ns0:c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 t="inlineStr">
        <ns0:is>
          <ns0:t>住宿费单价</ns0:t>
        </ns0:is>
      </ns0:c>
      <ns0:c r="C222" s="4">
        <ns0:v>51.10</ns0:v>
      </ns0:c>
      <ns0:c r="D222" s="4">
        <ns0:v>26.54</ns0:v>
      </ns0:c>
      <ns0:c r="E222" s="4">
        <ns0:v>18.15</ns0:v>
      </ns0:c>
      <ns0:c r="F222" s="4">
        <ns0:v>45.72</ns0:v>
      </ns0:c>
      <ns0:c r="G222" s="4">
        <ns0:v>31.51</ns0:v>
      </ns0:c>
      <ns0:c r="H222" s="4">
        <ns0:v>22.04</ns0:v>
      </ns0:c>
      <ns0:c r="I222" s="4">
        <ns0:v>32.20</ns0:v>
      </ns0:c>
      <ns0:c r="J222" s="4">
        <ns0:v>62.31</ns0:v>
      </ns0:c>
      <ns0:c r="K222" s="4">
        <ns0:v>45.13</ns0:v>
      </ns0:c>
      <ns0:c r="L222" s="4">
        <ns0:v>72.59</ns0:v>
      </ns0:c>
      <ns0:c r="M222" s="4">
        <ns0:v>46.55</ns0:v>
      </ns0:c>
      <ns0:c r="N222" s="4">
        <ns0:v>47.32</ns0:v>
      </ns0:c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 t="inlineStr">
        <ns0:is>
          <ns0:t>交通费单价</ns0:t>
        </ns0:is>
      </ns0:c>
      <ns0:c r="C223" s="4">
        <ns0:v>74.42</ns0:v>
      </ns0:c>
      <ns0:c r="D223" s="4">
        <ns0:v>35.51</ns0:v>
      </ns0:c>
      <ns0:c r="E223" s="4">
        <ns0:v>61.28</ns0:v>
      </ns0:c>
      <ns0:c r="F223" s="4">
        <ns0:v>18.00</ns0:v>
      </ns0:c>
      <ns0:c r="G223" s="4">
        <ns0:v>60.74</ns0:v>
      </ns0:c>
      <ns0:c r="H223" s="4">
        <ns0:v>67.61</ns0:v>
      </ns0:c>
      <ns0:c r="I223" s="4">
        <ns0:v>38.42</ns0:v>
      </ns0:c>
      <ns0:c r="J223" s="4">
        <ns0:v>56.61</ns0:v>
      </ns0:c>
      <ns0:c r="K223" s="4">
        <ns0:v>24.23</ns0:v>
      </ns0:c>
      <ns0:c r="L223" s="4">
        <ns0:v>26.33</ns0:v>
      </ns0:c>
      <ns0:c r="M223" s="4">
        <ns0:v>49.78</ns0:v>
      </ns0:c>
      <ns0:c r="N223" s="4">
        <ns0:v>45.68</ns0:v>
      </ns0:c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 t="inlineStr">
        <ns0:is>
          <ns0:t>差旅补贴单价</ns0:t>
        </ns0:is>
      </ns0:c>
      <ns0:c r="C224" s="4">
        <ns0:v>19.21</ns0:v>
      </ns0:c>
      <ns0:c r="D224" s="4">
        <ns0:v>46.76</ns0:v>
      </ns0:c>
      <ns0:c r="E224" s="4">
        <ns0:v>40.49</ns0:v>
      </ns0:c>
      <ns0:c r="F224" s="4">
        <ns0:v>39.61</ns0:v>
      </ns0:c>
      <ns0:c r="G224" s="4">
        <ns0:v>19.51</ns0:v>
      </ns0:c>
      <ns0:c r="H224" s="4">
        <ns0:v>19.77</ns0:v>
      </ns0:c>
      <ns0:c r="I224" s="4">
        <ns0:v>47.63</ns0:v>
      </ns0:c>
      <ns0:c r="J224" s="4">
        <ns0:v>67.15</ns0:v>
      </ns0:c>
      <ns0:c r="K224" s="4">
        <ns0:v>62.53</ns0:v>
      </ns0:c>
      <ns0:c r="L224" s="4">
        <ns0:v>19.15</ns0:v>
      </ns0:c>
      <ns0:c r="M224" s="4">
        <ns0:v>36.53</ns0:v>
      </ns0:c>
      <ns0:c r="N224" s="4">
        <ns0:v>40.80</ns0:v>
      </ns0:c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 t="inlineStr">
        <ns0:is>
          <ns0:t>业务招待费单价</ns0:t>
        </ns0:is>
      </ns0:c>
      <ns0:c r="C225" s="4">
        <ns0:v>59.44</ns0:v>
      </ns0:c>
      <ns0:c r="D225" s="4">
        <ns0:v>33.91</ns0:v>
      </ns0:c>
      <ns0:c r="E225" s="4">
        <ns0:v>57.87</ns0:v>
      </ns0:c>
      <ns0:c r="F225" s="4">
        <ns0:v>30.82</ns0:v>
      </ns0:c>
      <ns0:c r="G225" s="4">
        <ns0:v>59.79</ns0:v>
      </ns0:c>
      <ns0:c r="H225" s="4">
        <ns0:v>52.39</ns0:v>
      </ns0:c>
      <ns0:c r="I225" s="4">
        <ns0:v>46.28</ns0:v>
      </ns0:c>
      <ns0:c r="J225" s="4">
        <ns0:v>45.71</ns0:v>
      </ns0:c>
      <ns0:c r="K225" s="4">
        <ns0:v>31.18</ns0:v>
      </ns0:c>
      <ns0:c r="L225" s="4">
        <ns0:v>16.46</ns0:v>
      </ns0:c>
      <ns0:c r="M225" s="4">
        <ns0:v>23.71</ns0:v>
      </ns0:c>
      <ns0:c r="N225" s="4">
        <ns0:v>32.87</ns0:v>
      </ns0:c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 t="inlineStr">
        <ns0:is>
          <ns0:t>市内交通费单价</ns0:t>
        </ns0:is>
      </ns0:c>
      <ns0:c r="C226" s="4">
        <ns0:v>50.33</ns0:v>
      </ns0:c>
      <ns0:c r="D226" s="4">
        <ns0:v>63.26</ns0:v>
      </ns0:c>
      <ns0:c r="E226" s="4">
        <ns0:v>36.89</ns0:v>
      </ns0:c>
      <ns0:c r="F226" s="4">
        <ns0:v>40.61</ns0:v>
      </ns0:c>
      <ns0:c r="G226" s="4">
        <ns0:v>43.86</ns0:v>
      </ns0:c>
      <ns0:c r="H226" s="4">
        <ns0:v>27.89</ns0:v>
      </ns0:c>
      <ns0:c r="I226" s="4">
        <ns0:v>61.28</ns0:v>
      </ns0:c>
      <ns0:c r="J226" s="4">
        <ns0:v>38.46</ns0:v>
      </ns0:c>
      <ns0:c r="K226" s="4">
        <ns0:v>40.98</ns0:v>
      </ns0:c>
      <ns0:c r="L226" s="4">
        <ns0:v>44.16</ns0:v>
      </ns0:c>
      <ns0:c r="M226" s="4">
        <ns0:v>44.63</ns0:v>
      </ns0:c>
      <ns0:c r="N226" s="4">
        <ns0:v>23.21</ns0:v>
      </ns0:c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 t="inlineStr">
        <ns0:is>
          <ns0:t>调研费用单价</ns0:t>
        </ns0:is>
      </ns0:c>
      <ns0:c r="C227" s="4">
        <ns0:v>34.69</ns0:v>
      </ns0:c>
      <ns0:c r="D227" s="4">
        <ns0:v>45.47</ns0:v>
      </ns0:c>
      <ns0:c r="E227" s="4">
        <ns0:v>51.55</ns0:v>
      </ns0:c>
      <ns0:c r="F227" s="4">
        <ns0:v>40.76</ns0:v>
      </ns0:c>
      <ns0:c r="G227" s="4">
        <ns0:v>20.61</ns0:v>
      </ns0:c>
      <ns0:c r="H227" s="4">
        <ns0:v>27.36</ns0:v>
      </ns0:c>
      <ns0:c r="I227" s="4">
        <ns0:v>52.20</ns0:v>
      </ns0:c>
      <ns0:c r="J227" s="4">
        <ns0:v>21.82</ns0:v>
      </ns0:c>
      <ns0:c r="K227" s="4">
        <ns0:v>69.29</ns0:v>
      </ns0:c>
      <ns0:c r="L227" s="4">
        <ns0:v>36.17</ns0:v>
      </ns0:c>
      <ns0:c r="M227" s="4">
        <ns0:v>22.09</ns0:v>
      </ns0:c>
      <ns0:c r="N227" s="4">
        <ns0:v>58.11</ns0:v>
      </ns0:c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 t="inlineStr">
        <ns0:is>
          <ns0:t>手续费单价</ns0:t>
        </ns0:is>
      </ns0:c>
      <ns0:c r="C228" s="4">
        <ns0:v>34.83</ns0:v>
      </ns0:c>
      <ns0:c r="D228" s="4">
        <ns0:v>59.00</ns0:v>
      </ns0:c>
      <ns0:c r="E228" s="4">
        <ns0:v>51.06</ns0:v>
      </ns0:c>
      <ns0:c r="F228" s="4">
        <ns0:v>36.70</ns0:v>
      </ns0:c>
      <ns0:c r="G228" s="4">
        <ns0:v>67.71</ns0:v>
      </ns0:c>
      <ns0:c r="H228" s="4">
        <ns0:v>64.36</ns0:v>
      </ns0:c>
      <ns0:c r="I228" s="4">
        <ns0:v>72.62</ns0:v>
      </ns0:c>
      <ns0:c r="J228" s="4">
        <ns0:v>41.19</ns0:v>
      </ns0:c>
      <ns0:c r="K228" s="4">
        <ns0:v>20.79</ns0:v>
      </ns0:c>
      <ns0:c r="L228" s="4">
        <ns0:v>58.31</ns0:v>
      </ns0:c>
      <ns0:c r="M228" s="4">
        <ns0:v>27.72</ns0:v>
      </ns0:c>
      <ns0:c r="N228" s="4">
        <ns0:v>49.58</ns0:v>
      </ns0:c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 t="inlineStr">
        <ns0:is>
          <ns0:t>利息收入单价</ns0:t>
        </ns0:is>
      </ns0:c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 t="inlineStr">
        <ns0:is>
          <ns0:t>利息支出单价</ns0:t>
        </ns0:is>
      </ns0:c>
      <ns0:c r="C230" s="4">
        <ns0:v>61.78</ns0:v>
      </ns0:c>
      <ns0:c r="D230" s="4">
        <ns0:v>47.11</ns0:v>
      </ns0:c>
      <ns0:c r="E230" s="4">
        <ns0:v>60.29</ns0:v>
      </ns0:c>
      <ns0:c r="F230" s="4">
        <ns0:v>26.67</ns0:v>
      </ns0:c>
      <ns0:c r="G230" s="4">
        <ns0:v>43.77</ns0:v>
      </ns0:c>
      <ns0:c r="H230" s="4">
        <ns0:v>19.31</ns0:v>
      </ns0:c>
      <ns0:c r="I230" s="4">
        <ns0:v>30.97</ns0:v>
      </ns0:c>
      <ns0:c r="J230" s="4">
        <ns0:v>17.68</ns0:v>
      </ns0:c>
      <ns0:c r="K230" s="4">
        <ns0:v>21.18</ns0:v>
      </ns0:c>
      <ns0:c r="L230" s="4">
        <ns0:v>56.73</ns0:v>
      </ns0:c>
      <ns0:c r="M230" s="4">
        <ns0:v>50.82</ns0:v>
      </ns0:c>
      <ns0:c r="N230" s="4">
        <ns0:v>53.38</ns0:v>
      </ns0:c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 t="inlineStr">
        <ns0:is>
          <ns0:t>车船税单价</ns0:t>
        </ns0:is>
      </ns0:c>
      <ns0:c r="C231" s="4">
        <ns0:v>55.39</ns0:v>
      </ns0:c>
      <ns0:c r="D231" s="4">
        <ns0:v>64.97</ns0:v>
      </ns0:c>
      <ns0:c r="E231" s="4">
        <ns0:v>41.63</ns0:v>
      </ns0:c>
      <ns0:c r="F231" s="4">
        <ns0:v>53.98</ns0:v>
      </ns0:c>
      <ns0:c r="G231" s="4">
        <ns0:v>58.51</ns0:v>
      </ns0:c>
      <ns0:c r="H231" s="4">
        <ns0:v>40.20</ns0:v>
      </ns0:c>
      <ns0:c r="I231" s="4">
        <ns0:v>69.13</ns0:v>
      </ns0:c>
      <ns0:c r="J231" s="4">
        <ns0:v>36.86</ns0:v>
      </ns0:c>
      <ns0:c r="K231" s="4">
        <ns0:v>17.56</ns0:v>
      </ns0:c>
      <ns0:c r="L231" s="4">
        <ns0:v>33.46</ns0:v>
      </ns0:c>
      <ns0:c r="M231" s="4">
        <ns0:v>56.51</ns0:v>
      </ns0:c>
      <ns0:c r="N231" s="4">
        <ns0:v>52.10</ns0:v>
      </ns0:c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 t="inlineStr">
        <ns0:is>
          <ns0:t>印花税单价</ns0:t>
        </ns0:is>
      </ns0:c>
      <ns0:c r="C232" s="4">
        <ns0:v>27.14</ns0:v>
      </ns0:c>
      <ns0:c r="D232" s="4">
        <ns0:v>63.38</ns0:v>
      </ns0:c>
      <ns0:c r="E232" s="4">
        <ns0:v>23.27</ns0:v>
      </ns0:c>
      <ns0:c r="F232" s="4">
        <ns0:v>60.48</ns0:v>
      </ns0:c>
      <ns0:c r="G232" s="4">
        <ns0:v>22.51</ns0:v>
      </ns0:c>
      <ns0:c r="H232" s="4">
        <ns0:v>56.60</ns0:v>
      </ns0:c>
      <ns0:c r="I232" s="4">
        <ns0:v>42.33</ns0:v>
      </ns0:c>
      <ns0:c r="J232" s="4">
        <ns0:v>47.14</ns0:v>
      </ns0:c>
      <ns0:c r="K232" s="4">
        <ns0:v>37.32</ns0:v>
      </ns0:c>
      <ns0:c r="L232" s="4">
        <ns0:v>44.83</ns0:v>
      </ns0:c>
      <ns0:c r="M232" s="4">
        <ns0:v>27.08</ns0:v>
      </ns0:c>
      <ns0:c r="N232" s="4">
        <ns0:v>33.10</ns0:v>
      </ns0:c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 t="inlineStr">
        <ns0:is>
          <ns0:t>其他单价</ns0:t>
        </ns0:is>
      </ns0:c>
      <ns0:c r="C233" s="4">
        <ns0:v>54.33</ns0:v>
      </ns0:c>
      <ns0:c r="D233" s="4">
        <ns0:v>51.81</ns0:v>
      </ns0:c>
      <ns0:c r="E233" s="4">
        <ns0:v>71.40</ns0:v>
      </ns0:c>
      <ns0:c r="F233" s="4">
        <ns0:v>48.52</ns0:v>
      </ns0:c>
      <ns0:c r="G233" s="4">
        <ns0:v>38.81</ns0:v>
      </ns0:c>
      <ns0:c r="H233" s="4">
        <ns0:v>42.87</ns0:v>
      </ns0:c>
      <ns0:c r="I233" s="4">
        <ns0:v>33.74</ns0:v>
      </ns0:c>
      <ns0:c r="J233" s="4">
        <ns0:v>65.10</ns0:v>
      </ns0:c>
      <ns0:c r="K233" s="4">
        <ns0:v>17.03</ns0:v>
      </ns0:c>
      <ns0:c r="L233" s="4">
        <ns0:v>58.20</ns0:v>
      </ns0:c>
      <ns0:c r="M233" s="4">
        <ns0:v>20.30</ns0:v>
      </ns0:c>
      <ns0:c r="N233" s="4">
        <ns0:v>20.61</ns0:v>
      </ns0:c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 t="inlineStr">
        <ns0:is>
          <ns0:t>工资单价</ns0:t>
        </ns0:is>
      </ns0:c>
      <ns0:c r="C264" s="4">
        <ns0:v>69.01</ns0:v>
      </ns0:c>
      <ns0:c r="D264" s="4">
        <ns0:v>58.05</ns0:v>
      </ns0:c>
      <ns0:c r="E264" s="4">
        <ns0:v>32.23</ns0:v>
      </ns0:c>
      <ns0:c r="F264" s="4">
        <ns0:v>44.27</ns0:v>
      </ns0:c>
      <ns0:c r="G264" s="4">
        <ns0:v>42.68</ns0:v>
      </ns0:c>
      <ns0:c r="H264" s="4">
        <ns0:v>52.95</ns0:v>
      </ns0:c>
      <ns0:c r="I264" s="4">
        <ns0:v>51.61</ns0:v>
      </ns0:c>
      <ns0:c r="J264" s="4">
        <ns0:v>22.28</ns0:v>
      </ns0:c>
      <ns0:c r="K264" s="4">
        <ns0:v>64.08</ns0:v>
      </ns0:c>
      <ns0:c r="L264" s="4">
        <ns0:v>23.65</ns0:v>
      </ns0:c>
      <ns0:c r="M264" s="4">
        <ns0:v>23.35</ns0:v>
      </ns0:c>
      <ns0:c r="N264" s="4">
        <ns0:v>18.28</ns0:v>
      </ns0:c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 t="inlineStr">
        <ns0:is>
          <ns0:t>十三薪单价</ns0:t>
        </ns0:is>
      </ns0:c>
      <ns0:c r="C265" s="4">
        <ns0:v>23.86</ns0:v>
      </ns0:c>
      <ns0:c r="D265" s="4">
        <ns0:v>62.72</ns0:v>
      </ns0:c>
      <ns0:c r="E265" s="4">
        <ns0:v>38.60</ns0:v>
      </ns0:c>
      <ns0:c r="F265" s="4">
        <ns0:v>31.66</ns0:v>
      </ns0:c>
      <ns0:c r="G265" s="4">
        <ns0:v>27.83</ns0:v>
      </ns0:c>
      <ns0:c r="H265" s="4">
        <ns0:v>47.18</ns0:v>
      </ns0:c>
      <ns0:c r="I265" s="4">
        <ns0:v>64.37</ns0:v>
      </ns0:c>
      <ns0:c r="J265" s="4">
        <ns0:v>23.89</ns0:v>
      </ns0:c>
      <ns0:c r="K265" s="4">
        <ns0:v>57.92</ns0:v>
      </ns0:c>
      <ns0:c r="L265" s="4">
        <ns0:v>32.37</ns0:v>
      </ns0:c>
      <ns0:c r="M265" s="4">
        <ns0:v>44.80</ns0:v>
      </ns0:c>
      <ns0:c r="N265" s="4">
        <ns0:v>39.15</ns0:v>
      </ns0:c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 t="inlineStr">
        <ns0:is>
          <ns0:t>离职补偿金单价</ns0:t>
        </ns0:is>
      </ns0:c>
      <ns0:c r="C266" s="4">
        <ns0:v>46.61</ns0:v>
      </ns0:c>
      <ns0:c r="D266" s="4">
        <ns0:v>40.67</ns0:v>
      </ns0:c>
      <ns0:c r="E266" s="4">
        <ns0:v>52.47</ns0:v>
      </ns0:c>
      <ns0:c r="F266" s="4">
        <ns0:v>59.43</ns0:v>
      </ns0:c>
      <ns0:c r="G266" s="4">
        <ns0:v>29.64</ns0:v>
      </ns0:c>
      <ns0:c r="H266" s="4">
        <ns0:v>49.89</ns0:v>
      </ns0:c>
      <ns0:c r="I266" s="4">
        <ns0:v>32.19</ns0:v>
      </ns0:c>
      <ns0:c r="J266" s="4">
        <ns0:v>45.84</ns0:v>
      </ns0:c>
      <ns0:c r="K266" s="4">
        <ns0:v>41.58</ns0:v>
      </ns0:c>
      <ns0:c r="L266" s="4">
        <ns0:v>56.89</ns0:v>
      </ns0:c>
      <ns0:c r="M266" s="4">
        <ns0:v>39.50</ns0:v>
      </ns0:c>
      <ns0:c r="N266" s="4">
        <ns0:v>65.78</ns0:v>
      </ns0:c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 t="inlineStr">
        <ns0:is>
          <ns0:t>五险一金单价</ns0:t>
        </ns0:is>
      </ns0:c>
      <ns0:c r="C267" s="4">
        <ns0:v>57.94</ns0:v>
      </ns0:c>
      <ns0:c r="D267" s="4">
        <ns0:v>60.47</ns0:v>
      </ns0:c>
      <ns0:c r="E267" s="4">
        <ns0:v>32.80</ns0:v>
      </ns0:c>
      <ns0:c r="F267" s="4">
        <ns0:v>65.16</ns0:v>
      </ns0:c>
      <ns0:c r="G267" s="4">
        <ns0:v>34.91</ns0:v>
      </ns0:c>
      <ns0:c r="H267" s="4">
        <ns0:v>26.27</ns0:v>
      </ns0:c>
      <ns0:c r="I267" s="4">
        <ns0:v>28.18</ns0:v>
      </ns0:c>
      <ns0:c r="J267" s="4">
        <ns0:v>42.08</ns0:v>
      </ns0:c>
      <ns0:c r="K267" s="4">
        <ns0:v>27.29</ns0:v>
      </ns0:c>
      <ns0:c r="L267" s="4">
        <ns0:v>59.82</ns0:v>
      </ns0:c>
      <ns0:c r="M267" s="4">
        <ns0:v>19.96</ns0:v>
      </ns0:c>
      <ns0:c r="N267" s="4">
        <ns0:v>20.98</ns0:v>
      </ns0:c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 t="inlineStr">
        <ns0:is>
          <ns0:t>福利费单价</ns0:t>
        </ns0:is>
      </ns0:c>
      <ns0:c r="C268" s="4">
        <ns0:v>68.94</ns0:v>
      </ns0:c>
      <ns0:c r="D268" s="4">
        <ns0:v>22.07</ns0:v>
      </ns0:c>
      <ns0:c r="E268" s="4">
        <ns0:v>32.79</ns0:v>
      </ns0:c>
      <ns0:c r="F268" s="4">
        <ns0:v>53.78</ns0:v>
      </ns0:c>
      <ns0:c r="G268" s="4">
        <ns0:v>55.00</ns0:v>
      </ns0:c>
      <ns0:c r="H268" s="4">
        <ns0:v>30.35</ns0:v>
      </ns0:c>
      <ns0:c r="I268" s="4">
        <ns0:v>27.22</ns0:v>
      </ns0:c>
      <ns0:c r="J268" s="4">
        <ns0:v>63.45</ns0:v>
      </ns0:c>
      <ns0:c r="K268" s="4">
        <ns0:v>70.35</ns0:v>
      </ns0:c>
      <ns0:c r="L268" s="4">
        <ns0:v>73.58</ns0:v>
      </ns0:c>
      <ns0:c r="M268" s="4">
        <ns0:v>52.77</ns0:v>
      </ns0:c>
      <ns0:c r="N268" s="4">
        <ns0:v>22.97</ns0:v>
      </ns0:c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 t="inlineStr">
        <ns0:is>
          <ns0:t>招聘费单价</ns0:t>
        </ns0:is>
      </ns0:c>
      <ns0:c r="C269" s="4">
        <ns0:v>70.62</ns0:v>
      </ns0:c>
      <ns0:c r="D269" s="4">
        <ns0:v>56.18</ns0:v>
      </ns0:c>
      <ns0:c r="E269" s="4">
        <ns0:v>59.33</ns0:v>
      </ns0:c>
      <ns0:c r="F269" s="4">
        <ns0:v>46.66</ns0:v>
      </ns0:c>
      <ns0:c r="G269" s="4">
        <ns0:v>67.41</ns0:v>
      </ns0:c>
      <ns0:c r="H269" s="4">
        <ns0:v>47.00</ns0:v>
      </ns0:c>
      <ns0:c r="I269" s="4">
        <ns0:v>67.74</ns0:v>
      </ns0:c>
      <ns0:c r="J269" s="4">
        <ns0:v>20.45</ns0:v>
      </ns0:c>
      <ns0:c r="K269" s="4">
        <ns0:v>57.99</ns0:v>
      </ns0:c>
      <ns0:c r="L269" s="4">
        <ns0:v>46.19</ns0:v>
      </ns0:c>
      <ns0:c r="M269" s="4">
        <ns0:v>20.17</ns0:v>
      </ns0:c>
      <ns0:c r="N269" s="4">
        <ns0:v>71.57</ns0:v>
      </ns0:c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 t="inlineStr">
        <ns0:is>
          <ns0:t>培训费单价</ns0:t>
        </ns0:is>
      </ns0:c>
      <ns0:c r="C270" s="4">
        <ns0:v>41.31</ns0:v>
      </ns0:c>
      <ns0:c r="D270" s="4">
        <ns0:v>50.12</ns0:v>
      </ns0:c>
      <ns0:c r="E270" s="4">
        <ns0:v>44.38</ns0:v>
      </ns0:c>
      <ns0:c r="F270" s="4">
        <ns0:v>30.73</ns0:v>
      </ns0:c>
      <ns0:c r="G270" s="4">
        <ns0:v>35.73</ns0:v>
      </ns0:c>
      <ns0:c r="H270" s="4">
        <ns0:v>40.37</ns0:v>
      </ns0:c>
      <ns0:c r="I270" s="4">
        <ns0:v>50.57</ns0:v>
      </ns0:c>
      <ns0:c r="J270" s="4">
        <ns0:v>20.94</ns0:v>
      </ns0:c>
      <ns0:c r="K270" s="4">
        <ns0:v>55.51</ns0:v>
      </ns0:c>
      <ns0:c r="L270" s="4">
        <ns0:v>60.94</ns0:v>
      </ns0:c>
      <ns0:c r="M270" s="4">
        <ns0:v>25.29</ns0:v>
      </ns0:c>
      <ns0:c r="N270" s="4">
        <ns0:v>64.10</ns0:v>
      </ns0:c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 t="inlineStr">
        <ns0:is>
          <ns0:t>房租单价</ns0:t>
        </ns0:is>
      </ns0:c>
      <ns0:c r="C271" s="4">
        <ns0:v>18.11</ns0:v>
      </ns0:c>
      <ns0:c r="D271" s="4">
        <ns0:v>38.50</ns0:v>
      </ns0:c>
      <ns0:c r="E271" s="4">
        <ns0:v>56.05</ns0:v>
      </ns0:c>
      <ns0:c r="F271" s="4">
        <ns0:v>25.14</ns0:v>
      </ns0:c>
      <ns0:c r="G271" s="4">
        <ns0:v>68.10</ns0:v>
      </ns0:c>
      <ns0:c r="H271" s="4">
        <ns0:v>38.30</ns0:v>
      </ns0:c>
      <ns0:c r="I271" s="4">
        <ns0:v>28.85</ns0:v>
      </ns0:c>
      <ns0:c r="J271" s="4">
        <ns0:v>51.59</ns0:v>
      </ns0:c>
      <ns0:c r="K271" s="4">
        <ns0:v>31.74</ns0:v>
      </ns0:c>
      <ns0:c r="L271" s="4">
        <ns0:v>64.14</ns0:v>
      </ns0:c>
      <ns0:c r="M271" s="4">
        <ns0:v>36.53</ns0:v>
      </ns0:c>
      <ns0:c r="N271" s="4">
        <ns0:v>20.38</ns0:v>
      </ns0:c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 t="inlineStr">
        <ns0:is>
          <ns0:t>物业管理费单价</ns0:t>
        </ns0:is>
      </ns0:c>
      <ns0:c r="C272" s="4">
        <ns0:v>60.97</ns0:v>
      </ns0:c>
      <ns0:c r="D272" s="4">
        <ns0:v>42.41</ns0:v>
      </ns0:c>
      <ns0:c r="E272" s="4">
        <ns0:v>27.55</ns0:v>
      </ns0:c>
      <ns0:c r="F272" s="4">
        <ns0:v>28.97</ns0:v>
      </ns0:c>
      <ns0:c r="G272" s="4">
        <ns0:v>21.08</ns0:v>
      </ns0:c>
      <ns0:c r="H272" s="4">
        <ns0:v>36.90</ns0:v>
      </ns0:c>
      <ns0:c r="I272" s="4">
        <ns0:v>59.15</ns0:v>
      </ns0:c>
      <ns0:c r="J272" s="4">
        <ns0:v>22.66</ns0:v>
      </ns0:c>
      <ns0:c r="K272" s="4">
        <ns0:v>36.28</ns0:v>
      </ns0:c>
      <ns0:c r="L272" s="4">
        <ns0:v>35.42</ns0:v>
      </ns0:c>
      <ns0:c r="M272" s="4">
        <ns0:v>51.74</ns0:v>
      </ns0:c>
      <ns0:c r="N272" s="4">
        <ns0:v>19.13</ns0:v>
      </ns0:c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 t="inlineStr">
        <ns0:is>
          <ns0:t>汽车费用单价</ns0:t>
        </ns0:is>
      </ns0:c>
      <ns0:c r="C273" s="4">
        <ns0:v>33.32</ns0:v>
      </ns0:c>
      <ns0:c r="D273" s="4">
        <ns0:v>46.14</ns0:v>
      </ns0:c>
      <ns0:c r="E273" s="4">
        <ns0:v>22.92</ns0:v>
      </ns0:c>
      <ns0:c r="F273" s="4">
        <ns0:v>50.09</ns0:v>
      </ns0:c>
      <ns0:c r="G273" s="4">
        <ns0:v>37.57</ns0:v>
      </ns0:c>
      <ns0:c r="H273" s="4">
        <ns0:v>22.26</ns0:v>
      </ns0:c>
      <ns0:c r="I273" s="4">
        <ns0:v>23.27</ns0:v>
      </ns0:c>
      <ns0:c r="J273" s="4">
        <ns0:v>45.42</ns0:v>
      </ns0:c>
      <ns0:c r="K273" s="4">
        <ns0:v>19.91</ns0:v>
      </ns0:c>
      <ns0:c r="L273" s="4">
        <ns0:v>30.36</ns0:v>
      </ns0:c>
      <ns0:c r="M273" s="4">
        <ns0:v>27.95</ns0:v>
      </ns0:c>
      <ns0:c r="N273" s="4">
        <ns0:v>50.32</ns0:v>
      </ns0:c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 t="inlineStr">
        <ns0:is>
          <ns0:t>办公费单价</ns0:t>
        </ns0:is>
      </ns0:c>
      <ns0:c r="C274" s="4">
        <ns0:v>29.61</ns0:v>
      </ns0:c>
      <ns0:c r="D274" s="4">
        <ns0:v>33.11</ns0:v>
      </ns0:c>
      <ns0:c r="E274" s="4">
        <ns0:v>25.80</ns0:v>
      </ns0:c>
      <ns0:c r="F274" s="4">
        <ns0:v>49.58</ns0:v>
      </ns0:c>
      <ns0:c r="G274" s="4">
        <ns0:v>34.60</ns0:v>
      </ns0:c>
      <ns0:c r="H274" s="4">
        <ns0:v>22.87</ns0:v>
      </ns0:c>
      <ns0:c r="I274" s="4">
        <ns0:v>37.48</ns0:v>
      </ns0:c>
      <ns0:c r="J274" s="4">
        <ns0:v>42.62</ns0:v>
      </ns0:c>
      <ns0:c r="K274" s="4">
        <ns0:v>23.18</ns0:v>
      </ns0:c>
      <ns0:c r="L274" s="4">
        <ns0:v>39.52</ns0:v>
      </ns0:c>
      <ns0:c r="M274" s="4">
        <ns0:v>56.50</ns0:v>
      </ns0:c>
      <ns0:c r="N274" s="4">
        <ns0:v>42.06</ns0:v>
      </ns0:c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 t="inlineStr">
        <ns0:is>
          <ns0:t>办公用品单价</ns0:t>
        </ns0:is>
      </ns0:c>
      <ns0:c r="C275" s="4">
        <ns0:v>48.78</ns0:v>
      </ns0:c>
      <ns0:c r="D275" s="4">
        <ns0:v>34.07</ns0:v>
      </ns0:c>
      <ns0:c r="E275" s="4">
        <ns0:v>20.87</ns0:v>
      </ns0:c>
      <ns0:c r="F275" s="4">
        <ns0:v>32.10</ns0:v>
      </ns0:c>
      <ns0:c r="G275" s="4">
        <ns0:v>52.13</ns0:v>
      </ns0:c>
      <ns0:c r="H275" s="4">
        <ns0:v>59.52</ns0:v>
      </ns0:c>
      <ns0:c r="I275" s="4">
        <ns0:v>26.30</ns0:v>
      </ns0:c>
      <ns0:c r="J275" s="4">
        <ns0:v>35.74</ns0:v>
      </ns0:c>
      <ns0:c r="K275" s="4">
        <ns0:v>60.01</ns0:v>
      </ns0:c>
      <ns0:c r="L275" s="4">
        <ns0:v>72.52</ns0:v>
      </ns0:c>
      <ns0:c r="M275" s="4">
        <ns0:v>53.50</ns0:v>
      </ns0:c>
      <ns0:c r="N275" s="4">
        <ns0:v>46.92</ns0:v>
      </ns0:c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 t="inlineStr">
        <ns0:is>
          <ns0:t>水电煤单价</ns0:t>
        </ns0:is>
      </ns0:c>
      <ns0:c r="C276" s="4">
        <ns0:v>23.21</ns0:v>
      </ns0:c>
      <ns0:c r="D276" s="4">
        <ns0:v>42.75</ns0:v>
      </ns0:c>
      <ns0:c r="E276" s="4">
        <ns0:v>53.28</ns0:v>
      </ns0:c>
      <ns0:c r="F276" s="4">
        <ns0:v>62.74</ns0:v>
      </ns0:c>
      <ns0:c r="G276" s="4">
        <ns0:v>27.62</ns0:v>
      </ns0:c>
      <ns0:c r="H276" s="4">
        <ns0:v>61.50</ns0:v>
      </ns0:c>
      <ns0:c r="I276" s="4">
        <ns0:v>22.08</ns0:v>
      </ns0:c>
      <ns0:c r="J276" s="4">
        <ns0:v>56.50</ns0:v>
      </ns0:c>
      <ns0:c r="K276" s="4">
        <ns0:v>38.78</ns0:v>
      </ns0:c>
      <ns0:c r="L276" s="4">
        <ns0:v>19.45</ns0:v>
      </ns0:c>
      <ns0:c r="M276" s="4">
        <ns0:v>20.50</ns0:v>
      </ns0:c>
      <ns0:c r="N276" s="4">
        <ns0:v>38.52</ns0:v>
      </ns0:c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 t="inlineStr">
        <ns0:is>
          <ns0:t>咨询服务费单价</ns0:t>
        </ns0:is>
      </ns0:c>
      <ns0:c r="C277" s="4">
        <ns0:v>32.46</ns0:v>
      </ns0:c>
      <ns0:c r="D277" s="4">
        <ns0:v>40.92</ns0:v>
      </ns0:c>
      <ns0:c r="E277" s="4">
        <ns0:v>23.47</ns0:v>
      </ns0:c>
      <ns0:c r="F277" s="4">
        <ns0:v>58.82</ns0:v>
      </ns0:c>
      <ns0:c r="G277" s="4">
        <ns0:v>24.61</ns0:v>
      </ns0:c>
      <ns0:c r="H277" s="4">
        <ns0:v>53.93</ns0:v>
      </ns0:c>
      <ns0:c r="I277" s="4">
        <ns0:v>43.71</ns0:v>
      </ns0:c>
      <ns0:c r="J277" s="4">
        <ns0:v>40.56</ns0:v>
      </ns0:c>
      <ns0:c r="K277" s="4">
        <ns0:v>58.82</ns0:v>
      </ns0:c>
      <ns0:c r="L277" s="4">
        <ns0:v>27.90</ns0:v>
      </ns0:c>
      <ns0:c r="M277" s="4">
        <ns0:v>26.64</ns0:v>
      </ns0:c>
      <ns0:c r="N277" s="4">
        <ns0:v>26.49</ns0:v>
      </ns0:c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 t="inlineStr">
        <ns0:is>
          <ns0:t>电话费单价</ns0:t>
        </ns0:is>
      </ns0:c>
      <ns0:c r="C278" s="4">
        <ns0:v>42.93</ns0:v>
      </ns0:c>
      <ns0:c r="D278" s="4">
        <ns0:v>67.57</ns0:v>
      </ns0:c>
      <ns0:c r="E278" s="4">
        <ns0:v>28.87</ns0:v>
      </ns0:c>
      <ns0:c r="F278" s="4">
        <ns0:v>50.58</ns0:v>
      </ns0:c>
      <ns0:c r="G278" s="4">
        <ns0:v>29.00</ns0:v>
      </ns0:c>
      <ns0:c r="H278" s="4">
        <ns0:v>35.38</ns0:v>
      </ns0:c>
      <ns0:c r="I278" s="4">
        <ns0:v>29.04</ns0:v>
      </ns0:c>
      <ns0:c r="J278" s="4">
        <ns0:v>44.64</ns0:v>
      </ns0:c>
      <ns0:c r="K278" s="4">
        <ns0:v>41.15</ns0:v>
      </ns0:c>
      <ns0:c r="L278" s="4">
        <ns0:v>53.32</ns0:v>
      </ns0:c>
      <ns0:c r="M278" s="4">
        <ns0:v>61.08</ns0:v>
      </ns0:c>
      <ns0:c r="N278" s="4">
        <ns0:v>26.17</ns0:v>
      </ns0:c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 t="inlineStr">
        <ns0:is>
          <ns0:t>快递费单价</ns0:t>
        </ns0:is>
      </ns0:c>
      <ns0:c r="C279" s="4">
        <ns0:v>18.64</ns0:v>
      </ns0:c>
      <ns0:c r="D279" s="4">
        <ns0:v>19.43</ns0:v>
      </ns0:c>
      <ns0:c r="E279" s="4">
        <ns0:v>49.61</ns0:v>
      </ns0:c>
      <ns0:c r="F279" s="4">
        <ns0:v>40.08</ns0:v>
      </ns0:c>
      <ns0:c r="G279" s="4">
        <ns0:v>20.21</ns0:v>
      </ns0:c>
      <ns0:c r="H279" s="4">
        <ns0:v>24.48</ns0:v>
      </ns0:c>
      <ns0:c r="I279" s="4">
        <ns0:v>43.01</ns0:v>
      </ns0:c>
      <ns0:c r="J279" s="4">
        <ns0:v>65.33</ns0:v>
      </ns0:c>
      <ns0:c r="K279" s="4">
        <ns0:v>28.08</ns0:v>
      </ns0:c>
      <ns0:c r="L279" s="4">
        <ns0:v>33.36</ns0:v>
      </ns0:c>
      <ns0:c r="M279" s="4">
        <ns0:v>59.25</ns0:v>
      </ns0:c>
      <ns0:c r="N279" s="4">
        <ns0:v>18.68</ns0:v>
      </ns0:c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 t="inlineStr">
        <ns0:is>
          <ns0:t>折旧及摊销单价</ns0:t>
        </ns0:is>
      </ns0:c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 t="inlineStr">
        <ns0:is>
          <ns0:t>机票火车票单价</ns0:t>
        </ns0:is>
      </ns0:c>
      <ns0:c r="C281" s="4">
        <ns0:v>37.04</ns0:v>
      </ns0:c>
      <ns0:c r="D281" s="4">
        <ns0:v>34.70</ns0:v>
      </ns0:c>
      <ns0:c r="E281" s="4">
        <ns0:v>46.86</ns0:v>
      </ns0:c>
      <ns0:c r="F281" s="4">
        <ns0:v>48.10</ns0:v>
      </ns0:c>
      <ns0:c r="G281" s="4">
        <ns0:v>24.78</ns0:v>
      </ns0:c>
      <ns0:c r="H281" s="4">
        <ns0:v>55.15</ns0:v>
      </ns0:c>
      <ns0:c r="I281" s="4">
        <ns0:v>30.79</ns0:v>
      </ns0:c>
      <ns0:c r="J281" s="4">
        <ns0:v>58.03</ns0:v>
      </ns0:c>
      <ns0:c r="K281" s="4">
        <ns0:v>43.11</ns0:v>
      </ns0:c>
      <ns0:c r="L281" s="4">
        <ns0:v>61.72</ns0:v>
      </ns0:c>
      <ns0:c r="M281" s="4">
        <ns0:v>35.60</ns0:v>
      </ns0:c>
      <ns0:c r="N281" s="4">
        <ns0:v>39.63</ns0:v>
      </ns0:c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 t="inlineStr">
        <ns0:is>
          <ns0:t>住宿费单价</ns0:t>
        </ns0:is>
      </ns0:c>
      <ns0:c r="C282" s="4">
        <ns0:v>50.72</ns0:v>
      </ns0:c>
      <ns0:c r="D282" s="4">
        <ns0:v>24.77</ns0:v>
      </ns0:c>
      <ns0:c r="E282" s="4">
        <ns0:v>23.53</ns0:v>
      </ns0:c>
      <ns0:c r="F282" s="4">
        <ns0:v>49.95</ns0:v>
      </ns0:c>
      <ns0:c r="G282" s="4">
        <ns0:v>63.76</ns0:v>
      </ns0:c>
      <ns0:c r="H282" s="4">
        <ns0:v>19.66</ns0:v>
      </ns0:c>
      <ns0:c r="I282" s="4">
        <ns0:v>40.37</ns0:v>
      </ns0:c>
      <ns0:c r="J282" s="4">
        <ns0:v>20.40</ns0:v>
      </ns0:c>
      <ns0:c r="K282" s="4">
        <ns0:v>16.96</ns0:v>
      </ns0:c>
      <ns0:c r="L282" s="4">
        <ns0:v>69.13</ns0:v>
      </ns0:c>
      <ns0:c r="M282" s="4">
        <ns0:v>47.92</ns0:v>
      </ns0:c>
      <ns0:c r="N282" s="4">
        <ns0:v>48.69</ns0:v>
      </ns0:c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 t="inlineStr">
        <ns0:is>
          <ns0:t>交通费单价</ns0:t>
        </ns0:is>
      </ns0:c>
      <ns0:c r="C283" s="4">
        <ns0:v>20.46</ns0:v>
      </ns0:c>
      <ns0:c r="D283" s="4">
        <ns0:v>19.38</ns0:v>
      </ns0:c>
      <ns0:c r="E283" s="4">
        <ns0:v>54.35</ns0:v>
      </ns0:c>
      <ns0:c r="F283" s="4">
        <ns0:v>70.16</ns0:v>
      </ns0:c>
      <ns0:c r="G283" s="4">
        <ns0:v>62.02</ns0:v>
      </ns0:c>
      <ns0:c r="H283" s="4">
        <ns0:v>24.93</ns0:v>
      </ns0:c>
      <ns0:c r="I283" s="4">
        <ns0:v>46.99</ns0:v>
      </ns0:c>
      <ns0:c r="J283" s="4">
        <ns0:v>56.36</ns0:v>
      </ns0:c>
      <ns0:c r="K283" s="4">
        <ns0:v>60.93</ns0:v>
      </ns0:c>
      <ns0:c r="L283" s="4">
        <ns0:v>36.37</ns0:v>
      </ns0:c>
      <ns0:c r="M283" s="4">
        <ns0:v>57.10</ns0:v>
      </ns0:c>
      <ns0:c r="N283" s="4">
        <ns0:v>24.09</ns0:v>
      </ns0:c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 t="inlineStr">
        <ns0:is>
          <ns0:t>差旅补贴单价</ns0:t>
        </ns0:is>
      </ns0:c>
      <ns0:c r="C284" s="4">
        <ns0:v>49.87</ns0:v>
      </ns0:c>
      <ns0:c r="D284" s="4">
        <ns0:v>42.62</ns0:v>
      </ns0:c>
      <ns0:c r="E284" s="4">
        <ns0:v>55.28</ns0:v>
      </ns0:c>
      <ns0:c r="F284" s="4">
        <ns0:v>46.52</ns0:v>
      </ns0:c>
      <ns0:c r="G284" s="4">
        <ns0:v>31.61</ns0:v>
      </ns0:c>
      <ns0:c r="H284" s="4">
        <ns0:v>21.77</ns0:v>
      </ns0:c>
      <ns0:c r="I284" s="4">
        <ns0:v>38.98</ns0:v>
      </ns0:c>
      <ns0:c r="J284" s="4">
        <ns0:v>69.32</ns0:v>
      </ns0:c>
      <ns0:c r="K284" s="4">
        <ns0:v>28.00</ns0:v>
      </ns0:c>
      <ns0:c r="L284" s="4">
        <ns0:v>37.81</ns0:v>
      </ns0:c>
      <ns0:c r="M284" s="4">
        <ns0:v>23.02</ns0:v>
      </ns0:c>
      <ns0:c r="N284" s="4">
        <ns0:v>45.59</ns0:v>
      </ns0:c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 t="inlineStr">
        <ns0:is>
          <ns0:t>业务招待费单价</ns0:t>
        </ns0:is>
      </ns0:c>
      <ns0:c r="C285" s="4">
        <ns0:v>52.99</ns0:v>
      </ns0:c>
      <ns0:c r="D285" s="4">
        <ns0:v>36.50</ns0:v>
      </ns0:c>
      <ns0:c r="E285" s="4">
        <ns0:v>59.25</ns0:v>
      </ns0:c>
      <ns0:c r="F285" s="4">
        <ns0:v>58.76</ns0:v>
      </ns0:c>
      <ns0:c r="G285" s="4">
        <ns0:v>31.19</ns0:v>
      </ns0:c>
      <ns0:c r="H285" s="4">
        <ns0:v>58.67</ns0:v>
      </ns0:c>
      <ns0:c r="I285" s="4">
        <ns0:v>54.01</ns0:v>
      </ns0:c>
      <ns0:c r="J285" s="4">
        <ns0:v>44.46</ns0:v>
      </ns0:c>
      <ns0:c r="K285" s="4">
        <ns0:v>25.58</ns0:v>
      </ns0:c>
      <ns0:c r="L285" s="4">
        <ns0:v>35.96</ns0:v>
      </ns0:c>
      <ns0:c r="M285" s="4">
        <ns0:v>40.38</ns0:v>
      </ns0:c>
      <ns0:c r="N285" s="4">
        <ns0:v>24.86</ns0:v>
      </ns0:c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 t="inlineStr">
        <ns0:is>
          <ns0:t>市内交通费单价</ns0:t>
        </ns0:is>
      </ns0:c>
      <ns0:c r="C286" s="4">
        <ns0:v>44.83</ns0:v>
      </ns0:c>
      <ns0:c r="D286" s="4">
        <ns0:v>58.88</ns0:v>
      </ns0:c>
      <ns0:c r="E286" s="4">
        <ns0:v>32.09</ns0:v>
      </ns0:c>
      <ns0:c r="F286" s="4">
        <ns0:v>41.62</ns0:v>
      </ns0:c>
      <ns0:c r="G286" s="4">
        <ns0:v>48.34</ns0:v>
      </ns0:c>
      <ns0:c r="H286" s="4">
        <ns0:v>50.54</ns0:v>
      </ns0:c>
      <ns0:c r="I286" s="4">
        <ns0:v>56.43</ns0:v>
      </ns0:c>
      <ns0:c r="J286" s="4">
        <ns0:v>26.91</ns0:v>
      </ns0:c>
      <ns0:c r="K286" s="4">
        <ns0:v>23.79</ns0:v>
      </ns0:c>
      <ns0:c r="L286" s="4">
        <ns0:v>27.50</ns0:v>
      </ns0:c>
      <ns0:c r="M286" s="4">
        <ns0:v>59.54</ns0:v>
      </ns0:c>
      <ns0:c r="N286" s="4">
        <ns0:v>65.01</ns0:v>
      </ns0:c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 t="inlineStr">
        <ns0:is>
          <ns0:t>调研费用单价</ns0:t>
        </ns0:is>
      </ns0:c>
      <ns0:c r="C287" s="4">
        <ns0:v>40.40</ns0:v>
      </ns0:c>
      <ns0:c r="D287" s="4">
        <ns0:v>32.21</ns0:v>
      </ns0:c>
      <ns0:c r="E287" s="4">
        <ns0:v>28.70</ns0:v>
      </ns0:c>
      <ns0:c r="F287" s="4">
        <ns0:v>55.83</ns0:v>
      </ns0:c>
      <ns0:c r="G287" s="4">
        <ns0:v>50.92</ns0:v>
      </ns0:c>
      <ns0:c r="H287" s="4">
        <ns0:v>63.28</ns0:v>
      </ns0:c>
      <ns0:c r="I287" s="4">
        <ns0:v>31.91</ns0:v>
      </ns0:c>
      <ns0:c r="J287" s="4">
        <ns0:v>66.73</ns0:v>
      </ns0:c>
      <ns0:c r="K287" s="4">
        <ns0:v>21.23</ns0:v>
      </ns0:c>
      <ns0:c r="L287" s="4">
        <ns0:v>28.44</ns0:v>
      </ns0:c>
      <ns0:c r="M287" s="4">
        <ns0:v>74.13</ns0:v>
      </ns0:c>
      <ns0:c r="N287" s="4">
        <ns0:v>54.44</ns0:v>
      </ns0:c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 t="inlineStr">
        <ns0:is>
          <ns0:t>手续费单价</ns0:t>
        </ns0:is>
      </ns0:c>
      <ns0:c r="C288" s="4">
        <ns0:v>40.64</ns0:v>
      </ns0:c>
      <ns0:c r="D288" s="4">
        <ns0:v>42.09</ns0:v>
      </ns0:c>
      <ns0:c r="E288" s="4">
        <ns0:v>66.14</ns0:v>
      </ns0:c>
      <ns0:c r="F288" s="4">
        <ns0:v>76.05</ns0:v>
      </ns0:c>
      <ns0:c r="G288" s="4">
        <ns0:v>31.94</ns0:v>
      </ns0:c>
      <ns0:c r="H288" s="4">
        <ns0:v>41.75</ns0:v>
      </ns0:c>
      <ns0:c r="I288" s="4">
        <ns0:v>20.25</ns0:v>
      </ns0:c>
      <ns0:c r="J288" s="4">
        <ns0:v>39.81</ns0:v>
      </ns0:c>
      <ns0:c r="K288" s="4">
        <ns0:v>48.84</ns0:v>
      </ns0:c>
      <ns0:c r="L288" s="4">
        <ns0:v>63.11</ns0:v>
      </ns0:c>
      <ns0:c r="M288" s="4">
        <ns0:v>44.92</ns0:v>
      </ns0:c>
      <ns0:c r="N288" s="4">
        <ns0:v>64.97</ns0:v>
      </ns0:c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 t="inlineStr">
        <ns0:is>
          <ns0:t>利息收入单价</ns0:t>
        </ns0:is>
      </ns0:c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 t="inlineStr">
        <ns0:is>
          <ns0:t>利息支出单价</ns0:t>
        </ns0:is>
      </ns0:c>
      <ns0:c r="C290" s="4">
        <ns0:v>53.54</ns0:v>
      </ns0:c>
      <ns0:c r="D290" s="4">
        <ns0:v>56.96</ns0:v>
      </ns0:c>
      <ns0:c r="E290" s="4">
        <ns0:v>57.48</ns0:v>
      </ns0:c>
      <ns0:c r="F290" s="4">
        <ns0:v>71.34</ns0:v>
      </ns0:c>
      <ns0:c r="G290" s="4">
        <ns0:v>72.93</ns0:v>
      </ns0:c>
      <ns0:c r="H290" s="4">
        <ns0:v>51.75</ns0:v>
      </ns0:c>
      <ns0:c r="I290" s="4">
        <ns0:v>35.51</ns0:v>
      </ns0:c>
      <ns0:c r="J290" s="4">
        <ns0:v>47.69</ns0:v>
      </ns0:c>
      <ns0:c r="K290" s="4">
        <ns0:v>29.56</ns0:v>
      </ns0:c>
      <ns0:c r="L290" s="4">
        <ns0:v>58.60</ns0:v>
      </ns0:c>
      <ns0:c r="M290" s="4">
        <ns0:v>58.76</ns0:v>
      </ns0:c>
      <ns0:c r="N290" s="4">
        <ns0:v>19.80</ns0:v>
      </ns0:c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 t="inlineStr">
        <ns0:is>
          <ns0:t>车船税单价</ns0:t>
        </ns0:is>
      </ns0:c>
      <ns0:c r="C291" s="4">
        <ns0:v>23.72</ns0:v>
      </ns0:c>
      <ns0:c r="D291" s="4">
        <ns0:v>63.80</ns0:v>
      </ns0:c>
      <ns0:c r="E291" s="4">
        <ns0:v>69.76</ns0:v>
      </ns0:c>
      <ns0:c r="F291" s="4">
        <ns0:v>17.87</ns0:v>
      </ns0:c>
      <ns0:c r="G291" s="4">
        <ns0:v>27.26</ns0:v>
      </ns0:c>
      <ns0:c r="H291" s="4">
        <ns0:v>22.66</ns0:v>
      </ns0:c>
      <ns0:c r="I291" s="4">
        <ns0:v>19.57</ns0:v>
      </ns0:c>
      <ns0:c r="J291" s="4">
        <ns0:v>63.11</ns0:v>
      </ns0:c>
      <ns0:c r="K291" s="4">
        <ns0:v>62.61</ns0:v>
      </ns0:c>
      <ns0:c r="L291" s="4">
        <ns0:v>38.35</ns0:v>
      </ns0:c>
      <ns0:c r="M291" s="4">
        <ns0:v>58.74</ns0:v>
      </ns0:c>
      <ns0:c r="N291" s="4">
        <ns0:v>58.91</ns0:v>
      </ns0:c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 t="inlineStr">
        <ns0:is>
          <ns0:t>印花税单价</ns0:t>
        </ns0:is>
      </ns0:c>
      <ns0:c r="C292" s="4">
        <ns0:v>25.88</ns0:v>
      </ns0:c>
      <ns0:c r="D292" s="4">
        <ns0:v>44.18</ns0:v>
      </ns0:c>
      <ns0:c r="E292" s="4">
        <ns0:v>59.67</ns0:v>
      </ns0:c>
      <ns0:c r="F292" s="4">
        <ns0:v>56.02</ns0:v>
      </ns0:c>
      <ns0:c r="G292" s="4">
        <ns0:v>21.98</ns0:v>
      </ns0:c>
      <ns0:c r="H292" s="4">
        <ns0:v>47.82</ns0:v>
      </ns0:c>
      <ns0:c r="I292" s="4">
        <ns0:v>44.51</ns0:v>
      </ns0:c>
      <ns0:c r="J292" s="4">
        <ns0:v>27.25</ns0:v>
      </ns0:c>
      <ns0:c r="K292" s="4">
        <ns0:v>19.31</ns0:v>
      </ns0:c>
      <ns0:c r="L292" s="4">
        <ns0:v>35.15</ns0:v>
      </ns0:c>
      <ns0:c r="M292" s="4">
        <ns0:v>33.78</ns0:v>
      </ns0:c>
      <ns0:c r="N292" s="4">
        <ns0:v>42.65</ns0:v>
      </ns0:c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 t="inlineStr">
        <ns0:is>
          <ns0:t>其他单价</ns0:t>
        </ns0:is>
      </ns0:c>
      <ns0:c r="C293" s="4">
        <ns0:v>51.43</ns0:v>
      </ns0:c>
      <ns0:c r="D293" s="4">
        <ns0:v>51.16</ns0:v>
      </ns0:c>
      <ns0:c r="E293" s="4">
        <ns0:v>33.67</ns0:v>
      </ns0:c>
      <ns0:c r="F293" s="4">
        <ns0:v>20.27</ns0:v>
      </ns0:c>
      <ns0:c r="G293" s="4">
        <ns0:v>56.47</ns0:v>
      </ns0:c>
      <ns0:c r="H293" s="4">
        <ns0:v>44.84</ns0:v>
      </ns0:c>
      <ns0:c r="I293" s="4">
        <ns0:v>39.87</ns0:v>
      </ns0:c>
      <ns0:c r="J293" s="4">
        <ns0:v>42.75</ns0:v>
      </ns0:c>
      <ns0:c r="K293" s="4">
        <ns0:v>34.91</ns0:v>
      </ns0:c>
      <ns0:c r="L293" s="4">
        <ns0:v>26.43</ns0:v>
      </ns0:c>
      <ns0:c r="M293" s="4">
        <ns0:v>31.17</ns0:v>
      </ns0:c>
      <ns0:c r="N293" s="4">
        <ns0:v>38.36</ns0:v>
      </ns0:c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 t="inlineStr">
        <ns0:is>
          <ns0:t>工资数量</ns0:t>
        </ns0:is>
      </ns0:c>
      <ns0:c r="C324" s="4">
        <ns0:v>7.01</ns0:v>
      </ns0:c>
      <ns0:c r="D324" s="4">
        <ns0:v>3.78</ns0:v>
      </ns0:c>
      <ns0:c r="E324" s="4">
        <ns0:v>4.70</ns0:v>
      </ns0:c>
      <ns0:c r="F324" s="4">
        <ns0:v>6.54</ns0:v>
      </ns0:c>
      <ns0:c r="G324" s="4">
        <ns0:v>9.47</ns0:v>
      </ns0:c>
      <ns0:c r="H324" s="4">
        <ns0:v>3.71</ns0:v>
      </ns0:c>
      <ns0:c r="I324" s="4">
        <ns0:v>2.29</ns0:v>
      </ns0:c>
      <ns0:c r="J324" s="4">
        <ns0:v>7.28</ns0:v>
      </ns0:c>
      <ns0:c r="K324" s="4">
        <ns0:v>3.33</ns0:v>
      </ns0:c>
      <ns0:c r="L324" s="4">
        <ns0:v>3.91</ns0:v>
      </ns0:c>
      <ns0:c r="M324" s="4">
        <ns0:v>6.32</ns0:v>
      </ns0:c>
      <ns0:c r="N324" s="4">
        <ns0:v>7.31</ns0:v>
      </ns0:c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 t="inlineStr">
        <ns0:is>
          <ns0:t>十三薪数量</ns0:t>
        </ns0:is>
      </ns0:c>
      <ns0:c r="C325" s="4">
        <ns0:v>2.25</ns0:v>
      </ns0:c>
      <ns0:c r="D325" s="4">
        <ns0:v>5.04</ns0:v>
      </ns0:c>
      <ns0:c r="E325" s="4">
        <ns0:v>7.01</ns0:v>
      </ns0:c>
      <ns0:c r="F325" s="4">
        <ns0:v>4.41</ns0:v>
      </ns0:c>
      <ns0:c r="G325" s="4">
        <ns0:v>7.24</ns0:v>
      </ns0:c>
      <ns0:c r="H325" s="4">
        <ns0:v>4.30</ns0:v>
      </ns0:c>
      <ns0:c r="I325" s="4">
        <ns0:v>2.48</ns0:v>
      </ns0:c>
      <ns0:c r="J325" s="4">
        <ns0:v>4.72</ns0:v>
      </ns0:c>
      <ns0:c r="K325" s="4">
        <ns0:v>6.54</ns0:v>
      </ns0:c>
      <ns0:c r="L325" s="4">
        <ns0:v>1.96</ns0:v>
      </ns0:c>
      <ns0:c r="M325" s="4">
        <ns0:v>7.67</ns0:v>
      </ns0:c>
      <ns0:c r="N325" s="4">
        <ns0:v>5.16</ns0:v>
      </ns0:c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 t="inlineStr">
        <ns0:is>
          <ns0:t>离职补偿金数量</ns0:t>
        </ns0:is>
      </ns0:c>
      <ns0:c r="C326" s="4">
        <ns0:v>3.40</ns0:v>
      </ns0:c>
      <ns0:c r="D326" s="4">
        <ns0:v>2.64</ns0:v>
      </ns0:c>
      <ns0:c r="E326" s="4">
        <ns0:v>3.64</ns0:v>
      </ns0:c>
      <ns0:c r="F326" s="4">
        <ns0:v>7.75</ns0:v>
      </ns0:c>
      <ns0:c r="G326" s="4">
        <ns0:v>6.54</ns0:v>
      </ns0:c>
      <ns0:c r="H326" s="4">
        <ns0:v>2.79</ns0:v>
      </ns0:c>
      <ns0:c r="I326" s="4">
        <ns0:v>2.84</ns0:v>
      </ns0:c>
      <ns0:c r="J326" s="4">
        <ns0:v>3.84</ns0:v>
      </ns0:c>
      <ns0:c r="K326" s="4">
        <ns0:v>3.05</ns0:v>
      </ns0:c>
      <ns0:c r="L326" s="4">
        <ns0:v>6.01</ns0:v>
      </ns0:c>
      <ns0:c r="M326" s="4">
        <ns0:v>6.12</ns0:v>
      </ns0:c>
      <ns0:c r="N326" s="4">
        <ns0:v>5.39</ns0:v>
      </ns0:c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 t="inlineStr">
        <ns0:is>
          <ns0:t>五险一金数量</ns0:t>
        </ns0:is>
      </ns0:c>
      <ns0:c r="C327" s="4">
        <ns0:v>6.28</ns0:v>
      </ns0:c>
      <ns0:c r="D327" s="4">
        <ns0:v>7.36</ns0:v>
      </ns0:c>
      <ns0:c r="E327" s="4">
        <ns0:v>7.16</ns0:v>
      </ns0:c>
      <ns0:c r="F327" s="4">
        <ns0:v>6.12</ns0:v>
      </ns0:c>
      <ns0:c r="G327" s="4">
        <ns0:v>6.87</ns0:v>
      </ns0:c>
      <ns0:c r="H327" s="4">
        <ns0:v>6.61</ns0:v>
      </ns0:c>
      <ns0:c r="I327" s="4">
        <ns0:v>7.30</ns0:v>
      </ns0:c>
      <ns0:c r="J327" s="4">
        <ns0:v>5.30</ns0:v>
      </ns0:c>
      <ns0:c r="K327" s="4">
        <ns0:v>6.69</ns0:v>
      </ns0:c>
      <ns0:c r="L327" s="4">
        <ns0:v>5.84</ns0:v>
      </ns0:c>
      <ns0:c r="M327" s="4">
        <ns0:v>7.40</ns0:v>
      </ns0:c>
      <ns0:c r="N327" s="4">
        <ns0:v>6.87</ns0:v>
      </ns0:c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 t="inlineStr">
        <ns0:is>
          <ns0:t>福利费数量</ns0:t>
        </ns0:is>
      </ns0:c>
      <ns0:c r="C328" s="4">
        <ns0:v>6.76</ns0:v>
      </ns0:c>
      <ns0:c r="D328" s="4">
        <ns0:v>6.57</ns0:v>
      </ns0:c>
      <ns0:c r="E328" s="4">
        <ns0:v>7.58</ns0:v>
      </ns0:c>
      <ns0:c r="F328" s="4">
        <ns0:v>2.71</ns0:v>
      </ns0:c>
      <ns0:c r="G328" s="4">
        <ns0:v>5.98</ns0:v>
      </ns0:c>
      <ns0:c r="H328" s="4">
        <ns0:v>8.08</ns0:v>
      </ns0:c>
      <ns0:c r="I328" s="4">
        <ns0:v>4.76</ns0:v>
      </ns0:c>
      <ns0:c r="J328" s="4">
        <ns0:v>7.52</ns0:v>
      </ns0:c>
      <ns0:c r="K328" s="4">
        <ns0:v>4.43</ns0:v>
      </ns0:c>
      <ns0:c r="L328" s="4">
        <ns0:v>8.73</ns0:v>
      </ns0:c>
      <ns0:c r="M328" s="4">
        <ns0:v>7.49</ns0:v>
      </ns0:c>
      <ns0:c r="N328" s="4">
        <ns0:v>8.55</ns0:v>
      </ns0:c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 t="inlineStr">
        <ns0:is>
          <ns0:t>招聘费数量</ns0:t>
        </ns0:is>
      </ns0:c>
      <ns0:c r="C329" s="4">
        <ns0:v>6.66</ns0:v>
      </ns0:c>
      <ns0:c r="D329" s="4">
        <ns0:v>5.62</ns0:v>
      </ns0:c>
      <ns0:c r="E329" s="4">
        <ns0:v>6.11</ns0:v>
      </ns0:c>
      <ns0:c r="F329" s="4">
        <ns0:v>7.63</ns0:v>
      </ns0:c>
      <ns0:c r="G329" s="4">
        <ns0:v>5.44</ns0:v>
      </ns0:c>
      <ns0:c r="H329" s="4">
        <ns0:v>4.23</ns0:v>
      </ns0:c>
      <ns0:c r="I329" s="4">
        <ns0:v>7.24</ns0:v>
      </ns0:c>
      <ns0:c r="J329" s="4">
        <ns0:v>2.75</ns0:v>
      </ns0:c>
      <ns0:c r="K329" s="4">
        <ns0:v>5.80</ns0:v>
      </ns0:c>
      <ns0:c r="L329" s="4">
        <ns0:v>2.54</ns0:v>
      </ns0:c>
      <ns0:c r="M329" s="4">
        <ns0:v>6.88</ns0:v>
      </ns0:c>
      <ns0:c r="N329" s="4">
        <ns0:v>8.99</ns0:v>
      </ns0:c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 t="inlineStr">
        <ns0:is>
          <ns0:t>培训费数量</ns0:t>
        </ns0:is>
      </ns0:c>
      <ns0:c r="C330" s="4">
        <ns0:v>8.37</ns0:v>
      </ns0:c>
      <ns0:c r="D330" s="4">
        <ns0:v>6.57</ns0:v>
      </ns0:c>
      <ns0:c r="E330" s="4">
        <ns0:v>5.38</ns0:v>
      </ns0:c>
      <ns0:c r="F330" s="4">
        <ns0:v>4.37</ns0:v>
      </ns0:c>
      <ns0:c r="G330" s="4">
        <ns0:v>6.61</ns0:v>
      </ns0:c>
      <ns0:c r="H330" s="4">
        <ns0:v>3.01</ns0:v>
      </ns0:c>
      <ns0:c r="I330" s="4">
        <ns0:v>3.26</ns0:v>
      </ns0:c>
      <ns0:c r="J330" s="4">
        <ns0:v>8.08</ns0:v>
      </ns0:c>
      <ns0:c r="K330" s="4">
        <ns0:v>4.68</ns0:v>
      </ns0:c>
      <ns0:c r="L330" s="4">
        <ns0:v>6.87</ns0:v>
      </ns0:c>
      <ns0:c r="M330" s="4">
        <ns0:v>6.13</ns0:v>
      </ns0:c>
      <ns0:c r="N330" s="4">
        <ns0:v>2.28</ns0:v>
      </ns0:c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 t="inlineStr">
        <ns0:is>
          <ns0:t>房租数量</ns0:t>
        </ns0:is>
      </ns0:c>
      <ns0:c r="C331" s="4">
        <ns0:v>4.83</ns0:v>
      </ns0:c>
      <ns0:c r="D331" s="4">
        <ns0:v>7.11</ns0:v>
      </ns0:c>
      <ns0:c r="E331" s="4">
        <ns0:v>4.53</ns0:v>
      </ns0:c>
      <ns0:c r="F331" s="4">
        <ns0:v>7.68</ns0:v>
      </ns0:c>
      <ns0:c r="G331" s="4">
        <ns0:v>7.50</ns0:v>
      </ns0:c>
      <ns0:c r="H331" s="4">
        <ns0:v>5.61</ns0:v>
      </ns0:c>
      <ns0:c r="I331" s="4">
        <ns0:v>3.54</ns0:v>
      </ns0:c>
      <ns0:c r="J331" s="4">
        <ns0:v>5.52</ns0:v>
      </ns0:c>
      <ns0:c r="K331" s="4">
        <ns0:v>3.25</ns0:v>
      </ns0:c>
      <ns0:c r="L331" s="4">
        <ns0:v>5.78</ns0:v>
      </ns0:c>
      <ns0:c r="M331" s="4">
        <ns0:v>4.81</ns0:v>
      </ns0:c>
      <ns0:c r="N331" s="4">
        <ns0:v>4.04</ns0:v>
      </ns0:c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 t="inlineStr">
        <ns0:is>
          <ns0:t>物业管理费数量</ns0:t>
        </ns0:is>
      </ns0:c>
      <ns0:c r="C332" s="4">
        <ns0:v>3.18</ns0:v>
      </ns0:c>
      <ns0:c r="D332" s="4">
        <ns0:v>7.70</ns0:v>
      </ns0:c>
      <ns0:c r="E332" s="4">
        <ns0:v>7.43</ns0:v>
      </ns0:c>
      <ns0:c r="F332" s="4">
        <ns0:v>5.74</ns0:v>
      </ns0:c>
      <ns0:c r="G332" s="4">
        <ns0:v>3.88</ns0:v>
      </ns0:c>
      <ns0:c r="H332" s="4">
        <ns0:v>3.92</ns0:v>
      </ns0:c>
      <ns0:c r="I332" s="4">
        <ns0:v>7.23</ns0:v>
      </ns0:c>
      <ns0:c r="J332" s="4">
        <ns0:v>4.33</ns0:v>
      </ns0:c>
      <ns0:c r="K332" s="4">
        <ns0:v>6.09</ns0:v>
      </ns0:c>
      <ns0:c r="L332" s="4">
        <ns0:v>7.29</ns0:v>
      </ns0:c>
      <ns0:c r="M332" s="4">
        <ns0:v>6.35</ns0:v>
      </ns0:c>
      <ns0:c r="N332" s="4">
        <ns0:v>4.21</ns0:v>
      </ns0:c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 t="inlineStr">
        <ns0:is>
          <ns0:t>汽车费用数量</ns0:t>
        </ns0:is>
      </ns0:c>
      <ns0:c r="C333" s="4">
        <ns0:v>8.74</ns0:v>
      </ns0:c>
      <ns0:c r="D333" s="4">
        <ns0:v>5.96</ns0:v>
      </ns0:c>
      <ns0:c r="E333" s="4">
        <ns0:v>5.01</ns0:v>
      </ns0:c>
      <ns0:c r="F333" s="4">
        <ns0:v>4.73</ns0:v>
      </ns0:c>
      <ns0:c r="G333" s="4">
        <ns0:v>2.85</ns0:v>
      </ns0:c>
      <ns0:c r="H333" s="4">
        <ns0:v>5.49</ns0:v>
      </ns0:c>
      <ns0:c r="I333" s="4">
        <ns0:v>5.48</ns0:v>
      </ns0:c>
      <ns0:c r="J333" s="4">
        <ns0:v>6.64</ns0:v>
      </ns0:c>
      <ns0:c r="K333" s="4">
        <ns0:v>7.37</ns0:v>
      </ns0:c>
      <ns0:c r="L333" s="4">
        <ns0:v>5.54</ns0:v>
      </ns0:c>
      <ns0:c r="M333" s="4">
        <ns0:v>4.08</ns0:v>
      </ns0:c>
      <ns0:c r="N333" s="4">
        <ns0:v>3.31</ns0:v>
      </ns0:c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 t="inlineStr">
        <ns0:is>
          <ns0:t>办公费数量</ns0:t>
        </ns0:is>
      </ns0:c>
      <ns0:c r="C334" s="4">
        <ns0:v>6.59</ns0:v>
      </ns0:c>
      <ns0:c r="D334" s="4">
        <ns0:v>4.71</ns0:v>
      </ns0:c>
      <ns0:c r="E334" s="4">
        <ns0:v>6.25</ns0:v>
      </ns0:c>
      <ns0:c r="F334" s="4">
        <ns0:v>8.65</ns0:v>
      </ns0:c>
      <ns0:c r="G334" s="4">
        <ns0:v>5.91</ns0:v>
      </ns0:c>
      <ns0:c r="H334" s="4">
        <ns0:v>8.29</ns0:v>
      </ns0:c>
      <ns0:c r="I334" s="4">
        <ns0:v>2.58</ns0:v>
      </ns0:c>
      <ns0:c r="J334" s="4">
        <ns0:v>2.83</ns0:v>
      </ns0:c>
      <ns0:c r="K334" s="4">
        <ns0:v>6.15</ns0:v>
      </ns0:c>
      <ns0:c r="L334" s="4">
        <ns0:v>3.84</ns0:v>
      </ns0:c>
      <ns0:c r="M334" s="4">
        <ns0:v>3.65</ns0:v>
      </ns0:c>
      <ns0:c r="N334" s="4">
        <ns0:v>2.52</ns0:v>
      </ns0:c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 t="inlineStr">
        <ns0:is>
          <ns0:t>办公用品数量</ns0:t>
        </ns0:is>
      </ns0:c>
      <ns0:c r="C335" s="4">
        <ns0:v>8.18</ns0:v>
      </ns0:c>
      <ns0:c r="D335" s="4">
        <ns0:v>3.12</ns0:v>
      </ns0:c>
      <ns0:c r="E335" s="4">
        <ns0:v>4.70</ns0:v>
      </ns0:c>
      <ns0:c r="F335" s="4">
        <ns0:v>3.34</ns0:v>
      </ns0:c>
      <ns0:c r="G335" s="4">
        <ns0:v>7.96</ns0:v>
      </ns0:c>
      <ns0:c r="H335" s="4">
        <ns0:v>4.33</ns0:v>
      </ns0:c>
      <ns0:c r="I335" s="4">
        <ns0:v>5.15</ns0:v>
      </ns0:c>
      <ns0:c r="J335" s="4">
        <ns0:v>6.42</ns0:v>
      </ns0:c>
      <ns0:c r="K335" s="4">
        <ns0:v>6.90</ns0:v>
      </ns0:c>
      <ns0:c r="L335" s="4">
        <ns0:v>6.41</ns0:v>
      </ns0:c>
      <ns0:c r="M335" s="4">
        <ns0:v>2.63</ns0:v>
      </ns0:c>
      <ns0:c r="N335" s="4">
        <ns0:v>7.68</ns0:v>
      </ns0:c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 t="inlineStr">
        <ns0:is>
          <ns0:t>水电煤数量</ns0:t>
        </ns0:is>
      </ns0:c>
      <ns0:c r="C336" s="4">
        <ns0:v>6.74</ns0:v>
      </ns0:c>
      <ns0:c r="D336" s="4">
        <ns0:v>3.60</ns0:v>
      </ns0:c>
      <ns0:c r="E336" s="4">
        <ns0:v>4.43</ns0:v>
      </ns0:c>
      <ns0:c r="F336" s="4">
        <ns0:v>4.86</ns0:v>
      </ns0:c>
      <ns0:c r="G336" s="4">
        <ns0:v>5.89</ns0:v>
      </ns0:c>
      <ns0:c r="H336" s="4">
        <ns0:v>2.04</ns0:v>
      </ns0:c>
      <ns0:c r="I336" s="4">
        <ns0:v>5.92</ns0:v>
      </ns0:c>
      <ns0:c r="J336" s="4">
        <ns0:v>3.11</ns0:v>
      </ns0:c>
      <ns0:c r="K336" s="4">
        <ns0:v>9.17</ns0:v>
      </ns0:c>
      <ns0:c r="L336" s="4">
        <ns0:v>4.88</ns0:v>
      </ns0:c>
      <ns0:c r="M336" s="4">
        <ns0:v>8.18</ns0:v>
      </ns0:c>
      <ns0:c r="N336" s="4">
        <ns0:v>7.04</ns0:v>
      </ns0:c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 t="inlineStr">
        <ns0:is>
          <ns0:t>咨询服务费数量</ns0:t>
        </ns0:is>
      </ns0:c>
      <ns0:c r="C337" s="4">
        <ns0:v>4.66</ns0:v>
      </ns0:c>
      <ns0:c r="D337" s="4">
        <ns0:v>4.59</ns0:v>
      </ns0:c>
      <ns0:c r="E337" s="4">
        <ns0:v>8.08</ns0:v>
      </ns0:c>
      <ns0:c r="F337" s="4">
        <ns0:v>7.51</ns0:v>
      </ns0:c>
      <ns0:c r="G337" s="4">
        <ns0:v>8.27</ns0:v>
      </ns0:c>
      <ns0:c r="H337" s="4">
        <ns0:v>3.74</ns0:v>
      </ns0:c>
      <ns0:c r="I337" s="4">
        <ns0:v>4.16</ns0:v>
      </ns0:c>
      <ns0:c r="J337" s="4">
        <ns0:v>5.65</ns0:v>
      </ns0:c>
      <ns0:c r="K337" s="4">
        <ns0:v>7.42</ns0:v>
      </ns0:c>
      <ns0:c r="L337" s="4">
        <ns0:v>5.32</ns0:v>
      </ns0:c>
      <ns0:c r="M337" s="4">
        <ns0:v>7.52</ns0:v>
      </ns0:c>
      <ns0:c r="N337" s="4">
        <ns0:v>6.04</ns0:v>
      </ns0:c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 t="inlineStr">
        <ns0:is>
          <ns0:t>电话费数量</ns0:t>
        </ns0:is>
      </ns0:c>
      <ns0:c r="C338" s="4">
        <ns0:v>3.35</ns0:v>
      </ns0:c>
      <ns0:c r="D338" s="4">
        <ns0:v>5.33</ns0:v>
      </ns0:c>
      <ns0:c r="E338" s="4">
        <ns0:v>7.25</ns0:v>
      </ns0:c>
      <ns0:c r="F338" s="4">
        <ns0:v>2.71</ns0:v>
      </ns0:c>
      <ns0:c r="G338" s="4">
        <ns0:v>4.13</ns0:v>
      </ns0:c>
      <ns0:c r="H338" s="4">
        <ns0:v>2.75</ns0:v>
      </ns0:c>
      <ns0:c r="I338" s="4">
        <ns0:v>5.67</ns0:v>
      </ns0:c>
      <ns0:c r="J338" s="4">
        <ns0:v>3.55</ns0:v>
      </ns0:c>
      <ns0:c r="K338" s="4">
        <ns0:v>2.98</ns0:v>
      </ns0:c>
      <ns0:c r="L338" s="4">
        <ns0:v>3.24</ns0:v>
      </ns0:c>
      <ns0:c r="M338" s="4">
        <ns0:v>5.42</ns0:v>
      </ns0:c>
      <ns0:c r="N338" s="4">
        <ns0:v>7.76</ns0:v>
      </ns0:c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 t="inlineStr">
        <ns0:is>
          <ns0:t>快递费数量</ns0:t>
        </ns0:is>
      </ns0:c>
      <ns0:c r="C339" s="4">
        <ns0:v>6.67</ns0:v>
      </ns0:c>
      <ns0:c r="D339" s="4">
        <ns0:v>4.65</ns0:v>
      </ns0:c>
      <ns0:c r="E339" s="4">
        <ns0:v>7.16</ns0:v>
      </ns0:c>
      <ns0:c r="F339" s="4">
        <ns0:v>7.89</ns0:v>
      </ns0:c>
      <ns0:c r="G339" s="4">
        <ns0:v>4.93</ns0:v>
      </ns0:c>
      <ns0:c r="H339" s="4">
        <ns0:v>2.12</ns0:v>
      </ns0:c>
      <ns0:c r="I339" s="4">
        <ns0:v>4.47</ns0:v>
      </ns0:c>
      <ns0:c r="J339" s="4">
        <ns0:v>5.78</ns0:v>
      </ns0:c>
      <ns0:c r="K339" s="4">
        <ns0:v>4.32</ns0:v>
      </ns0:c>
      <ns0:c r="L339" s="4">
        <ns0:v>6.05</ns0:v>
      </ns0:c>
      <ns0:c r="M339" s="4">
        <ns0:v>6.41</ns0:v>
      </ns0:c>
      <ns0:c r="N339" s="4">
        <ns0:v>9.08</ns0:v>
      </ns0:c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 t="inlineStr">
        <ns0:is>
          <ns0:t>折旧及摊销数量</ns0:t>
        </ns0:is>
      </ns0:c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 t="inlineStr">
        <ns0:is>
          <ns0:t>机票火车票数量</ns0:t>
        </ns0:is>
      </ns0:c>
      <ns0:c r="C341" s="4">
        <ns0:v>6.71</ns0:v>
      </ns0:c>
      <ns0:c r="D341" s="4">
        <ns0:v>3.71</ns0:v>
      </ns0:c>
      <ns0:c r="E341" s="4">
        <ns0:v>9.75</ns0:v>
      </ns0:c>
      <ns0:c r="F341" s="4">
        <ns0:v>7.69</ns0:v>
      </ns0:c>
      <ns0:c r="G341" s="4">
        <ns0:v>5.72</ns0:v>
      </ns0:c>
      <ns0:c r="H341" s="4">
        <ns0:v>8.78</ns0:v>
      </ns0:c>
      <ns0:c r="I341" s="4">
        <ns0:v>7.62</ns0:v>
      </ns0:c>
      <ns0:c r="J341" s="4">
        <ns0:v>5.95</ns0:v>
      </ns0:c>
      <ns0:c r="K341" s="4">
        <ns0:v>4.05</ns0:v>
      </ns0:c>
      <ns0:c r="L341" s="4">
        <ns0:v>9.06</ns0:v>
      </ns0:c>
      <ns0:c r="M341" s="4">
        <ns0:v>6.06</ns0:v>
      </ns0:c>
      <ns0:c r="N341" s="4">
        <ns0:v>4.74</ns0:v>
      </ns0:c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 t="inlineStr">
        <ns0:is>
          <ns0:t>住宿费数量</ns0:t>
        </ns0:is>
      </ns0:c>
      <ns0:c r="C342" s="4">
        <ns0:v>2.93</ns0:v>
      </ns0:c>
      <ns0:c r="D342" s="4">
        <ns0:v>4.90</ns0:v>
      </ns0:c>
      <ns0:c r="E342" s="4">
        <ns0:v>7.25</ns0:v>
      </ns0:c>
      <ns0:c r="F342" s="4">
        <ns0:v>5.97</ns0:v>
      </ns0:c>
      <ns0:c r="G342" s="4">
        <ns0:v>9.04</ns0:v>
      </ns0:c>
      <ns0:c r="H342" s="4">
        <ns0:v>5.41</ns0:v>
      </ns0:c>
      <ns0:c r="I342" s="4">
        <ns0:v>7.50</ns0:v>
      </ns0:c>
      <ns0:c r="J342" s="4">
        <ns0:v>7.75</ns0:v>
      </ns0:c>
      <ns0:c r="K342" s="4">
        <ns0:v>3.70</ns0:v>
      </ns0:c>
      <ns0:c r="L342" s="4">
        <ns0:v>5.25</ns0:v>
      </ns0:c>
      <ns0:c r="M342" s="4">
        <ns0:v>7.15</ns0:v>
      </ns0:c>
      <ns0:c r="N342" s="4">
        <ns0:v>5.52</ns0:v>
      </ns0:c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 t="inlineStr">
        <ns0:is>
          <ns0:t>交通费数量</ns0:t>
        </ns0:is>
      </ns0:c>
      <ns0:c r="C343" s="4">
        <ns0:v>6.47</ns0:v>
      </ns0:c>
      <ns0:c r="D343" s="4">
        <ns0:v>7.25</ns0:v>
      </ns0:c>
      <ns0:c r="E343" s="4">
        <ns0:v>7.09</ns0:v>
      </ns0:c>
      <ns0:c r="F343" s="4">
        <ns0:v>3.17</ns0:v>
      </ns0:c>
      <ns0:c r="G343" s="4">
        <ns0:v>5.70</ns0:v>
      </ns0:c>
      <ns0:c r="H343" s="4">
        <ns0:v>5.37</ns0:v>
      </ns0:c>
      <ns0:c r="I343" s="4">
        <ns0:v>2.98</ns0:v>
      </ns0:c>
      <ns0:c r="J343" s="4">
        <ns0:v>8.60</ns0:v>
      </ns0:c>
      <ns0:c r="K343" s="4">
        <ns0:v>8.57</ns0:v>
      </ns0:c>
      <ns0:c r="L343" s="4">
        <ns0:v>3.10</ns0:v>
      </ns0:c>
      <ns0:c r="M343" s="4">
        <ns0:v>3.98</ns0:v>
      </ns0:c>
      <ns0:c r="N343" s="4">
        <ns0:v>7.93</ns0:v>
      </ns0:c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 t="inlineStr">
        <ns0:is>
          <ns0:t>差旅补贴数量</ns0:t>
        </ns0:is>
      </ns0:c>
      <ns0:c r="C344" s="4">
        <ns0:v>4.45</ns0:v>
      </ns0:c>
      <ns0:c r="D344" s="4">
        <ns0:v>5.14</ns0:v>
      </ns0:c>
      <ns0:c r="E344" s="4">
        <ns0:v>5.53</ns0:v>
      </ns0:c>
      <ns0:c r="F344" s="4">
        <ns0:v>4.81</ns0:v>
      </ns0:c>
      <ns0:c r="G344" s="4">
        <ns0:v>3.38</ns0:v>
      </ns0:c>
      <ns0:c r="H344" s="4">
        <ns0:v>5.68</ns0:v>
      </ns0:c>
      <ns0:c r="I344" s="4">
        <ns0:v>7.56</ns0:v>
      </ns0:c>
      <ns0:c r="J344" s="4">
        <ns0:v>4.84</ns0:v>
      </ns0:c>
      <ns0:c r="K344" s="4">
        <ns0:v>4.99</ns0:v>
      </ns0:c>
      <ns0:c r="L344" s="4">
        <ns0:v>7.92</ns0:v>
      </ns0:c>
      <ns0:c r="M344" s="4">
        <ns0:v>8.68</ns0:v>
      </ns0:c>
      <ns0:c r="N344" s="4">
        <ns0:v>5.55</ns0:v>
      </ns0:c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 t="inlineStr">
        <ns0:is>
          <ns0:t>业务招待费数量</ns0:t>
        </ns0:is>
      </ns0:c>
      <ns0:c r="C345" s="4">
        <ns0:v>4.59</ns0:v>
      </ns0:c>
      <ns0:c r="D345" s="4">
        <ns0:v>8.15</ns0:v>
      </ns0:c>
      <ns0:c r="E345" s="4">
        <ns0:v>3.94</ns0:v>
      </ns0:c>
      <ns0:c r="F345" s="4">
        <ns0:v>5.84</ns0:v>
      </ns0:c>
      <ns0:c r="G345" s="4">
        <ns0:v>7.74</ns0:v>
      </ns0:c>
      <ns0:c r="H345" s="4">
        <ns0:v>8.42</ns0:v>
      </ns0:c>
      <ns0:c r="I345" s="4">
        <ns0:v>7.72</ns0:v>
      </ns0:c>
      <ns0:c r="J345" s="4">
        <ns0:v>4.08</ns0:v>
      </ns0:c>
      <ns0:c r="K345" s="4">
        <ns0:v>6.28</ns0:v>
      </ns0:c>
      <ns0:c r="L345" s="4">
        <ns0:v>7.65</ns0:v>
      </ns0:c>
      <ns0:c r="M345" s="4">
        <ns0:v>2.15</ns0:v>
      </ns0:c>
      <ns0:c r="N345" s="4">
        <ns0:v>6.19</ns0:v>
      </ns0:c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 t="inlineStr">
        <ns0:is>
          <ns0:t>市内交通费数量</ns0:t>
        </ns0:is>
      </ns0:c>
      <ns0:c r="C346" s="4">
        <ns0:v>4.03</ns0:v>
      </ns0:c>
      <ns0:c r="D346" s="4">
        <ns0:v>7.56</ns0:v>
      </ns0:c>
      <ns0:c r="E346" s="4">
        <ns0:v>7.25</ns0:v>
      </ns0:c>
      <ns0:c r="F346" s="4">
        <ns0:v>6.96</ns0:v>
      </ns0:c>
      <ns0:c r="G346" s="4">
        <ns0:v>2.46</ns0:v>
      </ns0:c>
      <ns0:c r="H346" s="4">
        <ns0:v>5.39</ns0:v>
      </ns0:c>
      <ns0:c r="I346" s="4">
        <ns0:v>7.33</ns0:v>
      </ns0:c>
      <ns0:c r="J346" s="4">
        <ns0:v>4.38</ns0:v>
      </ns0:c>
      <ns0:c r="K346" s="4">
        <ns0:v>7.26</ns0:v>
      </ns0:c>
      <ns0:c r="L346" s="4">
        <ns0:v>4.33</ns0:v>
      </ns0:c>
      <ns0:c r="M346" s="4">
        <ns0:v>4.88</ns0:v>
      </ns0:c>
      <ns0:c r="N346" s="4">
        <ns0:v>5.52</ns0:v>
      </ns0:c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 t="inlineStr">
        <ns0:is>
          <ns0:t>调研费用数量</ns0:t>
        </ns0:is>
      </ns0:c>
      <ns0:c r="C347" s="4">
        <ns0:v>2.86</ns0:v>
      </ns0:c>
      <ns0:c r="D347" s="4">
        <ns0:v>2.40</ns0:v>
      </ns0:c>
      <ns0:c r="E347" s="4">
        <ns0:v>5.58</ns0:v>
      </ns0:c>
      <ns0:c r="F347" s="4">
        <ns0:v>6.67</ns0:v>
      </ns0:c>
      <ns0:c r="G347" s="4">
        <ns0:v>7.25</ns0:v>
      </ns0:c>
      <ns0:c r="H347" s="4">
        <ns0:v>5.56</ns0:v>
      </ns0:c>
      <ns0:c r="I347" s="4">
        <ns0:v>2.86</ns0:v>
      </ns0:c>
      <ns0:c r="J347" s="4">
        <ns0:v>7.01</ns0:v>
      </ns0:c>
      <ns0:c r="K347" s="4">
        <ns0:v>3.49</ns0:v>
      </ns0:c>
      <ns0:c r="L347" s="4">
        <ns0:v>2.88</ns0:v>
      </ns0:c>
      <ns0:c r="M347" s="4">
        <ns0:v>2.01</ns0:v>
      </ns0:c>
      <ns0:c r="N347" s="4">
        <ns0:v>4.63</ns0:v>
      </ns0:c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 t="inlineStr">
        <ns0:is>
          <ns0:t>手续费数量</ns0:t>
        </ns0:is>
      </ns0:c>
      <ns0:c r="C348" s="4">
        <ns0:v>7.29</ns0:v>
      </ns0:c>
      <ns0:c r="D348" s="4">
        <ns0:v>4.04</ns0:v>
      </ns0:c>
      <ns0:c r="E348" s="4">
        <ns0:v>5.08</ns0:v>
      </ns0:c>
      <ns0:c r="F348" s="4">
        <ns0:v>8.19</ns0:v>
      </ns0:c>
      <ns0:c r="G348" s="4">
        <ns0:v>5.46</ns0:v>
      </ns0:c>
      <ns0:c r="H348" s="4">
        <ns0:v>6.49</ns0:v>
      </ns0:c>
      <ns0:c r="I348" s="4">
        <ns0:v>6.32</ns0:v>
      </ns0:c>
      <ns0:c r="J348" s="4">
        <ns0:v>2.19</ns0:v>
      </ns0:c>
      <ns0:c r="K348" s="4">
        <ns0:v>6.24</ns0:v>
      </ns0:c>
      <ns0:c r="L348" s="4">
        <ns0:v>3.73</ns0:v>
      </ns0:c>
      <ns0:c r="M348" s="4">
        <ns0:v>5.04</ns0:v>
      </ns0:c>
      <ns0:c r="N348" s="4">
        <ns0:v>9.54</ns0:v>
      </ns0:c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 t="inlineStr">
        <ns0:is>
          <ns0:t>利息收入数量</ns0:t>
        </ns0:is>
      </ns0:c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 t="inlineStr">
        <ns0:is>
          <ns0:t>利息支出数量</ns0:t>
        </ns0:is>
      </ns0:c>
      <ns0:c r="C350" s="4">
        <ns0:v>7.77</ns0:v>
      </ns0:c>
      <ns0:c r="D350" s="4">
        <ns0:v>6.90</ns0:v>
      </ns0:c>
      <ns0:c r="E350" s="4">
        <ns0:v>2.34</ns0:v>
      </ns0:c>
      <ns0:c r="F350" s="4">
        <ns0:v>2.49</ns0:v>
      </ns0:c>
      <ns0:c r="G350" s="4">
        <ns0:v>3.52</ns0:v>
      </ns0:c>
      <ns0:c r="H350" s="4">
        <ns0:v>3.11</ns0:v>
      </ns0:c>
      <ns0:c r="I350" s="4">
        <ns0:v>8.77</ns0:v>
      </ns0:c>
      <ns0:c r="J350" s="4">
        <ns0:v>4.86</ns0:v>
      </ns0:c>
      <ns0:c r="K350" s="4">
        <ns0:v>8.14</ns0:v>
      </ns0:c>
      <ns0:c r="L350" s="4">
        <ns0:v>3.17</ns0:v>
      </ns0:c>
      <ns0:c r="M350" s="4">
        <ns0:v>3.50</ns0:v>
      </ns0:c>
      <ns0:c r="N350" s="4">
        <ns0:v>7.94</ns0:v>
      </ns0:c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 t="inlineStr">
        <ns0:is>
          <ns0:t>车船税数量</ns0:t>
        </ns0:is>
      </ns0:c>
      <ns0:c r="C351" s="4">
        <ns0:v>8.32</ns0:v>
      </ns0:c>
      <ns0:c r="D351" s="4">
        <ns0:v>8.35</ns0:v>
      </ns0:c>
      <ns0:c r="E351" s="4">
        <ns0:v>2.40</ns0:v>
      </ns0:c>
      <ns0:c r="F351" s="4">
        <ns0:v>6.18</ns0:v>
      </ns0:c>
      <ns0:c r="G351" s="4">
        <ns0:v>7.19</ns0:v>
      </ns0:c>
      <ns0:c r="H351" s="4">
        <ns0:v>6.32</ns0:v>
      </ns0:c>
      <ns0:c r="I351" s="4">
        <ns0:v>3.64</ns0:v>
      </ns0:c>
      <ns0:c r="J351" s="4">
        <ns0:v>6.57</ns0:v>
      </ns0:c>
      <ns0:c r="K351" s="4">
        <ns0:v>3.74</ns0:v>
      </ns0:c>
      <ns0:c r="L351" s="4">
        <ns0:v>5.98</ns0:v>
      </ns0:c>
      <ns0:c r="M351" s="4">
        <ns0:v>5.62</ns0:v>
      </ns0:c>
      <ns0:c r="N351" s="4">
        <ns0:v>3.63</ns0:v>
      </ns0:c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 t="inlineStr">
        <ns0:is>
          <ns0:t>印花税数量</ns0:t>
        </ns0:is>
      </ns0:c>
      <ns0:c r="C352" s="4">
        <ns0:v>6.90</ns0:v>
      </ns0:c>
      <ns0:c r="D352" s="4">
        <ns0:v>6.87</ns0:v>
      </ns0:c>
      <ns0:c r="E352" s="4">
        <ns0:v>5.97</ns0:v>
      </ns0:c>
      <ns0:c r="F352" s="4">
        <ns0:v>5.82</ns0:v>
      </ns0:c>
      <ns0:c r="G352" s="4">
        <ns0:v>8.86</ns0:v>
      </ns0:c>
      <ns0:c r="H352" s="4">
        <ns0:v>5.63</ns0:v>
      </ns0:c>
      <ns0:c r="I352" s="4">
        <ns0:v>9.13</ns0:v>
      </ns0:c>
      <ns0:c r="J352" s="4">
        <ns0:v>4.97</ns0:v>
      </ns0:c>
      <ns0:c r="K352" s="4">
        <ns0:v>3.65</ns0:v>
      </ns0:c>
      <ns0:c r="L352" s="4">
        <ns0:v>2.23</ns0:v>
      </ns0:c>
      <ns0:c r="M352" s="4">
        <ns0:v>6.97</ns0:v>
      </ns0:c>
      <ns0:c r="N352" s="4">
        <ns0:v>8.84</ns0:v>
      </ns0:c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 t="inlineStr">
        <ns0:is>
          <ns0:t>其他数量</ns0:t>
        </ns0:is>
      </ns0:c>
      <ns0:c r="C353" s="4">
        <ns0:v>2.22</ns0:v>
      </ns0:c>
      <ns0:c r="D353" s="4">
        <ns0:v>8.03</ns0:v>
      </ns0:c>
      <ns0:c r="E353" s="4">
        <ns0:v>4.19</ns0:v>
      </ns0:c>
      <ns0:c r="F353" s="4">
        <ns0:v>5.20</ns0:v>
      </ns0:c>
      <ns0:c r="G353" s="4">
        <ns0:v>8.17</ns0:v>
      </ns0:c>
      <ns0:c r="H353" s="4">
        <ns0:v>3.66</ns0:v>
      </ns0:c>
      <ns0:c r="I353" s="4">
        <ns0:v>6.39</ns0:v>
      </ns0:c>
      <ns0:c r="J353" s="4">
        <ns0:v>3.34</ns0:v>
      </ns0:c>
      <ns0:c r="K353" s="4">
        <ns0:v>8.03</ns0:v>
      </ns0:c>
      <ns0:c r="L353" s="4">
        <ns0:v>7.57</ns0:v>
      </ns0:c>
      <ns0:c r="M353" s="4">
        <ns0:v>7.39</ns0:v>
      </ns0:c>
      <ns0:c r="N353" s="4">
        <ns0:v>8.76</ns0:v>
      </ns0:c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 t="inlineStr">
        <ns0:is>
          <ns0:t>工资数量</ns0:t>
        </ns0:is>
      </ns0:c>
      <ns0:c r="C384" s="4">
        <ns0:v>8.10</ns0:v>
      </ns0:c>
      <ns0:c r="D384" s="4">
        <ns0:v>8.22</ns0:v>
      </ns0:c>
      <ns0:c r="E384" s="4">
        <ns0:v>2.73</ns0:v>
      </ns0:c>
      <ns0:c r="F384" s="4">
        <ns0:v>5.71</ns0:v>
      </ns0:c>
      <ns0:c r="G384" s="4">
        <ns0:v>5.28</ns0:v>
      </ns0:c>
      <ns0:c r="H384" s="4">
        <ns0:v>6.11</ns0:v>
      </ns0:c>
      <ns0:c r="I384" s="4">
        <ns0:v>6.50</ns0:v>
      </ns0:c>
      <ns0:c r="J384" s="4">
        <ns0:v>5.20</ns0:v>
      </ns0:c>
      <ns0:c r="K384" s="4">
        <ns0:v>4.31</ns0:v>
      </ns0:c>
      <ns0:c r="L384" s="4">
        <ns0:v>8.30</ns0:v>
      </ns0:c>
      <ns0:c r="M384" s="4">
        <ns0:v>2.51</ns0:v>
      </ns0:c>
      <ns0:c r="N384" s="4">
        <ns0:v>6.91</ns0:v>
      </ns0:c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 t="inlineStr">
        <ns0:is>
          <ns0:t>十三薪数量</ns0:t>
        </ns0:is>
      </ns0:c>
      <ns0:c r="C385" s="4">
        <ns0:v>7.49</ns0:v>
      </ns0:c>
      <ns0:c r="D385" s="4">
        <ns0:v>2.67</ns0:v>
      </ns0:c>
      <ns0:c r="E385" s="4">
        <ns0:v>7.25</ns0:v>
      </ns0:c>
      <ns0:c r="F385" s="4">
        <ns0:v>7.98</ns0:v>
      </ns0:c>
      <ns0:c r="G385" s="4">
        <ns0:v>8.28</ns0:v>
      </ns0:c>
      <ns0:c r="H385" s="4">
        <ns0:v>2.58</ns0:v>
      </ns0:c>
      <ns0:c r="I385" s="4">
        <ns0:v>4.62</ns0:v>
      </ns0:c>
      <ns0:c r="J385" s="4">
        <ns0:v>4.01</ns0:v>
      </ns0:c>
      <ns0:c r="K385" s="4">
        <ns0:v>8.75</ns0:v>
      </ns0:c>
      <ns0:c r="L385" s="4">
        <ns0:v>3.46</ns0:v>
      </ns0:c>
      <ns0:c r="M385" s="4">
        <ns0:v>8.82</ns0:v>
      </ns0:c>
      <ns0:c r="N385" s="4">
        <ns0:v>8.24</ns0:v>
      </ns0:c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 t="inlineStr">
        <ns0:is>
          <ns0:t>离职补偿金数量</ns0:t>
        </ns0:is>
      </ns0:c>
      <ns0:c r="C386" s="4">
        <ns0:v>3.61</ns0:v>
      </ns0:c>
      <ns0:c r="D386" s="4">
        <ns0:v>4.77</ns0:v>
      </ns0:c>
      <ns0:c r="E386" s="4">
        <ns0:v>6.44</ns0:v>
      </ns0:c>
      <ns0:c r="F386" s="4">
        <ns0:v>6.80</ns0:v>
      </ns0:c>
      <ns0:c r="G386" s="4">
        <ns0:v>3.14</ns0:v>
      </ns0:c>
      <ns0:c r="H386" s="4">
        <ns0:v>6.63</ns0:v>
      </ns0:c>
      <ns0:c r="I386" s="4">
        <ns0:v>7.10</ns0:v>
      </ns0:c>
      <ns0:c r="J386" s="4">
        <ns0:v>7.78</ns0:v>
      </ns0:c>
      <ns0:c r="K386" s="4">
        <ns0:v>8.31</ns0:v>
      </ns0:c>
      <ns0:c r="L386" s="4">
        <ns0:v>6.81</ns0:v>
      </ns0:c>
      <ns0:c r="M386" s="4">
        <ns0:v>5.98</ns0:v>
      </ns0:c>
      <ns0:c r="N386" s="4">
        <ns0:v>2.42</ns0:v>
      </ns0:c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 t="inlineStr">
        <ns0:is>
          <ns0:t>五险一金数量</ns0:t>
        </ns0:is>
      </ns0:c>
      <ns0:c r="C387" s="4">
        <ns0:v>6.72</ns0:v>
      </ns0:c>
      <ns0:c r="D387" s="4">
        <ns0:v>3.37</ns0:v>
      </ns0:c>
      <ns0:c r="E387" s="4">
        <ns0:v>6.45</ns0:v>
      </ns0:c>
      <ns0:c r="F387" s="4">
        <ns0:v>4.64</ns0:v>
      </ns0:c>
      <ns0:c r="G387" s="4">
        <ns0:v>9.18</ns0:v>
      </ns0:c>
      <ns0:c r="H387" s="4">
        <ns0:v>4.92</ns0:v>
      </ns0:c>
      <ns0:c r="I387" s="4">
        <ns0:v>8.65</ns0:v>
      </ns0:c>
      <ns0:c r="J387" s="4">
        <ns0:v>6.96</ns0:v>
      </ns0:c>
      <ns0:c r="K387" s="4">
        <ns0:v>8.66</ns0:v>
      </ns0:c>
      <ns0:c r="L387" s="4">
        <ns0:v>4.86</ns0:v>
      </ns0:c>
      <ns0:c r="M387" s="4">
        <ns0:v>5.82</ns0:v>
      </ns0:c>
      <ns0:c r="N387" s="4">
        <ns0:v>7.41</ns0:v>
      </ns0:c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 t="inlineStr">
        <ns0:is>
          <ns0:t>福利费数量</ns0:t>
        </ns0:is>
      </ns0:c>
      <ns0:c r="C388" s="4">
        <ns0:v>3.07</ns0:v>
      </ns0:c>
      <ns0:c r="D388" s="4">
        <ns0:v>9.69</ns0:v>
      </ns0:c>
      <ns0:c r="E388" s="4">
        <ns0:v>6.58</ns0:v>
      </ns0:c>
      <ns0:c r="F388" s="4">
        <ns0:v>5.54</ns0:v>
      </ns0:c>
      <ns0:c r="G388" s="4">
        <ns0:v>8.41</ns0:v>
      </ns0:c>
      <ns0:c r="H388" s="4">
        <ns0:v>7.78</ns0:v>
      </ns0:c>
      <ns0:c r="I388" s="4">
        <ns0:v>6.14</ns0:v>
      </ns0:c>
      <ns0:c r="J388" s="4">
        <ns0:v>8.96</ns0:v>
      </ns0:c>
      <ns0:c r="K388" s="4">
        <ns0:v>5.05</ns0:v>
      </ns0:c>
      <ns0:c r="L388" s="4">
        <ns0:v>3.31</ns0:v>
      </ns0:c>
      <ns0:c r="M388" s="4">
        <ns0:v>3.69</ns0:v>
      </ns0:c>
      <ns0:c r="N388" s="4">
        <ns0:v>5.04</ns0:v>
      </ns0:c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 t="inlineStr">
        <ns0:is>
          <ns0:t>招聘费数量</ns0:t>
        </ns0:is>
      </ns0:c>
      <ns0:c r="C389" s="4">
        <ns0:v>3.97</ns0:v>
      </ns0:c>
      <ns0:c r="D389" s="4">
        <ns0:v>3.88</ns0:v>
      </ns0:c>
      <ns0:c r="E389" s="4">
        <ns0:v>7.85</ns0:v>
      </ns0:c>
      <ns0:c r="F389" s="4">
        <ns0:v>6.44</ns0:v>
      </ns0:c>
      <ns0:c r="G389" s="4">
        <ns0:v>8.88</ns0:v>
      </ns0:c>
      <ns0:c r="H389" s="4">
        <ns0:v>2.79</ns0:v>
      </ns0:c>
      <ns0:c r="I389" s="4">
        <ns0:v>4.77</ns0:v>
      </ns0:c>
      <ns0:c r="J389" s="4">
        <ns0:v>5.75</ns0:v>
      </ns0:c>
      <ns0:c r="K389" s="4">
        <ns0:v>6.63</ns0:v>
      </ns0:c>
      <ns0:c r="L389" s="4">
        <ns0:v>3.61</ns0:v>
      </ns0:c>
      <ns0:c r="M389" s="4">
        <ns0:v>6.57</ns0:v>
      </ns0:c>
      <ns0:c r="N389" s="4">
        <ns0:v>7.23</ns0:v>
      </ns0:c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 t="inlineStr">
        <ns0:is>
          <ns0:t>培训费数量</ns0:t>
        </ns0:is>
      </ns0:c>
      <ns0:c r="C390" s="4">
        <ns0:v>6.67</ns0:v>
      </ns0:c>
      <ns0:c r="D390" s="4">
        <ns0:v>4.72</ns0:v>
      </ns0:c>
      <ns0:c r="E390" s="4">
        <ns0:v>4.94</ns0:v>
      </ns0:c>
      <ns0:c r="F390" s="4">
        <ns0:v>7.11</ns0:v>
      </ns0:c>
      <ns0:c r="G390" s="4">
        <ns0:v>5.18</ns0:v>
      </ns0:c>
      <ns0:c r="H390" s="4">
        <ns0:v>3.17</ns0:v>
      </ns0:c>
      <ns0:c r="I390" s="4">
        <ns0:v>4.25</ns0:v>
      </ns0:c>
      <ns0:c r="J390" s="4">
        <ns0:v>6.30</ns0:v>
      </ns0:c>
      <ns0:c r="K390" s="4">
        <ns0:v>7.40</ns0:v>
      </ns0:c>
      <ns0:c r="L390" s="4">
        <ns0:v>2.67</ns0:v>
      </ns0:c>
      <ns0:c r="M390" s="4">
        <ns0:v>6.52</ns0:v>
      </ns0:c>
      <ns0:c r="N390" s="4">
        <ns0:v>5.03</ns0:v>
      </ns0:c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 t="inlineStr">
        <ns0:is>
          <ns0:t>房租数量</ns0:t>
        </ns0:is>
      </ns0:c>
      <ns0:c r="C391" s="4">
        <ns0:v>5.16</ns0:v>
      </ns0:c>
      <ns0:c r="D391" s="4">
        <ns0:v>2.53</ns0:v>
      </ns0:c>
      <ns0:c r="E391" s="4">
        <ns0:v>3.74</ns0:v>
      </ns0:c>
      <ns0:c r="F391" s="4">
        <ns0:v>3.47</ns0:v>
      </ns0:c>
      <ns0:c r="G391" s="4">
        <ns0:v>4.01</ns0:v>
      </ns0:c>
      <ns0:c r="H391" s="4">
        <ns0:v>5.42</ns0:v>
      </ns0:c>
      <ns0:c r="I391" s="4">
        <ns0:v>5.02</ns0:v>
      </ns0:c>
      <ns0:c r="J391" s="4">
        <ns0:v>3.67</ns0:v>
      </ns0:c>
      <ns0:c r="K391" s="4">
        <ns0:v>7.25</ns0:v>
      </ns0:c>
      <ns0:c r="L391" s="4">
        <ns0:v>6.34</ns0:v>
      </ns0:c>
      <ns0:c r="M391" s="4">
        <ns0:v>4.25</ns0:v>
      </ns0:c>
      <ns0:c r="N391" s="4">
        <ns0:v>8.10</ns0:v>
      </ns0:c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 t="inlineStr">
        <ns0:is>
          <ns0:t>物业管理费数量</ns0:t>
        </ns0:is>
      </ns0:c>
      <ns0:c r="C392" s="4">
        <ns0:v>6.73</ns0:v>
      </ns0:c>
      <ns0:c r="D392" s="4">
        <ns0:v>8.24</ns0:v>
      </ns0:c>
      <ns0:c r="E392" s="4">
        <ns0:v>6.08</ns0:v>
      </ns0:c>
      <ns0:c r="F392" s="4">
        <ns0:v>2.98</ns0:v>
      </ns0:c>
      <ns0:c r="G392" s="4">
        <ns0:v>3.90</ns0:v>
      </ns0:c>
      <ns0:c r="H392" s="4">
        <ns0:v>8.33</ns0:v>
      </ns0:c>
      <ns0:c r="I392" s="4">
        <ns0:v>4.82</ns0:v>
      </ns0:c>
      <ns0:c r="J392" s="4">
        <ns0:v>3.55</ns0:v>
      </ns0:c>
      <ns0:c r="K392" s="4">
        <ns0:v>4.65</ns0:v>
      </ns0:c>
      <ns0:c r="L392" s="4">
        <ns0:v>7.80</ns0:v>
      </ns0:c>
      <ns0:c r="M392" s="4">
        <ns0:v>3.90</ns0:v>
      </ns0:c>
      <ns0:c r="N392" s="4">
        <ns0:v>4.44</ns0:v>
      </ns0:c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 t="inlineStr">
        <ns0:is>
          <ns0:t>汽车费用数量</ns0:t>
        </ns0:is>
      </ns0:c>
      <ns0:c r="C393" s="4">
        <ns0:v>7.80</ns0:v>
      </ns0:c>
      <ns0:c r="D393" s="4">
        <ns0:v>2.85</ns0:v>
      </ns0:c>
      <ns0:c r="E393" s="4">
        <ns0:v>5.15</ns0:v>
      </ns0:c>
      <ns0:c r="F393" s="4">
        <ns0:v>6.74</ns0:v>
      </ns0:c>
      <ns0:c r="G393" s="4">
        <ns0:v>4.41</ns0:v>
      </ns0:c>
      <ns0:c r="H393" s="4">
        <ns0:v>5.66</ns0:v>
      </ns0:c>
      <ns0:c r="I393" s="4">
        <ns0:v>2.98</ns0:v>
      </ns0:c>
      <ns0:c r="J393" s="4">
        <ns0:v>8.24</ns0:v>
      </ns0:c>
      <ns0:c r="K393" s="4">
        <ns0:v>6.75</ns0:v>
      </ns0:c>
      <ns0:c r="L393" s="4">
        <ns0:v>9.70</ns0:v>
      </ns0:c>
      <ns0:c r="M393" s="4">
        <ns0:v>4.62</ns0:v>
      </ns0:c>
      <ns0:c r="N393" s="4">
        <ns0:v>5.98</ns0:v>
      </ns0:c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 t="inlineStr">
        <ns0:is>
          <ns0:t>办公费数量</ns0:t>
        </ns0:is>
      </ns0:c>
      <ns0:c r="C394" s="4">
        <ns0:v>6.28</ns0:v>
      </ns0:c>
      <ns0:c r="D394" s="4">
        <ns0:v>7.52</ns0:v>
      </ns0:c>
      <ns0:c r="E394" s="4">
        <ns0:v>7.17</ns0:v>
      </ns0:c>
      <ns0:c r="F394" s="4">
        <ns0:v>6.36</ns0:v>
      </ns0:c>
      <ns0:c r="G394" s="4">
        <ns0:v>7.03</ns0:v>
      </ns0:c>
      <ns0:c r="H394" s="4">
        <ns0:v>7.78</ns0:v>
      </ns0:c>
      <ns0:c r="I394" s="4">
        <ns0:v>2.42</ns0:v>
      </ns0:c>
      <ns0:c r="J394" s="4">
        <ns0:v>5.31</ns0:v>
      </ns0:c>
      <ns0:c r="K394" s="4">
        <ns0:v>6.95</ns0:v>
      </ns0:c>
      <ns0:c r="L394" s="4">
        <ns0:v>4.12</ns0:v>
      </ns0:c>
      <ns0:c r="M394" s="4">
        <ns0:v>2.98</ns0:v>
      </ns0:c>
      <ns0:c r="N394" s="4">
        <ns0:v>7.52</ns0:v>
      </ns0:c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 t="inlineStr">
        <ns0:is>
          <ns0:t>办公用品数量</ns0:t>
        </ns0:is>
      </ns0:c>
      <ns0:c r="C395" s="4">
        <ns0:v>8.25</ns0:v>
      </ns0:c>
      <ns0:c r="D395" s="4">
        <ns0:v>5.62</ns0:v>
      </ns0:c>
      <ns0:c r="E395" s="4">
        <ns0:v>3.83</ns0:v>
      </ns0:c>
      <ns0:c r="F395" s="4">
        <ns0:v>6.87</ns0:v>
      </ns0:c>
      <ns0:c r="G395" s="4">
        <ns0:v>7.42</ns0:v>
      </ns0:c>
      <ns0:c r="H395" s="4">
        <ns0:v>5.59</ns0:v>
      </ns0:c>
      <ns0:c r="I395" s="4">
        <ns0:v>2.66</ns0:v>
      </ns0:c>
      <ns0:c r="J395" s="4">
        <ns0:v>4.20</ns0:v>
      </ns0:c>
      <ns0:c r="K395" s="4">
        <ns0:v>3.25</ns0:v>
      </ns0:c>
      <ns0:c r="L395" s="4">
        <ns0:v>8.19</ns0:v>
      </ns0:c>
      <ns0:c r="M395" s="4">
        <ns0:v>9.16</ns0:v>
      </ns0:c>
      <ns0:c r="N395" s="4">
        <ns0:v>7.30</ns0:v>
      </ns0:c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 t="inlineStr">
        <ns0:is>
          <ns0:t>水电煤数量</ns0:t>
        </ns0:is>
      </ns0:c>
      <ns0:c r="C396" s="4">
        <ns0:v>7.50</ns0:v>
      </ns0:c>
      <ns0:c r="D396" s="4">
        <ns0:v>2.47</ns0:v>
      </ns0:c>
      <ns0:c r="E396" s="4">
        <ns0:v>6.54</ns0:v>
      </ns0:c>
      <ns0:c r="F396" s="4">
        <ns0:v>7.30</ns0:v>
      </ns0:c>
      <ns0:c r="G396" s="4">
        <ns0:v>2.17</ns0:v>
      </ns0:c>
      <ns0:c r="H396" s="4">
        <ns0:v>5.81</ns0:v>
      </ns0:c>
      <ns0:c r="I396" s="4">
        <ns0:v>5.77</ns0:v>
      </ns0:c>
      <ns0:c r="J396" s="4">
        <ns0:v>5.50</ns0:v>
      </ns0:c>
      <ns0:c r="K396" s="4">
        <ns0:v>6.59</ns0:v>
      </ns0:c>
      <ns0:c r="L396" s="4">
        <ns0:v>3.48</ns0:v>
      </ns0:c>
      <ns0:c r="M396" s="4">
        <ns0:v>6.33</ns0:v>
      </ns0:c>
      <ns0:c r="N396" s="4">
        <ns0:v>3.07</ns0:v>
      </ns0:c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 t="inlineStr">
        <ns0:is>
          <ns0:t>咨询服务费数量</ns0:t>
        </ns0:is>
      </ns0:c>
      <ns0:c r="C397" s="4">
        <ns0:v>4.81</ns0:v>
      </ns0:c>
      <ns0:c r="D397" s="4">
        <ns0:v>7.78</ns0:v>
      </ns0:c>
      <ns0:c r="E397" s="4">
        <ns0:v>2.74</ns0:v>
      </ns0:c>
      <ns0:c r="F397" s="4">
        <ns0:v>3.84</ns0:v>
      </ns0:c>
      <ns0:c r="G397" s="4">
        <ns0:v>4.26</ns0:v>
      </ns0:c>
      <ns0:c r="H397" s="4">
        <ns0:v>9.13</ns0:v>
      </ns0:c>
      <ns0:c r="I397" s="4">
        <ns0:v>4.57</ns0:v>
      </ns0:c>
      <ns0:c r="J397" s="4">
        <ns0:v>8.21</ns0:v>
      </ns0:c>
      <ns0:c r="K397" s="4">
        <ns0:v>8.59</ns0:v>
      </ns0:c>
      <ns0:c r="L397" s="4">
        <ns0:v>7.08</ns0:v>
      </ns0:c>
      <ns0:c r="M397" s="4">
        <ns0:v>6.70</ns0:v>
      </ns0:c>
      <ns0:c r="N397" s="4">
        <ns0:v>3.21</ns0:v>
      </ns0:c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 t="inlineStr">
        <ns0:is>
          <ns0:t>电话费数量</ns0:t>
        </ns0:is>
      </ns0:c>
      <ns0:c r="C398" s="4">
        <ns0:v>8.55</ns0:v>
      </ns0:c>
      <ns0:c r="D398" s="4">
        <ns0:v>5.88</ns0:v>
      </ns0:c>
      <ns0:c r="E398" s="4">
        <ns0:v>2.97</ns0:v>
      </ns0:c>
      <ns0:c r="F398" s="4">
        <ns0:v>2.80</ns0:v>
      </ns0:c>
      <ns0:c r="G398" s="4">
        <ns0:v>6.67</ns0:v>
      </ns0:c>
      <ns0:c r="H398" s="4">
        <ns0:v>5.37</ns0:v>
      </ns0:c>
      <ns0:c r="I398" s="4">
        <ns0:v>6.90</ns0:v>
      </ns0:c>
      <ns0:c r="J398" s="4">
        <ns0:v>2.83</ns0:v>
      </ns0:c>
      <ns0:c r="K398" s="4">
        <ns0:v>3.23</ns0:v>
      </ns0:c>
      <ns0:c r="L398" s="4">
        <ns0:v>4.07</ns0:v>
      </ns0:c>
      <ns0:c r="M398" s="4">
        <ns0:v>5.95</ns0:v>
      </ns0:c>
      <ns0:c r="N398" s="4">
        <ns0:v>7.38</ns0:v>
      </ns0:c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 t="inlineStr">
        <ns0:is>
          <ns0:t>快递费数量</ns0:t>
        </ns0:is>
      </ns0:c>
      <ns0:c r="C399" s="4">
        <ns0:v>2.77</ns0:v>
      </ns0:c>
      <ns0:c r="D399" s="4">
        <ns0:v>3.17</ns0:v>
      </ns0:c>
      <ns0:c r="E399" s="4">
        <ns0:v>5.78</ns0:v>
      </ns0:c>
      <ns0:c r="F399" s="4">
        <ns0:v>2.33</ns0:v>
      </ns0:c>
      <ns0:c r="G399" s="4">
        <ns0:v>3.21</ns0:v>
      </ns0:c>
      <ns0:c r="H399" s="4">
        <ns0:v>2.35</ns0:v>
      </ns0:c>
      <ns0:c r="I399" s="4">
        <ns0:v>4.16</ns0:v>
      </ns0:c>
      <ns0:c r="J399" s="4">
        <ns0:v>5.67</ns0:v>
      </ns0:c>
      <ns0:c r="K399" s="4">
        <ns0:v>5.22</ns0:v>
      </ns0:c>
      <ns0:c r="L399" s="4">
        <ns0:v>8.96</ns0:v>
      </ns0:c>
      <ns0:c r="M399" s="4">
        <ns0:v>8.39</ns0:v>
      </ns0:c>
      <ns0:c r="N399" s="4">
        <ns0:v>4.39</ns0:v>
      </ns0:c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 t="inlineStr">
        <ns0:is>
          <ns0:t>折旧及摊销数量</ns0:t>
        </ns0:is>
      </ns0:c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 t="inlineStr">
        <ns0:is>
          <ns0:t>机票火车票数量</ns0:t>
        </ns0:is>
      </ns0:c>
      <ns0:c r="C401" s="4">
        <ns0:v>5.57</ns0:v>
      </ns0:c>
      <ns0:c r="D401" s="4">
        <ns0:v>7.15</ns0:v>
      </ns0:c>
      <ns0:c r="E401" s="4">
        <ns0:v>5.34</ns0:v>
      </ns0:c>
      <ns0:c r="F401" s="4">
        <ns0:v>5.28</ns0:v>
      </ns0:c>
      <ns0:c r="G401" s="4">
        <ns0:v>7.42</ns0:v>
      </ns0:c>
      <ns0:c r="H401" s="4">
        <ns0:v>7.33</ns0:v>
      </ns0:c>
      <ns0:c r="I401" s="4">
        <ns0:v>4.65</ns0:v>
      </ns0:c>
      <ns0:c r="J401" s="4">
        <ns0:v>4.56</ns0:v>
      </ns0:c>
      <ns0:c r="K401" s="4">
        <ns0:v>5.64</ns0:v>
      </ns0:c>
      <ns0:c r="L401" s="4">
        <ns0:v>8.94</ns0:v>
      </ns0:c>
      <ns0:c r="M401" s="4">
        <ns0:v>3.28</ns0:v>
      </ns0:c>
      <ns0:c r="N401" s="4">
        <ns0:v>3.96</ns0:v>
      </ns0:c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 t="inlineStr">
        <ns0:is>
          <ns0:t>住宿费数量</ns0:t>
        </ns0:is>
      </ns0:c>
      <ns0:c r="C402" s="4">
        <ns0:v>7.34</ns0:v>
      </ns0:c>
      <ns0:c r="D402" s="4">
        <ns0:v>9.21</ns0:v>
      </ns0:c>
      <ns0:c r="E402" s="4">
        <ns0:v>7.92</ns0:v>
      </ns0:c>
      <ns0:c r="F402" s="4">
        <ns0:v>2.12</ns0:v>
      </ns0:c>
      <ns0:c r="G402" s="4">
        <ns0:v>9.77</ns0:v>
      </ns0:c>
      <ns0:c r="H402" s="4">
        <ns0:v>5.95</ns0:v>
      </ns0:c>
      <ns0:c r="I402" s="4">
        <ns0:v>3.98</ns0:v>
      </ns0:c>
      <ns0:c r="J402" s="4">
        <ns0:v>5.83</ns0:v>
      </ns0:c>
      <ns0:c r="K402" s="4">
        <ns0:v>7.84</ns0:v>
      </ns0:c>
      <ns0:c r="L402" s="4">
        <ns0:v>9.12</ns0:v>
      </ns0:c>
      <ns0:c r="M402" s="4">
        <ns0:v>7.42</ns0:v>
      </ns0:c>
      <ns0:c r="N402" s="4">
        <ns0:v>4.76</ns0:v>
      </ns0:c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 t="inlineStr">
        <ns0:is>
          <ns0:t>交通费数量</ns0:t>
        </ns0:is>
      </ns0:c>
      <ns0:c r="C403" s="4">
        <ns0:v>3.08</ns0:v>
      </ns0:c>
      <ns0:c r="D403" s="4">
        <ns0:v>2.24</ns0:v>
      </ns0:c>
      <ns0:c r="E403" s="4">
        <ns0:v>4.03</ns0:v>
      </ns0:c>
      <ns0:c r="F403" s="4">
        <ns0:v>6.80</ns0:v>
      </ns0:c>
      <ns0:c r="G403" s="4">
        <ns0:v>5.39</ns0:v>
      </ns0:c>
      <ns0:c r="H403" s="4">
        <ns0:v>9.14</ns0:v>
      </ns0:c>
      <ns0:c r="I403" s="4">
        <ns0:v>7.51</ns0:v>
      </ns0:c>
      <ns0:c r="J403" s="4">
        <ns0:v>7.08</ns0:v>
      </ns0:c>
      <ns0:c r="K403" s="4">
        <ns0:v>7.97</ns0:v>
      </ns0:c>
      <ns0:c r="L403" s="4">
        <ns0:v>6.19</ns0:v>
      </ns0:c>
      <ns0:c r="M403" s="4">
        <ns0:v>3.33</ns0:v>
      </ns0:c>
      <ns0:c r="N403" s="4">
        <ns0:v>4.01</ns0:v>
      </ns0:c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 t="inlineStr">
        <ns0:is>
          <ns0:t>差旅补贴数量</ns0:t>
        </ns0:is>
      </ns0:c>
      <ns0:c r="C404" s="4">
        <ns0:v>5.33</ns0:v>
      </ns0:c>
      <ns0:c r="D404" s="4">
        <ns0:v>7.16</ns0:v>
      </ns0:c>
      <ns0:c r="E404" s="4">
        <ns0:v>6.29</ns0:v>
      </ns0:c>
      <ns0:c r="F404" s="4">
        <ns0:v>2.55</ns0:v>
      </ns0:c>
      <ns0:c r="G404" s="4">
        <ns0:v>9.69</ns0:v>
      </ns0:c>
      <ns0:c r="H404" s="4">
        <ns0:v>2.26</ns0:v>
      </ns0:c>
      <ns0:c r="I404" s="4">
        <ns0:v>6.59</ns0:v>
      </ns0:c>
      <ns0:c r="J404" s="4">
        <ns0:v>2.82</ns0:v>
      </ns0:c>
      <ns0:c r="K404" s="4">
        <ns0:v>3.78</ns0:v>
      </ns0:c>
      <ns0:c r="L404" s="4">
        <ns0:v>6.67</ns0:v>
      </ns0:c>
      <ns0:c r="M404" s="4">
        <ns0:v>7.90</ns0:v>
      </ns0:c>
      <ns0:c r="N404" s="4">
        <ns0:v>3.48</ns0:v>
      </ns0:c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 t="inlineStr">
        <ns0:is>
          <ns0:t>业务招待费数量</ns0:t>
        </ns0:is>
      </ns0:c>
      <ns0:c r="C405" s="4">
        <ns0:v>6.13</ns0:v>
      </ns0:c>
      <ns0:c r="D405" s="4">
        <ns0:v>2.39</ns0:v>
      </ns0:c>
      <ns0:c r="E405" s="4">
        <ns0:v>5.35</ns0:v>
      </ns0:c>
      <ns0:c r="F405" s="4">
        <ns0:v>7.03</ns0:v>
      </ns0:c>
      <ns0:c r="G405" s="4">
        <ns0:v>5.02</ns0:v>
      </ns0:c>
      <ns0:c r="H405" s="4">
        <ns0:v>8.34</ns0:v>
      </ns0:c>
      <ns0:c r="I405" s="4">
        <ns0:v>2.48</ns0:v>
      </ns0:c>
      <ns0:c r="J405" s="4">
        <ns0:v>5.89</ns0:v>
      </ns0:c>
      <ns0:c r="K405" s="4">
        <ns0:v>5.31</ns0:v>
      </ns0:c>
      <ns0:c r="L405" s="4">
        <ns0:v>8.27</ns0:v>
      </ns0:c>
      <ns0:c r="M405" s="4">
        <ns0:v>9.25</ns0:v>
      </ns0:c>
      <ns0:c r="N405" s="4">
        <ns0:v>5.22</ns0:v>
      </ns0:c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 t="inlineStr">
        <ns0:is>
          <ns0:t>市内交通费数量</ns0:t>
        </ns0:is>
      </ns0:c>
      <ns0:c r="C406" s="4">
        <ns0:v>9.88</ns0:v>
      </ns0:c>
      <ns0:c r="D406" s="4">
        <ns0:v>4.50</ns0:v>
      </ns0:c>
      <ns0:c r="E406" s="4">
        <ns0:v>6.33</ns0:v>
      </ns0:c>
      <ns0:c r="F406" s="4">
        <ns0:v>7.25</ns0:v>
      </ns0:c>
      <ns0:c r="G406" s="4">
        <ns0:v>3.61</ns0:v>
      </ns0:c>
      <ns0:c r="H406" s="4">
        <ns0:v>6.99</ns0:v>
      </ns0:c>
      <ns0:c r="I406" s="4">
        <ns0:v>8.63</ns0:v>
      </ns0:c>
      <ns0:c r="J406" s="4">
        <ns0:v>5.74</ns0:v>
      </ns0:c>
      <ns0:c r="K406" s="4">
        <ns0:v>7.51</ns0:v>
      </ns0:c>
      <ns0:c r="L406" s="4">
        <ns0:v>3.30</ns0:v>
      </ns0:c>
      <ns0:c r="M406" s="4">
        <ns0:v>5.17</ns0:v>
      </ns0:c>
      <ns0:c r="N406" s="4">
        <ns0:v>5.41</ns0:v>
      </ns0:c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 t="inlineStr">
        <ns0:is>
          <ns0:t>调研费用数量</ns0:t>
        </ns0:is>
      </ns0:c>
      <ns0:c r="C407" s="4">
        <ns0:v>6.67</ns0:v>
      </ns0:c>
      <ns0:c r="D407" s="4">
        <ns0:v>5.53</ns0:v>
      </ns0:c>
      <ns0:c r="E407" s="4">
        <ns0:v>6.31</ns0:v>
      </ns0:c>
      <ns0:c r="F407" s="4">
        <ns0:v>3.43</ns0:v>
      </ns0:c>
      <ns0:c r="G407" s="4">
        <ns0:v>5.57</ns0:v>
      </ns0:c>
      <ns0:c r="H407" s="4">
        <ns0:v>3.20</ns0:v>
      </ns0:c>
      <ns0:c r="I407" s="4">
        <ns0:v>3.51</ns0:v>
      </ns0:c>
      <ns0:c r="J407" s="4">
        <ns0:v>4.47</ns0:v>
      </ns0:c>
      <ns0:c r="K407" s="4">
        <ns0:v>3.72</ns0:v>
      </ns0:c>
      <ns0:c r="L407" s="4">
        <ns0:v>5.88</ns0:v>
      </ns0:c>
      <ns0:c r="M407" s="4">
        <ns0:v>2.02</ns0:v>
      </ns0:c>
      <ns0:c r="N407" s="4">
        <ns0:v>9.17</ns0:v>
      </ns0:c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 t="inlineStr">
        <ns0:is>
          <ns0:t>手续费数量</ns0:t>
        </ns0:is>
      </ns0:c>
      <ns0:c r="C408" s="4">
        <ns0:v>9.63</ns0:v>
      </ns0:c>
      <ns0:c r="D408" s="4">
        <ns0:v>4.37</ns0:v>
      </ns0:c>
      <ns0:c r="E408" s="4">
        <ns0:v>2.34</ns0:v>
      </ns0:c>
      <ns0:c r="F408" s="4">
        <ns0:v>5.73</ns0:v>
      </ns0:c>
      <ns0:c r="G408" s="4">
        <ns0:v>6.47</ns0:v>
      </ns0:c>
      <ns0:c r="H408" s="4">
        <ns0:v>5.47</ns0:v>
      </ns0:c>
      <ns0:c r="I408" s="4">
        <ns0:v>3.36</ns0:v>
      </ns0:c>
      <ns0:c r="J408" s="4">
        <ns0:v>6.68</ns0:v>
      </ns0:c>
      <ns0:c r="K408" s="4">
        <ns0:v>3.79</ns0:v>
      </ns0:c>
      <ns0:c r="L408" s="4">
        <ns0:v>6.19</ns0:v>
      </ns0:c>
      <ns0:c r="M408" s="4">
        <ns0:v>5.78</ns0:v>
      </ns0:c>
      <ns0:c r="N408" s="4">
        <ns0:v>4.87</ns0:v>
      </ns0:c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 t="inlineStr">
        <ns0:is>
          <ns0:t>利息收入数量</ns0:t>
        </ns0:is>
      </ns0:c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 t="inlineStr">
        <ns0:is>
          <ns0:t>利息支出数量</ns0:t>
        </ns0:is>
      </ns0:c>
      <ns0:c r="C410" s="4">
        <ns0:v>4.78</ns0:v>
      </ns0:c>
      <ns0:c r="D410" s="4">
        <ns0:v>2.58</ns0:v>
      </ns0:c>
      <ns0:c r="E410" s="4">
        <ns0:v>2.31</ns0:v>
      </ns0:c>
      <ns0:c r="F410" s="4">
        <ns0:v>5.12</ns0:v>
      </ns0:c>
      <ns0:c r="G410" s="4">
        <ns0:v>4.93</ns0:v>
      </ns0:c>
      <ns0:c r="H410" s="4">
        <ns0:v>5.41</ns0:v>
      </ns0:c>
      <ns0:c r="I410" s="4">
        <ns0:v>4.89</ns0:v>
      </ns0:c>
      <ns0:c r="J410" s="4">
        <ns0:v>2.81</ns0:v>
      </ns0:c>
      <ns0:c r="K410" s="4">
        <ns0:v>2.97</ns0:v>
      </ns0:c>
      <ns0:c r="L410" s="4">
        <ns0:v>7.12</ns0:v>
      </ns0:c>
      <ns0:c r="M410" s="4">
        <ns0:v>5.12</ns0:v>
      </ns0:c>
      <ns0:c r="N410" s="4">
        <ns0:v>5.36</ns0:v>
      </ns0:c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 t="inlineStr">
        <ns0:is>
          <ns0:t>车船税数量</ns0:t>
        </ns0:is>
      </ns0:c>
      <ns0:c r="C411" s="4">
        <ns0:v>5.99</ns0:v>
      </ns0:c>
      <ns0:c r="D411" s="4">
        <ns0:v>7.28</ns0:v>
      </ns0:c>
      <ns0:c r="E411" s="4">
        <ns0:v>7.24</ns0:v>
      </ns0:c>
      <ns0:c r="F411" s="4">
        <ns0:v>6.08</ns0:v>
      </ns0:c>
      <ns0:c r="G411" s="4">
        <ns0:v>8.86</ns0:v>
      </ns0:c>
      <ns0:c r="H411" s="4">
        <ns0:v>2.14</ns0:v>
      </ns0:c>
      <ns0:c r="I411" s="4">
        <ns0:v>4.93</ns0:v>
      </ns0:c>
      <ns0:c r="J411" s="4">
        <ns0:v>3.10</ns0:v>
      </ns0:c>
      <ns0:c r="K411" s="4">
        <ns0:v>7.05</ns0:v>
      </ns0:c>
      <ns0:c r="L411" s="4">
        <ns0:v>6.43</ns0:v>
      </ns0:c>
      <ns0:c r="M411" s="4">
        <ns0:v>7.37</ns0:v>
      </ns0:c>
      <ns0:c r="N411" s="4">
        <ns0:v>5.34</ns0:v>
      </ns0:c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 t="inlineStr">
        <ns0:is>
          <ns0:t>印花税数量</ns0:t>
        </ns0:is>
      </ns0:c>
      <ns0:c r="C412" s="4">
        <ns0:v>3.14</ns0:v>
      </ns0:c>
      <ns0:c r="D412" s="4">
        <ns0:v>6.97</ns0:v>
      </ns0:c>
      <ns0:c r="E412" s="4">
        <ns0:v>4.54</ns0:v>
      </ns0:c>
      <ns0:c r="F412" s="4">
        <ns0:v>8.41</ns0:v>
      </ns0:c>
      <ns0:c r="G412" s="4">
        <ns0:v>5.89</ns0:v>
      </ns0:c>
      <ns0:c r="H412" s="4">
        <ns0:v>2.53</ns0:v>
      </ns0:c>
      <ns0:c r="I412" s="4">
        <ns0:v>7.49</ns0:v>
      </ns0:c>
      <ns0:c r="J412" s="4">
        <ns0:v>3.04</ns0:v>
      </ns0:c>
      <ns0:c r="K412" s="4">
        <ns0:v>2.03</ns0:v>
      </ns0:c>
      <ns0:c r="L412" s="4">
        <ns0:v>7.65</ns0:v>
      </ns0:c>
      <ns0:c r="M412" s="4">
        <ns0:v>7.33</ns0:v>
      </ns0:c>
      <ns0:c r="N412" s="4">
        <ns0:v>5.44</ns0:v>
      </ns0:c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 t="inlineStr">
        <ns0:is>
          <ns0:t>其他数量</ns0:t>
        </ns0:is>
      </ns0:c>
      <ns0:c r="C413" s="4">
        <ns0:v>3.17</ns0:v>
      </ns0:c>
      <ns0:c r="D413" s="4">
        <ns0:v>7.43</ns0:v>
      </ns0:c>
      <ns0:c r="E413" s="4">
        <ns0:v>9.26</ns0:v>
      </ns0:c>
      <ns0:c r="F413" s="4">
        <ns0:v>8.33</ns0:v>
      </ns0:c>
      <ns0:c r="G413" s="4">
        <ns0:v>6.57</ns0:v>
      </ns0:c>
      <ns0:c r="H413" s="4">
        <ns0:v>7.96</ns0:v>
      </ns0:c>
      <ns0:c r="I413" s="4">
        <ns0:v>8.52</ns0:v>
      </ns0:c>
      <ns0:c r="J413" s="4">
        <ns0:v>4.64</ns0:v>
      </ns0:c>
      <ns0:c r="K413" s="4">
        <ns0:v>2.82</ns0:v>
      </ns0:c>
      <ns0:c r="L413" s="4">
        <ns0:v>4.14</ns0:v>
      </ns0:c>
      <ns0:c r="M413" s="4">
        <ns0:v>3.28</ns0:v>
      </ns0:c>
      <ns0:c r="N413" s="4">
        <ns0:v>3.18</ns0:v>
      </ns0:c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25:B25"/>
    <ns0:mergeCell ref="A26:B26"/>
    <ns0:mergeCell ref="A27:B27"/>
    <ns0:mergeCell ref="A33:B33"/>
    <ns0:mergeCell ref="A34:B34"/>
    <ns0:mergeCell ref="A35:B35"/>
    <ns0:mergeCell ref="A36:B36"/>
    <ns0:mergeCell ref="A4:A10"/>
    <ns0:mergeCell ref="A11:A20"/>
    <ns0:mergeCell ref="A21:A24"/>
    <ns0:mergeCell ref="A29:A30"/>
    <ns0:mergeCell ref="A31:A32"/>
    <ns0:mergeCell ref="A2:B3"/>
  </ns0:mergeCells>
  <ns0:pageMargins left="0.7" right="0.7" top="0.75" bottom="0.75" header="0.3" footer="0.3"/>
</ns0:worksheet>
</file>

<file path=xl/worksheets/sheet9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其他主体费用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 t="inlineStr">
        <ns0:is>
          <ns0:t>项目</ns0:t>
        </ns0:is>
      </ns0:c>
      <ns0:c r="B2" s="2"/>
      <ns0:c r="C2" s="3" t="inlineStr">
        <ns0:is>
          <ns0:t>预算基础（月度，元）</ns0:t>
        </ns0:is>
      </ns0:c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 t="inlineStr">
        <ns0:is>
          <ns0:t>合计</ns0:t>
        </ns0:is>
      </ns0:c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/>
      <ns0:c r="B3" s="2"/>
      <ns0:c r="C3" s="6" t="inlineStr">
        <ns0:is>
          <ns0:t>2027-01</ns0:t>
        </ns0:is>
      </ns0:c>
      <ns0:c r="D3" s="6" t="inlineStr">
        <ns0:is>
          <ns0:t>2027-02</ns0:t>
        </ns0:is>
      </ns0:c>
      <ns0:c r="E3" s="6" t="inlineStr">
        <ns0:is>
          <ns0:t>2027-03</ns0:t>
        </ns0:is>
      </ns0:c>
      <ns0:c r="F3" s="6" t="inlineStr">
        <ns0:is>
          <ns0:t>2027-04</ns0:t>
        </ns0:is>
      </ns0:c>
      <ns0:c r="G3" s="6" t="inlineStr">
        <ns0:is>
          <ns0:t>2027-05</ns0:t>
        </ns0:is>
      </ns0:c>
      <ns0:c r="H3" s="6" t="inlineStr">
        <ns0:is>
          <ns0:t>2027-06</ns0:t>
        </ns0:is>
      </ns0:c>
      <ns0:c r="I3" s="6" t="inlineStr">
        <ns0:is>
          <ns0:t>2027-07</ns0:t>
        </ns0:is>
      </ns0:c>
      <ns0:c r="J3" s="6" t="inlineStr">
        <ns0:is>
          <ns0:t>2027-08</ns0:t>
        </ns0:is>
      </ns0:c>
      <ns0:c r="K3" s="6" t="inlineStr">
        <ns0:is>
          <ns0:t>2027-09</ns0:t>
        </ns0:is>
      </ns0:c>
      <ns0:c r="L3" s="6" t="inlineStr">
        <ns0:is>
          <ns0:t>2027-10</ns0:t>
        </ns0:is>
      </ns0:c>
      <ns0:c r="M3" s="6" t="inlineStr">
        <ns0:is>
          <ns0:t>2027-11</ns0:t>
        </ns0:is>
      </ns0:c>
      <ns0:c r="N3" s="6" t="inlineStr">
        <ns0:is>
          <ns0:t>2027-12</ns0:t>
        </ns0:is>
      </ns0:c>
      <ns0:c r="O3" s="6" t="inlineStr">
        <ns0:is>
          <ns0:t>小计</ns0:t>
        </ns0:is>
      </ns0:c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 t="inlineStr">
        <ns0:is>
          <ns0:t>员工费用</ns0:t>
        </ns0:is>
      </ns0:c>
      <ns0:c r="B4" s="2" t="inlineStr">
        <ns0:is>
          <ns0:t>工资</ns0:t>
        </ns0:is>
      </ns0:c>
      <ns0:c r="C4" s="3">
        <ns0:f>ROUND(C204*C324,2)</ns0:f>
        <ns0:v>126.22</ns0:v>
      </ns0:c>
      <ns0:c r="D4" s="3">
        <ns0:f>ROUND(D204*D324,2)</ns0:f>
        <ns0:v>109.57</ns0:v>
      </ns0:c>
      <ns0:c r="E4" s="3">
        <ns0:f>ROUND(E204*E324,2)</ns0:f>
        <ns0:v>165.65</ns0:v>
      </ns0:c>
      <ns0:c r="F4" s="3">
        <ns0:f>ROUND(F204*F324,2)</ns0:f>
        <ns0:v>350.00</ns0:v>
      </ns0:c>
      <ns0:c r="G4" s="3">
        <ns0:f>ROUND(G204*G324,2)</ns0:f>
        <ns0:v>41.59</ns0:v>
      </ns0:c>
      <ns0:c r="H4" s="3">
        <ns0:f>ROUND(H204*H324,2)</ns0:f>
        <ns0:v>208.77</ns0:v>
      </ns0:c>
      <ns0:c r="I4" s="3">
        <ns0:f>ROUND(I204*I324,2)</ns0:f>
        <ns0:v>443.11</ns0:v>
      </ns0:c>
      <ns0:c r="J4" s="3">
        <ns0:f>ROUND(J204*J324,2)</ns0:f>
        <ns0:v>276.68</ns0:v>
      </ns0:c>
      <ns0:c r="K4" s="3">
        <ns0:f>ROUND(K204*K324,2)</ns0:f>
        <ns0:v>223.19</ns0:v>
      </ns0:c>
      <ns0:c r="L4" s="3">
        <ns0:f>ROUND(L204*L324,2)</ns0:f>
        <ns0:v>163.49</ns0:v>
      </ns0:c>
      <ns0:c r="M4" s="3">
        <ns0:f>ROUND(M204*M324,2)</ns0:f>
        <ns0:v>351.35</ns0:v>
      </ns0:c>
      <ns0:c r="N4" s="3">
        <ns0:f>ROUND(N204*N324,2)</ns0:f>
        <ns0:v>233.46</ns0:v>
      </ns0:c>
      <ns0:c r="O4" s="3">
        <ns0:f>SUM(C4:N4)</ns0:f>
        <ns0:v>2693.08</ns0:v>
      </ns0:c>
      <ns0:c r="P4" s="2" t="inlineStr">
        <ns0:is>
          <ns0:t>EXP3.004</ns0:t>
        </ns0:is>
      </ns0:c>
      <ns0:c r="Q4" s="2" t="inlineStr">
        <ns0:is>
          <ns0:t>演示占位-v1</ns0:t>
        </ns0:is>
      </ns0:c>
      <ns0:c r="R4" s="2" t="inlineStr">
        <ns0:is>
          <ns0:t>模拟权责发生制</ns0:t>
        </ns0:is>
      </ns0:c>
      <ns0:c r="S4" s="2" t="inlineStr">
        <ns0:is>
          <ns0:t>2027-01</ns0:t>
        </ns0:is>
      </ns0:c>
      <ns0:c r="T4" s="2" t="inlineStr">
        <ns0:is>
          <ns0:t>2027-06</ns0:t>
        </ns0:is>
      </ns0:c>
      <ns0:c r="U4" s="2" t="inlineStr">
        <ns0:is>
          <ns0:t>无</ns0:t>
        </ns0:is>
      </ns0:c>
      <ns0:c r="V4" s="2" t="inlineStr">
        <ns0:is>
          <ns0:t>无</ns0:t>
        </ns0:is>
      </ns0:c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/>
      <ns0:c r="B5" s="2" t="inlineStr">
        <ns0:is>
          <ns0:t>十三薪</ns0:t>
        </ns0:is>
      </ns0:c>
      <ns0:c r="C5" s="3">
        <ns0:f>ROUND(C205*C325,2)</ns0:f>
        <ns0:v>259.71</ns0:v>
      </ns0:c>
      <ns0:c r="D5" s="3">
        <ns0:f>ROUND(D205*D325,2)</ns0:f>
        <ns0:v>93.16</ns0:v>
      </ns0:c>
      <ns0:c r="E5" s="3">
        <ns0:f>ROUND(E205*E325,2)</ns0:f>
        <ns0:v>330.83</ns0:v>
      </ns0:c>
      <ns0:c r="F5" s="3">
        <ns0:f>ROUND(F205*F325,2)</ns0:f>
        <ns0:v>103.27</ns0:v>
      </ns0:c>
      <ns0:c r="G5" s="3">
        <ns0:f>ROUND(G205*G325,2)</ns0:f>
        <ns0:v>522.66</ns0:v>
      </ns0:c>
      <ns0:c r="H5" s="3">
        <ns0:f>ROUND(H205*H325,2)</ns0:f>
        <ns0:v>85.30</ns0:v>
      </ns0:c>
      <ns0:c r="I5" s="3">
        <ns0:f>ROUND(I205*I325,2)</ns0:f>
        <ns0:v>409.91</ns0:v>
      </ns0:c>
      <ns0:c r="J5" s="3">
        <ns0:f>ROUND(J205*J325,2)</ns0:f>
        <ns0:v>183.96</ns0:v>
      </ns0:c>
      <ns0:c r="K5" s="3">
        <ns0:f>ROUND(K205*K325,2)</ns0:f>
        <ns0:v>349.59</ns0:v>
      </ns0:c>
      <ns0:c r="L5" s="3">
        <ns0:f>ROUND(L205*L325,2)</ns0:f>
        <ns0:v>84.44</ns0:v>
      </ns0:c>
      <ns0:c r="M5" s="3">
        <ns0:f>ROUND(M205*M325,2)</ns0:f>
        <ns0:v>161.16</ns0:v>
      </ns0:c>
      <ns0:c r="N5" s="3">
        <ns0:f>ROUND(N205*N325,2)</ns0:f>
        <ns0:v>179.64</ns0:v>
      </ns0:c>
      <ns0:c r="O5" s="3">
        <ns0:f>SUM(C5:N5)</ns0:f>
        <ns0:v>2763.63</ns0:v>
      </ns0:c>
      <ns0:c r="P5" s="2" t="inlineStr">
        <ns0:is>
          <ns0:t>EXP3.005</ns0:t>
        </ns0:is>
      </ns0:c>
      <ns0:c r="Q5" s="2" t="inlineStr">
        <ns0:is>
          <ns0:t>演示占位-v1</ns0:t>
        </ns0:is>
      </ns0:c>
      <ns0:c r="R5" s="2" t="inlineStr">
        <ns0:is>
          <ns0:t>模拟权责发生制</ns0:t>
        </ns0:is>
      </ns0:c>
      <ns0:c r="S5" s="2" t="inlineStr">
        <ns0:is>
          <ns0:t>2027-01</ns0:t>
        </ns0:is>
      </ns0:c>
      <ns0:c r="T5" s="2" t="inlineStr">
        <ns0:is>
          <ns0:t>2027-06</ns0:t>
        </ns0:is>
      </ns0:c>
      <ns0:c r="U5" s="2" t="inlineStr">
        <ns0:is>
          <ns0:t>无</ns0:t>
        </ns0:is>
      </ns0:c>
      <ns0:c r="V5" s="2" t="inlineStr">
        <ns0:is>
          <ns0:t>无</ns0:t>
        </ns0:is>
      </ns0:c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/>
      <ns0:c r="B6" s="2" t="inlineStr">
        <ns0:is>
          <ns0:t>离职补偿金</ns0:t>
        </ns0:is>
      </ns0:c>
      <ns0:c r="C6" s="3">
        <ns0:f>ROUND(C206*C326,2)</ns0:f>
        <ns0:v>140.53</ns0:v>
      </ns0:c>
      <ns0:c r="D6" s="3">
        <ns0:f>ROUND(D206*D326,2)</ns0:f>
        <ns0:v>52.36</ns0:v>
      </ns0:c>
      <ns0:c r="E6" s="3">
        <ns0:f>ROUND(E206*E326,2)</ns0:f>
        <ns0:v>104.97</ns0:v>
      </ns0:c>
      <ns0:c r="F6" s="3">
        <ns0:f>ROUND(F206*F326,2)</ns0:f>
        <ns0:v>253.13</ns0:v>
      </ns0:c>
      <ns0:c r="G6" s="3">
        <ns0:f>ROUND(G206*G326,2)</ns0:f>
        <ns0:v>453.05</ns0:v>
      </ns0:c>
      <ns0:c r="H6" s="3">
        <ns0:f>ROUND(H206*H326,2)</ns0:f>
        <ns0:v>81.77</ns0:v>
      </ns0:c>
      <ns0:c r="I6" s="3">
        <ns0:f>ROUND(I206*I326,2)</ns0:f>
        <ns0:v>239.63</ns0:v>
      </ns0:c>
      <ns0:c r="J6" s="3">
        <ns0:f>ROUND(J206*J326,2)</ns0:f>
        <ns0:v>99.01</ns0:v>
      </ns0:c>
      <ns0:c r="K6" s="3">
        <ns0:f>ROUND(K206*K326,2)</ns0:f>
        <ns0:v>210.99</ns0:v>
      </ns0:c>
      <ns0:c r="L6" s="3">
        <ns0:f>ROUND(L206*L326,2)</ns0:f>
        <ns0:v>199.62</ns0:v>
      </ns0:c>
      <ns0:c r="M6" s="3">
        <ns0:f>ROUND(M206*M326,2)</ns0:f>
        <ns0:v>157.60</ns0:v>
      </ns0:c>
      <ns0:c r="N6" s="3">
        <ns0:f>ROUND(N206*N326,2)</ns0:f>
        <ns0:v>252.41</ns0:v>
      </ns0:c>
      <ns0:c r="O6" s="3">
        <ns0:f>SUM(C6:N6)</ns0:f>
        <ns0:v>2245.07</ns0:v>
      </ns0:c>
      <ns0:c r="P6" s="2" t="inlineStr">
        <ns0:is>
          <ns0:t>EXP3.006</ns0:t>
        </ns0:is>
      </ns0:c>
      <ns0:c r="Q6" s="2" t="inlineStr">
        <ns0:is>
          <ns0:t>演示占位-v1</ns0:t>
        </ns0:is>
      </ns0:c>
      <ns0:c r="R6" s="2" t="inlineStr">
        <ns0:is>
          <ns0:t>模拟权责发生制</ns0:t>
        </ns0:is>
      </ns0:c>
      <ns0:c r="S6" s="2" t="inlineStr">
        <ns0:is>
          <ns0:t>2027-01</ns0:t>
        </ns0:is>
      </ns0:c>
      <ns0:c r="T6" s="2" t="inlineStr">
        <ns0:is>
          <ns0:t>2027-06</ns0:t>
        </ns0:is>
      </ns0:c>
      <ns0:c r="U6" s="2" t="inlineStr">
        <ns0:is>
          <ns0:t>无</ns0:t>
        </ns0:is>
      </ns0:c>
      <ns0:c r="V6" s="2" t="inlineStr">
        <ns0:is>
          <ns0:t>无</ns0:t>
        </ns0:is>
      </ns0:c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 t="inlineStr">
        <ns0:is>
          <ns0:t>五险一金</ns0:t>
        </ns0:is>
      </ns0:c>
      <ns0:c r="C7" s="3">
        <ns0:f>ROUND(C207*C327,2)</ns0:f>
        <ns0:v>364.17</ns0:v>
      </ns0:c>
      <ns0:c r="D7" s="3">
        <ns0:f>ROUND(D207*D327,2)</ns0:f>
        <ns0:v>173.26</ns0:v>
      </ns0:c>
      <ns0:c r="E7" s="3">
        <ns0:f>ROUND(E207*E327,2)</ns0:f>
        <ns0:v>420.11</ns0:v>
      </ns0:c>
      <ns0:c r="F7" s="3">
        <ns0:f>ROUND(F207*F327,2)</ns0:f>
        <ns0:v>513.61</ns0:v>
      </ns0:c>
      <ns0:c r="G7" s="3">
        <ns0:f>ROUND(G207*G327,2)</ns0:f>
        <ns0:v>557.61</ns0:v>
      </ns0:c>
      <ns0:c r="H7" s="3">
        <ns0:f>ROUND(H207*H327,2)</ns0:f>
        <ns0:v>456.87</ns0:v>
      </ns0:c>
      <ns0:c r="I7" s="3">
        <ns0:f>ROUND(I207*I327,2)</ns0:f>
        <ns0:v>145.46</ns0:v>
      </ns0:c>
      <ns0:c r="J7" s="3">
        <ns0:f>ROUND(J207*J327,2)</ns0:f>
        <ns0:v>362.24</ns0:v>
      </ns0:c>
      <ns0:c r="K7" s="3">
        <ns0:f>ROUND(K207*K327,2)</ns0:f>
        <ns0:v>167.19</ns0:v>
      </ns0:c>
      <ns0:c r="L7" s="3">
        <ns0:f>ROUND(L207*L327,2)</ns0:f>
        <ns0:v>59.10</ns0:v>
      </ns0:c>
      <ns0:c r="M7" s="3">
        <ns0:f>ROUND(M207*M327,2)</ns0:f>
        <ns0:v>146.98</ns0:v>
      </ns0:c>
      <ns0:c r="N7" s="3">
        <ns0:f>ROUND(N207*N327,2)</ns0:f>
        <ns0:v>126.74</ns0:v>
      </ns0:c>
      <ns0:c r="O7" s="3">
        <ns0:f>SUM(C7:N7)</ns0:f>
        <ns0:v>3493.34</ns0:v>
      </ns0:c>
      <ns0:c r="P7" s="2" t="inlineStr">
        <ns0:is>
          <ns0:t>EXP3.007</ns0:t>
        </ns0:is>
      </ns0:c>
      <ns0:c r="Q7" s="2" t="inlineStr">
        <ns0:is>
          <ns0:t>演示占位-v1</ns0:t>
        </ns0:is>
      </ns0:c>
      <ns0:c r="R7" s="2" t="inlineStr">
        <ns0:is>
          <ns0:t>模拟权责发生制</ns0:t>
        </ns0:is>
      </ns0:c>
      <ns0:c r="S7" s="2" t="inlineStr">
        <ns0:is>
          <ns0:t>2027-01</ns0:t>
        </ns0:is>
      </ns0:c>
      <ns0:c r="T7" s="2" t="inlineStr">
        <ns0:is>
          <ns0:t>2027-06</ns0:t>
        </ns0:is>
      </ns0:c>
      <ns0:c r="U7" s="2" t="inlineStr">
        <ns0:is>
          <ns0:t>无</ns0:t>
        </ns0:is>
      </ns0:c>
      <ns0:c r="V7" s="2" t="inlineStr">
        <ns0:is>
          <ns0:t>无</ns0:t>
        </ns0:is>
      </ns0:c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2" t="inlineStr">
        <ns0:is>
          <ns0:t>福利费</ns0:t>
        </ns0:is>
      </ns0:c>
      <ns0:c r="C8" s="3">
        <ns0:f>ROUND(C208*C328,2)</ns0:f>
        <ns0:v>91.53</ns0:v>
      </ns0:c>
      <ns0:c r="D8" s="3">
        <ns0:f>ROUND(D208*D328,2)</ns0:f>
        <ns0:v>160.54</ns0:v>
      </ns0:c>
      <ns0:c r="E8" s="3">
        <ns0:f>ROUND(E208*E328,2)</ns0:f>
        <ns0:v>67.07</ns0:v>
      </ns0:c>
      <ns0:c r="F8" s="3">
        <ns0:f>ROUND(F208*F328,2)</ns0:f>
        <ns0:v>363.96</ns0:v>
      </ns0:c>
      <ns0:c r="G8" s="3">
        <ns0:f>ROUND(G208*G328,2)</ns0:f>
        <ns0:v>103.94</ns0:v>
      </ns0:c>
      <ns0:c r="H8" s="3">
        <ns0:f>ROUND(H208*H328,2)</ns0:f>
        <ns0:v>319.58</ns0:v>
      </ns0:c>
      <ns0:c r="I8" s="3">
        <ns0:f>ROUND(I208*I328,2)</ns0:f>
        <ns0:v>492.82</ns0:v>
      </ns0:c>
      <ns0:c r="J8" s="3">
        <ns0:f>ROUND(J208*J328,2)</ns0:f>
        <ns0:v>586.56</ns0:v>
      </ns0:c>
      <ns0:c r="K8" s="3">
        <ns0:f>ROUND(K208*K328,2)</ns0:f>
        <ns0:v>205.51</ns0:v>
      </ns0:c>
      <ns0:c r="L8" s="3">
        <ns0:f>ROUND(L208*L328,2)</ns0:f>
        <ns0:v>165.44</ns0:v>
      </ns0:c>
      <ns0:c r="M8" s="3">
        <ns0:f>ROUND(M208*M328,2)</ns0:f>
        <ns0:v>162.74</ns0:v>
      </ns0:c>
      <ns0:c r="N8" s="3">
        <ns0:f>ROUND(N208*N328,2)</ns0:f>
        <ns0:v>550.42</ns0:v>
      </ns0:c>
      <ns0:c r="O8" s="3">
        <ns0:f>SUM(C8:N8)</ns0:f>
        <ns0:v>3270.11</ns0:v>
      </ns0:c>
      <ns0:c r="P8" s="2" t="inlineStr">
        <ns0:is>
          <ns0:t>EXP3.008</ns0:t>
        </ns0:is>
      </ns0:c>
      <ns0:c r="Q8" s="2" t="inlineStr">
        <ns0:is>
          <ns0:t>演示占位-v1</ns0:t>
        </ns0:is>
      </ns0:c>
      <ns0:c r="R8" s="2" t="inlineStr">
        <ns0:is>
          <ns0:t>模拟权责发生制</ns0:t>
        </ns0:is>
      </ns0:c>
      <ns0:c r="S8" s="2" t="inlineStr">
        <ns0:is>
          <ns0:t>2027-01</ns0:t>
        </ns0:is>
      </ns0:c>
      <ns0:c r="T8" s="2" t="inlineStr">
        <ns0:is>
          <ns0:t>2027-06</ns0:t>
        </ns0:is>
      </ns0:c>
      <ns0:c r="U8" s="2" t="inlineStr">
        <ns0:is>
          <ns0:t>无</ns0:t>
        </ns0:is>
      </ns0:c>
      <ns0:c r="V8" s="2" t="inlineStr">
        <ns0:is>
          <ns0:t>无</ns0:t>
        </ns0:is>
      </ns0:c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 t="inlineStr">
        <ns0:is>
          <ns0:t>招聘费</ns0:t>
        </ns0:is>
      </ns0:c>
      <ns0:c r="C9" s="3">
        <ns0:f>ROUND(C209*C329,2)</ns0:f>
        <ns0:v>238.60</ns0:v>
      </ns0:c>
      <ns0:c r="D9" s="3">
        <ns0:f>ROUND(D209*D329,2)</ns0:f>
        <ns0:v>449.45</ns0:v>
      </ns0:c>
      <ns0:c r="E9" s="3">
        <ns0:f>ROUND(E209*E329,2)</ns0:f>
        <ns0:v>219.47</ns0:v>
      </ns0:c>
      <ns0:c r="F9" s="3">
        <ns0:f>ROUND(F209*F329,2)</ns0:f>
        <ns0:v>116.93</ns0:v>
      </ns0:c>
      <ns0:c r="G9" s="3">
        <ns0:f>ROUND(G209*G329,2)</ns0:f>
        <ns0:v>253.21</ns0:v>
      </ns0:c>
      <ns0:c r="H9" s="3">
        <ns0:f>ROUND(H209*H329,2)</ns0:f>
        <ns0:v>238.06</ns0:v>
      </ns0:c>
      <ns0:c r="I9" s="3">
        <ns0:f>ROUND(I209*I329,2)</ns0:f>
        <ns0:v>387.62</ns0:v>
      </ns0:c>
      <ns0:c r="J9" s="3">
        <ns0:f>ROUND(J209*J329,2)</ns0:f>
        <ns0:v>120.92</ns0:v>
      </ns0:c>
      <ns0:c r="K9" s="3">
        <ns0:f>ROUND(K209*K329,2)</ns0:f>
        <ns0:v>217.04</ns0:v>
      </ns0:c>
      <ns0:c r="L9" s="3">
        <ns0:f>ROUND(L209*L329,2)</ns0:f>
        <ns0:v>397.90</ns0:v>
      </ns0:c>
      <ns0:c r="M9" s="3">
        <ns0:f>ROUND(M209*M329,2)</ns0:f>
        <ns0:v>123.09</ns0:v>
      </ns0:c>
      <ns0:c r="N9" s="3">
        <ns0:f>ROUND(N209*N329,2)</ns0:f>
        <ns0:v>97.09</ns0:v>
      </ns0:c>
      <ns0:c r="O9" s="3">
        <ns0:f>SUM(C9:N9)</ns0:f>
        <ns0:v>2859.38</ns0:v>
      </ns0:c>
      <ns0:c r="P9" s="2" t="inlineStr">
        <ns0:is>
          <ns0:t>EXP3.009</ns0:t>
        </ns0:is>
      </ns0:c>
      <ns0:c r="Q9" s="2" t="inlineStr">
        <ns0:is>
          <ns0:t>演示占位-v1</ns0:t>
        </ns0:is>
      </ns0:c>
      <ns0:c r="R9" s="2" t="inlineStr">
        <ns0:is>
          <ns0:t>模拟权责发生制</ns0:t>
        </ns0:is>
      </ns0:c>
      <ns0:c r="S9" s="2" t="inlineStr">
        <ns0:is>
          <ns0:t>2027-01</ns0:t>
        </ns0:is>
      </ns0:c>
      <ns0:c r="T9" s="2" t="inlineStr">
        <ns0:is>
          <ns0:t>2027-06</ns0:t>
        </ns0:is>
      </ns0:c>
      <ns0:c r="U9" s="2" t="inlineStr">
        <ns0:is>
          <ns0:t>无</ns0:t>
        </ns0:is>
      </ns0:c>
      <ns0:c r="V9" s="2" t="inlineStr">
        <ns0:is>
          <ns0:t>无</ns0:t>
        </ns0:is>
      </ns0:c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 t="inlineStr">
        <ns0:is>
          <ns0:t>培训费</ns0:t>
        </ns0:is>
      </ns0:c>
      <ns0:c r="C10" s="3">
        <ns0:f>ROUND(C210*C330,2)</ns0:f>
        <ns0:v>289.24</ns0:v>
      </ns0:c>
      <ns0:c r="D10" s="3">
        <ns0:f>ROUND(D210*D330,2)</ns0:f>
        <ns0:v>199.42</ns0:v>
      </ns0:c>
      <ns0:c r="E10" s="3">
        <ns0:f>ROUND(E210*E330,2)</ns0:f>
        <ns0:v>172.32</ns0:v>
      </ns0:c>
      <ns0:c r="F10" s="3">
        <ns0:f>ROUND(F210*F330,2)</ns0:f>
        <ns0:v>346.77</ns0:v>
      </ns0:c>
      <ns0:c r="G10" s="3">
        <ns0:f>ROUND(G210*G330,2)</ns0:f>
        <ns0:v>358.97</ns0:v>
      </ns0:c>
      <ns0:c r="H10" s="3">
        <ns0:f>ROUND(H210*H330,2)</ns0:f>
        <ns0:v>241.18</ns0:v>
      </ns0:c>
      <ns0:c r="I10" s="3">
        <ns0:f>ROUND(I210*I330,2)</ns0:f>
        <ns0:v>397.18</ns0:v>
      </ns0:c>
      <ns0:c r="J10" s="3">
        <ns0:f>ROUND(J210*J330,2)</ns0:f>
        <ns0:v>124.09</ns0:v>
      </ns0:c>
      <ns0:c r="K10" s="3">
        <ns0:f>ROUND(K210*K330,2)</ns0:f>
        <ns0:v>293.14</ns0:v>
      </ns0:c>
      <ns0:c r="L10" s="3">
        <ns0:f>ROUND(L210*L330,2)</ns0:f>
        <ns0:v>64.58</ns0:v>
      </ns0:c>
      <ns0:c r="M10" s="3">
        <ns0:f>ROUND(M210*M330,2)</ns0:f>
        <ns0:v>96.59</ns0:v>
      </ns0:c>
      <ns0:c r="N10" s="3">
        <ns0:f>ROUND(N210*N330,2)</ns0:f>
        <ns0:v>203.06</ns0:v>
      </ns0:c>
      <ns0:c r="O10" s="3">
        <ns0:f>SUM(C10:N10)</ns0:f>
        <ns0:v>2786.54</ns0:v>
      </ns0:c>
      <ns0:c r="P10" s="2" t="inlineStr">
        <ns0:is>
          <ns0:t>EXP3.010</ns0:t>
        </ns0:is>
      </ns0:c>
      <ns0:c r="Q10" s="2" t="inlineStr">
        <ns0:is>
          <ns0:t>演示占位-v1</ns0:t>
        </ns0:is>
      </ns0:c>
      <ns0:c r="R10" s="2" t="inlineStr">
        <ns0:is>
          <ns0:t>模拟权责发生制</ns0:t>
        </ns0:is>
      </ns0:c>
      <ns0:c r="S10" s="2" t="inlineStr">
        <ns0:is>
          <ns0:t>2027-01</ns0:t>
        </ns0:is>
      </ns0:c>
      <ns0:c r="T10" s="2" t="inlineStr">
        <ns0:is>
          <ns0:t>2027-06</ns0:t>
        </ns0:is>
      </ns0:c>
      <ns0:c r="U10" s="2" t="inlineStr">
        <ns0:is>
          <ns0:t>无</ns0:t>
        </ns0:is>
      </ns0:c>
      <ns0:c r="V10" s="2" t="inlineStr">
        <ns0:is>
          <ns0:t>无</ns0:t>
        </ns0:is>
      </ns0:c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 t="inlineStr">
        <ns0:is>
          <ns0:t>房租</ns0:t>
        </ns0:is>
      </ns0:c>
      <ns0:c r="C11" s="3">
        <ns0:f>ROUND(C211*C331,2)</ns0:f>
        <ns0:v>210.49</ns0:v>
      </ns0:c>
      <ns0:c r="D11" s="3">
        <ns0:f>ROUND(D211*D331,2)</ns0:f>
        <ns0:v>423.29</ns0:v>
      </ns0:c>
      <ns0:c r="E11" s="3">
        <ns0:f>ROUND(E211*E331,2)</ns0:f>
        <ns0:v>223.29</ns0:v>
      </ns0:c>
      <ns0:c r="F11" s="3">
        <ns0:f>ROUND(F211*F331,2)</ns0:f>
        <ns0:v>174.58</ns0:v>
      </ns0:c>
      <ns0:c r="G11" s="3">
        <ns0:f>ROUND(G211*G331,2)</ns0:f>
        <ns0:v>242.82</ns0:v>
      </ns0:c>
      <ns0:c r="H11" s="3">
        <ns0:f>ROUND(H211*H331,2)</ns0:f>
        <ns0:v>178.33</ns0:v>
      </ns0:c>
      <ns0:c r="I11" s="3">
        <ns0:f>ROUND(I211*I331,2)</ns0:f>
        <ns0:v>337.91</ns0:v>
      </ns0:c>
      <ns0:c r="J11" s="3">
        <ns0:f>ROUND(J211*J331,2)</ns0:f>
        <ns0:v>182.11</ns0:v>
      </ns0:c>
      <ns0:c r="K11" s="3">
        <ns0:f>ROUND(K211*K331,2)</ns0:f>
        <ns0:v>310.56</ns0:v>
      </ns0:c>
      <ns0:c r="L11" s="3">
        <ns0:f>ROUND(L211*L331,2)</ns0:f>
        <ns0:v>120.19</ns0:v>
      </ns0:c>
      <ns0:c r="M11" s="3">
        <ns0:f>ROUND(M211*M331,2)</ns0:f>
        <ns0:v>248.75</ns0:v>
      </ns0:c>
      <ns0:c r="N11" s="3">
        <ns0:f>ROUND(N211*N331,2)</ns0:f>
        <ns0:v>232.20</ns0:v>
      </ns0:c>
      <ns0:c r="O11" s="3">
        <ns0:f>SUM(C11:N11)</ns0:f>
        <ns0:v>2884.52</ns0:v>
      </ns0:c>
      <ns0:c r="P11" s="2" t="inlineStr">
        <ns0:is>
          <ns0:t>EXP3.011</ns0:t>
        </ns0:is>
      </ns0:c>
      <ns0:c r="Q11" s="2" t="inlineStr">
        <ns0:is>
          <ns0:t>演示占位-v1</ns0:t>
        </ns0:is>
      </ns0:c>
      <ns0:c r="R11" s="2" t="inlineStr">
        <ns0:is>
          <ns0:t>模拟权责发生制</ns0:t>
        </ns0:is>
      </ns0:c>
      <ns0:c r="S11" s="2" t="inlineStr">
        <ns0:is>
          <ns0:t>2027-01</ns0:t>
        </ns0:is>
      </ns0:c>
      <ns0:c r="T11" s="2" t="inlineStr">
        <ns0:is>
          <ns0:t>2027-06</ns0:t>
        </ns0:is>
      </ns0:c>
      <ns0:c r="U11" s="2" t="inlineStr">
        <ns0:is>
          <ns0:t>无</ns0:t>
        </ns0:is>
      </ns0:c>
      <ns0:c r="V11" s="2" t="inlineStr">
        <ns0:is>
          <ns0:t>无</ns0:t>
        </ns0:is>
      </ns0:c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 t="inlineStr">
        <ns0:is>
          <ns0:t>物业管理费</ns0:t>
        </ns0:is>
      </ns0:c>
      <ns0:c r="C12" s="3">
        <ns0:f>ROUND(C212*C332,2)</ns0:f>
        <ns0:v>225.49</ns0:v>
      </ns0:c>
      <ns0:c r="D12" s="3">
        <ns0:f>ROUND(D212*D332,2)</ns0:f>
        <ns0:v>186.49</ns0:v>
      </ns0:c>
      <ns0:c r="E12" s="3">
        <ns0:f>ROUND(E212*E332,2)</ns0:f>
        <ns0:v>272.41</ns0:v>
      </ns0:c>
      <ns0:c r="F12" s="3">
        <ns0:f>ROUND(F212*F332,2)</ns0:f>
        <ns0:v>210.90</ns0:v>
      </ns0:c>
      <ns0:c r="G12" s="3">
        <ns0:f>ROUND(G212*G332,2)</ns0:f>
        <ns0:v>504.99</ns0:v>
      </ns0:c>
      <ns0:c r="H12" s="3">
        <ns0:f>ROUND(H212*H332,2)</ns0:f>
        <ns0:v>320.41</ns0:v>
      </ns0:c>
      <ns0:c r="I12" s="3">
        <ns0:f>ROUND(I212*I332,2)</ns0:f>
        <ns0:v>128.79</ns0:v>
      </ns0:c>
      <ns0:c r="J12" s="3">
        <ns0:f>ROUND(J212*J332,2)</ns0:f>
        <ns0:v>316.30</ns0:v>
      </ns0:c>
      <ns0:c r="K12" s="3">
        <ns0:f>ROUND(K212*K332,2)</ns0:f>
        <ns0:v>325.10</ns0:v>
      </ns0:c>
      <ns0:c r="L12" s="3">
        <ns0:f>ROUND(L212*L332,2)</ns0:f>
        <ns0:v>132.40</ns0:v>
      </ns0:c>
      <ns0:c r="M12" s="3">
        <ns0:f>ROUND(M212*M332,2)</ns0:f>
        <ns0:v>143.53</ns0:v>
      </ns0:c>
      <ns0:c r="N12" s="3">
        <ns0:f>ROUND(N212*N332,2)</ns0:f>
        <ns0:v>288.64</ns0:v>
      </ns0:c>
      <ns0:c r="O12" s="3">
        <ns0:f>SUM(C12:N12)</ns0:f>
        <ns0:v>3055.45</ns0:v>
      </ns0:c>
      <ns0:c r="P12" s="2" t="inlineStr">
        <ns0:is>
          <ns0:t>EXP3.012</ns0:t>
        </ns0:is>
      </ns0:c>
      <ns0:c r="Q12" s="2" t="inlineStr">
        <ns0:is>
          <ns0:t>演示占位-v1</ns0:t>
        </ns0:is>
      </ns0:c>
      <ns0:c r="R12" s="2" t="inlineStr">
        <ns0:is>
          <ns0:t>模拟权责发生制</ns0:t>
        </ns0:is>
      </ns0:c>
      <ns0:c r="S12" s="2" t="inlineStr">
        <ns0:is>
          <ns0:t>2027-01</ns0:t>
        </ns0:is>
      </ns0:c>
      <ns0:c r="T12" s="2" t="inlineStr">
        <ns0:is>
          <ns0:t>2027-06</ns0:t>
        </ns0:is>
      </ns0:c>
      <ns0:c r="U12" s="2" t="inlineStr">
        <ns0:is>
          <ns0:t>无</ns0:t>
        </ns0:is>
      </ns0:c>
      <ns0:c r="V12" s="2" t="inlineStr">
        <ns0:is>
          <ns0:t>无</ns0:t>
        </ns0:is>
      </ns0:c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 t="inlineStr">
        <ns0:is>
          <ns0:t>汽车费用</ns0:t>
        </ns0:is>
      </ns0:c>
      <ns0:c r="C13" s="3">
        <ns0:f>ROUND(C213*C333,2)</ns0:f>
        <ns0:v>147.65</ns0:v>
      </ns0:c>
      <ns0:c r="D13" s="3">
        <ns0:f>ROUND(D213*D333,2)</ns0:f>
        <ns0:v>465.68</ns0:v>
      </ns0:c>
      <ns0:c r="E13" s="3">
        <ns0:f>ROUND(E213*E333,2)</ns0:f>
        <ns0:v>190.35</ns0:v>
      </ns0:c>
      <ns0:c r="F13" s="3">
        <ns0:f>ROUND(F213*F333,2)</ns0:f>
        <ns0:v>218.17</ns0:v>
      </ns0:c>
      <ns0:c r="G13" s="3">
        <ns0:f>ROUND(G213*G333,2)</ns0:f>
        <ns0:v>163.87</ns0:v>
      </ns0:c>
      <ns0:c r="H13" s="3">
        <ns0:f>ROUND(H213*H333,2)</ns0:f>
        <ns0:v>201.25</ns0:v>
      </ns0:c>
      <ns0:c r="I13" s="3">
        <ns0:f>ROUND(I213*I333,2)</ns0:f>
        <ns0:v>558.53</ns0:v>
      </ns0:c>
      <ns0:c r="J13" s="3">
        <ns0:f>ROUND(J213*J333,2)</ns0:f>
        <ns0:v>271.57</ns0:v>
      </ns0:c>
      <ns0:c r="K13" s="3">
        <ns0:f>ROUND(K213*K333,2)</ns0:f>
        <ns0:v>376.91</ns0:v>
      </ns0:c>
      <ns0:c r="L13" s="3">
        <ns0:f>ROUND(L213*L333,2)</ns0:f>
        <ns0:v>427.98</ns0:v>
      </ns0:c>
      <ns0:c r="M13" s="3">
        <ns0:f>ROUND(M213*M333,2)</ns0:f>
        <ns0:v>504.06</ns0:v>
      </ns0:c>
      <ns0:c r="N13" s="3">
        <ns0:f>ROUND(N213*N333,2)</ns0:f>
        <ns0:v>227.00</ns0:v>
      </ns0:c>
      <ns0:c r="O13" s="3">
        <ns0:f>SUM(C13:N13)</ns0:f>
        <ns0:v>3753.02</ns0:v>
      </ns0:c>
      <ns0:c r="P13" s="2" t="inlineStr">
        <ns0:is>
          <ns0:t>EXP3.013</ns0:t>
        </ns0:is>
      </ns0:c>
      <ns0:c r="Q13" s="2" t="inlineStr">
        <ns0:is>
          <ns0:t>演示占位-v1</ns0:t>
        </ns0:is>
      </ns0:c>
      <ns0:c r="R13" s="2" t="inlineStr">
        <ns0:is>
          <ns0:t>模拟权责发生制</ns0:t>
        </ns0:is>
      </ns0:c>
      <ns0:c r="S13" s="2" t="inlineStr">
        <ns0:is>
          <ns0:t>2027-01</ns0:t>
        </ns0:is>
      </ns0:c>
      <ns0:c r="T13" s="2" t="inlineStr">
        <ns0:is>
          <ns0:t>2027-06</ns0:t>
        </ns0:is>
      </ns0:c>
      <ns0:c r="U13" s="2" t="inlineStr">
        <ns0:is>
          <ns0:t>无</ns0:t>
        </ns0:is>
      </ns0:c>
      <ns0:c r="V13" s="2" t="inlineStr">
        <ns0:is>
          <ns0:t>无</ns0:t>
        </ns0:is>
      </ns0:c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 t="inlineStr">
        <ns0:is>
          <ns0:t>办公费</ns0:t>
        </ns0:is>
      </ns0:c>
      <ns0:c r="C14" s="3">
        <ns0:f>ROUND(C214*C334,2)</ns0:f>
        <ns0:v>334.46</ns0:v>
      </ns0:c>
      <ns0:c r="D14" s="3">
        <ns0:f>ROUND(D214*D334,2)</ns0:f>
        <ns0:v>61.01</ns0:v>
      </ns0:c>
      <ns0:c r="E14" s="3">
        <ns0:f>ROUND(E214*E334,2)</ns0:f>
        <ns0:v>329.88</ns0:v>
      </ns0:c>
      <ns0:c r="F14" s="3">
        <ns0:f>ROUND(F214*F334,2)</ns0:f>
        <ns0:v>159.95</ns0:v>
      </ns0:c>
      <ns0:c r="G14" s="3">
        <ns0:f>ROUND(G214*G334,2)</ns0:f>
        <ns0:v>294.80</ns0:v>
      </ns0:c>
      <ns0:c r="H14" s="3">
        <ns0:f>ROUND(H214*H334,2)</ns0:f>
        <ns0:v>169.86</ns0:v>
      </ns0:c>
      <ns0:c r="I14" s="3">
        <ns0:f>ROUND(I214*I334,2)</ns0:f>
        <ns0:v>418.22</ns0:v>
      </ns0:c>
      <ns0:c r="J14" s="3">
        <ns0:f>ROUND(J214*J334,2)</ns0:f>
        <ns0:v>252.56</ns0:v>
      </ns0:c>
      <ns0:c r="K14" s="3">
        <ns0:f>ROUND(K214*K334,2)</ns0:f>
        <ns0:v>383.71</ns0:v>
      </ns0:c>
      <ns0:c r="L14" s="3">
        <ns0:f>ROUND(L214*L334,2)</ns0:f>
        <ns0:v>263.35</ns0:v>
      </ns0:c>
      <ns0:c r="M14" s="3">
        <ns0:f>ROUND(M214*M334,2)</ns0:f>
        <ns0:v>399.49</ns0:v>
      </ns0:c>
      <ns0:c r="N14" s="3">
        <ns0:f>ROUND(N214*N334,2)</ns0:f>
        <ns0:v>398.87</ns0:v>
      </ns0:c>
      <ns0:c r="O14" s="3">
        <ns0:f>SUM(C14:N14)</ns0:f>
        <ns0:v>3466.16</ns0:v>
      </ns0:c>
      <ns0:c r="P14" s="2" t="inlineStr">
        <ns0:is>
          <ns0:t>EXP3.014</ns0:t>
        </ns0:is>
      </ns0:c>
      <ns0:c r="Q14" s="2" t="inlineStr">
        <ns0:is>
          <ns0:t>演示占位-v1</ns0:t>
        </ns0:is>
      </ns0:c>
      <ns0:c r="R14" s="2" t="inlineStr">
        <ns0:is>
          <ns0:t>模拟权责发生制</ns0:t>
        </ns0:is>
      </ns0:c>
      <ns0:c r="S14" s="2" t="inlineStr">
        <ns0:is>
          <ns0:t>2027-01</ns0:t>
        </ns0:is>
      </ns0:c>
      <ns0:c r="T14" s="2" t="inlineStr">
        <ns0:is>
          <ns0:t>2027-06</ns0:t>
        </ns0:is>
      </ns0:c>
      <ns0:c r="U14" s="2" t="inlineStr">
        <ns0:is>
          <ns0:t>无</ns0:t>
        </ns0:is>
      </ns0:c>
      <ns0:c r="V14" s="2" t="inlineStr">
        <ns0:is>
          <ns0:t>无</ns0:t>
        </ns0:is>
      </ns0:c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实际数据状态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 t="inlineStr">
        <ns0:is>
          <ns0:t>办公用品</ns0:t>
        </ns0:is>
      </ns0:c>
      <ns0:c r="C15" s="3">
        <ns0:f>ROUND(C215*C335,2)</ns0:f>
        <ns0:v>114.30</ns0:v>
      </ns0:c>
      <ns0:c r="D15" s="3">
        <ns0:f>ROUND(D215*D335,2)</ns0:f>
        <ns0:v>150.51</ns0:v>
      </ns0:c>
      <ns0:c r="E15" s="3">
        <ns0:f>ROUND(E215*E335,2)</ns0:f>
        <ns0:v>82.59</ns0:v>
      </ns0:c>
      <ns0:c r="F15" s="3">
        <ns0:f>ROUND(F215*F335,2)</ns0:f>
        <ns0:v>198.27</ns0:v>
      </ns0:c>
      <ns0:c r="G15" s="3">
        <ns0:f>ROUND(G215*G335,2)</ns0:f>
        <ns0:v>120.51</ns0:v>
      </ns0:c>
      <ns0:c r="H15" s="3">
        <ns0:f>ROUND(H215*H335,2)</ns0:f>
        <ns0:v>243.95</ns0:v>
      </ns0:c>
      <ns0:c r="I15" s="3">
        <ns0:f>ROUND(I215*I335,2)</ns0:f>
        <ns0:v>162.91</ns0:v>
      </ns0:c>
      <ns0:c r="J15" s="3">
        <ns0:f>ROUND(J215*J335,2)</ns0:f>
        <ns0:v>136.33</ns0:v>
      </ns0:c>
      <ns0:c r="K15" s="3">
        <ns0:f>ROUND(K215*K335,2)</ns0:f>
        <ns0:v>302.95</ns0:v>
      </ns0:c>
      <ns0:c r="L15" s="3">
        <ns0:f>ROUND(L215*L335,2)</ns0:f>
        <ns0:v>134.02</ns0:v>
      </ns0:c>
      <ns0:c r="M15" s="3">
        <ns0:f>ROUND(M215*M335,2)</ns0:f>
        <ns0:v>111.37</ns0:v>
      </ns0:c>
      <ns0:c r="N15" s="3">
        <ns0:f>ROUND(N215*N335,2)</ns0:f>
        <ns0:v>524.16</ns0:v>
      </ns0:c>
      <ns0:c r="O15" s="3">
        <ns0:f>SUM(C15:N15)</ns0:f>
        <ns0:v>2281.87</ns0:v>
      </ns0:c>
      <ns0:c r="P15" s="2" t="inlineStr">
        <ns0:is>
          <ns0:t>EXP3.015</ns0:t>
        </ns0:is>
      </ns0:c>
      <ns0:c r="Q15" s="2" t="inlineStr">
        <ns0:is>
          <ns0:t>演示占位-v1</ns0:t>
        </ns0:is>
      </ns0:c>
      <ns0:c r="R15" s="2" t="inlineStr">
        <ns0:is>
          <ns0:t>模拟权责发生制</ns0:t>
        </ns0:is>
      </ns0:c>
      <ns0:c r="S15" s="2" t="inlineStr">
        <ns0:is>
          <ns0:t>2027-01</ns0:t>
        </ns0:is>
      </ns0:c>
      <ns0:c r="T15" s="2" t="inlineStr">
        <ns0:is>
          <ns0:t>2027-06</ns0:t>
        </ns0:is>
      </ns0:c>
      <ns0:c r="U15" s="2" t="inlineStr">
        <ns0:is>
          <ns0:t>无</ns0:t>
        </ns0:is>
      </ns0:c>
      <ns0:c r="V15" s="2" t="inlineStr">
        <ns0:is>
          <ns0:t>无</ns0:t>
        </ns0:is>
      </ns0:c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 t="inlineStr">
        <ns0:is>
          <ns0:t>水电煤</ns0:t>
        </ns0:is>
      </ns0:c>
      <ns0:c r="C16" s="3">
        <ns0:f>ROUND(C216*C336,2)</ns0:f>
        <ns0:v>70.18</ns0:v>
      </ns0:c>
      <ns0:c r="D16" s="3">
        <ns0:f>ROUND(D216*D336,2)</ns0:f>
        <ns0:v>151.90</ns0:v>
      </ns0:c>
      <ns0:c r="E16" s="3">
        <ns0:f>ROUND(E216*E336,2)</ns0:f>
        <ns0:v>92.64</ns0:v>
      </ns0:c>
      <ns0:c r="F16" s="3">
        <ns0:f>ROUND(F216*F336,2)</ns0:f>
        <ns0:v>97.76</ns0:v>
      </ns0:c>
      <ns0:c r="G16" s="3">
        <ns0:f>ROUND(G216*G336,2)</ns0:f>
        <ns0:v>335.27</ns0:v>
      </ns0:c>
      <ns0:c r="H16" s="3">
        <ns0:f>ROUND(H216*H336,2)</ns0:f>
        <ns0:v>132.76</ns0:v>
      </ns0:c>
      <ns0:c r="I16" s="3">
        <ns0:f>ROUND(I216*I336,2)</ns0:f>
        <ns0:v>156.78</ns0:v>
      </ns0:c>
      <ns0:c r="J16" s="3">
        <ns0:f>ROUND(J216*J336,2)</ns0:f>
        <ns0:v>418.57</ns0:v>
      </ns0:c>
      <ns0:c r="K16" s="3">
        <ns0:f>ROUND(K216*K336,2)</ns0:f>
        <ns0:v>156.27</ns0:v>
      </ns0:c>
      <ns0:c r="L16" s="3">
        <ns0:f>ROUND(L216*L336,2)</ns0:f>
        <ns0:v>442.42</ns0:v>
      </ns0:c>
      <ns0:c r="M16" s="3">
        <ns0:f>ROUND(M216*M336,2)</ns0:f>
        <ns0:v>108.45</ns0:v>
      </ns0:c>
      <ns0:c r="N16" s="3">
        <ns0:f>ROUND(N216*N336,2)</ns0:f>
        <ns0:v>146.47</ns0:v>
      </ns0:c>
      <ns0:c r="O16" s="3">
        <ns0:f>SUM(C16:N16)</ns0:f>
        <ns0:v>2309.47</ns0:v>
      </ns0:c>
      <ns0:c r="P16" s="2" t="inlineStr">
        <ns0:is>
          <ns0:t>EXP3.016</ns0:t>
        </ns0:is>
      </ns0:c>
      <ns0:c r="Q16" s="2" t="inlineStr">
        <ns0:is>
          <ns0:t>演示占位-v1</ns0:t>
        </ns0:is>
      </ns0:c>
      <ns0:c r="R16" s="2" t="inlineStr">
        <ns0:is>
          <ns0:t>模拟权责发生制</ns0:t>
        </ns0:is>
      </ns0:c>
      <ns0:c r="S16" s="2" t="inlineStr">
        <ns0:is>
          <ns0:t>2027-01</ns0:t>
        </ns0:is>
      </ns0:c>
      <ns0:c r="T16" s="2" t="inlineStr">
        <ns0:is>
          <ns0:t>2027-06</ns0:t>
        </ns0:is>
      </ns0:c>
      <ns0:c r="U16" s="2" t="inlineStr">
        <ns0:is>
          <ns0:t>无</ns0:t>
        </ns0:is>
      </ns0:c>
      <ns0:c r="V16" s="2" t="inlineStr">
        <ns0:is>
          <ns0:t>无</ns0:t>
        </ns0:is>
      </ns0:c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/>
      <ns0:c r="AY16" s="2"/>
    </ns0:row>
    <ns0:row r="17" ht="20" customHeight="1">
      <ns0:c r="A17" s="2"/>
      <ns0:c r="B17" s="2" t="inlineStr">
        <ns0:is>
          <ns0:t>咨询服务费</ns0:t>
        </ns0:is>
      </ns0:c>
      <ns0:c r="C17" s="3">
        <ns0:f>ROUND(C217*C337,2)</ns0:f>
        <ns0:v>94.37</ns0:v>
      </ns0:c>
      <ns0:c r="D17" s="3">
        <ns0:f>ROUND(D217*D337,2)</ns0:f>
        <ns0:v>260.89</ns0:v>
      </ns0:c>
      <ns0:c r="E17" s="3">
        <ns0:f>ROUND(E217*E337,2)</ns0:f>
        <ns0:v>59.12</ns0:v>
      </ns0:c>
      <ns0:c r="F17" s="3">
        <ns0:f>ROUND(F217*F337,2)</ns0:f>
        <ns0:v>596.49</ns0:v>
      </ns0:c>
      <ns0:c r="G17" s="3">
        <ns0:f>ROUND(G217*G337,2)</ns0:f>
        <ns0:v>194.97</ns0:v>
      </ns0:c>
      <ns0:c r="H17" s="3">
        <ns0:f>ROUND(H217*H337,2)</ns0:f>
        <ns0:v>164.88</ns0:v>
      </ns0:c>
      <ns0:c r="I17" s="3">
        <ns0:f>ROUND(I217*I337,2)</ns0:f>
        <ns0:v>175.37</ns0:v>
      </ns0:c>
      <ns0:c r="J17" s="3">
        <ns0:f>ROUND(J217*J337,2)</ns0:f>
        <ns0:v>185.46</ns0:v>
      </ns0:c>
      <ns0:c r="K17" s="3">
        <ns0:f>ROUND(K217*K337,2)</ns0:f>
        <ns0:v>249.99</ns0:v>
      </ns0:c>
      <ns0:c r="L17" s="3">
        <ns0:f>ROUND(L217*L337,2)</ns0:f>
        <ns0:v>375.55</ns0:v>
      </ns0:c>
      <ns0:c r="M17" s="3">
        <ns0:f>ROUND(M217*M337,2)</ns0:f>
        <ns0:v>162.27</ns0:v>
      </ns0:c>
      <ns0:c r="N17" s="3">
        <ns0:f>ROUND(N217*N337,2)</ns0:f>
        <ns0:v>362.64</ns0:v>
      </ns0:c>
      <ns0:c r="O17" s="3">
        <ns0:f>SUM(C17:N17)</ns0:f>
        <ns0:v>2882.00</ns0:v>
      </ns0:c>
      <ns0:c r="P17" s="2" t="inlineStr">
        <ns0:is>
          <ns0:t>EXP3.017</ns0:t>
        </ns0:is>
      </ns0:c>
      <ns0:c r="Q17" s="2" t="inlineStr">
        <ns0:is>
          <ns0:t>演示占位-v1</ns0:t>
        </ns0:is>
      </ns0:c>
      <ns0:c r="R17" s="2" t="inlineStr">
        <ns0:is>
          <ns0:t>模拟权责发生制</ns0:t>
        </ns0:is>
      </ns0:c>
      <ns0:c r="S17" s="2" t="inlineStr">
        <ns0:is>
          <ns0:t>2027-01</ns0:t>
        </ns0:is>
      </ns0:c>
      <ns0:c r="T17" s="2" t="inlineStr">
        <ns0:is>
          <ns0:t>2027-06</ns0:t>
        </ns0:is>
      </ns0:c>
      <ns0:c r="U17" s="2" t="inlineStr">
        <ns0:is>
          <ns0:t>无</ns0:t>
        </ns0:is>
      </ns0:c>
      <ns0:c r="V17" s="2" t="inlineStr">
        <ns0:is>
          <ns0:t>无</ns0:t>
        </ns0:is>
      </ns0:c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蓝色为输入参数；实际数为占位；金额单位：元</ns0:t>
        </ns0:is>
      </ns0:c>
    </ns0:row>
    <ns0:row r="18" ht="20" customHeight="1">
      <ns0:c r="A18" s="2"/>
      <ns0:c r="B18" s="2" t="inlineStr">
        <ns0:is>
          <ns0:t>电话费</ns0:t>
        </ns0:is>
      </ns0:c>
      <ns0:c r="C18" s="3">
        <ns0:f>ROUND(C218*C338,2)</ns0:f>
        <ns0:v>124.03</ns0:v>
      </ns0:c>
      <ns0:c r="D18" s="3">
        <ns0:f>ROUND(D218*D338,2)</ns0:f>
        <ns0:v>133.88</ns0:v>
      </ns0:c>
      <ns0:c r="E18" s="3">
        <ns0:f>ROUND(E218*E338,2)</ns0:f>
        <ns0:v>174.29</ns0:v>
      </ns0:c>
      <ns0:c r="F18" s="3">
        <ns0:f>ROUND(F218*F338,2)</ns0:f>
        <ns0:v>148.32</ns0:v>
      </ns0:c>
      <ns0:c r="G18" s="3">
        <ns0:f>ROUND(G218*G338,2)</ns0:f>
        <ns0:v>144.90</ns0:v>
      </ns0:c>
      <ns0:c r="H18" s="3">
        <ns0:f>ROUND(H218*H338,2)</ns0:f>
        <ns0:v>177.98</ns0:v>
      </ns0:c>
      <ns0:c r="I18" s="3">
        <ns0:f>ROUND(I218*I338,2)</ns0:f>
        <ns0:v>161.38</ns0:v>
      </ns0:c>
      <ns0:c r="J18" s="3">
        <ns0:f>ROUND(J218*J338,2)</ns0:f>
        <ns0:v>102.47</ns0:v>
      </ns0:c>
      <ns0:c r="K18" s="3">
        <ns0:f>ROUND(K218*K338,2)</ns0:f>
        <ns0:v>403.63</ns0:v>
      </ns0:c>
      <ns0:c r="L18" s="3">
        <ns0:f>ROUND(L218*L338,2)</ns0:f>
        <ns0:v>133.63</ns0:v>
      </ns0:c>
      <ns0:c r="M18" s="3">
        <ns0:f>ROUND(M218*M338,2)</ns0:f>
        <ns0:v>64.03</ns0:v>
      </ns0:c>
      <ns0:c r="N18" s="3">
        <ns0:f>ROUND(N218*N338,2)</ns0:f>
        <ns0:v>289.40</ns0:v>
      </ns0:c>
      <ns0:c r="O18" s="3">
        <ns0:f>SUM(C18:N18)</ns0:f>
        <ns0:v>2057.94</ns0:v>
      </ns0:c>
      <ns0:c r="P18" s="2" t="inlineStr">
        <ns0:is>
          <ns0:t>EXP3.018</ns0:t>
        </ns0:is>
      </ns0:c>
      <ns0:c r="Q18" s="2" t="inlineStr">
        <ns0:is>
          <ns0:t>演示占位-v1</ns0:t>
        </ns0:is>
      </ns0:c>
      <ns0:c r="R18" s="2" t="inlineStr">
        <ns0:is>
          <ns0:t>模拟权责发生制</ns0:t>
        </ns0:is>
      </ns0:c>
      <ns0:c r="S18" s="2" t="inlineStr">
        <ns0:is>
          <ns0:t>2027-01</ns0:t>
        </ns0:is>
      </ns0:c>
      <ns0:c r="T18" s="2" t="inlineStr">
        <ns0:is>
          <ns0:t>2027-06</ns0:t>
        </ns0:is>
      </ns0:c>
      <ns0:c r="U18" s="2" t="inlineStr">
        <ns0:is>
          <ns0:t>无</ns0:t>
        </ns0:is>
      </ns0:c>
      <ns0:c r="V18" s="2" t="inlineStr">
        <ns0:is>
          <ns0:t>无</ns0:t>
        </ns0:is>
      </ns0:c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 t="inlineStr">
        <ns0:is>
          <ns0:t>快递费</ns0:t>
        </ns0:is>
      </ns0:c>
      <ns0:c r="C19" s="3">
        <ns0:f>ROUND(C219*C339,2)</ns0:f>
        <ns0:v>283.80</ns0:v>
      </ns0:c>
      <ns0:c r="D19" s="3">
        <ns0:f>ROUND(D219*D339,2)</ns0:f>
        <ns0:v>122.62</ns0:v>
      </ns0:c>
      <ns0:c r="E19" s="3">
        <ns0:f>ROUND(E219*E339,2)</ns0:f>
        <ns0:v>456.03</ns0:v>
      </ns0:c>
      <ns0:c r="F19" s="3">
        <ns0:f>ROUND(F219*F339,2)</ns0:f>
        <ns0:v>347.72</ns0:v>
      </ns0:c>
      <ns0:c r="G19" s="3">
        <ns0:f>ROUND(G219*G339,2)</ns0:f>
        <ns0:v>261.55</ns0:v>
      </ns0:c>
      <ns0:c r="H19" s="3">
        <ns0:f>ROUND(H219*H339,2)</ns0:f>
        <ns0:v>306.85</ns0:v>
      </ns0:c>
      <ns0:c r="I19" s="3">
        <ns0:f>ROUND(I219*I339,2)</ns0:f>
        <ns0:v>186.29</ns0:v>
      </ns0:c>
      <ns0:c r="J19" s="3">
        <ns0:f>ROUND(J219*J339,2)</ns0:f>
        <ns0:v>205.43</ns0:v>
      </ns0:c>
      <ns0:c r="K19" s="3">
        <ns0:f>ROUND(K219*K339,2)</ns0:f>
        <ns0:v>273.50</ns0:v>
      </ns0:c>
      <ns0:c r="L19" s="3">
        <ns0:f>ROUND(L219*L339,2)</ns0:f>
        <ns0:v>57.31</ns0:v>
      </ns0:c>
      <ns0:c r="M19" s="3">
        <ns0:f>ROUND(M219*M339,2)</ns0:f>
        <ns0:v>87.14</ns0:v>
      </ns0:c>
      <ns0:c r="N19" s="3">
        <ns0:f>ROUND(N219*N339,2)</ns0:f>
        <ns0:v>433.43</ns0:v>
      </ns0:c>
      <ns0:c r="O19" s="3">
        <ns0:f>SUM(C19:N19)</ns0:f>
        <ns0:v>3021.67</ns0:v>
      </ns0:c>
      <ns0:c r="P19" s="2" t="inlineStr">
        <ns0:is>
          <ns0:t>EXP3.019</ns0:t>
        </ns0:is>
      </ns0:c>
      <ns0:c r="Q19" s="2" t="inlineStr">
        <ns0:is>
          <ns0:t>演示占位-v1</ns0:t>
        </ns0:is>
      </ns0:c>
      <ns0:c r="R19" s="2" t="inlineStr">
        <ns0:is>
          <ns0:t>模拟权责发生制</ns0:t>
        </ns0:is>
      </ns0:c>
      <ns0:c r="S19" s="2" t="inlineStr">
        <ns0:is>
          <ns0:t>2027-01</ns0:t>
        </ns0:is>
      </ns0:c>
      <ns0:c r="T19" s="2" t="inlineStr">
        <ns0:is>
          <ns0:t>2027-06</ns0:t>
        </ns0:is>
      </ns0:c>
      <ns0:c r="U19" s="2" t="inlineStr">
        <ns0:is>
          <ns0:t>无</ns0:t>
        </ns0:is>
      </ns0:c>
      <ns0:c r="V19" s="2" t="inlineStr">
        <ns0:is>
          <ns0:t>无</ns0:t>
        </ns0:is>
      </ns0:c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 t="inlineStr">
        <ns0:is>
          <ns0:t>折旧及摊销</ns0:t>
        </ns0:is>
      </ns0:c>
      <ns0:c r="C20" s="3">
        <ns0:f>ROUND('摊销明细'!C33/3,2)</ns0:f>
        <ns0:v>639.75</ns0:v>
      </ns0:c>
      <ns0:c r="D20" s="3">
        <ns0:f>ROUND('摊销明细'!D33/3,2)</ns0:f>
        <ns0:v>639.75</ns0:v>
      </ns0:c>
      <ns0:c r="E20" s="3">
        <ns0:f>ROUND('摊销明细'!E33/3,2)</ns0:f>
        <ns0:v>639.75</ns0:v>
      </ns0:c>
      <ns0:c r="F20" s="3">
        <ns0:f>ROUND('摊销明细'!F33/3,2)</ns0:f>
        <ns0:v>639.75</ns0:v>
      </ns0:c>
      <ns0:c r="G20" s="3">
        <ns0:f>ROUND('摊销明细'!G33/3,2)</ns0:f>
        <ns0:v>639.75</ns0:v>
      </ns0:c>
      <ns0:c r="H20" s="3">
        <ns0:f>ROUND('摊销明细'!H33/3,2)</ns0:f>
        <ns0:v>639.75</ns0:v>
      </ns0:c>
      <ns0:c r="I20" s="3">
        <ns0:f>ROUND('摊销明细'!I33/3,2)</ns0:f>
        <ns0:v>639.75</ns0:v>
      </ns0:c>
      <ns0:c r="J20" s="3">
        <ns0:f>ROUND('摊销明细'!J33/3,2)</ns0:f>
        <ns0:v>639.75</ns0:v>
      </ns0:c>
      <ns0:c r="K20" s="3">
        <ns0:f>ROUND('摊销明细'!K33/3,2)</ns0:f>
        <ns0:v>639.75</ns0:v>
      </ns0:c>
      <ns0:c r="L20" s="3">
        <ns0:f>ROUND('摊销明细'!L33/3,2)</ns0:f>
        <ns0:v>639.75</ns0:v>
      </ns0:c>
      <ns0:c r="M20" s="3">
        <ns0:f>ROUND('摊销明细'!M33/3,2)</ns0:f>
        <ns0:v>639.75</ns0:v>
      </ns0:c>
      <ns0:c r="N20" s="3">
        <ns0:f>ROUND('摊销明细'!N33/3,2)</ns0:f>
        <ns0:v>639.75</ns0:v>
      </ns0:c>
      <ns0:c r="O20" s="3">
        <ns0:f>SUM(C20:N20)</ns0:f>
        <ns0:v>7677.00</ns0:v>
      </ns0:c>
      <ns0:c r="P20" s="2" t="inlineStr">
        <ns0:is>
          <ns0:t>EXP3.020</ns0:t>
        </ns0:is>
      </ns0:c>
      <ns0:c r="Q20" s="2" t="inlineStr">
        <ns0:is>
          <ns0:t>演示占位-v1</ns0:t>
        </ns0:is>
      </ns0:c>
      <ns0:c r="R20" s="2" t="inlineStr">
        <ns0:is>
          <ns0:t>模拟权责发生制</ns0:t>
        </ns0:is>
      </ns0:c>
      <ns0:c r="S20" s="2" t="inlineStr">
        <ns0:is>
          <ns0:t>2027-01</ns0:t>
        </ns0:is>
      </ns0:c>
      <ns0:c r="T20" s="2" t="inlineStr">
        <ns0:is>
          <ns0:t>2027-06</ns0:t>
        </ns0:is>
      </ns0:c>
      <ns0:c r="U20" s="2" t="inlineStr">
        <ns0:is>
          <ns0:t>无</ns0:t>
        </ns0:is>
      </ns0:c>
      <ns0:c r="V20" s="2" t="inlineStr">
        <ns0:is>
          <ns0:t>无</ns0:t>
        </ns0:is>
      </ns0:c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 t="inlineStr">
        <ns0:is>
          <ns0:t>差旅费</ns0:t>
        </ns0:is>
      </ns0:c>
      <ns0:c r="B21" s="2" t="inlineStr">
        <ns0:is>
          <ns0:t>机票火车票</ns0:t>
        </ns0:is>
      </ns0:c>
      <ns0:c r="C21" s="3">
        <ns0:f>ROUND(C221*C341,2)</ns0:f>
        <ns0:v>137.63</ns0:v>
      </ns0:c>
      <ns0:c r="D21" s="3">
        <ns0:f>ROUND(D221*D341,2)</ns0:f>
        <ns0:v>65.61</ns0:v>
      </ns0:c>
      <ns0:c r="E21" s="3">
        <ns0:f>ROUND(E221*E341,2)</ns0:f>
        <ns0:v>106.98</ns0:v>
      </ns0:c>
      <ns0:c r="F21" s="3">
        <ns0:f>ROUND(F221*F341,2)</ns0:f>
        <ns0:v>139.62</ns0:v>
      </ns0:c>
      <ns0:c r="G21" s="3">
        <ns0:f>ROUND(G221*G341,2)</ns0:f>
        <ns0:v>330.24</ns0:v>
      </ns0:c>
      <ns0:c r="H21" s="3">
        <ns0:f>ROUND(H221*H341,2)</ns0:f>
        <ns0:v>328.82</ns0:v>
      </ns0:c>
      <ns0:c r="I21" s="3">
        <ns0:f>ROUND(I221*I341,2)</ns0:f>
        <ns0:v>631.44</ns0:v>
      </ns0:c>
      <ns0:c r="J21" s="3">
        <ns0:f>ROUND(J221*J341,2)</ns0:f>
        <ns0:v>227.03</ns0:v>
      </ns0:c>
      <ns0:c r="K21" s="3">
        <ns0:f>ROUND(K221*K341,2)</ns0:f>
        <ns0:v>209.43</ns0:v>
      </ns0:c>
      <ns0:c r="L21" s="3">
        <ns0:f>ROUND(L221*L341,2)</ns0:f>
        <ns0:v>437.70</ns0:v>
      </ns0:c>
      <ns0:c r="M21" s="3">
        <ns0:f>ROUND(M221*M341,2)</ns0:f>
        <ns0:v>373.70</ns0:v>
      </ns0:c>
      <ns0:c r="N21" s="3">
        <ns0:f>ROUND(N221*N341,2)</ns0:f>
        <ns0:v>245.99</ns0:v>
      </ns0:c>
      <ns0:c r="O21" s="3">
        <ns0:f>SUM(C21:N21)</ns0:f>
        <ns0:v>3234.19</ns0:v>
      </ns0:c>
      <ns0:c r="P21" s="2" t="inlineStr">
        <ns0:is>
          <ns0:t>EXP3.021</ns0:t>
        </ns0:is>
      </ns0:c>
      <ns0:c r="Q21" s="2" t="inlineStr">
        <ns0:is>
          <ns0:t>演示占位-v1</ns0:t>
        </ns0:is>
      </ns0:c>
      <ns0:c r="R21" s="2" t="inlineStr">
        <ns0:is>
          <ns0:t>模拟权责发生制</ns0:t>
        </ns0:is>
      </ns0:c>
      <ns0:c r="S21" s="2" t="inlineStr">
        <ns0:is>
          <ns0:t>2027-01</ns0:t>
        </ns0:is>
      </ns0:c>
      <ns0:c r="T21" s="2" t="inlineStr">
        <ns0:is>
          <ns0:t>2027-06</ns0:t>
        </ns0:is>
      </ns0:c>
      <ns0:c r="U21" s="2" t="inlineStr">
        <ns0:is>
          <ns0:t>无</ns0:t>
        </ns0:is>
      </ns0:c>
      <ns0:c r="V21" s="2" t="inlineStr">
        <ns0:is>
          <ns0:t>无</ns0:t>
        </ns0:is>
      </ns0:c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 t="inlineStr">
        <ns0:is>
          <ns0:t>住宿费</ns0:t>
        </ns0:is>
      </ns0:c>
      <ns0:c r="C22" s="3">
        <ns0:f>ROUND(C222*C342,2)</ns0:f>
        <ns0:v>262.10</ns0:v>
      </ns0:c>
      <ns0:c r="D22" s="3">
        <ns0:f>ROUND(D222*D342,2)</ns0:f>
        <ns0:v>338.37</ns0:v>
      </ns0:c>
      <ns0:c r="E22" s="3">
        <ns0:f>ROUND(E222*E342,2)</ns0:f>
        <ns0:v>147.60</ns0:v>
      </ns0:c>
      <ns0:c r="F22" s="3">
        <ns0:f>ROUND(F222*F342,2)</ns0:f>
        <ns0:v>367.68</ns0:v>
      </ns0:c>
      <ns0:c r="G22" s="3">
        <ns0:f>ROUND(G222*G342,2)</ns0:f>
        <ns0:v>218.08</ns0:v>
      </ns0:c>
      <ns0:c r="H22" s="3">
        <ns0:f>ROUND(H222*H342,2)</ns0:f>
        <ns0:v>221.39</ns0:v>
      </ns0:c>
      <ns0:c r="I22" s="3">
        <ns0:f>ROUND(I222*I342,2)</ns0:f>
        <ns0:v>101.73</ns0:v>
      </ns0:c>
      <ns0:c r="J22" s="3">
        <ns0:f>ROUND(J222*J342,2)</ns0:f>
        <ns0:v>289.21</ns0:v>
      </ns0:c>
      <ns0:c r="K22" s="3">
        <ns0:f>ROUND(K222*K342,2)</ns0:f>
        <ns0:v>217.22</ns0:v>
      </ns0:c>
      <ns0:c r="L22" s="3">
        <ns0:f>ROUND(L222*L342,2)</ns0:f>
        <ns0:v>322.95</ns0:v>
      </ns0:c>
      <ns0:c r="M22" s="3">
        <ns0:f>ROUND(M222*M342,2)</ns0:f>
        <ns0:v>117.98</ns0:v>
      </ns0:c>
      <ns0:c r="N22" s="3">
        <ns0:f>ROUND(N222*N342,2)</ns0:f>
        <ns0:v>190.19</ns0:v>
      </ns0:c>
      <ns0:c r="O22" s="3">
        <ns0:f>SUM(C22:N22)</ns0:f>
        <ns0:v>2794.50</ns0:v>
      </ns0:c>
      <ns0:c r="P22" s="2" t="inlineStr">
        <ns0:is>
          <ns0:t>EXP3.022</ns0:t>
        </ns0:is>
      </ns0:c>
      <ns0:c r="Q22" s="2" t="inlineStr">
        <ns0:is>
          <ns0:t>演示占位-v1</ns0:t>
        </ns0:is>
      </ns0:c>
      <ns0:c r="R22" s="2" t="inlineStr">
        <ns0:is>
          <ns0:t>模拟权责发生制</ns0:t>
        </ns0:is>
      </ns0:c>
      <ns0:c r="S22" s="2" t="inlineStr">
        <ns0:is>
          <ns0:t>2027-01</ns0:t>
        </ns0:is>
      </ns0:c>
      <ns0:c r="T22" s="2" t="inlineStr">
        <ns0:is>
          <ns0:t>2027-06</ns0:t>
        </ns0:is>
      </ns0:c>
      <ns0:c r="U22" s="2" t="inlineStr">
        <ns0:is>
          <ns0:t>无</ns0:t>
        </ns0:is>
      </ns0:c>
      <ns0:c r="V22" s="2" t="inlineStr">
        <ns0:is>
          <ns0:t>无</ns0:t>
        </ns0:is>
      </ns0:c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 t="inlineStr">
        <ns0:is>
          <ns0:t>交通费</ns0:t>
        </ns0:is>
      </ns0:c>
      <ns0:c r="C23" s="3">
        <ns0:f>ROUND(C223*C343,2)</ns0:f>
        <ns0:v>231.86</ns0:v>
      </ns0:c>
      <ns0:c r="D23" s="3">
        <ns0:f>ROUND(D223*D343,2)</ns0:f>
        <ns0:v>237.17</ns0:v>
      </ns0:c>
      <ns0:c r="E23" s="3">
        <ns0:f>ROUND(E223*E343,2)</ns0:f>
        <ns0:v>271.94</ns0:v>
      </ns0:c>
      <ns0:c r="F23" s="3">
        <ns0:f>ROUND(F223*F343,2)</ns0:f>
        <ns0:v>330.69</ns0:v>
      </ns0:c>
      <ns0:c r="G23" s="3">
        <ns0:f>ROUND(G223*G343,2)</ns0:f>
        <ns0:v>304.80</ns0:v>
      </ns0:c>
      <ns0:c r="H23" s="3">
        <ns0:f>ROUND(H223*H343,2)</ns0:f>
        <ns0:v>469.56</ns0:v>
      </ns0:c>
      <ns0:c r="I23" s="3">
        <ns0:f>ROUND(I223*I343,2)</ns0:f>
        <ns0:v>210.11</ns0:v>
      </ns0:c>
      <ns0:c r="J23" s="3">
        <ns0:f>ROUND(J223*J343,2)</ns0:f>
        <ns0:v>164.50</ns0:v>
      </ns0:c>
      <ns0:c r="K23" s="3">
        <ns0:f>ROUND(K223*K343,2)</ns0:f>
        <ns0:v>177.45</ns0:v>
      </ns0:c>
      <ns0:c r="L23" s="3">
        <ns0:f>ROUND(L223*L343,2)</ns0:f>
        <ns0:v>144.43</ns0:v>
      </ns0:c>
      <ns0:c r="M23" s="3">
        <ns0:f>ROUND(M223*M343,2)</ns0:f>
        <ns0:v>472.31</ns0:v>
      </ns0:c>
      <ns0:c r="N23" s="3">
        <ns0:f>ROUND(N223*N343,2)</ns0:f>
        <ns0:v>178.68</ns0:v>
      </ns0:c>
      <ns0:c r="O23" s="3">
        <ns0:f>SUM(C23:N23)</ns0:f>
        <ns0:v>3193.50</ns0:v>
      </ns0:c>
      <ns0:c r="P23" s="2" t="inlineStr">
        <ns0:is>
          <ns0:t>EXP3.023</ns0:t>
        </ns0:is>
      </ns0:c>
      <ns0:c r="Q23" s="2" t="inlineStr">
        <ns0:is>
          <ns0:t>演示占位-v1</ns0:t>
        </ns0:is>
      </ns0:c>
      <ns0:c r="R23" s="2" t="inlineStr">
        <ns0:is>
          <ns0:t>模拟权责发生制</ns0:t>
        </ns0:is>
      </ns0:c>
      <ns0:c r="S23" s="2" t="inlineStr">
        <ns0:is>
          <ns0:t>2027-01</ns0:t>
        </ns0:is>
      </ns0:c>
      <ns0:c r="T23" s="2" t="inlineStr">
        <ns0:is>
          <ns0:t>2027-06</ns0:t>
        </ns0:is>
      </ns0:c>
      <ns0:c r="U23" s="2" t="inlineStr">
        <ns0:is>
          <ns0:t>无</ns0:t>
        </ns0:is>
      </ns0:c>
      <ns0:c r="V23" s="2" t="inlineStr">
        <ns0:is>
          <ns0:t>无</ns0:t>
        </ns0:is>
      </ns0:c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 t="inlineStr">
        <ns0:is>
          <ns0:t>差旅补贴</ns0:t>
        </ns0:is>
      </ns0:c>
      <ns0:c r="C24" s="3">
        <ns0:f>ROUND(C224*C344,2)</ns0:f>
        <ns0:v>155.83</ns0:v>
      </ns0:c>
      <ns0:c r="D24" s="3">
        <ns0:f>ROUND(D224*D344,2)</ns0:f>
        <ns0:v>170.70</ns0:v>
      </ns0:c>
      <ns0:c r="E24" s="3">
        <ns0:f>ROUND(E224*E344,2)</ns0:f>
        <ns0:v>183.70</ns0:v>
      </ns0:c>
      <ns0:c r="F24" s="3">
        <ns0:f>ROUND(F224*F344,2)</ns0:f>
        <ns0:v>354.28</ns0:v>
      </ns0:c>
      <ns0:c r="G24" s="3">
        <ns0:f>ROUND(G224*G344,2)</ns0:f>
        <ns0:v>222.17</ns0:v>
      </ns0:c>
      <ns0:c r="H24" s="3">
        <ns0:f>ROUND(H224*H344,2)</ns0:f>
        <ns0:v>129.93</ns0:v>
      </ns0:c>
      <ns0:c r="I24" s="3">
        <ns0:f>ROUND(I224*I344,2)</ns0:f>
        <ns0:v>166.97</ns0:v>
      </ns0:c>
      <ns0:c r="J24" s="3">
        <ns0:f>ROUND(J224*J344,2)</ns0:f>
        <ns0:v>135.42</ns0:v>
      </ns0:c>
      <ns0:c r="K24" s="3">
        <ns0:f>ROUND(K224*K344,2)</ns0:f>
        <ns0:v>466.96</ns0:v>
      </ns0:c>
      <ns0:c r="L24" s="3">
        <ns0:f>ROUND(L224*L344,2)</ns0:f>
        <ns0:v>481.04</ns0:v>
      </ns0:c>
      <ns0:c r="M24" s="3">
        <ns0:f>ROUND(M224*M344,2)</ns0:f>
        <ns0:v>290.41</ns0:v>
      </ns0:c>
      <ns0:c r="N24" s="3">
        <ns0:f>ROUND(N224*N344,2)</ns0:f>
        <ns0:v>295.02</ns0:v>
      </ns0:c>
      <ns0:c r="O24" s="3">
        <ns0:f>SUM(C24:N24)</ns0:f>
        <ns0:v>3052.43</ns0:v>
      </ns0:c>
      <ns0:c r="P24" s="2" t="inlineStr">
        <ns0:is>
          <ns0:t>EXP3.024</ns0:t>
        </ns0:is>
      </ns0:c>
      <ns0:c r="Q24" s="2" t="inlineStr">
        <ns0:is>
          <ns0:t>演示占位-v1</ns0:t>
        </ns0:is>
      </ns0:c>
      <ns0:c r="R24" s="2" t="inlineStr">
        <ns0:is>
          <ns0:t>模拟权责发生制</ns0:t>
        </ns0:is>
      </ns0:c>
      <ns0:c r="S24" s="2" t="inlineStr">
        <ns0:is>
          <ns0:t>2027-01</ns0:t>
        </ns0:is>
      </ns0:c>
      <ns0:c r="T24" s="2" t="inlineStr">
        <ns0:is>
          <ns0:t>2027-06</ns0:t>
        </ns0:is>
      </ns0:c>
      <ns0:c r="U24" s="2" t="inlineStr">
        <ns0:is>
          <ns0:t>无</ns0:t>
        </ns0:is>
      </ns0:c>
      <ns0:c r="V24" s="2" t="inlineStr">
        <ns0:is>
          <ns0:t>无</ns0:t>
        </ns0:is>
      </ns0:c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 t="inlineStr">
        <ns0:is>
          <ns0:t>业务招待费</ns0:t>
        </ns0:is>
      </ns0:c>
      <ns0:c r="B25" s="2" t="inlineStr">
        <ns0:is>
          <ns0:t>业务招待费</ns0:t>
        </ns0:is>
      </ns0:c>
      <ns0:c r="C25" s="3">
        <ns0:f>ROUND(C225*C345,2)</ns0:f>
        <ns0:v>561.88</ns0:v>
      </ns0:c>
      <ns0:c r="D25" s="3">
        <ns0:f>ROUND(D225*D345,2)</ns0:f>
        <ns0:v>108.73</ns0:v>
      </ns0:c>
      <ns0:c r="E25" s="3">
        <ns0:f>ROUND(E225*E345,2)</ns0:f>
        <ns0:v>307.35</ns0:v>
      </ns0:c>
      <ns0:c r="F25" s="3">
        <ns0:f>ROUND(F225*F345,2)</ns0:f>
        <ns0:v>91.02</ns0:v>
      </ns0:c>
      <ns0:c r="G25" s="3">
        <ns0:f>ROUND(G225*G345,2)</ns0:f>
        <ns0:v>292.05</ns0:v>
      </ns0:c>
      <ns0:c r="H25" s="3">
        <ns0:f>ROUND(H225*H345,2)</ns0:f>
        <ns0:v>252.11</ns0:v>
      </ns0:c>
      <ns0:c r="I25" s="3">
        <ns0:f>ROUND(I225*I345,2)</ns0:f>
        <ns0:v>376.61</ns0:v>
      </ns0:c>
      <ns0:c r="J25" s="3">
        <ns0:f>ROUND(J225*J345,2)</ns0:f>
        <ns0:v>307.44</ns0:v>
      </ns0:c>
      <ns0:c r="K25" s="3">
        <ns0:f>ROUND(K225*K345,2)</ns0:f>
        <ns0:v>239.27</ns0:v>
      </ns0:c>
      <ns0:c r="L25" s="3">
        <ns0:f>ROUND(L225*L345,2)</ns0:f>
        <ns0:v>185.93</ns0:v>
      </ns0:c>
      <ns0:c r="M25" s="3">
        <ns0:f>ROUND(M225*M345,2)</ns0:f>
        <ns0:v>199.99</ns0:v>
      </ns0:c>
      <ns0:c r="N25" s="3">
        <ns0:f>ROUND(N225*N345,2)</ns0:f>
        <ns0:v>358.54</ns0:v>
      </ns0:c>
      <ns0:c r="O25" s="3">
        <ns0:f>SUM(C25:N25)</ns0:f>
        <ns0:v>3280.92</ns0:v>
      </ns0:c>
      <ns0:c r="P25" s="2" t="inlineStr">
        <ns0:is>
          <ns0:t>EXP3.025</ns0:t>
        </ns0:is>
      </ns0:c>
      <ns0:c r="Q25" s="2" t="inlineStr">
        <ns0:is>
          <ns0:t>演示占位-v1</ns0:t>
        </ns0:is>
      </ns0:c>
      <ns0:c r="R25" s="2" t="inlineStr">
        <ns0:is>
          <ns0:t>模拟权责发生制</ns0:t>
        </ns0:is>
      </ns0:c>
      <ns0:c r="S25" s="2" t="inlineStr">
        <ns0:is>
          <ns0:t>2027-01</ns0:t>
        </ns0:is>
      </ns0:c>
      <ns0:c r="T25" s="2" t="inlineStr">
        <ns0:is>
          <ns0:t>2027-06</ns0:t>
        </ns0:is>
      </ns0:c>
      <ns0:c r="U25" s="2" t="inlineStr">
        <ns0:is>
          <ns0:t>无</ns0:t>
        </ns0:is>
      </ns0:c>
      <ns0:c r="V25" s="2" t="inlineStr">
        <ns0:is>
          <ns0:t>无</ns0:t>
        </ns0:is>
      </ns0:c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 t="inlineStr">
        <ns0:is>
          <ns0:t>市内交通费</ns0:t>
        </ns0:is>
      </ns0:c>
      <ns0:c r="B26" s="2" t="inlineStr">
        <ns0:is>
          <ns0:t>市内交通费</ns0:t>
        </ns0:is>
      </ns0:c>
      <ns0:c r="C26" s="3">
        <ns0:f>ROUND(C226*C346,2)</ns0:f>
        <ns0:v>223.23</ns0:v>
      </ns0:c>
      <ns0:c r="D26" s="3">
        <ns0:f>ROUND(D226*D346,2)</ns0:f>
        <ns0:v>249.63</ns0:v>
      </ns0:c>
      <ns0:c r="E26" s="3">
        <ns0:f>ROUND(E226*E346,2)</ns0:f>
        <ns0:v>275.12</ns0:v>
      </ns0:c>
      <ns0:c r="F26" s="3">
        <ns0:f>ROUND(F226*F346,2)</ns0:f>
        <ns0:v>119.78</ns0:v>
      </ns0:c>
      <ns0:c r="G26" s="3">
        <ns0:f>ROUND(G226*G346,2)</ns0:f>
        <ns0:v>240.15</ns0:v>
      </ns0:c>
      <ns0:c r="H26" s="3">
        <ns0:f>ROUND(H226*H346,2)</ns0:f>
        <ns0:v>169.65</ns0:v>
      </ns0:c>
      <ns0:c r="I26" s="3">
        <ns0:f>ROUND(I226*I346,2)</ns0:f>
        <ns0:v>441.33</ns0:v>
      </ns0:c>
      <ns0:c r="J26" s="3">
        <ns0:f>ROUND(J226*J346,2)</ns0:f>
        <ns0:v>142.60</ns0:v>
      </ns0:c>
      <ns0:c r="K26" s="3">
        <ns0:f>ROUND(K226*K346,2)</ns0:f>
        <ns0:v>254.61</ns0:v>
      </ns0:c>
      <ns0:c r="L26" s="3">
        <ns0:f>ROUND(L226*L346,2)</ns0:f>
        <ns0:v>81.56</ns0:v>
      </ns0:c>
      <ns0:c r="M26" s="3">
        <ns0:f>ROUND(M226*M346,2)</ns0:f>
        <ns0:v>142.00</ns0:v>
      </ns0:c>
      <ns0:c r="N26" s="3">
        <ns0:f>ROUND(N226*N346,2)</ns0:f>
        <ns0:v>455.13</ns0:v>
      </ns0:c>
      <ns0:c r="O26" s="3">
        <ns0:f>SUM(C26:N26)</ns0:f>
        <ns0:v>2794.79</ns0:v>
      </ns0:c>
      <ns0:c r="P26" s="2" t="inlineStr">
        <ns0:is>
          <ns0:t>EXP3.026</ns0:t>
        </ns0:is>
      </ns0:c>
      <ns0:c r="Q26" s="2" t="inlineStr">
        <ns0:is>
          <ns0:t>演示占位-v1</ns0:t>
        </ns0:is>
      </ns0:c>
      <ns0:c r="R26" s="2" t="inlineStr">
        <ns0:is>
          <ns0:t>模拟权责发生制</ns0:t>
        </ns0:is>
      </ns0:c>
      <ns0:c r="S26" s="2" t="inlineStr">
        <ns0:is>
          <ns0:t>2027-01</ns0:t>
        </ns0:is>
      </ns0:c>
      <ns0:c r="T26" s="2" t="inlineStr">
        <ns0:is>
          <ns0:t>2027-06</ns0:t>
        </ns0:is>
      </ns0:c>
      <ns0:c r="U26" s="2" t="inlineStr">
        <ns0:is>
          <ns0:t>无</ns0:t>
        </ns0:is>
      </ns0:c>
      <ns0:c r="V26" s="2" t="inlineStr">
        <ns0:is>
          <ns0:t>无</ns0:t>
        </ns0:is>
      </ns0:c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 t="inlineStr">
        <ns0:is>
          <ns0:t>调研费用</ns0:t>
        </ns0:is>
      </ns0:c>
      <ns0:c r="B27" s="2" t="inlineStr">
        <ns0:is>
          <ns0:t>调研费用</ns0:t>
        </ns0:is>
      </ns0:c>
      <ns0:c r="C27" s="3">
        <ns0:f>ROUND(C227*C347,2)</ns0:f>
        <ns0:v>344.61</ns0:v>
      </ns0:c>
      <ns0:c r="D27" s="3">
        <ns0:f>ROUND(D227*D347,2)</ns0:f>
        <ns0:v>583.11</ns0:v>
      </ns0:c>
      <ns0:c r="E27" s="3">
        <ns0:f>ROUND(E227*E347,2)</ns0:f>
        <ns0:v>485.10</ns0:v>
      </ns0:c>
      <ns0:c r="F27" s="3">
        <ns0:f>ROUND(F227*F347,2)</ns0:f>
        <ns0:v>135.31</ns0:v>
      </ns0:c>
      <ns0:c r="G27" s="3">
        <ns0:f>ROUND(G227*G347,2)</ns0:f>
        <ns0:v>206.87</ns0:v>
      </ns0:c>
      <ns0:c r="H27" s="3">
        <ns0:f>ROUND(H227*H347,2)</ns0:f>
        <ns0:v>269.54</ns0:v>
      </ns0:c>
      <ns0:c r="I27" s="3">
        <ns0:f>ROUND(I227*I347,2)</ns0:f>
        <ns0:v>137.50</ns0:v>
      </ns0:c>
      <ns0:c r="J27" s="3">
        <ns0:f>ROUND(J227*J347,2)</ns0:f>
        <ns0:v>145.75</ns0:v>
      </ns0:c>
      <ns0:c r="K27" s="3">
        <ns0:f>ROUND(K227*K347,2)</ns0:f>
        <ns0:v>102.13</ns0:v>
      </ns0:c>
      <ns0:c r="L27" s="3">
        <ns0:f>ROUND(L227*L347,2)</ns0:f>
        <ns0:v>202.83</ns0:v>
      </ns0:c>
      <ns0:c r="M27" s="3">
        <ns0:f>ROUND(M227*M347,2)</ns0:f>
        <ns0:v>464.71</ns0:v>
      </ns0:c>
      <ns0:c r="N27" s="3">
        <ns0:f>ROUND(N227*N347,2)</ns0:f>
        <ns0:v>309.04</ns0:v>
      </ns0:c>
      <ns0:c r="O27" s="3">
        <ns0:f>SUM(C27:N27)</ns0:f>
        <ns0:v>3386.50</ns0:v>
      </ns0:c>
      <ns0:c r="P27" s="2" t="inlineStr">
        <ns0:is>
          <ns0:t>EXP3.027</ns0:t>
        </ns0:is>
      </ns0:c>
      <ns0:c r="Q27" s="2" t="inlineStr">
        <ns0:is>
          <ns0:t>演示占位-v1</ns0:t>
        </ns0:is>
      </ns0:c>
      <ns0:c r="R27" s="2" t="inlineStr">
        <ns0:is>
          <ns0:t>模拟权责发生制</ns0:t>
        </ns0:is>
      </ns0:c>
      <ns0:c r="S27" s="2" t="inlineStr">
        <ns0:is>
          <ns0:t>2027-01</ns0:t>
        </ns0:is>
      </ns0:c>
      <ns0:c r="T27" s="2" t="inlineStr">
        <ns0:is>
          <ns0:t>2027-06</ns0:t>
        </ns0:is>
      </ns0:c>
      <ns0:c r="U27" s="2" t="inlineStr">
        <ns0:is>
          <ns0:t>无</ns0:t>
        </ns0:is>
      </ns0:c>
      <ns0:c r="V27" s="2" t="inlineStr">
        <ns0:is>
          <ns0:t>无</ns0:t>
        </ns0:is>
      </ns0:c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 t="inlineStr">
        <ns0:is>
          <ns0:t>手续费</ns0:t>
        </ns0:is>
      </ns0:c>
      <ns0:c r="B28" s="2" t="inlineStr">
        <ns0:is>
          <ns0:t>手续费</ns0:t>
        </ns0:is>
      </ns0:c>
      <ns0:c r="C28" s="3">
        <ns0:f>ROUND(C228*C348,2)</ns0:f>
        <ns0:v>54.10</ns0:v>
      </ns0:c>
      <ns0:c r="D28" s="3">
        <ns0:f>ROUND(D228*D348,2)</ns0:f>
        <ns0:v>213.00</ns0:v>
      </ns0:c>
      <ns0:c r="E28" s="3">
        <ns0:f>ROUND(E228*E348,2)</ns0:f>
        <ns0:v>154.54</ns0:v>
      </ns0:c>
      <ns0:c r="F28" s="3">
        <ns0:f>ROUND(F228*F348,2)</ns0:f>
        <ns0:v>310.59</ns0:v>
      </ns0:c>
      <ns0:c r="G28" s="3">
        <ns0:f>ROUND(G228*G348,2)</ns0:f>
        <ns0:v>252.70</ns0:v>
      </ns0:c>
      <ns0:c r="H28" s="3">
        <ns0:f>ROUND(H228*H348,2)</ns0:f>
        <ns0:v>249.26</ns0:v>
      </ns0:c>
      <ns0:c r="I28" s="3">
        <ns0:f>ROUND(I228*I348,2)</ns0:f>
        <ns0:v>112.38</ns0:v>
      </ns0:c>
      <ns0:c r="J28" s="3">
        <ns0:f>ROUND(J228*J348,2)</ns0:f>
        <ns0:v>179.78</ns0:v>
      </ns0:c>
      <ns0:c r="K28" s="3">
        <ns0:f>ROUND(K228*K348,2)</ns0:f>
        <ns0:v>130.22</ns0:v>
      </ns0:c>
      <ns0:c r="L28" s="3">
        <ns0:f>ROUND(L228*L348,2)</ns0:f>
        <ns0:v>606.31</ns0:v>
      </ns0:c>
      <ns0:c r="M28" s="3">
        <ns0:f>ROUND(M228*M348,2)</ns0:f>
        <ns0:v>367.43</ns0:v>
      </ns0:c>
      <ns0:c r="N28" s="3">
        <ns0:f>ROUND(N228*N348,2)</ns0:f>
        <ns0:v>239.49</ns0:v>
      </ns0:c>
      <ns0:c r="O28" s="3">
        <ns0:f>SUM(C28:N28)</ns0:f>
        <ns0:v>2869.80</ns0:v>
      </ns0:c>
      <ns0:c r="P28" s="2" t="inlineStr">
        <ns0:is>
          <ns0:t>EXP3.028</ns0:t>
        </ns0:is>
      </ns0:c>
      <ns0:c r="Q28" s="2" t="inlineStr">
        <ns0:is>
          <ns0:t>演示占位-v1</ns0:t>
        </ns0:is>
      </ns0:c>
      <ns0:c r="R28" s="2" t="inlineStr">
        <ns0:is>
          <ns0:t>模拟权责发生制</ns0:t>
        </ns0:is>
      </ns0:c>
      <ns0:c r="S28" s="2" t="inlineStr">
        <ns0:is>
          <ns0:t>2027-01</ns0:t>
        </ns0:is>
      </ns0:c>
      <ns0:c r="T28" s="2" t="inlineStr">
        <ns0:is>
          <ns0:t>2027-06</ns0:t>
        </ns0:is>
      </ns0:c>
      <ns0:c r="U28" s="2" t="inlineStr">
        <ns0:is>
          <ns0:t>无</ns0:t>
        </ns0:is>
      </ns0:c>
      <ns0:c r="V28" s="2" t="inlineStr">
        <ns0:is>
          <ns0:t>无</ns0:t>
        </ns0:is>
      </ns0:c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 t="inlineStr">
        <ns0:is>
          <ns0:t>利息收入</ns0:t>
        </ns0:is>
      </ns0:c>
      <ns0:c r="C29" s="3">
        <ns0:f>0</ns0:f>
        <ns0:v>0</ns0:v>
      </ns0:c>
      <ns0:c r="D29" s="3">
        <ns0:f>0</ns0:f>
        <ns0:v>0</ns0:v>
      </ns0:c>
      <ns0:c r="E29" s="3">
        <ns0:f>0</ns0:f>
        <ns0:v>0</ns0:v>
      </ns0:c>
      <ns0:c r="F29" s="3">
        <ns0:f>0</ns0:f>
        <ns0:v>0</ns0:v>
      </ns0:c>
      <ns0:c r="G29" s="3">
        <ns0:f>0</ns0:f>
        <ns0:v>0</ns0:v>
      </ns0:c>
      <ns0:c r="H29" s="3">
        <ns0:f>0</ns0:f>
        <ns0:v>0</ns0:v>
      </ns0:c>
      <ns0:c r="I29" s="3">
        <ns0:f>0</ns0:f>
        <ns0:v>0</ns0:v>
      </ns0:c>
      <ns0:c r="J29" s="3">
        <ns0:f>0</ns0:f>
        <ns0:v>0</ns0:v>
      </ns0:c>
      <ns0:c r="K29" s="3">
        <ns0:f>0</ns0:f>
        <ns0:v>0</ns0:v>
      </ns0:c>
      <ns0:c r="L29" s="3">
        <ns0:f>0</ns0:f>
        <ns0:v>0</ns0:v>
      </ns0:c>
      <ns0:c r="M29" s="3">
        <ns0:f>0</ns0:f>
        <ns0:v>0</ns0:v>
      </ns0:c>
      <ns0:c r="N29" s="3">
        <ns0:f>0</ns0:f>
        <ns0:v>0</ns0:v>
      </ns0:c>
      <ns0:c r="O29" s="3">
        <ns0:f>SUM(C29:N29)</ns0:f>
        <ns0:v>0</ns0:v>
      </ns0:c>
      <ns0:c r="P29" s="2" t="inlineStr">
        <ns0:is>
          <ns0:t>EXP3.029</ns0:t>
        </ns0:is>
      </ns0:c>
      <ns0:c r="Q29" s="2" t="inlineStr">
        <ns0:is>
          <ns0:t>演示占位-v1</ns0:t>
        </ns0:is>
      </ns0:c>
      <ns0:c r="R29" s="2" t="inlineStr">
        <ns0:is>
          <ns0:t>模拟权责发生制</ns0:t>
        </ns0:is>
      </ns0:c>
      <ns0:c r="S29" s="2" t="inlineStr">
        <ns0:is>
          <ns0:t>2027-01</ns0:t>
        </ns0:is>
      </ns0:c>
      <ns0:c r="T29" s="2" t="inlineStr">
        <ns0:is>
          <ns0:t>2027-06</ns0:t>
        </ns0:is>
      </ns0:c>
      <ns0:c r="U29" s="2" t="inlineStr">
        <ns0:is>
          <ns0:t>无</ns0:t>
        </ns0:is>
      </ns0:c>
      <ns0:c r="V29" s="2" t="inlineStr">
        <ns0:is>
          <ns0:t>无</ns0:t>
        </ns0:is>
      </ns0:c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 t="inlineStr">
        <ns0:is>
          <ns0:t>利息支出</ns0:t>
        </ns0:is>
      </ns0:c>
      <ns0:c r="C30" s="6">
        <ns0:f>ROUND(C230*C350,2)</ns0:f>
        <ns0:v>58.56</ns0:v>
      </ns0:c>
      <ns0:c r="D30" s="6">
        <ns0:f>ROUND(D230*D350,2)</ns0:f>
        <ns0:v>195.18</ns0:v>
      </ns0:c>
      <ns0:c r="E30" s="6">
        <ns0:f>ROUND(E230*E350,2)</ns0:f>
        <ns0:v>279.41</ns0:v>
      </ns0:c>
      <ns0:c r="F30" s="6">
        <ns0:f>ROUND(F230*F350,2)</ns0:f>
        <ns0:v>492.32</ns0:v>
      </ns0:c>
      <ns0:c r="G30" s="6">
        <ns0:f>ROUND(G230*G350,2)</ns0:f>
        <ns0:v>425.63</ns0:v>
      </ns0:c>
      <ns0:c r="H30" s="6">
        <ns0:f>ROUND(H230*H350,2)</ns0:f>
        <ns0:v>464.20</ns0:v>
      </ns0:c>
      <ns0:c r="I30" s="6">
        <ns0:f>ROUND(I230*I350,2)</ns0:f>
        <ns0:v>542.13</ns0:v>
      </ns0:c>
      <ns0:c r="J30" s="6">
        <ns0:f>ROUND(J230*J350,2)</ns0:f>
        <ns0:v>259.31</ns0:v>
      </ns0:c>
      <ns0:c r="K30" s="6">
        <ns0:f>ROUND(K230*K350,2)</ns0:f>
        <ns0:v>155.34</ns0:v>
      </ns0:c>
      <ns0:c r="L30" s="6">
        <ns0:f>ROUND(L230*L350,2)</ns0:f>
        <ns0:v>254.48</ns0:v>
      </ns0:c>
      <ns0:c r="M30" s="6">
        <ns0:f>ROUND(M230*M350,2)</ns0:f>
        <ns0:v>185.81</ns0:v>
      </ns0:c>
      <ns0:c r="N30" s="6">
        <ns0:f>ROUND(N230*N350,2)</ns0:f>
        <ns0:v>363.80</ns0:v>
      </ns0:c>
      <ns0:c r="O30" s="6">
        <ns0:f>SUM(C30:N30)</ns0:f>
        <ns0:v>3676.17</ns0:v>
      </ns0:c>
      <ns0:c r="P30" s="2" t="inlineStr">
        <ns0:is>
          <ns0:t>EXP3.030</ns0:t>
        </ns0:is>
      </ns0:c>
      <ns0:c r="Q30" s="2" t="inlineStr">
        <ns0:is>
          <ns0:t>演示占位-v1</ns0:t>
        </ns0:is>
      </ns0:c>
      <ns0:c r="R30" s="2" t="inlineStr">
        <ns0:is>
          <ns0:t>模拟权责发生制</ns0:t>
        </ns0:is>
      </ns0:c>
      <ns0:c r="S30" s="2" t="inlineStr">
        <ns0:is>
          <ns0:t>2027-01</ns0:t>
        </ns0:is>
      </ns0:c>
      <ns0:c r="T30" s="2" t="inlineStr">
        <ns0:is>
          <ns0:t>2027-06</ns0:t>
        </ns0:is>
      </ns0:c>
      <ns0:c r="U30" s="2" t="inlineStr">
        <ns0:is>
          <ns0:t>无</ns0:t>
        </ns0:is>
      </ns0:c>
      <ns0:c r="V30" s="2" t="inlineStr">
        <ns0:is>
          <ns0:t>无</ns0:t>
        </ns0:is>
      </ns0:c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 t="inlineStr">
        <ns0:is>
          <ns0:t>税金</ns0:t>
        </ns0:is>
      </ns0:c>
      <ns0:c r="B31" s="2" t="inlineStr">
        <ns0:is>
          <ns0:t>车船税</ns0:t>
        </ns0:is>
      </ns0:c>
      <ns0:c r="C31" s="3">
        <ns0:f>ROUND(C231*C351,2)</ns0:f>
        <ns0:v>198.77</ns0:v>
      </ns0:c>
      <ns0:c r="D31" s="3">
        <ns0:f>ROUND(D231*D351,2)</ns0:f>
        <ns0:v>295.26</ns0:v>
      </ns0:c>
      <ns0:c r="E31" s="3">
        <ns0:f>ROUND(E231*E351,2)</ns0:f>
        <ns0:v>253.76</ns0:v>
      </ns0:c>
      <ns0:c r="F31" s="3">
        <ns0:f>ROUND(F231*F351,2)</ns0:f>
        <ns0:v>164.33</ns0:v>
      </ns0:c>
      <ns0:c r="G31" s="3">
        <ns0:f>ROUND(G231*G351,2)</ns0:f>
        <ns0:v>272.47</ns0:v>
      </ns0:c>
      <ns0:c r="H31" s="3">
        <ns0:f>ROUND(H231*H351,2)</ns0:f>
        <ns0:v>115.19</ns0:v>
      </ns0:c>
      <ns0:c r="I31" s="3">
        <ns0:f>ROUND(I231*I351,2)</ns0:f>
        <ns0:v>96.12</ns0:v>
      </ns0:c>
      <ns0:c r="J31" s="3">
        <ns0:f>ROUND(J231*J351,2)</ns0:f>
        <ns0:v>522.65</ns0:v>
      </ns0:c>
      <ns0:c r="K31" s="3">
        <ns0:f>ROUND(K231*K351,2)</ns0:f>
        <ns0:v>134.88</ns0:v>
      </ns0:c>
      <ns0:c r="L31" s="3">
        <ns0:f>ROUND(L231*L351,2)</ns0:f>
        <ns0:v>87.98</ns0:v>
      </ns0:c>
      <ns0:c r="M31" s="3">
        <ns0:f>ROUND(M231*M351,2)</ns0:f>
        <ns0:v>290.86</ns0:v>
      </ns0:c>
      <ns0:c r="N31" s="3">
        <ns0:f>ROUND(N231*N351,2)</ns0:f>
        <ns0:v>336.44</ns0:v>
      </ns0:c>
      <ns0:c r="O31" s="3">
        <ns0:f>SUM(C31:N31)</ns0:f>
        <ns0:v>2768.71</ns0:v>
      </ns0:c>
      <ns0:c r="P31" s="2" t="inlineStr">
        <ns0:is>
          <ns0:t>EXP3.031</ns0:t>
        </ns0:is>
      </ns0:c>
      <ns0:c r="Q31" s="2" t="inlineStr">
        <ns0:is>
          <ns0:t>演示占位-v1</ns0:t>
        </ns0:is>
      </ns0:c>
      <ns0:c r="R31" s="2" t="inlineStr">
        <ns0:is>
          <ns0:t>模拟权责发生制</ns0:t>
        </ns0:is>
      </ns0:c>
      <ns0:c r="S31" s="2" t="inlineStr">
        <ns0:is>
          <ns0:t>2027-01</ns0:t>
        </ns0:is>
      </ns0:c>
      <ns0:c r="T31" s="2" t="inlineStr">
        <ns0:is>
          <ns0:t>2027-06</ns0:t>
        </ns0:is>
      </ns0:c>
      <ns0:c r="U31" s="2" t="inlineStr">
        <ns0:is>
          <ns0:t>无</ns0:t>
        </ns0:is>
      </ns0:c>
      <ns0:c r="V31" s="2" t="inlineStr">
        <ns0:is>
          <ns0:t>无</ns0:t>
        </ns0:is>
      </ns0:c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印花税</ns0:t>
        </ns0:is>
      </ns0:c>
      <ns0:c r="C32" s="3">
        <ns0:f>ROUND(C232*C352,2)</ns0:f>
        <ns0:v>70.84</ns0:v>
      </ns0:c>
      <ns0:c r="D32" s="3">
        <ns0:f>ROUND(D232*D352,2)</ns0:f>
        <ns0:v>269.37</ns0:v>
      </ns0:c>
      <ns0:c r="E32" s="3">
        <ns0:f>ROUND(E232*E352,2)</ns0:f>
        <ns0:v>610.88</ns0:v>
      </ns0:c>
      <ns0:c r="F32" s="3">
        <ns0:f>ROUND(F232*F352,2)</ns0:f>
        <ns0:v>168.29</ns0:v>
      </ns0:c>
      <ns0:c r="G32" s="3">
        <ns0:f>ROUND(G232*G352,2)</ns0:f>
        <ns0:v>175.51</ns0:v>
      </ns0:c>
      <ns0:c r="H32" s="3">
        <ns0:f>ROUND(H232*H352,2)</ns0:f>
        <ns0:v>73.13</ns0:v>
      </ns0:c>
      <ns0:c r="I32" s="3">
        <ns0:f>ROUND(I232*I352,2)</ns0:f>
        <ns0:v>69.58</ns0:v>
      </ns0:c>
      <ns0:c r="J32" s="3">
        <ns0:f>ROUND(J232*J352,2)</ns0:f>
        <ns0:v>212.52</ns0:v>
      </ns0:c>
      <ns0:c r="K32" s="3">
        <ns0:f>ROUND(K232*K352,2)</ns0:f>
        <ns0:v>360.18</ns0:v>
      </ns0:c>
      <ns0:c r="L32" s="3">
        <ns0:f>ROUND(L232*L352,2)</ns0:f>
        <ns0:v>220.19</ns0:v>
      </ns0:c>
      <ns0:c r="M32" s="3">
        <ns0:f>ROUND(M232*M352,2)</ns0:f>
        <ns0:v>317.79</ns0:v>
      </ns0:c>
      <ns0:c r="N32" s="3">
        <ns0:f>ROUND(N232*N352,2)</ns0:f>
        <ns0:v>240.97</ns0:v>
      </ns0:c>
      <ns0:c r="O32" s="3">
        <ns0:f>SUM(C32:N32)</ns0:f>
        <ns0:v>2789.25</ns0:v>
      </ns0:c>
      <ns0:c r="P32" s="2" t="inlineStr">
        <ns0:is>
          <ns0:t>EXP3.032</ns0:t>
        </ns0:is>
      </ns0:c>
      <ns0:c r="Q32" s="2" t="inlineStr">
        <ns0:is>
          <ns0:t>演示占位-v1</ns0:t>
        </ns0:is>
      </ns0:c>
      <ns0:c r="R32" s="2" t="inlineStr">
        <ns0:is>
          <ns0:t>模拟权责发生制</ns0:t>
        </ns0:is>
      </ns0:c>
      <ns0:c r="S32" s="2" t="inlineStr">
        <ns0:is>
          <ns0:t>2027-01</ns0:t>
        </ns0:is>
      </ns0:c>
      <ns0:c r="T32" s="2" t="inlineStr">
        <ns0:is>
          <ns0:t>2027-06</ns0:t>
        </ns0:is>
      </ns0:c>
      <ns0:c r="U32" s="2" t="inlineStr">
        <ns0:is>
          <ns0:t>无</ns0:t>
        </ns0:is>
      </ns0:c>
      <ns0:c r="V32" s="2" t="inlineStr">
        <ns0:is>
          <ns0:t>无</ns0:t>
        </ns0:is>
      </ns0:c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 t="inlineStr">
        <ns0:is>
          <ns0:t>其他</ns0:t>
        </ns0:is>
      </ns0:c>
      <ns0:c r="B33" s="2" t="inlineStr">
        <ns0:is>
          <ns0:t>其他</ns0:t>
        </ns0:is>
      </ns0:c>
      <ns0:c r="C33" s="3">
        <ns0:f>ROUND(C233*C353,2)</ns0:f>
        <ns0:v>267.09</ns0:v>
      </ns0:c>
      <ns0:c r="D33" s="3">
        <ns0:f>ROUND(D233*D353,2)</ns0:f>
        <ns0:v>370.76</ns0:v>
      </ns0:c>
      <ns0:c r="E33" s="3">
        <ns0:f>ROUND(E233*E353,2)</ns0:f>
        <ns0:v>71.12</ns0:v>
      </ns0:c>
      <ns0:c r="F33" s="3">
        <ns0:f>ROUND(F233*F353,2)</ns0:f>
        <ns0:v>166.76</ns0:v>
      </ns0:c>
      <ns0:c r="G33" s="3">
        <ns0:f>ROUND(G233*G353,2)</ns0:f>
        <ns0:v>320.55</ns0:v>
      </ns0:c>
      <ns0:c r="H33" s="3">
        <ns0:f>ROUND(H233*H353,2)</ns0:f>
        <ns0:v>122.74</ns0:v>
      </ns0:c>
      <ns0:c r="I33" s="3">
        <ns0:f>ROUND(I233*I353,2)</ns0:f>
        <ns0:v>201.15</ns0:v>
      </ns0:c>
      <ns0:c r="J33" s="3">
        <ns0:f>ROUND(J233*J353,2)</ns0:f>
        <ns0:v>113.89</ns0:v>
      </ns0:c>
      <ns0:c r="K33" s="3">
        <ns0:f>ROUND(K233*K353,2)</ns0:f>
        <ns0:v>148.25</ns0:v>
      </ns0:c>
      <ns0:c r="L33" s="3">
        <ns0:f>ROUND(L233*L353,2)</ns0:f>
        <ns0:v>327.81</ns0:v>
      </ns0:c>
      <ns0:c r="M33" s="3">
        <ns0:f>ROUND(M233*M353,2)</ns0:f>
        <ns0:v>167.99</ns0:v>
      </ns0:c>
      <ns0:c r="N33" s="3">
        <ns0:f>ROUND(N233*N353,2)</ns0:f>
        <ns0:v>121.43</ns0:v>
      </ns0:c>
      <ns0:c r="O33" s="3">
        <ns0:f>SUM(C33:N33)</ns0:f>
        <ns0:v>2399.54</ns0:v>
      </ns0:c>
      <ns0:c r="P33" s="2" t="inlineStr">
        <ns0:is>
          <ns0:t>EXP3.033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 t="inlineStr">
        <ns0:is>
          <ns0:t>合计</ns0:t>
        </ns0:is>
      </ns0:c>
      <ns0:c r="B34" s="2"/>
      <ns0:c r="C34" s="3">
        <ns0:f>SUM(C4:C33)</ns0:f>
        <ns0:v>6321.02</ns0:v>
      </ns0:c>
      <ns0:c r="D34" s="3">
        <ns0:f>SUM(D4:D33)</ns0:f>
        <ns0:v>6930.67</ns0:v>
      </ns0:c>
      <ns0:c r="E34" s="3">
        <ns0:f>SUM(E4:E33)</ns0:f>
        <ns0:v>7148.27</ns0:v>
      </ns0:c>
      <ns0:c r="F34" s="3">
        <ns0:f>SUM(F4:F33)</ns0:f>
        <ns0:v>7680.25</ns0:v>
      </ns0:c>
      <ns0:c r="G34" s="3">
        <ns0:f>SUM(G4:G33)</ns0:f>
        <ns0:v>8455.68</ns0:v>
      </ns0:c>
      <ns0:c r="H34" s="3">
        <ns0:f>SUM(H4:H33)</ns0:f>
        <ns0:v>7033.07</ns0:v>
      </ns0:c>
      <ns0:c r="I34" s="3">
        <ns0:f>SUM(I4:I33)</ns0:f>
        <ns0:v>8528.71</ns0:v>
      </ns0:c>
      <ns0:c r="J34" s="3">
        <ns0:f>SUM(J4:J33)</ns0:f>
        <ns0:v>7164.11</ns0:v>
      </ns0:c>
      <ns0:c r="K34" s="3">
        <ns0:f>SUM(K4:K33)</ns0:f>
        <ns0:v>7684.96</ns0:v>
      </ns0:c>
      <ns0:c r="L34" s="3">
        <ns0:f>SUM(L4:L33)</ns0:f>
        <ns0:v>7214.38</ns0:v>
      </ns0:c>
      <ns0:c r="M34" s="3">
        <ns0:f>SUM(M4:M33)</ns0:f>
        <ns0:v>7059.33</ns0:v>
      </ns0:c>
      <ns0:c r="N34" s="3">
        <ns0:f>SUM(N4:N33)</ns0:f>
        <ns0:v>8520.10</ns0:v>
      </ns0:c>
      <ns0:c r="O34" s="3">
        <ns0:f>SUM(C34:N34)</ns0:f>
        <ns0:v>89740.55</ns0:v>
      </ns0:c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 t="inlineStr">
        <ns0:is>
          <ns0:t>增值税附加</ns0:t>
        </ns0:is>
      </ns0:c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 t="inlineStr">
        <ns0:is>
          <ns0:t>三费及税金合计</ns0:t>
        </ns0:is>
      </ns0:c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 t="inlineStr">
        <ns0:is>
          <ns0:t>其他主体费用</ns0:t>
        </ns0:is>
      </ns0:c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 t="inlineStr">
        <ns0:is>
          <ns0:t>实时经营（月度，元）</ns0:t>
        </ns0:is>
      </ns0:c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 t="inlineStr">
        <ns0:is>
          <ns0:t>2027-01</ns0:t>
        </ns0:is>
      </ns0:c>
      <ns0:c r="D63" s="3" t="inlineStr">
        <ns0:is>
          <ns0:t>2027-02</ns0:t>
        </ns0:is>
      </ns0:c>
      <ns0:c r="E63" s="3" t="inlineStr">
        <ns0:is>
          <ns0:t>2027-03</ns0:t>
        </ns0:is>
      </ns0:c>
      <ns0:c r="F63" s="3" t="inlineStr">
        <ns0:is>
          <ns0:t>2027-04</ns0:t>
        </ns0:is>
      </ns0:c>
      <ns0:c r="G63" s="3" t="inlineStr">
        <ns0:is>
          <ns0:t>2027-05</ns0:t>
        </ns0:is>
      </ns0:c>
      <ns0:c r="H63" s="3" t="inlineStr">
        <ns0:is>
          <ns0:t>2027-06</ns0:t>
        </ns0:is>
      </ns0:c>
      <ns0:c r="I63" s="3" t="inlineStr">
        <ns0:is>
          <ns0:t>2027-07</ns0:t>
        </ns0:is>
      </ns0:c>
      <ns0:c r="J63" s="3" t="inlineStr">
        <ns0:is>
          <ns0:t>2027-08</ns0:t>
        </ns0:is>
      </ns0:c>
      <ns0:c r="K63" s="3" t="inlineStr">
        <ns0:is>
          <ns0:t>2027-09</ns0:t>
        </ns0:is>
      </ns0:c>
      <ns0:c r="L63" s="3" t="inlineStr">
        <ns0:is>
          <ns0:t>2027-10</ns0:t>
        </ns0:is>
      </ns0:c>
      <ns0:c r="M63" s="3" t="inlineStr">
        <ns0:is>
          <ns0:t>2027-11</ns0:t>
        </ns0:is>
      </ns0:c>
      <ns0:c r="N63" s="3" t="inlineStr">
        <ns0:is>
          <ns0:t>2027-12</ns0:t>
        </ns0:is>
      </ns0:c>
      <ns0:c r="O63" s="3" t="inlineStr">
        <ns0:is>
          <ns0:t>小计</ns0:t>
        </ns0:is>
      </ns0:c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 t="inlineStr">
        <ns0:is>
          <ns0:t>工资</ns0:t>
        </ns0:is>
      </ns0:c>
      <ns0:c r="C64" s="3">
        <ns0:f>ROUND(C264*C384,2)</ns0:f>
        <ns0:v>387.44</ns0:v>
      </ns0:c>
      <ns0:c r="D64" s="3">
        <ns0:f>ROUND(D264*D384,2)</ns0:f>
        <ns0:v>165.93</ns0:v>
      </ns0:c>
      <ns0:c r="E64" s="3">
        <ns0:f>ROUND(E264*E384,2)</ns0:f>
        <ns0:v>78.31</ns0:v>
      </ns0:c>
      <ns0:c r="F64" s="3">
        <ns0:f>ROUND(F264*F384,2)</ns0:f>
        <ns0:v>372.96</ns0:v>
      </ns0:c>
      <ns0:c r="G64" s="3">
        <ns0:f>ROUND(G264*G384,2)</ns0:f>
        <ns0:v>236.15</ns0:v>
      </ns0:c>
      <ns0:c r="H64" s="3">
        <ns0:f>ROUND(H264*H384,2)</ns0:f>
        <ns0:v>407.99</ns0:v>
      </ns0:c>
      <ns0:c r="I64" s="3">
        <ns0:f>ROUND(I264*I384,2)</ns0:f>
        <ns0:v>258.13</ns0:v>
      </ns0:c>
      <ns0:c r="J64" s="3">
        <ns0:f>ROUND(J264*J384,2)</ns0:f>
        <ns0:v>85.46</ns0:v>
      </ns0:c>
      <ns0:c r="K64" s="3">
        <ns0:f>ROUND(K264*K384,2)</ns0:f>
        <ns0:v>340.27</ns0:v>
      </ns0:c>
      <ns0:c r="L64" s="3">
        <ns0:f>ROUND(L264*L384,2)</ns0:f>
        <ns0:v>445.50</ns0:v>
      </ns0:c>
      <ns0:c r="M64" s="3">
        <ns0:f>ROUND(M264*M384,2)</ns0:f>
        <ns0:v>283.65</ns0:v>
      </ns0:c>
      <ns0:c r="N64" s="3">
        <ns0:f>ROUND(N264*N384,2)</ns0:f>
        <ns0:v>77.61</ns0:v>
      </ns0:c>
      <ns0:c r="O64" s="3">
        <ns0:f>SUM(C64:N64)</ns0:f>
        <ns0:v>3139.40</ns0:v>
      </ns0:c>
      <ns0:c r="P64" s="2" t="inlineStr">
        <ns0:is>
          <ns0:t>EXP3.004</ns0:t>
        </ns0:is>
      </ns0:c>
      <ns0:c r="Q64" s="2" t="inlineStr">
        <ns0:is>
          <ns0:t>演示占位-v1</ns0:t>
        </ns0:is>
      </ns0:c>
      <ns0:c r="R64" s="2" t="inlineStr">
        <ns0:is>
          <ns0:t>模拟权责发生制</ns0:t>
        </ns0:is>
      </ns0:c>
      <ns0:c r="S64" s="2" t="inlineStr">
        <ns0:is>
          <ns0:t>2027-01</ns0:t>
        </ns0:is>
      </ns0:c>
      <ns0:c r="T64" s="2" t="inlineStr">
        <ns0:is>
          <ns0:t>2027-06</ns0:t>
        </ns0:is>
      </ns0:c>
      <ns0:c r="U64" s="2" t="inlineStr">
        <ns0:is>
          <ns0:t>无</ns0:t>
        </ns0:is>
      </ns0:c>
      <ns0:c r="V64" s="2" t="inlineStr">
        <ns0:is>
          <ns0:t>无</ns0:t>
        </ns0:is>
      </ns0:c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 t="inlineStr">
        <ns0:is>
          <ns0:t>十三薪</ns0:t>
        </ns0:is>
      </ns0:c>
      <ns0:c r="C65" s="3">
        <ns0:f>ROUND(C265*C385,2)</ns0:f>
        <ns0:v>146.65</ns0:v>
      </ns0:c>
      <ns0:c r="D65" s="3">
        <ns0:f>ROUND(D265*D385,2)</ns0:f>
        <ns0:v>109.48</ns0:v>
      </ns0:c>
      <ns0:c r="E65" s="3">
        <ns0:f>ROUND(E265*E385,2)</ns0:f>
        <ns0:v>196.32</ns0:v>
      </ns0:c>
      <ns0:c r="F65" s="3">
        <ns0:f>ROUND(F265*F385,2)</ns0:f>
        <ns0:v>223.88</ns0:v>
      </ns0:c>
      <ns0:c r="G65" s="3">
        <ns0:f>ROUND(G265*G385,2)</ns0:f>
        <ns0:v>323.52</ns0:v>
      </ns0:c>
      <ns0:c r="H65" s="3">
        <ns0:f>ROUND(H265*H385,2)</ns0:f>
        <ns0:v>407.74</ns0:v>
      </ns0:c>
      <ns0:c r="I65" s="3">
        <ns0:f>ROUND(I265*I385,2)</ns0:f>
        <ns0:v>98.88</ns0:v>
      </ns0:c>
      <ns0:c r="J65" s="3">
        <ns0:f>ROUND(J265*J385,2)</ns0:f>
        <ns0:v>128.55</ns0:v>
      </ns0:c>
      <ns0:c r="K65" s="3">
        <ns0:f>ROUND(K265*K385,2)</ns0:f>
        <ns0:v>213.34</ns0:v>
      </ns0:c>
      <ns0:c r="L65" s="3">
        <ns0:f>ROUND(L265*L385,2)</ns0:f>
        <ns0:v>160.74</ns0:v>
      </ns0:c>
      <ns0:c r="M65" s="3">
        <ns0:f>ROUND(M265*M385,2)</ns0:f>
        <ns0:v>415.70</ns0:v>
      </ns0:c>
      <ns0:c r="N65" s="3">
        <ns0:f>ROUND(N265*N385,2)</ns0:f>
        <ns0:v>488.83</ns0:v>
      </ns0:c>
      <ns0:c r="O65" s="3">
        <ns0:f>SUM(C65:N65)</ns0:f>
        <ns0:v>2913.63</ns0:v>
      </ns0:c>
      <ns0:c r="P65" s="2" t="inlineStr">
        <ns0:is>
          <ns0:t>EXP3.005</ns0:t>
        </ns0:is>
      </ns0:c>
      <ns0:c r="Q65" s="2" t="inlineStr">
        <ns0:is>
          <ns0:t>演示占位-v1</ns0:t>
        </ns0:is>
      </ns0:c>
      <ns0:c r="R65" s="2" t="inlineStr">
        <ns0:is>
          <ns0:t>模拟权责发生制</ns0:t>
        </ns0:is>
      </ns0:c>
      <ns0:c r="S65" s="2" t="inlineStr">
        <ns0:is>
          <ns0:t>2027-01</ns0:t>
        </ns0:is>
      </ns0:c>
      <ns0:c r="T65" s="2" t="inlineStr">
        <ns0:is>
          <ns0:t>2027-06</ns0:t>
        </ns0:is>
      </ns0:c>
      <ns0:c r="U65" s="2" t="inlineStr">
        <ns0:is>
          <ns0:t>无</ns0:t>
        </ns0:is>
      </ns0:c>
      <ns0:c r="V65" s="2" t="inlineStr">
        <ns0:is>
          <ns0:t>无</ns0:t>
        </ns0:is>
      </ns0:c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 t="inlineStr">
        <ns0:is>
          <ns0:t>离职补偿金</ns0:t>
        </ns0:is>
      </ns0:c>
      <ns0:c r="C66" s="3">
        <ns0:f>ROUND(C266*C386,2)</ns0:f>
        <ns0:v>188.54</ns0:v>
      </ns0:c>
      <ns0:c r="D66" s="3">
        <ns0:f>ROUND(D266*D386,2)</ns0:f>
        <ns0:v>132.48</ns0:v>
      </ns0:c>
      <ns0:c r="E66" s="3">
        <ns0:f>ROUND(E266*E386,2)</ns0:f>
        <ns0:v>394.95</ns0:v>
      </ns0:c>
      <ns0:c r="F66" s="3">
        <ns0:f>ROUND(F266*F386,2)</ns0:f>
        <ns0:v>94.85</ns0:v>
      </ns0:c>
      <ns0:c r="G66" s="3">
        <ns0:f>ROUND(G266*G386,2)</ns0:f>
        <ns0:v>96.61</ns0:v>
      </ns0:c>
      <ns0:c r="H66" s="3">
        <ns0:f>ROUND(H266*H386,2)</ns0:f>
        <ns0:v>328.75</ns0:v>
      </ns0:c>
      <ns0:c r="I66" s="3">
        <ns0:f>ROUND(I266*I386,2)</ns0:f>
        <ns0:v>414.29</ns0:v>
      </ns0:c>
      <ns0:c r="J66" s="3">
        <ns0:f>ROUND(J266*J386,2)</ns0:f>
        <ns0:v>69.34</ns0:v>
      </ns0:c>
      <ns0:c r="K66" s="3">
        <ns0:f>ROUND(K266*K386,2)</ns0:f>
        <ns0:v>337.67</ns0:v>
      </ns0:c>
      <ns0:c r="L66" s="3">
        <ns0:f>ROUND(L266*L386,2)</ns0:f>
        <ns0:v>243.67</ns0:v>
      </ns0:c>
      <ns0:c r="M66" s="3">
        <ns0:f>ROUND(M266*M386,2)</ns0:f>
        <ns0:v>142.05</ns0:v>
      </ns0:c>
      <ns0:c r="N66" s="3">
        <ns0:f>ROUND(N266*N386,2)</ns0:f>
        <ns0:v>164.39</ns0:v>
      </ns0:c>
      <ns0:c r="O66" s="3">
        <ns0:f>SUM(C66:N66)</ns0:f>
        <ns0:v>2607.59</ns0:v>
      </ns0:c>
      <ns0:c r="P66" s="2" t="inlineStr">
        <ns0:is>
          <ns0:t>EXP3.006</ns0:t>
        </ns0:is>
      </ns0:c>
      <ns0:c r="Q66" s="2" t="inlineStr">
        <ns0:is>
          <ns0:t>演示占位-v1</ns0:t>
        </ns0:is>
      </ns0:c>
      <ns0:c r="R66" s="2" t="inlineStr">
        <ns0:is>
          <ns0:t>模拟权责发生制</ns0:t>
        </ns0:is>
      </ns0:c>
      <ns0:c r="S66" s="2" t="inlineStr">
        <ns0:is>
          <ns0:t>2027-01</ns0:t>
        </ns0:is>
      </ns0:c>
      <ns0:c r="T66" s="2" t="inlineStr">
        <ns0:is>
          <ns0:t>2027-06</ns0:t>
        </ns0:is>
      </ns0:c>
      <ns0:c r="U66" s="2" t="inlineStr">
        <ns0:is>
          <ns0:t>无</ns0:t>
        </ns0:is>
      </ns0:c>
      <ns0:c r="V66" s="2" t="inlineStr">
        <ns0:is>
          <ns0:t>无</ns0:t>
        </ns0:is>
      </ns0:c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 t="inlineStr">
        <ns0:is>
          <ns0:t>五险一金</ns0:t>
        </ns0:is>
      </ns0:c>
      <ns0:c r="C67" s="3">
        <ns0:f>ROUND(C267*C387,2)</ns0:f>
        <ns0:v>106.08</ns0:v>
      </ns0:c>
      <ns0:c r="D67" s="3">
        <ns0:f>ROUND(D267*D387,2)</ns0:f>
        <ns0:v>133.14</ns0:v>
      </ns0:c>
      <ns0:c r="E67" s="3">
        <ns0:f>ROUND(E267*E387,2)</ns0:f>
        <ns0:v>276.38</ns0:v>
      </ns0:c>
      <ns0:c r="F67" s="3">
        <ns0:f>ROUND(F267*F387,2)</ns0:f>
        <ns0:v>329.33</ns0:v>
      </ns0:c>
      <ns0:c r="G67" s="3">
        <ns0:f>ROUND(G267*G387,2)</ns0:f>
        <ns0:v>352.02</ns0:v>
      </ns0:c>
      <ns0:c r="H67" s="3">
        <ns0:f>ROUND(H267*H387,2)</ns0:f>
        <ns0:v>567.37</ns0:v>
      </ns0:c>
      <ns0:c r="I67" s="3">
        <ns0:f>ROUND(I267*I387,2)</ns0:f>
        <ns0:v>178.47</ns0:v>
      </ns0:c>
      <ns0:c r="J67" s="3">
        <ns0:f>ROUND(J267*J387,2)</ns0:f>
        <ns0:v>371.26</ns0:v>
      </ns0:c>
      <ns0:c r="K67" s="3">
        <ns0:f>ROUND(K267*K387,2)</ns0:f>
        <ns0:v>94.34</ns0:v>
      </ns0:c>
      <ns0:c r="L67" s="3">
        <ns0:f>ROUND(L267*L387,2)</ns0:f>
        <ns0:v>295.45</ns0:v>
      </ns0:c>
      <ns0:c r="M67" s="3">
        <ns0:f>ROUND(M267*M387,2)</ns0:f>
        <ns0:v>304.41</ns0:v>
      </ns0:c>
      <ns0:c r="N67" s="3">
        <ns0:f>ROUND(N267*N387,2)</ns0:f>
        <ns0:v>56.74</ns0:v>
      </ns0:c>
      <ns0:c r="O67" s="3">
        <ns0:f>SUM(C67:N67)</ns0:f>
        <ns0:v>3064.99</ns0:v>
      </ns0:c>
      <ns0:c r="P67" s="2" t="inlineStr">
        <ns0:is>
          <ns0:t>EXP3.007</ns0:t>
        </ns0:is>
      </ns0:c>
      <ns0:c r="Q67" s="2" t="inlineStr">
        <ns0:is>
          <ns0:t>演示占位-v1</ns0:t>
        </ns0:is>
      </ns0:c>
      <ns0:c r="R67" s="2" t="inlineStr">
        <ns0:is>
          <ns0:t>模拟权责发生制</ns0:t>
        </ns0:is>
      </ns0:c>
      <ns0:c r="S67" s="2" t="inlineStr">
        <ns0:is>
          <ns0:t>2027-01</ns0:t>
        </ns0:is>
      </ns0:c>
      <ns0:c r="T67" s="2" t="inlineStr">
        <ns0:is>
          <ns0:t>2027-06</ns0:t>
        </ns0:is>
      </ns0:c>
      <ns0:c r="U67" s="2" t="inlineStr">
        <ns0:is>
          <ns0:t>无</ns0:t>
        </ns0:is>
      </ns0:c>
      <ns0:c r="V67" s="2" t="inlineStr">
        <ns0:is>
          <ns0:t>无</ns0:t>
        </ns0:is>
      </ns0:c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 t="inlineStr">
        <ns0:is>
          <ns0:t>福利费</ns0:t>
        </ns0:is>
      </ns0:c>
      <ns0:c r="C68" s="3">
        <ns0:f>ROUND(C268*C388,2)</ns0:f>
        <ns0:v>326.78</ns0:v>
      </ns0:c>
      <ns0:c r="D68" s="3">
        <ns0:f>ROUND(D268*D388,2)</ns0:f>
        <ns0:v>108.45</ns0:v>
      </ns0:c>
      <ns0:c r="E68" s="3">
        <ns0:f>ROUND(E268*E388,2)</ns0:f>
        <ns0:v>286.93</ns0:v>
      </ns0:c>
      <ns0:c r="F68" s="3">
        <ns0:f>ROUND(F268*F388,2)</ns0:f>
        <ns0:v>390.82</ns0:v>
      </ns0:c>
      <ns0:c r="G68" s="3">
        <ns0:f>ROUND(G268*G388,2)</ns0:f>
        <ns0:v>126.35</ns0:v>
      </ns0:c>
      <ns0:c r="H68" s="3">
        <ns0:f>ROUND(H268*H388,2)</ns0:f>
        <ns0:v>123.86</ns0:v>
      </ns0:c>
      <ns0:c r="I68" s="3">
        <ns0:f>ROUND(I268*I388,2)</ns0:f>
        <ns0:v>96.41</ns0:v>
      </ns0:c>
      <ns0:c r="J68" s="3">
        <ns0:f>ROUND(J268*J388,2)</ns0:f>
        <ns0:v>127.51</ns0:v>
      </ns0:c>
      <ns0:c r="K68" s="3">
        <ns0:f>ROUND(K268*K388,2)</ns0:f>
        <ns0:v>464.39</ns0:v>
      </ns0:c>
      <ns0:c r="L68" s="3">
        <ns0:f>ROUND(L268*L388,2)</ns0:f>
        <ns0:v>97.98</ns0:v>
      </ns0:c>
      <ns0:c r="M68" s="3">
        <ns0:f>ROUND(M268*M388,2)</ns0:f>
        <ns0:v>368.74</ns0:v>
      </ns0:c>
      <ns0:c r="N68" s="3">
        <ns0:f>ROUND(N268*N388,2)</ns0:f>
        <ns0:v>135.00</ns0:v>
      </ns0:c>
      <ns0:c r="O68" s="3">
        <ns0:f>SUM(C68:N68)</ns0:f>
        <ns0:v>2653.22</ns0:v>
      </ns0:c>
      <ns0:c r="P68" s="2" t="inlineStr">
        <ns0:is>
          <ns0:t>EXP3.008</ns0:t>
        </ns0:is>
      </ns0:c>
      <ns0:c r="Q68" s="2" t="inlineStr">
        <ns0:is>
          <ns0:t>演示占位-v1</ns0:t>
        </ns0:is>
      </ns0:c>
      <ns0:c r="R68" s="2" t="inlineStr">
        <ns0:is>
          <ns0:t>模拟权责发生制</ns0:t>
        </ns0:is>
      </ns0:c>
      <ns0:c r="S68" s="2" t="inlineStr">
        <ns0:is>
          <ns0:t>2027-01</ns0:t>
        </ns0:is>
      </ns0:c>
      <ns0:c r="T68" s="2" t="inlineStr">
        <ns0:is>
          <ns0:t>2027-06</ns0:t>
        </ns0:is>
      </ns0:c>
      <ns0:c r="U68" s="2" t="inlineStr">
        <ns0:is>
          <ns0:t>无</ns0:t>
        </ns0:is>
      </ns0:c>
      <ns0:c r="V68" s="2" t="inlineStr">
        <ns0:is>
          <ns0:t>无</ns0:t>
        </ns0:is>
      </ns0:c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 t="inlineStr">
        <ns0:is>
          <ns0:t>招聘费</ns0:t>
        </ns0:is>
      </ns0:c>
      <ns0:c r="C69" s="3">
        <ns0:f>ROUND(C269*C389,2)</ns0:f>
        <ns0:v>285.81</ns0:v>
      </ns0:c>
      <ns0:c r="D69" s="3">
        <ns0:f>ROUND(D269*D389,2)</ns0:f>
        <ns0:v>115.70</ns0:v>
      </ns0:c>
      <ns0:c r="E69" s="3">
        <ns0:f>ROUND(E269*E389,2)</ns0:f>
        <ns0:v>356.87</ns0:v>
      </ns0:c>
      <ns0:c r="F69" s="3">
        <ns0:f>ROUND(F269*F389,2)</ns0:f>
        <ns0:v>198.34</ns0:v>
      </ns0:c>
      <ns0:c r="G69" s="3">
        <ns0:f>ROUND(G269*G389,2)</ns0:f>
        <ns0:v>214.26</ns0:v>
      </ns0:c>
      <ns0:c r="H69" s="3">
        <ns0:f>ROUND(H269*H389,2)</ns0:f>
        <ns0:v>148.25</ns0:v>
      </ns0:c>
      <ns0:c r="I69" s="3">
        <ns0:f>ROUND(I269*I389,2)</ns0:f>
        <ns0:v>79.19</ns0:v>
      </ns0:c>
      <ns0:c r="J69" s="3">
        <ns0:f>ROUND(J269*J389,2)</ns0:f>
        <ns0:v>418.59</ns0:v>
      </ns0:c>
      <ns0:c r="K69" s="3">
        <ns0:f>ROUND(K269*K389,2)</ns0:f>
        <ns0:v>351.29</ns0:v>
      </ns0:c>
      <ns0:c r="L69" s="3">
        <ns0:f>ROUND(L269*L389,2)</ns0:f>
        <ns0:v>41.04</ns0:v>
      </ns0:c>
      <ns0:c r="M69" s="3">
        <ns0:f>ROUND(M269*M389,2)</ns0:f>
        <ns0:v>200.39</ns0:v>
      </ns0:c>
      <ns0:c r="N69" s="3">
        <ns0:f>ROUND(N269*N389,2)</ns0:f>
        <ns0:v>291.76</ns0:v>
      </ns0:c>
      <ns0:c r="O69" s="3">
        <ns0:f>SUM(C69:N69)</ns0:f>
        <ns0:v>2701.49</ns0:v>
      </ns0:c>
      <ns0:c r="P69" s="2" t="inlineStr">
        <ns0:is>
          <ns0:t>EXP3.009</ns0:t>
        </ns0:is>
      </ns0:c>
      <ns0:c r="Q69" s="2" t="inlineStr">
        <ns0:is>
          <ns0:t>演示占位-v1</ns0:t>
        </ns0:is>
      </ns0:c>
      <ns0:c r="R69" s="2" t="inlineStr">
        <ns0:is>
          <ns0:t>模拟权责发生制</ns0:t>
        </ns0:is>
      </ns0:c>
      <ns0:c r="S69" s="2" t="inlineStr">
        <ns0:is>
          <ns0:t>2027-01</ns0:t>
        </ns0:is>
      </ns0:c>
      <ns0:c r="T69" s="2" t="inlineStr">
        <ns0:is>
          <ns0:t>2027-06</ns0:t>
        </ns0:is>
      </ns0:c>
      <ns0:c r="U69" s="2" t="inlineStr">
        <ns0:is>
          <ns0:t>无</ns0:t>
        </ns0:is>
      </ns0:c>
      <ns0:c r="V69" s="2" t="inlineStr">
        <ns0:is>
          <ns0:t>无</ns0:t>
        </ns0:is>
      </ns0:c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 t="inlineStr">
        <ns0:is>
          <ns0:t>培训费</ns0:t>
        </ns0:is>
      </ns0:c>
      <ns0:c r="C70" s="3">
        <ns0:f>ROUND(C270*C390,2)</ns0:f>
        <ns0:v>222.85</ns0:v>
      </ns0:c>
      <ns0:c r="D70" s="3">
        <ns0:f>ROUND(D270*D390,2)</ns0:f>
        <ns0:v>278.32</ns0:v>
      </ns0:c>
      <ns0:c r="E70" s="3">
        <ns0:f>ROUND(E270*E390,2)</ns0:f>
        <ns0:v>345.32</ns0:v>
      </ns0:c>
      <ns0:c r="F70" s="3">
        <ns0:f>ROUND(F270*F390,2)</ns0:f>
        <ns0:v>417.27</ns0:v>
      </ns0:c>
      <ns0:c r="G70" s="3">
        <ns0:f>ROUND(G270*G390,2)</ns0:f>
        <ns0:v>489.89</ns0:v>
      </ns0:c>
      <ns0:c r="H70" s="3">
        <ns0:f>ROUND(H270*H390,2)</ns0:f>
        <ns0:v>354.44</ns0:v>
      </ns0:c>
      <ns0:c r="I70" s="3">
        <ns0:f>ROUND(I270*I390,2)</ns0:f>
        <ns0:v>393.59</ns0:v>
      </ns0:c>
      <ns0:c r="J70" s="3">
        <ns0:f>ROUND(J270*J390,2)</ns0:f>
        <ns0:v>255.02</ns0:v>
      </ns0:c>
      <ns0:c r="K70" s="3">
        <ns0:f>ROUND(K270*K390,2)</ns0:f>
        <ns0:v>104.11</ns0:v>
      </ns0:c>
      <ns0:c r="L70" s="3">
        <ns0:f>ROUND(L270*L390,2)</ns0:f>
        <ns0:v>328.92</ns0:v>
      </ns0:c>
      <ns0:c r="M70" s="3">
        <ns0:f>ROUND(M270*M390,2)</ns0:f>
        <ns0:v>121.63</ns0:v>
      </ns0:c>
      <ns0:c r="N70" s="3">
        <ns0:f>ROUND(N270*N390,2)</ns0:f>
        <ns0:v>384.76</ns0:v>
      </ns0:c>
      <ns0:c r="O70" s="3">
        <ns0:f>SUM(C70:N70)</ns0:f>
        <ns0:v>3696.12</ns0:v>
      </ns0:c>
      <ns0:c r="P70" s="2" t="inlineStr">
        <ns0:is>
          <ns0:t>EXP3.010</ns0:t>
        </ns0:is>
      </ns0:c>
      <ns0:c r="Q70" s="2" t="inlineStr">
        <ns0:is>
          <ns0:t>演示占位-v1</ns0:t>
        </ns0:is>
      </ns0:c>
      <ns0:c r="R70" s="2" t="inlineStr">
        <ns0:is>
          <ns0:t>模拟权责发生制</ns0:t>
        </ns0:is>
      </ns0:c>
      <ns0:c r="S70" s="2" t="inlineStr">
        <ns0:is>
          <ns0:t>2027-01</ns0:t>
        </ns0:is>
      </ns0:c>
      <ns0:c r="T70" s="2" t="inlineStr">
        <ns0:is>
          <ns0:t>2027-06</ns0:t>
        </ns0:is>
      </ns0:c>
      <ns0:c r="U70" s="2" t="inlineStr">
        <ns0:is>
          <ns0:t>无</ns0:t>
        </ns0:is>
      </ns0:c>
      <ns0:c r="V70" s="2" t="inlineStr">
        <ns0:is>
          <ns0:t>无</ns0:t>
        </ns0:is>
      </ns0:c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 t="inlineStr">
        <ns0:is>
          <ns0:t>房租</ns0:t>
        </ns0:is>
      </ns0:c>
      <ns0:c r="C71" s="3">
        <ns0:f>ROUND(C271*C391,2)</ns0:f>
        <ns0:v>246.84</ns0:v>
      </ns0:c>
      <ns0:c r="D71" s="3">
        <ns0:f>ROUND(D271*D391,2)</ns0:f>
        <ns0:v>128.75</ns0:v>
      </ns0:c>
      <ns0:c r="E71" s="3">
        <ns0:f>ROUND(E271*E391,2)</ns0:f>
        <ns0:v>144.87</ns0:v>
      </ns0:c>
      <ns0:c r="F71" s="3">
        <ns0:f>ROUND(F271*F391,2)</ns0:f>
        <ns0:v>317.89</ns0:v>
      </ns0:c>
      <ns0:c r="G71" s="3">
        <ns0:f>ROUND(G271*G391,2)</ns0:f>
        <ns0:v>178.81</ns0:v>
      </ns0:c>
      <ns0:c r="H71" s="3">
        <ns0:f>ROUND(H271*H391,2)</ns0:f>
        <ns0:v>127.57</ns0:v>
      </ns0:c>
      <ns0:c r="I71" s="3">
        <ns0:f>ROUND(I271*I391,2)</ns0:f>
        <ns0:v>233.86</ns0:v>
      </ns0:c>
      <ns0:c r="J71" s="3">
        <ns0:f>ROUND(J271*J391,2)</ns0:f>
        <ns0:v>228.62</ns0:v>
      </ns0:c>
      <ns0:c r="K71" s="3">
        <ns0:f>ROUND(K271*K391,2)</ns0:f>
        <ns0:v>68.27</ns0:v>
      </ns0:c>
      <ns0:c r="L71" s="3">
        <ns0:f>ROUND(L271*L391,2)</ns0:f>
        <ns0:v>337.29</ns0:v>
      </ns0:c>
      <ns0:c r="M71" s="3">
        <ns0:f>ROUND(M271*M391,2)</ns0:f>
        <ns0:v>310.51</ns0:v>
      </ns0:c>
      <ns0:c r="N71" s="3">
        <ns0:f>ROUND(N271*N391,2)</ns0:f>
        <ns0:v>116.53</ns0:v>
      </ns0:c>
      <ns0:c r="O71" s="3">
        <ns0:f>SUM(C71:N71)</ns0:f>
        <ns0:v>2439.81</ns0:v>
      </ns0:c>
      <ns0:c r="P71" s="2" t="inlineStr">
        <ns0:is>
          <ns0:t>EXP3.011</ns0:t>
        </ns0:is>
      </ns0:c>
      <ns0:c r="Q71" s="2" t="inlineStr">
        <ns0:is>
          <ns0:t>演示占位-v1</ns0:t>
        </ns0:is>
      </ns0:c>
      <ns0:c r="R71" s="2" t="inlineStr">
        <ns0:is>
          <ns0:t>模拟权责发生制</ns0:t>
        </ns0:is>
      </ns0:c>
      <ns0:c r="S71" s="2" t="inlineStr">
        <ns0:is>
          <ns0:t>2027-01</ns0:t>
        </ns0:is>
      </ns0:c>
      <ns0:c r="T71" s="2" t="inlineStr">
        <ns0:is>
          <ns0:t>2027-06</ns0:t>
        </ns0:is>
      </ns0:c>
      <ns0:c r="U71" s="2" t="inlineStr">
        <ns0:is>
          <ns0:t>无</ns0:t>
        </ns0:is>
      </ns0:c>
      <ns0:c r="V71" s="2" t="inlineStr">
        <ns0:is>
          <ns0:t>无</ns0:t>
        </ns0:is>
      </ns0:c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 t="inlineStr">
        <ns0:is>
          <ns0:t>物业管理费</ns0:t>
        </ns0:is>
      </ns0:c>
      <ns0:c r="C72" s="3">
        <ns0:f>ROUND(C272*C392,2)</ns0:f>
        <ns0:v>155.67</ns0:v>
      </ns0:c>
      <ns0:c r="D72" s="3">
        <ns0:f>ROUND(D272*D392,2)</ns0:f>
        <ns0:v>157.52</ns0:v>
      </ns0:c>
      <ns0:c r="E72" s="3">
        <ns0:f>ROUND(E272*E392,2)</ns0:f>
        <ns0:v>200.52</ns0:v>
      </ns0:c>
      <ns0:c r="F72" s="3">
        <ns0:f>ROUND(F272*F392,2)</ns0:f>
        <ns0:v>36.36</ns0:v>
      </ns0:c>
      <ns0:c r="G72" s="3">
        <ns0:f>ROUND(G272*G392,2)</ns0:f>
        <ns0:v>520.41</ns0:v>
      </ns0:c>
      <ns0:c r="H72" s="3">
        <ns0:f>ROUND(H272*H392,2)</ns0:f>
        <ns0:v>188.72</ns0:v>
      </ns0:c>
      <ns0:c r="I72" s="3">
        <ns0:f>ROUND(I272*I392,2)</ns0:f>
        <ns0:v>200.72</ns0:v>
      </ns0:c>
      <ns0:c r="J72" s="3">
        <ns0:f>ROUND(J272*J392,2)</ns0:f>
        <ns0:v>66.58</ns0:v>
      </ns0:c>
      <ns0:c r="K72" s="3">
        <ns0:f>ROUND(K272*K392,2)</ns0:f>
        <ns0:v>180.07</ns0:v>
      </ns0:c>
      <ns0:c r="L72" s="3">
        <ns0:f>ROUND(L272*L392,2)</ns0:f>
        <ns0:v>120.80</ns0:v>
      </ns0:c>
      <ns0:c r="M72" s="3">
        <ns0:f>ROUND(M272*M392,2)</ns0:f>
        <ns0:v>226.36</ns0:v>
      </ns0:c>
      <ns0:c r="N72" s="3">
        <ns0:f>ROUND(N272*N392,2)</ns0:f>
        <ns0:v>71.60</ns0:v>
      </ns0:c>
      <ns0:c r="O72" s="3">
        <ns0:f>SUM(C72:N72)</ns0:f>
        <ns0:v>2125.33</ns0:v>
      </ns0:c>
      <ns0:c r="P72" s="2" t="inlineStr">
        <ns0:is>
          <ns0:t>EXP3.012</ns0:t>
        </ns0:is>
      </ns0:c>
      <ns0:c r="Q72" s="2" t="inlineStr">
        <ns0:is>
          <ns0:t>演示占位-v1</ns0:t>
        </ns0:is>
      </ns0:c>
      <ns0:c r="R72" s="2" t="inlineStr">
        <ns0:is>
          <ns0:t>模拟权责发生制</ns0:t>
        </ns0:is>
      </ns0:c>
      <ns0:c r="S72" s="2" t="inlineStr">
        <ns0:is>
          <ns0:t>2027-01</ns0:t>
        </ns0:is>
      </ns0:c>
      <ns0:c r="T72" s="2" t="inlineStr">
        <ns0:is>
          <ns0:t>2027-06</ns0:t>
        </ns0:is>
      </ns0:c>
      <ns0:c r="U72" s="2" t="inlineStr">
        <ns0:is>
          <ns0:t>无</ns0:t>
        </ns0:is>
      </ns0:c>
      <ns0:c r="V72" s="2" t="inlineStr">
        <ns0:is>
          <ns0:t>无</ns0:t>
        </ns0:is>
      </ns0:c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 t="inlineStr">
        <ns0:is>
          <ns0:t>汽车费用</ns0:t>
        </ns0:is>
      </ns0:c>
      <ns0:c r="C73" s="3">
        <ns0:f>ROUND(C273*C393,2)</ns0:f>
        <ns0:v>413.51</ns0:v>
      </ns0:c>
      <ns0:c r="D73" s="3">
        <ns0:f>ROUND(D273*D393,2)</ns0:f>
        <ns0:v>459.56</ns0:v>
      </ns0:c>
      <ns0:c r="E73" s="3">
        <ns0:f>ROUND(E273*E393,2)</ns0:f>
        <ns0:v>139.13</ns0:v>
      </ns0:c>
      <ns0:c r="F73" s="3">
        <ns0:f>ROUND(F273*F393,2)</ns0:f>
        <ns0:v>173.04</ns0:v>
      </ns0:c>
      <ns0:c r="G73" s="3">
        <ns0:f>ROUND(G273*G393,2)</ns0:f>
        <ns0:v>167.94</ns0:v>
      </ns0:c>
      <ns0:c r="H73" s="3">
        <ns0:f>ROUND(H273*H393,2)</ns0:f>
        <ns0:v>91.31</ns0:v>
      </ns0:c>
      <ns0:c r="I73" s="3">
        <ns0:f>ROUND(I273*I393,2)</ns0:f>
        <ns0:v>317.09</ns0:v>
      </ns0:c>
      <ns0:c r="J73" s="3">
        <ns0:f>ROUND(J273*J393,2)</ns0:f>
        <ns0:v>199.49</ns0:v>
      </ns0:c>
      <ns0:c r="K73" s="3">
        <ns0:f>ROUND(K273*K393,2)</ns0:f>
        <ns0:v>448.06</ns0:v>
      </ns0:c>
      <ns0:c r="L73" s="3">
        <ns0:f>ROUND(L273*L393,2)</ns0:f>
        <ns0:v>401.38</ns0:v>
      </ns0:c>
      <ns0:c r="M73" s="3">
        <ns0:f>ROUND(M273*M393,2)</ns0:f>
        <ns0:v>437.21</ns0:v>
      </ns0:c>
      <ns0:c r="N73" s="3">
        <ns0:f>ROUND(N273*N393,2)</ns0:f>
        <ns0:v>197.42</ns0:v>
      </ns0:c>
      <ns0:c r="O73" s="3">
        <ns0:f>SUM(C73:N73)</ns0:f>
        <ns0:v>3445.14</ns0:v>
      </ns0:c>
      <ns0:c r="P73" s="2" t="inlineStr">
        <ns0:is>
          <ns0:t>EXP3.013</ns0:t>
        </ns0:is>
      </ns0:c>
      <ns0:c r="Q73" s="2" t="inlineStr">
        <ns0:is>
          <ns0:t>演示占位-v1</ns0:t>
        </ns0:is>
      </ns0:c>
      <ns0:c r="R73" s="2" t="inlineStr">
        <ns0:is>
          <ns0:t>模拟权责发生制</ns0:t>
        </ns0:is>
      </ns0:c>
      <ns0:c r="S73" s="2" t="inlineStr">
        <ns0:is>
          <ns0:t>2027-01</ns0:t>
        </ns0:is>
      </ns0:c>
      <ns0:c r="T73" s="2" t="inlineStr">
        <ns0:is>
          <ns0:t>2027-06</ns0:t>
        </ns0:is>
      </ns0:c>
      <ns0:c r="U73" s="2" t="inlineStr">
        <ns0:is>
          <ns0:t>无</ns0:t>
        </ns0:is>
      </ns0:c>
      <ns0:c r="V73" s="2" t="inlineStr">
        <ns0:is>
          <ns0:t>无</ns0:t>
        </ns0:is>
      </ns0:c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 t="inlineStr">
        <ns0:is>
          <ns0:t>办公费</ns0:t>
        </ns0:is>
      </ns0:c>
      <ns0:c r="C74" s="3">
        <ns0:f>ROUND(C274*C394,2)</ns0:f>
        <ns0:v>156.03</ns0:v>
      </ns0:c>
      <ns0:c r="D74" s="3">
        <ns0:f>ROUND(D274*D394,2)</ns0:f>
        <ns0:v>46.49</ns0:v>
      </ns0:c>
      <ns0:c r="E74" s="3">
        <ns0:f>ROUND(E274*E394,2)</ns0:f>
        <ns0:v>216.37</ns0:v>
      </ns0:c>
      <ns0:c r="F74" s="3">
        <ns0:f>ROUND(F274*F394,2)</ns0:f>
        <ns0:v>76.06</ns0:v>
      </ns0:c>
      <ns0:c r="G74" s="3">
        <ns0:f>ROUND(G274*G394,2)</ns0:f>
        <ns0:v>229.20</ns0:v>
      </ns0:c>
      <ns0:c r="H74" s="3">
        <ns0:f>ROUND(H274*H394,2)</ns0:f>
        <ns0:v>340.61</ns0:v>
      </ns0:c>
      <ns0:c r="I74" s="3">
        <ns0:f>ROUND(I274*I394,2)</ns0:f>
        <ns0:v>108.22</ns0:v>
      </ns0:c>
      <ns0:c r="J74" s="3">
        <ns0:f>ROUND(J274*J394,2)</ns0:f>
        <ns0:v>148.60</ns0:v>
      </ns0:c>
      <ns0:c r="K74" s="3">
        <ns0:f>ROUND(K274*K394,2)</ns0:f>
        <ns0:v>398.36</ns0:v>
      </ns0:c>
      <ns0:c r="L74" s="3">
        <ns0:f>ROUND(L274*L394,2)</ns0:f>
        <ns0:v>224.45</ns0:v>
      </ns0:c>
      <ns0:c r="M74" s="3">
        <ns0:f>ROUND(M274*M394,2)</ns0:f>
        <ns0:v>86.74</ns0:v>
      </ns0:c>
      <ns0:c r="N74" s="3">
        <ns0:f>ROUND(N274*N394,2)</ns0:f>
        <ns0:v>104.89</ns0:v>
      </ns0:c>
      <ns0:c r="O74" s="3">
        <ns0:f>SUM(C74:N74)</ns0:f>
        <ns0:v>2136.02</ns0:v>
      </ns0:c>
      <ns0:c r="P74" s="2" t="inlineStr">
        <ns0:is>
          <ns0:t>EXP3.014</ns0:t>
        </ns0:is>
      </ns0:c>
      <ns0:c r="Q74" s="2" t="inlineStr">
        <ns0:is>
          <ns0:t>演示占位-v1</ns0:t>
        </ns0:is>
      </ns0:c>
      <ns0:c r="R74" s="2" t="inlineStr">
        <ns0:is>
          <ns0:t>模拟权责发生制</ns0:t>
        </ns0:is>
      </ns0:c>
      <ns0:c r="S74" s="2" t="inlineStr">
        <ns0:is>
          <ns0:t>2027-01</ns0:t>
        </ns0:is>
      </ns0:c>
      <ns0:c r="T74" s="2" t="inlineStr">
        <ns0:is>
          <ns0:t>2027-06</ns0:t>
        </ns0:is>
      </ns0:c>
      <ns0:c r="U74" s="2" t="inlineStr">
        <ns0:is>
          <ns0:t>无</ns0:t>
        </ns0:is>
      </ns0:c>
      <ns0:c r="V74" s="2" t="inlineStr">
        <ns0:is>
          <ns0:t>无</ns0:t>
        </ns0:is>
      </ns0:c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 t="inlineStr">
        <ns0:is>
          <ns0:t>办公用品</ns0:t>
        </ns0:is>
      </ns0:c>
      <ns0:c r="C75" s="3">
        <ns0:f>ROUND(C275*C395,2)</ns0:f>
        <ns0:v>475.01</ns0:v>
      </ns0:c>
      <ns0:c r="D75" s="3">
        <ns0:f>ROUND(D275*D395,2)</ns0:f>
        <ns0:v>87.96</ns0:v>
      </ns0:c>
      <ns0:c r="E75" s="3">
        <ns0:f>ROUND(E275*E395,2)</ns0:f>
        <ns0:v>297.81</ns0:v>
      </ns0:c>
      <ns0:c r="F75" s="3">
        <ns0:f>ROUND(F275*F395,2)</ns0:f>
        <ns0:v>95.22</ns0:v>
      </ns0:c>
      <ns0:c r="G75" s="3">
        <ns0:f>ROUND(G275*G395,2)</ns0:f>
        <ns0:v>94.05</ns0:v>
      </ns0:c>
      <ns0:c r="H75" s="3">
        <ns0:f>ROUND(H275*H395,2)</ns0:f>
        <ns0:v>385.82</ns0:v>
      </ns0:c>
      <ns0:c r="I75" s="3">
        <ns0:f>ROUND(I275*I395,2)</ns0:f>
        <ns0:v>392.45</ns0:v>
      </ns0:c>
      <ns0:c r="J75" s="3">
        <ns0:f>ROUND(J275*J395,2)</ns0:f>
        <ns0:v>312.29</ns0:v>
      </ns0:c>
      <ns0:c r="K75" s="3">
        <ns0:f>ROUND(K275*K395,2)</ns0:f>
        <ns0:v>165.20</ns0:v>
      </ns0:c>
      <ns0:c r="L75" s="3">
        <ns0:f>ROUND(L275*L395,2)</ns0:f>
        <ns0:v>168.39</ns0:v>
      </ns0:c>
      <ns0:c r="M75" s="3">
        <ns0:f>ROUND(M275*M395,2)</ns0:f>
        <ns0:v>189.63</ns0:v>
      </ns0:c>
      <ns0:c r="N75" s="3">
        <ns0:f>ROUND(N275*N395,2)</ns0:f>
        <ns0:v>77.38</ns0:v>
      </ns0:c>
      <ns0:c r="O75" s="3">
        <ns0:f>SUM(C75:N75)</ns0:f>
        <ns0:v>2741.21</ns0:v>
      </ns0:c>
      <ns0:c r="P75" s="2" t="inlineStr">
        <ns0:is>
          <ns0:t>EXP3.015</ns0:t>
        </ns0:is>
      </ns0:c>
      <ns0:c r="Q75" s="2" t="inlineStr">
        <ns0:is>
          <ns0:t>演示占位-v1</ns0:t>
        </ns0:is>
      </ns0:c>
      <ns0:c r="R75" s="2" t="inlineStr">
        <ns0:is>
          <ns0:t>模拟权责发生制</ns0:t>
        </ns0:is>
      </ns0:c>
      <ns0:c r="S75" s="2" t="inlineStr">
        <ns0:is>
          <ns0:t>2027-01</ns0:t>
        </ns0:is>
      </ns0:c>
      <ns0:c r="T75" s="2" t="inlineStr">
        <ns0:is>
          <ns0:t>2027-06</ns0:t>
        </ns0:is>
      </ns0:c>
      <ns0:c r="U75" s="2" t="inlineStr">
        <ns0:is>
          <ns0:t>无</ns0:t>
        </ns0:is>
      </ns0:c>
      <ns0:c r="V75" s="2" t="inlineStr">
        <ns0:is>
          <ns0:t>无</ns0:t>
        </ns0:is>
      </ns0:c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 t="inlineStr">
        <ns0:is>
          <ns0:t>水电煤</ns0:t>
        </ns0:is>
      </ns0:c>
      <ns0:c r="C76" s="3">
        <ns0:f>ROUND(C276*C396,2)</ns0:f>
        <ns0:v>199.43</ns0:v>
      </ns0:c>
      <ns0:c r="D76" s="3">
        <ns0:f>ROUND(D276*D396,2)</ns0:f>
        <ns0:v>54.95</ns0:v>
      </ns0:c>
      <ns0:c r="E76" s="3">
        <ns0:f>ROUND(E276*E396,2)</ns0:f>
        <ns0:v>153.86</ns0:v>
      </ns0:c>
      <ns0:c r="F76" s="3">
        <ns0:f>ROUND(F276*F396,2)</ns0:f>
        <ns0:v>557.94</ns0:v>
      </ns0:c>
      <ns0:c r="G76" s="3">
        <ns0:f>ROUND(G276*G396,2)</ns0:f>
        <ns0:v>109.13</ns0:v>
      </ns0:c>
      <ns0:c r="H76" s="3">
        <ns0:f>ROUND(H276*H396,2)</ns0:f>
        <ns0:v>159.45</ns0:v>
      </ns0:c>
      <ns0:c r="I76" s="3">
        <ns0:f>ROUND(I276*I396,2)</ns0:f>
        <ns0:v>60.12</ns0:v>
      </ns0:c>
      <ns0:c r="J76" s="3">
        <ns0:f>ROUND(J276*J396,2)</ns0:f>
        <ns0:v>271.66</ns0:v>
      </ns0:c>
      <ns0:c r="K76" s="3">
        <ns0:f>ROUND(K276*K396,2)</ns0:f>
        <ns0:v>87.47</ns0:v>
      </ns0:c>
      <ns0:c r="L76" s="3">
        <ns0:f>ROUND(L276*L396,2)</ns0:f>
        <ns0:v>236.84</ns0:v>
      </ns0:c>
      <ns0:c r="M76" s="3">
        <ns0:f>ROUND(M276*M396,2)</ns0:f>
        <ns0:v>229.12</ns0:v>
      </ns0:c>
      <ns0:c r="N76" s="3">
        <ns0:f>ROUND(N276*N396,2)</ns0:f>
        <ns0:v>217.34</ns0:v>
      </ns0:c>
      <ns0:c r="O76" s="3">
        <ns0:f>SUM(C76:N76)</ns0:f>
        <ns0:v>2337.31</ns0:v>
      </ns0:c>
      <ns0:c r="P76" s="2" t="inlineStr">
        <ns0:is>
          <ns0:t>EXP3.016</ns0:t>
        </ns0:is>
      </ns0:c>
      <ns0:c r="Q76" s="2" t="inlineStr">
        <ns0:is>
          <ns0:t>演示占位-v1</ns0:t>
        </ns0:is>
      </ns0:c>
      <ns0:c r="R76" s="2" t="inlineStr">
        <ns0:is>
          <ns0:t>模拟权责发生制</ns0:t>
        </ns0:is>
      </ns0:c>
      <ns0:c r="S76" s="2" t="inlineStr">
        <ns0:is>
          <ns0:t>2027-01</ns0:t>
        </ns0:is>
      </ns0:c>
      <ns0:c r="T76" s="2" t="inlineStr">
        <ns0:is>
          <ns0:t>2027-06</ns0:t>
        </ns0:is>
      </ns0:c>
      <ns0:c r="U76" s="2" t="inlineStr">
        <ns0:is>
          <ns0:t>无</ns0:t>
        </ns0:is>
      </ns0:c>
      <ns0:c r="V76" s="2" t="inlineStr">
        <ns0:is>
          <ns0:t>无</ns0:t>
        </ns0:is>
      </ns0:c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 t="inlineStr">
        <ns0:is>
          <ns0:t>咨询服务费</ns0:t>
        </ns0:is>
      </ns0:c>
      <ns0:c r="C77" s="3">
        <ns0:f>ROUND(C277*C397,2)</ns0:f>
        <ns0:v>116.10</ns0:v>
      </ns0:c>
      <ns0:c r="D77" s="3">
        <ns0:f>ROUND(D277*D397,2)</ns0:f>
        <ns0:v>61.46</ns0:v>
      </ns0:c>
      <ns0:c r="E77" s="3">
        <ns0:f>ROUND(E277*E397,2)</ns0:f>
        <ns0:v>95.50</ns0:v>
      </ns0:c>
      <ns0:c r="F77" s="3">
        <ns0:f>ROUND(F277*F397,2)</ns0:f>
        <ns0:v>107.92</ns0:v>
      </ns0:c>
      <ns0:c r="G77" s="3">
        <ns0:f>ROUND(G277*G397,2)</ns0:f>
        <ns0:v>362.43</ns0:v>
      </ns0:c>
      <ns0:c r="H77" s="3">
        <ns0:f>ROUND(H277*H397,2)</ns0:f>
        <ns0:v>482.08</ns0:v>
      </ns0:c>
      <ns0:c r="I77" s="3">
        <ns0:f>ROUND(I277*I397,2)</ns0:f>
        <ns0:v>259.54</ns0:v>
      </ns0:c>
      <ns0:c r="J77" s="3">
        <ns0:f>ROUND(J277*J397,2)</ns0:f>
        <ns0:v>161.84</ns0:v>
      </ns0:c>
      <ns0:c r="K77" s="3">
        <ns0:f>ROUND(K277*K397,2)</ns0:f>
        <ns0:v>184.89</ns0:v>
      </ns0:c>
      <ns0:c r="L77" s="3">
        <ns0:f>ROUND(L277*L397,2)</ns0:f>
        <ns0:v>287.45</ns0:v>
      </ns0:c>
      <ns0:c r="M77" s="3">
        <ns0:f>ROUND(M277*M397,2)</ns0:f>
        <ns0:v>370.73</ns0:v>
      </ns0:c>
      <ns0:c r="N77" s="3">
        <ns0:f>ROUND(N277*N397,2)</ns0:f>
        <ns0:v>199.48</ns0:v>
      </ns0:c>
      <ns0:c r="O77" s="3">
        <ns0:f>SUM(C77:N77)</ns0:f>
        <ns0:v>2689.42</ns0:v>
      </ns0:c>
      <ns0:c r="P77" s="2" t="inlineStr">
        <ns0:is>
          <ns0:t>EXP3.017</ns0:t>
        </ns0:is>
      </ns0:c>
      <ns0:c r="Q77" s="2" t="inlineStr">
        <ns0:is>
          <ns0:t>演示占位-v1</ns0:t>
        </ns0:is>
      </ns0:c>
      <ns0:c r="R77" s="2" t="inlineStr">
        <ns0:is>
          <ns0:t>模拟权责发生制</ns0:t>
        </ns0:is>
      </ns0:c>
      <ns0:c r="S77" s="2" t="inlineStr">
        <ns0:is>
          <ns0:t>2027-01</ns0:t>
        </ns0:is>
      </ns0:c>
      <ns0:c r="T77" s="2" t="inlineStr">
        <ns0:is>
          <ns0:t>2027-06</ns0:t>
        </ns0:is>
      </ns0:c>
      <ns0:c r="U77" s="2" t="inlineStr">
        <ns0:is>
          <ns0:t>无</ns0:t>
        </ns0:is>
      </ns0:c>
      <ns0:c r="V77" s="2" t="inlineStr">
        <ns0:is>
          <ns0:t>无</ns0:t>
        </ns0:is>
      </ns0:c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 t="inlineStr">
        <ns0:is>
          <ns0:t>电话费</ns0:t>
        </ns0:is>
      </ns0:c>
      <ns0:c r="C78" s="3">
        <ns0:f>ROUND(C278*C398,2)</ns0:f>
        <ns0:v>156.67</ns0:v>
      </ns0:c>
      <ns0:c r="D78" s="3">
        <ns0:f>ROUND(D278*D398,2)</ns0:f>
        <ns0:v>470.13</ns0:v>
      </ns0:c>
      <ns0:c r="E78" s="3">
        <ns0:f>ROUND(E278*E398,2)</ns0:f>
        <ns0:v>158.92</ns0:v>
      </ns0:c>
      <ns0:c r="F78" s="3">
        <ns0:f>ROUND(F278*F398,2)</ns0:f>
        <ns0:v>448.12</ns0:v>
      </ns0:c>
      <ns0:c r="G78" s="3">
        <ns0:f>ROUND(G278*G398,2)</ns0:f>
        <ns0:v>269.37</ns0:v>
      </ns0:c>
      <ns0:c r="H78" s="3">
        <ns0:f>ROUND(H278*H398,2)</ns0:f>
        <ns0:v>305.68</ns0:v>
      </ns0:c>
      <ns0:c r="I78" s="3">
        <ns0:f>ROUND(I278*I398,2)</ns0:f>
        <ns0:v>418.13</ns0:v>
      </ns0:c>
      <ns0:c r="J78" s="3">
        <ns0:f>ROUND(J278*J398,2)</ns0:f>
        <ns0:v>143.80</ns0:v>
      </ns0:c>
      <ns0:c r="K78" s="3">
        <ns0:f>ROUND(K278*K398,2)</ns0:f>
        <ns0:v>211.46</ns0:v>
      </ns0:c>
      <ns0:c r="L78" s="3">
        <ns0:f>ROUND(L278*L398,2)</ns0:f>
        <ns0:v>183.99</ns0:v>
      </ns0:c>
      <ns0:c r="M78" s="3">
        <ns0:f>ROUND(M278*M398,2)</ns0:f>
        <ns0:v>178.81</ns0:v>
      </ns0:c>
      <ns0:c r="N78" s="3">
        <ns0:f>ROUND(N278*N398,2)</ns0:f>
        <ns0:v>109.22</ns0:v>
      </ns0:c>
      <ns0:c r="O78" s="3">
        <ns0:f>SUM(C78:N78)</ns0:f>
        <ns0:v>3054.30</ns0:v>
      </ns0:c>
      <ns0:c r="P78" s="2" t="inlineStr">
        <ns0:is>
          <ns0:t>EXP3.018</ns0:t>
        </ns0:is>
      </ns0:c>
      <ns0:c r="Q78" s="2" t="inlineStr">
        <ns0:is>
          <ns0:t>演示占位-v1</ns0:t>
        </ns0:is>
      </ns0:c>
      <ns0:c r="R78" s="2" t="inlineStr">
        <ns0:is>
          <ns0:t>模拟权责发生制</ns0:t>
        </ns0:is>
      </ns0:c>
      <ns0:c r="S78" s="2" t="inlineStr">
        <ns0:is>
          <ns0:t>2027-01</ns0:t>
        </ns0:is>
      </ns0:c>
      <ns0:c r="T78" s="2" t="inlineStr">
        <ns0:is>
          <ns0:t>2027-06</ns0:t>
        </ns0:is>
      </ns0:c>
      <ns0:c r="U78" s="2" t="inlineStr">
        <ns0:is>
          <ns0:t>无</ns0:t>
        </ns0:is>
      </ns0:c>
      <ns0:c r="V78" s="2" t="inlineStr">
        <ns0:is>
          <ns0:t>无</ns0:t>
        </ns0:is>
      </ns0:c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 t="inlineStr">
        <ns0:is>
          <ns0:t>快递费</ns0:t>
        </ns0:is>
      </ns0:c>
      <ns0:c r="C79" s="3">
        <ns0:f>ROUND(C279*C399,2)</ns0:f>
        <ns0:v>178.27</ns0:v>
      </ns0:c>
      <ns0:c r="D79" s="3">
        <ns0:f>ROUND(D279*D399,2)</ns0:f>
        <ns0:v>455.40</ns0:v>
      </ns0:c>
      <ns0:c r="E79" s="3">
        <ns0:f>ROUND(E279*E399,2)</ns0:f>
        <ns0:v>168.06</ns0:v>
      </ns0:c>
      <ns0:c r="F79" s="3">
        <ns0:f>ROUND(F279*F399,2)</ns0:f>
        <ns0:v>172.41</ns0:v>
      </ns0:c>
      <ns0:c r="G79" s="3">
        <ns0:f>ROUND(G279*G399,2)</ns0:f>
        <ns0:v>148.04</ns0:v>
      </ns0:c>
      <ns0:c r="H79" s="3">
        <ns0:f>ROUND(H279*H399,2)</ns0:f>
        <ns0:v>77.92</ns0:v>
      </ns0:c>
      <ns0:c r="I79" s="3">
        <ns0:f>ROUND(I279*I399,2)</ns0:f>
        <ns0:v>423.85</ns0:v>
      </ns0:c>
      <ns0:c r="J79" s="3">
        <ns0:f>ROUND(J279*J399,2)</ns0:f>
        <ns0:v>93.68</ns0:v>
      </ns0:c>
      <ns0:c r="K79" s="3">
        <ns0:f>ROUND(K279*K399,2)</ns0:f>
        <ns0:v>134.47</ns0:v>
      </ns0:c>
      <ns0:c r="L79" s="3">
        <ns0:f>ROUND(L279*L399,2)</ns0:f>
        <ns0:v>226.71</ns0:v>
      </ns0:c>
      <ns0:c r="M79" s="3">
        <ns0:f>ROUND(M279*M399,2)</ns0:f>
        <ns0:v>337.67</ns0:v>
      </ns0:c>
      <ns0:c r="N79" s="3">
        <ns0:f>ROUND(N279*N399,2)</ns0:f>
        <ns0:v>179.69</ns0:v>
      </ns0:c>
      <ns0:c r="O79" s="3">
        <ns0:f>SUM(C79:N79)</ns0:f>
        <ns0:v>2596.17</ns0:v>
      </ns0:c>
      <ns0:c r="P79" s="2" t="inlineStr">
        <ns0:is>
          <ns0:t>EXP3.019</ns0:t>
        </ns0:is>
      </ns0:c>
      <ns0:c r="Q79" s="2" t="inlineStr">
        <ns0:is>
          <ns0:t>演示占位-v1</ns0:t>
        </ns0:is>
      </ns0:c>
      <ns0:c r="R79" s="2" t="inlineStr">
        <ns0:is>
          <ns0:t>模拟权责发生制</ns0:t>
        </ns0:is>
      </ns0:c>
      <ns0:c r="S79" s="2" t="inlineStr">
        <ns0:is>
          <ns0:t>2027-01</ns0:t>
        </ns0:is>
      </ns0:c>
      <ns0:c r="T79" s="2" t="inlineStr">
        <ns0:is>
          <ns0:t>2027-06</ns0:t>
        </ns0:is>
      </ns0:c>
      <ns0:c r="U79" s="2" t="inlineStr">
        <ns0:is>
          <ns0:t>无</ns0:t>
        </ns0:is>
      </ns0:c>
      <ns0:c r="V79" s="2" t="inlineStr">
        <ns0:is>
          <ns0:t>无</ns0:t>
        </ns0:is>
      </ns0:c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 t="inlineStr">
        <ns0:is>
          <ns0:t>折旧及摊销</ns0:t>
        </ns0:is>
      </ns0:c>
      <ns0:c r="C80" s="3">
        <ns0:f>ROUND('摊销明细'!C93/3,2)</ns0:f>
        <ns0:v>624.24</ns0:v>
      </ns0:c>
      <ns0:c r="D80" s="3">
        <ns0:f>ROUND('摊销明细'!D93/3,2)</ns0:f>
        <ns0:v>624.24</ns0:v>
      </ns0:c>
      <ns0:c r="E80" s="3">
        <ns0:f>ROUND('摊销明细'!E93/3,2)</ns0:f>
        <ns0:v>624.24</ns0:v>
      </ns0:c>
      <ns0:c r="F80" s="3">
        <ns0:f>ROUND('摊销明细'!F93/3,2)</ns0:f>
        <ns0:v>624.24</ns0:v>
      </ns0:c>
      <ns0:c r="G80" s="3">
        <ns0:f>ROUND('摊销明细'!G93/3,2)</ns0:f>
        <ns0:v>624.24</ns0:v>
      </ns0:c>
      <ns0:c r="H80" s="3">
        <ns0:f>ROUND('摊销明细'!H93/3,2)</ns0:f>
        <ns0:v>624.24</ns0:v>
      </ns0:c>
      <ns0:c r="I80" s="3">
        <ns0:f>ROUND('摊销明细'!I93/3,2)</ns0:f>
        <ns0:v>624.24</ns0:v>
      </ns0:c>
      <ns0:c r="J80" s="3">
        <ns0:f>ROUND('摊销明细'!J93/3,2)</ns0:f>
        <ns0:v>624.24</ns0:v>
      </ns0:c>
      <ns0:c r="K80" s="3">
        <ns0:f>ROUND('摊销明细'!K93/3,2)</ns0:f>
        <ns0:v>624.24</ns0:v>
      </ns0:c>
      <ns0:c r="L80" s="3">
        <ns0:f>ROUND('摊销明细'!L93/3,2)</ns0:f>
        <ns0:v>624.24</ns0:v>
      </ns0:c>
      <ns0:c r="M80" s="3">
        <ns0:f>ROUND('摊销明细'!M93/3,2)</ns0:f>
        <ns0:v>624.24</ns0:v>
      </ns0:c>
      <ns0:c r="N80" s="3">
        <ns0:f>ROUND('摊销明细'!N93/3,2)</ns0:f>
        <ns0:v>624.24</ns0:v>
      </ns0:c>
      <ns0:c r="O80" s="3">
        <ns0:f>SUM(C80:N80)</ns0:f>
        <ns0:v>7490.88</ns0:v>
      </ns0:c>
      <ns0:c r="P80" s="2" t="inlineStr">
        <ns0:is>
          <ns0:t>EXP3.020</ns0:t>
        </ns0:is>
      </ns0:c>
      <ns0:c r="Q80" s="2" t="inlineStr">
        <ns0:is>
          <ns0:t>演示占位-v1</ns0:t>
        </ns0:is>
      </ns0:c>
      <ns0:c r="R80" s="2" t="inlineStr">
        <ns0:is>
          <ns0:t>模拟权责发生制</ns0:t>
        </ns0:is>
      </ns0:c>
      <ns0:c r="S80" s="2" t="inlineStr">
        <ns0:is>
          <ns0:t>2027-01</ns0:t>
        </ns0:is>
      </ns0:c>
      <ns0:c r="T80" s="2" t="inlineStr">
        <ns0:is>
          <ns0:t>2027-06</ns0:t>
        </ns0:is>
      </ns0:c>
      <ns0:c r="U80" s="2" t="inlineStr">
        <ns0:is>
          <ns0:t>无</ns0:t>
        </ns0:is>
      </ns0:c>
      <ns0:c r="V80" s="2" t="inlineStr">
        <ns0:is>
          <ns0:t>无</ns0:t>
        </ns0:is>
      </ns0:c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 t="inlineStr">
        <ns0:is>
          <ns0:t>机票火车票</ns0:t>
        </ns0:is>
      </ns0:c>
      <ns0:c r="C81" s="3">
        <ns0:f>ROUND(C281*C401,2)</ns0:f>
        <ns0:v>148.49</ns0:v>
      </ns0:c>
      <ns0:c r="D81" s="3">
        <ns0:f>ROUND(D281*D401,2)</ns0:f>
        <ns0:v>263.31</ns0:v>
      </ns0:c>
      <ns0:c r="E81" s="3">
        <ns0:f>ROUND(E281*E401,2)</ns0:f>
        <ns0:v>121.14</ns0:v>
      </ns0:c>
      <ns0:c r="F81" s="3">
        <ns0:f>ROUND(F281*F401,2)</ns0:f>
        <ns0:v>472.32</ns0:v>
      </ns0:c>
      <ns0:c r="G81" s="3">
        <ns0:f>ROUND(G281*G401,2)</ns0:f>
        <ns0:v>179.44</ns0:v>
      </ns0:c>
      <ns0:c r="H81" s="3">
        <ns0:f>ROUND(H281*H401,2)</ns0:f>
        <ns0:v>212.93</ns0:v>
      </ns0:c>
      <ns0:c r="I81" s="3">
        <ns0:f>ROUND(I281*I401,2)</ns0:f>
        <ns0:v>272.29</ns0:v>
      </ns0:c>
      <ns0:c r="J81" s="3">
        <ns0:f>ROUND(J281*J401,2)</ns0:f>
        <ns0:v>143.61</ns0:v>
      </ns0:c>
      <ns0:c r="K81" s="3">
        <ns0:f>ROUND(K281*K401,2)</ns0:f>
        <ns0:v>278.28</ns0:v>
      </ns0:c>
      <ns0:c r="L81" s="3">
        <ns0:f>ROUND(L281*L401,2)</ns0:f>
        <ns0:v>184.69</ns0:v>
      </ns0:c>
      <ns0:c r="M81" s="3">
        <ns0:f>ROUND(M281*M401,2)</ns0:f>
        <ns0:v>169.38</ns0:v>
      </ns0:c>
      <ns0:c r="N81" s="3">
        <ns0:f>ROUND(N281*N401,2)</ns0:f>
        <ns0:v>486.13</ns0:v>
      </ns0:c>
      <ns0:c r="O81" s="3">
        <ns0:f>SUM(C81:N81)</ns0:f>
        <ns0:v>2932.01</ns0:v>
      </ns0:c>
      <ns0:c r="P81" s="2" t="inlineStr">
        <ns0:is>
          <ns0:t>EXP3.021</ns0:t>
        </ns0:is>
      </ns0:c>
      <ns0:c r="Q81" s="2" t="inlineStr">
        <ns0:is>
          <ns0:t>演示占位-v1</ns0:t>
        </ns0:is>
      </ns0:c>
      <ns0:c r="R81" s="2" t="inlineStr">
        <ns0:is>
          <ns0:t>模拟权责发生制</ns0:t>
        </ns0:is>
      </ns0:c>
      <ns0:c r="S81" s="2" t="inlineStr">
        <ns0:is>
          <ns0:t>2027-01</ns0:t>
        </ns0:is>
      </ns0:c>
      <ns0:c r="T81" s="2" t="inlineStr">
        <ns0:is>
          <ns0:t>2027-06</ns0:t>
        </ns0:is>
      </ns0:c>
      <ns0:c r="U81" s="2" t="inlineStr">
        <ns0:is>
          <ns0:t>无</ns0:t>
        </ns0:is>
      </ns0:c>
      <ns0:c r="V81" s="2" t="inlineStr">
        <ns0:is>
          <ns0:t>无</ns0:t>
        </ns0:is>
      </ns0:c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 t="inlineStr">
        <ns0:is>
          <ns0:t>住宿费</ns0:t>
        </ns0:is>
      </ns0:c>
      <ns0:c r="C82" s="3">
        <ns0:f>ROUND(C282*C402,2)</ns0:f>
        <ns0:v>156.12</ns0:v>
      </ns0:c>
      <ns0:c r="D82" s="3">
        <ns0:f>ROUND(D282*D402,2)</ns0:f>
        <ns0:v>254.68</ns0:v>
      </ns0:c>
      <ns0:c r="E82" s="3">
        <ns0:f>ROUND(E282*E402,2)</ns0:f>
        <ns0:v>473.12</ns0:v>
      </ns0:c>
      <ns0:c r="F82" s="3">
        <ns0:f>ROUND(F282*F402,2)</ns0:f>
        <ns0:v>72.45</ns0:v>
      </ns0:c>
      <ns0:c r="G82" s="3">
        <ns0:f>ROUND(G282*G402,2)</ns0:f>
        <ns0:v>345.38</ns0:v>
      </ns0:c>
      <ns0:c r="H82" s="3">
        <ns0:f>ROUND(H282*H402,2)</ns0:f>
        <ns0:v>86.94</ns0:v>
      </ns0:c>
      <ns0:c r="I82" s="3">
        <ns0:f>ROUND(I282*I402,2)</ns0:f>
        <ns0:v>91.63</ns0:v>
      </ns0:c>
      <ns0:c r="J82" s="3">
        <ns0:f>ROUND(J282*J402,2)</ns0:f>
        <ns0:v>320.19</ns0:v>
      </ns0:c>
      <ns0:c r="K82" s="3">
        <ns0:f>ROUND(K282*K402,2)</ns0:f>
        <ns0:v>392.67</ns0:v>
      </ns0:c>
      <ns0:c r="L82" s="3">
        <ns0:f>ROUND(L282*L402,2)</ns0:f>
        <ns0:v>253.25</ns0:v>
      </ns0:c>
      <ns0:c r="M82" s="3">
        <ns0:f>ROUND(M282*M402,2)</ns0:f>
        <ns0:v>223.39</ns0:v>
      </ns0:c>
      <ns0:c r="N82" s="3">
        <ns0:f>ROUND(N282*N402,2)</ns0:f>
        <ns0:v>248.93</ns0:v>
      </ns0:c>
      <ns0:c r="O82" s="3">
        <ns0:f>SUM(C82:N82)</ns0:f>
        <ns0:v>2918.75</ns0:v>
      </ns0:c>
      <ns0:c r="P82" s="2" t="inlineStr">
        <ns0:is>
          <ns0:t>EXP3.022</ns0:t>
        </ns0:is>
      </ns0:c>
      <ns0:c r="Q82" s="2" t="inlineStr">
        <ns0:is>
          <ns0:t>演示占位-v1</ns0:t>
        </ns0:is>
      </ns0:c>
      <ns0:c r="R82" s="2" t="inlineStr">
        <ns0:is>
          <ns0:t>模拟权责发生制</ns0:t>
        </ns0:is>
      </ns0:c>
      <ns0:c r="S82" s="2" t="inlineStr">
        <ns0:is>
          <ns0:t>2027-01</ns0:t>
        </ns0:is>
      </ns0:c>
      <ns0:c r="T82" s="2" t="inlineStr">
        <ns0:is>
          <ns0:t>2027-06</ns0:t>
        </ns0:is>
      </ns0:c>
      <ns0:c r="U82" s="2" t="inlineStr">
        <ns0:is>
          <ns0:t>无</ns0:t>
        </ns0:is>
      </ns0:c>
      <ns0:c r="V82" s="2" t="inlineStr">
        <ns0:is>
          <ns0:t>无</ns0:t>
        </ns0:is>
      </ns0:c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 t="inlineStr">
        <ns0:is>
          <ns0:t>交通费</ns0:t>
        </ns0:is>
      </ns0:c>
      <ns0:c r="C83" s="3">
        <ns0:f>ROUND(C283*C403,2)</ns0:f>
        <ns0:v>213.42</ns0:v>
      </ns0:c>
      <ns0:c r="D83" s="3">
        <ns0:f>ROUND(D283*D403,2)</ns0:f>
        <ns0:v>263.28</ns0:v>
      </ns0:c>
      <ns0:c r="E83" s="3">
        <ns0:f>ROUND(E283*E403,2)</ns0:f>
        <ns0:v>168.85</ns0:v>
      </ns0:c>
      <ns0:c r="F83" s="3">
        <ns0:f>ROUND(F283*F403,2)</ns0:f>
        <ns0:v>159.89</ns0:v>
      </ns0:c>
      <ns0:c r="G83" s="3">
        <ns0:f>ROUND(G283*G403,2)</ns0:f>
        <ns0:v>194.37</ns0:v>
      </ns0:c>
      <ns0:c r="H83" s="3">
        <ns0:f>ROUND(H283*H403,2)</ns0:f>
        <ns0:v>318.99</ns0:v>
      </ns0:c>
      <ns0:c r="I83" s="3">
        <ns0:f>ROUND(I283*I403,2)</ns0:f>
        <ns0:v>207.79</ns0:v>
      </ns0:c>
      <ns0:c r="J83" s="3">
        <ns0:f>ROUND(J283*J403,2)</ns0:f>
        <ns0:v>86.81</ns0:v>
      </ns0:c>
      <ns0:c r="K83" s="3">
        <ns0:f>ROUND(K283*K403,2)</ns0:f>
        <ns0:v>190.38</ns0:v>
      </ns0:c>
      <ns0:c r="L83" s="3">
        <ns0:f>ROUND(L283*L403,2)</ns0:f>
        <ns0:v>173.44</ns0:v>
      </ns0:c>
      <ns0:c r="M83" s="3">
        <ns0:f>ROUND(M283*M403,2)</ns0:f>
        <ns0:v>392.93</ns0:v>
      </ns0:c>
      <ns0:c r="N83" s="3">
        <ns0:f>ROUND(N283*N403,2)</ns0:f>
        <ns0:v>281.17</ns0:v>
      </ns0:c>
      <ns0:c r="O83" s="3">
        <ns0:f>SUM(C83:N83)</ns0:f>
        <ns0:v>2651.32</ns0:v>
      </ns0:c>
      <ns0:c r="P83" s="2" t="inlineStr">
        <ns0:is>
          <ns0:t>EXP3.023</ns0:t>
        </ns0:is>
      </ns0:c>
      <ns0:c r="Q83" s="2" t="inlineStr">
        <ns0:is>
          <ns0:t>演示占位-v1</ns0:t>
        </ns0:is>
      </ns0:c>
      <ns0:c r="R83" s="2" t="inlineStr">
        <ns0:is>
          <ns0:t>模拟权责发生制</ns0:t>
        </ns0:is>
      </ns0:c>
      <ns0:c r="S83" s="2" t="inlineStr">
        <ns0:is>
          <ns0:t>2027-01</ns0:t>
        </ns0:is>
      </ns0:c>
      <ns0:c r="T83" s="2" t="inlineStr">
        <ns0:is>
          <ns0:t>2027-06</ns0:t>
        </ns0:is>
      </ns0:c>
      <ns0:c r="U83" s="2" t="inlineStr">
        <ns0:is>
          <ns0:t>无</ns0:t>
        </ns0:is>
      </ns0:c>
      <ns0:c r="V83" s="2" t="inlineStr">
        <ns0:is>
          <ns0:t>无</ns0:t>
        </ns0:is>
      </ns0:c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 t="inlineStr">
        <ns0:is>
          <ns0:t>差旅补贴</ns0:t>
        </ns0:is>
      </ns0:c>
      <ns0:c r="C84" s="3">
        <ns0:f>ROUND(C284*C404,2)</ns0:f>
        <ns0:v>126.76</ns0:v>
      </ns0:c>
      <ns0:c r="D84" s="3">
        <ns0:f>ROUND(D284*D404,2)</ns0:f>
        <ns0:v>90.94</ns0:v>
      </ns0:c>
      <ns0:c r="E84" s="3">
        <ns0:f>ROUND(E284*E404,2)</ns0:f>
        <ns0:v>102.59</ns0:v>
      </ns0:c>
      <ns0:c r="F84" s="3">
        <ns0:f>ROUND(F284*F404,2)</ns0:f>
        <ns0:v>250.90</ns0:v>
      </ns0:c>
      <ns0:c r="G84" s="3">
        <ns0:f>ROUND(G284*G404,2)</ns0:f>
        <ns0:v>134.07</ns0:v>
      </ns0:c>
      <ns0:c r="H84" s="3">
        <ns0:f>ROUND(H284*H404,2)</ns0:f>
        <ns0:v>230.19</ns0:v>
      </ns0:c>
      <ns0:c r="I84" s="3">
        <ns0:f>ROUND(I284*I404,2)</ns0:f>
        <ns0:v>308.89</ns0:v>
      </ns0:c>
      <ns0:c r="J84" s="3">
        <ns0:f>ROUND(J284*J404,2)</ns0:f>
        <ns0:v>123.44</ns0:v>
      </ns0:c>
      <ns0:c r="K84" s="3">
        <ns0:f>ROUND(K284*K404,2)</ns0:f>
        <ns0:v>125.65</ns0:v>
      </ns0:c>
      <ns0:c r="L84" s="3">
        <ns0:f>ROUND(L284*L404,2)</ns0:f>
        <ns0:v>236.85</ns0:v>
      </ns0:c>
      <ns0:c r="M84" s="3">
        <ns0:f>ROUND(M284*M404,2)</ns0:f>
        <ns0:v>161.42</ns0:v>
      </ns0:c>
      <ns0:c r="N84" s="3">
        <ns0:f>ROUND(N284*N404,2)</ns0:f>
        <ns0:v>251.78</ns0:v>
      </ns0:c>
      <ns0:c r="O84" s="3">
        <ns0:f>SUM(C84:N84)</ns0:f>
        <ns0:v>2143.48</ns0:v>
      </ns0:c>
      <ns0:c r="P84" s="2" t="inlineStr">
        <ns0:is>
          <ns0:t>EXP3.024</ns0:t>
        </ns0:is>
      </ns0:c>
      <ns0:c r="Q84" s="2" t="inlineStr">
        <ns0:is>
          <ns0:t>演示占位-v1</ns0:t>
        </ns0:is>
      </ns0:c>
      <ns0:c r="R84" s="2" t="inlineStr">
        <ns0:is>
          <ns0:t>模拟权责发生制</ns0:t>
        </ns0:is>
      </ns0:c>
      <ns0:c r="S84" s="2" t="inlineStr">
        <ns0:is>
          <ns0:t>2027-01</ns0:t>
        </ns0:is>
      </ns0:c>
      <ns0:c r="T84" s="2" t="inlineStr">
        <ns0:is>
          <ns0:t>2027-06</ns0:t>
        </ns0:is>
      </ns0:c>
      <ns0:c r="U84" s="2" t="inlineStr">
        <ns0:is>
          <ns0:t>无</ns0:t>
        </ns0:is>
      </ns0:c>
      <ns0:c r="V84" s="2" t="inlineStr">
        <ns0:is>
          <ns0:t>无</ns0:t>
        </ns0:is>
      </ns0:c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 t="inlineStr">
        <ns0:is>
          <ns0:t>业务招待费</ns0:t>
        </ns0:is>
      </ns0:c>
      <ns0:c r="C85" s="3">
        <ns0:f>ROUND(C285*C405,2)</ns0:f>
        <ns0:v>90.02</ns0:v>
      </ns0:c>
      <ns0:c r="D85" s="3">
        <ns0:f>ROUND(D285*D405,2)</ns0:f>
        <ns0:v>400.17</ns0:v>
      </ns0:c>
      <ns0:c r="E85" s="3">
        <ns0:f>ROUND(E285*E405,2)</ns0:f>
        <ns0:v>266.60</ns0:v>
      </ns0:c>
      <ns0:c r="F85" s="3">
        <ns0:f>ROUND(F285*F405,2)</ns0:f>
        <ns0:v>185.46</ns0:v>
      </ns0:c>
      <ns0:c r="G85" s="3">
        <ns0:f>ROUND(G285*G405,2)</ns0:f>
        <ns0:v>81.42</ns0:v>
      </ns0:c>
      <ns0:c r="H85" s="3">
        <ns0:f>ROUND(H285*H405,2)</ns0:f>
        <ns0:v>105.94</ns0:v>
      </ns0:c>
      <ns0:c r="I85" s="3">
        <ns0:f>ROUND(I285*I405,2)</ns0:f>
        <ns0:v>176.93</ns0:v>
      </ns0:c>
      <ns0:c r="J85" s="3">
        <ns0:f>ROUND(J285*J405,2)</ns0:f>
        <ns0:v>158.68</ns0:v>
      </ns0:c>
      <ns0:c r="K85" s="3">
        <ns0:f>ROUND(K285*K405,2)</ns0:f>
        <ns0:v>229.62</ns0:v>
      </ns0:c>
      <ns0:c r="L85" s="3">
        <ns0:f>ROUND(L285*L405,2)</ns0:f>
        <ns0:v>427.74</ns0:v>
      </ns0:c>
      <ns0:c r="M85" s="3">
        <ns0:f>ROUND(M285*M405,2)</ns0:f>
        <ns0:v>131.78</ns0:v>
      </ns0:c>
      <ns0:c r="N85" s="3">
        <ns0:f>ROUND(N285*N405,2)</ns0:f>
        <ns0:v>334.13</ns0:v>
      </ns0:c>
      <ns0:c r="O85" s="3">
        <ns0:f>SUM(C85:N85)</ns0:f>
        <ns0:v>2588.49</ns0:v>
      </ns0:c>
      <ns0:c r="P85" s="2" t="inlineStr">
        <ns0:is>
          <ns0:t>EXP3.025</ns0:t>
        </ns0:is>
      </ns0:c>
      <ns0:c r="Q85" s="2" t="inlineStr">
        <ns0:is>
          <ns0:t>演示占位-v1</ns0:t>
        </ns0:is>
      </ns0:c>
      <ns0:c r="R85" s="2" t="inlineStr">
        <ns0:is>
          <ns0:t>模拟权责发生制</ns0:t>
        </ns0:is>
      </ns0:c>
      <ns0:c r="S85" s="2" t="inlineStr">
        <ns0:is>
          <ns0:t>2027-01</ns0:t>
        </ns0:is>
      </ns0:c>
      <ns0:c r="T85" s="2" t="inlineStr">
        <ns0:is>
          <ns0:t>2027-06</ns0:t>
        </ns0:is>
      </ns0:c>
      <ns0:c r="U85" s="2" t="inlineStr">
        <ns0:is>
          <ns0:t>无</ns0:t>
        </ns0:is>
      </ns0:c>
      <ns0:c r="V85" s="2" t="inlineStr">
        <ns0:is>
          <ns0:t>无</ns0:t>
        </ns0:is>
      </ns0:c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 t="inlineStr">
        <ns0:is>
          <ns0:t>市内交通费</ns0:t>
        </ns0:is>
      </ns0:c>
      <ns0:c r="C86" s="3">
        <ns0:f>ROUND(C286*C406,2)</ns0:f>
        <ns0:v>364.19</ns0:v>
      </ns0:c>
      <ns0:c r="D86" s="3">
        <ns0:f>ROUND(D286*D406,2)</ns0:f>
        <ns0:v>77.62</ns0:v>
      </ns0:c>
      <ns0:c r="E86" s="3">
        <ns0:f>ROUND(E286*E406,2)</ns0:f>
        <ns0:v>370.31</ns0:v>
      </ns0:c>
      <ns0:c r="F86" s="3">
        <ns0:f>ROUND(F286*F406,2)</ns0:f>
        <ns0:v>443.47</ns0:v>
      </ns0:c>
      <ns0:c r="G86" s="3">
        <ns0:f>ROUND(G286*G406,2)</ns0:f>
        <ns0:v>307.63</ns0:v>
      </ns0:c>
      <ns0:c r="H86" s="3">
        <ns0:f>ROUND(H286*H406,2)</ns0:f>
        <ns0:v>67.66</ns0:v>
      </ns0:c>
      <ns0:c r="I86" s="3">
        <ns0:f>ROUND(I286*I406,2)</ns0:f>
        <ns0:v>590.91</ns0:v>
      </ns0:c>
      <ns0:c r="J86" s="3">
        <ns0:f>ROUND(J286*J406,2)</ns0:f>
        <ns0:v>194.25</ns0:v>
      </ns0:c>
      <ns0:c r="K86" s="3">
        <ns0:f>ROUND(K286*K406,2)</ns0:f>
        <ns0:v>189.37</ns0:v>
      </ns0:c>
      <ns0:c r="L86" s="3">
        <ns0:f>ROUND(L286*L406,2)</ns0:f>
        <ns0:v>181.24</ns0:v>
      </ns0:c>
      <ns0:c r="M86" s="3">
        <ns0:f>ROUND(M286*M406,2)</ns0:f>
        <ns0:v>330.66</ns0:v>
      </ns0:c>
      <ns0:c r="N86" s="3">
        <ns0:f>ROUND(N286*N406,2)</ns0:f>
        <ns0:v>133.62</ns0:v>
      </ns0:c>
      <ns0:c r="O86" s="3">
        <ns0:f>SUM(C86:N86)</ns0:f>
        <ns0:v>3250.93</ns0:v>
      </ns0:c>
      <ns0:c r="P86" s="2" t="inlineStr">
        <ns0:is>
          <ns0:t>EXP3.026</ns0:t>
        </ns0:is>
      </ns0:c>
      <ns0:c r="Q86" s="2" t="inlineStr">
        <ns0:is>
          <ns0:t>演示占位-v1</ns0:t>
        </ns0:is>
      </ns0:c>
      <ns0:c r="R86" s="2" t="inlineStr">
        <ns0:is>
          <ns0:t>模拟权责发生制</ns0:t>
        </ns0:is>
      </ns0:c>
      <ns0:c r="S86" s="2" t="inlineStr">
        <ns0:is>
          <ns0:t>2027-01</ns0:t>
        </ns0:is>
      </ns0:c>
      <ns0:c r="T86" s="2" t="inlineStr">
        <ns0:is>
          <ns0:t>2027-06</ns0:t>
        </ns0:is>
      </ns0:c>
      <ns0:c r="U86" s="2" t="inlineStr">
        <ns0:is>
          <ns0:t>无</ns0:t>
        </ns0:is>
      </ns0:c>
      <ns0:c r="V86" s="2" t="inlineStr">
        <ns0:is>
          <ns0:t>无</ns0:t>
        </ns0:is>
      </ns0:c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 t="inlineStr">
        <ns0:is>
          <ns0:t>调研费用</ns0:t>
        </ns0:is>
      </ns0:c>
      <ns0:c r="C87" s="3">
        <ns0:f>ROUND(C287*C407,2)</ns0:f>
        <ns0:v>248.47</ns0:v>
      </ns0:c>
      <ns0:c r="D87" s="3">
        <ns0:f>ROUND(D287*D407,2)</ns0:f>
        <ns0:v>369.49</ns0:v>
      </ns0:c>
      <ns0:c r="E87" s="3">
        <ns0:f>ROUND(E287*E407,2)</ns0:f>
        <ns0:v>210.96</ns0:v>
      </ns0:c>
      <ns0:c r="F87" s="3">
        <ns0:f>ROUND(F287*F407,2)</ns0:f>
        <ns0:v>327.93</ns0:v>
      </ns0:c>
      <ns0:c r="G87" s="3">
        <ns0:f>ROUND(G287*G407,2)</ns0:f>
        <ns0:v>101.20</ns0:v>
      </ns0:c>
      <ns0:c r="H87" s="3">
        <ns0:f>ROUND(H287*H407,2)</ns0:f>
        <ns0:v>154.17</ns0:v>
      </ns0:c>
      <ns0:c r="I87" s="3">
        <ns0:f>ROUND(I287*I407,2)</ns0:f>
        <ns0:v>140.05</ns0:v>
      </ns0:c>
      <ns0:c r="J87" s="3">
        <ns0:f>ROUND(J287*J407,2)</ns0:f>
        <ns0:v>379.94</ns0:v>
      </ns0:c>
      <ns0:c r="K87" s="3">
        <ns0:f>ROUND(K287*K407,2)</ns0:f>
        <ns0:v>274.80</ns0:v>
      </ns0:c>
      <ns0:c r="L87" s="3">
        <ns0:f>ROUND(L287*L407,2)</ns0:f>
        <ns0:v>71.02</ns0:v>
      </ns0:c>
      <ns0:c r="M87" s="3">
        <ns0:f>ROUND(M287*M407,2)</ns0:f>
        <ns0:v>177.02</ns0:v>
      </ns0:c>
      <ns0:c r="N87" s="3">
        <ns0:f>ROUND(N287*N407,2)</ns0:f>
        <ns0:v>330.19</ns0:v>
      </ns0:c>
      <ns0:c r="O87" s="3">
        <ns0:f>SUM(C87:N87)</ns0:f>
        <ns0:v>2785.24</ns0:v>
      </ns0:c>
      <ns0:c r="P87" s="2" t="inlineStr">
        <ns0:is>
          <ns0:t>EXP3.027</ns0:t>
        </ns0:is>
      </ns0:c>
      <ns0:c r="Q87" s="2" t="inlineStr">
        <ns0:is>
          <ns0:t>演示占位-v1</ns0:t>
        </ns0:is>
      </ns0:c>
      <ns0:c r="R87" s="2" t="inlineStr">
        <ns0:is>
          <ns0:t>模拟权责发生制</ns0:t>
        </ns0:is>
      </ns0:c>
      <ns0:c r="S87" s="2" t="inlineStr">
        <ns0:is>
          <ns0:t>2027-01</ns0:t>
        </ns0:is>
      </ns0:c>
      <ns0:c r="T87" s="2" t="inlineStr">
        <ns0:is>
          <ns0:t>2027-06</ns0:t>
        </ns0:is>
      </ns0:c>
      <ns0:c r="U87" s="2" t="inlineStr">
        <ns0:is>
          <ns0:t>无</ns0:t>
        </ns0:is>
      </ns0:c>
      <ns0:c r="V87" s="2" t="inlineStr">
        <ns0:is>
          <ns0:t>无</ns0:t>
        </ns0:is>
      </ns0:c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 t="inlineStr">
        <ns0:is>
          <ns0:t>手续费</ns0:t>
        </ns0:is>
      </ns0:c>
      <ns0:c r="C88" s="3">
        <ns0:f>ROUND(C288*C408,2)</ns0:f>
        <ns0:v>156.29</ns0:v>
      </ns0:c>
      <ns0:c r="D88" s="3">
        <ns0:f>ROUND(D288*D408,2)</ns0:f>
        <ns0:v>214.46</ns0:v>
      </ns0:c>
      <ns0:c r="E88" s="3">
        <ns0:f>ROUND(E288*E408,2)</ns0:f>
        <ns0:v>404.11</ns0:v>
      </ns0:c>
      <ns0:c r="F88" s="3">
        <ns0:f>ROUND(F288*F408,2)</ns0:f>
        <ns0:v>210.43</ns0:v>
      </ns0:c>
      <ns0:c r="G88" s="3">
        <ns0:f>ROUND(G288*G408,2)</ns0:f>
        <ns0:v>234.25</ns0:v>
      </ns0:c>
      <ns0:c r="H88" s="3">
        <ns0:f>ROUND(H288*H408,2)</ns0:f>
        <ns0:v>170.03</ns0:v>
      </ns0:c>
      <ns0:c r="I88" s="3">
        <ns0:f>ROUND(I288*I408,2)</ns0:f>
        <ns0:v>452.96</ns0:v>
      </ns0:c>
      <ns0:c r="J88" s="3">
        <ns0:f>ROUND(J288*J408,2)</ns0:f>
        <ns0:v>259.85</ns0:v>
      </ns0:c>
      <ns0:c r="K88" s="3">
        <ns0:f>ROUND(K288*K408,2)</ns0:f>
        <ns0:v>96.85</ns0:v>
      </ns0:c>
      <ns0:c r="L88" s="3">
        <ns0:f>ROUND(L288*L408,2)</ns0:f>
        <ns0:v>79.65</ns0:v>
      </ns0:c>
      <ns0:c r="M88" s="3">
        <ns0:f>ROUND(M288*M408,2)</ns0:f>
        <ns0:v>196.42</ns0:v>
      </ns0:c>
      <ns0:c r="N88" s="3">
        <ns0:f>ROUND(N288*N408,2)</ns0:f>
        <ns0:v>359.67</ns0:v>
      </ns0:c>
      <ns0:c r="O88" s="3">
        <ns0:f>SUM(C88:N88)</ns0:f>
        <ns0:v>2834.97</ns0:v>
      </ns0:c>
      <ns0:c r="P88" s="2" t="inlineStr">
        <ns0:is>
          <ns0:t>EXP3.028</ns0:t>
        </ns0:is>
      </ns0:c>
      <ns0:c r="Q88" s="2" t="inlineStr">
        <ns0:is>
          <ns0:t>演示占位-v1</ns0:t>
        </ns0:is>
      </ns0:c>
      <ns0:c r="R88" s="2" t="inlineStr">
        <ns0:is>
          <ns0:t>模拟权责发生制</ns0:t>
        </ns0:is>
      </ns0:c>
      <ns0:c r="S88" s="2" t="inlineStr">
        <ns0:is>
          <ns0:t>2027-01</ns0:t>
        </ns0:is>
      </ns0:c>
      <ns0:c r="T88" s="2" t="inlineStr">
        <ns0:is>
          <ns0:t>2027-06</ns0:t>
        </ns0:is>
      </ns0:c>
      <ns0:c r="U88" s="2" t="inlineStr">
        <ns0:is>
          <ns0:t>无</ns0:t>
        </ns0:is>
      </ns0:c>
      <ns0:c r="V88" s="2" t="inlineStr">
        <ns0:is>
          <ns0:t>无</ns0:t>
        </ns0:is>
      </ns0:c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 t="inlineStr">
        <ns0:is>
          <ns0:t>利息收入</ns0:t>
        </ns0:is>
      </ns0:c>
      <ns0:c r="C89" s="3">
        <ns0:f>0</ns0:f>
        <ns0:v>0</ns0:v>
      </ns0:c>
      <ns0:c r="D89" s="3">
        <ns0:f>0</ns0:f>
        <ns0:v>0</ns0:v>
      </ns0:c>
      <ns0:c r="E89" s="3">
        <ns0:f>0</ns0:f>
        <ns0:v>0</ns0:v>
      </ns0:c>
      <ns0:c r="F89" s="3">
        <ns0:f>0</ns0:f>
        <ns0:v>0</ns0:v>
      </ns0:c>
      <ns0:c r="G89" s="3">
        <ns0:f>0</ns0:f>
        <ns0:v>0</ns0:v>
      </ns0:c>
      <ns0:c r="H89" s="3">
        <ns0:f>0</ns0:f>
        <ns0:v>0</ns0:v>
      </ns0:c>
      <ns0:c r="I89" s="3">
        <ns0:f>0</ns0:f>
        <ns0:v>0</ns0:v>
      </ns0:c>
      <ns0:c r="J89" s="3">
        <ns0:f>0</ns0:f>
        <ns0:v>0</ns0:v>
      </ns0:c>
      <ns0:c r="K89" s="3">
        <ns0:f>0</ns0:f>
        <ns0:v>0</ns0:v>
      </ns0:c>
      <ns0:c r="L89" s="3">
        <ns0:f>0</ns0:f>
        <ns0:v>0</ns0:v>
      </ns0:c>
      <ns0:c r="M89" s="3">
        <ns0:f>0</ns0:f>
        <ns0:v>0</ns0:v>
      </ns0:c>
      <ns0:c r="N89" s="3">
        <ns0:f>0</ns0:f>
        <ns0:v>0</ns0:v>
      </ns0:c>
      <ns0:c r="O89" s="3">
        <ns0:f>SUM(C89:N89)</ns0:f>
        <ns0:v>0</ns0:v>
      </ns0:c>
      <ns0:c r="P89" s="2" t="inlineStr">
        <ns0:is>
          <ns0:t>EXP3.029</ns0:t>
        </ns0:is>
      </ns0:c>
      <ns0:c r="Q89" s="2" t="inlineStr">
        <ns0:is>
          <ns0:t>演示占位-v1</ns0:t>
        </ns0:is>
      </ns0:c>
      <ns0:c r="R89" s="2" t="inlineStr">
        <ns0:is>
          <ns0:t>模拟权责发生制</ns0:t>
        </ns0:is>
      </ns0:c>
      <ns0:c r="S89" s="2" t="inlineStr">
        <ns0:is>
          <ns0:t>2027-01</ns0:t>
        </ns0:is>
      </ns0:c>
      <ns0:c r="T89" s="2" t="inlineStr">
        <ns0:is>
          <ns0:t>2027-06</ns0:t>
        </ns0:is>
      </ns0:c>
      <ns0:c r="U89" s="2" t="inlineStr">
        <ns0:is>
          <ns0:t>无</ns0:t>
        </ns0:is>
      </ns0:c>
      <ns0:c r="V89" s="2" t="inlineStr">
        <ns0:is>
          <ns0:t>无</ns0:t>
        </ns0:is>
      </ns0:c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 t="inlineStr">
        <ns0:is>
          <ns0:t>利息支出</ns0:t>
        </ns0:is>
      </ns0:c>
      <ns0:c r="C90" s="6">
        <ns0:f>ROUND(C290*C410,2)</ns0:f>
        <ns0:v>139.99</ns0:v>
      </ns0:c>
      <ns0:c r="D90" s="6">
        <ns0:f>ROUND(D290*D410,2)</ns0:f>
        <ns0:v>148.53</ns0:v>
      </ns0:c>
      <ns0:c r="E90" s="6">
        <ns0:f>ROUND(E290*E410,2)</ns0:f>
        <ns0:v>181.59</ns0:v>
      </ns0:c>
      <ns0:c r="F90" s="6">
        <ns0:f>ROUND(F290*F410,2)</ns0:f>
        <ns0:v>387.16</ns0:v>
      </ns0:c>
      <ns0:c r="G90" s="6">
        <ns0:f>ROUND(G290*G410,2)</ns0:f>
        <ns0:v>180.23</ns0:v>
      </ns0:c>
      <ns0:c r="H90" s="6">
        <ns0:f>ROUND(H290*H410,2)</ns0:f>
        <ns0:v>43.33</ns0:v>
      </ns0:c>
      <ns0:c r="I90" s="6">
        <ns0:f>ROUND(I290*I410,2)</ns0:f>
        <ns0:v>290.35</ns0:v>
      </ns0:c>
      <ns0:c r="J90" s="6">
        <ns0:f>ROUND(J290*J410,2)</ns0:f>
        <ns0:v>50.93</ns0:v>
      </ns0:c>
      <ns0:c r="K90" s="6">
        <ns0:f>ROUND(K290*K410,2)</ns0:f>
        <ns0:v>346.52</ns0:v>
      </ns0:c>
      <ns0:c r="L90" s="6">
        <ns0:f>ROUND(L290*L410,2)</ns0:f>
        <ns0:v>191.99</ns0:v>
      </ns0:c>
      <ns0:c r="M90" s="6">
        <ns0:f>ROUND(M290*M410,2)</ns0:f>
        <ns0:v>123.25</ns0:v>
      </ns0:c>
      <ns0:c r="N90" s="6">
        <ns0:f>ROUND(N290*N410,2)</ns0:f>
        <ns0:v>123.00</ns0:v>
      </ns0:c>
      <ns0:c r="O90" s="6">
        <ns0:f>SUM(C90:N90)</ns0:f>
        <ns0:v>2206.87</ns0:v>
      </ns0:c>
      <ns0:c r="P90" s="2" t="inlineStr">
        <ns0:is>
          <ns0:t>EXP3.030</ns0:t>
        </ns0:is>
      </ns0:c>
      <ns0:c r="Q90" s="2" t="inlineStr">
        <ns0:is>
          <ns0:t>演示占位-v1</ns0:t>
        </ns0:is>
      </ns0:c>
      <ns0:c r="R90" s="2" t="inlineStr">
        <ns0:is>
          <ns0:t>模拟权责发生制</ns0:t>
        </ns0:is>
      </ns0:c>
      <ns0:c r="S90" s="2" t="inlineStr">
        <ns0:is>
          <ns0:t>2027-01</ns0:t>
        </ns0:is>
      </ns0:c>
      <ns0:c r="T90" s="2" t="inlineStr">
        <ns0:is>
          <ns0:t>2027-06</ns0:t>
        </ns0:is>
      </ns0:c>
      <ns0:c r="U90" s="2" t="inlineStr">
        <ns0:is>
          <ns0:t>无</ns0:t>
        </ns0:is>
      </ns0:c>
      <ns0:c r="V90" s="2" t="inlineStr">
        <ns0:is>
          <ns0:t>无</ns0:t>
        </ns0:is>
      </ns0:c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 t="inlineStr">
        <ns0:is>
          <ns0:t>车船税</ns0:t>
        </ns0:is>
      </ns0:c>
      <ns0:c r="C91" s="3">
        <ns0:f>ROUND(C291*C411,2)</ns0:f>
        <ns0:v>599.67</ns0:v>
      </ns0:c>
      <ns0:c r="D91" s="3">
        <ns0:f>ROUND(D291*D411,2)</ns0:f>
        <ns0:v>74.65</ns0:v>
      </ns0:c>
      <ns0:c r="E91" s="3">
        <ns0:f>ROUND(E291*E411,2)</ns0:f>
        <ns0:v>103.99</ns0:v>
      </ns0:c>
      <ns0:c r="F91" s="3">
        <ns0:f>ROUND(F291*F411,2)</ns0:f>
        <ns0:v>174.59</ns0:v>
      </ns0:c>
      <ns0:c r="G91" s="3">
        <ns0:f>ROUND(G291*G411,2)</ns0:f>
        <ns0:v>103.79</ns0:v>
      </ns0:c>
      <ns0:c r="H91" s="3">
        <ns0:f>ROUND(H291*H411,2)</ns0:f>
        <ns0:v>193.91</ns0:v>
      </ns0:c>
      <ns0:c r="I91" s="3">
        <ns0:f>ROUND(I291*I411,2)</ns0:f>
        <ns0:v>143.90</ns0:v>
      </ns0:c>
      <ns0:c r="J91" s="3">
        <ns0:f>ROUND(J291*J411,2)</ns0:f>
        <ns0:v>119.34</ns0:v>
      </ns0:c>
      <ns0:c r="K91" s="3">
        <ns0:f>ROUND(K291*K411,2)</ns0:f>
        <ns0:v>90.49</ns0:v>
      </ns0:c>
      <ns0:c r="L91" s="3">
        <ns0:f>ROUND(L291*L411,2)</ns0:f>
        <ns0:v>72.78</ns0:v>
      </ns0:c>
      <ns0:c r="M91" s="3">
        <ns0:f>ROUND(M291*M411,2)</ns0:f>
        <ns0:v>169.11</ns0:v>
      </ns0:c>
      <ns0:c r="N91" s="3">
        <ns0:f>ROUND(N291*N411,2)</ns0:f>
        <ns0:v>85.38</ns0:v>
      </ns0:c>
      <ns0:c r="O91" s="3">
        <ns0:f>SUM(C91:N91)</ns0:f>
        <ns0:v>1931.60</ns0:v>
      </ns0:c>
      <ns0:c r="P91" s="2" t="inlineStr">
        <ns0:is>
          <ns0:t>EXP3.031</ns0:t>
        </ns0:is>
      </ns0:c>
      <ns0:c r="Q91" s="2" t="inlineStr">
        <ns0:is>
          <ns0:t>演示占位-v1</ns0:t>
        </ns0:is>
      </ns0:c>
      <ns0:c r="R91" s="2" t="inlineStr">
        <ns0:is>
          <ns0:t>模拟权责发生制</ns0:t>
        </ns0:is>
      </ns0:c>
      <ns0:c r="S91" s="2" t="inlineStr">
        <ns0:is>
          <ns0:t>2027-01</ns0:t>
        </ns0:is>
      </ns0:c>
      <ns0:c r="T91" s="2" t="inlineStr">
        <ns0:is>
          <ns0:t>2027-06</ns0:t>
        </ns0:is>
      </ns0:c>
      <ns0:c r="U91" s="2" t="inlineStr">
        <ns0:is>
          <ns0:t>无</ns0:t>
        </ns0:is>
      </ns0:c>
      <ns0:c r="V91" s="2" t="inlineStr">
        <ns0:is>
          <ns0:t>无</ns0:t>
        </ns0:is>
      </ns0:c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 t="inlineStr">
        <ns0:is>
          <ns0:t>印花税</ns0:t>
        </ns0:is>
      </ns0:c>
      <ns0:c r="C92" s="3">
        <ns0:f>ROUND(C292*C412,2)</ns0:f>
        <ns0:v>124.88</ns0:v>
      </ns0:c>
      <ns0:c r="D92" s="3">
        <ns0:f>ROUND(D292*D412,2)</ns0:f>
        <ns0:v>353.80</ns0:v>
      </ns0:c>
      <ns0:c r="E92" s="3">
        <ns0:f>ROUND(E292*E412,2)</ns0:f>
        <ns0:v>111.66</ns0:v>
      </ns0:c>
      <ns0:c r="F92" s="3">
        <ns0:f>ROUND(F292*F412,2)</ns0:f>
        <ns0:v>211.44</ns0:v>
      </ns0:c>
      <ns0:c r="G92" s="3">
        <ns0:f>ROUND(G292*G412,2)</ns0:f>
        <ns0:v>379.14</ns0:v>
      </ns0:c>
      <ns0:c r="H92" s="3">
        <ns0:f>ROUND(H292*H412,2)</ns0:f>
        <ns0:v>179.72</ns0:v>
      </ns0:c>
      <ns0:c r="I92" s="3">
        <ns0:f>ROUND(I292*I412,2)</ns0:f>
        <ns0:v>42.71</ns0:v>
      </ns0:c>
      <ns0:c r="J92" s="3">
        <ns0:f>ROUND(J292*J412,2)</ns0:f>
        <ns0:v>377.54</ns0:v>
      </ns0:c>
      <ns0:c r="K92" s="3">
        <ns0:f>ROUND(K292*K412,2)</ns0:f>
        <ns0:v>158.09</ns0:v>
      </ns0:c>
      <ns0:c r="L92" s="3">
        <ns0:f>ROUND(L292*L412,2)</ns0:f>
        <ns0:v>594.95</ns0:v>
      </ns0:c>
      <ns0:c r="M92" s="3">
        <ns0:f>ROUND(M292*M412,2)</ns0:f>
        <ns0:v>124.74</ns0:v>
      </ns0:c>
      <ns0:c r="N92" s="3">
        <ns0:f>ROUND(N292*N412,2)</ns0:f>
        <ns0:v>207.63</ns0:v>
      </ns0:c>
      <ns0:c r="O92" s="3">
        <ns0:f>SUM(C92:N92)</ns0:f>
        <ns0:v>2866.30</ns0:v>
      </ns0:c>
      <ns0:c r="P92" s="2" t="inlineStr">
        <ns0:is>
          <ns0:t>EXP3.032</ns0:t>
        </ns0:is>
      </ns0:c>
      <ns0:c r="Q92" s="2" t="inlineStr">
        <ns0:is>
          <ns0:t>演示占位-v1</ns0:t>
        </ns0:is>
      </ns0:c>
      <ns0:c r="R92" s="2" t="inlineStr">
        <ns0:is>
          <ns0:t>模拟权责发生制</ns0:t>
        </ns0:is>
      </ns0:c>
      <ns0:c r="S92" s="2" t="inlineStr">
        <ns0:is>
          <ns0:t>2027-01</ns0:t>
        </ns0:is>
      </ns0:c>
      <ns0:c r="T92" s="2" t="inlineStr">
        <ns0:is>
          <ns0:t>2027-06</ns0:t>
        </ns0:is>
      </ns0:c>
      <ns0:c r="U92" s="2" t="inlineStr">
        <ns0:is>
          <ns0:t>无</ns0:t>
        </ns0:is>
      </ns0:c>
      <ns0:c r="V92" s="2" t="inlineStr">
        <ns0:is>
          <ns0:t>无</ns0:t>
        </ns0:is>
      </ns0:c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 t="inlineStr">
        <ns0:is>
          <ns0:t>其他</ns0:t>
        </ns0:is>
      </ns0:c>
      <ns0:c r="C93" s="3">
        <ns0:f>ROUND(C293*C413,2)</ns0:f>
        <ns0:v>122.95</ns0:v>
      </ns0:c>
      <ns0:c r="D93" s="3">
        <ns0:f>ROUND(D293*D413,2)</ns0:f>
        <ns0:v>191.81</ns0:v>
      </ns0:c>
      <ns0:c r="E93" s="3">
        <ns0:f>ROUND(E293*E413,2)</ns0:f>
        <ns0:v>317.04</ns0:v>
      </ns0:c>
      <ns0:c r="F93" s="3">
        <ns0:f>ROUND(F293*F413,2)</ns0:f>
        <ns0:v>148.25</ns0:v>
      </ns0:c>
      <ns0:c r="G93" s="3">
        <ns0:f>ROUND(G293*G413,2)</ns0:f>
        <ns0:v>264.51</ns0:v>
      </ns0:c>
      <ns0:c r="H93" s="3">
        <ns0:f>ROUND(H293*H413,2)</ns0:f>
        <ns0:v>82.11</ns0:v>
      </ns0:c>
      <ns0:c r="I93" s="3">
        <ns0:f>ROUND(I293*I413,2)</ns0:f>
        <ns0:v>72.14</ns0:v>
      </ns0:c>
      <ns0:c r="J93" s="3">
        <ns0:f>ROUND(J293*J413,2)</ns0:f>
        <ns0:v>122.56</ns0:v>
      </ns0:c>
      <ns0:c r="K93" s="3">
        <ns0:f>ROUND(K293*K413,2)</ns0:f>
        <ns0:v>195.89</ns0:v>
      </ns0:c>
      <ns0:c r="L93" s="3">
        <ns0:f>ROUND(L293*L413,2)</ns0:f>
        <ns0:v>232.57</ns0:v>
      </ns0:c>
      <ns0:c r="M93" s="3">
        <ns0:f>ROUND(M293*M413,2)</ns0:f>
        <ns0:v>136.19</ns0:v>
      </ns0:c>
      <ns0:c r="N93" s="3">
        <ns0:f>ROUND(N293*N413,2)</ns0:f>
        <ns0:v>529.89</ns0:v>
      </ns0:c>
      <ns0:c r="O93" s="3">
        <ns0:f>SUM(C93:N93)</ns0:f>
        <ns0:v>2415.91</ns0:v>
      </ns0:c>
      <ns0:c r="P93" s="2" t="inlineStr">
        <ns0:is>
          <ns0:t>EXP3.033</ns0:t>
        </ns0:is>
      </ns0:c>
      <ns0:c r="Q93" s="2" t="inlineStr">
        <ns0:is>
          <ns0:t>演示占位-v1</ns0:t>
        </ns0:is>
      </ns0:c>
      <ns0:c r="R93" s="2" t="inlineStr">
        <ns0:is>
          <ns0:t>模拟权责发生制</ns0:t>
        </ns0:is>
      </ns0:c>
      <ns0:c r="S93" s="2" t="inlineStr">
        <ns0:is>
          <ns0:t>2027-01</ns0:t>
        </ns0:is>
      </ns0:c>
      <ns0:c r="T93" s="2" t="inlineStr">
        <ns0:is>
          <ns0:t>2027-06</ns0:t>
        </ns0:is>
      </ns0:c>
      <ns0:c r="U93" s="2" t="inlineStr">
        <ns0:is>
          <ns0:t>无</ns0:t>
        </ns0:is>
      </ns0:c>
      <ns0:c r="V93" s="2" t="inlineStr">
        <ns0:is>
          <ns0:t>无</ns0:t>
        </ns0:is>
      </ns0:c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 t="inlineStr">
        <ns0:is>
          <ns0:t>合计</ns0:t>
        </ns0:is>
      </ns0:c>
      <ns0:c r="B94" s="2"/>
      <ns0:c r="C94" s="3">
        <ns0:f>SUM(C64:C93)</ns0:f>
        <ns0:v>6877.17</ns0:v>
      </ns0:c>
      <ns0:c r="D94" s="3">
        <ns0:f>SUM(D64:D93)</ns0:f>
        <ns0:v>6292.70</ns0:v>
      </ns0:c>
      <ns0:c r="E94" s="3">
        <ns0:f>SUM(E64:E93)</ns0:f>
        <ns0:v>6966.32</ns0:v>
      </ns0:c>
      <ns0:c r="F94" s="3">
        <ns0:f>SUM(F64:F93)</ns0:f>
        <ns0:v>7680.94</ns0:v>
      </ns0:c>
      <ns0:c r="G94" s="3">
        <ns0:f>SUM(G64:G93)</ns0:f>
        <ns0:v>7047.85</ns0:v>
      </ns0:c>
      <ns0:c r="H94" s="3">
        <ns0:f>SUM(H64:H93)</ns0:f>
        <ns0:v>6967.72</ns0:v>
      </ns0:c>
      <ns0:c r="I94" s="3">
        <ns0:f>SUM(I64:I93)</ns0:f>
        <ns0:v>7347.73</ns0:v>
      </ns0:c>
      <ns0:c r="J94" s="3">
        <ns0:f>SUM(J64:J93)</ns0:f>
        <ns0:v>6043.67</ns0:v>
      </ns0:c>
      <ns0:c r="K94" s="3">
        <ns0:f>SUM(K64:K93)</ns0:f>
        <ns0:v>6976.51</ns0:v>
      </ns0:c>
      <ns0:c r="L94" s="3">
        <ns0:f>SUM(L64:L93)</ns0:f>
        <ns0:v>7125.01</ns0:v>
      </ns0:c>
      <ns0:c r="M94" s="3">
        <ns0:f>SUM(M64:M93)</ns0:f>
        <ns0:v>7163.88</ns0:v>
      </ns0:c>
      <ns0:c r="N94" s="3">
        <ns0:f>SUM(N64:N93)</ns0:f>
        <ns0:v>6868.40</ns0:v>
      </ns0:c>
      <ns0:c r="O94" s="3">
        <ns0:f>SUM(C94:N94)</ns0:f>
        <ns0:v>83357.90</ns0:v>
      </ns0:c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 t="inlineStr">
        <ns0:is>
          <ns0:t>工资单价</ns0:t>
        </ns0:is>
      </ns0:c>
      <ns0:c r="C204" s="4">
        <ns0:v>47.63</ns0:v>
      </ns0:c>
      <ns0:c r="D204" s="4">
        <ns0:v>20.95</ns0:v>
      </ns0:c>
      <ns0:c r="E204" s="4">
        <ns0:v>24.65</ns0:v>
      </ns0:c>
      <ns0:c r="F204" s="4">
        <ns0:v>36.92</ns0:v>
      </ns0:c>
      <ns0:c r="G204" s="4">
        <ns0:v>16.77</ns0:v>
      </ns0:c>
      <ns0:c r="H204" s="4">
        <ns0:v>55.23</ns0:v>
      </ns0:c>
      <ns0:c r="I204" s="4">
        <ns0:v>55.32</ns0:v>
      </ns0:c>
      <ns0:c r="J204" s="4">
        <ns0:v>48.54</ns0:v>
      </ns0:c>
      <ns0:c r="K204" s="4">
        <ns0:v>49.27</ns0:v>
      </ns0:c>
      <ns0:c r="L204" s="4">
        <ns0:v>43.83</ns0:v>
      </ns0:c>
      <ns0:c r="M204" s="4">
        <ns0:v>47.48</ns0:v>
      </ns0:c>
      <ns0:c r="N204" s="4">
        <ns0:v>26.41</ns0:v>
      </ns0:c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 t="inlineStr">
        <ns0:is>
          <ns0:t>十三薪单价</ns0:t>
        </ns0:is>
      </ns0:c>
      <ns0:c r="C205" s="4">
        <ns0:v>55.14</ns0:v>
      </ns0:c>
      <ns0:c r="D205" s="4">
        <ns0:v>26.54</ns0:v>
      </ns0:c>
      <ns0:c r="E205" s="4">
        <ns0:v>42.09</ns0:v>
      </ns0:c>
      <ns0:c r="F205" s="4">
        <ns0:v>28.45</ns0:v>
      </ns0:c>
      <ns0:c r="G205" s="4">
        <ns0:v>55.78</ns0:v>
      </ns0:c>
      <ns0:c r="H205" s="4">
        <ns0:v>35.84</ns0:v>
      </ns0:c>
      <ns0:c r="I205" s="4">
        <ns0:v>42.39</ns0:v>
      </ns0:c>
      <ns0:c r="J205" s="4">
        <ns0:v>64.32</ns0:v>
      </ns0:c>
      <ns0:c r="K205" s="4">
        <ns0:v>53.21</ns0:v>
      </ns0:c>
      <ns0:c r="L205" s="4">
        <ns0:v>19.73</ns0:v>
      </ns0:c>
      <ns0:c r="M205" s="4">
        <ns0:v>47.40</ns0:v>
      </ns0:c>
      <ns0:c r="N205" s="4">
        <ns0:v>38.06</ns0:v>
      </ns0:c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 t="inlineStr">
        <ns0:is>
          <ns0:t>离职补偿金单价</ns0:t>
        </ns0:is>
      </ns0:c>
      <ns0:c r="C206" s="4">
        <ns0:v>31.58</ns0:v>
      </ns0:c>
      <ns0:c r="D206" s="4">
        <ns0:v>21.20</ns0:v>
      </ns0:c>
      <ns0:c r="E206" s="4">
        <ns0:v>39.76</ns0:v>
      </ns0:c>
      <ns0:c r="F206" s="4">
        <ns0:v>46.36</ns0:v>
      </ns0:c>
      <ns0:c r="G206" s="4">
        <ns0:v>45.67</ns0:v>
      </ns0:c>
      <ns0:c r="H206" s="4">
        <ns0:v>27.72</ns0:v>
      </ns0:c>
      <ns0:c r="I206" s="4">
        <ns0:v>56.65</ns0:v>
      </ns0:c>
      <ns0:c r="J206" s="4">
        <ns0:v>24.69</ns0:v>
      </ns0:c>
      <ns0:c r="K206" s="4">
        <ns0:v>53.55</ns0:v>
      </ns0:c>
      <ns0:c r="L206" s="4">
        <ns0:v>31.19</ns0:v>
      </ns0:c>
      <ns0:c r="M206" s="4">
        <ns0:v>43.06</ns0:v>
      </ns0:c>
      <ns0:c r="N206" s="4">
        <ns0:v>53.25</ns0:v>
      </ns0:c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 t="inlineStr">
        <ns0:is>
          <ns0:t>五险一金单价</ns0:t>
        </ns0:is>
      </ns0:c>
      <ns0:c r="C207" s="4">
        <ns0:v>49.08</ns0:v>
      </ns0:c>
      <ns0:c r="D207" s="4">
        <ns0:v>56.62</ns0:v>
      </ns0:c>
      <ns0:c r="E207" s="4">
        <ns0:v>51.61</ns0:v>
      </ns0:c>
      <ns0:c r="F207" s="4">
        <ns0:v>61.51</ns0:v>
      </ns0:c>
      <ns0:c r="G207" s="4">
        <ns0:v>60.61</ns0:v>
      </ns0:c>
      <ns0:c r="H207" s="4">
        <ns0:v>53.94</ns0:v>
      </ns0:c>
      <ns0:c r="I207" s="4">
        <ns0:v>27.76</ns0:v>
      </ns0:c>
      <ns0:c r="J207" s="4">
        <ns0:v>47.29</ns0:v>
      </ns0:c>
      <ns0:c r="K207" s="4">
        <ns0:v>36.11</ns0:v>
      </ns0:c>
      <ns0:c r="L207" s="4">
        <ns0:v>19.90</ns0:v>
      </ns0:c>
      <ns0:c r="M207" s="4">
        <ns0:v>19.97</ns0:v>
      </ns0:c>
      <ns0:c r="N207" s="4">
        <ns0:v>22.08</ns0:v>
      </ns0:c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 t="inlineStr">
        <ns0:is>
          <ns0:t>福利费单价</ns0:t>
        </ns0:is>
      </ns0:c>
      <ns0:c r="C208" s="4">
        <ns0:v>40.68</ns0:v>
      </ns0:c>
      <ns0:c r="D208" s="4">
        <ns0:v>46.67</ns0:v>
      </ns0:c>
      <ns0:c r="E208" s="4">
        <ns0:v>20.96</ns0:v>
      </ns0:c>
      <ns0:c r="F208" s="4">
        <ns0:v>61.48</ns0:v>
      </ns0:c>
      <ns0:c r="G208" s="4">
        <ns0:v>50.95</ns0:v>
      </ns0:c>
      <ns0:c r="H208" s="4">
        <ns0:v>38.69</ns0:v>
      </ns0:c>
      <ns0:c r="I208" s="4">
        <ns0:v>57.64</ns0:v>
      </ns0:c>
      <ns0:c r="J208" s="4">
        <ns0:v>64.67</ns0:v>
      </ns0:c>
      <ns0:c r="K208" s="4">
        <ns0:v>29.15</ns0:v>
      </ns0:c>
      <ns0:c r="L208" s="4">
        <ns0:v>34.83</ns0:v>
      </ns0:c>
      <ns0:c r="M208" s="4">
        <ns0:v>30.88</ns0:v>
      </ns0:c>
      <ns0:c r="N208" s="4">
        <ns0:v>71.95</ns0:v>
      </ns0:c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 t="inlineStr">
        <ns0:is>
          <ns0:t>招聘费单价</ns0:t>
        </ns0:is>
      </ns0:c>
      <ns0:c r="C209" s="4">
        <ns0:v>52.67</ns0:v>
      </ns0:c>
      <ns0:c r="D209" s="4">
        <ns0:v>69.79</ns0:v>
      </ns0:c>
      <ns0:c r="E209" s="4">
        <ns0:v>24.44</ns0:v>
      </ns0:c>
      <ns0:c r="F209" s="4">
        <ns0:v>49.13</ns0:v>
      </ns0:c>
      <ns0:c r="G209" s="4">
        <ns0:v>29.72</ns0:v>
      </ns0:c>
      <ns0:c r="H209" s="4">
        <ns0:v>30.56</ns0:v>
      </ns0:c>
      <ns0:c r="I209" s="4">
        <ns0:v>66.26</ns0:v>
      </ns0:c>
      <ns0:c r="J209" s="4">
        <ns0:v>32.16</ns0:v>
      </ns0:c>
      <ns0:c r="K209" s="4">
        <ns0:v>56.52</ns0:v>
      </ns0:c>
      <ns0:c r="L209" s="4">
        <ns0:v>57.17</ns0:v>
      </ns0:c>
      <ns0:c r="M209" s="4">
        <ns0:v>19.60</ns0:v>
      </ns0:c>
      <ns0:c r="N209" s="4">
        <ns0:v>42.77</ns0:v>
      </ns0:c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 t="inlineStr">
        <ns0:is>
          <ns0:t>培训费单价</ns0:t>
        </ns0:is>
      </ns0:c>
      <ns0:c r="C210" s="4">
        <ns0:v>33.79</ns0:v>
      </ns0:c>
      <ns0:c r="D210" s="4">
        <ns0:v>28.86</ns0:v>
      </ns0:c>
      <ns0:c r="E210" s="4">
        <ns0:v>26.80</ns0:v>
      </ns0:c>
      <ns0:c r="F210" s="4">
        <ns0:v>55.84</ns0:v>
      </ns0:c>
      <ns0:c r="G210" s="4">
        <ns0:v>45.04</ns0:v>
      </ns0:c>
      <ns0:c r="H210" s="4">
        <ns0:v>61.84</ns0:v>
      </ns0:c>
      <ns0:c r="I210" s="4">
        <ns0:v>50.34</ns0:v>
      </ns0:c>
      <ns0:c r="J210" s="4">
        <ns0:v>41.64</ns0:v>
      </ns0:c>
      <ns0:c r="K210" s="4">
        <ns0:v>51.70</ns0:v>
      </ns0:c>
      <ns0:c r="L210" s="4">
        <ns0:v>22.04</ns0:v>
      </ns0:c>
      <ns0:c r="M210" s="4">
        <ns0:v>28.16</ns0:v>
      </ns0:c>
      <ns0:c r="N210" s="4">
        <ns0:v>26.86</ns0:v>
      </ns0:c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 t="inlineStr">
        <ns0:is>
          <ns0:t>房租单价</ns0:t>
        </ns0:is>
      </ns0:c>
      <ns0:c r="C211" s="4">
        <ns0:v>44.69</ns0:v>
      </ns0:c>
      <ns0:c r="D211" s="4">
        <ns0:v>49.45</ns0:v>
      </ns0:c>
      <ns0:c r="E211" s="4">
        <ns0:v>65.29</ns0:v>
      </ns0:c>
      <ns0:c r="F211" s="4">
        <ns0:v>32.51</ns0:v>
      </ns0:c>
      <ns0:c r="G211" s="4">
        <ns0:v>59.08</ns0:v>
      </ns0:c>
      <ns0:c r="H211" s="4">
        <ns0:v>42.97</ns0:v>
      </ns0:c>
      <ns0:c r="I211" s="4">
        <ns0:v>35.42</ns0:v>
      </ns0:c>
      <ns0:c r="J211" s="4">
        <ns0:v>38.83</ns0:v>
      </ns0:c>
      <ns0:c r="K211" s="4">
        <ns0:v>61.62</ns0:v>
      </ns0:c>
      <ns0:c r="L211" s="4">
        <ns0:v>18.75</ns0:v>
      </ns0:c>
      <ns0:c r="M211" s="4">
        <ns0:v>61.42</ns0:v>
      </ns0:c>
      <ns0:c r="N211" s="4">
        <ns0:v>45.89</ns0:v>
      </ns0:c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 t="inlineStr">
        <ns0:is>
          <ns0:t>物业管理费单价</ns0:t>
        </ns0:is>
      </ns0:c>
      <ns0:c r="C212" s="4">
        <ns0:v>43.70</ns0:v>
      </ns0:c>
      <ns0:c r="D212" s="4">
        <ns0:v>40.02</ns0:v>
      </ns0:c>
      <ns0:c r="E212" s="4">
        <ns0:v>63.35</ns0:v>
      </ns0:c>
      <ns0:c r="F212" s="4">
        <ns0:v>42.52</ns0:v>
      </ns0:c>
      <ns0:c r="G212" s="4">
        <ns0:v>53.78</ns0:v>
      </ns0:c>
      <ns0:c r="H212" s="4">
        <ns0:v>35.84</ns0:v>
      </ns0:c>
      <ns0:c r="I212" s="4">
        <ns0:v>20.41</ns0:v>
      </ns0:c>
      <ns0:c r="J212" s="4">
        <ns0:v>61.18</ns0:v>
      </ns0:c>
      <ns0:c r="K212" s="4">
        <ns0:v>62.76</ns0:v>
      </ns0:c>
      <ns0:c r="L212" s="4">
        <ns0:v>40.12</ns0:v>
      </ns0:c>
      <ns0:c r="M212" s="4">
        <ns0:v>24.62</ns0:v>
      </ns0:c>
      <ns0:c r="N212" s="4">
        <ns0:v>52.48</ns0:v>
      </ns0:c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 t="inlineStr">
        <ns0:is>
          <ns0:t>汽车费用单价</ns0:t>
        </ns0:is>
      </ns0:c>
      <ns0:c r="C213" s="4">
        <ns0:v>29.18</ns0:v>
      </ns0:c>
      <ns0:c r="D213" s="4">
        <ns0:v>62.93</ns0:v>
      </ns0:c>
      <ns0:c r="E213" s="4">
        <ns0:v>43.96</ns0:v>
      </ns0:c>
      <ns0:c r="F213" s="4">
        <ns0:v>54.27</ns0:v>
      </ns0:c>
      <ns0:c r="G213" s="4">
        <ns0:v>32.84</ns0:v>
      </ns0:c>
      <ns0:c r="H213" s="4">
        <ns0:v>34.94</ns0:v>
      </ns0:c>
      <ns0:c r="I213" s="4">
        <ns0:v>63.04</ns0:v>
      </ns0:c>
      <ns0:c r="J213" s="4">
        <ns0:v>55.65</ns0:v>
      </ns0:c>
      <ns0:c r="K213" s="4">
        <ns0:v>51.28</ns0:v>
      </ns0:c>
      <ns0:c r="L213" s="4">
        <ns0:v>60.62</ns0:v>
      </ns0:c>
      <ns0:c r="M213" s="4">
        <ns0:v>60.73</ns0:v>
      </ns0:c>
      <ns0:c r="N213" s="4">
        <ns0:v>44.25</ns0:v>
      </ns0:c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 t="inlineStr">
        <ns0:is>
          <ns0:t>办公费单价</ns0:t>
        </ns0:is>
      </ns0:c>
      <ns0:c r="C214" s="4">
        <ns0:v>42.07</ns0:v>
      </ns0:c>
      <ns0:c r="D214" s="4">
        <ns0:v>19.81</ns0:v>
      </ns0:c>
      <ns0:c r="E214" s="4">
        <ns0:v>63.93</ns0:v>
      </ns0:c>
      <ns0:c r="F214" s="4">
        <ns0:v>20.80</ns0:v>
      </ns0:c>
      <ns0:c r="G214" s="4">
        <ns0:v>37.99</ns0:v>
      </ns0:c>
      <ns0:c r="H214" s="4">
        <ns0:v>32.11</ns0:v>
      </ns0:c>
      <ns0:c r="I214" s="4">
        <ns0:v>55.32</ns0:v>
      </ns0:c>
      <ns0:c r="J214" s="4">
        <ns0:v>28.57</ns0:v>
      </ns0:c>
      <ns0:c r="K214" s="4">
        <ns0:v>50.29</ns0:v>
      </ns0:c>
      <ns0:c r="L214" s="4">
        <ns0:v>60.54</ns0:v>
      </ns0:c>
      <ns0:c r="M214" s="4">
        <ns0:v>51.68</ns0:v>
      </ns0:c>
      <ns0:c r="N214" s="4">
        <ns0:v>67.95</ns0:v>
      </ns0:c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 t="inlineStr">
        <ns0:is>
          <ns0:t>办公用品单价</ns0:t>
        </ns0:is>
      </ns0:c>
      <ns0:c r="C215" s="4">
        <ns0:v>23.09</ns0:v>
      </ns0:c>
      <ns0:c r="D215" s="4">
        <ns0:v>44.53</ns0:v>
      </ns0:c>
      <ns0:c r="E215" s="4">
        <ns0:v>25.81</ns0:v>
      </ns0:c>
      <ns0:c r="F215" s="4">
        <ns0:v>41.48</ns0:v>
      </ns0:c>
      <ns0:c r="G215" s="4">
        <ns0:v>22.91</ns0:v>
      </ns0:c>
      <ns0:c r="H215" s="4">
        <ns0:v>30.88</ns0:v>
      </ns0:c>
      <ns0:c r="I215" s="4">
        <ns0:v>48.34</ns0:v>
      </ns0:c>
      <ns0:c r="J215" s="4">
        <ns0:v>19.99</ns0:v>
      </ns0:c>
      <ns0:c r="K215" s="4">
        <ns0:v>41.05</ns0:v>
      </ns0:c>
      <ns0:c r="L215" s="4">
        <ns0:v>29.39</ns0:v>
      </ns0:c>
      <ns0:c r="M215" s="4">
        <ns0:v>24.37</ns0:v>
      </ns0:c>
      <ns0:c r="N215" s="4">
        <ns0:v>59.16</ns0:v>
      </ns0:c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 t="inlineStr">
        <ns0:is>
          <ns0:t>水电煤单价</ns0:t>
        </ns0:is>
      </ns0:c>
      <ns0:c r="C216" s="4">
        <ns0:v>22.28</ns0:v>
      </ns0:c>
      <ns0:c r="D216" s="4">
        <ns0:v>42.91</ns0:v>
      </ns0:c>
      <ns0:c r="E216" s="4">
        <ns0:v>25.52</ns0:v>
      </ns0:c>
      <ns0:c r="F216" s="4">
        <ns0:v>26.93</ns0:v>
      </ns0:c>
      <ns0:c r="G216" s="4">
        <ns0:v>40.59</ns0:v>
      </ns0:c>
      <ns0:c r="H216" s="4">
        <ns0:v>29.70</ns0:v>
      </ns0:c>
      <ns0:c r="I216" s="4">
        <ns0:v>34.61</ns0:v>
      </ns0:c>
      <ns0:c r="J216" s="4">
        <ns0:v>63.42</ns0:v>
      </ns0:c>
      <ns0:c r="K216" s="4">
        <ns0:v>49.14</ns0:v>
      </ns0:c>
      <ns0:c r="L216" s="4">
        <ns0:v>61.79</ns0:v>
      </ns0:c>
      <ns0:c r="M216" s="4">
        <ns0:v>20.54</ns0:v>
      </ns0:c>
      <ns0:c r="N216" s="4">
        <ns0:v>23.03</ns0:v>
      </ns0:c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 t="inlineStr">
        <ns0:is>
          <ns0:t>咨询服务费单价</ns0:t>
        </ns0:is>
      </ns0:c>
      <ns0:c r="C217" s="4">
        <ns0:v>30.15</ns0:v>
      </ns0:c>
      <ns0:c r="D217" s="4">
        <ns0:v>35.69</ns0:v>
      </ns0:c>
      <ns0:c r="E217" s="4">
        <ns0:v>22.06</ns0:v>
      </ns0:c>
      <ns0:c r="F217" s="4">
        <ns0:v>67.40</ns0:v>
      </ns0:c>
      <ns0:c r="G217" s="4">
        <ns0:v>53.71</ns0:v>
      </ns0:c>
      <ns0:c r="H217" s="4">
        <ns0:v>29.13</ns0:v>
      </ns0:c>
      <ns0:c r="I217" s="4">
        <ns0:v>39.41</ns0:v>
      </ns0:c>
      <ns0:c r="J217" s="4">
        <ns0:v>34.73</ns0:v>
      </ns0:c>
      <ns0:c r="K217" s="4">
        <ns0:v>76.45</ns0:v>
      </ns0:c>
      <ns0:c r="L217" s="4">
        <ns0:v>51.80</ns0:v>
      </ns0:c>
      <ns0:c r="M217" s="4">
        <ns0:v>40.67</ns0:v>
      </ns0:c>
      <ns0:c r="N217" s="4">
        <ns0:v>62.31</ns0:v>
      </ns0:c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 t="inlineStr">
        <ns0:is>
          <ns0:t>电话费单价</ns0:t>
        </ns0:is>
      </ns0:c>
      <ns0:c r="C218" s="4">
        <ns0:v>49.81</ns0:v>
      </ns0:c>
      <ns0:c r="D218" s="4">
        <ns0:v>21.05</ns0:v>
      </ns0:c>
      <ns0:c r="E218" s="4">
        <ns0:v>44.92</ns0:v>
      </ns0:c>
      <ns0:c r="F218" s="4">
        <ns0:v>33.71</ns0:v>
      </ns0:c>
      <ns0:c r="G218" s="4">
        <ns0:v>36.59</ns0:v>
      </ns0:c>
      <ns0:c r="H218" s="4">
        <ns0:v>27.81</ns0:v>
      </ns0:c>
      <ns0:c r="I218" s="4">
        <ns0:v>58.47</ns0:v>
      </ns0:c>
      <ns0:c r="J218" s="4">
        <ns0:v>16.24</ns0:v>
      </ns0:c>
      <ns0:c r="K218" s="4">
        <ns0:v>44.60</ns0:v>
      </ns0:c>
      <ns0:c r="L218" s="4">
        <ns0:v>36.51</ns0:v>
      </ns0:c>
      <ns0:c r="M218" s="4">
        <ns0:v>17.26</ns0:v>
      </ns0:c>
      <ns0:c r="N218" s="4">
        <ns0:v>68.74</ns0:v>
      </ns0:c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 t="inlineStr">
        <ns0:is>
          <ns0:t>快递费单价</ns0:t>
        </ns0:is>
      </ns0:c>
      <ns0:c r="C219" s="4">
        <ns0:v>38.30</ns0:v>
      </ns0:c>
      <ns0:c r="D219" s="4">
        <ns0:v>33.05</ns0:v>
      </ns0:c>
      <ns0:c r="E219" s="4">
        <ns0:v>51.94</ns0:v>
      </ns0:c>
      <ns0:c r="F219" s="4">
        <ns0:v>39.83</ns0:v>
      </ns0:c>
      <ns0:c r="G219" s="4">
        <ns0:v>31.10</ns0:v>
      </ns0:c>
      <ns0:c r="H219" s="4">
        <ns0:v>36.97</ns0:v>
      </ns0:c>
      <ns0:c r="I219" s="4">
        <ns0:v>39.72</ns0:v>
      </ns0:c>
      <ns0:c r="J219" s="4">
        <ns0:v>40.84</ns0:v>
      </ns0:c>
      <ns0:c r="K219" s="4">
        <ns0:v>30.49</ns0:v>
      </ns0:c>
      <ns0:c r="L219" s="4">
        <ns0:v>19.36</ns0:v>
      </ns0:c>
      <ns0:c r="M219" s="4">
        <ns0:v>38.90</ns0:v>
      </ns0:c>
      <ns0:c r="N219" s="4">
        <ns0:v>53.51</ns0:v>
      </ns0:c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 t="inlineStr">
        <ns0:is>
          <ns0:t>折旧及摊销单价</ns0:t>
        </ns0:is>
      </ns0:c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 t="inlineStr">
        <ns0:is>
          <ns0:t>机票火车票单价</ns0:t>
        </ns0:is>
      </ns0:c>
      <ns0:c r="C221" s="4">
        <ns0:v>16.95</ns0:v>
      </ns0:c>
      <ns0:c r="D221" s="4">
        <ns0:v>25.43</ns0:v>
      </ns0:c>
      <ns0:c r="E221" s="4">
        <ns0:v>19.31</ns0:v>
      </ns0:c>
      <ns0:c r="F221" s="4">
        <ns0:v>45.33</ns0:v>
      </ns0:c>
      <ns0:c r="G221" s="4">
        <ns0:v>49.07</ns0:v>
      </ns0:c>
      <ns0:c r="H221" s="4">
        <ns0:v>42.21</ns0:v>
      </ns0:c>
      <ns0:c r="I221" s="4">
        <ns0:v>69.01</ns0:v>
      </ns0:c>
      <ns0:c r="J221" s="4">
        <ns0:v>61.36</ns0:v>
      </ns0:c>
      <ns0:c r="K221" s="4">
        <ns0:v>64.84</ns0:v>
      </ns0:c>
      <ns0:c r="L221" s="4">
        <ns0:v>68.39</ns0:v>
      </ns0:c>
      <ns0:c r="M221" s="4">
        <ns0:v>46.25</ns0:v>
      </ns0:c>
      <ns0:c r="N221" s="4">
        <ns0:v>26.45</ns0:v>
      </ns0:c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 t="inlineStr">
        <ns0:is>
          <ns0:t>住宿费单价</ns0:t>
        </ns0:is>
      </ns0:c>
      <ns0:c r="C222" s="4">
        <ns0:v>43.18</ns0:v>
      </ns0:c>
      <ns0:c r="D222" s="4">
        <ns0:v>43.05</ns0:v>
      </ns0:c>
      <ns0:c r="E222" s="4">
        <ns0:v>59.04</ns0:v>
      </ns0:c>
      <ns0:c r="F222" s="4">
        <ns0:v>54.39</ns0:v>
      </ns0:c>
      <ns0:c r="G222" s="4">
        <ns0:v>30.50</ns0:v>
      </ns0:c>
      <ns0:c r="H222" s="4">
        <ns0:v>22.80</ns0:v>
      </ns0:c>
      <ns0:c r="I222" s="4">
        <ns0:v>46.24</ns0:v>
      </ns0:c>
      <ns0:c r="J222" s="4">
        <ns0:v>67.89</ns0:v>
      </ns0:c>
      <ns0:c r="K222" s="4">
        <ns0:v>33.73</ns0:v>
      </ns0:c>
      <ns0:c r="L222" s="4">
        <ns0:v>50.07</ns0:v>
      </ns0:c>
      <ns0:c r="M222" s="4">
        <ns0:v>22.82</ns0:v>
      </ns0:c>
      <ns0:c r="N222" s="4">
        <ns0:v>39.54</ns0:v>
      </ns0:c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 t="inlineStr">
        <ns0:is>
          <ns0:t>交通费单价</ns0:t>
        </ns0:is>
      </ns0:c>
      <ns0:c r="C223" s="4">
        <ns0:v>33.70</ns0:v>
      </ns0:c>
      <ns0:c r="D223" s="4">
        <ns0:v>56.47</ns0:v>
      </ns0:c>
      <ns0:c r="E223" s="4">
        <ns0:v>46.17</ns0:v>
      </ns0:c>
      <ns0:c r="F223" s="4">
        <ns0:v>34.34</ns0:v>
      </ns0:c>
      <ns0:c r="G223" s="4">
        <ns0:v>57.51</ns0:v>
      </ns0:c>
      <ns0:c r="H223" s="4">
        <ns0:v>60.20</ns0:v>
      </ns0:c>
      <ns0:c r="I223" s="4">
        <ns0:v>56.18</ns0:v>
      </ns0:c>
      <ns0:c r="J223" s="4">
        <ns0:v>27.74</ns0:v>
      </ns0:c>
      <ns0:c r="K223" s="4">
        <ns0:v>25.83</ns0:v>
      </ns0:c>
      <ns0:c r="L223" s="4">
        <ns0:v>26.07</ns0:v>
      </ns0:c>
      <ns0:c r="M223" s="4">
        <ns0:v>53.55</ns0:v>
      </ns0:c>
      <ns0:c r="N223" s="4">
        <ns0:v>35.88</ns0:v>
      </ns0:c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 t="inlineStr">
        <ns0:is>
          <ns0:t>差旅补贴单价</ns0:t>
        </ns0:is>
      </ns0:c>
      <ns0:c r="C224" s="4">
        <ns0:v>54.87</ns0:v>
      </ns0:c>
      <ns0:c r="D224" s="4">
        <ns0:v>27.01</ns0:v>
      </ns0:c>
      <ns0:c r="E224" s="4">
        <ns0:v>40.11</ns0:v>
      </ns0:c>
      <ns0:c r="F224" s="4">
        <ns0:v>63.95</ns0:v>
      </ns0:c>
      <ns0:c r="G224" s="4">
        <ns0:v>60.21</ns0:v>
      </ns0:c>
      <ns0:c r="H224" s="4">
        <ns0:v>33.23</ns0:v>
      </ns0:c>
      <ns0:c r="I224" s="4">
        <ns0:v>38.74</ns0:v>
      </ns0:c>
      <ns0:c r="J224" s="4">
        <ns0:v>57.87</ns0:v>
      </ns0:c>
      <ns0:c r="K224" s="4">
        <ns0:v>66.33</ns0:v>
      </ns0:c>
      <ns0:c r="L224" s="4">
        <ns0:v>52.92</ns0:v>
      </ns0:c>
      <ns0:c r="M224" s="4">
        <ns0:v>41.31</ns0:v>
      </ns0:c>
      <ns0:c r="N224" s="4">
        <ns0:v>64.84</ns0:v>
      </ns0:c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 t="inlineStr">
        <ns0:is>
          <ns0:t>业务招待费单价</ns0:t>
        </ns0:is>
      </ns0:c>
      <ns0:c r="C225" s="4">
        <ns0:v>66.89</ns0:v>
      </ns0:c>
      <ns0:c r="D225" s="4">
        <ns0:v>50.57</ns0:v>
      </ns0:c>
      <ns0:c r="E225" s="4">
        <ns0:v>34.69</ns0:v>
      </ns0:c>
      <ns0:c r="F225" s="4">
        <ns0:v>32.05</ns0:v>
      </ns0:c>
      <ns0:c r="G225" s="4">
        <ns0:v>49.25</ns0:v>
      </ns0:c>
      <ns0:c r="H225" s="4">
        <ns0:v>53.64</ns0:v>
      </ns0:c>
      <ns0:c r="I225" s="4">
        <ns0:v>54.11</ns0:v>
      </ns0:c>
      <ns0:c r="J225" s="4">
        <ns0:v>50.90</ns0:v>
      </ns0:c>
      <ns0:c r="K225" s="4">
        <ns0:v>39.68</ns0:v>
      </ns0:c>
      <ns0:c r="L225" s="4">
        <ns0:v>51.08</ns0:v>
      </ns0:c>
      <ns0:c r="M225" s="4">
        <ns0:v>24.69</ns0:v>
      </ns0:c>
      <ns0:c r="N225" s="4">
        <ns0:v>54.16</ns0:v>
      </ns0:c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 t="inlineStr">
        <ns0:is>
          <ns0:t>市内交通费单价</ns0:t>
        </ns0:is>
      </ns0:c>
      <ns0:c r="C226" s="4">
        <ns0:v>38.89</ns0:v>
      </ns0:c>
      <ns0:c r="D226" s="4">
        <ns0:v>31.36</ns0:v>
      </ns0:c>
      <ns0:c r="E226" s="4">
        <ns0:v>51.52</ns0:v>
      </ns0:c>
      <ns0:c r="F226" s="4">
        <ns0:v>20.94</ns0:v>
      </ns0:c>
      <ns0:c r="G226" s="4">
        <ns0:v>30.67</ns0:v>
      </ns0:c>
      <ns0:c r="H226" s="4">
        <ns0:v>31.89</ns0:v>
      </ns0:c>
      <ns0:c r="I226" s="4">
        <ns0:v>51.86</ns0:v>
      </ns0:c>
      <ns0:c r="J226" s="4">
        <ns0:v>30.02</ns0:v>
      </ns0:c>
      <ns0:c r="K226" s="4">
        <ns0:v>50.82</ns0:v>
      </ns0:c>
      <ns0:c r="L226" s="4">
        <ns0:v>23.04</ns0:v>
      </ns0:c>
      <ns0:c r="M226" s="4">
        <ns0:v>41.16</ns0:v>
      </ns0:c>
      <ns0:c r="N226" s="4">
        <ns0:v>71.90</ns0:v>
      </ns0:c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 t="inlineStr">
        <ns0:is>
          <ns0:t>调研费用单价</ns0:t>
        </ns0:is>
      </ns0:c>
      <ns0:c r="C227" s="4">
        <ns0:v>61.21</ns0:v>
      </ns0:c>
      <ns0:c r="D227" s="4">
        <ns0:v>63.45</ns0:v>
      </ns0:c>
      <ns0:c r="E227" s="4">
        <ns0:v>58.80</ns0:v>
      </ns0:c>
      <ns0:c r="F227" s="4">
        <ns0:v>56.38</ns0:v>
      </ns0:c>
      <ns0:c r="G227" s="4">
        <ns0:v>68.50</ns0:v>
      </ns0:c>
      <ns0:c r="H227" s="4">
        <ns0:v>37.75</ns0:v>
      </ns0:c>
      <ns0:c r="I227" s="4">
        <ns0:v>32.66</ns0:v>
      </ns0:c>
      <ns0:c r="J227" s="4">
        <ns0:v>37.18</ns0:v>
      </ns0:c>
      <ns0:c r="K227" s="4">
        <ns0:v>35.71</ns0:v>
      </ns0:c>
      <ns0:c r="L227" s="4">
        <ns0:v>56.03</ns0:v>
      </ns0:c>
      <ns0:c r="M227" s="4">
        <ns0:v>62.63</ns0:v>
      </ns0:c>
      <ns0:c r="N227" s="4">
        <ns0:v>40.61</ns0:v>
      </ns0:c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 t="inlineStr">
        <ns0:is>
          <ns0:t>手续费单价</ns0:t>
        </ns0:is>
      </ns0:c>
      <ns0:c r="C228" s="4">
        <ns0:v>23.12</ns0:v>
      </ns0:c>
      <ns0:c r="D228" s="4">
        <ns0:v>27.77</ns0:v>
      </ns0:c>
      <ns0:c r="E228" s="4">
        <ns0:v>19.15</ns0:v>
      </ns0:c>
      <ns0:c r="F228" s="4">
        <ns0:v>42.20</ns0:v>
      </ns0:c>
      <ns0:c r="G228" s="4">
        <ns0:v>67.93</ns0:v>
      </ns0:c>
      <ns0:c r="H228" s="4">
        <ns0:v>62.16</ns0:v>
      </ns0:c>
      <ns0:c r="I228" s="4">
        <ns0:v>21.78</ns0:v>
      </ns0:c>
      <ns0:c r="J228" s="4">
        <ns0:v>40.31</ns0:v>
      </ns0:c>
      <ns0:c r="K228" s="4">
        <ns0:v>48.59</ns0:v>
      </ns0:c>
      <ns0:c r="L228" s="4">
        <ns0:v>65.76</ns0:v>
      </ns0:c>
      <ns0:c r="M228" s="4">
        <ns0:v>50.61</ns0:v>
      </ns0:c>
      <ns0:c r="N228" s="4">
        <ns0:v>52.75</ns0:v>
      </ns0:c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 t="inlineStr">
        <ns0:is>
          <ns0:t>利息收入单价</ns0:t>
        </ns0:is>
      </ns0:c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 t="inlineStr">
        <ns0:is>
          <ns0:t>利息支出单价</ns0:t>
        </ns0:is>
      </ns0:c>
      <ns0:c r="C230" s="4">
        <ns0:v>26.62</ns0:v>
      </ns0:c>
      <ns0:c r="D230" s="4">
        <ns0:v>41.44</ns0:v>
      </ns0:c>
      <ns0:c r="E230" s="4">
        <ns0:v>60.61</ns0:v>
      </ns0:c>
      <ns0:c r="F230" s="4">
        <ns0:v>57.38</ns0:v>
      </ns0:c>
      <ns0:c r="G230" s="4">
        <ns0:v>67.24</ns0:v>
      </ns0:c>
      <ns0:c r="H230" s="4">
        <ns0:v>63.94</ns0:v>
      </ns0:c>
      <ns0:c r="I230" s="4">
        <ns0:v>57.92</ns0:v>
      </ns0:c>
      <ns0:c r="J230" s="4">
        <ns0:v>66.49</ns0:v>
      </ns0:c>
      <ns0:c r="K230" s="4">
        <ns0:v>48.85</ns0:v>
      </ns0:c>
      <ns0:c r="L230" s="4">
        <ns0:v>31.11</ns0:v>
      </ns0:c>
      <ns0:c r="M230" s="4">
        <ns0:v>44.99</ns0:v>
      </ns0:c>
      <ns0:c r="N230" s="4">
        <ns0:v>64.05</ns0:v>
      </ns0:c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 t="inlineStr">
        <ns0:is>
          <ns0:t>车船税单价</ns0:t>
        </ns0:is>
      </ns0:c>
      <ns0:c r="C231" s="4">
        <ns0:v>26.68</ns0:v>
      </ns0:c>
      <ns0:c r="D231" s="4">
        <ns0:v>41.94</ns0:v>
      </ns0:c>
      <ns0:c r="E231" s="4">
        <ns0:v>70.10</ns0:v>
      </ns0:c>
      <ns0:c r="F231" s="4">
        <ns0:v>57.06</ns0:v>
      </ns0:c>
      <ns0:c r="G231" s="4">
        <ns0:v>48.14</ns0:v>
      </ns0:c>
      <ns0:c r="H231" s="4">
        <ns0:v>21.41</ns0:v>
      </ns0:c>
      <ns0:c r="I231" s="4">
        <ns0:v>23.91</ns0:v>
      </ns0:c>
      <ns0:c r="J231" s="4">
        <ns0:v>73.20</ns0:v>
      </ns0:c>
      <ns0:c r="K231" s="4">
        <ns0:v>25.74</ns0:v>
      </ns0:c>
      <ns0:c r="L231" s="4">
        <ns0:v>30.13</ns0:v>
      </ns0:c>
      <ns0:c r="M231" s="4">
        <ns0:v>35.17</ns0:v>
      </ns0:c>
      <ns0:c r="N231" s="4">
        <ns0:v>41.18</ns0:v>
      </ns0:c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 t="inlineStr">
        <ns0:is>
          <ns0:t>印花税单价</ns0:t>
        </ns0:is>
      </ns0:c>
      <ns0:c r="C232" s="4">
        <ns0:v>25.95</ns0:v>
      </ns0:c>
      <ns0:c r="D232" s="4">
        <ns0:v>36.45</ns0:v>
      </ns0:c>
      <ns0:c r="E232" s="4">
        <ns0:v>66.69</ns0:v>
      </ns0:c>
      <ns0:c r="F232" s="4">
        <ns0:v>18.74</ns0:v>
      </ns0:c>
      <ns0:c r="G232" s="4">
        <ns0:v>32.99</ns0:v>
      </ns0:c>
      <ns0:c r="H232" s="4">
        <ns0:v>29.97</ns0:v>
      </ns0:c>
      <ns0:c r="I232" s="4">
        <ns0:v>27.83</ns0:v>
      </ns0:c>
      <ns0:c r="J232" s="4">
        <ns0:v>40.87</ns0:v>
      </ns0:c>
      <ns0:c r="K232" s="4">
        <ns0:v>58.00</ns0:v>
      </ns0:c>
      <ns0:c r="L232" s="4">
        <ns0:v>49.37</ns0:v>
      </ns0:c>
      <ns0:c r="M232" s="4">
        <ns0:v>52.44</ns0:v>
      </ns0:c>
      <ns0:c r="N232" s="4">
        <ns0:v>31.79</ns0:v>
      </ns0:c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 t="inlineStr">
        <ns0:is>
          <ns0:t>其他单价</ns0:t>
        </ns0:is>
      </ns0:c>
      <ns0:c r="C233" s="4">
        <ns0:v>46.13</ns0:v>
      </ns0:c>
      <ns0:c r="D233" s="4">
        <ns0:v>50.72</ns0:v>
      </ns0:c>
      <ns0:c r="E233" s="4">
        <ns0:v>28.00</ns0:v>
      </ns0:c>
      <ns0:c r="F233" s="4">
        <ns0:v>52.44</ns0:v>
      </ns0:c>
      <ns0:c r="G233" s="4">
        <ns0:v>53.16</ns0:v>
      </ns0:c>
      <ns0:c r="H233" s="4">
        <ns0:v>51.57</ns0:v>
      </ns0:c>
      <ns0:c r="I233" s="4">
        <ns0:v>39.21</ns0:v>
      </ns0:c>
      <ns0:c r="J233" s="4">
        <ns0:v>38.09</ns0:v>
      </ns0:c>
      <ns0:c r="K233" s="4">
        <ns0:v>20.91</ns0:v>
      </ns0:c>
      <ns0:c r="L233" s="4">
        <ns0:v>57.21</ns0:v>
      </ns0:c>
      <ns0:c r="M233" s="4">
        <ns0:v>28.57</ns0:v>
      </ns0:c>
      <ns0:c r="N233" s="4">
        <ns0:v>26.17</ns0:v>
      </ns0:c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 t="inlineStr">
        <ns0:is>
          <ns0:t>工资单价</ns0:t>
        </ns0:is>
      </ns0:c>
      <ns0:c r="C264" s="4">
        <ns0:v>61.99</ns0:v>
      </ns0:c>
      <ns0:c r="D264" s="4">
        <ns0:v>19.73</ns0:v>
      </ns0:c>
      <ns0:c r="E264" s="4">
        <ns0:v>24.94</ns0:v>
      </ns0:c>
      <ns0:c r="F264" s="4">
        <ns0:v>42.82</ns0:v>
      </ns0:c>
      <ns0:c r="G264" s="4">
        <ns0:v>27.05</ns0:v>
      </ns0:c>
      <ns0:c r="H264" s="4">
        <ns0:v>52.04</ns0:v>
      </ns0:c>
      <ns0:c r="I264" s="4">
        <ns0:v>39.59</ns0:v>
      </ns0:c>
      <ns0:c r="J264" s="4">
        <ns0:v>34.60</ns0:v>
      </ns0:c>
      <ns0:c r="K264" s="4">
        <ns0:v>50.56</ns0:v>
      </ns0:c>
      <ns0:c r="L264" s="4">
        <ns0:v>57.41</ns0:v>
      </ns0:c>
      <ns0:c r="M264" s="4">
        <ns0:v>33.37</ns0:v>
      </ns0:c>
      <ns0:c r="N264" s="4">
        <ns0:v>16.69</ns0:v>
      </ns0:c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 t="inlineStr">
        <ns0:is>
          <ns0:t>十三薪单价</ns0:t>
        </ns0:is>
      </ns0:c>
      <ns0:c r="C265" s="4">
        <ns0:v>55.13</ns0:v>
      </ns0:c>
      <ns0:c r="D265" s="4">
        <ns0:v>26.38</ns0:v>
      </ns0:c>
      <ns0:c r="E265" s="4">
        <ns0:v>32.45</ns0:v>
      </ns0:c>
      <ns0:c r="F265" s="4">
        <ns0:v>65.27</ns0:v>
      </ns0:c>
      <ns0:c r="G265" s="4">
        <ns0:v>39.31</ns0:v>
      </ns0:c>
      <ns0:c r="H265" s="4">
        <ns0:v>53.58</ns0:v>
      </ns0:c>
      <ns0:c r="I265" s="4">
        <ns0:v>35.44</ns0:v>
      </ns0:c>
      <ns0:c r="J265" s="4">
        <ns0:v>36.11</ns0:v>
      </ns0:c>
      <ns0:c r="K265" s="4">
        <ns0:v>37.56</ns0:v>
      </ns0:c>
      <ns0:c r="L265" s="4">
        <ns0:v>42.75</ns0:v>
      </ns0:c>
      <ns0:c r="M265" s="4">
        <ns0:v>64.25</ns0:v>
      </ns0:c>
      <ns0:c r="N265" s="4">
        <ns0:v>64.32</ns0:v>
      </ns0:c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 t="inlineStr">
        <ns0:is>
          <ns0:t>离职补偿金单价</ns0:t>
        </ns0:is>
      </ns0:c>
      <ns0:c r="C266" s="4">
        <ns0:v>32.12</ns0:v>
      </ns0:c>
      <ns0:c r="D266" s="4">
        <ns0:v>45.84</ns0:v>
      </ns0:c>
      <ns0:c r="E266" s="4">
        <ns0:v>51.56</ns0:v>
      </ns0:c>
      <ns0:c r="F266" s="4">
        <ns0:v>20.18</ns0:v>
      </ns0:c>
      <ns0:c r="G266" s="4">
        <ns0:v>26.04</ns0:v>
      </ns0:c>
      <ns0:c r="H266" s="4">
        <ns0:v>57.98</ns0:v>
      </ns0:c>
      <ns0:c r="I266" s="4">
        <ns0:v>62.02</ns0:v>
      </ns0:c>
      <ns0:c r="J266" s="4">
        <ns0:v>24.33</ns0:v>
      </ns0:c>
      <ns0:c r="K266" s="4">
        <ns0:v>59.24</ns0:v>
      </ns0:c>
      <ns0:c r="L266" s="4">
        <ns0:v>33.89</ns0:v>
      </ns0:c>
      <ns0:c r="M266" s="4">
        <ns0:v>21.17</ns0:v>
      </ns0:c>
      <ns0:c r="N266" s="4">
        <ns0:v>36.37</ns0:v>
      </ns0:c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 t="inlineStr">
        <ns0:is>
          <ns0:t>五险一金单价</ns0:t>
        </ns0:is>
      </ns0:c>
      <ns0:c r="C267" s="4">
        <ns0:v>17.65</ns0:v>
      </ns0:c>
      <ns0:c r="D267" s="4">
        <ns0:v>23.44</ns0:v>
      </ns0:c>
      <ns0:c r="E267" s="4">
        <ns0:v>39.71</ns0:v>
      </ns0:c>
      <ns0:c r="F267" s="4">
        <ns0:v>62.85</ns0:v>
      </ns0:c>
      <ns0:c r="G267" s="4">
        <ns0:v>52.54</ns0:v>
      </ns0:c>
      <ns0:c r="H267" s="4">
        <ns0:v>62.28</ns0:v>
      </ns0:c>
      <ns0:c r="I267" s="4">
        <ns0:v>23.67</ns0:v>
      </ns0:c>
      <ns0:c r="J267" s="4">
        <ns0:v>39.08</ns0:v>
      </ns0:c>
      <ns0:c r="K267" s="4">
        <ns0:v>18.39</ns0:v>
      </ns0:c>
      <ns0:c r="L267" s="4">
        <ns0:v>48.04</ns0:v>
      </ns0:c>
      <ns0:c r="M267" s="4">
        <ns0:v>45.57</ns0:v>
      </ns0:c>
      <ns0:c r="N267" s="4">
        <ns0:v>22.34</ns0:v>
      </ns0:c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 t="inlineStr">
        <ns0:is>
          <ns0:t>福利费单价</ns0:t>
        </ns0:is>
      </ns0:c>
      <ns0:c r="C268" s="4">
        <ns0:v>45.26</ns0:v>
      </ns0:c>
      <ns0:c r="D268" s="4">
        <ns0:v>19.54</ns0:v>
      </ns0:c>
      <ns0:c r="E268" s="4">
        <ns0:v>54.55</ns0:v>
      </ns0:c>
      <ns0:c r="F268" s="4">
        <ns0:v>59.85</ns0:v>
      </ns0:c>
      <ns0:c r="G268" s="4">
        <ns0:v>17.50</ns0:v>
      </ns0:c>
      <ns0:c r="H268" s="4">
        <ns0:v>39.70</ns0:v>
      </ns0:c>
      <ns0:c r="I268" s="4">
        <ns0:v>21.05</ns0:v>
      </ns0:c>
      <ns0:c r="J268" s="4">
        <ns0:v>48.30</ns0:v>
      </ns0:c>
      <ns0:c r="K268" s="4">
        <ns0:v>64.32</ns0:v>
      </ns0:c>
      <ns0:c r="L268" s="4">
        <ns0:v>15.31</ns0:v>
      </ns0:c>
      <ns0:c r="M268" s="4">
        <ns0:v>45.30</ns0:v>
      </ns0:c>
      <ns0:c r="N268" s="4">
        <ns0:v>21.67</ns0:v>
      </ns0:c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 t="inlineStr">
        <ns0:is>
          <ns0:t>招聘费单价</ns0:t>
        </ns0:is>
      </ns0:c>
      <ns0:c r="C269" s="4">
        <ns0:v>63.94</ns0:v>
      </ns0:c>
      <ns0:c r="D269" s="4">
        <ns0:v>45.02</ns0:v>
      </ns0:c>
      <ns0:c r="E269" s="4">
        <ns0:v>62.39</ns0:v>
      </ns0:c>
      <ns0:c r="F269" s="4">
        <ns0:v>47.45</ns0:v>
      </ns0:c>
      <ns0:c r="G269" s="4">
        <ns0:v>45.88</ns0:v>
      </ns0:c>
      <ns0:c r="H269" s="4">
        <ns0:v>56.37</ns0:v>
      </ns0:c>
      <ns0:c r="I269" s="4">
        <ns0:v>27.40</ns0:v>
      </ns0:c>
      <ns0:c r="J269" s="4">
        <ns0:v>51.11</ns0:v>
      </ns0:c>
      <ns0:c r="K269" s="4">
        <ns0:v>61.63</ns0:v>
      </ns0:c>
      <ns0:c r="L269" s="4">
        <ns0:v>19.36</ns0:v>
      </ns0:c>
      <ns0:c r="M269" s="4">
        <ns0:v>27.87</ns0:v>
      </ns0:c>
      <ns0:c r="N269" s="4">
        <ns0:v>60.91</ns0:v>
      </ns0:c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 t="inlineStr">
        <ns0:is>
          <ns0:t>培训费单价</ns0:t>
        </ns0:is>
      </ns0:c>
      <ns0:c r="C270" s="4">
        <ns0:v>44.93</ns0:v>
      </ns0:c>
      <ns0:c r="D270" s="4">
        <ns0:v>40.87</ns0:v>
      </ns0:c>
      <ns0:c r="E270" s="4">
        <ns0:v>34.74</ns0:v>
      </ns0:c>
      <ns0:c r="F270" s="4">
        <ns0:v>56.54</ns0:v>
      </ns0:c>
      <ns0:c r="G270" s="4">
        <ns0:v>63.13</ns0:v>
      </ns0:c>
      <ns0:c r="H270" s="4">
        <ns0:v>72.93</ns0:v>
      </ns0:c>
      <ns0:c r="I270" s="4">
        <ns0:v>52.20</ns0:v>
      </ns0:c>
      <ns0:c r="J270" s="4">
        <ns0:v>56.42</ns0:v>
      </ns0:c>
      <ns0:c r="K270" s="4">
        <ns0:v>20.06</ns0:v>
      </ns0:c>
      <ns0:c r="L270" s="4">
        <ns0:v>47.67</ns0:v>
      </ns0:c>
      <ns0:c r="M270" s="4">
        <ns0:v>16.94</ns0:v>
      </ns0:c>
      <ns0:c r="N270" s="4">
        <ns0:v>68.83</ns0:v>
      </ns0:c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 t="inlineStr">
        <ns0:is>
          <ns0:t>房租单价</ns0:t>
        </ns0:is>
      </ns0:c>
      <ns0:c r="C271" s="4">
        <ns0:v>33.00</ns0:v>
      </ns0:c>
      <ns0:c r="D271" s="4">
        <ns0:v>21.53</ns0:v>
      </ns0:c>
      <ns0:c r="E271" s="4">
        <ns0:v>21.18</ns0:v>
      </ns0:c>
      <ns0:c r="F271" s="4">
        <ns0:v>56.97</ns0:v>
      </ns0:c>
      <ns0:c r="G271" s="4">
        <ns0:v>21.44</ns0:v>
      </ns0:c>
      <ns0:c r="H271" s="4">
        <ns0:v>45.89</ns0:v>
      </ns0:c>
      <ns0:c r="I271" s="4">
        <ns0:v>38.40</ns0:v>
      </ns0:c>
      <ns0:c r="J271" s="4">
        <ns0:v>39.08</ns0:v>
      </ns0:c>
      <ns0:c r="K271" s="4">
        <ns0:v>19.45</ns0:v>
      </ns0:c>
      <ns0:c r="L271" s="4">
        <ns0:v>44.09</ns0:v>
      </ns0:c>
      <ns0:c r="M271" s="4">
        <ns0:v>33.21</ns0:v>
      </ns0:c>
      <ns0:c r="N271" s="4">
        <ns0:v>26.85</ns0:v>
      </ns0:c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 t="inlineStr">
        <ns0:is>
          <ns0:t>物业管理费单价</ns0:t>
        </ns0:is>
      </ns0:c>
      <ns0:c r="C272" s="4">
        <ns0:v>19.68</ns0:v>
      </ns0:c>
      <ns0:c r="D272" s="4">
        <ns0:v>52.86</ns0:v>
      </ns0:c>
      <ns0:c r="E272" s="4">
        <ns0:v>22.89</ns0:v>
      </ns0:c>
      <ns0:c r="F272" s="4">
        <ns0:v>18.09</ns0:v>
      </ns0:c>
      <ns0:c r="G272" s="4">
        <ns0:v>61.88</ns0:v>
      </ns0:c>
      <ns0:c r="H272" s="4">
        <ns0:v>22.44</ns0:v>
      </ns0:c>
      <ns0:c r="I272" s="4">
        <ns0:v>53.10</ns0:v>
      </ns0:c>
      <ns0:c r="J272" s="4">
        <ns0:v>23.95</ns0:v>
      </ns0:c>
      <ns0:c r="K272" s="4">
        <ns0:v>57.90</ns0:v>
      </ns0:c>
      <ns0:c r="L272" s="4">
        <ns0:v>17.87</ns0:v>
      </ns0:c>
      <ns0:c r="M272" s="4">
        <ns0:v>52.52</ns0:v>
      </ns0:c>
      <ns0:c r="N272" s="4">
        <ns0:v>28.64</ns0:v>
      </ns0:c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 t="inlineStr">
        <ns0:is>
          <ns0:t>汽车费用单价</ns0:t>
        </ns0:is>
      </ns0:c>
      <ns0:c r="C273" s="4">
        <ns0:v>50.80</ns0:v>
      </ns0:c>
      <ns0:c r="D273" s="4">
        <ns0:v>57.23</ns0:v>
      </ns0:c>
      <ns0:c r="E273" s="4">
        <ns0:v>34.87</ns0:v>
      </ns0:c>
      <ns0:c r="F273" s="4">
        <ns0:v>24.65</ns0:v>
      </ns0:c>
      <ns0:c r="G273" s="4">
        <ns0:v>71.77</ns0:v>
      </ns0:c>
      <ns0:c r="H273" s="4">
        <ns0:v>18.01</ns0:v>
      </ns0:c>
      <ns0:c r="I273" s="4">
        <ns0:v>54.67</ns0:v>
      </ns0:c>
      <ns0:c r="J273" s="4">
        <ns0:v>34.16</ns0:v>
      </ns0:c>
      <ns0:c r="K273" s="4">
        <ns0:v>51.62</ns0:v>
      </ns0:c>
      <ns0:c r="L273" s="4">
        <ns0:v>54.61</ns0:v>
      </ns0:c>
      <ns0:c r="M273" s="4">
        <ns0:v>62.28</ns0:v>
      </ns0:c>
      <ns0:c r="N273" s="4">
        <ns0:v>53.07</ns0:v>
      </ns0:c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 t="inlineStr">
        <ns0:is>
          <ns0:t>办公费单价</ns0:t>
        </ns0:is>
      </ns0:c>
      <ns0:c r="C274" s="4">
        <ns0:v>40.74</ns0:v>
      </ns0:c>
      <ns0:c r="D274" s="4">
        <ns0:v>19.21</ns0:v>
      </ns0:c>
      <ns0:c r="E274" s="4">
        <ns0:v>56.79</ns0:v>
      </ns0:c>
      <ns0:c r="F274" s="4">
        <ns0:v>22.24</ns0:v>
      </ns0:c>
      <ns0:c r="G274" s="4">
        <ns0:v>26.87</ns0:v>
      </ns0:c>
      <ns0:c r="H274" s="4">
        <ns0:v>69.94</ns0:v>
      </ns0:c>
      <ns0:c r="I274" s="4">
        <ns0:v>28.11</ns0:v>
      </ns0:c>
      <ns0:c r="J274" s="4">
        <ns0:v>24.40</ns0:v>
      </ns0:c>
      <ns0:c r="K274" s="4">
        <ns0:v>47.48</ns0:v>
      </ns0:c>
      <ns0:c r="L274" s="4">
        <ns0:v>33.40</ns0:v>
      </ns0:c>
      <ns0:c r="M274" s="4">
        <ns0:v>37.07</ns0:v>
      </ns0:c>
      <ns0:c r="N274" s="4">
        <ns0:v>38.28</ns0:v>
      </ns0:c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 t="inlineStr">
        <ns0:is>
          <ns0:t>办公用品单价</ns0:t>
        </ns0:is>
      </ns0:c>
      <ns0:c r="C275" s="4">
        <ns0:v>49.48</ns0:v>
      </ns0:c>
      <ns0:c r="D275" s="4">
        <ns0:v>45.81</ns0:v>
      </ns0:c>
      <ns0:c r="E275" s="4">
        <ns0:v>55.15</ns0:v>
      </ns0:c>
      <ns0:c r="F275" s="4">
        <ns0:v>21.89</ns0:v>
      </ns0:c>
      <ns0:c r="G275" s="4">
        <ns0:v>28.76</ns0:v>
      </ns0:c>
      <ns0:c r="H275" s="4">
        <ns0:v>53.07</ns0:v>
      </ns0:c>
      <ns0:c r="I275" s="4">
        <ns0:v>49.74</ns0:v>
      </ns0:c>
      <ns0:c r="J275" s="4">
        <ns0:v>36.02</ns0:v>
      </ns0:c>
      <ns0:c r="K275" s="4">
        <ns0:v>26.95</ns0:v>
      </ns0:c>
      <ns0:c r="L275" s="4">
        <ns0:v>45.51</ns0:v>
      </ns0:c>
      <ns0:c r="M275" s="4">
        <ns0:v>51.67</ns0:v>
      </ns0:c>
      <ns0:c r="N275" s="4">
        <ns0:v>19.64</ns0:v>
      </ns0:c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 t="inlineStr">
        <ns0:is>
          <ns0:t>水电煤单价</ns0:t>
        </ns0:is>
      </ns0:c>
      <ns0:c r="C276" s="4">
        <ns0:v>29.90</ns0:v>
      </ns0:c>
      <ns0:c r="D276" s="4">
        <ns0:v>23.09</ns0:v>
      </ns0:c>
      <ns0:c r="E276" s="4">
        <ns0:v>50.78</ns0:v>
      </ns0:c>
      <ns0:c r="F276" s="4">
        <ns0:v>70.27</ns0:v>
      </ns0:c>
      <ns0:c r="G276" s="4">
        <ns0:v>20.36</ns0:v>
      </ns0:c>
      <ns0:c r="H276" s="4">
        <ns0:v>40.78</ns0:v>
      </ns0:c>
      <ns0:c r="I276" s="4">
        <ns0:v>24.34</ns0:v>
      </ns0:c>
      <ns0:c r="J276" s="4">
        <ns0:v>58.80</ns0:v>
      </ns0:c>
      <ns0:c r="K276" s="4">
        <ns0:v>16.35</ns0:v>
      </ns0:c>
      <ns0:c r="L276" s="4">
        <ns0:v>43.94</ns0:v>
      </ns0:c>
      <ns0:c r="M276" s="4">
        <ns0:v>39.30</ns0:v>
      </ns0:c>
      <ns0:c r="N276" s="4">
        <ns0:v>38.40</ns0:v>
      </ns0:c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 t="inlineStr">
        <ns0:is>
          <ns0:t>咨询服务费单价</ns0:t>
        </ns0:is>
      </ns0:c>
      <ns0:c r="C277" s="4">
        <ns0:v>21.66</ns0:v>
      </ns0:c>
      <ns0:c r="D277" s="4">
        <ns0:v>19.89</ns0:v>
      </ns0:c>
      <ns0:c r="E277" s="4">
        <ns0:v>31.31</ns0:v>
      </ns0:c>
      <ns0:c r="F277" s="4">
        <ns0:v>22.07</ns0:v>
      </ns0:c>
      <ns0:c r="G277" s="4">
        <ns0:v>50.69</ns0:v>
      </ns0:c>
      <ns0:c r="H277" s="4">
        <ns0:v>59.59</ns0:v>
      </ns0:c>
      <ns0:c r="I277" s="4">
        <ns0:v>42.34</ns0:v>
      </ns0:c>
      <ns0:c r="J277" s="4">
        <ns0:v>34.36</ns0:v>
      </ns0:c>
      <ns0:c r="K277" s="4">
        <ns0:v>42.02</ns0:v>
      </ns0:c>
      <ns0:c r="L277" s="4">
        <ns0:v>51.98</ns0:v>
      </ns0:c>
      <ns0:c r="M277" s="4">
        <ns0:v>63.59</ns0:v>
      </ns0:c>
      <ns0:c r="N277" s="4">
        <ns0:v>39.19</ns0:v>
      </ns0:c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 t="inlineStr">
        <ns0:is>
          <ns0:t>电话费单价</ns0:t>
        </ns0:is>
      </ns0:c>
      <ns0:c r="C278" s="4">
        <ns0:v>57.39</ns0:v>
      </ns0:c>
      <ns0:c r="D278" s="4">
        <ns0:v>51.72</ns0:v>
      </ns0:c>
      <ns0:c r="E278" s="4">
        <ns0:v>64.08</ns0:v>
      </ns0:c>
      <ns0:c r="F278" s="4">
        <ns0:v>52.35</ns0:v>
      </ns0:c>
      <ns0:c r="G278" s="4">
        <ns0:v>33.84</ns0:v>
      </ns0:c>
      <ns0:c r="H278" s="4">
        <ns0:v>33.74</ns0:v>
      </ns0:c>
      <ns0:c r="I278" s="4">
        <ns0:v>47.14</ns0:v>
      </ns0:c>
      <ns0:c r="J278" s="4">
        <ns0:v>41.68</ns0:v>
      </ns0:c>
      <ns0:c r="K278" s="4">
        <ns0:v>29.91</ns0:v>
      </ns0:c>
      <ns0:c r="L278" s="4">
        <ns0:v>69.43</ns0:v>
      </ns0:c>
      <ns0:c r="M278" s="4">
        <ns0:v>38.29</ns0:v>
      </ns0:c>
      <ns0:c r="N278" s="4">
        <ns0:v>23.90</ns0:v>
      </ns0:c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 t="inlineStr">
        <ns0:is>
          <ns0:t>快递费单价</ns0:t>
        </ns0:is>
      </ns0:c>
      <ns0:c r="C279" s="4">
        <ns0:v>22.20</ns0:v>
      </ns0:c>
      <ns0:c r="D279" s="4">
        <ns0:v>64.05</ns0:v>
      </ns0:c>
      <ns0:c r="E279" s="4">
        <ns0:v>41.91</ns0:v>
      </ns0:c>
      <ns0:c r="F279" s="4">
        <ns0:v>37.48</ns0:v>
      </ns0:c>
      <ns0:c r="G279" s="4">
        <ns0:v>40.56</ns0:v>
      </ns0:c>
      <ns0:c r="H279" s="4">
        <ns0:v>28.03</ns0:v>
      </ns0:c>
      <ns0:c r="I279" s="4">
        <ns0:v>47.57</ns0:v>
      </ns0:c>
      <ns0:c r="J279" s="4">
        <ns0:v>32.87</ns0:v>
      </ns0:c>
      <ns0:c r="K279" s="4">
        <ns0:v>33.04</ns0:v>
      </ns0:c>
      <ns0:c r="L279" s="4">
        <ns0:v>39.02</ns0:v>
      </ns0:c>
      <ns0:c r="M279" s="4">
        <ns0:v>46.32</ns0:v>
      </ns0:c>
      <ns0:c r="N279" s="4">
        <ns0:v>39.32</ns0:v>
      </ns0:c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 t="inlineStr">
        <ns0:is>
          <ns0:t>折旧及摊销单价</ns0:t>
        </ns0:is>
      </ns0:c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 t="inlineStr">
        <ns0:is>
          <ns0:t>机票火车票单价</ns0:t>
        </ns0:is>
      </ns0:c>
      <ns0:c r="C281" s="4">
        <ns0:v>19.36</ns0:v>
      </ns0:c>
      <ns0:c r="D281" s="4">
        <ns0:v>29.82</ns0:v>
      </ns0:c>
      <ns0:c r="E281" s="4">
        <ns0:v>19.32</ns0:v>
      </ns0:c>
      <ns0:c r="F281" s="4">
        <ns0:v>54.54</ns0:v>
      </ns0:c>
      <ns0:c r="G281" s="4">
        <ns0:v>68.49</ns0:v>
      </ns0:c>
      <ns0:c r="H281" s="4">
        <ns0:v>37.82</ns0:v>
      </ns0:c>
      <ns0:c r="I281" s="4">
        <ns0:v>34.38</ns0:v>
      </ns0:c>
      <ns0:c r="J281" s="4">
        <ns0:v>26.11</ns0:v>
      </ns0:c>
      <ns0:c r="K281" s="4">
        <ns0:v>47.65</ns0:v>
      </ns0:c>
      <ns0:c r="L281" s="4">
        <ns0:v>69.96</ns0:v>
      </ns0:c>
      <ns0:c r="M281" s="4">
        <ns0:v>25.82</ns0:v>
      </ns0:c>
      <ns0:c r="N281" s="4">
        <ns0:v>66.23</ns0:v>
      </ns0:c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 t="inlineStr">
        <ns0:is>
          <ns0:t>住宿费单价</ns0:t>
        </ns0:is>
      </ns0:c>
      <ns0:c r="C282" s="4">
        <ns0:v>33.36</ns0:v>
      </ns0:c>
      <ns0:c r="D282" s="4">
        <ns0:v>57.36</ns0:v>
      </ns0:c>
      <ns0:c r="E282" s="4">
        <ns0:v>60.27</ns0:v>
      </ns0:c>
      <ns0:c r="F282" s="4">
        <ns0:v>23.99</ns0:v>
      </ns0:c>
      <ns0:c r="G282" s="4">
        <ns0:v>51.32</ns0:v>
      </ns0:c>
      <ns0:c r="H282" s="4">
        <ns0:v>30.40</ns0:v>
      </ns0:c>
      <ns0:c r="I282" s="4">
        <ns0:v>36.36</ns0:v>
      </ns0:c>
      <ns0:c r="J282" s="4">
        <ns0:v>68.27</ns0:v>
      </ns0:c>
      <ns0:c r="K282" s="4">
        <ns0:v>41.16</ns0:v>
      </ns0:c>
      <ns0:c r="L282" s="4">
        <ns0:v>49.95</ns0:v>
      </ns0:c>
      <ns0:c r="M282" s="4">
        <ns0:v>39.26</ns0:v>
      </ns0:c>
      <ns0:c r="N282" s="4">
        <ns0:v>54.71</ns0:v>
      </ns0:c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 t="inlineStr">
        <ns0:is>
          <ns0:t>交通费单价</ns0:t>
        </ns0:is>
      </ns0:c>
      <ns0:c r="C283" s="4">
        <ns0:v>26.09</ns0:v>
      </ns0:c>
      <ns0:c r="D283" s="4">
        <ns0:v>44.70</ns0:v>
      </ns0:c>
      <ns0:c r="E283" s="4">
        <ns0:v>27.06</ns0:v>
      </ns0:c>
      <ns0:c r="F283" s="4">
        <ns0:v>41.21</ns0:v>
      </ns0:c>
      <ns0:c r="G283" s="4">
        <ns0:v>25.08</ns0:v>
      </ns0:c>
      <ns0:c r="H283" s="4">
        <ns0:v>61.70</ns0:v>
      </ns0:c>
      <ns0:c r="I283" s="4">
        <ns0:v>22.96</ns0:v>
      </ns0:c>
      <ns0:c r="J283" s="4">
        <ns0:v>18.20</ns0:v>
      </ns0:c>
      <ns0:c r="K283" s="4">
        <ns0:v>53.03</ns0:v>
      </ns0:c>
      <ns0:c r="L283" s="4">
        <ns0:v>57.62</ns0:v>
      </ns0:c>
      <ns0:c r="M283" s="4">
        <ns0:v>47.17</ns0:v>
      </ns0:c>
      <ns0:c r="N283" s="4">
        <ns0:v>39.16</ns0:v>
      </ns0:c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 t="inlineStr">
        <ns0:is>
          <ns0:t>差旅补贴单价</ns0:t>
        </ns0:is>
      </ns0:c>
      <ns0:c r="C284" s="4">
        <ns0:v>14.93</ns0:v>
      </ns0:c>
      <ns0:c r="D284" s="4">
        <ns0:v>34.06</ns0:v>
      </ns0:c>
      <ns0:c r="E284" s="4">
        <ns0:v>49.32</ns0:v>
      </ns0:c>
      <ns0:c r="F284" s="4">
        <ns0:v>51.10</ns0:v>
      </ns0:c>
      <ns0:c r="G284" s="4">
        <ns0:v>22.16</ns0:v>
      </ns0:c>
      <ns0:c r="H284" s="4">
        <ns0:v>43.35</ns0:v>
      </ns0:c>
      <ns0:c r="I284" s="4">
        <ns0:v>48.34</ns0:v>
      </ns0:c>
      <ns0:c r="J284" s="4">
        <ns0:v>27.99</ns0:v>
      </ns0:c>
      <ns0:c r="K284" s="4">
        <ns0:v>23.14</ns0:v>
      </ns0:c>
      <ns0:c r="L284" s="4">
        <ns0:v>43.70</ns0:v>
      </ns0:c>
      <ns0:c r="M284" s="4">
        <ns0:v>27.13</ns0:v>
      </ns0:c>
      <ns0:c r="N284" s="4">
        <ns0:v>31.20</ns0:v>
      </ns0:c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 t="inlineStr">
        <ns0:is>
          <ns0:t>业务招待费单价</ns0:t>
        </ns0:is>
      </ns0:c>
      <ns0:c r="C285" s="4">
        <ns0:v>17.79</ns0:v>
      </ns0:c>
      <ns0:c r="D285" s="4">
        <ns0:v>65.28</ns0:v>
      </ns0:c>
      <ns0:c r="E285" s="4">
        <ns0:v>31.70</ns0:v>
      </ns0:c>
      <ns0:c r="F285" s="4">
        <ns0:v>39.97</ns0:v>
      </ns0:c>
      <ns0:c r="G285" s="4">
        <ns0:v>23.67</ns0:v>
      </ns0:c>
      <ns0:c r="H285" s="4">
        <ns0:v>31.72</ns0:v>
      </ns0:c>
      <ns0:c r="I285" s="4">
        <ns0:v>39.76</ns0:v>
      </ns0:c>
      <ns0:c r="J285" s="4">
        <ns0:v>29.33</ns0:v>
      </ns0:c>
      <ns0:c r="K285" s="4">
        <ns0:v>32.85</ns0:v>
      </ns0:c>
      <ns0:c r="L285" s="4">
        <ns0:v>60.33</ns0:v>
      </ns0:c>
      <ns0:c r="M285" s="4">
        <ns0:v>25.10</ns0:v>
      </ns0:c>
      <ns0:c r="N285" s="4">
        <ns0:v>40.50</ns0:v>
      </ns0:c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 t="inlineStr">
        <ns0:is>
          <ns0:t>市内交通费单价</ns0:t>
        </ns0:is>
      </ns0:c>
      <ns0:c r="C286" s="4">
        <ns0:v>57.90</ns0:v>
      </ns0:c>
      <ns0:c r="D286" s="4">
        <ns0:v>22.83</ns0:v>
      </ns0:c>
      <ns0:c r="E286" s="4">
        <ns0:v>50.11</ns0:v>
      </ns0:c>
      <ns0:c r="F286" s="4">
        <ns0:v>46.73</ns0:v>
      </ns0:c>
      <ns0:c r="G286" s="4">
        <ns0:v>39.90</ns0:v>
      </ns0:c>
      <ns0:c r="H286" s="4">
        <ns0:v>18.14</ns0:v>
      </ns0:c>
      <ns0:c r="I286" s="4">
        <ns0:v>66.32</ns0:v>
      </ns0:c>
      <ns0:c r="J286" s="4">
        <ns0:v>52.93</ns0:v>
      </ns0:c>
      <ns0:c r="K286" s="4">
        <ns0:v>52.75</ns0:v>
      </ns0:c>
      <ns0:c r="L286" s="4">
        <ns0:v>33.75</ns0:v>
      </ns0:c>
      <ns0:c r="M286" s="4">
        <ns0:v>41.23</ns0:v>
      </ns0:c>
      <ns0:c r="N286" s="4">
        <ns0:v>42.15</ns0:v>
      </ns0:c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 t="inlineStr">
        <ns0:is>
          <ns0:t>调研费用单价</ns0:t>
        </ns0:is>
      </ns0:c>
      <ns0:c r="C287" s="4">
        <ns0:v>61.35</ns0:v>
      </ns0:c>
      <ns0:c r="D287" s="4">
        <ns0:v>53.94</ns0:v>
      </ns0:c>
      <ns0:c r="E287" s="4">
        <ns0:v>49.06</ns0:v>
      </ns0:c>
      <ns0:c r="F287" s="4">
        <ns0:v>65.85</ns0:v>
      </ns0:c>
      <ns0:c r="G287" s="4">
        <ns0:v>31.33</ns0:v>
      </ns0:c>
      <ns0:c r="H287" s="4">
        <ns0:v>36.62</ns0:v>
      </ns0:c>
      <ns0:c r="I287" s="4">
        <ns0:v>32.27</ns0:v>
      </ns0:c>
      <ns0:c r="J287" s="4">
        <ns0:v>48.40</ns0:v>
      </ns0:c>
      <ns0:c r="K287" s="4">
        <ns0:v>59.87</ns0:v>
      </ns0:c>
      <ns0:c r="L287" s="4">
        <ns0:v>19.51</ns0:v>
      </ns0:c>
      <ns0:c r="M287" s="4">
        <ns0:v>23.20</ns0:v>
      </ns0:c>
      <ns0:c r="N287" s="4">
        <ns0:v>67.80</ns0:v>
      </ns0:c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 t="inlineStr">
        <ns0:is>
          <ns0:t>手续费单价</ns0:t>
        </ns0:is>
      </ns0:c>
      <ns0:c r="C288" s="4">
        <ns0:v>36.86</ns0:v>
      </ns0:c>
      <ns0:c r="D288" s="4">
        <ns0:v>42.30</ns0:v>
      </ns0:c>
      <ns0:c r="E288" s="4">
        <ns0:v>65.39</ns0:v>
      </ns0:c>
      <ns0:c r="F288" s="4">
        <ns0:v>39.04</ns0:v>
      </ns0:c>
      <ns0:c r="G288" s="4">
        <ns0:v>55.51</ns0:v>
      </ns0:c>
      <ns0:c r="H288" s="4">
        <ns0:v>33.87</ns0:v>
      </ns0:c>
      <ns0:c r="I288" s="4">
        <ns0:v>66.71</ns0:v>
      </ns0:c>
      <ns0:c r="J288" s="4">
        <ns0:v>34.60</ns0:v>
      </ns0:c>
      <ns0:c r="K288" s="4">
        <ns0:v>27.75</ns0:v>
      </ns0:c>
      <ns0:c r="L288" s="4">
        <ns0:v>24.89</ns0:v>
      </ns0:c>
      <ns0:c r="M288" s="4">
        <ns0:v>40.25</ns0:v>
      </ns0:c>
      <ns0:c r="N288" s="4">
        <ns0:v>51.09</ns0:v>
      </ns0:c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 t="inlineStr">
        <ns0:is>
          <ns0:t>利息收入单价</ns0:t>
        </ns0:is>
      </ns0:c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 t="inlineStr">
        <ns0:is>
          <ns0:t>利息支出单价</ns0:t>
        </ns0:is>
      </ns0:c>
      <ns0:c r="C290" s="4">
        <ns0:v>16.24</ns0:v>
      </ns0:c>
      <ns0:c r="D290" s="4">
        <ns0:v>22.07</ns0:v>
      </ns0:c>
      <ns0:c r="E290" s="4">
        <ns0:v>42.23</ns0:v>
      </ns0:c>
      <ns0:c r="F290" s="4">
        <ns0:v>47.10</ns0:v>
      </ns0:c>
      <ns0:c r="G290" s="4">
        <ns0:v>51.94</ns0:v>
      </ns0:c>
      <ns0:c r="H290" s="4">
        <ns0:v>19.09</ns0:v>
      </ns0:c>
      <ns0:c r="I290" s="4">
        <ns0:v>69.13</ns0:v>
      </ns0:c>
      <ns0:c r="J290" s="4">
        <ns0:v>21.49</ns0:v>
      </ns0:c>
      <ns0:c r="K290" s="4">
        <ns0:v>74.36</ns0:v>
      </ns0:c>
      <ns0:c r="L290" s="4">
        <ns0:v>53.48</ns0:v>
      </ns0:c>
      <ns0:c r="M290" s="4">
        <ns0:v>30.06</ns0:v>
      </ns0:c>
      <ns0:c r="N290" s="4">
        <ns0:v>19.40</ns0:v>
      </ns0:c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 t="inlineStr">
        <ns0:is>
          <ns0:t>车船税单价</ns0:t>
        </ns0:is>
      </ns0:c>
      <ns0:c r="C291" s="4">
        <ns0:v>67.53</ns0:v>
      </ns0:c>
      <ns0:c r="D291" s="4">
        <ns0:v>22.76</ns0:v>
      </ns0:c>
      <ns0:c r="E291" s="4">
        <ns0:v>27.88</ns0:v>
      </ns0:c>
      <ns0:c r="F291" s="4">
        <ns0:v>56.87</ns0:v>
      </ns0:c>
      <ns0:c r="G291" s="4">
        <ns0:v>23.97</ns0:v>
      </ns0:c>
      <ns0:c r="H291" s="4">
        <ns0:v>59.12</ns0:v>
      </ns0:c>
      <ns0:c r="I291" s="4">
        <ns0:v>61.76</ns0:v>
      </ns0:c>
      <ns0:c r="J291" s="4">
        <ns0:v>20.40</ns0:v>
      </ns0:c>
      <ns0:c r="K291" s="4">
        <ns0:v>33.27</ns0:v>
      </ns0:c>
      <ns0:c r="L291" s="4">
        <ns0:v>32.93</ns0:v>
      </ns0:c>
      <ns0:c r="M291" s="4">
        <ns0:v>24.09</ns0:v>
      </ns0:c>
      <ns0:c r="N291" s="4">
        <ns0:v>22.41</ns0:v>
      </ns0:c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 t="inlineStr">
        <ns0:is>
          <ns0:t>印花税单价</ns0:t>
        </ns0:is>
      </ns0:c>
      <ns0:c r="C292" s="4">
        <ns0:v>21.42</ns0:v>
      </ns0:c>
      <ns0:c r="D292" s="4">
        <ns0:v>40.48</ns0:v>
      </ns0:c>
      <ns0:c r="E292" s="4">
        <ns0:v>44.31</ns0:v>
      </ns0:c>
      <ns0:c r="F292" s="4">
        <ns0:v>60.76</ns0:v>
      </ns0:c>
      <ns0:c r="G292" s="4">
        <ns0:v>57.62</ns0:v>
      </ns0:c>
      <ns0:c r="H292" s="4">
        <ns0:v>54.46</ns0:v>
      </ns0:c>
      <ns0:c r="I292" s="4">
        <ns0:v>17.36</ns0:v>
      </ns0:c>
      <ns0:c r="J292" s="4">
        <ns0:v>48.59</ns0:v>
      </ns0:c>
      <ns0:c r="K292" s="4">
        <ns0:v>40.64</ns0:v>
      </ns0:c>
      <ns0:c r="L292" s="4">
        <ns0:v>72.29</ns0:v>
      </ns0:c>
      <ns0:c r="M292" s="4">
        <ns0:v>38.98</ns0:v>
      </ns0:c>
      <ns0:c r="N292" s="4">
        <ns0:v>56.73</ns0:v>
      </ns0:c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 t="inlineStr">
        <ns0:is>
          <ns0:t>其他单价</ns0:t>
        </ns0:is>
      </ns0:c>
      <ns0:c r="C293" s="4">
        <ns0:v>33.23</ns0:v>
      </ns0:c>
      <ns0:c r="D293" s="4">
        <ns0:v>35.92</ns0:v>
      </ns0:c>
      <ns0:c r="E293" s="4">
        <ns0:v>48.33</ns0:v>
      </ns0:c>
      <ns0:c r="F293" s="4">
        <ns0:v>19.08</ns0:v>
      </ns0:c>
      <ns0:c r="G293" s="4">
        <ns0:v>42.39</ns0:v>
      </ns0:c>
      <ns0:c r="H293" s="4">
        <ns0:v>23.94</ns0:v>
      </ns0:c>
      <ns0:c r="I293" s="4">
        <ns0:v>33.71</ns0:v>
      </ns0:c>
      <ns0:c r="J293" s="4">
        <ns0:v>21.73</ns0:v>
      </ns0:c>
      <ns0:c r="K293" s="4">
        <ns0:v>34.98</ns0:v>
      </ns0:c>
      <ns0:c r="L293" s="4">
        <ns0:v>29.97</ns0:v>
      </ns0:c>
      <ns0:c r="M293" s="4">
        <ns0:v>21.79</ns0:v>
      </ns0:c>
      <ns0:c r="N293" s="4">
        <ns0:v>66.99</ns0:v>
      </ns0:c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 t="inlineStr">
        <ns0:is>
          <ns0:t>工资数量</ns0:t>
        </ns0:is>
      </ns0:c>
      <ns0:c r="C324" s="4">
        <ns0:v>2.65</ns0:v>
      </ns0:c>
      <ns0:c r="D324" s="4">
        <ns0:v>5.23</ns0:v>
      </ns0:c>
      <ns0:c r="E324" s="4">
        <ns0:v>6.72</ns0:v>
      </ns0:c>
      <ns0:c r="F324" s="4">
        <ns0:v>9.48</ns0:v>
      </ns0:c>
      <ns0:c r="G324" s="4">
        <ns0:v>2.48</ns0:v>
      </ns0:c>
      <ns0:c r="H324" s="4">
        <ns0:v>3.78</ns0:v>
      </ns0:c>
      <ns0:c r="I324" s="4">
        <ns0:v>8.01</ns0:v>
      </ns0:c>
      <ns0:c r="J324" s="4">
        <ns0:v>5.70</ns0:v>
      </ns0:c>
      <ns0:c r="K324" s="4">
        <ns0:v>4.53</ns0:v>
      </ns0:c>
      <ns0:c r="L324" s="4">
        <ns0:v>3.73</ns0:v>
      </ns0:c>
      <ns0:c r="M324" s="4">
        <ns0:v>7.40</ns0:v>
      </ns0:c>
      <ns0:c r="N324" s="4">
        <ns0:v>8.84</ns0:v>
      </ns0:c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 t="inlineStr">
        <ns0:is>
          <ns0:t>十三薪数量</ns0:t>
        </ns0:is>
      </ns0:c>
      <ns0:c r="C325" s="4">
        <ns0:v>4.71</ns0:v>
      </ns0:c>
      <ns0:c r="D325" s="4">
        <ns0:v>3.51</ns0:v>
      </ns0:c>
      <ns0:c r="E325" s="4">
        <ns0:v>7.86</ns0:v>
      </ns0:c>
      <ns0:c r="F325" s="4">
        <ns0:v>3.63</ns0:v>
      </ns0:c>
      <ns0:c r="G325" s="4">
        <ns0:v>9.37</ns0:v>
      </ns0:c>
      <ns0:c r="H325" s="4">
        <ns0:v>2.38</ns0:v>
      </ns0:c>
      <ns0:c r="I325" s="4">
        <ns0:v>9.67</ns0:v>
      </ns0:c>
      <ns0:c r="J325" s="4">
        <ns0:v>2.86</ns0:v>
      </ns0:c>
      <ns0:c r="K325" s="4">
        <ns0:v>6.57</ns0:v>
      </ns0:c>
      <ns0:c r="L325" s="4">
        <ns0:v>4.28</ns0:v>
      </ns0:c>
      <ns0:c r="M325" s="4">
        <ns0:v>3.40</ns0:v>
      </ns0:c>
      <ns0:c r="N325" s="4">
        <ns0:v>4.72</ns0:v>
      </ns0:c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 t="inlineStr">
        <ns0:is>
          <ns0:t>离职补偿金数量</ns0:t>
        </ns0:is>
      </ns0:c>
      <ns0:c r="C326" s="4">
        <ns0:v>4.45</ns0:v>
      </ns0:c>
      <ns0:c r="D326" s="4">
        <ns0:v>2.47</ns0:v>
      </ns0:c>
      <ns0:c r="E326" s="4">
        <ns0:v>2.64</ns0:v>
      </ns0:c>
      <ns0:c r="F326" s="4">
        <ns0:v>5.46</ns0:v>
      </ns0:c>
      <ns0:c r="G326" s="4">
        <ns0:v>9.92</ns0:v>
      </ns0:c>
      <ns0:c r="H326" s="4">
        <ns0:v>2.95</ns0:v>
      </ns0:c>
      <ns0:c r="I326" s="4">
        <ns0:v>4.23</ns0:v>
      </ns0:c>
      <ns0:c r="J326" s="4">
        <ns0:v>4.01</ns0:v>
      </ns0:c>
      <ns0:c r="K326" s="4">
        <ns0:v>3.94</ns0:v>
      </ns0:c>
      <ns0:c r="L326" s="4">
        <ns0:v>6.40</ns0:v>
      </ns0:c>
      <ns0:c r="M326" s="4">
        <ns0:v>3.66</ns0:v>
      </ns0:c>
      <ns0:c r="N326" s="4">
        <ns0:v>4.74</ns0:v>
      </ns0:c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 t="inlineStr">
        <ns0:is>
          <ns0:t>五险一金数量</ns0:t>
        </ns0:is>
      </ns0:c>
      <ns0:c r="C327" s="4">
        <ns0:v>7.42</ns0:v>
      </ns0:c>
      <ns0:c r="D327" s="4">
        <ns0:v>3.06</ns0:v>
      </ns0:c>
      <ns0:c r="E327" s="4">
        <ns0:v>8.14</ns0:v>
      </ns0:c>
      <ns0:c r="F327" s="4">
        <ns0:v>8.35</ns0:v>
      </ns0:c>
      <ns0:c r="G327" s="4">
        <ns0:v>9.20</ns0:v>
      </ns0:c>
      <ns0:c r="H327" s="4">
        <ns0:v>8.47</ns0:v>
      </ns0:c>
      <ns0:c r="I327" s="4">
        <ns0:v>5.24</ns0:v>
      </ns0:c>
      <ns0:c r="J327" s="4">
        <ns0:v>7.66</ns0:v>
      </ns0:c>
      <ns0:c r="K327" s="4">
        <ns0:v>4.63</ns0:v>
      </ns0:c>
      <ns0:c r="L327" s="4">
        <ns0:v>2.97</ns0:v>
      </ns0:c>
      <ns0:c r="M327" s="4">
        <ns0:v>7.36</ns0:v>
      </ns0:c>
      <ns0:c r="N327" s="4">
        <ns0:v>5.74</ns0:v>
      </ns0:c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 t="inlineStr">
        <ns0:is>
          <ns0:t>福利费数量</ns0:t>
        </ns0:is>
      </ns0:c>
      <ns0:c r="C328" s="4">
        <ns0:v>2.25</ns0:v>
      </ns0:c>
      <ns0:c r="D328" s="4">
        <ns0:v>3.44</ns0:v>
      </ns0:c>
      <ns0:c r="E328" s="4">
        <ns0:v>3.20</ns0:v>
      </ns0:c>
      <ns0:c r="F328" s="4">
        <ns0:v>5.92</ns0:v>
      </ns0:c>
      <ns0:c r="G328" s="4">
        <ns0:v>2.04</ns0:v>
      </ns0:c>
      <ns0:c r="H328" s="4">
        <ns0:v>8.26</ns0:v>
      </ns0:c>
      <ns0:c r="I328" s="4">
        <ns0:v>8.55</ns0:v>
      </ns0:c>
      <ns0:c r="J328" s="4">
        <ns0:v>9.07</ns0:v>
      </ns0:c>
      <ns0:c r="K328" s="4">
        <ns0:v>7.05</ns0:v>
      </ns0:c>
      <ns0:c r="L328" s="4">
        <ns0:v>4.75</ns0:v>
      </ns0:c>
      <ns0:c r="M328" s="4">
        <ns0:v>5.27</ns0:v>
      </ns0:c>
      <ns0:c r="N328" s="4">
        <ns0:v>7.65</ns0:v>
      </ns0:c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 t="inlineStr">
        <ns0:is>
          <ns0:t>招聘费数量</ns0:t>
        </ns0:is>
      </ns0:c>
      <ns0:c r="C329" s="4">
        <ns0:v>4.53</ns0:v>
      </ns0:c>
      <ns0:c r="D329" s="4">
        <ns0:v>6.44</ns0:v>
      </ns0:c>
      <ns0:c r="E329" s="4">
        <ns0:v>8.98</ns0:v>
      </ns0:c>
      <ns0:c r="F329" s="4">
        <ns0:v>2.38</ns0:v>
      </ns0:c>
      <ns0:c r="G329" s="4">
        <ns0:v>8.52</ns0:v>
      </ns0:c>
      <ns0:c r="H329" s="4">
        <ns0:v>7.79</ns0:v>
      </ns0:c>
      <ns0:c r="I329" s="4">
        <ns0:v>5.85</ns0:v>
      </ns0:c>
      <ns0:c r="J329" s="4">
        <ns0:v>3.76</ns0:v>
      </ns0:c>
      <ns0:c r="K329" s="4">
        <ns0:v>3.84</ns0:v>
      </ns0:c>
      <ns0:c r="L329" s="4">
        <ns0:v>6.96</ns0:v>
      </ns0:c>
      <ns0:c r="M329" s="4">
        <ns0:v>6.28</ns0:v>
      </ns0:c>
      <ns0:c r="N329" s="4">
        <ns0:v>2.27</ns0:v>
      </ns0:c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 t="inlineStr">
        <ns0:is>
          <ns0:t>培训费数量</ns0:t>
        </ns0:is>
      </ns0:c>
      <ns0:c r="C330" s="4">
        <ns0:v>8.56</ns0:v>
      </ns0:c>
      <ns0:c r="D330" s="4">
        <ns0:v>6.91</ns0:v>
      </ns0:c>
      <ns0:c r="E330" s="4">
        <ns0:v>6.43</ns0:v>
      </ns0:c>
      <ns0:c r="F330" s="4">
        <ns0:v>6.21</ns0:v>
      </ns0:c>
      <ns0:c r="G330" s="4">
        <ns0:v>7.97</ns0:v>
      </ns0:c>
      <ns0:c r="H330" s="4">
        <ns0:v>3.90</ns0:v>
      </ns0:c>
      <ns0:c r="I330" s="4">
        <ns0:v>7.89</ns0:v>
      </ns0:c>
      <ns0:c r="J330" s="4">
        <ns0:v>2.98</ns0:v>
      </ns0:c>
      <ns0:c r="K330" s="4">
        <ns0:v>5.67</ns0:v>
      </ns0:c>
      <ns0:c r="L330" s="4">
        <ns0:v>2.93</ns0:v>
      </ns0:c>
      <ns0:c r="M330" s="4">
        <ns0:v>3.43</ns0:v>
      </ns0:c>
      <ns0:c r="N330" s="4">
        <ns0:v>7.56</ns0:v>
      </ns0:c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 t="inlineStr">
        <ns0:is>
          <ns0:t>房租数量</ns0:t>
        </ns0:is>
      </ns0:c>
      <ns0:c r="C331" s="4">
        <ns0:v>4.71</ns0:v>
      </ns0:c>
      <ns0:c r="D331" s="4">
        <ns0:v>8.56</ns0:v>
      </ns0:c>
      <ns0:c r="E331" s="4">
        <ns0:v>3.42</ns0:v>
      </ns0:c>
      <ns0:c r="F331" s="4">
        <ns0:v>5.37</ns0:v>
      </ns0:c>
      <ns0:c r="G331" s="4">
        <ns0:v>4.11</ns0:v>
      </ns0:c>
      <ns0:c r="H331" s="4">
        <ns0:v>4.15</ns0:v>
      </ns0:c>
      <ns0:c r="I331" s="4">
        <ns0:v>9.54</ns0:v>
      </ns0:c>
      <ns0:c r="J331" s="4">
        <ns0:v>4.69</ns0:v>
      </ns0:c>
      <ns0:c r="K331" s="4">
        <ns0:v>5.04</ns0:v>
      </ns0:c>
      <ns0:c r="L331" s="4">
        <ns0:v>6.41</ns0:v>
      </ns0:c>
      <ns0:c r="M331" s="4">
        <ns0:v>4.05</ns0:v>
      </ns0:c>
      <ns0:c r="N331" s="4">
        <ns0:v>5.06</ns0:v>
      </ns0:c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 t="inlineStr">
        <ns0:is>
          <ns0:t>物业管理费数量</ns0:t>
        </ns0:is>
      </ns0:c>
      <ns0:c r="C332" s="4">
        <ns0:v>5.16</ns0:v>
      </ns0:c>
      <ns0:c r="D332" s="4">
        <ns0:v>4.66</ns0:v>
      </ns0:c>
      <ns0:c r="E332" s="4">
        <ns0:v>4.30</ns0:v>
      </ns0:c>
      <ns0:c r="F332" s="4">
        <ns0:v>4.96</ns0:v>
      </ns0:c>
      <ns0:c r="G332" s="4">
        <ns0:v>9.39</ns0:v>
      </ns0:c>
      <ns0:c r="H332" s="4">
        <ns0:v>8.94</ns0:v>
      </ns0:c>
      <ns0:c r="I332" s="4">
        <ns0:v>6.31</ns0:v>
      </ns0:c>
      <ns0:c r="J332" s="4">
        <ns0:v>5.17</ns0:v>
      </ns0:c>
      <ns0:c r="K332" s="4">
        <ns0:v>5.18</ns0:v>
      </ns0:c>
      <ns0:c r="L332" s="4">
        <ns0:v>3.30</ns0:v>
      </ns0:c>
      <ns0:c r="M332" s="4">
        <ns0:v>5.83</ns0:v>
      </ns0:c>
      <ns0:c r="N332" s="4">
        <ns0:v>5.50</ns0:v>
      </ns0:c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 t="inlineStr">
        <ns0:is>
          <ns0:t>汽车费用数量</ns0:t>
        </ns0:is>
      </ns0:c>
      <ns0:c r="C333" s="4">
        <ns0:v>5.06</ns0:v>
      </ns0:c>
      <ns0:c r="D333" s="4">
        <ns0:v>7.40</ns0:v>
      </ns0:c>
      <ns0:c r="E333" s="4">
        <ns0:v>4.33</ns0:v>
      </ns0:c>
      <ns0:c r="F333" s="4">
        <ns0:v>4.02</ns0:v>
      </ns0:c>
      <ns0:c r="G333" s="4">
        <ns0:v>4.99</ns0:v>
      </ns0:c>
      <ns0:c r="H333" s="4">
        <ns0:v>5.76</ns0:v>
      </ns0:c>
      <ns0:c r="I333" s="4">
        <ns0:v>8.86</ns0:v>
      </ns0:c>
      <ns0:c r="J333" s="4">
        <ns0:v>4.88</ns0:v>
      </ns0:c>
      <ns0:c r="K333" s="4">
        <ns0:v>7.35</ns0:v>
      </ns0:c>
      <ns0:c r="L333" s="4">
        <ns0:v>7.06</ns0:v>
      </ns0:c>
      <ns0:c r="M333" s="4">
        <ns0:v>8.30</ns0:v>
      </ns0:c>
      <ns0:c r="N333" s="4">
        <ns0:v>5.13</ns0:v>
      </ns0:c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 t="inlineStr">
        <ns0:is>
          <ns0:t>办公费数量</ns0:t>
        </ns0:is>
      </ns0:c>
      <ns0:c r="C334" s="4">
        <ns0:v>7.95</ns0:v>
      </ns0:c>
      <ns0:c r="D334" s="4">
        <ns0:v>3.08</ns0:v>
      </ns0:c>
      <ns0:c r="E334" s="4">
        <ns0:v>5.16</ns0:v>
      </ns0:c>
      <ns0:c r="F334" s="4">
        <ns0:v>7.69</ns0:v>
      </ns0:c>
      <ns0:c r="G334" s="4">
        <ns0:v>7.76</ns0:v>
      </ns0:c>
      <ns0:c r="H334" s="4">
        <ns0:v>5.29</ns0:v>
      </ns0:c>
      <ns0:c r="I334" s="4">
        <ns0:v>7.56</ns0:v>
      </ns0:c>
      <ns0:c r="J334" s="4">
        <ns0:v>8.84</ns0:v>
      </ns0:c>
      <ns0:c r="K334" s="4">
        <ns0:v>7.63</ns0:v>
      </ns0:c>
      <ns0:c r="L334" s="4">
        <ns0:v>4.35</ns0:v>
      </ns0:c>
      <ns0:c r="M334" s="4">
        <ns0:v>7.73</ns0:v>
      </ns0:c>
      <ns0:c r="N334" s="4">
        <ns0:v>5.87</ns0:v>
      </ns0:c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 t="inlineStr">
        <ns0:is>
          <ns0:t>办公用品数量</ns0:t>
        </ns0:is>
      </ns0:c>
      <ns0:c r="C335" s="4">
        <ns0:v>4.95</ns0:v>
      </ns0:c>
      <ns0:c r="D335" s="4">
        <ns0:v>3.38</ns0:v>
      </ns0:c>
      <ns0:c r="E335" s="4">
        <ns0:v>3.20</ns0:v>
      </ns0:c>
      <ns0:c r="F335" s="4">
        <ns0:v>4.78</ns0:v>
      </ns0:c>
      <ns0:c r="G335" s="4">
        <ns0:v>5.26</ns0:v>
      </ns0:c>
      <ns0:c r="H335" s="4">
        <ns0:v>7.90</ns0:v>
      </ns0:c>
      <ns0:c r="I335" s="4">
        <ns0:v>3.37</ns0:v>
      </ns0:c>
      <ns0:c r="J335" s="4">
        <ns0:v>6.82</ns0:v>
      </ns0:c>
      <ns0:c r="K335" s="4">
        <ns0:v>7.38</ns0:v>
      </ns0:c>
      <ns0:c r="L335" s="4">
        <ns0:v>4.56</ns0:v>
      </ns0:c>
      <ns0:c r="M335" s="4">
        <ns0:v>4.57</ns0:v>
      </ns0:c>
      <ns0:c r="N335" s="4">
        <ns0:v>8.86</ns0:v>
      </ns0:c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 t="inlineStr">
        <ns0:is>
          <ns0:t>水电煤数量</ns0:t>
        </ns0:is>
      </ns0:c>
      <ns0:c r="C336" s="4">
        <ns0:v>3.15</ns0:v>
      </ns0:c>
      <ns0:c r="D336" s="4">
        <ns0:v>3.54</ns0:v>
      </ns0:c>
      <ns0:c r="E336" s="4">
        <ns0:v>3.63</ns0:v>
      </ns0:c>
      <ns0:c r="F336" s="4">
        <ns0:v>3.63</ns0:v>
      </ns0:c>
      <ns0:c r="G336" s="4">
        <ns0:v>8.26</ns0:v>
      </ns0:c>
      <ns0:c r="H336" s="4">
        <ns0:v>4.47</ns0:v>
      </ns0:c>
      <ns0:c r="I336" s="4">
        <ns0:v>4.53</ns0:v>
      </ns0:c>
      <ns0:c r="J336" s="4">
        <ns0:v>6.60</ns0:v>
      </ns0:c>
      <ns0:c r="K336" s="4">
        <ns0:v>3.18</ns0:v>
      </ns0:c>
      <ns0:c r="L336" s="4">
        <ns0:v>7.16</ns0:v>
      </ns0:c>
      <ns0:c r="M336" s="4">
        <ns0:v>5.28</ns0:v>
      </ns0:c>
      <ns0:c r="N336" s="4">
        <ns0:v>6.36</ns0:v>
      </ns0:c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 t="inlineStr">
        <ns0:is>
          <ns0:t>咨询服务费数量</ns0:t>
        </ns0:is>
      </ns0:c>
      <ns0:c r="C337" s="4">
        <ns0:v>3.13</ns0:v>
      </ns0:c>
      <ns0:c r="D337" s="4">
        <ns0:v>7.31</ns0:v>
      </ns0:c>
      <ns0:c r="E337" s="4">
        <ns0:v>2.68</ns0:v>
      </ns0:c>
      <ns0:c r="F337" s="4">
        <ns0:v>8.85</ns0:v>
      </ns0:c>
      <ns0:c r="G337" s="4">
        <ns0:v>3.63</ns0:v>
      </ns0:c>
      <ns0:c r="H337" s="4">
        <ns0:v>5.66</ns0:v>
      </ns0:c>
      <ns0:c r="I337" s="4">
        <ns0:v>4.45</ns0:v>
      </ns0:c>
      <ns0:c r="J337" s="4">
        <ns0:v>5.34</ns0:v>
      </ns0:c>
      <ns0:c r="K337" s="4">
        <ns0:v>3.27</ns0:v>
      </ns0:c>
      <ns0:c r="L337" s="4">
        <ns0:v>7.25</ns0:v>
      </ns0:c>
      <ns0:c r="M337" s="4">
        <ns0:v>3.99</ns0:v>
      </ns0:c>
      <ns0:c r="N337" s="4">
        <ns0:v>5.82</ns0:v>
      </ns0:c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 t="inlineStr">
        <ns0:is>
          <ns0:t>电话费数量</ns0:t>
        </ns0:is>
      </ns0:c>
      <ns0:c r="C338" s="4">
        <ns0:v>2.49</ns0:v>
      </ns0:c>
      <ns0:c r="D338" s="4">
        <ns0:v>6.36</ns0:v>
      </ns0:c>
      <ns0:c r="E338" s="4">
        <ns0:v>3.88</ns0:v>
      </ns0:c>
      <ns0:c r="F338" s="4">
        <ns0:v>4.40</ns0:v>
      </ns0:c>
      <ns0:c r="G338" s="4">
        <ns0:v>3.96</ns0:v>
      </ns0:c>
      <ns0:c r="H338" s="4">
        <ns0:v>6.40</ns0:v>
      </ns0:c>
      <ns0:c r="I338" s="4">
        <ns0:v>2.76</ns0:v>
      </ns0:c>
      <ns0:c r="J338" s="4">
        <ns0:v>6.31</ns0:v>
      </ns0:c>
      <ns0:c r="K338" s="4">
        <ns0:v>9.05</ns0:v>
      </ns0:c>
      <ns0:c r="L338" s="4">
        <ns0:v>3.66</ns0:v>
      </ns0:c>
      <ns0:c r="M338" s="4">
        <ns0:v>3.71</ns0:v>
      </ns0:c>
      <ns0:c r="N338" s="4">
        <ns0:v>4.21</ns0:v>
      </ns0:c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 t="inlineStr">
        <ns0:is>
          <ns0:t>快递费数量</ns0:t>
        </ns0:is>
      </ns0:c>
      <ns0:c r="C339" s="4">
        <ns0:v>7.41</ns0:v>
      </ns0:c>
      <ns0:c r="D339" s="4">
        <ns0:v>3.71</ns0:v>
      </ns0:c>
      <ns0:c r="E339" s="4">
        <ns0:v>8.78</ns0:v>
      </ns0:c>
      <ns0:c r="F339" s="4">
        <ns0:v>8.73</ns0:v>
      </ns0:c>
      <ns0:c r="G339" s="4">
        <ns0:v>8.41</ns0:v>
      </ns0:c>
      <ns0:c r="H339" s="4">
        <ns0:v>8.30</ns0:v>
      </ns0:c>
      <ns0:c r="I339" s="4">
        <ns0:v>4.69</ns0:v>
      </ns0:c>
      <ns0:c r="J339" s="4">
        <ns0:v>5.03</ns0:v>
      </ns0:c>
      <ns0:c r="K339" s="4">
        <ns0:v>8.97</ns0:v>
      </ns0:c>
      <ns0:c r="L339" s="4">
        <ns0:v>2.96</ns0:v>
      </ns0:c>
      <ns0:c r="M339" s="4">
        <ns0:v>2.24</ns0:v>
      </ns0:c>
      <ns0:c r="N339" s="4">
        <ns0:v>8.10</ns0:v>
      </ns0:c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 t="inlineStr">
        <ns0:is>
          <ns0:t>折旧及摊销数量</ns0:t>
        </ns0:is>
      </ns0:c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 t="inlineStr">
        <ns0:is>
          <ns0:t>机票火车票数量</ns0:t>
        </ns0:is>
      </ns0:c>
      <ns0:c r="C341" s="4">
        <ns0:v>8.12</ns0:v>
      </ns0:c>
      <ns0:c r="D341" s="4">
        <ns0:v>2.58</ns0:v>
      </ns0:c>
      <ns0:c r="E341" s="4">
        <ns0:v>5.54</ns0:v>
      </ns0:c>
      <ns0:c r="F341" s="4">
        <ns0:v>3.08</ns0:v>
      </ns0:c>
      <ns0:c r="G341" s="4">
        <ns0:v>6.73</ns0:v>
      </ns0:c>
      <ns0:c r="H341" s="4">
        <ns0:v>7.79</ns0:v>
      </ns0:c>
      <ns0:c r="I341" s="4">
        <ns0:v>9.15</ns0:v>
      </ns0:c>
      <ns0:c r="J341" s="4">
        <ns0:v>3.70</ns0:v>
      </ns0:c>
      <ns0:c r="K341" s="4">
        <ns0:v>3.23</ns0:v>
      </ns0:c>
      <ns0:c r="L341" s="4">
        <ns0:v>6.40</ns0:v>
      </ns0:c>
      <ns0:c r="M341" s="4">
        <ns0:v>8.08</ns0:v>
      </ns0:c>
      <ns0:c r="N341" s="4">
        <ns0:v>9.30</ns0:v>
      </ns0:c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 t="inlineStr">
        <ns0:is>
          <ns0:t>住宿费数量</ns0:t>
        </ns0:is>
      </ns0:c>
      <ns0:c r="C342" s="4">
        <ns0:v>6.07</ns0:v>
      </ns0:c>
      <ns0:c r="D342" s="4">
        <ns0:v>7.86</ns0:v>
      </ns0:c>
      <ns0:c r="E342" s="4">
        <ns0:v>2.50</ns0:v>
      </ns0:c>
      <ns0:c r="F342" s="4">
        <ns0:v>6.76</ns0:v>
      </ns0:c>
      <ns0:c r="G342" s="4">
        <ns0:v>7.15</ns0:v>
      </ns0:c>
      <ns0:c r="H342" s="4">
        <ns0:v>9.71</ns0:v>
      </ns0:c>
      <ns0:c r="I342" s="4">
        <ns0:v>2.20</ns0:v>
      </ns0:c>
      <ns0:c r="J342" s="4">
        <ns0:v>4.26</ns0:v>
      </ns0:c>
      <ns0:c r="K342" s="4">
        <ns0:v>6.44</ns0:v>
      </ns0:c>
      <ns0:c r="L342" s="4">
        <ns0:v>6.45</ns0:v>
      </ns0:c>
      <ns0:c r="M342" s="4">
        <ns0:v>5.17</ns0:v>
      </ns0:c>
      <ns0:c r="N342" s="4">
        <ns0:v>4.81</ns0:v>
      </ns0:c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 t="inlineStr">
        <ns0:is>
          <ns0:t>交通费数量</ns0:t>
        </ns0:is>
      </ns0:c>
      <ns0:c r="C343" s="4">
        <ns0:v>6.88</ns0:v>
      </ns0:c>
      <ns0:c r="D343" s="4">
        <ns0:v>4.20</ns0:v>
      </ns0:c>
      <ns0:c r="E343" s="4">
        <ns0:v>5.89</ns0:v>
      </ns0:c>
      <ns0:c r="F343" s="4">
        <ns0:v>9.63</ns0:v>
      </ns0:c>
      <ns0:c r="G343" s="4">
        <ns0:v>5.30</ns0:v>
      </ns0:c>
      <ns0:c r="H343" s="4">
        <ns0:v>7.80</ns0:v>
      </ns0:c>
      <ns0:c r="I343" s="4">
        <ns0:v>3.74</ns0:v>
      </ns0:c>
      <ns0:c r="J343" s="4">
        <ns0:v>5.93</ns0:v>
      </ns0:c>
      <ns0:c r="K343" s="4">
        <ns0:v>6.87</ns0:v>
      </ns0:c>
      <ns0:c r="L343" s="4">
        <ns0:v>5.54</ns0:v>
      </ns0:c>
      <ns0:c r="M343" s="4">
        <ns0:v>8.82</ns0:v>
      </ns0:c>
      <ns0:c r="N343" s="4">
        <ns0:v>4.98</ns0:v>
      </ns0:c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 t="inlineStr">
        <ns0:is>
          <ns0:t>差旅补贴数量</ns0:t>
        </ns0:is>
      </ns0:c>
      <ns0:c r="C344" s="4">
        <ns0:v>2.84</ns0:v>
      </ns0:c>
      <ns0:c r="D344" s="4">
        <ns0:v>6.32</ns0:v>
      </ns0:c>
      <ns0:c r="E344" s="4">
        <ns0:v>4.58</ns0:v>
      </ns0:c>
      <ns0:c r="F344" s="4">
        <ns0:v>5.54</ns0:v>
      </ns0:c>
      <ns0:c r="G344" s="4">
        <ns0:v>3.69</ns0:v>
      </ns0:c>
      <ns0:c r="H344" s="4">
        <ns0:v>3.91</ns0:v>
      </ns0:c>
      <ns0:c r="I344" s="4">
        <ns0:v>4.31</ns0:v>
      </ns0:c>
      <ns0:c r="J344" s="4">
        <ns0:v>2.34</ns0:v>
      </ns0:c>
      <ns0:c r="K344" s="4">
        <ns0:v>7.04</ns0:v>
      </ns0:c>
      <ns0:c r="L344" s="4">
        <ns0:v>9.09</ns0:v>
      </ns0:c>
      <ns0:c r="M344" s="4">
        <ns0:v>7.03</ns0:v>
      </ns0:c>
      <ns0:c r="N344" s="4">
        <ns0:v>4.55</ns0:v>
      </ns0:c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 t="inlineStr">
        <ns0:is>
          <ns0:t>业务招待费数量</ns0:t>
        </ns0:is>
      </ns0:c>
      <ns0:c r="C345" s="4">
        <ns0:v>8.40</ns0:v>
      </ns0:c>
      <ns0:c r="D345" s="4">
        <ns0:v>2.15</ns0:v>
      </ns0:c>
      <ns0:c r="E345" s="4">
        <ns0:v>8.86</ns0:v>
      </ns0:c>
      <ns0:c r="F345" s="4">
        <ns0:v>2.84</ns0:v>
      </ns0:c>
      <ns0:c r="G345" s="4">
        <ns0:v>5.93</ns0:v>
      </ns0:c>
      <ns0:c r="H345" s="4">
        <ns0:v>4.70</ns0:v>
      </ns0:c>
      <ns0:c r="I345" s="4">
        <ns0:v>6.96</ns0:v>
      </ns0:c>
      <ns0:c r="J345" s="4">
        <ns0:v>6.04</ns0:v>
      </ns0:c>
      <ns0:c r="K345" s="4">
        <ns0:v>6.03</ns0:v>
      </ns0:c>
      <ns0:c r="L345" s="4">
        <ns0:v>3.64</ns0:v>
      </ns0:c>
      <ns0:c r="M345" s="4">
        <ns0:v>8.10</ns0:v>
      </ns0:c>
      <ns0:c r="N345" s="4">
        <ns0:v>6.62</ns0:v>
      </ns0:c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 t="inlineStr">
        <ns0:is>
          <ns0:t>市内交通费数量</ns0:t>
        </ns0:is>
      </ns0:c>
      <ns0:c r="C346" s="4">
        <ns0:v>5.74</ns0:v>
      </ns0:c>
      <ns0:c r="D346" s="4">
        <ns0:v>7.96</ns0:v>
      </ns0:c>
      <ns0:c r="E346" s="4">
        <ns0:v>5.34</ns0:v>
      </ns0:c>
      <ns0:c r="F346" s="4">
        <ns0:v>5.72</ns0:v>
      </ns0:c>
      <ns0:c r="G346" s="4">
        <ns0:v>7.83</ns0:v>
      </ns0:c>
      <ns0:c r="H346" s="4">
        <ns0:v>5.32</ns0:v>
      </ns0:c>
      <ns0:c r="I346" s="4">
        <ns0:v>8.51</ns0:v>
      </ns0:c>
      <ns0:c r="J346" s="4">
        <ns0:v>4.75</ns0:v>
      </ns0:c>
      <ns0:c r="K346" s="4">
        <ns0:v>5.01</ns0:v>
      </ns0:c>
      <ns0:c r="L346" s="4">
        <ns0:v>3.54</ns0:v>
      </ns0:c>
      <ns0:c r="M346" s="4">
        <ns0:v>3.45</ns0:v>
      </ns0:c>
      <ns0:c r="N346" s="4">
        <ns0:v>6.33</ns0:v>
      </ns0:c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 t="inlineStr">
        <ns0:is>
          <ns0:t>调研费用数量</ns0:t>
        </ns0:is>
      </ns0:c>
      <ns0:c r="C347" s="4">
        <ns0:v>5.63</ns0:v>
      </ns0:c>
      <ns0:c r="D347" s="4">
        <ns0:v>9.19</ns0:v>
      </ns0:c>
      <ns0:c r="E347" s="4">
        <ns0:v>8.25</ns0:v>
      </ns0:c>
      <ns0:c r="F347" s="4">
        <ns0:v>2.40</ns0:v>
      </ns0:c>
      <ns0:c r="G347" s="4">
        <ns0:v>3.02</ns0:v>
      </ns0:c>
      <ns0:c r="H347" s="4">
        <ns0:v>7.14</ns0:v>
      </ns0:c>
      <ns0:c r="I347" s="4">
        <ns0:v>4.21</ns0:v>
      </ns0:c>
      <ns0:c r="J347" s="4">
        <ns0:v>3.92</ns0:v>
      </ns0:c>
      <ns0:c r="K347" s="4">
        <ns0:v>2.86</ns0:v>
      </ns0:c>
      <ns0:c r="L347" s="4">
        <ns0:v>3.62</ns0:v>
      </ns0:c>
      <ns0:c r="M347" s="4">
        <ns0:v>7.42</ns0:v>
      </ns0:c>
      <ns0:c r="N347" s="4">
        <ns0:v>7.61</ns0:v>
      </ns0:c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 t="inlineStr">
        <ns0:is>
          <ns0:t>手续费数量</ns0:t>
        </ns0:is>
      </ns0:c>
      <ns0:c r="C348" s="4">
        <ns0:v>2.34</ns0:v>
      </ns0:c>
      <ns0:c r="D348" s="4">
        <ns0:v>7.67</ns0:v>
      </ns0:c>
      <ns0:c r="E348" s="4">
        <ns0:v>8.07</ns0:v>
      </ns0:c>
      <ns0:c r="F348" s="4">
        <ns0:v>7.36</ns0:v>
      </ns0:c>
      <ns0:c r="G348" s="4">
        <ns0:v>3.72</ns0:v>
      </ns0:c>
      <ns0:c r="H348" s="4">
        <ns0:v>4.01</ns0:v>
      </ns0:c>
      <ns0:c r="I348" s="4">
        <ns0:v>5.16</ns0:v>
      </ns0:c>
      <ns0:c r="J348" s="4">
        <ns0:v>4.46</ns0:v>
      </ns0:c>
      <ns0:c r="K348" s="4">
        <ns0:v>2.68</ns0:v>
      </ns0:c>
      <ns0:c r="L348" s="4">
        <ns0:v>9.22</ns0:v>
      </ns0:c>
      <ns0:c r="M348" s="4">
        <ns0:v>7.26</ns0:v>
      </ns0:c>
      <ns0:c r="N348" s="4">
        <ns0:v>4.54</ns0:v>
      </ns0:c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 t="inlineStr">
        <ns0:is>
          <ns0:t>利息收入数量</ns0:t>
        </ns0:is>
      </ns0:c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 t="inlineStr">
        <ns0:is>
          <ns0:t>利息支出数量</ns0:t>
        </ns0:is>
      </ns0:c>
      <ns0:c r="C350" s="4">
        <ns0:v>2.20</ns0:v>
      </ns0:c>
      <ns0:c r="D350" s="4">
        <ns0:v>4.71</ns0:v>
      </ns0:c>
      <ns0:c r="E350" s="4">
        <ns0:v>4.61</ns0:v>
      </ns0:c>
      <ns0:c r="F350" s="4">
        <ns0:v>8.58</ns0:v>
      </ns0:c>
      <ns0:c r="G350" s="4">
        <ns0:v>6.33</ns0:v>
      </ns0:c>
      <ns0:c r="H350" s="4">
        <ns0:v>7.26</ns0:v>
      </ns0:c>
      <ns0:c r="I350" s="4">
        <ns0:v>9.36</ns0:v>
      </ns0:c>
      <ns0:c r="J350" s="4">
        <ns0:v>3.90</ns0:v>
      </ns0:c>
      <ns0:c r="K350" s="4">
        <ns0:v>3.18</ns0:v>
      </ns0:c>
      <ns0:c r="L350" s="4">
        <ns0:v>8.18</ns0:v>
      </ns0:c>
      <ns0:c r="M350" s="4">
        <ns0:v>4.13</ns0:v>
      </ns0:c>
      <ns0:c r="N350" s="4">
        <ns0:v>5.68</ns0:v>
      </ns0:c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 t="inlineStr">
        <ns0:is>
          <ns0:t>车船税数量</ns0:t>
        </ns0:is>
      </ns0:c>
      <ns0:c r="C351" s="4">
        <ns0:v>7.45</ns0:v>
      </ns0:c>
      <ns0:c r="D351" s="4">
        <ns0:v>7.04</ns0:v>
      </ns0:c>
      <ns0:c r="E351" s="4">
        <ns0:v>3.62</ns0:v>
      </ns0:c>
      <ns0:c r="F351" s="4">
        <ns0:v>2.88</ns0:v>
      </ns0:c>
      <ns0:c r="G351" s="4">
        <ns0:v>5.66</ns0:v>
      </ns0:c>
      <ns0:c r="H351" s="4">
        <ns0:v>5.38</ns0:v>
      </ns0:c>
      <ns0:c r="I351" s="4">
        <ns0:v>4.02</ns0:v>
      </ns0:c>
      <ns0:c r="J351" s="4">
        <ns0:v>7.14</ns0:v>
      </ns0:c>
      <ns0:c r="K351" s="4">
        <ns0:v>5.24</ns0:v>
      </ns0:c>
      <ns0:c r="L351" s="4">
        <ns0:v>2.92</ns0:v>
      </ns0:c>
      <ns0:c r="M351" s="4">
        <ns0:v>8.27</ns0:v>
      </ns0:c>
      <ns0:c r="N351" s="4">
        <ns0:v>8.17</ns0:v>
      </ns0:c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 t="inlineStr">
        <ns0:is>
          <ns0:t>印花税数量</ns0:t>
        </ns0:is>
      </ns0:c>
      <ns0:c r="C352" s="4">
        <ns0:v>2.73</ns0:v>
      </ns0:c>
      <ns0:c r="D352" s="4">
        <ns0:v>7.39</ns0:v>
      </ns0:c>
      <ns0:c r="E352" s="4">
        <ns0:v>9.16</ns0:v>
      </ns0:c>
      <ns0:c r="F352" s="4">
        <ns0:v>8.98</ns0:v>
      </ns0:c>
      <ns0:c r="G352" s="4">
        <ns0:v>5.32</ns0:v>
      </ns0:c>
      <ns0:c r="H352" s="4">
        <ns0:v>2.44</ns0:v>
      </ns0:c>
      <ns0:c r="I352" s="4">
        <ns0:v>2.50</ns0:v>
      </ns0:c>
      <ns0:c r="J352" s="4">
        <ns0:v>5.20</ns0:v>
      </ns0:c>
      <ns0:c r="K352" s="4">
        <ns0:v>6.21</ns0:v>
      </ns0:c>
      <ns0:c r="L352" s="4">
        <ns0:v>4.46</ns0:v>
      </ns0:c>
      <ns0:c r="M352" s="4">
        <ns0:v>6.06</ns0:v>
      </ns0:c>
      <ns0:c r="N352" s="4">
        <ns0:v>7.58</ns0:v>
      </ns0:c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 t="inlineStr">
        <ns0:is>
          <ns0:t>其他数量</ns0:t>
        </ns0:is>
      </ns0:c>
      <ns0:c r="C353" s="4">
        <ns0:v>5.79</ns0:v>
      </ns0:c>
      <ns0:c r="D353" s="4">
        <ns0:v>7.31</ns0:v>
      </ns0:c>
      <ns0:c r="E353" s="4">
        <ns0:v>2.54</ns0:v>
      </ns0:c>
      <ns0:c r="F353" s="4">
        <ns0:v>3.18</ns0:v>
      </ns0:c>
      <ns0:c r="G353" s="4">
        <ns0:v>6.03</ns0:v>
      </ns0:c>
      <ns0:c r="H353" s="4">
        <ns0:v>2.38</ns0:v>
      </ns0:c>
      <ns0:c r="I353" s="4">
        <ns0:v>5.13</ns0:v>
      </ns0:c>
      <ns0:c r="J353" s="4">
        <ns0:v>2.99</ns0:v>
      </ns0:c>
      <ns0:c r="K353" s="4">
        <ns0:v>7.09</ns0:v>
      </ns0:c>
      <ns0:c r="L353" s="4">
        <ns0:v>5.73</ns0:v>
      </ns0:c>
      <ns0:c r="M353" s="4">
        <ns0:v>5.88</ns0:v>
      </ns0:c>
      <ns0:c r="N353" s="4">
        <ns0:v>4.64</ns0:v>
      </ns0:c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 t="inlineStr">
        <ns0:is>
          <ns0:t>工资数量</ns0:t>
        </ns0:is>
      </ns0:c>
      <ns0:c r="C384" s="4">
        <ns0:v>6.25</ns0:v>
      </ns0:c>
      <ns0:c r="D384" s="4">
        <ns0:v>8.41</ns0:v>
      </ns0:c>
      <ns0:c r="E384" s="4">
        <ns0:v>3.14</ns0:v>
      </ns0:c>
      <ns0:c r="F384" s="4">
        <ns0:v>8.71</ns0:v>
      </ns0:c>
      <ns0:c r="G384" s="4">
        <ns0:v>8.73</ns0:v>
      </ns0:c>
      <ns0:c r="H384" s="4">
        <ns0:v>7.84</ns0:v>
      </ns0:c>
      <ns0:c r="I384" s="4">
        <ns0:v>6.52</ns0:v>
      </ns0:c>
      <ns0:c r="J384" s="4">
        <ns0:v>2.47</ns0:v>
      </ns0:c>
      <ns0:c r="K384" s="4">
        <ns0:v>6.73</ns0:v>
      </ns0:c>
      <ns0:c r="L384" s="4">
        <ns0:v>7.76</ns0:v>
      </ns0:c>
      <ns0:c r="M384" s="4">
        <ns0:v>8.50</ns0:v>
      </ns0:c>
      <ns0:c r="N384" s="4">
        <ns0:v>4.65</ns0:v>
      </ns0:c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 t="inlineStr">
        <ns0:is>
          <ns0:t>十三薪数量</ns0:t>
        </ns0:is>
      </ns0:c>
      <ns0:c r="C385" s="4">
        <ns0:v>2.66</ns0:v>
      </ns0:c>
      <ns0:c r="D385" s="4">
        <ns0:v>4.15</ns0:v>
      </ns0:c>
      <ns0:c r="E385" s="4">
        <ns0:v>6.05</ns0:v>
      </ns0:c>
      <ns0:c r="F385" s="4">
        <ns0:v>3.43</ns0:v>
      </ns0:c>
      <ns0:c r="G385" s="4">
        <ns0:v>8.23</ns0:v>
      </ns0:c>
      <ns0:c r="H385" s="4">
        <ns0:v>7.61</ns0:v>
      </ns0:c>
      <ns0:c r="I385" s="4">
        <ns0:v>2.79</ns0:v>
      </ns0:c>
      <ns0:c r="J385" s="4">
        <ns0:v>3.56</ns0:v>
      </ns0:c>
      <ns0:c r="K385" s="4">
        <ns0:v>5.68</ns0:v>
      </ns0:c>
      <ns0:c r="L385" s="4">
        <ns0:v>3.76</ns0:v>
      </ns0:c>
      <ns0:c r="M385" s="4">
        <ns0:v>6.47</ns0:v>
      </ns0:c>
      <ns0:c r="N385" s="4">
        <ns0:v>7.60</ns0:v>
      </ns0:c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 t="inlineStr">
        <ns0:is>
          <ns0:t>离职补偿金数量</ns0:t>
        </ns0:is>
      </ns0:c>
      <ns0:c r="C386" s="4">
        <ns0:v>5.87</ns0:v>
      </ns0:c>
      <ns0:c r="D386" s="4">
        <ns0:v>2.89</ns0:v>
      </ns0:c>
      <ns0:c r="E386" s="4">
        <ns0:v>7.66</ns0:v>
      </ns0:c>
      <ns0:c r="F386" s="4">
        <ns0:v>4.70</ns0:v>
      </ns0:c>
      <ns0:c r="G386" s="4">
        <ns0:v>3.71</ns0:v>
      </ns0:c>
      <ns0:c r="H386" s="4">
        <ns0:v>5.67</ns0:v>
      </ns0:c>
      <ns0:c r="I386" s="4">
        <ns0:v>6.68</ns0:v>
      </ns0:c>
      <ns0:c r="J386" s="4">
        <ns0:v>2.85</ns0:v>
      </ns0:c>
      <ns0:c r="K386" s="4">
        <ns0:v>5.70</ns0:v>
      </ns0:c>
      <ns0:c r="L386" s="4">
        <ns0:v>7.19</ns0:v>
      </ns0:c>
      <ns0:c r="M386" s="4">
        <ns0:v>6.71</ns0:v>
      </ns0:c>
      <ns0:c r="N386" s="4">
        <ns0:v>4.52</ns0:v>
      </ns0:c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 t="inlineStr">
        <ns0:is>
          <ns0:t>五险一金数量</ns0:t>
        </ns0:is>
      </ns0:c>
      <ns0:c r="C387" s="4">
        <ns0:v>6.01</ns0:v>
      </ns0:c>
      <ns0:c r="D387" s="4">
        <ns0:v>5.68</ns0:v>
      </ns0:c>
      <ns0:c r="E387" s="4">
        <ns0:v>6.96</ns0:v>
      </ns0:c>
      <ns0:c r="F387" s="4">
        <ns0:v>5.24</ns0:v>
      </ns0:c>
      <ns0:c r="G387" s="4">
        <ns0:v>6.70</ns0:v>
      </ns0:c>
      <ns0:c r="H387" s="4">
        <ns0:v>9.11</ns0:v>
      </ns0:c>
      <ns0:c r="I387" s="4">
        <ns0:v>7.54</ns0:v>
      </ns0:c>
      <ns0:c r="J387" s="4">
        <ns0:v>9.50</ns0:v>
      </ns0:c>
      <ns0:c r="K387" s="4">
        <ns0:v>5.13</ns0:v>
      </ns0:c>
      <ns0:c r="L387" s="4">
        <ns0:v>6.15</ns0:v>
      </ns0:c>
      <ns0:c r="M387" s="4">
        <ns0:v>6.68</ns0:v>
      </ns0:c>
      <ns0:c r="N387" s="4">
        <ns0:v>2.54</ns0:v>
      </ns0:c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 t="inlineStr">
        <ns0:is>
          <ns0:t>福利费数量</ns0:t>
        </ns0:is>
      </ns0:c>
      <ns0:c r="C388" s="4">
        <ns0:v>7.22</ns0:v>
      </ns0:c>
      <ns0:c r="D388" s="4">
        <ns0:v>5.55</ns0:v>
      </ns0:c>
      <ns0:c r="E388" s="4">
        <ns0:v>5.26</ns0:v>
      </ns0:c>
      <ns0:c r="F388" s="4">
        <ns0:v>6.53</ns0:v>
      </ns0:c>
      <ns0:c r="G388" s="4">
        <ns0:v>7.22</ns0:v>
      </ns0:c>
      <ns0:c r="H388" s="4">
        <ns0:v>3.12</ns0:v>
      </ns0:c>
      <ns0:c r="I388" s="4">
        <ns0:v>4.58</ns0:v>
      </ns0:c>
      <ns0:c r="J388" s="4">
        <ns0:v>2.64</ns0:v>
      </ns0:c>
      <ns0:c r="K388" s="4">
        <ns0:v>7.22</ns0:v>
      </ns0:c>
      <ns0:c r="L388" s="4">
        <ns0:v>6.40</ns0:v>
      </ns0:c>
      <ns0:c r="M388" s="4">
        <ns0:v>8.14</ns0:v>
      </ns0:c>
      <ns0:c r="N388" s="4">
        <ns0:v>6.23</ns0:v>
      </ns0:c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 t="inlineStr">
        <ns0:is>
          <ns0:t>招聘费数量</ns0:t>
        </ns0:is>
      </ns0:c>
      <ns0:c r="C389" s="4">
        <ns0:v>4.47</ns0:v>
      </ns0:c>
      <ns0:c r="D389" s="4">
        <ns0:v>2.57</ns0:v>
      </ns0:c>
      <ns0:c r="E389" s="4">
        <ns0:v>5.72</ns0:v>
      </ns0:c>
      <ns0:c r="F389" s="4">
        <ns0:v>4.18</ns0:v>
      </ns0:c>
      <ns0:c r="G389" s="4">
        <ns0:v>4.67</ns0:v>
      </ns0:c>
      <ns0:c r="H389" s="4">
        <ns0:v>2.63</ns0:v>
      </ns0:c>
      <ns0:c r="I389" s="4">
        <ns0:v>2.89</ns0:v>
      </ns0:c>
      <ns0:c r="J389" s="4">
        <ns0:v>8.19</ns0:v>
      </ns0:c>
      <ns0:c r="K389" s="4">
        <ns0:v>5.70</ns0:v>
      </ns0:c>
      <ns0:c r="L389" s="4">
        <ns0:v>2.12</ns0:v>
      </ns0:c>
      <ns0:c r="M389" s="4">
        <ns0:v>7.19</ns0:v>
      </ns0:c>
      <ns0:c r="N389" s="4">
        <ns0:v>4.79</ns0:v>
      </ns0:c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 t="inlineStr">
        <ns0:is>
          <ns0:t>培训费数量</ns0:t>
        </ns0:is>
      </ns0:c>
      <ns0:c r="C390" s="4">
        <ns0:v>4.96</ns0:v>
      </ns0:c>
      <ns0:c r="D390" s="4">
        <ns0:v>6.81</ns0:v>
      </ns0:c>
      <ns0:c r="E390" s="4">
        <ns0:v>9.94</ns0:v>
      </ns0:c>
      <ns0:c r="F390" s="4">
        <ns0:v>7.38</ns0:v>
      </ns0:c>
      <ns0:c r="G390" s="4">
        <ns0:v>7.76</ns0:v>
      </ns0:c>
      <ns0:c r="H390" s="4">
        <ns0:v>4.86</ns0:v>
      </ns0:c>
      <ns0:c r="I390" s="4">
        <ns0:v>7.54</ns0:v>
      </ns0:c>
      <ns0:c r="J390" s="4">
        <ns0:v>4.52</ns0:v>
      </ns0:c>
      <ns0:c r="K390" s="4">
        <ns0:v>5.19</ns0:v>
      </ns0:c>
      <ns0:c r="L390" s="4">
        <ns0:v>6.90</ns0:v>
      </ns0:c>
      <ns0:c r="M390" s="4">
        <ns0:v>7.18</ns0:v>
      </ns0:c>
      <ns0:c r="N390" s="4">
        <ns0:v>5.59</ns0:v>
      </ns0:c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 t="inlineStr">
        <ns0:is>
          <ns0:t>房租数量</ns0:t>
        </ns0:is>
      </ns0:c>
      <ns0:c r="C391" s="4">
        <ns0:v>7.48</ns0:v>
      </ns0:c>
      <ns0:c r="D391" s="4">
        <ns0:v>5.98</ns0:v>
      </ns0:c>
      <ns0:c r="E391" s="4">
        <ns0:v>6.84</ns0:v>
      </ns0:c>
      <ns0:c r="F391" s="4">
        <ns0:v>5.58</ns0:v>
      </ns0:c>
      <ns0:c r="G391" s="4">
        <ns0:v>8.34</ns0:v>
      </ns0:c>
      <ns0:c r="H391" s="4">
        <ns0:v>2.78</ns0:v>
      </ns0:c>
      <ns0:c r="I391" s="4">
        <ns0:v>6.09</ns0:v>
      </ns0:c>
      <ns0:c r="J391" s="4">
        <ns0:v>5.85</ns0:v>
      </ns0:c>
      <ns0:c r="K391" s="4">
        <ns0:v>3.51</ns0:v>
      </ns0:c>
      <ns0:c r="L391" s="4">
        <ns0:v>7.65</ns0:v>
      </ns0:c>
      <ns0:c r="M391" s="4">
        <ns0:v>9.35</ns0:v>
      </ns0:c>
      <ns0:c r="N391" s="4">
        <ns0:v>4.34</ns0:v>
      </ns0:c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 t="inlineStr">
        <ns0:is>
          <ns0:t>物业管理费数量</ns0:t>
        </ns0:is>
      </ns0:c>
      <ns0:c r="C392" s="4">
        <ns0:v>7.91</ns0:v>
      </ns0:c>
      <ns0:c r="D392" s="4">
        <ns0:v>2.98</ns0:v>
      </ns0:c>
      <ns0:c r="E392" s="4">
        <ns0:v>8.76</ns0:v>
      </ns0:c>
      <ns0:c r="F392" s="4">
        <ns0:v>2.01</ns0:v>
      </ns0:c>
      <ns0:c r="G392" s="4">
        <ns0:v>8.41</ns0:v>
      </ns0:c>
      <ns0:c r="H392" s="4">
        <ns0:v>8.41</ns0:v>
      </ns0:c>
      <ns0:c r="I392" s="4">
        <ns0:v>3.78</ns0:v>
      </ns0:c>
      <ns0:c r="J392" s="4">
        <ns0:v>2.78</ns0:v>
      </ns0:c>
      <ns0:c r="K392" s="4">
        <ns0:v>3.11</ns0:v>
      </ns0:c>
      <ns0:c r="L392" s="4">
        <ns0:v>6.76</ns0:v>
      </ns0:c>
      <ns0:c r="M392" s="4">
        <ns0:v>4.31</ns0:v>
      </ns0:c>
      <ns0:c r="N392" s="4">
        <ns0:v>2.50</ns0:v>
      </ns0:c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 t="inlineStr">
        <ns0:is>
          <ns0:t>汽车费用数量</ns0:t>
        </ns0:is>
      </ns0:c>
      <ns0:c r="C393" s="4">
        <ns0:v>8.14</ns0:v>
      </ns0:c>
      <ns0:c r="D393" s="4">
        <ns0:v>8.03</ns0:v>
      </ns0:c>
      <ns0:c r="E393" s="4">
        <ns0:v>3.99</ns0:v>
      </ns0:c>
      <ns0:c r="F393" s="4">
        <ns0:v>7.02</ns0:v>
      </ns0:c>
      <ns0:c r="G393" s="4">
        <ns0:v>2.34</ns0:v>
      </ns0:c>
      <ns0:c r="H393" s="4">
        <ns0:v>5.07</ns0:v>
      </ns0:c>
      <ns0:c r="I393" s="4">
        <ns0:v>5.80</ns0:v>
      </ns0:c>
      <ns0:c r="J393" s="4">
        <ns0:v>5.84</ns0:v>
      </ns0:c>
      <ns0:c r="K393" s="4">
        <ns0:v>8.68</ns0:v>
      </ns0:c>
      <ns0:c r="L393" s="4">
        <ns0:v>7.35</ns0:v>
      </ns0:c>
      <ns0:c r="M393" s="4">
        <ns0:v>7.02</ns0:v>
      </ns0:c>
      <ns0:c r="N393" s="4">
        <ns0:v>3.72</ns0:v>
      </ns0:c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 t="inlineStr">
        <ns0:is>
          <ns0:t>办公费数量</ns0:t>
        </ns0:is>
      </ns0:c>
      <ns0:c r="C394" s="4">
        <ns0:v>3.83</ns0:v>
      </ns0:c>
      <ns0:c r="D394" s="4">
        <ns0:v>2.42</ns0:v>
      </ns0:c>
      <ns0:c r="E394" s="4">
        <ns0:v>3.81</ns0:v>
      </ns0:c>
      <ns0:c r="F394" s="4">
        <ns0:v>3.42</ns0:v>
      </ns0:c>
      <ns0:c r="G394" s="4">
        <ns0:v>8.53</ns0:v>
      </ns0:c>
      <ns0:c r="H394" s="4">
        <ns0:v>4.87</ns0:v>
      </ns0:c>
      <ns0:c r="I394" s="4">
        <ns0:v>3.85</ns0:v>
      </ns0:c>
      <ns0:c r="J394" s="4">
        <ns0:v>6.09</ns0:v>
      </ns0:c>
      <ns0:c r="K394" s="4">
        <ns0:v>8.39</ns0:v>
      </ns0:c>
      <ns0:c r="L394" s="4">
        <ns0:v>6.72</ns0:v>
      </ns0:c>
      <ns0:c r="M394" s="4">
        <ns0:v>2.34</ns0:v>
      </ns0:c>
      <ns0:c r="N394" s="4">
        <ns0:v>2.74</ns0:v>
      </ns0:c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 t="inlineStr">
        <ns0:is>
          <ns0:t>办公用品数量</ns0:t>
        </ns0:is>
      </ns0:c>
      <ns0:c r="C395" s="4">
        <ns0:v>9.60</ns0:v>
      </ns0:c>
      <ns0:c r="D395" s="4">
        <ns0:v>1.92</ns0:v>
      </ns0:c>
      <ns0:c r="E395" s="4">
        <ns0:v>5.40</ns0:v>
      </ns0:c>
      <ns0:c r="F395" s="4">
        <ns0:v>4.35</ns0:v>
      </ns0:c>
      <ns0:c r="G395" s="4">
        <ns0:v>3.27</ns0:v>
      </ns0:c>
      <ns0:c r="H395" s="4">
        <ns0:v>7.27</ns0:v>
      </ns0:c>
      <ns0:c r="I395" s="4">
        <ns0:v>7.89</ns0:v>
      </ns0:c>
      <ns0:c r="J395" s="4">
        <ns0:v>8.67</ns0:v>
      </ns0:c>
      <ns0:c r="K395" s="4">
        <ns0:v>6.13</ns0:v>
      </ns0:c>
      <ns0:c r="L395" s="4">
        <ns0:v>3.70</ns0:v>
      </ns0:c>
      <ns0:c r="M395" s="4">
        <ns0:v>3.67</ns0:v>
      </ns0:c>
      <ns0:c r="N395" s="4">
        <ns0:v>3.94</ns0:v>
      </ns0:c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 t="inlineStr">
        <ns0:is>
          <ns0:t>水电煤数量</ns0:t>
        </ns0:is>
      </ns0:c>
      <ns0:c r="C396" s="4">
        <ns0:v>6.67</ns0:v>
      </ns0:c>
      <ns0:c r="D396" s="4">
        <ns0:v>2.38</ns0:v>
      </ns0:c>
      <ns0:c r="E396" s="4">
        <ns0:v>3.03</ns0:v>
      </ns0:c>
      <ns0:c r="F396" s="4">
        <ns0:v>7.94</ns0:v>
      </ns0:c>
      <ns0:c r="G396" s="4">
        <ns0:v>5.36</ns0:v>
      </ns0:c>
      <ns0:c r="H396" s="4">
        <ns0:v>3.91</ns0:v>
      </ns0:c>
      <ns0:c r="I396" s="4">
        <ns0:v>2.47</ns0:v>
      </ns0:c>
      <ns0:c r="J396" s="4">
        <ns0:v>4.62</ns0:v>
      </ns0:c>
      <ns0:c r="K396" s="4">
        <ns0:v>5.35</ns0:v>
      </ns0:c>
      <ns0:c r="L396" s="4">
        <ns0:v>5.39</ns0:v>
      </ns0:c>
      <ns0:c r="M396" s="4">
        <ns0:v>5.83</ns0:v>
      </ns0:c>
      <ns0:c r="N396" s="4">
        <ns0:v>5.66</ns0:v>
      </ns0:c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 t="inlineStr">
        <ns0:is>
          <ns0:t>咨询服务费数量</ns0:t>
        </ns0:is>
      </ns0:c>
      <ns0:c r="C397" s="4">
        <ns0:v>5.36</ns0:v>
      </ns0:c>
      <ns0:c r="D397" s="4">
        <ns0:v>3.09</ns0:v>
      </ns0:c>
      <ns0:c r="E397" s="4">
        <ns0:v>3.05</ns0:v>
      </ns0:c>
      <ns0:c r="F397" s="4">
        <ns0:v>4.89</ns0:v>
      </ns0:c>
      <ns0:c r="G397" s="4">
        <ns0:v>7.15</ns0:v>
      </ns0:c>
      <ns0:c r="H397" s="4">
        <ns0:v>8.09</ns0:v>
      </ns0:c>
      <ns0:c r="I397" s="4">
        <ns0:v>6.13</ns0:v>
      </ns0:c>
      <ns0:c r="J397" s="4">
        <ns0:v>4.71</ns0:v>
      </ns0:c>
      <ns0:c r="K397" s="4">
        <ns0:v>4.40</ns0:v>
      </ns0:c>
      <ns0:c r="L397" s="4">
        <ns0:v>5.53</ns0:v>
      </ns0:c>
      <ns0:c r="M397" s="4">
        <ns0:v>5.83</ns0:v>
      </ns0:c>
      <ns0:c r="N397" s="4">
        <ns0:v>5.09</ns0:v>
      </ns0:c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 t="inlineStr">
        <ns0:is>
          <ns0:t>电话费数量</ns0:t>
        </ns0:is>
      </ns0:c>
      <ns0:c r="C398" s="4">
        <ns0:v>2.73</ns0:v>
      </ns0:c>
      <ns0:c r="D398" s="4">
        <ns0:v>9.09</ns0:v>
      </ns0:c>
      <ns0:c r="E398" s="4">
        <ns0:v>2.48</ns0:v>
      </ns0:c>
      <ns0:c r="F398" s="4">
        <ns0:v>8.56</ns0:v>
      </ns0:c>
      <ns0:c r="G398" s="4">
        <ns0:v>7.96</ns0:v>
      </ns0:c>
      <ns0:c r="H398" s="4">
        <ns0:v>9.06</ns0:v>
      </ns0:c>
      <ns0:c r="I398" s="4">
        <ns0:v>8.87</ns0:v>
      </ns0:c>
      <ns0:c r="J398" s="4">
        <ns0:v>3.45</ns0:v>
      </ns0:c>
      <ns0:c r="K398" s="4">
        <ns0:v>7.07</ns0:v>
      </ns0:c>
      <ns0:c r="L398" s="4">
        <ns0:v>2.65</ns0:v>
      </ns0:c>
      <ns0:c r="M398" s="4">
        <ns0:v>4.67</ns0:v>
      </ns0:c>
      <ns0:c r="N398" s="4">
        <ns0:v>4.57</ns0:v>
      </ns0:c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 t="inlineStr">
        <ns0:is>
          <ns0:t>快递费数量</ns0:t>
        </ns0:is>
      </ns0:c>
      <ns0:c r="C399" s="4">
        <ns0:v>8.03</ns0:v>
      </ns0:c>
      <ns0:c r="D399" s="4">
        <ns0:v>7.11</ns0:v>
      </ns0:c>
      <ns0:c r="E399" s="4">
        <ns0:v>4.01</ns0:v>
      </ns0:c>
      <ns0:c r="F399" s="4">
        <ns0:v>4.60</ns0:v>
      </ns0:c>
      <ns0:c r="G399" s="4">
        <ns0:v>3.65</ns0:v>
      </ns0:c>
      <ns0:c r="H399" s="4">
        <ns0:v>2.78</ns0:v>
      </ns0:c>
      <ns0:c r="I399" s="4">
        <ns0:v>8.91</ns0:v>
      </ns0:c>
      <ns0:c r="J399" s="4">
        <ns0:v>2.85</ns0:v>
      </ns0:c>
      <ns0:c r="K399" s="4">
        <ns0:v>4.07</ns0:v>
      </ns0:c>
      <ns0:c r="L399" s="4">
        <ns0:v>5.81</ns0:v>
      </ns0:c>
      <ns0:c r="M399" s="4">
        <ns0:v>7.29</ns0:v>
      </ns0:c>
      <ns0:c r="N399" s="4">
        <ns0:v>4.57</ns0:v>
      </ns0:c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 t="inlineStr">
        <ns0:is>
          <ns0:t>折旧及摊销数量</ns0:t>
        </ns0:is>
      </ns0:c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 t="inlineStr">
        <ns0:is>
          <ns0:t>机票火车票数量</ns0:t>
        </ns0:is>
      </ns0:c>
      <ns0:c r="C401" s="4">
        <ns0:v>7.67</ns0:v>
      </ns0:c>
      <ns0:c r="D401" s="4">
        <ns0:v>8.83</ns0:v>
      </ns0:c>
      <ns0:c r="E401" s="4">
        <ns0:v>6.27</ns0:v>
      </ns0:c>
      <ns0:c r="F401" s="4">
        <ns0:v>8.66</ns0:v>
      </ns0:c>
      <ns0:c r="G401" s="4">
        <ns0:v>2.62</ns0:v>
      </ns0:c>
      <ns0:c r="H401" s="4">
        <ns0:v>5.63</ns0:v>
      </ns0:c>
      <ns0:c r="I401" s="4">
        <ns0:v>7.92</ns0:v>
      </ns0:c>
      <ns0:c r="J401" s="4">
        <ns0:v>5.50</ns0:v>
      </ns0:c>
      <ns0:c r="K401" s="4">
        <ns0:v>5.84</ns0:v>
      </ns0:c>
      <ns0:c r="L401" s="4">
        <ns0:v>2.64</ns0:v>
      </ns0:c>
      <ns0:c r="M401" s="4">
        <ns0:v>6.56</ns0:v>
      </ns0:c>
      <ns0:c r="N401" s="4">
        <ns0:v>7.34</ns0:v>
      </ns0:c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 t="inlineStr">
        <ns0:is>
          <ns0:t>住宿费数量</ns0:t>
        </ns0:is>
      </ns0:c>
      <ns0:c r="C402" s="4">
        <ns0:v>4.68</ns0:v>
      </ns0:c>
      <ns0:c r="D402" s="4">
        <ns0:v>4.44</ns0:v>
      </ns0:c>
      <ns0:c r="E402" s="4">
        <ns0:v>7.85</ns0:v>
      </ns0:c>
      <ns0:c r="F402" s="4">
        <ns0:v>3.02</ns0:v>
      </ns0:c>
      <ns0:c r="G402" s="4">
        <ns0:v>6.73</ns0:v>
      </ns0:c>
      <ns0:c r="H402" s="4">
        <ns0:v>2.86</ns0:v>
      </ns0:c>
      <ns0:c r="I402" s="4">
        <ns0:v>2.52</ns0:v>
      </ns0:c>
      <ns0:c r="J402" s="4">
        <ns0:v>4.69</ns0:v>
      </ns0:c>
      <ns0:c r="K402" s="4">
        <ns0:v>9.54</ns0:v>
      </ns0:c>
      <ns0:c r="L402" s="4">
        <ns0:v>5.07</ns0:v>
      </ns0:c>
      <ns0:c r="M402" s="4">
        <ns0:v>5.69</ns0:v>
      </ns0:c>
      <ns0:c r="N402" s="4">
        <ns0:v>4.55</ns0:v>
      </ns0:c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 t="inlineStr">
        <ns0:is>
          <ns0:t>交通费数量</ns0:t>
        </ns0:is>
      </ns0:c>
      <ns0:c r="C403" s="4">
        <ns0:v>8.18</ns0:v>
      </ns0:c>
      <ns0:c r="D403" s="4">
        <ns0:v>5.89</ns0:v>
      </ns0:c>
      <ns0:c r="E403" s="4">
        <ns0:v>6.24</ns0:v>
      </ns0:c>
      <ns0:c r="F403" s="4">
        <ns0:v>3.88</ns0:v>
      </ns0:c>
      <ns0:c r="G403" s="4">
        <ns0:v>7.75</ns0:v>
      </ns0:c>
      <ns0:c r="H403" s="4">
        <ns0:v>5.17</ns0:v>
      </ns0:c>
      <ns0:c r="I403" s="4">
        <ns0:v>9.05</ns0:v>
      </ns0:c>
      <ns0:c r="J403" s="4">
        <ns0:v>4.77</ns0:v>
      </ns0:c>
      <ns0:c r="K403" s="4">
        <ns0:v>3.59</ns0:v>
      </ns0:c>
      <ns0:c r="L403" s="4">
        <ns0:v>3.01</ns0:v>
      </ns0:c>
      <ns0:c r="M403" s="4">
        <ns0:v>8.33</ns0:v>
      </ns0:c>
      <ns0:c r="N403" s="4">
        <ns0:v>7.18</ns0:v>
      </ns0:c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 t="inlineStr">
        <ns0:is>
          <ns0:t>差旅补贴数量</ns0:t>
        </ns0:is>
      </ns0:c>
      <ns0:c r="C404" s="4">
        <ns0:v>8.49</ns0:v>
      </ns0:c>
      <ns0:c r="D404" s="4">
        <ns0:v>2.67</ns0:v>
      </ns0:c>
      <ns0:c r="E404" s="4">
        <ns0:v>2.08</ns0:v>
      </ns0:c>
      <ns0:c r="F404" s="4">
        <ns0:v>4.91</ns0:v>
      </ns0:c>
      <ns0:c r="G404" s="4">
        <ns0:v>6.05</ns0:v>
      </ns0:c>
      <ns0:c r="H404" s="4">
        <ns0:v>5.31</ns0:v>
      </ns0:c>
      <ns0:c r="I404" s="4">
        <ns0:v>6.39</ns0:v>
      </ns0:c>
      <ns0:c r="J404" s="4">
        <ns0:v>4.41</ns0:v>
      </ns0:c>
      <ns0:c r="K404" s="4">
        <ns0:v>5.43</ns0:v>
      </ns0:c>
      <ns0:c r="L404" s="4">
        <ns0:v>5.42</ns0:v>
      </ns0:c>
      <ns0:c r="M404" s="4">
        <ns0:v>5.95</ns0:v>
      </ns0:c>
      <ns0:c r="N404" s="4">
        <ns0:v>8.07</ns0:v>
      </ns0:c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 t="inlineStr">
        <ns0:is>
          <ns0:t>业务招待费数量</ns0:t>
        </ns0:is>
      </ns0:c>
      <ns0:c r="C405" s="4">
        <ns0:v>5.06</ns0:v>
      </ns0:c>
      <ns0:c r="D405" s="4">
        <ns0:v>6.13</ns0:v>
      </ns0:c>
      <ns0:c r="E405" s="4">
        <ns0:v>8.41</ns0:v>
      </ns0:c>
      <ns0:c r="F405" s="4">
        <ns0:v>4.64</ns0:v>
      </ns0:c>
      <ns0:c r="G405" s="4">
        <ns0:v>3.44</ns0:v>
      </ns0:c>
      <ns0:c r="H405" s="4">
        <ns0:v>3.34</ns0:v>
      </ns0:c>
      <ns0:c r="I405" s="4">
        <ns0:v>4.45</ns0:v>
      </ns0:c>
      <ns0:c r="J405" s="4">
        <ns0:v>5.41</ns0:v>
      </ns0:c>
      <ns0:c r="K405" s="4">
        <ns0:v>6.99</ns0:v>
      </ns0:c>
      <ns0:c r="L405" s="4">
        <ns0:v>7.09</ns0:v>
      </ns0:c>
      <ns0:c r="M405" s="4">
        <ns0:v>5.25</ns0:v>
      </ns0:c>
      <ns0:c r="N405" s="4">
        <ns0:v>8.25</ns0:v>
      </ns0:c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 t="inlineStr">
        <ns0:is>
          <ns0:t>市内交通费数量</ns0:t>
        </ns0:is>
      </ns0:c>
      <ns0:c r="C406" s="4">
        <ns0:v>6.29</ns0:v>
      </ns0:c>
      <ns0:c r="D406" s="4">
        <ns0:v>3.40</ns0:v>
      </ns0:c>
      <ns0:c r="E406" s="4">
        <ns0:v>7.39</ns0:v>
      </ns0:c>
      <ns0:c r="F406" s="4">
        <ns0:v>9.49</ns0:v>
      </ns0:c>
      <ns0:c r="G406" s="4">
        <ns0:v>7.71</ns0:v>
      </ns0:c>
      <ns0:c r="H406" s="4">
        <ns0:v>3.73</ns0:v>
      </ns0:c>
      <ns0:c r="I406" s="4">
        <ns0:v>8.91</ns0:v>
      </ns0:c>
      <ns0:c r="J406" s="4">
        <ns0:v>3.67</ns0:v>
      </ns0:c>
      <ns0:c r="K406" s="4">
        <ns0:v>3.59</ns0:v>
      </ns0:c>
      <ns0:c r="L406" s="4">
        <ns0:v>5.37</ns0:v>
      </ns0:c>
      <ns0:c r="M406" s="4">
        <ns0:v>8.02</ns0:v>
      </ns0:c>
      <ns0:c r="N406" s="4">
        <ns0:v>3.17</ns0:v>
      </ns0:c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 t="inlineStr">
        <ns0:is>
          <ns0:t>调研费用数量</ns0:t>
        </ns0:is>
      </ns0:c>
      <ns0:c r="C407" s="4">
        <ns0:v>4.05</ns0:v>
      </ns0:c>
      <ns0:c r="D407" s="4">
        <ns0:v>6.85</ns0:v>
      </ns0:c>
      <ns0:c r="E407" s="4">
        <ns0:v>4.30</ns0:v>
      </ns0:c>
      <ns0:c r="F407" s="4">
        <ns0:v>4.98</ns0:v>
      </ns0:c>
      <ns0:c r="G407" s="4">
        <ns0:v>3.23</ns0:v>
      </ns0:c>
      <ns0:c r="H407" s="4">
        <ns0:v>4.21</ns0:v>
      </ns0:c>
      <ns0:c r="I407" s="4">
        <ns0:v>4.34</ns0:v>
      </ns0:c>
      <ns0:c r="J407" s="4">
        <ns0:v>7.85</ns0:v>
      </ns0:c>
      <ns0:c r="K407" s="4">
        <ns0:v>4.59</ns0:v>
      </ns0:c>
      <ns0:c r="L407" s="4">
        <ns0:v>3.64</ns0:v>
      </ns0:c>
      <ns0:c r="M407" s="4">
        <ns0:v>7.63</ns0:v>
      </ns0:c>
      <ns0:c r="N407" s="4">
        <ns0:v>4.87</ns0:v>
      </ns0:c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 t="inlineStr">
        <ns0:is>
          <ns0:t>手续费数量</ns0:t>
        </ns0:is>
      </ns0:c>
      <ns0:c r="C408" s="4">
        <ns0:v>4.24</ns0:v>
      </ns0:c>
      <ns0:c r="D408" s="4">
        <ns0:v>5.07</ns0:v>
      </ns0:c>
      <ns0:c r="E408" s="4">
        <ns0:v>6.18</ns0:v>
      </ns0:c>
      <ns0:c r="F408" s="4">
        <ns0:v>5.39</ns0:v>
      </ns0:c>
      <ns0:c r="G408" s="4">
        <ns0:v>4.22</ns0:v>
      </ns0:c>
      <ns0:c r="H408" s="4">
        <ns0:v>5.02</ns0:v>
      </ns0:c>
      <ns0:c r="I408" s="4">
        <ns0:v>6.79</ns0:v>
      </ns0:c>
      <ns0:c r="J408" s="4">
        <ns0:v>7.51</ns0:v>
      </ns0:c>
      <ns0:c r="K408" s="4">
        <ns0:v>3.49</ns0:v>
      </ns0:c>
      <ns0:c r="L408" s="4">
        <ns0:v>3.20</ns0:v>
      </ns0:c>
      <ns0:c r="M408" s="4">
        <ns0:v>4.88</ns0:v>
      </ns0:c>
      <ns0:c r="N408" s="4">
        <ns0:v>7.04</ns0:v>
      </ns0:c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 t="inlineStr">
        <ns0:is>
          <ns0:t>利息收入数量</ns0:t>
        </ns0:is>
      </ns0:c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 t="inlineStr">
        <ns0:is>
          <ns0:t>利息支出数量</ns0:t>
        </ns0:is>
      </ns0:c>
      <ns0:c r="C410" s="4">
        <ns0:v>8.62</ns0:v>
      </ns0:c>
      <ns0:c r="D410" s="4">
        <ns0:v>6.73</ns0:v>
      </ns0:c>
      <ns0:c r="E410" s="4">
        <ns0:v>4.30</ns0:v>
      </ns0:c>
      <ns0:c r="F410" s="4">
        <ns0:v>8.22</ns0:v>
      </ns0:c>
      <ns0:c r="G410" s="4">
        <ns0:v>3.47</ns0:v>
      </ns0:c>
      <ns0:c r="H410" s="4">
        <ns0:v>2.27</ns0:v>
      </ns0:c>
      <ns0:c r="I410" s="4">
        <ns0:v>4.20</ns0:v>
      </ns0:c>
      <ns0:c r="J410" s="4">
        <ns0:v>2.37</ns0:v>
      </ns0:c>
      <ns0:c r="K410" s="4">
        <ns0:v>4.66</ns0:v>
      </ns0:c>
      <ns0:c r="L410" s="4">
        <ns0:v>3.59</ns0:v>
      </ns0:c>
      <ns0:c r="M410" s="4">
        <ns0:v>4.10</ns0:v>
      </ns0:c>
      <ns0:c r="N410" s="4">
        <ns0:v>6.34</ns0:v>
      </ns0:c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 t="inlineStr">
        <ns0:is>
          <ns0:t>车船税数量</ns0:t>
        </ns0:is>
      </ns0:c>
      <ns0:c r="C411" s="4">
        <ns0:v>8.88</ns0:v>
      </ns0:c>
      <ns0:c r="D411" s="4">
        <ns0:v>3.28</ns0:v>
      </ns0:c>
      <ns0:c r="E411" s="4">
        <ns0:v>3.73</ns0:v>
      </ns0:c>
      <ns0:c r="F411" s="4">
        <ns0:v>3.07</ns0:v>
      </ns0:c>
      <ns0:c r="G411" s="4">
        <ns0:v>4.33</ns0:v>
      </ns0:c>
      <ns0:c r="H411" s="4">
        <ns0:v>3.28</ns0:v>
      </ns0:c>
      <ns0:c r="I411" s="4">
        <ns0:v>2.33</ns0:v>
      </ns0:c>
      <ns0:c r="J411" s="4">
        <ns0:v>5.85</ns0:v>
      </ns0:c>
      <ns0:c r="K411" s="4">
        <ns0:v>2.72</ns0:v>
      </ns0:c>
      <ns0:c r="L411" s="4">
        <ns0:v>2.21</ns0:v>
      </ns0:c>
      <ns0:c r="M411" s="4">
        <ns0:v>7.02</ns0:v>
      </ns0:c>
      <ns0:c r="N411" s="4">
        <ns0:v>3.81</ns0:v>
      </ns0:c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 t="inlineStr">
        <ns0:is>
          <ns0:t>印花税数量</ns0:t>
        </ns0:is>
      </ns0:c>
      <ns0:c r="C412" s="4">
        <ns0:v>5.83</ns0:v>
      </ns0:c>
      <ns0:c r="D412" s="4">
        <ns0:v>8.74</ns0:v>
      </ns0:c>
      <ns0:c r="E412" s="4">
        <ns0:v>2.52</ns0:v>
      </ns0:c>
      <ns0:c r="F412" s="4">
        <ns0:v>3.48</ns0:v>
      </ns0:c>
      <ns0:c r="G412" s="4">
        <ns0:v>6.58</ns0:v>
      </ns0:c>
      <ns0:c r="H412" s="4">
        <ns0:v>3.30</ns0:v>
      </ns0:c>
      <ns0:c r="I412" s="4">
        <ns0:v>2.46</ns0:v>
      </ns0:c>
      <ns0:c r="J412" s="4">
        <ns0:v>7.77</ns0:v>
      </ns0:c>
      <ns0:c r="K412" s="4">
        <ns0:v>3.89</ns0:v>
      </ns0:c>
      <ns0:c r="L412" s="4">
        <ns0:v>8.23</ns0:v>
      </ns0:c>
      <ns0:c r="M412" s="4">
        <ns0:v>3.20</ns0:v>
      </ns0:c>
      <ns0:c r="N412" s="4">
        <ns0:v>3.66</ns0:v>
      </ns0:c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 t="inlineStr">
        <ns0:is>
          <ns0:t>其他数量</ns0:t>
        </ns0:is>
      </ns0:c>
      <ns0:c r="C413" s="4">
        <ns0:v>3.70</ns0:v>
      </ns0:c>
      <ns0:c r="D413" s="4">
        <ns0:v>5.34</ns0:v>
      </ns0:c>
      <ns0:c r="E413" s="4">
        <ns0:v>6.56</ns0:v>
      </ns0:c>
      <ns0:c r="F413" s="4">
        <ns0:v>7.77</ns0:v>
      </ns0:c>
      <ns0:c r="G413" s="4">
        <ns0:v>6.24</ns0:v>
      </ns0:c>
      <ns0:c r="H413" s="4">
        <ns0:v>3.43</ns0:v>
      </ns0:c>
      <ns0:c r="I413" s="4">
        <ns0:v>2.14</ns0:v>
      </ns0:c>
      <ns0:c r="J413" s="4">
        <ns0:v>5.64</ns0:v>
      </ns0:c>
      <ns0:c r="K413" s="4">
        <ns0:v>5.60</ns0:v>
      </ns0:c>
      <ns0:c r="L413" s="4">
        <ns0:v>7.76</ns0:v>
      </ns0:c>
      <ns0:c r="M413" s="4">
        <ns0:v>6.25</ns0:v>
      </ns0:c>
      <ns0:c r="N413" s="4">
        <ns0:v>7.91</ns0:v>
      </ns0:c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C1"/>
    <ns0:mergeCell ref="C2:N2"/>
    <ns0:mergeCell ref="A25:B25"/>
    <ns0:mergeCell ref="A26:B26"/>
    <ns0:mergeCell ref="A27:B27"/>
    <ns0:mergeCell ref="A33:B33"/>
    <ns0:mergeCell ref="A34:B34"/>
    <ns0:mergeCell ref="A35:B35"/>
    <ns0:mergeCell ref="A36:B36"/>
    <ns0:mergeCell ref="A4:A10"/>
    <ns0:mergeCell ref="A11:A20"/>
    <ns0:mergeCell ref="A21:A24"/>
    <ns0:mergeCell ref="A29:A30"/>
    <ns0:mergeCell ref="A31:A32"/>
    <ns0:mergeCell ref="O2:O3"/>
    <ns0:mergeCell ref="A2:B3"/>
  </ns0:mergeCells>
  <ns0:pageMargins left="0.7" right="0.7" top="0.75" bottom="0.75" header="0.3" footer="0.3"/>
</ns0:worksheet>
</file>

<file path=xl/worksheets/sheet10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6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2.625" hidden="0" customWidth="1"/>
    <ns0:col min="17" max="17" width="12.625" hidden="0" customWidth="1"/>
    <ns0:col min="18" max="18" width="16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 t="inlineStr">
        <ns0:is>
          <ns0:t>项目</ns0:t>
        </ns0:is>
      </ns0:c>
      <ns0:c r="B2" s="2"/>
      <ns0:c r="C2" s="3"/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 t="inlineStr">
        <ns0:is>
          <ns0:t>合计</ns0:t>
        </ns0:is>
      </ns0:c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/>
      <ns0:c r="B3" s="2"/>
      <ns0:c r="C3" s="6"/>
      <ns0:c r="D3" s="6"/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 t="inlineStr">
        <ns0:is>
          <ns0:t>员工费用</ns0:t>
        </ns0:is>
      </ns0:c>
      <ns0:c r="B4" s="2" t="inlineStr">
        <ns0:is>
          <ns0:t>工资</ns0:t>
        </ns0:is>
      </ns0:c>
      <ns0:c r="C4" s="3">
        <ns0:f>'销售费用'!C4+'管理费用'!C4+'蓝恐龙费用'!C4</ns0:f>
        <ns0:v>593.11</ns0:v>
      </ns0:c>
      <ns0:c r="D4" s="3">
        <ns0:f>'销售费用'!D4+'管理费用'!D4+'蓝恐龙费用'!D4</ns0:f>
        <ns0:v>335.55</ns0:v>
      </ns0:c>
      <ns0:c r="E4" s="3">
        <ns0:f>'销售费用'!E4+'管理费用'!E4+'蓝恐龙费用'!E4</ns0:f>
        <ns0:v>604.41</ns0:v>
      </ns0:c>
      <ns0:c r="F4" s="3">
        <ns0:f>'销售费用'!F4+'管理费用'!F4+'蓝恐龙费用'!F4</ns0:f>
        <ns0:v>787.28</ns0:v>
      </ns0:c>
      <ns0:c r="G4" s="3">
        <ns0:f>'销售费用'!G4+'管理费用'!G4+'蓝恐龙费用'!G4</ns0:f>
        <ns0:v>475.84</ns0:v>
      </ns0:c>
      <ns0:c r="H4" s="3">
        <ns0:f>'销售费用'!H4+'管理费用'!H4+'蓝恐龙费用'!H4</ns0:f>
        <ns0:v>581.70</ns0:v>
      </ns0:c>
      <ns0:c r="I4" s="3">
        <ns0:f>'销售费用'!I4+'管理费用'!I4+'蓝恐龙费用'!I4</ns0:f>
        <ns0:v>917.59</ns0:v>
      </ns0:c>
      <ns0:c r="J4" s="3">
        <ns0:f>'销售费用'!J4+'管理费用'!J4+'蓝恐龙费用'!J4</ns0:f>
        <ns0:v>841.00</ns0:v>
      </ns0:c>
      <ns0:c r="K4" s="3">
        <ns0:f>'销售费用'!K4+'管理费用'!K4+'蓝恐龙费用'!K4</ns0:f>
        <ns0:v>689.83</ns0:v>
      </ns0:c>
      <ns0:c r="L4" s="3">
        <ns0:f>'销售费用'!L4+'管理费用'!L4+'蓝恐龙费用'!L4</ns0:f>
        <ns0:v>631.79</ns0:v>
      </ns0:c>
      <ns0:c r="M4" s="3">
        <ns0:f>'销售费用'!M4+'管理费用'!M4+'蓝恐龙费用'!M4</ns0:f>
        <ns0:v>806.51</ns0:v>
      </ns0:c>
      <ns0:c r="N4" s="3">
        <ns0:f>'销售费用'!N4+'管理费用'!N4+'蓝恐龙费用'!N4</ns0:f>
        <ns0:v>754.07</ns0:v>
      </ns0:c>
      <ns0:c r="O4" s="3">
        <ns0:f>SUM(C4:N4)</ns0:f>
        <ns0:v>8018.68</ns0:v>
      </ns0:c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/>
      <ns0:c r="B5" s="2" t="inlineStr">
        <ns0:is>
          <ns0:t>十三薪</ns0:t>
        </ns0:is>
      </ns0:c>
      <ns0:c r="C5" s="3">
        <ns0:f>'销售费用'!C5+'管理费用'!C5+'蓝恐龙费用'!C5</ns0:f>
        <ns0:v>696.40</ns0:v>
      </ns0:c>
      <ns0:c r="D5" s="3">
        <ns0:f>'销售费用'!D5+'管理费用'!D5+'蓝恐龙费用'!D5</ns0:f>
        <ns0:v>373.01</ns0:v>
      </ns0:c>
      <ns0:c r="E5" s="3">
        <ns0:f>'销售费用'!E5+'管理费用'!E5+'蓝恐龙费用'!E5</ns0:f>
        <ns0:v>1033.02</ns0:v>
      </ns0:c>
      <ns0:c r="F5" s="3">
        <ns0:f>'销售费用'!F5+'管理费用'!F5+'蓝恐龙费用'!F5</ns0:f>
        <ns0:v>454.15</ns0:v>
      </ns0:c>
      <ns0:c r="G5" s="3">
        <ns0:f>'销售费用'!G5+'管理费用'!G5+'蓝恐龙费用'!G5</ns0:f>
        <ns0:v>1310.77</ns0:v>
      </ns0:c>
      <ns0:c r="H5" s="3">
        <ns0:f>'销售费用'!H5+'管理费用'!H5+'蓝恐龙费用'!H5</ns0:f>
        <ns0:v>451.24</ns0:v>
      </ns0:c>
      <ns0:c r="I5" s="3">
        <ns0:f>'销售费用'!I5+'管理费用'!I5+'蓝恐龙费用'!I5</ns0:f>
        <ns0:v>804.86</ns0:v>
      </ns0:c>
      <ns0:c r="J5" s="3">
        <ns0:f>'销售费用'!J5+'管理费用'!J5+'蓝恐龙费用'!J5</ns0:f>
        <ns0:v>445.81</ns0:v>
      </ns0:c>
      <ns0:c r="K5" s="3">
        <ns0:f>'销售费用'!K5+'管理费用'!K5+'蓝恐龙费用'!K5</ns0:f>
        <ns0:v>1009.35</ns0:v>
      </ns0:c>
      <ns0:c r="L5" s="3">
        <ns0:f>'销售费用'!L5+'管理费用'!L5+'蓝恐龙费用'!L5</ns0:f>
        <ns0:v>302.45</ns0:v>
      </ns0:c>
      <ns0:c r="M5" s="3">
        <ns0:f>'销售费用'!M5+'管理费用'!M5+'蓝恐龙费用'!M5</ns0:f>
        <ns0:v>591.28</ns0:v>
      </ns0:c>
      <ns0:c r="N5" s="3">
        <ns0:f>'销售费用'!N5+'管理费用'!N5+'蓝恐龙费用'!N5</ns0:f>
        <ns0:v>484.15</ns0:v>
      </ns0:c>
      <ns0:c r="O5" s="3">
        <ns0:f>SUM(C5:N5)</ns0:f>
        <ns0:v>7956.49</ns0:v>
      </ns0:c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/>
      <ns0:c r="B6" s="2" t="inlineStr">
        <ns0:is>
          <ns0:t>离职补偿金</ns0:t>
        </ns0:is>
      </ns0:c>
      <ns0:c r="C6" s="3">
        <ns0:f>'销售费用'!C6+'管理费用'!C6+'蓝恐龙费用'!C6</ns0:f>
        <ns0:v>586.10</ns0:v>
      </ns0:c>
      <ns0:c r="D6" s="3">
        <ns0:f>'销售费用'!D6+'管理费用'!D6+'蓝恐龙费用'!D6</ns0:f>
        <ns0:v>330.27</ns0:v>
      </ns0:c>
      <ns0:c r="E6" s="3">
        <ns0:f>'销售费用'!E6+'管理费用'!E6+'蓝恐龙费用'!E6</ns0:f>
        <ns0:v>366.37</ns0:v>
      </ns0:c>
      <ns0:c r="F6" s="3">
        <ns0:f>'销售费用'!F6+'管理费用'!F6+'蓝恐龙费用'!F6</ns0:f>
        <ns0:v>765.48</ns0:v>
      </ns0:c>
      <ns0:c r="G6" s="3">
        <ns0:f>'销售费用'!G6+'管理费用'!G6+'蓝恐龙费用'!G6</ns0:f>
        <ns0:v>1274.02</ns0:v>
      </ns0:c>
      <ns0:c r="H6" s="3">
        <ns0:f>'销售费用'!H6+'管理费用'!H6+'蓝恐龙费用'!H6</ns0:f>
        <ns0:v>364.19</ns0:v>
      </ns0:c>
      <ns0:c r="I6" s="3">
        <ns0:f>'销售费用'!I6+'管理费用'!I6+'蓝恐龙费用'!I6</ns0:f>
        <ns0:v>531.86</ns0:v>
      </ns0:c>
      <ns0:c r="J6" s="3">
        <ns0:f>'销售费用'!J6+'管理费用'!J6+'蓝恐龙费用'!J6</ns0:f>
        <ns0:v>534.98</ns0:v>
      </ns0:c>
      <ns0:c r="K6" s="3">
        <ns0:f>'销售费用'!K6+'管理费用'!K6+'蓝恐龙费用'!K6</ns0:f>
        <ns0:v>512.15</ns0:v>
      </ns0:c>
      <ns0:c r="L6" s="3">
        <ns0:f>'销售费用'!L6+'管理费用'!L6+'蓝恐龙费用'!L6</ns0:f>
        <ns0:v>662.14</ns0:v>
      </ns0:c>
      <ns0:c r="M6" s="3">
        <ns0:f>'销售费用'!M6+'管理费用'!M6+'蓝恐龙费用'!M6</ns0:f>
        <ns0:v>617.82</ns0:v>
      </ns0:c>
      <ns0:c r="N6" s="3">
        <ns0:f>'销售费用'!N6+'管理费用'!N6+'蓝恐龙费用'!N6</ns0:f>
        <ns0:v>607.79</ns0:v>
      </ns0:c>
      <ns0:c r="O6" s="3">
        <ns0:f>SUM(C6:N6)</ns0:f>
        <ns0:v>7153.17</ns0:v>
      </ns0:c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 t="inlineStr">
        <ns0:is>
          <ns0:t>五险一金</ns0:t>
        </ns0:is>
      </ns0:c>
      <ns0:c r="C7" s="3">
        <ns0:f>'销售费用'!C7+'管理费用'!C7+'蓝恐龙费用'!C7</ns0:f>
        <ns0:v>797.77</ns0:v>
      </ns0:c>
      <ns0:c r="D7" s="3">
        <ns0:f>'销售费用'!D7+'管理费用'!D7+'蓝恐龙费用'!D7</ns0:f>
        <ns0:v>511.76</ns0:v>
      </ns0:c>
      <ns0:c r="E7" s="3">
        <ns0:f>'销售费用'!E7+'管理费用'!E7+'蓝恐龙费用'!E7</ns0:f>
        <ns0:v>780.60</ns0:v>
      </ns0:c>
      <ns0:c r="F7" s="3">
        <ns0:f>'销售费用'!F7+'管理费用'!F7+'蓝恐龙费用'!F7</ns0:f>
        <ns0:v>1123.15</ns0:v>
      </ns0:c>
      <ns0:c r="G7" s="3">
        <ns0:f>'销售费用'!G7+'管理费用'!G7+'蓝恐龙费用'!G7</ns0:f>
        <ns0:v>1203.78</ns0:v>
      </ns0:c>
      <ns0:c r="H7" s="3">
        <ns0:f>'销售费用'!H7+'管理费用'!H7+'蓝恐龙费用'!H7</ns0:f>
        <ns0:v>904.77</ns0:v>
      </ns0:c>
      <ns0:c r="I7" s="3">
        <ns0:f>'销售费用'!I7+'管理费用'!I7+'蓝恐龙费用'!I7</ns0:f>
        <ns0:v>1173.96</ns0:v>
      </ns0:c>
      <ns0:c r="J7" s="3">
        <ns0:f>'销售费用'!J7+'管理费用'!J7+'蓝恐龙费用'!J7</ns0:f>
        <ns0:v>971.20</ns0:v>
      </ns0:c>
      <ns0:c r="K7" s="3">
        <ns0:f>'销售费用'!K7+'管理费用'!K7+'蓝恐龙费用'!K7</ns0:f>
        <ns0:v>759.85</ns0:v>
      </ns0:c>
      <ns0:c r="L7" s="3">
        <ns0:f>'销售费用'!L7+'管理费用'!L7+'蓝恐龙费用'!L7</ns0:f>
        <ns0:v>494.48</ns0:v>
      </ns0:c>
      <ns0:c r="M7" s="3">
        <ns0:f>'销售费用'!M7+'管理费用'!M7+'蓝恐龙费用'!M7</ns0:f>
        <ns0:v>1054.79</ns0:v>
      </ns0:c>
      <ns0:c r="N7" s="3">
        <ns0:f>'销售费用'!N7+'管理费用'!N7+'蓝恐龙费用'!N7</ns0:f>
        <ns0:v>911.34</ns0:v>
      </ns0:c>
      <ns0:c r="O7" s="3">
        <ns0:f>SUM(C7:N7)</ns0:f>
        <ns0:v>10687.45</ns0:v>
      </ns0:c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2" t="inlineStr">
        <ns0:is>
          <ns0:t>福利费</ns0:t>
        </ns0:is>
      </ns0:c>
      <ns0:c r="C8" s="3">
        <ns0:f>'销售费用'!C8+'管理费用'!C8+'蓝恐龙费用'!C8</ns0:f>
        <ns0:v>608.11</ns0:v>
      </ns0:c>
      <ns0:c r="D8" s="3">
        <ns0:f>'销售费用'!D8+'管理费用'!D8+'蓝恐龙费用'!D8</ns0:f>
        <ns0:v>1014.48</ns0:v>
      </ns0:c>
      <ns0:c r="E8" s="3">
        <ns0:f>'销售费用'!E8+'管理费用'!E8+'蓝恐龙费用'!E8</ns0:f>
        <ns0:v>714.60</ns0:v>
      </ns0:c>
      <ns0:c r="F8" s="3">
        <ns0:f>'销售费用'!F8+'管理费用'!F8+'蓝恐龙费用'!F8</ns0:f>
        <ns0:v>571.96</ns0:v>
      </ns0:c>
      <ns0:c r="G8" s="3">
        <ns0:f>'销售费用'!G8+'管理费用'!G8+'蓝恐龙费用'!G8</ns0:f>
        <ns0:v>517.25</ns0:v>
      </ns0:c>
      <ns0:c r="H8" s="3">
        <ns0:f>'销售费用'!H8+'管理费用'!H8+'蓝恐龙费用'!H8</ns0:f>
        <ns0:v>1072.17</ns0:v>
      </ns0:c>
      <ns0:c r="I8" s="3">
        <ns0:f>'销售费用'!I8+'管理费用'!I8+'蓝恐龙费用'!I8</ns0:f>
        <ns0:v>794.43</ns0:v>
      </ns0:c>
      <ns0:c r="J8" s="3">
        <ns0:f>'销售费用'!J8+'管理费用'!J8+'蓝恐龙费用'!J8</ns0:f>
        <ns0:v>1122.66</ns0:v>
      </ns0:c>
      <ns0:c r="K8" s="3">
        <ns0:f>'销售费用'!K8+'管理费用'!K8+'蓝恐龙费用'!K8</ns0:f>
        <ns0:v>715.15</ns0:v>
      </ns0:c>
      <ns0:c r="L8" s="3">
        <ns0:f>'销售费用'!L8+'管理费用'!L8+'蓝恐龙费用'!L8</ns0:f>
        <ns0:v>932.65</ns0:v>
      </ns0:c>
      <ns0:c r="M8" s="3">
        <ns0:f>'销售费用'!M8+'管理费用'!M8+'蓝恐龙费用'!M8</ns0:f>
        <ns0:v>567.36</ns0:v>
      </ns0:c>
      <ns0:c r="N8" s="3">
        <ns0:f>'销售费用'!N8+'管理费用'!N8+'蓝恐龙费用'!N8</ns0:f>
        <ns0:v>1266.57</ns0:v>
      </ns0:c>
      <ns0:c r="O8" s="3">
        <ns0:f>SUM(C8:N8)</ns0:f>
        <ns0:v>9897.39</ns0:v>
      </ns0:c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 t="inlineStr">
        <ns0:is>
          <ns0:t>招聘费</ns0:t>
        </ns0:is>
      </ns0:c>
      <ns0:c r="C9" s="3">
        <ns0:f>'销售费用'!C9+'管理费用'!C9+'蓝恐龙费用'!C9</ns0:f>
        <ns0:v>739.95</ns0:v>
      </ns0:c>
      <ns0:c r="D9" s="3">
        <ns0:f>'销售费用'!D9+'管理费用'!D9+'蓝恐龙费用'!D9</ns0:f>
        <ns0:v>938.77</ns0:v>
      </ns0:c>
      <ns0:c r="E9" s="3">
        <ns0:f>'销售费用'!E9+'管理费用'!E9+'蓝恐龙费用'!E9</ns0:f>
        <ns0:v>819.66</ns0:v>
      </ns0:c>
      <ns0:c r="F9" s="3">
        <ns0:f>'销售费用'!F9+'管理费用'!F9+'蓝恐龙费用'!F9</ns0:f>
        <ns0:v>606.63</ns0:v>
      </ns0:c>
      <ns0:c r="G9" s="3">
        <ns0:f>'销售费用'!G9+'管理费用'!G9+'蓝恐龙费用'!G9</ns0:f>
        <ns0:v>738.96</ns0:v>
      </ns0:c>
      <ns0:c r="H9" s="3">
        <ns0:f>'销售费用'!H9+'管理费用'!H9+'蓝恐龙费用'!H9</ns0:f>
        <ns0:v>650.91</ns0:v>
      </ns0:c>
      <ns0:c r="I9" s="3">
        <ns0:f>'销售费用'!I9+'管理费用'!I9+'蓝恐龙费用'!I9</ns0:f>
        <ns0:v>861.40</ns0:v>
      </ns0:c>
      <ns0:c r="J9" s="3">
        <ns0:f>'销售费用'!J9+'管理费用'!J9+'蓝恐龙费用'!J9</ns0:f>
        <ns0:v>355.53</ns0:v>
      </ns0:c>
      <ns0:c r="K9" s="3">
        <ns0:f>'销售费用'!K9+'管理费用'!K9+'蓝恐龙费用'!K9</ns0:f>
        <ns0:v>612.09</ns0:v>
      </ns0:c>
      <ns0:c r="L9" s="3">
        <ns0:f>'销售费用'!L9+'管理费用'!L9+'蓝恐龙费用'!L9</ns0:f>
        <ns0:v>651.17</ns0:v>
      </ns0:c>
      <ns0:c r="M9" s="3">
        <ns0:f>'销售费用'!M9+'管理费用'!M9+'蓝恐龙费用'!M9</ns0:f>
        <ns0:v>722.30</ns0:v>
      </ns0:c>
      <ns0:c r="N9" s="3">
        <ns0:f>'销售费用'!N9+'管理费用'!N9+'蓝恐龙费用'!N9</ns0:f>
        <ns0:v>834.28</ns0:v>
      </ns0:c>
      <ns0:c r="O9" s="3">
        <ns0:f>SUM(C9:N9)</ns0:f>
        <ns0:v>8531.65</ns0:v>
      </ns0:c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 t="inlineStr">
        <ns0:is>
          <ns0:t>培训费</ns0:t>
        </ns0:is>
      </ns0:c>
      <ns0:c r="C10" s="3">
        <ns0:f>'销售费用'!C10+'管理费用'!C10+'蓝恐龙费用'!C10</ns0:f>
        <ns0:v>803.38</ns0:v>
      </ns0:c>
      <ns0:c r="D10" s="3">
        <ns0:f>'销售费用'!D10+'管理费用'!D10+'蓝恐龙费用'!D10</ns0:f>
        <ns0:v>791.42</ns0:v>
      </ns0:c>
      <ns0:c r="E10" s="3">
        <ns0:f>'销售费用'!E10+'管理费用'!E10+'蓝恐龙费用'!E10</ns0:f>
        <ns0:v>784.89</ns0:v>
      </ns0:c>
      <ns0:c r="F10" s="3">
        <ns0:f>'销售费用'!F10+'管理费用'!F10+'蓝恐龙费用'!F10</ns0:f>
        <ns0:v>954.94</ns0:v>
      </ns0:c>
      <ns0:c r="G10" s="3">
        <ns0:f>'销售费用'!G10+'管理费用'!G10+'蓝恐龙费用'!G10</ns0:f>
        <ns0:v>867.32</ns0:v>
      </ns0:c>
      <ns0:c r="H10" s="3">
        <ns0:f>'销售费用'!H10+'管理费用'!H10+'蓝恐龙费用'!H10</ns0:f>
        <ns0:v>767.32</ns0:v>
      </ns0:c>
      <ns0:c r="I10" s="3">
        <ns0:f>'销售费用'!I10+'管理费用'!I10+'蓝恐龙费用'!I10</ns0:f>
        <ns0:v>679.16</ns0:v>
      </ns0:c>
      <ns0:c r="J10" s="3">
        <ns0:f>'销售费用'!J10+'管理费用'!J10+'蓝恐龙费用'!J10</ns0:f>
        <ns0:v>503.42</ns0:v>
      </ns0:c>
      <ns0:c r="K10" s="3">
        <ns0:f>'销售费用'!K10+'管理费用'!K10+'蓝恐龙费用'!K10</ns0:f>
        <ns0:v>745.33</ns0:v>
      </ns0:c>
      <ns0:c r="L10" s="3">
        <ns0:f>'销售费用'!L10+'管理费用'!L10+'蓝恐龙费用'!L10</ns0:f>
        <ns0:v>793.90</ns0:v>
      </ns0:c>
      <ns0:c r="M10" s="3">
        <ns0:f>'销售费用'!M10+'管理费用'!M10+'蓝恐龙费用'!M10</ns0:f>
        <ns0:v>404.72</ns0:v>
      </ns0:c>
      <ns0:c r="N10" s="3">
        <ns0:f>'销售费用'!N10+'管理费用'!N10+'蓝恐龙费用'!N10</ns0:f>
        <ns0:v>567.37</ns0:v>
      </ns0:c>
      <ns0:c r="O10" s="3">
        <ns0:f>SUM(C10:N10)</ns0:f>
        <ns0:v>8663.17</ns0:v>
      </ns0:c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 t="inlineStr">
        <ns0:is>
          <ns0:t>房租</ns0:t>
        </ns0:is>
      </ns0:c>
      <ns0:c r="C11" s="3">
        <ns0:f>'销售费用'!C11+'管理费用'!C11+'蓝恐龙费用'!C11</ns0:f>
        <ns0:v>582.74</ns0:v>
      </ns0:c>
      <ns0:c r="D11" s="3">
        <ns0:f>'销售费用'!D11+'管理费用'!D11+'蓝恐龙费用'!D11</ns0:f>
        <ns0:v>1283.99</ns0:v>
      </ns0:c>
      <ns0:c r="E11" s="3">
        <ns0:f>'销售费用'!E11+'管理费用'!E11+'蓝恐龙费用'!E11</ns0:f>
        <ns0:v>532.90</ns0:v>
      </ns0:c>
      <ns0:c r="F11" s="3">
        <ns0:f>'销售费用'!F11+'管理费用'!F11+'蓝恐龙费用'!F11</ns0:f>
        <ns0:v>593.63</ns0:v>
      </ns0:c>
      <ns0:c r="G11" s="3">
        <ns0:f>'销售费用'!G11+'管理费用'!G11+'蓝恐龙费用'!G11</ns0:f>
        <ns0:v>696.41</ns0:v>
      </ns0:c>
      <ns0:c r="H11" s="3">
        <ns0:f>'销售费用'!H11+'管理费用'!H11+'蓝恐龙费用'!H11</ns0:f>
        <ns0:v>1212.75</ns0:v>
      </ns0:c>
      <ns0:c r="I11" s="3">
        <ns0:f>'销售费用'!I11+'管理费用'!I11+'蓝恐龙费用'!I11</ns0:f>
        <ns0:v>788.59</ns0:v>
      </ns0:c>
      <ns0:c r="J11" s="3">
        <ns0:f>'销售费用'!J11+'管理费用'!J11+'蓝恐龙费用'!J11</ns0:f>
        <ns0:v>619.43</ns0:v>
      </ns0:c>
      <ns0:c r="K11" s="3">
        <ns0:f>'销售费用'!K11+'管理费用'!K11+'蓝恐龙费用'!K11</ns0:f>
        <ns0:v>532.01</ns0:v>
      </ns0:c>
      <ns0:c r="L11" s="3">
        <ns0:f>'销售费用'!L11+'管理费用'!L11+'蓝恐龙费用'!L11</ns0:f>
        <ns0:v>370.55</ns0:v>
      </ns0:c>
      <ns0:c r="M11" s="3">
        <ns0:f>'销售费用'!M11+'管理费用'!M11+'蓝恐龙费用'!M11</ns0:f>
        <ns0:v>685.61</ns0:v>
      </ns0:c>
      <ns0:c r="N11" s="3">
        <ns0:f>'销售费用'!N11+'管理费用'!N11+'蓝恐龙费用'!N11</ns0:f>
        <ns0:v>839.98</ns0:v>
      </ns0:c>
      <ns0:c r="O11" s="3">
        <ns0:f>SUM(C11:N11)</ns0:f>
        <ns0:v>8738.59</ns0:v>
      </ns0:c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 t="inlineStr">
        <ns0:is>
          <ns0:t>物业管理费</ns0:t>
        </ns0:is>
      </ns0:c>
      <ns0:c r="C12" s="3">
        <ns0:f>'销售费用'!C12+'管理费用'!C12+'蓝恐龙费用'!C12</ns0:f>
        <ns0:v>496.44</ns0:v>
      </ns0:c>
      <ns0:c r="D12" s="3">
        <ns0:f>'销售费用'!D12+'管理费用'!D12+'蓝恐龙费用'!D12</ns0:f>
        <ns0:v>414.80</ns0:v>
      </ns0:c>
      <ns0:c r="E12" s="3">
        <ns0:f>'销售费用'!E12+'管理费用'!E12+'蓝恐龙费用'!E12</ns0:f>
        <ns0:v>1174.74</ns0:v>
      </ns0:c>
      <ns0:c r="F12" s="3">
        <ns0:f>'销售费用'!F12+'管理费用'!F12+'蓝恐龙费用'!F12</ns0:f>
        <ns0:v>637.66</ns0:v>
      </ns0:c>
      <ns0:c r="G12" s="3">
        <ns0:f>'销售费用'!G12+'管理费用'!G12+'蓝恐龙费用'!G12</ns0:f>
        <ns0:v>900.74</ns0:v>
      </ns0:c>
      <ns0:c r="H12" s="3">
        <ns0:f>'销售费用'!H12+'管理费用'!H12+'蓝恐龙费用'!H12</ns0:f>
        <ns0:v>752.00</ns0:v>
      </ns0:c>
      <ns0:c r="I12" s="3">
        <ns0:f>'销售费用'!I12+'管理费用'!I12+'蓝恐龙费用'!I12</ns0:f>
        <ns0:v>725.55</ns0:v>
      </ns0:c>
      <ns0:c r="J12" s="3">
        <ns0:f>'销售费用'!J12+'管理费用'!J12+'蓝恐龙费用'!J12</ns0:f>
        <ns0:v>525.00</ns0:v>
      </ns0:c>
      <ns0:c r="K12" s="3">
        <ns0:f>'销售费用'!K12+'管理费用'!K12+'蓝恐龙费用'!K12</ns0:f>
        <ns0:v>911.54</ns0:v>
      </ns0:c>
      <ns0:c r="L12" s="3">
        <ns0:f>'销售费用'!L12+'管理费用'!L12+'蓝恐龙费用'!L12</ns0:f>
        <ns0:v>759.79</ns0:v>
      </ns0:c>
      <ns0:c r="M12" s="3">
        <ns0:f>'销售费用'!M12+'管理费用'!M12+'蓝恐龙费用'!M12</ns0:f>
        <ns0:v>883.43</ns0:v>
      </ns0:c>
      <ns0:c r="N12" s="3">
        <ns0:f>'销售费用'!N12+'管理费用'!N12+'蓝恐龙费用'!N12</ns0:f>
        <ns0:v>667.49</ns0:v>
      </ns0:c>
      <ns0:c r="O12" s="3">
        <ns0:f>SUM(C12:N12)</ns0:f>
        <ns0:v>8849.18</ns0:v>
      </ns0:c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 t="inlineStr">
        <ns0:is>
          <ns0:t>汽车费用</ns0:t>
        </ns0:is>
      </ns0:c>
      <ns0:c r="C13" s="3">
        <ns0:f>'销售费用'!C13+'管理费用'!C13+'蓝恐龙费用'!C13</ns0:f>
        <ns0:v>1091.43</ns0:v>
      </ns0:c>
      <ns0:c r="D13" s="3">
        <ns0:f>'销售费用'!D13+'管理费用'!D13+'蓝恐龙费用'!D13</ns0:f>
        <ns0:v>1036.88</ns0:v>
      </ns0:c>
      <ns0:c r="E13" s="3">
        <ns0:f>'销售费用'!E13+'管理费用'!E13+'蓝恐龙费用'!E13</ns0:f>
        <ns0:v>504.20</ns0:v>
      </ns0:c>
      <ns0:c r="F13" s="3">
        <ns0:f>'销售费用'!F13+'管理费用'!F13+'蓝恐龙费用'!F13</ns0:f>
        <ns0:v>532.96</ns0:v>
      </ns0:c>
      <ns0:c r="G13" s="3">
        <ns0:f>'销售费用'!G13+'管理费用'!G13+'蓝恐龙费用'!G13</ns0:f>
        <ns0:v>444.76</ns0:v>
      </ns0:c>
      <ns0:c r="H13" s="3">
        <ns0:f>'销售费用'!H13+'管理费用'!H13+'蓝恐龙费用'!H13</ns0:f>
        <ns0:v>685.01</ns0:v>
      </ns0:c>
      <ns0:c r="I13" s="3">
        <ns0:f>'销售费用'!I13+'管理费用'!I13+'蓝恐龙费用'!I13</ns0:f>
        <ns0:v>1033.26</ns0:v>
      </ns0:c>
      <ns0:c r="J13" s="3">
        <ns0:f>'销售费用'!J13+'管理费用'!J13+'蓝恐龙费用'!J13</ns0:f>
        <ns0:v>652.18</ns0:v>
      </ns0:c>
      <ns0:c r="K13" s="3">
        <ns0:f>'销售费用'!K13+'管理费用'!K13+'蓝恐龙费用'!K13</ns0:f>
        <ns0:v>908.72</ns0:v>
      </ns0:c>
      <ns0:c r="L13" s="3">
        <ns0:f>'销售费用'!L13+'管理费用'!L13+'蓝恐龙费用'!L13</ns0:f>
        <ns0:v>1058.41</ns0:v>
      </ns0:c>
      <ns0:c r="M13" s="3">
        <ns0:f>'销售费用'!M13+'管理费用'!M13+'蓝恐龙费用'!M13</ns0:f>
        <ns0:v>862.76</ns0:v>
      </ns0:c>
      <ns0:c r="N13" s="3">
        <ns0:f>'销售费用'!N13+'管理费用'!N13+'蓝恐龙费用'!N13</ns0:f>
        <ns0:v>525.80</ns0:v>
      </ns0:c>
      <ns0:c r="O13" s="3">
        <ns0:f>SUM(C13:N13)</ns0:f>
        <ns0:v>9336.37</ns0:v>
      </ns0:c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 t="inlineStr">
        <ns0:is>
          <ns0:t>办公费</ns0:t>
        </ns0:is>
      </ns0:c>
      <ns0:c r="C14" s="3">
        <ns0:f>'销售费用'!C14+'管理费用'!C14+'蓝恐龙费用'!C14</ns0:f>
        <ns0:v>784.34</ns0:v>
      </ns0:c>
      <ns0:c r="D14" s="3">
        <ns0:f>'销售费用'!D14+'管理费用'!D14+'蓝恐龙费用'!D14</ns0:f>
        <ns0:v>639.41</ns0:v>
      </ns0:c>
      <ns0:c r="E14" s="3">
        <ns0:f>'销售费用'!E14+'管理费用'!E14+'蓝恐龙费用'!E14</ns0:f>
        <ns0:v>819.98</ns0:v>
      </ns0:c>
      <ns0:c r="F14" s="3">
        <ns0:f>'销售费用'!F14+'管理费用'!F14+'蓝恐龙费用'!F14</ns0:f>
        <ns0:v>832.88</ns0:v>
      </ns0:c>
      <ns0:c r="G14" s="3">
        <ns0:f>'销售费用'!G14+'管理费用'!G14+'蓝恐龙费用'!G14</ns0:f>
        <ns0:v>491.44</ns0:v>
      </ns0:c>
      <ns0:c r="H14" s="3">
        <ns0:f>'销售费用'!H14+'管理费用'!H14+'蓝恐龙费用'!H14</ns0:f>
        <ns0:v>547.15</ns0:v>
      </ns0:c>
      <ns0:c r="I14" s="3">
        <ns0:f>'销售费用'!I14+'管理费用'!I14+'蓝恐龙费用'!I14</ns0:f>
        <ns0:v>894.70</ns0:v>
      </ns0:c>
      <ns0:c r="J14" s="3">
        <ns0:f>'销售费用'!J14+'管理费用'!J14+'蓝恐龙费用'!J14</ns0:f>
        <ns0:v>662.89</ns0:v>
      </ns0:c>
      <ns0:c r="K14" s="3">
        <ns0:f>'销售费用'!K14+'管理费用'!K14+'蓝恐龙费用'!K14</ns0:f>
        <ns0:v>1026.73</ns0:v>
      </ns0:c>
      <ns0:c r="L14" s="3">
        <ns0:f>'销售费用'!L14+'管理费用'!L14+'蓝恐龙费用'!L14</ns0:f>
        <ns0:v>726.84</ns0:v>
      </ns0:c>
      <ns0:c r="M14" s="3">
        <ns0:f>'销售费用'!M14+'管理费用'!M14+'蓝恐龙费用'!M14</ns0:f>
        <ns0:v>845.19</ns0:v>
      </ns0:c>
      <ns0:c r="N14" s="3">
        <ns0:f>'销售费用'!N14+'管理费用'!N14+'蓝恐龙费用'!N14</ns0:f>
        <ns0:v>660.24</ns0:v>
      </ns0:c>
      <ns0:c r="O14" s="3">
        <ns0:f>SUM(C14:N14)</ns0:f>
        <ns0:v>8931.79</ns0:v>
      </ns0:c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实际数据状态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 t="inlineStr">
        <ns0:is>
          <ns0:t>办公用品</ns0:t>
        </ns0:is>
      </ns0:c>
      <ns0:c r="C15" s="3">
        <ns0:f>'销售费用'!C15+'管理费用'!C15+'蓝恐龙费用'!C15</ns0:f>
        <ns0:v>693.00</ns0:v>
      </ns0:c>
      <ns0:c r="D15" s="3">
        <ns0:f>'销售费用'!D15+'管理费用'!D15+'蓝恐龙费用'!D15</ns0:f>
        <ns0:v>444.32</ns0:v>
      </ns0:c>
      <ns0:c r="E15" s="3">
        <ns0:f>'销售费用'!E15+'管理费用'!E15+'蓝恐龙费用'!E15</ns0:f>
        <ns0:v>678.21</ns0:v>
      </ns0:c>
      <ns0:c r="F15" s="3">
        <ns0:f>'销售费用'!F15+'管理费用'!F15+'蓝恐龙费用'!F15</ns0:f>
        <ns0:v>483.64</ns0:v>
      </ns0:c>
      <ns0:c r="G15" s="3">
        <ns0:f>'销售费用'!G15+'管理费用'!G15+'蓝恐龙费用'!G15</ns0:f>
        <ns0:v>480.22</ns0:v>
      </ns0:c>
      <ns0:c r="H15" s="3">
        <ns0:f>'销售费用'!H15+'管理费用'!H15+'蓝恐龙费用'!H15</ns0:f>
        <ns0:v>649.90</ns0:v>
      </ns0:c>
      <ns0:c r="I15" s="3">
        <ns0:f>'销售费用'!I15+'管理费用'!I15+'蓝恐龙费用'!I15</ns0:f>
        <ns0:v>532.46</ns0:v>
      </ns0:c>
      <ns0:c r="J15" s="3">
        <ns0:f>'销售费用'!J15+'管理费用'!J15+'蓝恐龙费用'!J15</ns0:f>
        <ns0:v>739.33</ns0:v>
      </ns0:c>
      <ns0:c r="K15" s="3">
        <ns0:f>'销售费用'!K15+'管理费用'!K15+'蓝恐龙费用'!K15</ns0:f>
        <ns0:v>595.19</ns0:v>
      </ns0:c>
      <ns0:c r="L15" s="3">
        <ns0:f>'销售费用'!L15+'管理费用'!L15+'蓝恐龙费用'!L15</ns0:f>
        <ns0:v>526.72</ns0:v>
      </ns0:c>
      <ns0:c r="M15" s="3">
        <ns0:f>'销售费用'!M15+'管理费用'!M15+'蓝恐龙费用'!M15</ns0:f>
        <ns0:v>473.00</ns0:v>
      </ns0:c>
      <ns0:c r="N15" s="3">
        <ns0:f>'销售费用'!N15+'管理费用'!N15+'蓝恐龙费用'!N15</ns0:f>
        <ns0:v>1245.90</ns0:v>
      </ns0:c>
      <ns0:c r="O15" s="3">
        <ns0:f>SUM(C15:N15)</ns0:f>
        <ns0:v>7541.89</ns0:v>
      </ns0:c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 t="inlineStr">
        <ns0:is>
          <ns0:t>水电煤</ns0:t>
        </ns0:is>
      </ns0:c>
      <ns0:c r="C16" s="3">
        <ns0:f>'销售费用'!C16+'管理费用'!C16+'蓝恐龙费用'!C16</ns0:f>
        <ns0:v>660.35</ns0:v>
      </ns0:c>
      <ns0:c r="D16" s="3">
        <ns0:f>'销售费用'!D16+'管理费用'!D16+'蓝恐龙费用'!D16</ns0:f>
        <ns0:v>354.87</ns0:v>
      </ns0:c>
      <ns0:c r="E16" s="3">
        <ns0:f>'销售费用'!E16+'管理费用'!E16+'蓝恐龙费用'!E16</ns0:f>
        <ns0:v>475.54</ns0:v>
      </ns0:c>
      <ns0:c r="F16" s="3">
        <ns0:f>'销售费用'!F16+'管理费用'!F16+'蓝恐龙费用'!F16</ns0:f>
        <ns0:v>833.84</ns0:v>
      </ns0:c>
      <ns0:c r="G16" s="3">
        <ns0:f>'销售费用'!G16+'管理费用'!G16+'蓝恐龙费用'!G16</ns0:f>
        <ns0:v>615.84</ns0:v>
      </ns0:c>
      <ns0:c r="H16" s="3">
        <ns0:f>'销售费用'!H16+'管理费用'!H16+'蓝恐龙费用'!H16</ns0:f>
        <ns0:v>496.41</ns0:v>
      </ns0:c>
      <ns0:c r="I16" s="3">
        <ns0:f>'销售费用'!I16+'管理费用'!I16+'蓝恐龙费用'!I16</ns0:f>
        <ns0:v>408.90</ns0:v>
      </ns0:c>
      <ns0:c r="J16" s="3">
        <ns0:f>'销售费用'!J16+'管理费用'!J16+'蓝恐龙费用'!J16</ns0:f>
        <ns0:v>807.74</ns0:v>
      </ns0:c>
      <ns0:c r="K16" s="3">
        <ns0:f>'销售费用'!K16+'管理费用'!K16+'蓝恐龙费用'!K16</ns0:f>
        <ns0:v>790.23</ns0:v>
      </ns0:c>
      <ns0:c r="L16" s="3">
        <ns0:f>'销售费用'!L16+'管理费用'!L16+'蓝恐龙费用'!L16</ns0:f>
        <ns0:v>1124.59</ns0:v>
      </ns0:c>
      <ns0:c r="M16" s="3">
        <ns0:f>'销售费用'!M16+'管理费用'!M16+'蓝恐龙费用'!M16</ns0:f>
        <ns0:v>722.47</ns0:v>
      </ns0:c>
      <ns0:c r="N16" s="3">
        <ns0:f>'销售费用'!N16+'管理费用'!N16+'蓝恐龙费用'!N16</ns0:f>
        <ns0:v>879.27</ns0:v>
      </ns0:c>
      <ns0:c r="O16" s="3">
        <ns0:f>SUM(C16:N16)</ns0:f>
        <ns0:v>8170.05</ns0:v>
      </ns0:c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/>
      <ns0:c r="AY16" s="2"/>
    </ns0:row>
    <ns0:row r="17" ht="20" customHeight="1">
      <ns0:c r="A17" s="2"/>
      <ns0:c r="B17" s="2" t="inlineStr">
        <ns0:is>
          <ns0:t>咨询服务费</ns0:t>
        </ns0:is>
      </ns0:c>
      <ns0:c r="C17" s="3">
        <ns0:f>'销售费用'!C17+'管理费用'!C17+'蓝恐龙费用'!C17</ns0:f>
        <ns0:v>349.49</ns0:v>
      </ns0:c>
      <ns0:c r="D17" s="3">
        <ns0:f>'销售费用'!D17+'管理费用'!D17+'蓝恐龙费用'!D17</ns0:f>
        <ns0:v>666.90</ns0:v>
      </ns0:c>
      <ns0:c r="E17" s="3">
        <ns0:f>'销售费用'!E17+'管理费用'!E17+'蓝恐龙费用'!E17</ns0:f>
        <ns0:v>738.77</ns0:v>
      </ns0:c>
      <ns0:c r="F17" s="3">
        <ns0:f>'销售费用'!F17+'管理费用'!F17+'蓝恐龙费用'!F17</ns0:f>
        <ns0:v>941.58</ns0:v>
      </ns0:c>
      <ns0:c r="G17" s="3">
        <ns0:f>'销售费用'!G17+'管理费用'!G17+'蓝恐龙费用'!G17</ns0:f>
        <ns0:v>523.24</ns0:v>
      </ns0:c>
      <ns0:c r="H17" s="3">
        <ns0:f>'销售费用'!H17+'管理费用'!H17+'蓝恐龙费用'!H17</ns0:f>
        <ns0:v>517.04</ns0:v>
      </ns0:c>
      <ns0:c r="I17" s="3">
        <ns0:f>'销售费用'!I17+'管理费用'!I17+'蓝恐龙费用'!I17</ns0:f>
        <ns0:v>856.21</ns0:v>
      </ns0:c>
      <ns0:c r="J17" s="3">
        <ns0:f>'销售费用'!J17+'管理费用'!J17+'蓝恐龙费用'!J17</ns0:f>
        <ns0:v>755.52</ns0:v>
      </ns0:c>
      <ns0:c r="K17" s="3">
        <ns0:f>'销售费用'!K17+'管理费用'!K17+'蓝恐龙费用'!K17</ns0:f>
        <ns0:v>666.27</ns0:v>
      </ns0:c>
      <ns0:c r="L17" s="3">
        <ns0:f>'销售费用'!L17+'管理费用'!L17+'蓝恐龙费用'!L17</ns0:f>
        <ns0:v>884.70</ns0:v>
      </ns0:c>
      <ns0:c r="M17" s="3">
        <ns0:f>'销售费用'!M17+'管理费用'!M17+'蓝恐龙费用'!M17</ns0:f>
        <ns0:v>624.42</ns0:v>
      </ns0:c>
      <ns0:c r="N17" s="3">
        <ns0:f>'销售费用'!N17+'管理费用'!N17+'蓝恐龙费用'!N17</ns0:f>
        <ns0:v>648.71</ns0:v>
      </ns0:c>
      <ns0:c r="O17" s="3">
        <ns0:f>SUM(C17:N17)</ns0:f>
        <ns0:v>8172.85</ns0:v>
      </ns0:c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蓝色为输入参数；实际数为占位；金额单位：元</ns0:t>
        </ns0:is>
      </ns0:c>
    </ns0:row>
    <ns0:row r="18" ht="20" customHeight="1">
      <ns0:c r="A18" s="2"/>
      <ns0:c r="B18" s="2" t="inlineStr">
        <ns0:is>
          <ns0:t>电话费</ns0:t>
        </ns0:is>
      </ns0:c>
      <ns0:c r="C18" s="3">
        <ns0:f>'销售费用'!C18+'管理费用'!C18+'蓝恐龙费用'!C18</ns0:f>
        <ns0:v>394.36</ns0:v>
      </ns0:c>
      <ns0:c r="D18" s="3">
        <ns0:f>'销售费用'!D18+'管理费用'!D18+'蓝恐龙费用'!D18</ns0:f>
        <ns0:v>716.12</ns0:v>
      </ns0:c>
      <ns0:c r="E18" s="3">
        <ns0:f>'销售费用'!E18+'管理费用'!E18+'蓝恐龙费用'!E18</ns0:f>
        <ns0:v>1114.04</ns0:v>
      </ns0:c>
      <ns0:c r="F18" s="3">
        <ns0:f>'销售费用'!F18+'管理费用'!F18+'蓝恐龙费用'!F18</ns0:f>
        <ns0:v>733.07</ns0:v>
      </ns0:c>
      <ns0:c r="G18" s="3">
        <ns0:f>'销售费用'!G18+'管理费用'!G18+'蓝恐龙费用'!G18</ns0:f>
        <ns0:v>363.53</ns0:v>
      </ns0:c>
      <ns0:c r="H18" s="3">
        <ns0:f>'销售费用'!H18+'管理费用'!H18+'蓝恐龙费用'!H18</ns0:f>
        <ns0:v>342.86</ns0:v>
      </ns0:c>
      <ns0:c r="I18" s="3">
        <ns0:f>'销售费用'!I18+'管理费用'!I18+'蓝恐龙费用'!I18</ns0:f>
        <ns0:v>516.84</ns0:v>
      </ns0:c>
      <ns0:c r="J18" s="3">
        <ns0:f>'销售费用'!J18+'管理费用'!J18+'蓝恐龙费用'!J18</ns0:f>
        <ns0:v>487.15</ns0:v>
      </ns0:c>
      <ns0:c r="K18" s="3">
        <ns0:f>'销售费用'!K18+'管理费用'!K18+'蓝恐龙费用'!K18</ns0:f>
        <ns0:v>702.17</ns0:v>
      </ns0:c>
      <ns0:c r="L18" s="3">
        <ns0:f>'销售费用'!L18+'管理费用'!L18+'蓝恐龙费用'!L18</ns0:f>
        <ns0:v>393.33</ns0:v>
      </ns0:c>
      <ns0:c r="M18" s="3">
        <ns0:f>'销售费用'!M18+'管理费用'!M18+'蓝恐龙费用'!M18</ns0:f>
        <ns0:v>412.71</ns0:v>
      </ns0:c>
      <ns0:c r="N18" s="3">
        <ns0:f>'销售费用'!N18+'管理费用'!N18+'蓝恐龙费用'!N18</ns0:f>
        <ns0:v>1095.60</ns0:v>
      </ns0:c>
      <ns0:c r="O18" s="3">
        <ns0:f>SUM(C18:N18)</ns0:f>
        <ns0:v>7271.78</ns0:v>
      </ns0:c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 t="inlineStr">
        <ns0:is>
          <ns0:t>快递费</ns0:t>
        </ns0:is>
      </ns0:c>
      <ns0:c r="C19" s="3">
        <ns0:f>'销售费用'!C19+'管理费用'!C19+'蓝恐龙费用'!C19</ns0:f>
        <ns0:v>550.00</ns0:v>
      </ns0:c>
      <ns0:c r="D19" s="3">
        <ns0:f>'销售费用'!D19+'管理费用'!D19+'蓝恐龙费用'!D19</ns0:f>
        <ns0:v>500.36</ns0:v>
      </ns0:c>
      <ns0:c r="E19" s="3">
        <ns0:f>'销售费用'!E19+'管理费用'!E19+'蓝恐龙费用'!E19</ns0:f>
        <ns0:v>1074.90</ns0:v>
      </ns0:c>
      <ns0:c r="F19" s="3">
        <ns0:f>'销售费用'!F19+'管理费用'!F19+'蓝恐龙费用'!F19</ns0:f>
        <ns0:v>881.58</ns0:v>
      </ns0:c>
      <ns0:c r="G19" s="3">
        <ns0:f>'销售费用'!G19+'管理费用'!G19+'蓝恐龙费用'!G19</ns0:f>
        <ns0:v>709.32</ns0:v>
      </ns0:c>
      <ns0:c r="H19" s="3">
        <ns0:f>'销售费用'!H19+'管理费用'!H19+'蓝恐龙费用'!H19</ns0:f>
        <ns0:v>536.16</ns0:v>
      </ns0:c>
      <ns0:c r="I19" s="3">
        <ns0:f>'销售费用'!I19+'管理费用'!I19+'蓝恐龙费用'!I19</ns0:f>
        <ns0:v>443.72</ns0:v>
      </ns0:c>
      <ns0:c r="J19" s="3">
        <ns0:f>'销售费用'!J19+'管理费用'!J19+'蓝恐龙费用'!J19</ns0:f>
        <ns0:v>608.57</ns0:v>
      </ns0:c>
      <ns0:c r="K19" s="3">
        <ns0:f>'销售费用'!K19+'管理费用'!K19+'蓝恐龙费用'!K19</ns0:f>
        <ns0:v>717.74</ns0:v>
      </ns0:c>
      <ns0:c r="L19" s="3">
        <ns0:f>'销售费用'!L19+'管理费用'!L19+'蓝恐龙费用'!L19</ns0:f>
        <ns0:v>321.61</ns0:v>
      </ns0:c>
      <ns0:c r="M19" s="3">
        <ns0:f>'销售费用'!M19+'管理费用'!M19+'蓝恐龙费用'!M19</ns0:f>
        <ns0:v>522.17</ns0:v>
      </ns0:c>
      <ns0:c r="N19" s="3">
        <ns0:f>'销售费用'!N19+'管理费用'!N19+'蓝恐龙费用'!N19</ns0:f>
        <ns0:v>1318.72</ns0:v>
      </ns0:c>
      <ns0:c r="O19" s="3">
        <ns0:f>SUM(C19:N19)</ns0:f>
        <ns0:v>8184.85</ns0:v>
      </ns0:c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 t="inlineStr">
        <ns0:is>
          <ns0:t>折旧及摊销</ns0:t>
        </ns0:is>
      </ns0:c>
      <ns0:c r="C20" s="3">
        <ns0:f>'销售费用'!C20+'管理费用'!C20+'蓝恐龙费用'!C20</ns0:f>
        <ns0:v>1919.25</ns0:v>
      </ns0:c>
      <ns0:c r="D20" s="3">
        <ns0:f>'销售费用'!D20+'管理费用'!D20+'蓝恐龙费用'!D20</ns0:f>
        <ns0:v>1919.25</ns0:v>
      </ns0:c>
      <ns0:c r="E20" s="3">
        <ns0:f>'销售费用'!E20+'管理费用'!E20+'蓝恐龙费用'!E20</ns0:f>
        <ns0:v>1919.25</ns0:v>
      </ns0:c>
      <ns0:c r="F20" s="3">
        <ns0:f>'销售费用'!F20+'管理费用'!F20+'蓝恐龙费用'!F20</ns0:f>
        <ns0:v>1919.25</ns0:v>
      </ns0:c>
      <ns0:c r="G20" s="3">
        <ns0:f>'销售费用'!G20+'管理费用'!G20+'蓝恐龙费用'!G20</ns0:f>
        <ns0:v>1919.25</ns0:v>
      </ns0:c>
      <ns0:c r="H20" s="3">
        <ns0:f>'销售费用'!H20+'管理费用'!H20+'蓝恐龙费用'!H20</ns0:f>
        <ns0:v>1919.25</ns0:v>
      </ns0:c>
      <ns0:c r="I20" s="3">
        <ns0:f>'销售费用'!I20+'管理费用'!I20+'蓝恐龙费用'!I20</ns0:f>
        <ns0:v>1919.25</ns0:v>
      </ns0:c>
      <ns0:c r="J20" s="3">
        <ns0:f>'销售费用'!J20+'管理费用'!J20+'蓝恐龙费用'!J20</ns0:f>
        <ns0:v>1919.25</ns0:v>
      </ns0:c>
      <ns0:c r="K20" s="3">
        <ns0:f>'销售费用'!K20+'管理费用'!K20+'蓝恐龙费用'!K20</ns0:f>
        <ns0:v>1919.25</ns0:v>
      </ns0:c>
      <ns0:c r="L20" s="3">
        <ns0:f>'销售费用'!L20+'管理费用'!L20+'蓝恐龙费用'!L20</ns0:f>
        <ns0:v>1919.25</ns0:v>
      </ns0:c>
      <ns0:c r="M20" s="3">
        <ns0:f>'销售费用'!M20+'管理费用'!M20+'蓝恐龙费用'!M20</ns0:f>
        <ns0:v>1919.25</ns0:v>
      </ns0:c>
      <ns0:c r="N20" s="3">
        <ns0:f>'销售费用'!N20+'管理费用'!N20+'蓝恐龙费用'!N20</ns0:f>
        <ns0:v>1919.25</ns0:v>
      </ns0:c>
      <ns0:c r="O20" s="3">
        <ns0:f>SUM(C20:N20)</ns0:f>
        <ns0:v>23031.00</ns0:v>
      </ns0:c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 t="inlineStr">
        <ns0:is>
          <ns0:t>差旅费</ns0:t>
        </ns0:is>
      </ns0:c>
      <ns0:c r="B21" s="2" t="inlineStr">
        <ns0:is>
          <ns0:t>机票火车票</ns0:t>
        </ns0:is>
      </ns0:c>
      <ns0:c r="C21" s="3">
        <ns0:f>'销售费用'!C21+'管理费用'!C21+'蓝恐龙费用'!C21</ns0:f>
        <ns0:v>749.58</ns0:v>
      </ns0:c>
      <ns0:c r="D21" s="3">
        <ns0:f>'销售费用'!D21+'管理费用'!D21+'蓝恐龙费用'!D21</ns0:f>
        <ns0:v>438.54</ns0:v>
      </ns0:c>
      <ns0:c r="E21" s="3">
        <ns0:f>'销售费用'!E21+'管理费用'!E21+'蓝恐龙费用'!E21</ns0:f>
        <ns0:v>867.73</ns0:v>
      </ns0:c>
      <ns0:c r="F21" s="3">
        <ns0:f>'销售费用'!F21+'管理费用'!F21+'蓝恐龙费用'!F21</ns0:f>
        <ns0:v>743.67</ns0:v>
      </ns0:c>
      <ns0:c r="G21" s="3">
        <ns0:f>'销售费用'!G21+'管理费用'!G21+'蓝恐龙费用'!G21</ns0:f>
        <ns0:v>870.17</ns0:v>
      </ns0:c>
      <ns0:c r="H21" s="3">
        <ns0:f>'销售费用'!H21+'管理费用'!H21+'蓝恐龙费用'!H21</ns0:f>
        <ns0:v>1194.93</ns0:v>
      </ns0:c>
      <ns0:c r="I21" s="3">
        <ns0:f>'销售费用'!I21+'管理费用'!I21+'蓝恐龙费用'!I21</ns0:f>
        <ns0:v>1086.22</ns0:v>
      </ns0:c>
      <ns0:c r="J21" s="3">
        <ns0:f>'销售费用'!J21+'管理费用'!J21+'蓝恐龙费用'!J21</ns0:f>
        <ns0:v>676.38</ns0:v>
      </ns0:c>
      <ns0:c r="K21" s="3">
        <ns0:f>'销售费用'!K21+'管理费用'!K21+'蓝恐龙费用'!K21</ns0:f>
        <ns0:v>579.65</ns0:v>
      </ns0:c>
      <ns0:c r="L21" s="3">
        <ns0:f>'销售费用'!L21+'管理费用'!L21+'蓝恐龙费用'!L21</ns0:f>
        <ns0:v>1008.86</ns0:v>
      </ns0:c>
      <ns0:c r="M21" s="3">
        <ns0:f>'销售费用'!M21+'管理费用'!M21+'蓝恐龙费用'!M21</ns0:f>
        <ns0:v>749.54</ns0:v>
      </ns0:c>
      <ns0:c r="N21" s="3">
        <ns0:f>'销售费用'!N21+'管理费用'!N21+'蓝恐龙费用'!N21</ns0:f>
        <ns0:v>503.60</ns0:v>
      </ns0:c>
      <ns0:c r="O21" s="3">
        <ns0:f>SUM(C21:N21)</ns0:f>
        <ns0:v>9468.87</ns0:v>
      </ns0:c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 t="inlineStr">
        <ns0:is>
          <ns0:t>住宿费</ns0:t>
        </ns0:is>
      </ns0:c>
      <ns0:c r="C22" s="3">
        <ns0:f>'销售费用'!C22+'管理费用'!C22+'蓝恐龙费用'!C22</ns0:f>
        <ns0:v>595.53</ns0:v>
      </ns0:c>
      <ns0:c r="D22" s="3">
        <ns0:f>'销售费用'!D22+'管理费用'!D22+'蓝恐龙费用'!D22</ns0:f>
        <ns0:v>577.34</ns0:v>
      </ns0:c>
      <ns0:c r="E22" s="3">
        <ns0:f>'销售费用'!E22+'管理费用'!E22+'蓝恐龙费用'!E22</ns0:f>
        <ns0:v>710.47</ns0:v>
      </ns0:c>
      <ns0:c r="F22" s="3">
        <ns0:f>'销售费用'!F22+'管理费用'!F22+'蓝恐龙费用'!F22</ns0:f>
        <ns0:v>883.08</ns0:v>
      </ns0:c>
      <ns0:c r="G22" s="3">
        <ns0:f>'销售费用'!G22+'管理费用'!G22+'蓝恐龙费用'!G22</ns0:f>
        <ns0:v>675.16</ns0:v>
      </ns0:c>
      <ns0:c r="H22" s="3">
        <ns0:f>'销售费用'!H22+'管理费用'!H22+'蓝恐龙费用'!H22</ns0:f>
        <ns0:v>527.61</ns0:v>
      </ns0:c>
      <ns0:c r="I22" s="3">
        <ns0:f>'销售费用'!I22+'管理费用'!I22+'蓝恐龙费用'!I22</ns0:f>
        <ns0:v>485.29</ns0:v>
      </ns0:c>
      <ns0:c r="J22" s="3">
        <ns0:f>'销售费用'!J22+'管理费用'!J22+'蓝恐龙费用'!J22</ns0:f>
        <ns0:v>1083.07</ns0:v>
      </ns0:c>
      <ns0:c r="K22" s="3">
        <ns0:f>'销售费用'!K22+'管理费用'!K22+'蓝恐龙费用'!K22</ns0:f>
        <ns0:v>599.24</ns0:v>
      </ns0:c>
      <ns0:c r="L22" s="3">
        <ns0:f>'销售费用'!L22+'管理费用'!L22+'蓝恐龙费用'!L22</ns0:f>
        <ns0:v>786.85</ns0:v>
      </ns0:c>
      <ns0:c r="M22" s="3">
        <ns0:f>'销售费用'!M22+'管理费用'!M22+'蓝恐龙费用'!M22</ns0:f>
        <ns0:v>704.42</ns0:v>
      </ns0:c>
      <ns0:c r="N22" s="3">
        <ns0:f>'销售费用'!N22+'管理费用'!N22+'蓝恐龙费用'!N22</ns0:f>
        <ns0:v>970.58</ns0:v>
      </ns0:c>
      <ns0:c r="O22" s="3">
        <ns0:f>SUM(C22:N22)</ns0:f>
        <ns0:v>8598.64</ns0:v>
      </ns0:c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 t="inlineStr">
        <ns0:is>
          <ns0:t>交通费</ns0:t>
        </ns0:is>
      </ns0:c>
      <ns0:c r="C23" s="3">
        <ns0:f>'销售费用'!C23+'管理费用'!C23+'蓝恐龙费用'!C23</ns0:f>
        <ns0:v>830.33</ns0:v>
      </ns0:c>
      <ns0:c r="D23" s="3">
        <ns0:f>'销售费用'!D23+'管理费用'!D23+'蓝恐龙费用'!D23</ns0:f>
        <ns0:v>573.65</ns0:v>
      </ns0:c>
      <ns0:c r="E23" s="3">
        <ns0:f>'销售费用'!E23+'管理费用'!E23+'蓝恐龙费用'!E23</ns0:f>
        <ns0:v>832.62</ns0:v>
      </ns0:c>
      <ns0:c r="F23" s="3">
        <ns0:f>'销售费用'!F23+'管理费用'!F23+'蓝恐龙费用'!F23</ns0:f>
        <ns0:v>450.62</ns0:v>
      </ns0:c>
      <ns0:c r="G23" s="3">
        <ns0:f>'销售费用'!G23+'管理费用'!G23+'蓝恐龙费用'!G23</ns0:f>
        <ns0:v>1193.65</ns0:v>
      </ns0:c>
      <ns0:c r="H23" s="3">
        <ns0:f>'销售费用'!H23+'管理费用'!H23+'蓝恐龙费用'!H23</ns0:f>
        <ns0:v>972.75</ns0:v>
      </ns0:c>
      <ns0:c r="I23" s="3">
        <ns0:f>'销售费用'!I23+'管理费用'!I23+'蓝恐龙费用'!I23</ns0:f>
        <ns0:v>555.01</ns0:v>
      </ns0:c>
      <ns0:c r="J23" s="3">
        <ns0:f>'销售费用'!J23+'管理费用'!J23+'蓝恐龙费用'!J23</ns0:f>
        <ns0:v>1201.49</ns0:v>
      </ns0:c>
      <ns0:c r="K23" s="3">
        <ns0:f>'销售费用'!K23+'管理费用'!K23+'蓝恐龙费用'!K23</ns0:f>
        <ns0:v>481.18</ns0:v>
      </ns0:c>
      <ns0:c r="L23" s="3">
        <ns0:f>'销售费用'!L23+'管理费用'!L23+'蓝恐龙费用'!L23</ns0:f>
        <ns0:v>451.81</ns0:v>
      </ns0:c>
      <ns0:c r="M23" s="3">
        <ns0:f>'销售费用'!M23+'管理费用'!M23+'蓝恐龙费用'!M23</ns0:f>
        <ns0:v>873.24</ns0:v>
      </ns0:c>
      <ns0:c r="N23" s="3">
        <ns0:f>'销售费用'!N23+'管理费用'!N23+'蓝恐龙费用'!N23</ns0:f>
        <ns0:v>853.83</ns0:v>
      </ns0:c>
      <ns0:c r="O23" s="3">
        <ns0:f>SUM(C23:N23)</ns0:f>
        <ns0:v>9270.18</ns0:v>
      </ns0:c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 t="inlineStr">
        <ns0:is>
          <ns0:t>差旅补贴</ns0:t>
        </ns0:is>
      </ns0:c>
      <ns0:c r="C24" s="3">
        <ns0:f>'销售费用'!C24+'管理费用'!C24+'蓝恐龙费用'!C24</ns0:f>
        <ns0:v>363.93</ns0:v>
      </ns0:c>
      <ns0:c r="D24" s="3">
        <ns0:f>'销售费用'!D24+'管理费用'!D24+'蓝恐龙费用'!D24</ns0:f>
        <ns0:v>729.14</ns0:v>
      </ns0:c>
      <ns0:c r="E24" s="3">
        <ns0:f>'销售费用'!E24+'管理费用'!E24+'蓝恐龙费用'!E24</ns0:f>
        <ns0:v>562.36</ns0:v>
      </ns0:c>
      <ns0:c r="F24" s="3">
        <ns0:f>'销售费用'!F24+'管理费用'!F24+'蓝恐龙费用'!F24</ns0:f>
        <ns0:v>732.76</ns0:v>
      </ns0:c>
      <ns0:c r="G24" s="3">
        <ns0:f>'销售费用'!G24+'管理费用'!G24+'蓝恐龙费用'!G24</ns0:f>
        <ns0:v>835.38</ns0:v>
      </ns0:c>
      <ns0:c r="H24" s="3">
        <ns0:f>'销售费用'!H24+'管理费用'!H24+'蓝恐龙费用'!H24</ns0:f>
        <ns0:v>496.53</ns0:v>
      </ns0:c>
      <ns0:c r="I24" s="3">
        <ns0:f>'销售费用'!I24+'管理费用'!I24+'蓝恐龙费用'!I24</ns0:f>
        <ns0:v>831.15</ns0:v>
      </ns0:c>
      <ns0:c r="J24" s="3">
        <ns0:f>'销售费用'!J24+'管理费用'!J24+'蓝恐龙费用'!J24</ns0:f>
        <ns0:v>690.68</ns0:v>
      </ns0:c>
      <ns0:c r="K24" s="3">
        <ns0:f>'销售费用'!K24+'管理费用'!K24+'蓝恐龙费用'!K24</ns0:f>
        <ns0:v>1198.28</ns0:v>
      </ns0:c>
      <ns0:c r="L24" s="3">
        <ns0:f>'销售费用'!L24+'管理费用'!L24+'蓝恐龙费用'!L24</ns0:f>
        <ns0:v>919.24</ns0:v>
      </ns0:c>
      <ns0:c r="M24" s="3">
        <ns0:f>'销售费用'!M24+'管理费用'!M24+'蓝恐龙费用'!M24</ns0:f>
        <ns0:v>819.37</ns0:v>
      </ns0:c>
      <ns0:c r="N24" s="3">
        <ns0:f>'销售费用'!N24+'管理费用'!N24+'蓝恐龙费用'!N24</ns0:f>
        <ns0:v>973.36</ns0:v>
      </ns0:c>
      <ns0:c r="O24" s="3">
        <ns0:f>SUM(C24:N24)</ns0:f>
        <ns0:v>9152.18</ns0:v>
      </ns0:c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 t="inlineStr">
        <ns0:is>
          <ns0:t>业务招待费</ns0:t>
        </ns0:is>
      </ns0:c>
      <ns0:c r="B25" s="2" t="inlineStr">
        <ns0:is>
          <ns0:t>业务招待费</ns0:t>
        </ns0:is>
      </ns0:c>
      <ns0:c r="C25" s="3">
        <ns0:f>'销售费用'!C25+'管理费用'!C25+'蓝恐龙费用'!C25</ns0:f>
        <ns0:v>1273.40</ns0:v>
      </ns0:c>
      <ns0:c r="D25" s="3">
        <ns0:f>'销售费用'!D25+'管理费用'!D25+'蓝恐龙费用'!D25</ns0:f>
        <ns0:v>665.96</ns0:v>
      </ns0:c>
      <ns0:c r="E25" s="3">
        <ns0:f>'销售费用'!E25+'管理费用'!E25+'蓝恐龙费用'!E25</ns0:f>
        <ns0:v>669.98</ns0:v>
      </ns0:c>
      <ns0:c r="F25" s="3">
        <ns0:f>'销售费用'!F25+'管理费用'!F25+'蓝恐龙费用'!F25</ns0:f>
        <ns0:v>516.28</ns0:v>
      </ns0:c>
      <ns0:c r="G25" s="3">
        <ns0:f>'销售费用'!G25+'管理费用'!G25+'蓝恐龙费用'!G25</ns0:f>
        <ns0:v>916.06</ns0:v>
      </ns0:c>
      <ns0:c r="H25" s="3">
        <ns0:f>'销售费用'!H25+'管理费用'!H25+'蓝恐龙费用'!H25</ns0:f>
        <ns0:v>778.02</ns0:v>
      </ns0:c>
      <ns0:c r="I25" s="3">
        <ns0:f>'销售费用'!I25+'管理费用'!I25+'蓝恐龙费用'!I25</ns0:f>
        <ns0:v>1056.00</ns0:v>
      </ns0:c>
      <ns0:c r="J25" s="3">
        <ns0:f>'销售费用'!J25+'管理费用'!J25+'蓝恐龙费用'!J25</ns0:f>
        <ns0:v>719.95</ns0:v>
      </ns0:c>
      <ns0:c r="K25" s="3">
        <ns0:f>'销售费用'!K25+'管理费用'!K25+'蓝恐龙费用'!K25</ns0:f>
        <ns0:v>532.80</ns0:v>
      </ns0:c>
      <ns0:c r="L25" s="3">
        <ns0:f>'销售费用'!L25+'管理费用'!L25+'蓝恐龙费用'!L25</ns0:f>
        <ns0:v>668.50</ns0:v>
      </ns0:c>
      <ns0:c r="M25" s="3">
        <ns0:f>'销售费用'!M25+'管理费用'!M25+'蓝恐龙费用'!M25</ns0:f>
        <ns0:v>528.48</ns0:v>
      </ns0:c>
      <ns0:c r="N25" s="3">
        <ns0:f>'销售费用'!N25+'管理费用'!N25+'蓝恐龙费用'!N25</ns0:f>
        <ns0:v>783.47</ns0:v>
      </ns0:c>
      <ns0:c r="O25" s="3">
        <ns0:f>SUM(C25:N25)</ns0:f>
        <ns0:v>9108.90</ns0:v>
      </ns0:c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 t="inlineStr">
        <ns0:is>
          <ns0:t>市内交通费</ns0:t>
        </ns0:is>
      </ns0:c>
      <ns0:c r="B26" s="2" t="inlineStr">
        <ns0:is>
          <ns0:t>市内交通费</ns0:t>
        </ns0:is>
      </ns0:c>
      <ns0:c r="C26" s="3">
        <ns0:f>'销售费用'!C26+'管理费用'!C26+'蓝恐龙费用'!C26</ns0:f>
        <ns0:v>951.13</ns0:v>
      </ns0:c>
      <ns0:c r="D26" s="3">
        <ns0:f>'销售费用'!D26+'管理费用'!D26+'蓝恐龙费用'!D26</ns0:f>
        <ns0:v>1197.97</ns0:v>
      </ns0:c>
      <ns0:c r="E26" s="3">
        <ns0:f>'销售费用'!E26+'管理费用'!E26+'蓝恐龙费用'!E26</ns0:f>
        <ns0:v>622.59</ns0:v>
      </ns0:c>
      <ns0:c r="F26" s="3">
        <ns0:f>'销售费用'!F26+'管理费用'!F26+'蓝恐龙费用'!F26</ns0:f>
        <ns0:v>667.20</ns0:v>
      </ns0:c>
      <ns0:c r="G26" s="3">
        <ns0:f>'销售费用'!G26+'管理费用'!G26+'蓝恐龙费用'!G26</ns0:f>
        <ns0:v>616.85</ns0:v>
      </ns0:c>
      <ns0:c r="H26" s="3">
        <ns0:f>'销售费用'!H26+'管理费用'!H26+'蓝恐龙费用'!H26</ns0:f>
        <ns0:v>454.56</ns0:v>
      </ns0:c>
      <ns0:c r="I26" s="3">
        <ns0:f>'销售费用'!I26+'管理费用'!I26+'蓝恐龙费用'!I26</ns0:f>
        <ns0:v>1150.94</ns0:v>
      </ns0:c>
      <ns0:c r="J26" s="3">
        <ns0:f>'销售费用'!J26+'管理费用'!J26+'蓝恐龙费用'!J26</ns0:f>
        <ns0:v>667.51</ns0:v>
      </ns0:c>
      <ns0:c r="K26" s="3">
        <ns0:f>'销售费用'!K26+'管理费用'!K26+'蓝恐龙费用'!K26</ns0:f>
        <ns0:v>951.35</ns0:v>
      </ns0:c>
      <ns0:c r="L26" s="3">
        <ns0:f>'销售费用'!L26+'管理费用'!L26+'蓝恐龙费用'!L26</ns0:f>
        <ns0:v>536.70</ns0:v>
      </ns0:c>
      <ns0:c r="M26" s="3">
        <ns0:f>'销售费用'!M26+'管理费用'!M26+'蓝恐龙费用'!M26</ns0:f>
        <ns0:v>450.41</ns0:v>
      </ns0:c>
      <ns0:c r="N26" s="3">
        <ns0:f>'销售费用'!N26+'管理费用'!N26+'蓝恐龙费用'!N26</ns0:f>
        <ns0:v>642.80</ns0:v>
      </ns0:c>
      <ns0:c r="O26" s="3">
        <ns0:f>SUM(C26:N26)</ns0:f>
        <ns0:v>8910.01</ns0:v>
      </ns0:c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 t="inlineStr">
        <ns0:is>
          <ns0:t>调研费用</ns0:t>
        </ns0:is>
      </ns0:c>
      <ns0:c r="B27" s="2" t="inlineStr">
        <ns0:is>
          <ns0:t>调研费用</ns0:t>
        </ns0:is>
      </ns0:c>
      <ns0:c r="C27" s="3">
        <ns0:f>'销售费用'!C27+'管理费用'!C27+'蓝恐龙费用'!C27</ns0:f>
        <ns0:v>605.93</ns0:v>
      </ns0:c>
      <ns0:c r="D27" s="3">
        <ns0:f>'销售费用'!D27+'管理费用'!D27+'蓝恐龙费用'!D27</ns0:f>
        <ns0:v>840.88</ns0:v>
      </ns0:c>
      <ns0:c r="E27" s="3">
        <ns0:f>'销售费用'!E27+'管理费用'!E27+'蓝恐龙费用'!E27</ns0:f>
        <ns0:v>1219.86</ns0:v>
      </ns0:c>
      <ns0:c r="F27" s="3">
        <ns0:f>'销售费用'!F27+'管理费用'!F27+'蓝恐龙费用'!F27</ns0:f>
        <ns0:v>546.64</ns0:v>
      </ns0:c>
      <ns0:c r="G27" s="3">
        <ns0:f>'销售费用'!G27+'管理费用'!G27+'蓝恐龙费用'!G27</ns0:f>
        <ns0:v>573.98</ns0:v>
      </ns0:c>
      <ns0:c r="H27" s="3">
        <ns0:f>'销售费用'!H27+'管理费用'!H27+'蓝恐龙费用'!H27</ns0:f>
        <ns0:v>490.69</ns0:v>
      </ns0:c>
      <ns0:c r="I27" s="3">
        <ns0:f>'销售费用'!I27+'管理费用'!I27+'蓝恐龙费用'!I27</ns0:f>
        <ns0:v>471.85</ns0:v>
      </ns0:c>
      <ns0:c r="J27" s="3">
        <ns0:f>'销售费用'!J27+'管理费用'!J27+'蓝恐龙费用'!J27</ns0:f>
        <ns0:v>465.77</ns0:v>
      </ns0:c>
      <ns0:c r="K27" s="3">
        <ns0:f>'销售费用'!K27+'管理费用'!K27+'蓝恐龙费用'!K27</ns0:f>
        <ns0:v>442.38</ns0:v>
      </ns0:c>
      <ns0:c r="L27" s="3">
        <ns0:f>'销售费用'!L27+'管理费用'!L27+'蓝恐龙费用'!L27</ns0:f>
        <ns0:v>673.36</ns0:v>
      </ns0:c>
      <ns0:c r="M27" s="3">
        <ns0:f>'销售费用'!M27+'管理费用'!M27+'蓝恐龙费用'!M27</ns0:f>
        <ns0:v>962.27</ns0:v>
      </ns0:c>
      <ns0:c r="N27" s="3">
        <ns0:f>'销售费用'!N27+'管理费用'!N27+'蓝恐龙费用'!N27</ns0:f>
        <ns0:v>808.28</ns0:v>
      </ns0:c>
      <ns0:c r="O27" s="3">
        <ns0:f>SUM(C27:N27)</ns0:f>
        <ns0:v>8101.89</ns0:v>
      </ns0:c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 t="inlineStr">
        <ns0:is>
          <ns0:t>手续费</ns0:t>
        </ns0:is>
      </ns0:c>
      <ns0:c r="B28" s="2" t="inlineStr">
        <ns0:is>
          <ns0:t>手续费</ns0:t>
        </ns0:is>
      </ns0:c>
      <ns0:c r="C28" s="3">
        <ns0:f>'销售费用'!C28+'管理费用'!C28+'蓝恐龙费用'!C28</ns0:f>
        <ns0:v>521.66</ns0:v>
      </ns0:c>
      <ns0:c r="D28" s="3">
        <ns0:f>'销售费用'!D28+'管理费用'!D28+'蓝恐龙费用'!D28</ns0:f>
        <ns0:v>623.76</ns0:v>
      </ns0:c>
      <ns0:c r="E28" s="3">
        <ns0:f>'销售费用'!E28+'管理费用'!E28+'蓝恐龙费用'!E28</ns0:f>
        <ns0:v>540.77</ns0:v>
      </ns0:c>
      <ns0:c r="F28" s="3">
        <ns0:f>'销售费用'!F28+'管理费用'!F28+'蓝恐龙费用'!F28</ns0:f>
        <ns0:v>884.33</ns0:v>
      </ns0:c>
      <ns0:c r="G28" s="3">
        <ns0:f>'销售费用'!G28+'管理费用'!G28+'蓝恐龙费用'!G28</ns0:f>
        <ns0:v>944.06</ns0:v>
      </ns0:c>
      <ns0:c r="H28" s="3">
        <ns0:f>'销售费用'!H28+'管理费用'!H28+'蓝恐龙费用'!H28</ns0:f>
        <ns0:v>766.82</ns0:v>
      </ns0:c>
      <ns0:c r="I28" s="3">
        <ns0:f>'销售费用'!I28+'管理费用'!I28+'蓝恐龙费用'!I28</ns0:f>
        <ns0:v>1118.42</ns0:v>
      </ns0:c>
      <ns0:c r="J28" s="3">
        <ns0:f>'销售费用'!J28+'管理费用'!J28+'蓝恐龙费用'!J28</ns0:f>
        <ns0:v>530.09</ns0:v>
      </ns0:c>
      <ns0:c r="K28" s="3">
        <ns0:f>'销售费用'!K28+'管理费用'!K28+'蓝恐龙费用'!K28</ns0:f>
        <ns0:v>623.61</ns0:v>
      </ns0:c>
      <ns0:c r="L28" s="3">
        <ns0:f>'销售费用'!L28+'管理费用'!L28+'蓝恐龙费用'!L28</ns0:f>
        <ns0:v>1056.47</ns0:v>
      </ns0:c>
      <ns0:c r="M28" s="3">
        <ns0:f>'销售费用'!M28+'管理费用'!M28+'蓝恐龙费用'!M28</ns0:f>
        <ns0:v>809.91</ns0:v>
      </ns0:c>
      <ns0:c r="N28" s="3">
        <ns0:f>'销售费用'!N28+'管理费用'!N28+'蓝恐龙费用'!N28</ns0:f>
        <ns0:v>963.98</ns0:v>
      </ns0:c>
      <ns0:c r="O28" s="3">
        <ns0:f>SUM(C28:N28)</ns0:f>
        <ns0:v>9383.88</ns0:v>
      </ns0:c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 t="inlineStr">
        <ns0:is>
          <ns0:t>利息收入</ns0:t>
        </ns0:is>
      </ns0:c>
      <ns0:c r="C29" s="3">
        <ns0:f>'销售费用'!C29+'管理费用'!C29+'蓝恐龙费用'!C29</ns0:f>
        <ns0:v>0</ns0:v>
      </ns0:c>
      <ns0:c r="D29" s="3">
        <ns0:f>'销售费用'!D29+'管理费用'!D29+'蓝恐龙费用'!D29</ns0:f>
        <ns0:v>0</ns0:v>
      </ns0:c>
      <ns0:c r="E29" s="3">
        <ns0:f>'销售费用'!E29+'管理费用'!E29+'蓝恐龙费用'!E29</ns0:f>
        <ns0:v>0</ns0:v>
      </ns0:c>
      <ns0:c r="F29" s="3">
        <ns0:f>'销售费用'!F29+'管理费用'!F29+'蓝恐龙费用'!F29</ns0:f>
        <ns0:v>0</ns0:v>
      </ns0:c>
      <ns0:c r="G29" s="3">
        <ns0:f>'销售费用'!G29+'管理费用'!G29+'蓝恐龙费用'!G29</ns0:f>
        <ns0:v>0</ns0:v>
      </ns0:c>
      <ns0:c r="H29" s="3">
        <ns0:f>'销售费用'!H29+'管理费用'!H29+'蓝恐龙费用'!H29</ns0:f>
        <ns0:v>0</ns0:v>
      </ns0:c>
      <ns0:c r="I29" s="3">
        <ns0:f>'销售费用'!I29+'管理费用'!I29+'蓝恐龙费用'!I29</ns0:f>
        <ns0:v>0</ns0:v>
      </ns0:c>
      <ns0:c r="J29" s="3">
        <ns0:f>'销售费用'!J29+'管理费用'!J29+'蓝恐龙费用'!J29</ns0:f>
        <ns0:v>0</ns0:v>
      </ns0:c>
      <ns0:c r="K29" s="3">
        <ns0:f>'销售费用'!K29+'管理费用'!K29+'蓝恐龙费用'!K29</ns0:f>
        <ns0:v>0</ns0:v>
      </ns0:c>
      <ns0:c r="L29" s="3">
        <ns0:f>'销售费用'!L29+'管理费用'!L29+'蓝恐龙费用'!L29</ns0:f>
        <ns0:v>0</ns0:v>
      </ns0:c>
      <ns0:c r="M29" s="3">
        <ns0:f>'销售费用'!M29+'管理费用'!M29+'蓝恐龙费用'!M29</ns0:f>
        <ns0:v>0</ns0:v>
      </ns0:c>
      <ns0:c r="N29" s="3">
        <ns0:f>'销售费用'!N29+'管理费用'!N29+'蓝恐龙费用'!N29</ns0:f>
        <ns0:v>0</ns0:v>
      </ns0:c>
      <ns0:c r="O29" s="3">
        <ns0:f>SUM(C29:N29)</ns0:f>
        <ns0:v>0</ns0:v>
      </ns0:c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 t="inlineStr">
        <ns0:is>
          <ns0:t>利息支出</ns0:t>
        </ns0:is>
      </ns0:c>
      <ns0:c r="C30" s="6">
        <ns0:f>'销售费用'!C30+'管理费用'!C30+'蓝恐龙费用'!C30</ns0:f>
        <ns0:v>606.08</ns0:v>
      </ns0:c>
      <ns0:c r="D30" s="6">
        <ns0:f>'销售费用'!D30+'管理费用'!D30+'蓝恐龙费用'!D30</ns0:f>
        <ns0:v>722.97</ns0:v>
      </ns0:c>
      <ns0:c r="E30" s="6">
        <ns0:f>'销售费用'!E30+'管理费用'!E30+'蓝恐龙费用'!E30</ns0:f>
        <ns0:v>514.21</ns0:v>
      </ns0:c>
      <ns0:c r="F30" s="6">
        <ns0:f>'销售费用'!F30+'管理费用'!F30+'蓝恐龙费用'!F30</ns0:f>
        <ns0:v>676.86</ns0:v>
      </ns0:c>
      <ns0:c r="G30" s="6">
        <ns0:f>'销售费用'!G30+'管理费用'!G30+'蓝恐龙费用'!G30</ns0:f>
        <ns0:v>699.72</ns0:v>
      </ns0:c>
      <ns0:c r="H30" s="6">
        <ns0:f>'销售费用'!H30+'管理费用'!H30+'蓝恐龙费用'!H30</ns0:f>
        <ns0:v>612.93</ns0:v>
      </ns0:c>
      <ns0:c r="I30" s="6">
        <ns0:f>'销售费用'!I30+'管理费用'!I30+'蓝恐龙费用'!I30</ns0:f>
        <ns0:v>984.04</ns0:v>
      </ns0:c>
      <ns0:c r="J30" s="6">
        <ns0:f>'销售费用'!J30+'管理费用'!J30+'蓝恐龙费用'!J30</ns0:f>
        <ns0:v>607.87</ns0:v>
      </ns0:c>
      <ns0:c r="K30" s="6">
        <ns0:f>'销售费用'!K30+'管理费用'!K30+'蓝恐龙费用'!K30</ns0:f>
        <ns0:v>514.00</ns0:v>
      </ns0:c>
      <ns0:c r="L30" s="6">
        <ns0:f>'销售费用'!L30+'管理费用'!L30+'蓝恐龙费用'!L30</ns0:f>
        <ns0:v>667.21</ns0:v>
      </ns0:c>
      <ns0:c r="M30" s="6">
        <ns0:f>'销售费用'!M30+'管理费用'!M30+'蓝恐龙费用'!M30</ns0:f>
        <ns0:v>571.11</ns0:v>
      </ns0:c>
      <ns0:c r="N30" s="6">
        <ns0:f>'销售费用'!N30+'管理费用'!N30+'蓝恐龙费用'!N30</ns0:f>
        <ns0:v>865.73</ns0:v>
      </ns0:c>
      <ns0:c r="O30" s="6">
        <ns0:f>SUM(C30:N30)</ns0:f>
        <ns0:v>8042.73</ns0:v>
      </ns0:c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 t="inlineStr">
        <ns0:is>
          <ns0:t>税金</ns0:t>
        </ns0:is>
      </ns0:c>
      <ns0:c r="B31" s="2" t="inlineStr">
        <ns0:is>
          <ns0:t>车船税</ns0:t>
        </ns0:is>
      </ns0:c>
      <ns0:c r="C31" s="3">
        <ns0:f>'销售费用'!C31+'管理费用'!C31+'蓝恐龙费用'!C31</ns0:f>
        <ns0:v>979.28</ns0:v>
      </ns0:c>
      <ns0:c r="D31" s="3">
        <ns0:f>'销售费用'!D31+'管理费用'!D31+'蓝恐龙费用'!D31</ns0:f>
        <ns0:v>1050.99</ns0:v>
      </ns0:c>
      <ns0:c r="E31" s="3">
        <ns0:f>'销售费用'!E31+'管理费用'!E31+'蓝恐龙费用'!E31</ns0:f>
        <ns0:v>517.63</ns0:v>
      </ns0:c>
      <ns0:c r="F31" s="3">
        <ns0:f>'销售费用'!F31+'管理费用'!F31+'蓝恐龙费用'!F31</ns0:f>
        <ns0:v>790.28</ns0:v>
      </ns0:c>
      <ns0:c r="G31" s="3">
        <ns0:f>'销售费用'!G31+'管理费用'!G31+'蓝恐龙费用'!G31</ns0:f>
        <ns0:v>895.32</ns0:v>
      </ns0:c>
      <ns0:c r="H31" s="3">
        <ns0:f>'销售费用'!H31+'管理费用'!H31+'蓝恐龙费用'!H31</ns0:f>
        <ns0:v>587.08</ns0:v>
      </ns0:c>
      <ns0:c r="I31" s="3">
        <ns0:f>'销售费用'!I31+'管理费用'!I31+'蓝恐龙费用'!I31</ns0:f>
        <ns0:v>1015.67</ns0:v>
      </ns0:c>
      <ns0:c r="J31" s="3">
        <ns0:f>'销售费用'!J31+'管理费用'!J31+'蓝恐龙费用'!J31</ns0:f>
        <ns0:v>984.39</ns0:v>
      </ns0:c>
      <ns0:c r="K31" s="3">
        <ns0:f>'销售费用'!K31+'管理费用'!K31+'蓝恐龙费用'!K31</ns0:f>
        <ns0:v>739.90</ns0:v>
      </ns0:c>
      <ns0:c r="L31" s="3">
        <ns0:f>'销售费用'!L31+'管理费用'!L31+'蓝恐龙费用'!L31</ns0:f>
        <ns0:v>682.73</ns0:v>
      </ns0:c>
      <ns0:c r="M31" s="3">
        <ns0:f>'销售费用'!M31+'管理费用'!M31+'蓝恐龙费用'!M31</ns0:f>
        <ns0:v>761.08</ns0:v>
      </ns0:c>
      <ns0:c r="N31" s="3">
        <ns0:f>'销售费用'!N31+'管理费用'!N31+'蓝恐龙费用'!N31</ns0:f>
        <ns0:v>987.63</ns0:v>
      </ns0:c>
      <ns0:c r="O31" s="3">
        <ns0:f>SUM(C31:N31)</ns0:f>
        <ns0:v>9991.98</ns0:v>
      </ns0:c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印花税</ns0:t>
        </ns0:is>
      </ns0:c>
      <ns0:c r="C32" s="3">
        <ns0:f>'销售费用'!C32+'管理费用'!C32+'蓝恐龙费用'!C32</ns0:f>
        <ns0:v>356.88</ns0:v>
      </ns0:c>
      <ns0:c r="D32" s="3">
        <ns0:f>'销售费用'!D32+'管理费用'!D32+'蓝恐龙费用'!D32</ns0:f>
        <ns0:v>850.35</ns0:v>
      </ns0:c>
      <ns0:c r="E32" s="3">
        <ns0:f>'销售费用'!E32+'管理费用'!E32+'蓝恐龙费用'!E32</ns0:f>
        <ns0:v>819.88</ns0:v>
      </ns0:c>
      <ns0:c r="F32" s="3">
        <ns0:f>'销售费用'!F32+'管理费用'!F32+'蓝恐龙费用'!F32</ns0:f>
        <ns0:v>577.15</ns0:v>
      </ns0:c>
      <ns0:c r="G32" s="3">
        <ns0:f>'销售费用'!G32+'管理费用'!G32+'蓝恐龙费用'!G32</ns0:f>
        <ns0:v>798.09</ns0:v>
      </ns0:c>
      <ns0:c r="H32" s="3">
        <ns0:f>'销售费用'!H32+'管理费用'!H32+'蓝恐龙费用'!H32</ns0:f>
        <ns0:v>474.64</ns0:v>
      </ns0:c>
      <ns0:c r="I32" s="3">
        <ns0:f>'销售费用'!I32+'管理费用'!I32+'蓝恐龙费用'!I32</ns0:f>
        <ns0:v>930.77</ns0:v>
      </ns0:c>
      <ns0:c r="J32" s="3">
        <ns0:f>'销售费用'!J32+'管理费用'!J32+'蓝恐龙费用'!J32</ns0:f>
        <ns0:v>550.27</ns0:v>
      </ns0:c>
      <ns0:c r="K32" s="3">
        <ns0:f>'销售费用'!K32+'管理费用'!K32+'蓝恐龙费用'!K32</ns0:f>
        <ns0:v>829.96</ns0:v>
      </ns0:c>
      <ns0:c r="L32" s="3">
        <ns0:f>'销售费用'!L32+'管理费用'!L32+'蓝恐龙费用'!L32</ns0:f>
        <ns0:v>622.99</ns0:v>
      </ns0:c>
      <ns0:c r="M32" s="3">
        <ns0:f>'销售费用'!M32+'管理费用'!M32+'蓝恐龙费用'!M32</ns0:f>
        <ns0:v>940.51</ns0:v>
      </ns0:c>
      <ns0:c r="N32" s="3">
        <ns0:f>'销售费用'!N32+'管理费用'!N32+'蓝恐龙费用'!N32</ns0:f>
        <ns0:v>836.41</ns0:v>
      </ns0:c>
      <ns0:c r="O32" s="3">
        <ns0:f>SUM(C32:N32)</ns0:f>
        <ns0:v>8587.90</ns0:v>
      </ns0:c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 t="inlineStr">
        <ns0:is>
          <ns0:t>其他</ns0:t>
        </ns0:is>
      </ns0:c>
      <ns0:c r="B33" s="2" t="inlineStr">
        <ns0:is>
          <ns0:t>其他</ns0:t>
        </ns0:is>
      </ns0:c>
      <ns0:c r="C33" s="3">
        <ns0:f>'销售费用'!C33+'管理费用'!C33+'蓝恐龙费用'!C33</ns0:f>
        <ns0:v>450.81</ns0:v>
      </ns0:c>
      <ns0:c r="D33" s="3">
        <ns0:f>'销售费用'!D33+'管理费用'!D33+'蓝恐龙费用'!D33</ns0:f>
        <ns0:v>922.49</ns0:v>
      </ns0:c>
      <ns0:c r="E33" s="3">
        <ns0:f>'销售费用'!E33+'管理费用'!E33+'蓝恐龙费用'!E33</ns0:f>
        <ns0:v>705.56</ns0:v>
      </ns0:c>
      <ns0:c r="F33" s="3">
        <ns0:f>'销售费用'!F33+'管理费用'!F33+'蓝恐龙费用'!F33</ns0:f>
        <ns0:v>575.29</ns0:v>
      </ns0:c>
      <ns0:c r="G33" s="3">
        <ns0:f>'销售费用'!G33+'管理费用'!G33+'蓝恐龙费用'!G33</ns0:f>
        <ns0:v>1080.43</ns0:v>
      </ns0:c>
      <ns0:c r="H33" s="3">
        <ns0:f>'销售费用'!H33+'管理费用'!H33+'蓝恐龙费用'!H33</ns0:f>
        <ns0:v>343.92</ns0:v>
      </ns0:c>
      <ns0:c r="I33" s="3">
        <ns0:f>'销售费用'!I33+'管理费用'!I33+'蓝恐龙费用'!I33</ns0:f>
        <ns0:v>629.83</ns0:v>
      </ns0:c>
      <ns0:c r="J33" s="3">
        <ns0:f>'销售费用'!J33+'管理费用'!J33+'蓝恐龙费用'!J33</ns0:f>
        <ns0:v>383.66</ns0:v>
      </ns0:c>
      <ns0:c r="K33" s="3">
        <ns0:f>'销售费用'!K33+'管理费用'!K33+'蓝恐龙费用'!K33</ns0:f>
        <ns0:v>501.05</ns0:v>
      </ns0:c>
      <ns0:c r="L33" s="3">
        <ns0:f>'销售费用'!L33+'管理费用'!L33+'蓝恐龙费用'!L33</ns0:f>
        <ns0:v>883.08</ns0:v>
      </ns0:c>
      <ns0:c r="M33" s="3">
        <ns0:f>'销售费用'!M33+'管理费用'!M33+'蓝恐龙费用'!M33</ns0:f>
        <ns0:v>641.71</ns0:v>
      </ns0:c>
      <ns0:c r="N33" s="3">
        <ns0:f>'销售费用'!N33+'管理费用'!N33+'蓝恐龙费用'!N33</ns0:f>
        <ns0:v>520.90</ns0:v>
      </ns0:c>
      <ns0:c r="O33" s="3">
        <ns0:f>SUM(C33:N33)</ns0:f>
        <ns0:v>7638.73</ns0:v>
      </ns0:c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 t="inlineStr">
        <ns0:is>
          <ns0:t>合计</ns0:t>
        </ns0:is>
      </ns0:c>
      <ns0:c r="B34" s="2"/>
      <ns0:c r="C34" s="3">
        <ns0:f>SUM(C4:C33)</ns0:f>
        <ns0:v>20630.76</ns0:v>
      </ns0:c>
      <ns0:c r="D34" s="3">
        <ns0:f>SUM(D4:D33)</ns0:f>
        <ns0:v>21466.20</ns0:v>
      </ns0:c>
      <ns0:c r="E34" s="3">
        <ns0:f>SUM(E4:E33)</ns0:f>
        <ns0:v>22719.74</ns0:v>
      </ns0:c>
      <ns0:c r="F34" s="3">
        <ns0:f>SUM(F4:F33)</ns0:f>
        <ns0:v>21697.84</ns0:v>
      </ns0:c>
      <ns0:c r="G34" s="3">
        <ns0:f>SUM(G4:G33)</ns0:f>
        <ns0:v>23631.56</ns0:v>
      </ns0:c>
      <ns0:c r="H34" s="3">
        <ns0:f>SUM(H4:H33)</ns0:f>
        <ns0:v>20151.31</ns0:v>
      </ns0:c>
      <ns0:c r="I34" s="3">
        <ns0:f>SUM(I4:I33)</ns0:f>
        <ns0:v>24197.93</ns0:v>
      </ns0:c>
      <ns0:c r="J34" s="3">
        <ns0:f>SUM(J4:J33)</ns0:f>
        <ns0:v>21112.79</ns0:v>
      </ns0:c>
      <ns0:c r="K34" s="3">
        <ns0:f>SUM(K4:K33)</ns0:f>
        <ns0:v>21807.00</ns0:v>
      </ns0:c>
      <ns0:c r="L34" s="3">
        <ns0:f>SUM(L4:L33)</ns0:f>
        <ns0:v>21512.17</ns0:v>
      </ns0:c>
      <ns0:c r="M34" s="3">
        <ns0:f>SUM(M4:M33)</ns0:f>
        <ns0:v>21527.84</ns0:v>
      </ns0:c>
      <ns0:c r="N34" s="3">
        <ns0:f>SUM(N4:N33)</ns0:f>
        <ns0:v>24937.10</ns0:v>
      </ns0:c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 t="inlineStr">
        <ns0:is>
          <ns0:t>增值税附加</ns0:t>
        </ns0:is>
      </ns0:c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 t="inlineStr">
        <ns0:is>
          <ns0:t>三费及税金合计</ns0:t>
        </ns0:is>
      </ns0:c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 t="inlineStr">
        <ns0:is>
          <ns0:t>工资</ns0:t>
        </ns0:is>
      </ns0:c>
      <ns0:c r="C64" s="3">
        <ns0:f>'销售费用'!C64+'管理费用'!C64+'蓝恐龙费用'!C64</ns0:f>
        <ns0:v>1281.86</ns0:v>
      </ns0:c>
      <ns0:c r="D64" s="3">
        <ns0:f>'销售费用'!D64+'管理费用'!D64+'蓝恐龙费用'!D64</ns0:f>
        <ns0:v>702.05</ns0:v>
      </ns0:c>
      <ns0:c r="E64" s="3">
        <ns0:f>'销售费用'!E64+'管理费用'!E64+'蓝恐龙费用'!E64</ns0:f>
        <ns0:v>262.73</ns0:v>
      </ns0:c>
      <ns0:c r="F64" s="3">
        <ns0:f>'销售费用'!F64+'管理费用'!F64+'蓝恐龙费用'!F64</ns0:f>
        <ns0:v>998.81</ns0:v>
      </ns0:c>
      <ns0:c r="G64" s="3">
        <ns0:f>'销售费用'!G64+'管理费用'!G64+'蓝恐龙费用'!G64</ns0:f>
        <ns0:v>701.89</ns0:v>
      </ns0:c>
      <ns0:c r="H64" s="3">
        <ns0:f>'销售费用'!H64+'管理费用'!H64+'蓝恐龙费用'!H64</ns0:f>
        <ns0:v>1142.09</ns0:v>
      </ns0:c>
      <ns0:c r="I64" s="3">
        <ns0:f>'销售费用'!I64+'管理费用'!I64+'蓝恐龙费用'!I64</ns0:f>
        <ns0:v>761.52</ns0:v>
      </ns0:c>
      <ns0:c r="J64" s="3">
        <ns0:f>'销售费用'!J64+'管理费用'!J64+'蓝恐龙费用'!J64</ns0:f>
        <ns0:v>530.85</ns0:v>
      </ns0:c>
      <ns0:c r="K64" s="3">
        <ns0:f>'销售费用'!K64+'管理费用'!K64+'蓝恐龙费用'!K64</ns0:f>
        <ns0:v>737.70</ns0:v>
      </ns0:c>
      <ns0:c r="L64" s="3">
        <ns0:f>'销售费用'!L64+'管理费用'!L64+'蓝恐龙费用'!L64</ns0:f>
        <ns0:v>766.84</ns0:v>
      </ns0:c>
      <ns0:c r="M64" s="3">
        <ns0:f>'销售费用'!M64+'管理费用'!M64+'蓝恐龙费用'!M64</ns0:f>
        <ns0:v>448.06</ns0:v>
      </ns0:c>
      <ns0:c r="N64" s="3">
        <ns0:f>'销售费用'!N64+'管理费用'!N64+'蓝恐龙费用'!N64</ns0:f>
        <ns0:v>350.69</ns0:v>
      </ns0:c>
      <ns0:c r="O64" s="3">
        <ns0:f>SUM(C64:N64)</ns0:f>
        <ns0:v>8685.09</ns0:v>
      </ns0:c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 t="inlineStr">
        <ns0:is>
          <ns0:t>十三薪</ns0:t>
        </ns0:is>
      </ns0:c>
      <ns0:c r="C65" s="3">
        <ns0:f>'销售费用'!C65+'管理费用'!C65+'蓝恐龙费用'!C65</ns0:f>
        <ns0:v>405.56</ns0:v>
      </ns0:c>
      <ns0:c r="D65" s="3">
        <ns0:f>'销售费用'!D65+'管理费用'!D65+'蓝恐龙费用'!D65</ns0:f>
        <ns0:v>446.74</ns0:v>
      </ns0:c>
      <ns0:c r="E65" s="3">
        <ns0:f>'销售费用'!E65+'管理费用'!E65+'蓝恐龙费用'!E65</ns0:f>
        <ns0:v>765.07</ns0:v>
      </ns0:c>
      <ns0:c r="F65" s="3">
        <ns0:f>'销售费用'!F65+'管理费用'!F65+'蓝恐龙费用'!F65</ns0:f>
        <ns0:v>671.35</ns0:v>
      </ns0:c>
      <ns0:c r="G65" s="3">
        <ns0:f>'销售费用'!G65+'管理费用'!G65+'蓝恐龙费用'!G65</ns0:f>
        <ns0:v>722.26</ns0:v>
      </ns0:c>
      <ns0:c r="H65" s="3">
        <ns0:f>'销售费用'!H65+'管理费用'!H65+'蓝恐龙费用'!H65</ns0:f>
        <ns0:v>837.48</ns0:v>
      </ns0:c>
      <ns0:c r="I65" s="3">
        <ns0:f>'销售费用'!I65+'管理费用'!I65+'蓝恐龙费用'!I65</ns0:f>
        <ns0:v>480.85</ns0:v>
      </ns0:c>
      <ns0:c r="J65" s="3">
        <ns0:f>'销售费用'!J65+'管理费用'!J65+'蓝恐龙费用'!J65</ns0:f>
        <ns0:v>426.58</ns0:v>
      </ns0:c>
      <ns0:c r="K65" s="3">
        <ns0:f>'销售费用'!K65+'管理费用'!K65+'蓝恐龙费用'!K65</ns0:f>
        <ns0:v>1009.28</ns0:v>
      </ns0:c>
      <ns0:c r="L65" s="3">
        <ns0:f>'销售费用'!L65+'管理费用'!L65+'蓝恐龙费用'!L65</ns0:f>
        <ns0:v>661.33</ns0:v>
      </ns0:c>
      <ns0:c r="M65" s="3">
        <ns0:f>'销售费用'!M65+'管理费用'!M65+'蓝恐龙费用'!M65</ns0:f>
        <ns0:v>1021.57</ns0:v>
      </ns0:c>
      <ns0:c r="N65" s="3">
        <ns0:f>'销售费用'!N65+'管理费用'!N65+'蓝恐龙费用'!N65</ns0:f>
        <ns0:v>1290.26</ns0:v>
      </ns0:c>
      <ns0:c r="O65" s="3">
        <ns0:f>SUM(C65:N65)</ns0:f>
        <ns0:v>8738.33</ns0:v>
      </ns0:c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 t="inlineStr">
        <ns0:is>
          <ns0:t>离职补偿金</ns0:t>
        </ns0:is>
      </ns0:c>
      <ns0:c r="C66" s="3">
        <ns0:f>'销售费用'!C66+'管理费用'!C66+'蓝恐龙费用'!C66</ns0:f>
        <ns0:v>562.01</ns0:v>
      </ns0:c>
      <ns0:c r="D66" s="3">
        <ns0:f>'销售费用'!D66+'管理费用'!D66+'蓝恐龙费用'!D66</ns0:f>
        <ns0:v>609.55</ns0:v>
      </ns0:c>
      <ns0:c r="E66" s="3">
        <ns0:f>'销售费用'!E66+'管理费用'!E66+'蓝恐龙费用'!E66</ns0:f>
        <ns0:v>928.01</ns0:v>
      </ns0:c>
      <ns0:c r="F66" s="3">
        <ns0:f>'销售费用'!F66+'管理费用'!F66+'蓝恐龙费用'!F66</ns0:f>
        <ns0:v>771.52</ns0:v>
      </ns0:c>
      <ns0:c r="G66" s="3">
        <ns0:f>'销售费用'!G66+'管理费用'!G66+'蓝恐龙费用'!G66</ns0:f>
        <ns0:v>305.97</ns0:v>
      </ns0:c>
      <ns0:c r="H66" s="3">
        <ns0:f>'销售费用'!H66+'管理费用'!H66+'蓝恐龙费用'!H66</ns0:f>
        <ns0:v>777.27</ns0:v>
      </ns0:c>
      <ns0:c r="I66" s="3">
        <ns0:f>'销售费用'!I66+'管理费用'!I66+'蓝恐龙费用'!I66</ns0:f>
        <ns0:v>864.84</ns0:v>
      </ns0:c>
      <ns0:c r="J66" s="3">
        <ns0:f>'销售费用'!J66+'管理费用'!J66+'蓝恐龙费用'!J66</ns0:f>
        <ns0:v>632.95</ns0:v>
      </ns0:c>
      <ns0:c r="K66" s="3">
        <ns0:f>'销售费用'!K66+'管理费用'!K66+'蓝恐龙费用'!K66</ns0:f>
        <ns0:v>936.10</ns0:v>
      </ns0:c>
      <ns0:c r="L66" s="3">
        <ns0:f>'销售费用'!L66+'管理费用'!L66+'蓝恐龙费用'!L66</ns0:f>
        <ns0:v>878.28</ns0:v>
      </ns0:c>
      <ns0:c r="M66" s="3">
        <ns0:f>'销售费用'!M66+'管理费用'!M66+'蓝恐龙费用'!M66</ns0:f>
        <ns0:v>787.68</ns0:v>
      </ns0:c>
      <ns0:c r="N66" s="3">
        <ns0:f>'销售费用'!N66+'管理费用'!N66+'蓝恐龙费用'!N66</ns0:f>
        <ns0:v>801.28</ns0:v>
      </ns0:c>
      <ns0:c r="O66" s="3">
        <ns0:f>SUM(C66:N66)</ns0:f>
        <ns0:v>8855.46</ns0:v>
      </ns0:c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 t="inlineStr">
        <ns0:is>
          <ns0:t>五险一金</ns0:t>
        </ns0:is>
      </ns0:c>
      <ns0:c r="C67" s="3">
        <ns0:f>'销售费用'!C67+'管理费用'!C67+'蓝恐龙费用'!C67</ns0:f>
        <ns0:v>633.67</ns0:v>
      </ns0:c>
      <ns0:c r="D67" s="3">
        <ns0:f>'销售费用'!D67+'管理费用'!D67+'蓝恐龙费用'!D67</ns0:f>
        <ns0:v>511.29</ns0:v>
      </ns0:c>
      <ns0:c r="E67" s="3">
        <ns0:f>'销售费用'!E67+'管理费用'!E67+'蓝恐龙费用'!E67</ns0:f>
        <ns0:v>773.67</ns0:v>
      </ns0:c>
      <ns0:c r="F67" s="3">
        <ns0:f>'销售费用'!F67+'管理费用'!F67+'蓝恐龙费用'!F67</ns0:f>
        <ns0:v>825.84</ns0:v>
      </ns0:c>
      <ns0:c r="G67" s="3">
        <ns0:f>'销售费用'!G67+'管理费用'!G67+'蓝恐龙费用'!G67</ns0:f>
        <ns0:v>939.58</ns0:v>
      </ns0:c>
      <ns0:c r="H67" s="3">
        <ns0:f>'销售费用'!H67+'管理费用'!H67+'蓝恐龙费用'!H67</ns0:f>
        <ns0:v>841.34</ns0:v>
      </ns0:c>
      <ns0:c r="I67" s="3">
        <ns0:f>'销售费用'!I67+'管理费用'!I67+'蓝恐龙费用'!I67</ns0:f>
        <ns0:v>689.73</ns0:v>
      </ns0:c>
      <ns0:c r="J67" s="3">
        <ns0:f>'销售费用'!J67+'管理费用'!J67+'蓝恐龙费用'!J67</ns0:f>
        <ns0:v>1088.96</ns0:v>
      </ns0:c>
      <ns0:c r="K67" s="3">
        <ns0:f>'销售费用'!K67+'管理费用'!K67+'蓝恐龙费用'!K67</ns0:f>
        <ns0:v>789.88</ns0:v>
      </ns0:c>
      <ns0:c r="L67" s="3">
        <ns0:f>'销售费用'!L67+'管理费用'!L67+'蓝恐龙费用'!L67</ns0:f>
        <ns0:v>843.15</ns0:v>
      </ns0:c>
      <ns0:c r="M67" s="3">
        <ns0:f>'销售费用'!M67+'管理费用'!M67+'蓝恐龙费用'!M67</ns0:f>
        <ns0:v>740.54</ns0:v>
      </ns0:c>
      <ns0:c r="N67" s="3">
        <ns0:f>'销售费用'!N67+'管理费用'!N67+'蓝恐龙费用'!N67</ns0:f>
        <ns0:v>417.83</ns0:v>
      </ns0:c>
      <ns0:c r="O67" s="3">
        <ns0:f>SUM(C67:N67)</ns0:f>
        <ns0:v>9095.48</ns0:v>
      </ns0:c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 t="inlineStr">
        <ns0:is>
          <ns0:t>福利费</ns0:t>
        </ns0:is>
      </ns0:c>
      <ns0:c r="C68" s="3">
        <ns0:f>'销售费用'!C68+'管理费用'!C68+'蓝恐龙费用'!C68</ns0:f>
        <ns0:v>1024.89</ns0:v>
      </ns0:c>
      <ns0:c r="D68" s="3">
        <ns0:f>'销售费用'!D68+'管理费用'!D68+'蓝恐龙费用'!D68</ns0:f>
        <ns0:v>426.63</ns0:v>
      </ns0:c>
      <ns0:c r="E68" s="3">
        <ns0:f>'销售费用'!E68+'管理费用'!E68+'蓝恐龙费用'!E68</ns0:f>
        <ns0:v>627.76</ns0:v>
      </ns0:c>
      <ns0:c r="F68" s="3">
        <ns0:f>'销售费用'!F68+'管理费用'!F68+'蓝恐龙费用'!F68</ns0:f>
        <ns0:v>836.95</ns0:v>
      </ns0:c>
      <ns0:c r="G68" s="3">
        <ns0:f>'销售费用'!G68+'管理费用'!G68+'蓝恐龙费用'!G68</ns0:f>
        <ns0:v>759.79</ns0:v>
      </ns0:c>
      <ns0:c r="H68" s="3">
        <ns0:f>'销售费用'!H68+'管理费用'!H68+'蓝恐龙费用'!H68</ns0:f>
        <ns0:v>545.87</ns0:v>
      </ns0:c>
      <ns0:c r="I68" s="3">
        <ns0:f>'销售费用'!I68+'管理费用'!I68+'蓝恐龙费用'!I68</ns0:f>
        <ns0:v>474.99</ns0:v>
      </ns0:c>
      <ns0:c r="J68" s="3">
        <ns0:f>'销售费用'!J68+'管理费用'!J68+'蓝恐龙费用'!J68</ns0:f>
        <ns0:v>890.79</ns0:v>
      </ns0:c>
      <ns0:c r="K68" s="3">
        <ns0:f>'销售费用'!K68+'管理费用'!K68+'蓝恐龙费用'!K68</ns0:f>
        <ns0:v>1089.25</ns0:v>
      </ns0:c>
      <ns0:c r="L68" s="3">
        <ns0:f>'销售费用'!L68+'管理费用'!L68+'蓝恐龙费用'!L68</ns0:f>
        <ns0:v>523.65</ns0:v>
      </ns0:c>
      <ns0:c r="M68" s="3">
        <ns0:f>'销售费用'!M68+'管理费用'!M68+'蓝恐龙费用'!M68</ns0:f>
        <ns0:v>774.61</ns0:v>
      </ns0:c>
      <ns0:c r="N68" s="3">
        <ns0:f>'销售费用'!N68+'管理费用'!N68+'蓝恐龙费用'!N68</ns0:f>
        <ns0:v>511.27</ns0:v>
      </ns0:c>
      <ns0:c r="O68" s="3">
        <ns0:f>SUM(C68:N68)</ns0:f>
        <ns0:v>8486.45</ns0:v>
      </ns0:c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 t="inlineStr">
        <ns0:is>
          <ns0:t>招聘费</ns0:t>
        </ns0:is>
      </ns0:c>
      <ns0:c r="C69" s="3">
        <ns0:f>'销售费用'!C69+'管理费用'!C69+'蓝恐龙费用'!C69</ns0:f>
        <ns0:v>801.62</ns0:v>
      </ns0:c>
      <ns0:c r="D69" s="3">
        <ns0:f>'销售费用'!D69+'管理费用'!D69+'蓝恐龙费用'!D69</ns0:f>
        <ns0:v>703.67</ns0:v>
      </ns0:c>
      <ns0:c r="E69" s="3">
        <ns0:f>'销售费用'!E69+'管理费用'!E69+'蓝恐龙费用'!E69</ns0:f>
        <ns0:v>1123.68</ns0:v>
      </ns0:c>
      <ns0:c r="F69" s="3">
        <ns0:f>'销售费用'!F69+'管理费用'!F69+'蓝恐龙费用'!F69</ns0:f>
        <ns0:v>662.12</ns0:v>
      </ns0:c>
      <ns0:c r="G69" s="3">
        <ns0:f>'销售费用'!G69+'管理费用'!G69+'蓝恐龙费用'!G69</ns0:f>
        <ns0:v>1085.95</ns0:v>
      </ns0:c>
      <ns0:c r="H69" s="3">
        <ns0:f>'销售费用'!H69+'管理费用'!H69+'蓝恐龙费用'!H69</ns0:f>
        <ns0:v>458.70</ns0:v>
      </ns0:c>
      <ns0:c r="I69" s="3">
        <ns0:f>'销售费用'!I69+'管理费用'!I69+'蓝恐龙费用'!I69</ns0:f>
        <ns0:v>590.57</ns0:v>
      </ns0:c>
      <ns0:c r="J69" s="3">
        <ns0:f>'销售费用'!J69+'管理费用'!J69+'蓝恐龙费用'!J69</ns0:f>
        <ns0:v>902.49</ns0:v>
      </ns0:c>
      <ns0:c r="K69" s="3">
        <ns0:f>'销售费用'!K69+'管理费用'!K69+'蓝恐龙费用'!K69</ns0:f>
        <ns0:v>1051.46</ns0:v>
      </ns0:c>
      <ns0:c r="L69" s="3">
        <ns0:f>'销售费用'!L69+'管理费用'!L69+'蓝恐龙费用'!L69</ns0:f>
        <ns0:v>344.01</ns0:v>
      </ns0:c>
      <ns0:c r="M69" s="3">
        <ns0:f>'销售费用'!M69+'管理费用'!M69+'蓝恐龙费用'!M69</ns0:f>
        <ns0:v>636.02</ns0:v>
      </ns0:c>
      <ns0:c r="N69" s="3">
        <ns0:f>'销售费用'!N69+'管理费用'!N69+'蓝恐龙费用'!N69</ns0:f>
        <ns0:v>1048.86</ns0:v>
      </ns0:c>
      <ns0:c r="O69" s="3">
        <ns0:f>SUM(C69:N69)</ns0:f>
        <ns0:v>9409.15</ns0:v>
      </ns0:c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 t="inlineStr">
        <ns0:is>
          <ns0:t>培训费</ns0:t>
        </ns0:is>
      </ns0:c>
      <ns0:c r="C70" s="3">
        <ns0:f>'销售费用'!C70+'管理费用'!C70+'蓝恐龙费用'!C70</ns0:f>
        <ns0:v>755.91</ns0:v>
      </ns0:c>
      <ns0:c r="D70" s="3">
        <ns0:f>'销售费用'!D70+'管理费用'!D70+'蓝恐龙费用'!D70</ns0:f>
        <ns0:v>572.56</ns0:v>
      </ns0:c>
      <ns0:c r="E70" s="3">
        <ns0:f>'销售费用'!E70+'管理费用'!E70+'蓝恐龙费用'!E70</ns0:f>
        <ns0:v>713.87</ns0:v>
      </ns0:c>
      <ns0:c r="F70" s="3">
        <ns0:f>'销售费用'!F70+'管理费用'!F70+'蓝恐龙费用'!F70</ns0:f>
        <ns0:v>1060.68</ns0:v>
      </ns0:c>
      <ns0:c r="G70" s="3">
        <ns0:f>'销售费用'!G70+'管理费用'!G70+'蓝恐龙费用'!G70</ns0:f>
        <ns0:v>914.25</ns0:v>
      </ns0:c>
      <ns0:c r="H70" s="3">
        <ns0:f>'销售费用'!H70+'管理费用'!H70+'蓝恐龙费用'!H70</ns0:f>
        <ns0:v>616.52</ns0:v>
      </ns0:c>
      <ns0:c r="I70" s="3">
        <ns0:f>'销售费用'!I70+'管理费用'!I70+'蓝恐龙费用'!I70</ns0:f>
        <ns0:v>1052.11</ns0:v>
      </ns0:c>
      <ns0:c r="J70" s="3">
        <ns0:f>'销售费用'!J70+'管理费用'!J70+'蓝恐龙费用'!J70</ns0:f>
        <ns0:v>622.28</ns0:v>
      </ns0:c>
      <ns0:c r="K70" s="3">
        <ns0:f>'销售费用'!K70+'管理费用'!K70+'蓝恐龙费用'!K70</ns0:f>
        <ns0:v>600.30</ns0:v>
      </ns0:c>
      <ns0:c r="L70" s="3">
        <ns0:f>'销售费用'!L70+'管理费用'!L70+'蓝恐龙费用'!L70</ns0:f>
        <ns0:v>598.90</ns0:v>
      </ns0:c>
      <ns0:c r="M70" s="3">
        <ns0:f>'销售费用'!M70+'管理费用'!M70+'蓝恐龙费用'!M70</ns0:f>
        <ns0:v>463.88</ns0:v>
      </ns0:c>
      <ns0:c r="N70" s="3">
        <ns0:f>'销售费用'!N70+'管理费用'!N70+'蓝恐龙费用'!N70</ns0:f>
        <ns0:v>1037.15</ns0:v>
      </ns0:c>
      <ns0:c r="O70" s="3">
        <ns0:f>SUM(C70:N70)</ns0:f>
        <ns0:v>9008.41</ns0:v>
      </ns0:c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 t="inlineStr">
        <ns0:is>
          <ns0:t>房租</ns0:t>
        </ns0:is>
      </ns0:c>
      <ns0:c r="C71" s="3">
        <ns0:f>'销售费用'!C71+'管理费用'!C71+'蓝恐龙费用'!C71</ns0:f>
        <ns0:v>616.62</ns0:v>
      </ns0:c>
      <ns0:c r="D71" s="3">
        <ns0:f>'销售费用'!D71+'管理费用'!D71+'蓝恐龙费用'!D71</ns0:f>
        <ns0:v>515.60</ns0:v>
      </ns0:c>
      <ns0:c r="E71" s="3">
        <ns0:f>'销售费用'!E71+'管理费用'!E71+'蓝恐龙费用'!E71</ns0:f>
        <ns0:v>746.83</ns0:v>
      </ns0:c>
      <ns0:c r="F71" s="3">
        <ns0:f>'销售费用'!F71+'管理费用'!F71+'蓝恐龙费用'!F71</ns0:f>
        <ns0:v>956.65</ns0:v>
      </ns0:c>
      <ns0:c r="G71" s="3">
        <ns0:f>'销售费用'!G71+'管理费用'!G71+'蓝恐龙费用'!G71</ns0:f>
        <ns0:v>947.10</ns0:v>
      </ns0:c>
      <ns0:c r="H71" s="3">
        <ns0:f>'销售费用'!H71+'管理费用'!H71+'蓝恐龙费用'!H71</ns0:f>
        <ns0:v>584.60</ns0:v>
      </ns0:c>
      <ns0:c r="I71" s="3">
        <ns0:f>'销售费用'!I71+'管理费用'!I71+'蓝恐龙费用'!I71</ns0:f>
        <ns0:v>511.70</ns0:v>
      </ns0:c>
      <ns0:c r="J71" s="3">
        <ns0:f>'销售费用'!J71+'管理费用'!J71+'蓝恐龙费用'!J71</ns0:f>
        <ns0:v>478.64</ns0:v>
      </ns0:c>
      <ns0:c r="K71" s="3">
        <ns0:f>'销售费用'!K71+'管理费用'!K71+'蓝恐龙费用'!K71</ns0:f>
        <ns0:v>444.08</ns0:v>
      </ns0:c>
      <ns0:c r="L71" s="3">
        <ns0:f>'销售费用'!L71+'管理费用'!L71+'蓝恐龙费用'!L71</ns0:f>
        <ns0:v>905.80</ns0:v>
      </ns0:c>
      <ns0:c r="M71" s="3">
        <ns0:f>'销售费用'!M71+'管理费用'!M71+'蓝恐龙费用'!M71</ns0:f>
        <ns0:v>852.20</ns0:v>
      </ns0:c>
      <ns0:c r="N71" s="3">
        <ns0:f>'销售费用'!N71+'管理费用'!N71+'蓝恐龙费用'!N71</ns0:f>
        <ns0:v>486.67</ns0:v>
      </ns0:c>
      <ns0:c r="O71" s="3">
        <ns0:f>SUM(C71:N71)</ns0:f>
        <ns0:v>8046.49</ns0:v>
      </ns0:c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 t="inlineStr">
        <ns0:is>
          <ns0:t>物业管理费</ns0:t>
        </ns0:is>
      </ns0:c>
      <ns0:c r="C72" s="3">
        <ns0:f>'销售费用'!C72+'管理费用'!C72+'蓝恐龙费用'!C72</ns0:f>
        <ns0:v>1040.47</ns0:v>
      </ns0:c>
      <ns0:c r="D72" s="3">
        <ns0:f>'销售费用'!D72+'管理费用'!D72+'蓝恐龙费用'!D72</ns0:f>
        <ns0:v>713.50</ns0:v>
      </ns0:c>
      <ns0:c r="E72" s="3">
        <ns0:f>'销售费用'!E72+'管理费用'!E72+'蓝恐龙费用'!E72</ns0:f>
        <ns0:v>430.42</ns0:v>
      </ns0:c>
      <ns0:c r="F72" s="3">
        <ns0:f>'销售费用'!F72+'管理费用'!F72+'蓝恐龙费用'!F72</ns0:f>
        <ns0:v>280.98</ns0:v>
      </ns0:c>
      <ns0:c r="G72" s="3">
        <ns0:f>'销售费用'!G72+'管理费用'!G72+'蓝恐龙费用'!G72</ns0:f>
        <ns0:v>1003.17</ns0:v>
      </ns0:c>
      <ns0:c r="H72" s="3">
        <ns0:f>'销售费用'!H72+'管理费用'!H72+'蓝恐龙费用'!H72</ns0:f>
        <ns0:v>734.80</ns0:v>
      </ns0:c>
      <ns0:c r="I72" s="3">
        <ns0:f>'销售费用'!I72+'管理费用'!I72+'蓝恐龙费用'!I72</ns0:f>
        <ns0:v>640.74</ns0:v>
      </ns0:c>
      <ns0:c r="J72" s="3">
        <ns0:f>'销售费用'!J72+'管理费用'!J72+'蓝恐龙费用'!J72</ns0:f>
        <ns0:v>398.68</ns0:v>
      </ns0:c>
      <ns0:c r="K72" s="3">
        <ns0:f>'销售费用'!K72+'管理费用'!K72+'蓝恐龙费用'!K72</ns0:f>
        <ns0:v>636.31</ns0:v>
      </ns0:c>
      <ns0:c r="L72" s="3">
        <ns0:f>'销售费用'!L72+'管理费用'!L72+'蓝恐龙费用'!L72</ns0:f>
        <ns0:v>612.93</ns0:v>
      </ns0:c>
      <ns0:c r="M72" s="3">
        <ns0:f>'销售费用'!M72+'管理费用'!M72+'蓝恐龙费用'!M72</ns0:f>
        <ns0:v>658.29</ns0:v>
      </ns0:c>
      <ns0:c r="N72" s="3">
        <ns0:f>'销售费用'!N72+'管理费用'!N72+'蓝恐龙费用'!N72</ns0:f>
        <ns0:v>341.50</ns0:v>
      </ns0:c>
      <ns0:c r="O72" s="3">
        <ns0:f>SUM(C72:N72)</ns0:f>
        <ns0:v>7491.79</ns0:v>
      </ns0:c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 t="inlineStr">
        <ns0:is>
          <ns0:t>汽车费用</ns0:t>
        </ns0:is>
      </ns0:c>
      <ns0:c r="C73" s="3">
        <ns0:f>'销售费用'!C73+'管理费用'!C73+'蓝恐龙费用'!C73</ns0:f>
        <ns0:v>819.36</ns0:v>
      </ns0:c>
      <ns0:c r="D73" s="3">
        <ns0:f>'销售费用'!D73+'管理费用'!D73+'蓝恐龙费用'!D73</ns0:f>
        <ns0:v>821.07</ns0:v>
      </ns0:c>
      <ns0:c r="E73" s="3">
        <ns0:f>'销售费用'!E73+'管理费用'!E73+'蓝恐龙费用'!E73</ns0:f>
        <ns0:v>327.35</ns0:v>
      </ns0:c>
      <ns0:c r="F73" s="3">
        <ns0:f>'销售费用'!F73+'管理费用'!F73+'蓝恐龙费用'!F73</ns0:f>
        <ns0:v>829.77</ns0:v>
      </ns0:c>
      <ns0:c r="G73" s="3">
        <ns0:f>'销售费用'!G73+'管理费用'!G73+'蓝恐龙费用'!G73</ns0:f>
        <ns0:v>846.87</ns0:v>
      </ns0:c>
      <ns0:c r="H73" s="3">
        <ns0:f>'销售费用'!H73+'管理费用'!H73+'蓝恐龙费用'!H73</ns0:f>
        <ns0:v>675.30</ns0:v>
      </ns0:c>
      <ns0:c r="I73" s="3">
        <ns0:f>'销售费用'!I73+'管理费用'!I73+'蓝恐龙费用'!I73</ns0:f>
        <ns0:v>481.41</ns0:v>
      </ns0:c>
      <ns0:c r="J73" s="3">
        <ns0:f>'销售费用'!J73+'管理费用'!J73+'蓝恐龙费用'!J73</ns0:f>
        <ns0:v>753.43</ns0:v>
      </ns0:c>
      <ns0:c r="K73" s="3">
        <ns0:f>'销售费用'!K73+'管理费用'!K73+'蓝恐龙费用'!K73</ns0:f>
        <ns0:v>1117.09</ns0:v>
      </ns0:c>
      <ns0:c r="L73" s="3">
        <ns0:f>'销售费用'!L73+'管理费用'!L73+'蓝恐龙费用'!L73</ns0:f>
        <ns0:v>923.49</ns0:v>
      </ns0:c>
      <ns0:c r="M73" s="3">
        <ns0:f>'销售费用'!M73+'管理费用'!M73+'蓝恐龙费用'!M73</ns0:f>
        <ns0:v>788.89</ns0:v>
      </ns0:c>
      <ns0:c r="N73" s="3">
        <ns0:f>'销售费用'!N73+'管理费用'!N73+'蓝恐龙费用'!N73</ns0:f>
        <ns0:v>861.02</ns0:v>
      </ns0:c>
      <ns0:c r="O73" s="3">
        <ns0:f>SUM(C73:N73)</ns0:f>
        <ns0:v>9245.05</ns0:v>
      </ns0:c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 t="inlineStr">
        <ns0:is>
          <ns0:t>办公费</ns0:t>
        </ns0:is>
      </ns0:c>
      <ns0:c r="C74" s="3">
        <ns0:f>'销售费用'!C74+'管理费用'!C74+'蓝恐龙费用'!C74</ns0:f>
        <ns0:v>490.12</ns0:v>
      </ns0:c>
      <ns0:c r="D74" s="3">
        <ns0:f>'销售费用'!D74+'管理费用'!D74+'蓝恐龙费用'!D74</ns0:f>
        <ns0:v>598.05</ns0:v>
      </ns0:c>
      <ns0:c r="E74" s="3">
        <ns0:f>'销售费用'!E74+'管理费用'!E74+'蓝恐龙费用'!E74</ns0:f>
        <ns0:v>586.00</ns0:v>
      </ns0:c>
      <ns0:c r="F74" s="3">
        <ns0:f>'销售费用'!F74+'管理费用'!F74+'蓝恐龙费用'!F74</ns0:f>
        <ns0:v>827.06</ns0:v>
      </ns0:c>
      <ns0:c r="G74" s="3">
        <ns0:f>'销售费用'!G74+'管理费用'!G74+'蓝恐龙费用'!G74</ns0:f>
        <ns0:v>657.27</ns0:v>
      </ns0:c>
      <ns0:c r="H74" s="3">
        <ns0:f>'销售费用'!H74+'管理费用'!H74+'蓝恐龙费用'!H74</ns0:f>
        <ns0:v>641.07</ns0:v>
      </ns0:c>
      <ns0:c r="I74" s="3">
        <ns0:f>'销售费用'!I74+'管理费用'!I74+'蓝恐龙费用'!I74</ns0:f>
        <ns0:v>418.40</ns0:v>
      </ns0:c>
      <ns0:c r="J74" s="3">
        <ns0:f>'销售费用'!J74+'管理费用'!J74+'蓝恐龙费用'!J74</ns0:f>
        <ns0:v>598.79</ns0:v>
      </ns0:c>
      <ns0:c r="K74" s="3">
        <ns0:f>'销售费用'!K74+'管理费用'!K74+'蓝恐龙费用'!K74</ns0:f>
        <ns0:v>652.44</ns0:v>
      </ns0:c>
      <ns0:c r="L74" s="3">
        <ns0:f>'销售费用'!L74+'管理费用'!L74+'蓝恐龙费用'!L74</ns0:f>
        <ns0:v>478.89</ns0:v>
      </ns0:c>
      <ns0:c r="M74" s="3">
        <ns0:f>'销售费用'!M74+'管理费用'!M74+'蓝恐龙费用'!M74</ns0:f>
        <ns0:v>424.66</ns0:v>
      </ns0:c>
      <ns0:c r="N74" s="3">
        <ns0:f>'销售费用'!N74+'管理费用'!N74+'蓝恐龙费用'!N74</ns0:f>
        <ns0:v>518.95</ns0:v>
      </ns0:c>
      <ns0:c r="O74" s="3">
        <ns0:f>SUM(C74:N74)</ns0:f>
        <ns0:v>6891.70</ns0:v>
      </ns0:c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 t="inlineStr">
        <ns0:is>
          <ns0:t>办公用品</ns0:t>
        </ns0:is>
      </ns0:c>
      <ns0:c r="C75" s="3">
        <ns0:f>'销售费用'!C75+'管理费用'!C75+'蓝恐龙费用'!C75</ns0:f>
        <ns0:v>970.42</ns0:v>
      </ns0:c>
      <ns0:c r="D75" s="3">
        <ns0:f>'销售费用'!D75+'管理费用'!D75+'蓝恐龙费用'!D75</ns0:f>
        <ns0:v>802.14</ns0:v>
      </ns0:c>
      <ns0:c r="E75" s="3">
        <ns0:f>'销售费用'!E75+'管理费用'!E75+'蓝恐龙费用'!E75</ns0:f>
        <ns0:v>611.03</ns0:v>
      </ns0:c>
      <ns0:c r="F75" s="3">
        <ns0:f>'销售费用'!F75+'管理费用'!F75+'蓝恐龙费用'!F75</ns0:f>
        <ns0:v>611.00</ns0:v>
      </ns0:c>
      <ns0:c r="G75" s="3">
        <ns0:f>'销售费用'!G75+'管理费用'!G75+'蓝恐龙费用'!G75</ns0:f>
        <ns0:v>761.37</ns0:v>
      </ns0:c>
      <ns0:c r="H75" s="3">
        <ns0:f>'销售费用'!H75+'管理费用'!H75+'蓝恐龙费用'!H75</ns0:f>
        <ns0:v>966.19</ns0:v>
      </ns0:c>
      <ns0:c r="I75" s="3">
        <ns0:f>'销售费用'!I75+'管理费用'!I75+'蓝恐龙费用'!I75</ns0:f>
        <ns0:v>630.54</ns0:v>
      </ns0:c>
      <ns0:c r="J75" s="3">
        <ns0:f>'销售费用'!J75+'管理费用'!J75+'蓝恐龙费用'!J75</ns0:f>
        <ns0:v>580.28</ns0:v>
      </ns0:c>
      <ns0:c r="K75" s="3">
        <ns0:f>'销售费用'!K75+'管理费用'!K75+'蓝恐龙费用'!K75</ns0:f>
        <ns0:v>685.76</ns0:v>
      </ns0:c>
      <ns0:c r="L75" s="3">
        <ns0:f>'销售费用'!L75+'管理费用'!L75+'蓝恐龙费用'!L75</ns0:f>
        <ns0:v>1069.56</ns0:v>
      </ns0:c>
      <ns0:c r="M75" s="3">
        <ns0:f>'销售费用'!M75+'管理费用'!M75+'蓝恐龙费用'!M75</ns0:f>
        <ns0:v>1202.45</ns0:v>
      </ns0:c>
      <ns0:c r="N75" s="3">
        <ns0:f>'销售费用'!N75+'管理费用'!N75+'蓝恐龙费用'!N75</ns0:f>
        <ns0:v>646.10</ns0:v>
      </ns0:c>
      <ns0:c r="O75" s="3">
        <ns0:f>SUM(C75:N75)</ns0:f>
        <ns0:v>9536.84</ns0:v>
      </ns0:c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 t="inlineStr">
        <ns0:is>
          <ns0:t>水电煤</ns0:t>
        </ns0:is>
      </ns0:c>
      <ns0:c r="C76" s="3">
        <ns0:f>'销售费用'!C76+'管理费用'!C76+'蓝恐龙费用'!C76</ns0:f>
        <ns0:v>655.36</ns0:v>
      </ns0:c>
      <ns0:c r="D76" s="3">
        <ns0:f>'销售费用'!D76+'管理费用'!D76+'蓝恐龙费用'!D76</ns0:f>
        <ns0:v>456.71</ns0:v>
      </ns0:c>
      <ns0:c r="E76" s="3">
        <ns0:f>'销售费用'!E76+'管理费用'!E76+'蓝恐龙费用'!E76</ns0:f>
        <ns0:v>700.59</ns0:v>
      </ns0:c>
      <ns0:c r="F76" s="3">
        <ns0:f>'销售费用'!F76+'管理费用'!F76+'蓝恐龙费用'!F76</ns0:f>
        <ns0:v>1231.23</ns0:v>
      </ns0:c>
      <ns0:c r="G76" s="3">
        <ns0:f>'销售费用'!G76+'管理费用'!G76+'蓝恐龙费用'!G76</ns0:f>
        <ns0:v>400.93</ns0:v>
      </ns0:c>
      <ns0:c r="H76" s="3">
        <ns0:f>'销售费用'!H76+'管理费用'!H76+'蓝恐龙费用'!H76</ns0:f>
        <ns0:v>678.87</ns0:v>
      </ns0:c>
      <ns0:c r="I76" s="3">
        <ns0:f>'销售费用'!I76+'管理费用'!I76+'蓝恐龙费用'!I76</ns0:f>
        <ns0:v>275.70</ns0:v>
      </ns0:c>
      <ns0:c r="J76" s="3">
        <ns0:f>'销售费用'!J76+'管理费用'!J76+'蓝恐龙费用'!J76</ns0:f>
        <ns0:v>808.18</ns0:v>
      </ns0:c>
      <ns0:c r="K76" s="3">
        <ns0:f>'销售费用'!K76+'管理费用'!K76+'蓝恐龙费用'!K76</ns0:f>
        <ns0:v>552.05</ns0:v>
      </ns0:c>
      <ns0:c r="L76" s="3">
        <ns0:f>'销售费用'!L76+'管理费用'!L76+'蓝恐龙费用'!L76</ns0:f>
        <ns0:v>694.48</ns0:v>
      </ns0:c>
      <ns0:c r="M76" s="3">
        <ns0:f>'销售费用'!M76+'管理费用'!M76+'蓝恐龙费用'!M76</ns0:f>
        <ns0:v>421.49</ns0:v>
      </ns0:c>
      <ns0:c r="N76" s="3">
        <ns0:f>'销售费用'!N76+'管理费用'!N76+'蓝恐龙费用'!N76</ns0:f>
        <ns0:v>619.96</ns0:v>
      </ns0:c>
      <ns0:c r="O76" s="3">
        <ns0:f>SUM(C76:N76)</ns0:f>
        <ns0:v>7495.55</ns0:v>
      </ns0:c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 t="inlineStr">
        <ns0:is>
          <ns0:t>咨询服务费</ns0:t>
        </ns0:is>
      </ns0:c>
      <ns0:c r="C77" s="3">
        <ns0:f>'销售费用'!C77+'管理费用'!C77+'蓝恐龙费用'!C77</ns0:f>
        <ns0:v>656.56</ns0:v>
      </ns0:c>
      <ns0:c r="D77" s="3">
        <ns0:f>'销售费用'!D77+'管理费用'!D77+'蓝恐龙费用'!D77</ns0:f>
        <ns0:v>532.41</ns0:v>
      </ns0:c>
      <ns0:c r="E77" s="3">
        <ns0:f>'销售费用'!E77+'管理费用'!E77+'蓝恐龙费用'!E77</ns0:f>
        <ns0:v>261.35</ns0:v>
      </ns0:c>
      <ns0:c r="F77" s="3">
        <ns0:f>'销售费用'!F77+'管理费用'!F77+'蓝恐龙费用'!F77</ns0:f>
        <ns0:v>562.18</ns0:v>
      </ns0:c>
      <ns0:c r="G77" s="3">
        <ns0:f>'销售费用'!G77+'管理费用'!G77+'蓝恐龙费用'!G77</ns0:f>
        <ns0:v>725.41</ns0:v>
      </ns0:c>
      <ns0:c r="H77" s="3">
        <ns0:f>'销售费用'!H77+'管理费用'!H77+'蓝恐龙费用'!H77</ns0:f>
        <ns0:v>1360.83</ns0:v>
      </ns0:c>
      <ns0:c r="I77" s="3">
        <ns0:f>'销售费用'!I77+'管理费用'!I77+'蓝恐龙费用'!I77</ns0:f>
        <ns0:v>860.71</ns0:v>
      </ns0:c>
      <ns0:c r="J77" s="3">
        <ns0:f>'销售费用'!J77+'管理费用'!J77+'蓝恐龙费用'!J77</ns0:f>
        <ns0:v>896.59</ns0:v>
      </ns0:c>
      <ns0:c r="K77" s="3">
        <ns0:f>'销售费用'!K77+'管理费用'!K77+'蓝恐龙费用'!K77</ns0:f>
        <ns0:v>947.21</ns0:v>
      </ns0:c>
      <ns0:c r="L77" s="3">
        <ns0:f>'销售费用'!L77+'管理费用'!L77+'蓝恐龙费用'!L77</ns0:f>
        <ns0:v>792.30</ns0:v>
      </ns0:c>
      <ns0:c r="M77" s="3">
        <ns0:f>'销售费用'!M77+'管理费用'!M77+'蓝恐龙费用'!M77</ns0:f>
        <ns0:v>924.73</ns0:v>
      </ns0:c>
      <ns0:c r="N77" s="3">
        <ns0:f>'销售费用'!N77+'管理费用'!N77+'蓝恐龙费用'!N77</ns0:f>
        <ns0:v>396.95</ns0:v>
      </ns0:c>
      <ns0:c r="O77" s="3">
        <ns0:f>SUM(C77:N77)</ns0:f>
        <ns0:v>8917.23</ns0:v>
      </ns0:c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 t="inlineStr">
        <ns0:is>
          <ns0:t>电话费</ns0:t>
        </ns0:is>
      </ns0:c>
      <ns0:c r="C78" s="3">
        <ns0:f>'销售费用'!C78+'管理费用'!C78+'蓝恐龙费用'!C78</ns0:f>
        <ns0:v>793.55</ns0:v>
      </ns0:c>
      <ns0:c r="D78" s="3">
        <ns0:f>'销售费用'!D78+'管理费用'!D78+'蓝恐龙费用'!D78</ns0:f>
        <ns0:v>1220.90</ns0:v>
      </ns0:c>
      <ns0:c r="E78" s="3">
        <ns0:f>'销售费用'!E78+'管理费用'!E78+'蓝恐龙费用'!E78</ns0:f>
        <ns0:v>638.95</ns0:v>
      </ns0:c>
      <ns0:c r="F78" s="3">
        <ns0:f>'销售费用'!F78+'管理费用'!F78+'蓝恐龙费用'!F78</ns0:f>
        <ns0:v>758.95</ns0:v>
      </ns0:c>
      <ns0:c r="G78" s="3">
        <ns0:f>'销售费用'!G78+'管理费用'!G78+'蓝恐龙费用'!G78</ns0:f>
        <ns0:v>615.08</ns0:v>
      </ns0:c>
      <ns0:c r="H78" s="3">
        <ns0:f>'销售费用'!H78+'管理费用'!H78+'蓝恐龙费用'!H78</ns0:f>
        <ns0:v>539.61</ns0:v>
      </ns0:c>
      <ns0:c r="I78" s="3">
        <ns0:f>'销售费用'!I78+'管理费用'!I78+'蓝恐龙费用'!I78</ns0:f>
        <ns0:v>663.39</ns0:v>
      </ns0:c>
      <ns0:c r="J78" s="3">
        <ns0:f>'销售费用'!J78+'管理费用'!J78+'蓝恐龙费用'!J78</ns0:f>
        <ns0:v>365.91</ns0:v>
      </ns0:c>
      <ns0:c r="K78" s="3">
        <ns0:f>'销售费用'!K78+'管理费用'!K78+'蓝恐龙费用'!K78</ns0:f>
        <ns0:v>752.83</ns0:v>
      </ns0:c>
      <ns0:c r="L78" s="3">
        <ns0:f>'销售费用'!L78+'管理费用'!L78+'蓝恐龙费用'!L78</ns0:f>
        <ns0:v>672.13</ns0:v>
      </ns0:c>
      <ns0:c r="M78" s="3">
        <ns0:f>'销售费用'!M78+'管理费用'!M78+'蓝恐龙费用'!M78</ns0:f>
        <ns0:v>669.87</ns0:v>
      </ns0:c>
      <ns0:c r="N78" s="3">
        <ns0:f>'销售费用'!N78+'管理费用'!N78+'蓝恐龙费用'!N78</ns0:f>
        <ns0:v>383.90</ns0:v>
      </ns0:c>
      <ns0:c r="O78" s="3">
        <ns0:f>SUM(C78:N78)</ns0:f>
        <ns0:v>8075.07</ns0:v>
      </ns0:c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 t="inlineStr">
        <ns0:is>
          <ns0:t>快递费</ns0:t>
        </ns0:is>
      </ns0:c>
      <ns0:c r="C79" s="3">
        <ns0:f>'销售费用'!C79+'管理费用'!C79+'蓝恐龙费用'!C79</ns0:f>
        <ns0:v>363.37</ns0:v>
      </ns0:c>
      <ns0:c r="D79" s="3">
        <ns0:f>'销售费用'!D79+'管理费用'!D79+'蓝恐龙费用'!D79</ns0:f>
        <ns0:v>717.74</ns0:v>
      </ns0:c>
      <ns0:c r="E79" s="3">
        <ns0:f>'销售费用'!E79+'管理费用'!E79+'蓝恐龙费用'!E79</ns0:f>
        <ns0:v>910.06</ns0:v>
      </ns0:c>
      <ns0:c r="F79" s="3">
        <ns0:f>'销售费用'!F79+'管理费用'!F79+'蓝恐龙费用'!F79</ns0:f>
        <ns0:v>585.95</ns0:v>
      </ns0:c>
      <ns0:c r="G79" s="3">
        <ns0:f>'销售费用'!G79+'管理费用'!G79+'蓝恐龙费用'!G79</ns0:f>
        <ns0:v>617.37</ns0:v>
      </ns0:c>
      <ns0:c r="H79" s="3">
        <ns0:f>'销售费用'!H79+'管理费用'!H79+'蓝恐龙费用'!H79</ns0:f>
        <ns0:v>252.67</ns0:v>
      </ns0:c>
      <ns0:c r="I79" s="3">
        <ns0:f>'销售费用'!I79+'管理费用'!I79+'蓝恐龙费用'!I79</ns0:f>
        <ns0:v>892.81</ns0:v>
      </ns0:c>
      <ns0:c r="J79" s="3">
        <ns0:f>'销售费用'!J79+'管理费用'!J79+'蓝恐龙费用'!J79</ns0:f>
        <ns0:v>860.99</ns0:v>
      </ns0:c>
      <ns0:c r="K79" s="3">
        <ns0:f>'销售费用'!K79+'管理费用'!K79+'蓝恐龙费用'!K79</ns0:f>
        <ns0:v>473.41</ns0:v>
      </ns0:c>
      <ns0:c r="L79" s="3">
        <ns0:f>'销售费用'!L79+'管理费用'!L79+'蓝恐龙费用'!L79</ns0:f>
        <ns0:v>821.68</ns0:v>
      </ns0:c>
      <ns0:c r="M79" s="3">
        <ns0:f>'销售费用'!M79+'管理费用'!M79+'蓝恐龙费用'!M79</ns0:f>
        <ns0:v>1104.88</ns0:v>
      </ns0:c>
      <ns0:c r="N79" s="3">
        <ns0:f>'销售费用'!N79+'管理费用'!N79+'蓝恐龙费用'!N79</ns0:f>
        <ns0:v>686.72</ns0:v>
      </ns0:c>
      <ns0:c r="O79" s="3">
        <ns0:f>SUM(C79:N79)</ns0:f>
        <ns0:v>8287.65</ns0:v>
      </ns0:c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 t="inlineStr">
        <ns0:is>
          <ns0:t>折旧及摊销</ns0:t>
        </ns0:is>
      </ns0:c>
      <ns0:c r="C80" s="3">
        <ns0:f>'销售费用'!C80+'管理费用'!C80+'蓝恐龙费用'!C80</ns0:f>
        <ns0:v>1872.72</ns0:v>
      </ns0:c>
      <ns0:c r="D80" s="3">
        <ns0:f>'销售费用'!D80+'管理费用'!D80+'蓝恐龙费用'!D80</ns0:f>
        <ns0:v>1872.72</ns0:v>
      </ns0:c>
      <ns0:c r="E80" s="3">
        <ns0:f>'销售费用'!E80+'管理费用'!E80+'蓝恐龙费用'!E80</ns0:f>
        <ns0:v>1872.72</ns0:v>
      </ns0:c>
      <ns0:c r="F80" s="3">
        <ns0:f>'销售费用'!F80+'管理费用'!F80+'蓝恐龙费用'!F80</ns0:f>
        <ns0:v>1872.72</ns0:v>
      </ns0:c>
      <ns0:c r="G80" s="3">
        <ns0:f>'销售费用'!G80+'管理费用'!G80+'蓝恐龙费用'!G80</ns0:f>
        <ns0:v>1872.72</ns0:v>
      </ns0:c>
      <ns0:c r="H80" s="3">
        <ns0:f>'销售费用'!H80+'管理费用'!H80+'蓝恐龙费用'!H80</ns0:f>
        <ns0:v>1872.72</ns0:v>
      </ns0:c>
      <ns0:c r="I80" s="3">
        <ns0:f>'销售费用'!I80+'管理费用'!I80+'蓝恐龙费用'!I80</ns0:f>
        <ns0:v>1872.72</ns0:v>
      </ns0:c>
      <ns0:c r="J80" s="3">
        <ns0:f>'销售费用'!J80+'管理费用'!J80+'蓝恐龙费用'!J80</ns0:f>
        <ns0:v>1872.72</ns0:v>
      </ns0:c>
      <ns0:c r="K80" s="3">
        <ns0:f>'销售费用'!K80+'管理费用'!K80+'蓝恐龙费用'!K80</ns0:f>
        <ns0:v>1872.72</ns0:v>
      </ns0:c>
      <ns0:c r="L80" s="3">
        <ns0:f>'销售费用'!L80+'管理费用'!L80+'蓝恐龙费用'!L80</ns0:f>
        <ns0:v>1872.72</ns0:v>
      </ns0:c>
      <ns0:c r="M80" s="3">
        <ns0:f>'销售费用'!M80+'管理费用'!M80+'蓝恐龙费用'!M80</ns0:f>
        <ns0:v>1872.72</ns0:v>
      </ns0:c>
      <ns0:c r="N80" s="3">
        <ns0:f>'销售费用'!N80+'管理费用'!N80+'蓝恐龙费用'!N80</ns0:f>
        <ns0:v>1872.72</ns0:v>
      </ns0:c>
      <ns0:c r="O80" s="3">
        <ns0:f>SUM(C80:N80)</ns0:f>
        <ns0:v>22472.64</ns0:v>
      </ns0:c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 t="inlineStr">
        <ns0:is>
          <ns0:t>机票火车票</ns0:t>
        </ns0:is>
      </ns0:c>
      <ns0:c r="C81" s="3">
        <ns0:f>'销售费用'!C81+'管理费用'!C81+'蓝恐龙费用'!C81</ns0:f>
        <ns0:v>554.33</ns0:v>
      </ns0:c>
      <ns0:c r="D81" s="3">
        <ns0:f>'销售费用'!D81+'管理费用'!D81+'蓝恐龙费用'!D81</ns0:f>
        <ns0:v>660.90</ns0:v>
      </ns0:c>
      <ns0:c r="E81" s="3">
        <ns0:f>'销售费用'!E81+'管理费用'!E81+'蓝恐龙费用'!E81</ns0:f>
        <ns0:v>566.93</ns0:v>
      </ns0:c>
      <ns0:c r="F81" s="3">
        <ns0:f>'销售费用'!F81+'管理费用'!F81+'蓝恐龙费用'!F81</ns0:f>
        <ns0:v>1107.68</ns0:v>
      </ns0:c>
      <ns0:c r="G81" s="3">
        <ns0:f>'销售费用'!G81+'管理费用'!G81+'蓝恐龙费用'!G81</ns0:f>
        <ns0:v>532.58</ns0:v>
      </ns0:c>
      <ns0:c r="H81" s="3">
        <ns0:f>'销售费用'!H81+'管理费用'!H81+'蓝恐龙费用'!H81</ns0:f>
        <ns0:v>686.90</ns0:v>
      </ns0:c>
      <ns0:c r="I81" s="3">
        <ns0:f>'销售费用'!I81+'管理费用'!I81+'蓝恐龙费用'!I81</ns0:f>
        <ns0:v>544.01</ns0:v>
      </ns0:c>
      <ns0:c r="J81" s="3">
        <ns0:f>'销售费用'!J81+'管理费用'!J81+'蓝恐龙费用'!J81</ns0:f>
        <ns0:v>505.09</ns0:v>
      </ns0:c>
      <ns0:c r="K81" s="3">
        <ns0:f>'销售费用'!K81+'管理费用'!K81+'蓝恐龙费用'!K81</ns0:f>
        <ns0:v>765.37</ns0:v>
      </ns0:c>
      <ns0:c r="L81" s="3">
        <ns0:f>'销售费用'!L81+'管理费用'!L81+'蓝恐龙费用'!L81</ns0:f>
        <ns0:v>864.74</ns0:v>
      </ns0:c>
      <ns0:c r="M81" s="3">
        <ns0:f>'销售费用'!M81+'管理费用'!M81+'蓝恐龙费用'!M81</ns0:f>
        <ns0:v>483.28</ns0:v>
      </ns0:c>
      <ns0:c r="N81" s="3">
        <ns0:f>'销售费用'!N81+'管理费用'!N81+'蓝恐龙费用'!N81</ns0:f>
        <ns0:v>1235.18</ns0:v>
      </ns0:c>
      <ns0:c r="O81" s="3">
        <ns0:f>SUM(C81:N81)</ns0:f>
        <ns0:v>8506.99</ns0:v>
      </ns0:c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 t="inlineStr">
        <ns0:is>
          <ns0:t>住宿费</ns0:t>
        </ns0:is>
      </ns0:c>
      <ns0:c r="C82" s="3">
        <ns0:f>'销售费用'!C82+'管理费用'!C82+'蓝恐龙费用'!C82</ns0:f>
        <ns0:v>953.61</ns0:v>
      </ns0:c>
      <ns0:c r="D82" s="3">
        <ns0:f>'销售费用'!D82+'管理费用'!D82+'蓝恐龙费用'!D82</ns0:f>
        <ns0:v>559.01</ns0:v>
      </ns0:c>
      <ns0:c r="E82" s="3">
        <ns0:f>'销售费用'!E82+'管理费用'!E82+'蓝恐龙费用'!E82</ns0:f>
        <ns0:v>978.46</ns0:v>
      </ns0:c>
      <ns0:c r="F82" s="3">
        <ns0:f>'销售费用'!F82+'管理费用'!F82+'蓝恐龙费用'!F82</ns0:f>
        <ns0:v>569.11</ns0:v>
      </ns0:c>
      <ns0:c r="G82" s="3">
        <ns0:f>'销售费用'!G82+'管理费用'!G82+'蓝恐龙费用'!G82</ns0:f>
        <ns0:v>1118.86</ns0:v>
      </ns0:c>
      <ns0:c r="H82" s="3">
        <ns0:f>'销售费用'!H82+'管理费用'!H82+'蓝恐龙费用'!H82</ns0:f>
        <ns0:v>506.06</ns0:v>
      </ns0:c>
      <ns0:c r="I82" s="3">
        <ns0:f>'销售费用'!I82+'管理费用'!I82+'蓝恐龙费用'!I82</ns0:f>
        <ns0:v>412.52</ns0:v>
      </ns0:c>
      <ns0:c r="J82" s="3">
        <ns0:f>'销售费用'!J82+'管理费用'!J82+'蓝恐龙费用'!J82</ns0:f>
        <ns0:v>956.84</ns0:v>
      </ns0:c>
      <ns0:c r="K82" s="3">
        <ns0:f>'销售费用'!K82+'管理费用'!K82+'蓝恐龙费用'!K82</ns0:f>
        <ns0:v>621.72</ns0:v>
      </ns0:c>
      <ns0:c r="L82" s="3">
        <ns0:f>'销售费用'!L82+'管理费用'!L82+'蓝恐龙费用'!L82</ns0:f>
        <ns0:v>1095.84</ns0:v>
      </ns0:c>
      <ns0:c r="M82" s="3">
        <ns0:f>'销售费用'!M82+'管理费用'!M82+'蓝恐龙费用'!M82</ns0:f>
        <ns0:v>647.00</ns0:v>
      </ns0:c>
      <ns0:c r="N82" s="3">
        <ns0:f>'销售费用'!N82+'管理费用'!N82+'蓝恐龙费用'!N82</ns0:f>
        <ns0:v>666.92</ns0:v>
      </ns0:c>
      <ns0:c r="O82" s="3">
        <ns0:f>SUM(C82:N82)</ns0:f>
        <ns0:v>9085.95</ns0:v>
      </ns0:c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 t="inlineStr">
        <ns0:is>
          <ns0:t>交通费</ns0:t>
        </ns0:is>
      </ns0:c>
      <ns0:c r="C83" s="3">
        <ns0:f>'销售费用'!C83+'管理费用'!C83+'蓝恐龙费用'!C83</ns0:f>
        <ns0:v>695.79</ns0:v>
      </ns0:c>
      <ns0:c r="D83" s="3">
        <ns0:f>'销售费用'!D83+'管理费用'!D83+'蓝恐龙费用'!D83</ns0:f>
        <ns0:v>589.00</ns0:v>
      </ns0:c>
      <ns0:c r="E83" s="3">
        <ns0:f>'销售费用'!E83+'管理费用'!E83+'蓝恐龙费用'!E83</ns0:f>
        <ns0:v>549.65</ns0:v>
      </ns0:c>
      <ns0:c r="F83" s="3">
        <ns0:f>'销售费用'!F83+'管理费用'!F83+'蓝恐龙费用'!F83</ns0:f>
        <ns0:v>737.27</ns0:v>
      </ns0:c>
      <ns0:c r="G83" s="3">
        <ns0:f>'销售费用'!G83+'管理费用'!G83+'蓝恐龙费用'!G83</ns0:f>
        <ns0:v>857.10</ns0:v>
      </ns0:c>
      <ns0:c r="H83" s="3">
        <ns0:f>'销售费用'!H83+'管理费用'!H83+'蓝恐龙费用'!H83</ns0:f>
        <ns0:v>739.55</ns0:v>
      </ns0:c>
      <ns0:c r="I83" s="3">
        <ns0:f>'销售费用'!I83+'管理费用'!I83+'蓝恐龙费用'!I83</ns0:f>
        <ns0:v>693.29</ns0:v>
      </ns0:c>
      <ns0:c r="J83" s="3">
        <ns0:f>'销售费用'!J83+'管理费用'!J83+'蓝恐龙费用'!J83</ns0:f>
        <ns0:v>710.04</ns0:v>
      </ns0:c>
      <ns0:c r="K83" s="3">
        <ns0:f>'销售费用'!K83+'管理费用'!K83+'蓝恐龙费用'!K83</ns0:f>
        <ns0:v>788.88</ns0:v>
      </ns0:c>
      <ns0:c r="L83" s="3">
        <ns0:f>'销售费用'!L83+'管理费用'!L83+'蓝恐龙费用'!L83</ns0:f>
        <ns0:v>748.60</ns0:v>
      </ns0:c>
      <ns0:c r="M83" s="3">
        <ns0:f>'销售费用'!M83+'管理费用'!M83+'蓝恐龙费用'!M83</ns0:f>
        <ns0:v>821.74</ns0:v>
      </ns0:c>
      <ns0:c r="N83" s="3">
        <ns0:f>'销售费用'!N83+'管理费用'!N83+'蓝恐龙费用'!N83</ns0:f>
        <ns0:v>554.69</ns0:v>
      </ns0:c>
      <ns0:c r="O83" s="3">
        <ns0:f>SUM(C83:N83)</ns0:f>
        <ns0:v>8485.60</ns0:v>
      </ns0:c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 t="inlineStr">
        <ns0:is>
          <ns0:t>差旅补贴</ns0:t>
        </ns0:is>
      </ns0:c>
      <ns0:c r="C84" s="3">
        <ns0:f>'销售费用'!C84+'管理费用'!C84+'蓝恐龙费用'!C84</ns0:f>
        <ns0:v>726.89</ns0:v>
      </ns0:c>
      <ns0:c r="D84" s="3">
        <ns0:f>'销售费用'!D84+'管理费用'!D84+'蓝恐龙费用'!D84</ns0:f>
        <ns0:v>467.00</ns0:v>
      </ns0:c>
      <ns0:c r="E84" s="3">
        <ns0:f>'销售费用'!E84+'管理费用'!E84+'蓝恐龙费用'!E84</ns0:f>
        <ns0:v>534.39</ns0:v>
      </ns0:c>
      <ns0:c r="F84" s="3">
        <ns0:f>'销售费用'!F84+'管理费用'!F84+'蓝恐龙费用'!F84</ns0:f>
        <ns0:v>412.95</ns0:v>
      </ns0:c>
      <ns0:c r="G84" s="3">
        <ns0:f>'销售费用'!G84+'管理费用'!G84+'蓝恐龙费用'!G84</ns0:f>
        <ns0:v>905.47</ns0:v>
      </ns0:c>
      <ns0:c r="H84" s="3">
        <ns0:f>'销售费用'!H84+'管理费用'!H84+'蓝恐龙费用'!H84</ns0:f>
        <ns0:v>484.03</ns0:v>
      </ns0:c>
      <ns0:c r="I84" s="3">
        <ns0:f>'销售费用'!I84+'管理费用'!I84+'蓝恐龙费用'!I84</ns0:f>
        <ns0:v>677.17</ns0:v>
      </ns0:c>
      <ns0:c r="J84" s="3">
        <ns0:f>'销售费用'!J84+'管理费用'!J84+'蓝恐龙费用'!J84</ns0:f>
        <ns0:v>618.90</ns0:v>
      </ns0:c>
      <ns0:c r="K84" s="3">
        <ns0:f>'销售费用'!K84+'管理费用'!K84+'蓝恐龙费用'!K84</ns0:f>
        <ns0:v>605.33</ns0:v>
      </ns0:c>
      <ns0:c r="L84" s="3">
        <ns0:f>'销售费用'!L84+'管理费用'!L84+'蓝恐龙费用'!L84</ns0:f>
        <ns0:v>602.09</ns0:v>
      </ns0:c>
      <ns0:c r="M84" s="3">
        <ns0:f>'销售费用'!M84+'管理费用'!M84+'蓝恐龙费用'!M84</ns0:f>
        <ns0:v>497.57</ns0:v>
      </ns0:c>
      <ns0:c r="N84" s="3">
        <ns0:f>'销售费用'!N84+'管理费用'!N84+'蓝恐龙费用'!N84</ns0:f>
        <ns0:v>685.27</ns0:v>
      </ns0:c>
      <ns0:c r="O84" s="3">
        <ns0:f>SUM(C84:N84)</ns0:f>
        <ns0:v>7217.06</ns0:v>
      </ns0:c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 t="inlineStr">
        <ns0:is>
          <ns0:t>业务招待费</ns0:t>
        </ns0:is>
      </ns0:c>
      <ns0:c r="C85" s="3">
        <ns0:f>'销售费用'!C85+'管理费用'!C85+'蓝恐龙费用'!C85</ns0:f>
        <ns0:v>860.19</ns0:v>
      </ns0:c>
      <ns0:c r="D85" s="3">
        <ns0:f>'销售费用'!D85+'管理费用'!D85+'蓝恐龙费用'!D85</ns0:f>
        <ns0:v>790.87</ns0:v>
      </ns0:c>
      <ns0:c r="E85" s="3">
        <ns0:f>'销售费用'!E85+'管理费用'!E85+'蓝恐龙费用'!E85</ns0:f>
        <ns0:v>1002.02</ns0:v>
      </ns0:c>
      <ns0:c r="F85" s="3">
        <ns0:f>'销售费用'!F85+'管理费用'!F85+'蓝恐龙费用'!F85</ns0:f>
        <ns0:v>850.72</ns0:v>
      </ns0:c>
      <ns0:c r="G85" s="3">
        <ns0:f>'销售费用'!G85+'管理费用'!G85+'蓝恐龙费用'!G85</ns0:f>
        <ns0:v>687.15</ns0:v>
      </ns0:c>
      <ns0:c r="H85" s="3">
        <ns0:f>'销售费用'!H85+'管理费用'!H85+'蓝恐龙费用'!H85</ns0:f>
        <ns0:v>750.02</ns0:v>
      </ns0:c>
      <ns0:c r="I85" s="3">
        <ns0:f>'销售费用'!I85+'管理费用'!I85+'蓝恐龙费用'!I85</ns0:f>
        <ns0:v>521.93</ns0:v>
      </ns0:c>
      <ns0:c r="J85" s="3">
        <ns0:f>'销售费用'!J85+'管理费用'!J85+'蓝恐龙费用'!J85</ns0:f>
        <ns0:v>582.02</ns0:v>
      </ns0:c>
      <ns0:c r="K85" s="3">
        <ns0:f>'销售费用'!K85+'管理费用'!K85+'蓝恐龙费用'!K85</ns0:f>
        <ns0:v>712.15</ns0:v>
      </ns0:c>
      <ns0:c r="L85" s="3">
        <ns0:f>'销售费用'!L85+'管理费用'!L85+'蓝恐龙费用'!L85</ns0:f>
        <ns0:v>800.62</ns0:v>
      </ns0:c>
      <ns0:c r="M85" s="3">
        <ns0:f>'销售费用'!M85+'管理费用'!M85+'蓝恐龙费用'!M85</ns0:f>
        <ns0:v>792.38</ns0:v>
      </ns0:c>
      <ns0:c r="N85" s="3">
        <ns0:f>'销售费用'!N85+'管理费用'!N85+'蓝恐龙费用'!N85</ns0:f>
        <ns0:v>934.37</ns0:v>
      </ns0:c>
      <ns0:c r="O85" s="3">
        <ns0:f>SUM(C85:N85)</ns0:f>
        <ns0:v>9284.44</ns0:v>
      </ns0:c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 t="inlineStr">
        <ns0:is>
          <ns0:t>市内交通费</ns0:t>
        </ns0:is>
      </ns0:c>
      <ns0:c r="C86" s="3">
        <ns0:f>'销售费用'!C86+'管理费用'!C86+'蓝恐龙费用'!C86</ns0:f>
        <ns0:v>1222.98</ns0:v>
      </ns0:c>
      <ns0:c r="D86" s="3">
        <ns0:f>'销售费用'!D86+'管理费用'!D86+'蓝恐龙费用'!D86</ns0:f>
        <ns0:v>581.30</ns0:v>
      </ns0:c>
      <ns0:c r="E86" s="3">
        <ns0:f>'销售费用'!E86+'管理费用'!E86+'蓝恐龙费用'!E86</ns0:f>
        <ns0:v>713.68</ns0:v>
      </ns0:c>
      <ns0:c r="F86" s="3">
        <ns0:f>'销售费用'!F86+'管理费用'!F86+'蓝恐龙费用'!F86</ns0:f>
        <ns0:v>870.62</ns0:v>
      </ns0:c>
      <ns0:c r="G86" s="3">
        <ns0:f>'销售费用'!G86+'管理费用'!G86+'蓝恐龙费用'!G86</ns0:f>
        <ns0:v>725.48</ns0:v>
      </ns0:c>
      <ns0:c r="H86" s="3">
        <ns0:f>'销售费用'!H86+'管理费用'!H86+'蓝恐龙费用'!H86</ns0:f>
        <ns0:v>576.75</ns0:v>
      </ns0:c>
      <ns0:c r="I86" s="3">
        <ns0:f>'销售费用'!I86+'管理费用'!I86+'蓝恐龙费用'!I86</ns0:f>
        <ns0:v>1185.17</ns0:v>
      </ns0:c>
      <ns0:c r="J86" s="3">
        <ns0:f>'销售费用'!J86+'管理费用'!J86+'蓝恐龙费用'!J86</ns0:f>
        <ns0:v>538.22</ns0:v>
      </ns0:c>
      <ns0:c r="K86" s="3">
        <ns0:f>'销售费用'!K86+'管理费用'!K86+'蓝恐龙费用'!K86</ns0:f>
        <ns0:v>869.34</ns0:v>
      </ns0:c>
      <ns0:c r="L86" s="3">
        <ns0:f>'销售费用'!L86+'管理费用'!L86+'蓝恐龙费用'!L86</ns0:f>
        <ns0:v>483.69</ns0:v>
      </ns0:c>
      <ns0:c r="M86" s="3">
        <ns0:f>'销售费用'!M86+'管理费用'!M86+'蓝恐龙费用'!M86</ns0:f>
        <ns0:v>1087.13</ns0:v>
      </ns0:c>
      <ns0:c r="N86" s="3">
        <ns0:f>'销售费用'!N86+'管理费用'!N86+'蓝恐龙费用'!N86</ns0:f>
        <ns0:v>590.85</ns0:v>
      </ns0:c>
      <ns0:c r="O86" s="3">
        <ns0:f>SUM(C86:N86)</ns0:f>
        <ns0:v>9445.21</ns0:v>
      </ns0:c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 t="inlineStr">
        <ns0:is>
          <ns0:t>调研费用</ns0:t>
        </ns0:is>
      </ns0:c>
      <ns0:c r="C87" s="3">
        <ns0:f>'销售费用'!C87+'管理费用'!C87+'蓝恐龙费用'!C87</ns0:f>
        <ns0:v>761.66</ns0:v>
      </ns0:c>
      <ns0:c r="D87" s="3">
        <ns0:f>'销售费用'!D87+'管理费用'!D87+'蓝恐龙费用'!D87</ns0:f>
        <ns0:v>643.51</ns0:v>
      </ns0:c>
      <ns0:c r="E87" s="3">
        <ns0:f>'销售费用'!E87+'管理费用'!E87+'蓝恐龙费用'!E87</ns0:f>
        <ns0:v>577.46</ns0:v>
      </ns0:c>
      <ns0:c r="F87" s="3">
        <ns0:f>'销售费用'!F87+'管理费用'!F87+'蓝恐龙费用'!F87</ns0:f>
        <ns0:v>648.09</ns0:v>
      </ns0:c>
      <ns0:c r="G87" s="3">
        <ns0:f>'销售费用'!G87+'管理费用'!G87+'蓝恐龙费用'!G87</ns0:f>
        <ns0:v>607.47</ns0:v>
      </ns0:c>
      <ns0:c r="H87" s="3">
        <ns0:f>'销售费用'!H87+'管理费用'!H87+'蓝恐龙费用'!H87</ns0:f>
        <ns0:v>555.55</ns0:v>
      </ns0:c>
      <ns0:c r="I87" s="3">
        <ns0:f>'销售费用'!I87+'管理费用'!I87+'蓝恐龙费用'!I87</ns0:f>
        <ns0:v>438.48</ns0:v>
      </ns0:c>
      <ns0:c r="J87" s="3">
        <ns0:f>'销售费用'!J87+'管理费用'!J87+'蓝恐龙费用'!J87</ns0:f>
        <ns0:v>779.15</ns0:v>
      </ns0:c>
      <ns0:c r="K87" s="3">
        <ns0:f>'销售费用'!K87+'管理费用'!K87+'蓝恐龙费用'!K87</ns0:f>
        <ns0:v>569.83</ns0:v>
      </ns0:c>
      <ns0:c r="L87" s="3">
        <ns0:f>'销售费用'!L87+'管理费用'!L87+'蓝恐龙费用'!L87</ns0:f>
        <ns0:v>398.70</ns0:v>
      </ns0:c>
      <ns0:c r="M87" s="3">
        <ns0:f>'销售费用'!M87+'管理费用'!M87+'蓝恐龙费用'!M87</ns0:f>
        <ns0:v>747.29</ns0:v>
      </ns0:c>
      <ns0:c r="N87" s="3">
        <ns0:f>'销售费用'!N87+'管理费用'!N87+'蓝恐龙费用'!N87</ns0:f>
        <ns0:v>1103.09</ns0:v>
      </ns0:c>
      <ns0:c r="O87" s="3">
        <ns0:f>SUM(C87:N87)</ns0:f>
        <ns0:v>7830.28</ns0:v>
      </ns0:c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 t="inlineStr">
        <ns0:is>
          <ns0:t>手续费</ns0:t>
        </ns0:is>
      </ns0:c>
      <ns0:c r="C88" s="3">
        <ns0:f>'销售费用'!C88+'管理费用'!C88+'蓝恐龙费用'!C88</ns0:f>
        <ns0:v>872.39</ns0:v>
      </ns0:c>
      <ns0:c r="D88" s="3">
        <ns0:f>'销售费用'!D88+'管理费用'!D88+'蓝恐龙费用'!D88</ns0:f>
        <ns0:v>439.16</ns0:v>
      </ns0:c>
      <ns0:c r="E88" s="3">
        <ns0:f>'销售费用'!E88+'管理费用'!E88+'蓝恐龙费用'!E88</ns0:f>
        <ns0:v>699.75</ns0:v>
      </ns0:c>
      <ns0:c r="F88" s="3">
        <ns0:f>'销售费用'!F88+'管理费用'!F88+'蓝恐龙费用'!F88</ns0:f>
        <ns0:v>776.18</ns0:v>
      </ns0:c>
      <ns0:c r="G88" s="3">
        <ns0:f>'销售费用'!G88+'管理费用'!G88+'蓝恐龙费用'!G88</ns0:f>
        <ns0:v>838.27</ns0:v>
      </ns0:c>
      <ns0:c r="H88" s="3">
        <ns0:f>'销售费用'!H88+'管理费用'!H88+'蓝恐龙费用'!H88</ns0:f>
        <ns0:v>619.53</ns0:v>
      </ns0:c>
      <ns0:c r="I88" s="3">
        <ns0:f>'销售费用'!I88+'管理费用'!I88+'蓝恐龙费用'!I88</ns0:f>
        <ns0:v>768.99</ns0:v>
      </ns0:c>
      <ns0:c r="J88" s="3">
        <ns0:f>'销售费用'!J88+'管理费用'!J88+'蓝恐龙费用'!J88</ns0:f>
        <ns0:v>910.62</ns0:v>
      </ns0:c>
      <ns0:c r="K88" s="3">
        <ns0:f>'销售费用'!K88+'管理费用'!K88+'蓝恐龙费用'!K88</ns0:f>
        <ns0:v>529.88</ns0:v>
      </ns0:c>
      <ns0:c r="L88" s="3">
        <ns0:f>'销售费用'!L88+'管理费用'!L88+'蓝恐龙费用'!L88</ns0:f>
        <ns0:v>535.92</ns0:v>
      </ns0:c>
      <ns0:c r="M88" s="3">
        <ns0:f>'销售费用'!M88+'管理费用'!M88+'蓝恐龙费用'!M88</ns0:f>
        <ns0:v>560.69</ns0:v>
      </ns0:c>
      <ns0:c r="N88" s="3">
        <ns0:f>'销售费用'!N88+'管理费用'!N88+'蓝恐龙费用'!N88</ns0:f>
        <ns0:v>872.42</ns0:v>
      </ns0:c>
      <ns0:c r="O88" s="3">
        <ns0:f>SUM(C88:N88)</ns0:f>
        <ns0:v>8423.80</ns0:v>
      </ns0:c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 t="inlineStr">
        <ns0:is>
          <ns0:t>利息收入</ns0:t>
        </ns0:is>
      </ns0:c>
      <ns0:c r="C89" s="3">
        <ns0:f>'销售费用'!C89+'管理费用'!C89+'蓝恐龙费用'!C89</ns0:f>
        <ns0:v>0</ns0:v>
      </ns0:c>
      <ns0:c r="D89" s="3">
        <ns0:f>'销售费用'!D89+'管理费用'!D89+'蓝恐龙费用'!D89</ns0:f>
        <ns0:v>0</ns0:v>
      </ns0:c>
      <ns0:c r="E89" s="3">
        <ns0:f>'销售费用'!E89+'管理费用'!E89+'蓝恐龙费用'!E89</ns0:f>
        <ns0:v>0</ns0:v>
      </ns0:c>
      <ns0:c r="F89" s="3">
        <ns0:f>'销售费用'!F89+'管理费用'!F89+'蓝恐龙费用'!F89</ns0:f>
        <ns0:v>0</ns0:v>
      </ns0:c>
      <ns0:c r="G89" s="3">
        <ns0:f>'销售费用'!G89+'管理费用'!G89+'蓝恐龙费用'!G89</ns0:f>
        <ns0:v>0</ns0:v>
      </ns0:c>
      <ns0:c r="H89" s="3">
        <ns0:f>'销售费用'!H89+'管理费用'!H89+'蓝恐龙费用'!H89</ns0:f>
        <ns0:v>0</ns0:v>
      </ns0:c>
      <ns0:c r="I89" s="3">
        <ns0:f>'销售费用'!I89+'管理费用'!I89+'蓝恐龙费用'!I89</ns0:f>
        <ns0:v>0</ns0:v>
      </ns0:c>
      <ns0:c r="J89" s="3">
        <ns0:f>'销售费用'!J89+'管理费用'!J89+'蓝恐龙费用'!J89</ns0:f>
        <ns0:v>0</ns0:v>
      </ns0:c>
      <ns0:c r="K89" s="3">
        <ns0:f>'销售费用'!K89+'管理费用'!K89+'蓝恐龙费用'!K89</ns0:f>
        <ns0:v>0</ns0:v>
      </ns0:c>
      <ns0:c r="L89" s="3">
        <ns0:f>'销售费用'!L89+'管理费用'!L89+'蓝恐龙费用'!L89</ns0:f>
        <ns0:v>0</ns0:v>
      </ns0:c>
      <ns0:c r="M89" s="3">
        <ns0:f>'销售费用'!M89+'管理费用'!M89+'蓝恐龙费用'!M89</ns0:f>
        <ns0:v>0</ns0:v>
      </ns0:c>
      <ns0:c r="N89" s="3">
        <ns0:f>'销售费用'!N89+'管理费用'!N89+'蓝恐龙费用'!N89</ns0:f>
        <ns0:v>0</ns0:v>
      </ns0:c>
      <ns0:c r="O89" s="3">
        <ns0:f>SUM(C89:N89)</ns0:f>
        <ns0:v>0</ns0:v>
      </ns0:c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 t="inlineStr">
        <ns0:is>
          <ns0:t>利息支出</ns0:t>
        </ns0:is>
      </ns0:c>
      <ns0:c r="C90" s="6">
        <ns0:f>'销售费用'!C90+'管理费用'!C90+'蓝恐龙费用'!C90</ns0:f>
        <ns0:v>852.79</ns0:v>
      </ns0:c>
      <ns0:c r="D90" s="6">
        <ns0:f>'销售费用'!D90+'管理费用'!D90+'蓝恐龙费用'!D90</ns0:f>
        <ns0:v>459.69</ns0:v>
      </ns0:c>
      <ns0:c r="E90" s="6">
        <ns0:f>'销售费用'!E90+'管理费用'!E90+'蓝恐龙费用'!E90</ns0:f>
        <ns0:v>450.77</ns0:v>
      </ns0:c>
      <ns0:c r="F90" s="6">
        <ns0:f>'销售费用'!F90+'管理费用'!F90+'蓝恐龙费用'!F90</ns0:f>
        <ns0:v>988.71</ns0:v>
      </ns0:c>
      <ns0:c r="G90" s="6">
        <ns0:f>'销售费用'!G90+'管理费用'!G90+'蓝恐龙费用'!G90</ns0:f>
        <ns0:v>1224.11</ns0:v>
      </ns0:c>
      <ns0:c r="H90" s="6">
        <ns0:f>'销售费用'!H90+'管理费用'!H90+'蓝恐龙费用'!H90</ns0:f>
        <ns0:v>580.89</ns0:v>
      </ns0:c>
      <ns0:c r="I90" s="6">
        <ns0:f>'销售费用'!I90+'管理费用'!I90+'蓝恐龙费用'!I90</ns0:f>
        <ns0:v>733.05</ns0:v>
      </ns0:c>
      <ns0:c r="J90" s="6">
        <ns0:f>'销售费用'!J90+'管理费用'!J90+'蓝恐龙费用'!J90</ns0:f>
        <ns0:v>393.99</ns0:v>
      </ns0:c>
      <ns0:c r="K90" s="6">
        <ns0:f>'销售费用'!K90+'管理费用'!K90+'蓝恐龙费用'!K90</ns0:f>
        <ns0:v>681.25</ns0:v>
      </ns0:c>
      <ns0:c r="L90" s="6">
        <ns0:f>'销售费用'!L90+'管理费用'!L90+'蓝恐龙费用'!L90</ns0:f>
        <ns0:v>706.52</ns0:v>
      </ns0:c>
      <ns0:c r="M90" s="6">
        <ns0:f>'销售费用'!M90+'管理费用'!M90+'蓝恐龙费用'!M90</ns0:f>
        <ns0:v>945.91</ns0:v>
      </ns0:c>
      <ns0:c r="N90" s="6">
        <ns0:f>'销售费用'!N90+'管理费用'!N90+'蓝恐龙费用'!N90</ns0:f>
        <ns0:v>400.68</ns0:v>
      </ns0:c>
      <ns0:c r="O90" s="6">
        <ns0:f>SUM(C90:N90)</ns0:f>
        <ns0:v>8418.36</ns0:v>
      </ns0:c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 t="inlineStr">
        <ns0:is>
          <ns0:t>车船税</ns0:t>
        </ns0:is>
      </ns0:c>
      <ns0:c r="C91" s="3">
        <ns0:f>'销售费用'!C91+'管理费用'!C91+'蓝恐龙费用'!C91</ns0:f>
        <ns0:v>1147.36</ns0:v>
      </ns0:c>
      <ns0:c r="D91" s="3">
        <ns0:f>'销售费用'!D91+'管理费用'!D91+'蓝恐龙费用'!D91</ns0:f>
        <ns0:v>793.00</ns0:v>
      </ns0:c>
      <ns0:c r="E91" s="3">
        <ns0:f>'销售费用'!E91+'管理费用'!E91+'蓝恐龙费用'!E91</ns0:f>
        <ns0:v>1109.16</ns0:v>
      </ns0:c>
      <ns0:c r="F91" s="3">
        <ns0:f>'销售费用'!F91+'管理费用'!F91+'蓝恐龙费用'!F91</ns0:f>
        <ns0:v>737.19</ns0:v>
      </ns0:c>
      <ns0:c r="G91" s="3">
        <ns0:f>'销售费用'!G91+'管理费用'!G91+'蓝恐龙费用'!G91</ns0:f>
        <ns0:v>745.62</ns0:v>
      </ns0:c>
      <ns0:c r="H91" s="3">
        <ns0:f>'销售费用'!H91+'管理费用'!H91+'蓝恐龙费用'!H91</ns0:f>
        <ns0:v>607.92</ns0:v>
      </ns0:c>
      <ns0:c r="I91" s="3">
        <ns0:f>'销售费用'!I91+'管理费用'!I91+'蓝恐龙费用'!I91</ns0:f>
        <ns0:v>372.07</ns0:v>
      </ns0:c>
      <ns0:c r="J91" s="3">
        <ns0:f>'销售费用'!J91+'管理费用'!J91+'蓝恐龙费用'!J91</ns0:f>
        <ns0:v>536.11</ns0:v>
      </ns0:c>
      <ns0:c r="K91" s="3">
        <ns0:f>'销售费用'!K91+'管理费用'!K91+'蓝恐龙费用'!K91</ns0:f>
        <ns0:v>830.84</ns0:v>
      </ns0:c>
      <ns0:c r="L91" s="3">
        <ns0:f>'销售费用'!L91+'管理费用'!L91+'蓝恐龙费用'!L91</ns0:f>
        <ns0:v>436.34</ns0:v>
      </ns0:c>
      <ns0:c r="M91" s="3">
        <ns0:f>'销售费用'!M91+'管理费用'!M91+'蓝恐龙费用'!M91</ns0:f>
        <ns0:v>793.98</ns0:v>
      </ns0:c>
      <ns0:c r="N91" s="3">
        <ns0:f>'销售费用'!N91+'管理费用'!N91+'蓝恐龙费用'!N91</ns0:f>
        <ns0:v>868.14</ns0:v>
      </ns0:c>
      <ns0:c r="O91" s="3">
        <ns0:f>SUM(C91:N91)</ns0:f>
        <ns0:v>8977.73</ns0:v>
      </ns0:c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 t="inlineStr">
        <ns0:is>
          <ns0:t>印花税</ns0:t>
        </ns0:is>
      </ns0:c>
      <ns0:c r="C92" s="3">
        <ns0:f>'销售费用'!C92+'管理费用'!C92+'蓝恐龙费用'!C92</ns0:f>
        <ns0:v>360.74</ns0:v>
      </ns0:c>
      <ns0:c r="D92" s="3">
        <ns0:f>'销售费用'!D92+'管理费用'!D92+'蓝恐龙费用'!D92</ns0:f>
        <ns0:v>827.69</ns0:v>
      </ns0:c>
      <ns0:c r="E92" s="3">
        <ns0:f>'销售费用'!E92+'管理费用'!E92+'蓝恐龙费用'!E92</ns0:f>
        <ns0:v>657.68</ns0:v>
      </ns0:c>
      <ns0:c r="F92" s="3">
        <ns0:f>'销售费用'!F92+'管理费用'!F92+'蓝恐龙费用'!F92</ns0:f>
        <ns0:v>1153.08</ns0:v>
      </ns0:c>
      <ns0:c r="G92" s="3">
        <ns0:f>'销售费用'!G92+'管理费用'!G92+'蓝恐龙费用'!G92</ns0:f>
        <ns0:v>779.71</ns0:v>
      </ns0:c>
      <ns0:c r="H92" s="3">
        <ns0:f>'销售费用'!H92+'管理费用'!H92+'蓝恐龙费用'!H92</ns0:f>
        <ns0:v>637.45</ns0:v>
      </ns0:c>
      <ns0:c r="I92" s="3">
        <ns0:f>'销售费用'!I92+'管理费用'!I92+'蓝恐龙费用'!I92</ns0:f>
        <ns0:v>700.98</ns0:v>
      </ns0:c>
      <ns0:c r="J92" s="3">
        <ns0:f>'销售费用'!J92+'管理费用'!J92+'蓝恐龙费用'!J92</ns0:f>
        <ns0:v>600.80</ns0:v>
      </ns0:c>
      <ns0:c r="K92" s="3">
        <ns0:f>'销售费用'!K92+'管理费用'!K92+'蓝恐龙费用'!K92</ns0:f>
        <ns0:v>482.35</ns0:v>
      </ns0:c>
      <ns0:c r="L92" s="3">
        <ns0:f>'销售费用'!L92+'管理费用'!L92+'蓝恐龙费用'!L92</ns0:f>
        <ns0:v>1003.15</ns0:v>
      </ns0:c>
      <ns0:c r="M92" s="3">
        <ns0:f>'销售费用'!M92+'管理费用'!M92+'蓝恐龙费用'!M92</ns0:f>
        <ns0:v>545.83</ns0:v>
      </ns0:c>
      <ns0:c r="N92" s="3">
        <ns0:f>'销售费用'!N92+'管理费用'!N92+'蓝恐龙费用'!N92</ns0:f>
        <ns0:v>792.04</ns0:v>
      </ns0:c>
      <ns0:c r="O92" s="3">
        <ns0:f>SUM(C92:N92)</ns0:f>
        <ns0:v>8541.50</ns0:v>
      </ns0:c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 t="inlineStr">
        <ns0:is>
          <ns0:t>其他</ns0:t>
        </ns0:is>
      </ns0:c>
      <ns0:c r="C93" s="3">
        <ns0:f>'销售费用'!C93+'管理费用'!C93+'蓝恐龙费用'!C93</ns0:f>
        <ns0:v>384.15</ns0:v>
      </ns0:c>
      <ns0:c r="D93" s="3">
        <ns0:f>'销售费用'!D93+'管理费用'!D93+'蓝恐龙费用'!D93</ns0:f>
        <ns0:v>730.83</ns0:v>
      </ns0:c>
      <ns0:c r="E93" s="3">
        <ns0:f>'销售费用'!E93+'管理费用'!E93+'蓝恐龙费用'!E93</ns0:f>
        <ns0:v>752.81</ns0:v>
      </ns0:c>
      <ns0:c r="F93" s="3">
        <ns0:f>'销售费用'!F93+'管理费用'!F93+'蓝恐龙费用'!F93</ns0:f>
        <ns0:v>454.82</ns0:v>
      </ns0:c>
      <ns0:c r="G93" s="3">
        <ns0:f>'销售费用'!G93+'管理费用'!G93+'蓝恐龙费用'!G93</ns0:f>
        <ns0:v>712.14</ns0:v>
      </ns0:c>
      <ns0:c r="H93" s="3">
        <ns0:f>'销售费用'!H93+'管理费用'!H93+'蓝恐龙费用'!H93</ns0:f>
        <ns0:v>671.10</ns0:v>
      </ns0:c>
      <ns0:c r="I93" s="3">
        <ns0:f>'销售费用'!I93+'管理费用'!I93+'蓝恐龙费用'!I93</ns0:f>
        <ns0:v>814.21</ns0:v>
      </ns0:c>
      <ns0:c r="J93" s="3">
        <ns0:f>'销售费用'!J93+'管理费用'!J93+'蓝恐龙费用'!J93</ns0:f>
        <ns0:v>550.84</ns0:v>
      </ns0:c>
      <ns0:c r="K93" s="3">
        <ns0:f>'销售费用'!K93+'管理费用'!K93+'蓝恐龙费用'!K93</ns0:f>
        <ns0:v>377.97</ns0:v>
      </ns0:c>
      <ns0:c r="L93" s="3">
        <ns0:f>'销售费用'!L93+'管理费用'!L93+'蓝恐龙费用'!L93</ns0:f>
        <ns0:v>633.19</ns0:v>
      </ns0:c>
      <ns0:c r="M93" s="3">
        <ns0:f>'销售费用'!M93+'管理费用'!M93+'蓝恐龙费用'!M93</ns0:f>
        <ns0:v>497.05</ns0:v>
      </ns0:c>
      <ns0:c r="N93" s="3">
        <ns0:f>'销售费用'!N93+'管理费用'!N93+'蓝恐龙费用'!N93</ns0:f>
        <ns0:v>1022.55</ns0:v>
      </ns0:c>
      <ns0:c r="O93" s="3">
        <ns0:f>SUM(C93:N93)</ns0:f>
        <ns0:v>7601.66</ns0:v>
      </ns0:c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>
        <ns0:f>SUM(C64:C93)</ns0:f>
        <ns0:v>23136.95</ns0:v>
      </ns0:c>
      <ns0:c r="D94" s="3">
        <ns0:f>SUM(D64:D93)</ns0:f>
        <ns0:v>19765.29</ns0:v>
      </ns0:c>
      <ns0:c r="E94" s="3">
        <ns0:f>SUM(E64:E93)</ns0:f>
        <ns0:v>20872.85</ns0:v>
      </ns0:c>
      <ns0:c r="F94" s="3">
        <ns0:f>SUM(F64:F93)</ns0:f>
        <ns0:v>23650.18</ns0:v>
      </ns0:c>
      <ns0:c r="G94" s="3">
        <ns0:f>SUM(G64:G93)</ns0:f>
        <ns0:v>23610.94</ns0:v>
      </ns0:c>
      <ns0:c r="H94" s="3">
        <ns0:f>SUM(H64:H93)</ns0:f>
        <ns0:v>20941.68</ns0:v>
      </ns0:c>
      <ns0:c r="I94" s="3">
        <ns0:f>SUM(I64:I93)</ns0:f>
        <ns0:v>20024.60</ns0:v>
      </ns0:c>
      <ns0:c r="J94" s="3">
        <ns0:f>SUM(J64:J93)</ns0:f>
        <ns0:v>20391.73</ns0:v>
      </ns0:c>
      <ns0:c r="K94" s="3">
        <ns0:f>SUM(K64:K93)</ns0:f>
        <ns0:v>22182.78</ns0:v>
      </ns0:c>
      <ns0:c r="L94" s="3">
        <ns0:f>SUM(L64:L93)</ns0:f>
        <ns0:v>21769.54</ns0:v>
      </ns0:c>
      <ns0:c r="M94" s="3">
        <ns0:f>SUM(M64:M93)</ns0:f>
        <ns0:v>22212.39</ns0:v>
      </ns0:c>
      <ns0:c r="N94" s="3">
        <ns0:f>SUM(N64:N93)</ns0:f>
        <ns0:v>21998.03</ns0:v>
      </ns0:c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 t="inlineStr">
        <ns0:is>
          <ns0:t>预算基础月度勾稽</ns0:t>
        </ns0:is>
      </ns0:c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 t="inlineStr">
        <ns0:is>
          <ns0:t>指标</ns0:t>
        </ns0:is>
      </ns0:c>
      <ns0:c r="C180" s="3" t="inlineStr">
        <ns0:is>
          <ns0:t>参考值</ns0:t>
        </ns0:is>
      </ns0:c>
      <ns0:c r="D180" s="3" t="inlineStr">
        <ns0:is>
          <ns0:t>单位</ns0:t>
        </ns0:is>
      </ns0:c>
      <ns0:c r="E180" s="3" t="inlineStr">
        <ns0:is>
          <ns0:t>数据性质</ns0:t>
        </ns0:is>
      </ns0:c>
      <ns0:c r="F180" s="3" t="inlineStr">
        <ns0:is>
          <ns0:t>期间</ns0:t>
        </ns0:is>
      </ns0:c>
      <ns0:c r="G180" s="3" t="inlineStr">
        <ns0:is>
          <ns0:t>来源</ns0:t>
        </ns0:is>
      </ns0:c>
      <ns0:c r="H180" s="3" t="inlineStr">
        <ns0:is>
          <ns0:t>统计口径</ns0:t>
        </ns0:is>
      </ns0:c>
      <ns0:c r="I180" s="3" t="inlineStr">
        <ns0:is>
          <ns0:t>适用限制</ns0:t>
        </ns0:is>
      </ns0:c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 t="inlineStr">
        <ns0:is>
          <ns0:t>毛利率</ns0:t>
        </ns0:is>
      </ns0:c>
      <ns0:c r="C181" s="4">
        <ns0:v>11.25</ns0:v>
      </ns0:c>
      <ns0:c r="D181" s="3" t="inlineStr">
        <ns0:is>
          <ns0:t>%</ns0:t>
        </ns0:is>
      </ns0:c>
      <ns0:c r="E181" s="3" t="inlineStr">
        <ns0:is>
          <ns0:t>构造参考值</ns0:t>
        </ns0:is>
      </ns0:c>
      <ns0:c r="F181" s="3" t="inlineStr">
        <ns0:is>
          <ns0:t>2027</ns0:t>
        </ns0:is>
      </ns0:c>
      <ns0:c r="G181" s="3" t="inlineStr">
        <ns0:is>
          <ns0:t>确定性演示生成器</ns0:t>
        </ns0:is>
      </ns0:c>
      <ns0:c r="H181" s="3" t="inlineStr">
        <ns0:is>
          <ns0:t>演示参数，无统计总体</ns0:t>
        </ns0:is>
      </ns0:c>
      <ns0:c r="I181" s="3" t="inlineStr">
        <ns0:is>
          <ns0:t>不可作为真实行业均值</ns0:t>
        </ns0:is>
      </ns0:c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 t="inlineStr">
        <ns0:is>
          <ns0:t>采购成本变动率</ns0:t>
        </ns0:is>
      </ns0:c>
      <ns0:c r="C182" s="4">
        <ns0:v>21.34</ns0:v>
      </ns0:c>
      <ns0:c r="D182" s="3" t="inlineStr">
        <ns0:is>
          <ns0:t>%</ns0:t>
        </ns0:is>
      </ns0:c>
      <ns0:c r="E182" s="3" t="inlineStr">
        <ns0:is>
          <ns0:t>构造参考值</ns0:t>
        </ns0:is>
      </ns0:c>
      <ns0:c r="F182" s="3" t="inlineStr">
        <ns0:is>
          <ns0:t>2027</ns0:t>
        </ns0:is>
      </ns0:c>
      <ns0:c r="G182" s="3" t="inlineStr">
        <ns0:is>
          <ns0:t>确定性演示生成器</ns0:t>
        </ns0:is>
      </ns0:c>
      <ns0:c r="H182" s="3" t="inlineStr">
        <ns0:is>
          <ns0:t>演示参数，无统计总体</ns0:t>
        </ns0:is>
      </ns0:c>
      <ns0:c r="I182" s="3" t="inlineStr">
        <ns0:is>
          <ns0:t>不可作为真实行业均值</ns0:t>
        </ns0:is>
      </ns0:c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 t="inlineStr">
        <ns0:is>
          <ns0:t>产能利用率</ns0:t>
        </ns0:is>
      </ns0:c>
      <ns0:c r="C183" s="4">
        <ns0:v>20.47</ns0:v>
      </ns0:c>
      <ns0:c r="D183" s="3" t="inlineStr">
        <ns0:is>
          <ns0:t>%</ns0:t>
        </ns0:is>
      </ns0:c>
      <ns0:c r="E183" s="3" t="inlineStr">
        <ns0:is>
          <ns0:t>构造参考值</ns0:t>
        </ns0:is>
      </ns0:c>
      <ns0:c r="F183" s="3" t="inlineStr">
        <ns0:is>
          <ns0:t>2027</ns0:t>
        </ns0:is>
      </ns0:c>
      <ns0:c r="G183" s="3" t="inlineStr">
        <ns0:is>
          <ns0:t>确定性演示生成器</ns0:t>
        </ns0:is>
      </ns0:c>
      <ns0:c r="H183" s="3" t="inlineStr">
        <ns0:is>
          <ns0:t>演示参数，无统计总体</ns0:t>
        </ns0:is>
      </ns0:c>
      <ns0:c r="I183" s="3" t="inlineStr">
        <ns0:is>
          <ns0:t>不可作为真实行业均值</ns0:t>
        </ns0:is>
      </ns0:c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 t="inlineStr">
        <ns0:is>
          <ns0:t>费用阈值</ns0:t>
        </ns0:is>
      </ns0:c>
      <ns0:c r="C184" s="4">
        <ns0:v>16.59</ns0:v>
      </ns0:c>
      <ns0:c r="D184" s="3" t="inlineStr">
        <ns0:is>
          <ns0:t>%</ns0:t>
        </ns0:is>
      </ns0:c>
      <ns0:c r="E184" s="3" t="inlineStr">
        <ns0:is>
          <ns0:t>构造参考值</ns0:t>
        </ns0:is>
      </ns0:c>
      <ns0:c r="F184" s="3" t="inlineStr">
        <ns0:is>
          <ns0:t>2027</ns0:t>
        </ns0:is>
      </ns0:c>
      <ns0:c r="G184" s="3" t="inlineStr">
        <ns0:is>
          <ns0:t>确定性演示生成器</ns0:t>
        </ns0:is>
      </ns0:c>
      <ns0:c r="H184" s="3" t="inlineStr">
        <ns0:is>
          <ns0:t>演示参数，无统计总体</ns0:t>
        </ns0:is>
      </ns0:c>
      <ns0:c r="I184" s="3" t="inlineStr">
        <ns0:is>
          <ns0:t>不可作为真实行业均值</ns0:t>
        </ns0:is>
      </ns0:c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 t="inlineStr">
        <ns0:is>
          <ns0:t>原材料指数</ns0:t>
        </ns0:is>
      </ns0:c>
      <ns0:c r="C185" s="4">
        <ns0:v>20.36</ns0:v>
      </ns0:c>
      <ns0:c r="D185" s="3" t="inlineStr">
        <ns0:is>
          <ns0:t>指数</ns0:t>
        </ns0:is>
      </ns0:c>
      <ns0:c r="E185" s="3" t="inlineStr">
        <ns0:is>
          <ns0:t>构造参考值</ns0:t>
        </ns0:is>
      </ns0:c>
      <ns0:c r="F185" s="3" t="inlineStr">
        <ns0:is>
          <ns0:t>2027</ns0:t>
        </ns0:is>
      </ns0:c>
      <ns0:c r="G185" s="3" t="inlineStr">
        <ns0:is>
          <ns0:t>确定性演示生成器</ns0:t>
        </ns0:is>
      </ns0:c>
      <ns0:c r="H185" s="3" t="inlineStr">
        <ns0:is>
          <ns0:t>演示参数，无统计总体</ns0:t>
        </ns0:is>
      </ns0:c>
      <ns0:c r="I185" s="3" t="inlineStr">
        <ns0:is>
          <ns0:t>不可作为真实行业均值</ns0:t>
        </ns0:is>
      </ns0:c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C1"/>
    <ns0:mergeCell ref="C2:N2"/>
    <ns0:mergeCell ref="A25:B25"/>
    <ns0:mergeCell ref="A26:B26"/>
    <ns0:mergeCell ref="A27:B27"/>
    <ns0:mergeCell ref="A33:B33"/>
    <ns0:mergeCell ref="A34:B34"/>
    <ns0:mergeCell ref="A35:B35"/>
    <ns0:mergeCell ref="A36:B36"/>
    <ns0:mergeCell ref="A42:B42"/>
    <ns0:mergeCell ref="A43:B43"/>
    <ns0:mergeCell ref="A44:B44"/>
    <ns0:mergeCell ref="A45:B45"/>
    <ns0:mergeCell ref="A4:A10"/>
    <ns0:mergeCell ref="A11:A20"/>
    <ns0:mergeCell ref="A21:A24"/>
    <ns0:mergeCell ref="A29:A30"/>
    <ns0:mergeCell ref="A31:A32"/>
    <ns0:mergeCell ref="O2:O3"/>
    <ns0:mergeCell ref="A2:B3"/>
  </ns0:mergeCells>
  <ns0:pageMargins left="0.7" right="0.7" top="0.75" bottom="0.75" header="0.3" footer="0.3"/>
</ns0:worksheet>
</file>

<file path=xl/worksheets/sheet11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9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/>
      <ns0:c r="B2" s="2" t="inlineStr">
        <ns0:is>
          <ns0:t>日期</ns0:t>
        </ns0:is>
      </ns0:c>
      <ns0:c r="C2" s="3"/>
      <ns0:c r="D2" s="3"/>
      <ns0:c r="E2" s="3"/>
      <ns0:c r="F2" s="3"/>
      <ns0:c r="G2" s="3"/>
      <ns0:c r="H2" s="3" t="inlineStr">
        <ns0:is>
          <ns0:t>金额</ns0:t>
        </ns0:is>
      </ns0:c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/>
      <ns0:c r="B3" s="2"/>
      <ns0:c r="C3" s="6"/>
      <ns0:c r="D3" s="6"/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/>
      <ns0:c r="B4" s="2"/>
      <ns0:c r="C4" s="3"/>
      <ns0:c r="D4" s="3"/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/>
      <ns0:c r="B5" s="2"/>
      <ns0:c r="C5" s="3"/>
      <ns0:c r="D5" s="3"/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/>
      <ns0:c r="B6" s="2"/>
      <ns0:c r="C6" s="3"/>
      <ns0:c r="D6" s="3"/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/>
      <ns0:c r="C7" s="3"/>
      <ns0:c r="D7" s="3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2"/>
      <ns0:c r="C8" s="3"/>
      <ns0:c r="D8" s="3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实际数据状态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/>
      <ns0:c r="AY16" s="2"/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蓝色为输入参数；实际数为占位；金额单位：元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 t="inlineStr">
        <ns0:is>
          <ns0:t>摘要</ns0:t>
        </ns0:is>
      </ns0:c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 t="inlineStr">
        <ns0:is>
          <ns0:t>合计</ns0:t>
        </ns0:is>
      </ns0:c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 t="inlineStr">
        <ns0:is>
          <ns0:t>预算基础内部底稿</ns0:t>
        </ns0:is>
      </ns0:c>
      <ns0:c r="C30" s="6"/>
      <ns0:c r="D30" s="6"/>
      <ns0:c r="E30" s="6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2" t="inlineStr">
        <ns0:is>
          <ns0:t>摊销资产原值</ns0:t>
        </ns0:is>
      </ns0:c>
      <ns0:c r="C31" s="4">
        <ns0:v>90205.04</ns0:v>
      </ns0:c>
      <ns0:c r="D31" s="3">
        <ns0:f>$C$31</ns0:f>
        <ns0:v>90205.04</ns0:v>
      </ns0:c>
      <ns0:c r="E31" s="3">
        <ns0:f>$C$31</ns0:f>
        <ns0:v>90205.04</ns0:v>
      </ns0:c>
      <ns0:c r="F31" s="3">
        <ns0:f>$C$31</ns0:f>
        <ns0:v>90205.04</ns0:v>
      </ns0:c>
      <ns0:c r="G31" s="3">
        <ns0:f>$C$31</ns0:f>
        <ns0:v>90205.04</ns0:v>
      </ns0:c>
      <ns0:c r="H31" s="3">
        <ns0:f>$C$31</ns0:f>
        <ns0:v>90205.04</ns0:v>
      </ns0:c>
      <ns0:c r="I31" s="3">
        <ns0:f>$C$31</ns0:f>
        <ns0:v>90205.04</ns0:v>
      </ns0:c>
      <ns0:c r="J31" s="3">
        <ns0:f>$C$31</ns0:f>
        <ns0:v>90205.04</ns0:v>
      </ns0:c>
      <ns0:c r="K31" s="3">
        <ns0:f>$C$31</ns0:f>
        <ns0:v>90205.04</ns0:v>
      </ns0:c>
      <ns0:c r="L31" s="3">
        <ns0:f>$C$31</ns0:f>
        <ns0:v>90205.04</ns0:v>
      </ns0:c>
      <ns0:c r="M31" s="3">
        <ns0:f>$C$31</ns0:f>
        <ns0:v>90205.04</ns0:v>
      </ns0:c>
      <ns0:c r="N31" s="3">
        <ns0:f>$C$31</ns0:f>
        <ns0:v>90205.04</ns0:v>
      </ns0:c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摊销月数</ns0:t>
        </ns0:is>
      </ns0:c>
      <ns0:c r="C32" s="4">
        <ns0:v>47</ns0:v>
      </ns0:c>
      <ns0:c r="D32" s="3">
        <ns0:f>$C$32</ns0:f>
        <ns0:v>47</ns0:v>
      </ns0:c>
      <ns0:c r="E32" s="3">
        <ns0:f>$C$32</ns0:f>
        <ns0:v>47</ns0:v>
      </ns0:c>
      <ns0:c r="F32" s="3">
        <ns0:f>$C$32</ns0:f>
        <ns0:v>47</ns0:v>
      </ns0:c>
      <ns0:c r="G32" s="3">
        <ns0:f>$C$32</ns0:f>
        <ns0:v>47</ns0:v>
      </ns0:c>
      <ns0:c r="H32" s="3">
        <ns0:f>$C$32</ns0:f>
        <ns0:v>47</ns0:v>
      </ns0:c>
      <ns0:c r="I32" s="3">
        <ns0:f>$C$32</ns0:f>
        <ns0:v>47</ns0:v>
      </ns0:c>
      <ns0:c r="J32" s="3">
        <ns0:f>$C$32</ns0:f>
        <ns0:v>47</ns0:v>
      </ns0:c>
      <ns0:c r="K32" s="3">
        <ns0:f>$C$32</ns0:f>
        <ns0:v>47</ns0:v>
      </ns0:c>
      <ns0:c r="L32" s="3">
        <ns0:f>$C$32</ns0:f>
        <ns0:v>47</ns0:v>
      </ns0:c>
      <ns0:c r="M32" s="3">
        <ns0:f>$C$32</ns0:f>
        <ns0:v>47</ns0:v>
      </ns0:c>
      <ns0:c r="N32" s="3">
        <ns0:f>$C$32</ns0:f>
        <ns0:v>47</ns0:v>
      </ns0:c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2" t="inlineStr">
        <ns0:is>
          <ns0:t>本月摊销</ns0:t>
        </ns0:is>
      </ns0:c>
      <ns0:c r="C33" s="3">
        <ns0:f>ROUND(C31/C32,2)</ns0:f>
        <ns0:v>1919.26</ns0:v>
      </ns0:c>
      <ns0:c r="D33" s="3">
        <ns0:f>ROUND(D31/D32,2)</ns0:f>
        <ns0:v>1919.26</ns0:v>
      </ns0:c>
      <ns0:c r="E33" s="3">
        <ns0:f>ROUND(E31/E32,2)</ns0:f>
        <ns0:v>1919.26</ns0:v>
      </ns0:c>
      <ns0:c r="F33" s="3">
        <ns0:f>ROUND(F31/F32,2)</ns0:f>
        <ns0:v>1919.26</ns0:v>
      </ns0:c>
      <ns0:c r="G33" s="3">
        <ns0:f>ROUND(G31/G32,2)</ns0:f>
        <ns0:v>1919.26</ns0:v>
      </ns0:c>
      <ns0:c r="H33" s="3">
        <ns0:f>ROUND(H31/H32,2)</ns0:f>
        <ns0:v>1919.26</ns0:v>
      </ns0:c>
      <ns0:c r="I33" s="3">
        <ns0:f>ROUND(I31/I32,2)</ns0:f>
        <ns0:v>1919.26</ns0:v>
      </ns0:c>
      <ns0:c r="J33" s="3">
        <ns0:f>ROUND(J31/J32,2)</ns0:f>
        <ns0:v>1919.26</ns0:v>
      </ns0:c>
      <ns0:c r="K33" s="3">
        <ns0:f>ROUND(K31/K32,2)</ns0:f>
        <ns0:v>1919.26</ns0:v>
      </ns0:c>
      <ns0:c r="L33" s="3">
        <ns0:f>ROUND(L31/L32,2)</ns0:f>
        <ns0:v>1919.26</ns0:v>
      </ns0:c>
      <ns0:c r="M33" s="3">
        <ns0:f>ROUND(M31/M32,2)</ns0:f>
        <ns0:v>1919.26</ns0:v>
      </ns0:c>
      <ns0:c r="N33" s="3">
        <ns0:f>ROUND(N31/N32,2)</ns0:f>
        <ns0:v>1919.26</ns0:v>
      </ns0:c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2" t="inlineStr">
        <ns0:is>
          <ns0:t>累计已摊销</ns0:t>
        </ns0:is>
      </ns0:c>
      <ns0:c r="C34" s="3">
        <ns0:f>SUM($C33:C33)</ns0:f>
        <ns0:v>1919.26</ns0:v>
      </ns0:c>
      <ns0:c r="D34" s="3">
        <ns0:f>SUM($C33:D33)</ns0:f>
        <ns0:v>3838.52</ns0:v>
      </ns0:c>
      <ns0:c r="E34" s="3">
        <ns0:f>SUM($C33:E33)</ns0:f>
        <ns0:v>5757.78</ns0:v>
      </ns0:c>
      <ns0:c r="F34" s="3">
        <ns0:f>SUM($C33:F33)</ns0:f>
        <ns0:v>7677.04</ns0:v>
      </ns0:c>
      <ns0:c r="G34" s="3">
        <ns0:f>SUM($C33:G33)</ns0:f>
        <ns0:v>9596.30</ns0:v>
      </ns0:c>
      <ns0:c r="H34" s="3">
        <ns0:f>SUM($C33:H33)</ns0:f>
        <ns0:v>11515.56</ns0:v>
      </ns0:c>
      <ns0:c r="I34" s="3">
        <ns0:f>SUM($C33:I33)</ns0:f>
        <ns0:v>13434.82</ns0:v>
      </ns0:c>
      <ns0:c r="J34" s="3">
        <ns0:f>SUM($C33:J33)</ns0:f>
        <ns0:v>15354.08</ns0:v>
      </ns0:c>
      <ns0:c r="K34" s="3">
        <ns0:f>SUM($C33:K33)</ns0:f>
        <ns0:v>17273.34</ns0:v>
      </ns0:c>
      <ns0:c r="L34" s="3">
        <ns0:f>SUM($C33:L33)</ns0:f>
        <ns0:v>19192.60</ns0:v>
      </ns0:c>
      <ns0:c r="M34" s="3">
        <ns0:f>SUM($C33:M33)</ns0:f>
        <ns0:v>21111.86</ns0:v>
      </ns0:c>
      <ns0:c r="N34" s="3">
        <ns0:f>SUM($C33:N33)</ns0:f>
        <ns0:v>23031.12</ns0:v>
      </ns0:c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 t="inlineStr">
        <ns0:is>
          <ns0:t>尚未摊销</ns0:t>
        </ns0:is>
      </ns0:c>
      <ns0:c r="C35" s="3">
        <ns0:f>C31-C34</ns0:f>
        <ns0:v>88285.78</ns0:v>
      </ns0:c>
      <ns0:c r="D35" s="3">
        <ns0:f>D31-D34</ns0:f>
        <ns0:v>86366.52</ns0:v>
      </ns0:c>
      <ns0:c r="E35" s="3">
        <ns0:f>E31-E34</ns0:f>
        <ns0:v>84447.26</ns0:v>
      </ns0:c>
      <ns0:c r="F35" s="3">
        <ns0:f>F31-F34</ns0:f>
        <ns0:v>82528.00</ns0:v>
      </ns0:c>
      <ns0:c r="G35" s="3">
        <ns0:f>G31-G34</ns0:f>
        <ns0:v>80608.74</ns0:v>
      </ns0:c>
      <ns0:c r="H35" s="3">
        <ns0:f>H31-H34</ns0:f>
        <ns0:v>78689.48</ns0:v>
      </ns0:c>
      <ns0:c r="I35" s="3">
        <ns0:f>I31-I34</ns0:f>
        <ns0:v>76770.22</ns0:v>
      </ns0:c>
      <ns0:c r="J35" s="3">
        <ns0:f>J31-J34</ns0:f>
        <ns0:v>74850.96</ns0:v>
      </ns0:c>
      <ns0:c r="K35" s="3">
        <ns0:f>K31-K34</ns0:f>
        <ns0:v>72931.70</ns0:v>
      </ns0:c>
      <ns0:c r="L35" s="3">
        <ns0:f>L31-L34</ns0:f>
        <ns0:v>71012.44</ns0:v>
      </ns0:c>
      <ns0:c r="M35" s="3">
        <ns0:f>M31-M34</ns0:f>
        <ns0:v>69093.18</ns0:v>
      </ns0:c>
      <ns0:c r="N35" s="3">
        <ns0:f>N31-N34</ns0:f>
        <ns0:v>67173.92</ns0:v>
      </ns0:c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2" t="inlineStr">
        <ns0:is>
          <ns0:t>摊销起始日</ns0:t>
        </ns0:is>
      </ns0:c>
      <ns0:c r="C36" s="3" t="inlineStr">
        <ns0:is>
          <ns0:t>2027-01-01</ns0:t>
        </ns0:is>
      </ns0:c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 t="inlineStr">
        <ns0:is>
          <ns0:t>实时经营内部底稿</ns0:t>
        </ns0:is>
      </ns0:c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 t="inlineStr">
        <ns0:is>
          <ns0:t>摊销资产原值</ns0:t>
        </ns0:is>
      </ns0:c>
      <ns0:c r="C91" s="4">
        <ns0:v>91763.93</ns0:v>
      </ns0:c>
      <ns0:c r="D91" s="3">
        <ns0:f>$C$91</ns0:f>
        <ns0:v>91763.93</ns0:v>
      </ns0:c>
      <ns0:c r="E91" s="3">
        <ns0:f>$C$91</ns0:f>
        <ns0:v>91763.93</ns0:v>
      </ns0:c>
      <ns0:c r="F91" s="3">
        <ns0:f>$C$91</ns0:f>
        <ns0:v>91763.93</ns0:v>
      </ns0:c>
      <ns0:c r="G91" s="3">
        <ns0:f>$C$91</ns0:f>
        <ns0:v>91763.93</ns0:v>
      </ns0:c>
      <ns0:c r="H91" s="3">
        <ns0:f>$C$91</ns0:f>
        <ns0:v>91763.93</ns0:v>
      </ns0:c>
      <ns0:c r="I91" s="3">
        <ns0:f>$C$91</ns0:f>
        <ns0:v>91763.93</ns0:v>
      </ns0:c>
      <ns0:c r="J91" s="3">
        <ns0:f>$C$91</ns0:f>
        <ns0:v>91763.93</ns0:v>
      </ns0:c>
      <ns0:c r="K91" s="3">
        <ns0:f>$C$91</ns0:f>
        <ns0:v>91763.93</ns0:v>
      </ns0:c>
      <ns0:c r="L91" s="3">
        <ns0:f>$C$91</ns0:f>
        <ns0:v>91763.93</ns0:v>
      </ns0:c>
      <ns0:c r="M91" s="3">
        <ns0:f>$C$91</ns0:f>
        <ns0:v>91763.93</ns0:v>
      </ns0:c>
      <ns0:c r="N91" s="3">
        <ns0:f>$C$91</ns0:f>
        <ns0:v>91763.93</ns0:v>
      </ns0:c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 t="inlineStr">
        <ns0:is>
          <ns0:t>摊销月数</ns0:t>
        </ns0:is>
      </ns0:c>
      <ns0:c r="C92" s="4">
        <ns0:v>49</ns0:v>
      </ns0:c>
      <ns0:c r="D92" s="3">
        <ns0:f>$C$92</ns0:f>
        <ns0:v>49</ns0:v>
      </ns0:c>
      <ns0:c r="E92" s="3">
        <ns0:f>$C$92</ns0:f>
        <ns0:v>49</ns0:v>
      </ns0:c>
      <ns0:c r="F92" s="3">
        <ns0:f>$C$92</ns0:f>
        <ns0:v>49</ns0:v>
      </ns0:c>
      <ns0:c r="G92" s="3">
        <ns0:f>$C$92</ns0:f>
        <ns0:v>49</ns0:v>
      </ns0:c>
      <ns0:c r="H92" s="3">
        <ns0:f>$C$92</ns0:f>
        <ns0:v>49</ns0:v>
      </ns0:c>
      <ns0:c r="I92" s="3">
        <ns0:f>$C$92</ns0:f>
        <ns0:v>49</ns0:v>
      </ns0:c>
      <ns0:c r="J92" s="3">
        <ns0:f>$C$92</ns0:f>
        <ns0:v>49</ns0:v>
      </ns0:c>
      <ns0:c r="K92" s="3">
        <ns0:f>$C$92</ns0:f>
        <ns0:v>49</ns0:v>
      </ns0:c>
      <ns0:c r="L92" s="3">
        <ns0:f>$C$92</ns0:f>
        <ns0:v>49</ns0:v>
      </ns0:c>
      <ns0:c r="M92" s="3">
        <ns0:f>$C$92</ns0:f>
        <ns0:v>49</ns0:v>
      </ns0:c>
      <ns0:c r="N92" s="3">
        <ns0:f>$C$92</ns0:f>
        <ns0:v>49</ns0:v>
      </ns0:c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 t="inlineStr">
        <ns0:is>
          <ns0:t>本月摊销</ns0:t>
        </ns0:is>
      </ns0:c>
      <ns0:c r="C93" s="3">
        <ns0:f>ROUND(C91/C92,2)</ns0:f>
        <ns0:v>1872.73</ns0:v>
      </ns0:c>
      <ns0:c r="D93" s="3">
        <ns0:f>ROUND(D91/D92,2)</ns0:f>
        <ns0:v>1872.73</ns0:v>
      </ns0:c>
      <ns0:c r="E93" s="3">
        <ns0:f>ROUND(E91/E92,2)</ns0:f>
        <ns0:v>1872.73</ns0:v>
      </ns0:c>
      <ns0:c r="F93" s="3">
        <ns0:f>ROUND(F91/F92,2)</ns0:f>
        <ns0:v>1872.73</ns0:v>
      </ns0:c>
      <ns0:c r="G93" s="3">
        <ns0:f>ROUND(G91/G92,2)</ns0:f>
        <ns0:v>1872.73</ns0:v>
      </ns0:c>
      <ns0:c r="H93" s="3">
        <ns0:f>ROUND(H91/H92,2)</ns0:f>
        <ns0:v>1872.73</ns0:v>
      </ns0:c>
      <ns0:c r="I93" s="3">
        <ns0:f>ROUND(I91/I92,2)</ns0:f>
        <ns0:v>1872.73</ns0:v>
      </ns0:c>
      <ns0:c r="J93" s="3">
        <ns0:f>ROUND(J91/J92,2)</ns0:f>
        <ns0:v>1872.73</ns0:v>
      </ns0:c>
      <ns0:c r="K93" s="3">
        <ns0:f>ROUND(K91/K92,2)</ns0:f>
        <ns0:v>1872.73</ns0:v>
      </ns0:c>
      <ns0:c r="L93" s="3">
        <ns0:f>ROUND(L91/L92,2)</ns0:f>
        <ns0:v>1872.73</ns0:v>
      </ns0:c>
      <ns0:c r="M93" s="3">
        <ns0:f>ROUND(M91/M92,2)</ns0:f>
        <ns0:v>1872.73</ns0:v>
      </ns0:c>
      <ns0:c r="N93" s="3">
        <ns0:f>ROUND(N91/N92,2)</ns0:f>
        <ns0:v>1872.73</ns0:v>
      </ns0:c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 t="inlineStr">
        <ns0:is>
          <ns0:t>累计已摊销</ns0:t>
        </ns0:is>
      </ns0:c>
      <ns0:c r="C94" s="3">
        <ns0:f>SUM($C93:C93)</ns0:f>
        <ns0:v>1872.73</ns0:v>
      </ns0:c>
      <ns0:c r="D94" s="3">
        <ns0:f>SUM($C93:D93)</ns0:f>
        <ns0:v>3745.46</ns0:v>
      </ns0:c>
      <ns0:c r="E94" s="3">
        <ns0:f>SUM($C93:E93)</ns0:f>
        <ns0:v>5618.19</ns0:v>
      </ns0:c>
      <ns0:c r="F94" s="3">
        <ns0:f>SUM($C93:F93)</ns0:f>
        <ns0:v>7490.92</ns0:v>
      </ns0:c>
      <ns0:c r="G94" s="3">
        <ns0:f>SUM($C93:G93)</ns0:f>
        <ns0:v>9363.65</ns0:v>
      </ns0:c>
      <ns0:c r="H94" s="3">
        <ns0:f>SUM($C93:H93)</ns0:f>
        <ns0:v>11236.38</ns0:v>
      </ns0:c>
      <ns0:c r="I94" s="3">
        <ns0:f>SUM($C93:I93)</ns0:f>
        <ns0:v>13109.11</ns0:v>
      </ns0:c>
      <ns0:c r="J94" s="3">
        <ns0:f>SUM($C93:J93)</ns0:f>
        <ns0:v>14981.84</ns0:v>
      </ns0:c>
      <ns0:c r="K94" s="3">
        <ns0:f>SUM($C93:K93)</ns0:f>
        <ns0:v>16854.57</ns0:v>
      </ns0:c>
      <ns0:c r="L94" s="3">
        <ns0:f>SUM($C93:L93)</ns0:f>
        <ns0:v>18727.30</ns0:v>
      </ns0:c>
      <ns0:c r="M94" s="3">
        <ns0:f>SUM($C93:M93)</ns0:f>
        <ns0:v>20600.03</ns0:v>
      </ns0:c>
      <ns0:c r="N94" s="3">
        <ns0:f>SUM($C93:N93)</ns0:f>
        <ns0:v>22472.76</ns0:v>
      </ns0:c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 t="inlineStr">
        <ns0:is>
          <ns0:t>尚未摊销</ns0:t>
        </ns0:is>
      </ns0:c>
      <ns0:c r="C95" s="3">
        <ns0:f>C91-C94</ns0:f>
        <ns0:v>89891.20</ns0:v>
      </ns0:c>
      <ns0:c r="D95" s="3">
        <ns0:f>D91-D94</ns0:f>
        <ns0:v>88018.47</ns0:v>
      </ns0:c>
      <ns0:c r="E95" s="3">
        <ns0:f>E91-E94</ns0:f>
        <ns0:v>86145.74</ns0:v>
      </ns0:c>
      <ns0:c r="F95" s="3">
        <ns0:f>F91-F94</ns0:f>
        <ns0:v>84273.01</ns0:v>
      </ns0:c>
      <ns0:c r="G95" s="3">
        <ns0:f>G91-G94</ns0:f>
        <ns0:v>82400.28</ns0:v>
      </ns0:c>
      <ns0:c r="H95" s="3">
        <ns0:f>H91-H94</ns0:f>
        <ns0:v>80527.55</ns0:v>
      </ns0:c>
      <ns0:c r="I95" s="3">
        <ns0:f>I91-I94</ns0:f>
        <ns0:v>78654.82</ns0:v>
      </ns0:c>
      <ns0:c r="J95" s="3">
        <ns0:f>J91-J94</ns0:f>
        <ns0:v>76782.09</ns0:v>
      </ns0:c>
      <ns0:c r="K95" s="3">
        <ns0:f>K91-K94</ns0:f>
        <ns0:v>74909.36</ns0:v>
      </ns0:c>
      <ns0:c r="L95" s="3">
        <ns0:f>L91-L94</ns0:f>
        <ns0:v>73036.63</ns0:v>
      </ns0:c>
      <ns0:c r="M95" s="3">
        <ns0:f>M91-M94</ns0:f>
        <ns0:v>71163.90</ns0:v>
      </ns0:c>
      <ns0:c r="N95" s="3">
        <ns0:f>N91-N94</ns0:f>
        <ns0:v>69291.17</ns0:v>
      </ns0:c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 t="inlineStr">
        <ns0:is>
          <ns0:t>摊销起始日</ns0:t>
        </ns0:is>
      </ns0:c>
      <ns0:c r="C96" s="3" t="inlineStr">
        <ns0:is>
          <ns0:t>2027-01-01</ns0:t>
        </ns0:is>
      </ns0:c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pageMargins left="0.7" right="0.7" top="0.75" bottom="0.75" header="0.3" footer="0.3"/>
</ns0:worksheet>
</file>

<file path=xl/worksheets/sheet12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25.7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摘要</ns0:t>
        </ns0:is>
      </ns0:c>
      <ns0:c r="B1" s="2" t="inlineStr">
        <ns0:is>
          <ns0:t>科目</ns0:t>
        </ns0:is>
      </ns0:c>
      <ns0:c r="C1" s="3" t="inlineStr">
        <ns0:is>
          <ns0:t>借方</ns0:t>
        </ns0:is>
      </ns0:c>
      <ns0:c r="D1" s="3" t="inlineStr">
        <ns0:is>
          <ns0:t>贷方</ns0:t>
        </ns0:is>
      </ns0:c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/>
      <ns0:c r="B2" s="2" t="inlineStr">
        <ns0:is>
          <ns0:t>管理费用</ns0:t>
        </ns0:is>
      </ns0:c>
      <ns0:c r="C2" s="3"/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/>
      <ns0:c r="B3" s="2"/>
      <ns0:c r="C3" s="6"/>
      <ns0:c r="D3" s="6"/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/>
      <ns0:c r="B4" s="2"/>
      <ns0:c r="C4" s="3"/>
      <ns0:c r="D4" s="3"/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/>
      <ns0:c r="B5" s="2"/>
      <ns0:c r="C5" s="3"/>
      <ns0:c r="D5" s="3"/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/>
      <ns0:c r="B6" s="2"/>
      <ns0:c r="C6" s="3"/>
      <ns0:c r="D6" s="3"/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/>
      <ns0:c r="C7" s="3"/>
      <ns0:c r="D7" s="3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2" t="inlineStr">
        <ns0:is>
          <ns0:t>财务费用</ns0:t>
        </ns0:is>
      </ns0:c>
      <ns0:c r="C8" s="3"/>
      <ns0:c r="D8" s="3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 t="inlineStr">
        <ns0:is>
          <ns0:t>财务费用</ns0:t>
        </ns0:is>
      </ns0:c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 t="inlineStr">
        <ns0:is>
          <ns0:t>财务费用</ns0:t>
        </ns0:is>
      </ns0:c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实际数据状态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/>
      <ns0:c r="AY16" s="2"/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蓝色为输入参数；实际数为占位；金额单位：元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 t="inlineStr">
        <ns0:is>
          <ns0:t>财务费用</ns0:t>
        </ns0:is>
      </ns0:c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/>
      <ns0:c r="C30" s="6"/>
      <ns0:c r="D30" s="6"/>
      <ns0:c r="E30" s="6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2"/>
      <ns0:c r="C31" s="3"/>
      <ns0:c r="D31" s="3"/>
      <ns0:c r="E31" s="3"/>
      <ns0:c r="F31" s="3"/>
      <ns0:c r="G31" s="3"/>
      <ns0:c r="H31" s="3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财务费用</ns0:t>
        </ns0:is>
      </ns0:c>
      <ns0:c r="C32" s="3"/>
      <ns0:c r="D32" s="3"/>
      <ns0:c r="E32" s="3"/>
      <ns0:c r="F32" s="3"/>
      <ns0:c r="G32" s="3"/>
      <ns0:c r="H32" s="3"/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2" t="inlineStr">
        <ns0:is>
          <ns0:t>管理费用</ns0:t>
        </ns0:is>
      </ns0:c>
      <ns0:c r="C33" s="3"/>
      <ns0:c r="D33" s="3"/>
      <ns0:c r="E33" s="3"/>
      <ns0:c r="F33" s="3"/>
      <ns0:c r="G33" s="3"/>
      <ns0:c r="H33" s="3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2"/>
      <ns0:c r="C34" s="3"/>
      <ns0:c r="D34" s="3"/>
      <ns0:c r="E34" s="3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 t="inlineStr">
        <ns0:is>
          <ns0:t>管理费用</ns0:t>
        </ns0:is>
      </ns0:c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 t="inlineStr">
        <ns0:is>
          <ns0:t>管理费用</ns0:t>
        </ns0:is>
      </ns0:c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 t="inlineStr">
        <ns0:is>
          <ns0:t>管理费用</ns0:t>
        </ns0:is>
      </ns0:c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 t="inlineStr">
        <ns0:is>
          <ns0:t>管理费用</ns0:t>
        </ns0:is>
      </ns0:c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 t="inlineStr">
        <ns0:is>
          <ns0:t>管理费用</ns0:t>
        </ns0:is>
      </ns0:c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 t="inlineStr">
        <ns0:is>
          <ns0:t>管理费用</ns0:t>
        </ns0:is>
      </ns0:c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 t="inlineStr">
        <ns0:is>
          <ns0:t>利息支出</ns0:t>
        </ns0:is>
      </ns0:c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 t="inlineStr">
        <ns0:is>
          <ns0:t>财务费用</ns0:t>
        </ns0:is>
      </ns0:c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 t="inlineStr">
        <ns0:is>
          <ns0:t>期间</ns0:t>
        </ns0:is>
      </ns0:c>
      <ns0:c r="B150" s="2" t="inlineStr">
        <ns0:is>
          <ns0:t>科目</ns0:t>
        </ns0:is>
      </ns0:c>
      <ns0:c r="C150" s="3" t="inlineStr">
        <ns0:is>
          <ns0:t>借方</ns0:t>
        </ns0:is>
      </ns0:c>
      <ns0:c r="D150" s="3" t="inlineStr">
        <ns0:is>
          <ns0:t>贷方</ns0:t>
        </ns0:is>
      </ns0:c>
      <ns0:c r="E150" s="3" t="inlineStr">
        <ns0:is>
          <ns0:t>说明</ns0:t>
        </ns0:is>
      </ns0:c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 t="inlineStr">
        <ns0:is>
          <ns0:t>2027-01</ns0:t>
        </ns0:is>
      </ns0:c>
      <ns0:c r="B151" s="2" t="inlineStr">
        <ns0:is>
          <ns0:t>银行存款</ns0:t>
        </ns0:is>
      </ns0:c>
      <ns0:c r="C151" s="3">
        <ns0:f>'利润表'!C121</ns0:f>
        <ns0:v>461817.28</ns0:v>
      </ns0:c>
      <ns0:c r="D151" s="3">
        <ns0:f>0</ns0:f>
        <ns0:v>0</ns0:v>
      </ns0:c>
      <ns0:c r="E151" s="3" t="inlineStr">
        <ns0:is>
          <ns0:t>占位收入分录，非完整总账</ns0:t>
        </ns0:is>
      </ns0:c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 t="inlineStr">
        <ns0:is>
          <ns0:t>主营业务收入</ns0:t>
        </ns0:is>
      </ns0:c>
      <ns0:c r="C152" s="3">
        <ns0:f>0</ns0:f>
        <ns0:v>0</ns0:v>
      </ns0:c>
      <ns0:c r="D152" s="3">
        <ns0:f>C151</ns0:f>
        <ns0:v>461817.28</ns0:v>
      </ns0:c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 t="inlineStr">
        <ns0:is>
          <ns0:t>2027-02</ns0:t>
        </ns0:is>
      </ns0:c>
      <ns0:c r="B153" s="2" t="inlineStr">
        <ns0:is>
          <ns0:t>银行存款</ns0:t>
        </ns0:is>
      </ns0:c>
      <ns0:c r="C153" s="3">
        <ns0:f>'利润表'!D121</ns0:f>
        <ns0:v>519372.24</ns0:v>
      </ns0:c>
      <ns0:c r="D153" s="3">
        <ns0:f>0</ns0:f>
        <ns0:v>0</ns0:v>
      </ns0:c>
      <ns0:c r="E153" s="3" t="inlineStr">
        <ns0:is>
          <ns0:t>占位收入分录，非完整总账</ns0:t>
        </ns0:is>
      </ns0:c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 t="inlineStr">
        <ns0:is>
          <ns0:t>主营业务收入</ns0:t>
        </ns0:is>
      </ns0:c>
      <ns0:c r="C154" s="3">
        <ns0:f>0</ns0:f>
        <ns0:v>0</ns0:v>
      </ns0:c>
      <ns0:c r="D154" s="3">
        <ns0:f>C153</ns0:f>
        <ns0:v>519372.24</ns0:v>
      </ns0:c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 t="inlineStr">
        <ns0:is>
          <ns0:t>2027-03</ns0:t>
        </ns0:is>
      </ns0:c>
      <ns0:c r="B155" s="2" t="inlineStr">
        <ns0:is>
          <ns0:t>银行存款</ns0:t>
        </ns0:is>
      </ns0:c>
      <ns0:c r="C155" s="3">
        <ns0:f>'利润表'!E121</ns0:f>
        <ns0:v>572520.07</ns0:v>
      </ns0:c>
      <ns0:c r="D155" s="3">
        <ns0:f>0</ns0:f>
        <ns0:v>0</ns0:v>
      </ns0:c>
      <ns0:c r="E155" s="3" t="inlineStr">
        <ns0:is>
          <ns0:t>占位收入分录，非完整总账</ns0:t>
        </ns0:is>
      </ns0:c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 t="inlineStr">
        <ns0:is>
          <ns0:t>主营业务收入</ns0:t>
        </ns0:is>
      </ns0:c>
      <ns0:c r="C156" s="3">
        <ns0:f>0</ns0:f>
        <ns0:v>0</ns0:v>
      </ns0:c>
      <ns0:c r="D156" s="3">
        <ns0:f>C155</ns0:f>
        <ns0:v>572520.07</ns0:v>
      </ns0:c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 t="inlineStr">
        <ns0:is>
          <ns0:t>2027-04</ns0:t>
        </ns0:is>
      </ns0:c>
      <ns0:c r="B157" s="2" t="inlineStr">
        <ns0:is>
          <ns0:t>银行存款</ns0:t>
        </ns0:is>
      </ns0:c>
      <ns0:c r="C157" s="3">
        <ns0:f>'利润表'!F121</ns0:f>
        <ns0:v>444683.89</ns0:v>
      </ns0:c>
      <ns0:c r="D157" s="3">
        <ns0:f>0</ns0:f>
        <ns0:v>0</ns0:v>
      </ns0:c>
      <ns0:c r="E157" s="3" t="inlineStr">
        <ns0:is>
          <ns0:t>占位收入分录，非完整总账</ns0:t>
        </ns0:is>
      </ns0:c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 t="inlineStr">
        <ns0:is>
          <ns0:t>主营业务收入</ns0:t>
        </ns0:is>
      </ns0:c>
      <ns0:c r="C158" s="3">
        <ns0:f>0</ns0:f>
        <ns0:v>0</ns0:v>
      </ns0:c>
      <ns0:c r="D158" s="3">
        <ns0:f>C157</ns0:f>
        <ns0:v>444683.89</ns0:v>
      </ns0:c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 t="inlineStr">
        <ns0:is>
          <ns0:t>2027-05</ns0:t>
        </ns0:is>
      </ns0:c>
      <ns0:c r="B159" s="2" t="inlineStr">
        <ns0:is>
          <ns0:t>银行存款</ns0:t>
        </ns0:is>
      </ns0:c>
      <ns0:c r="C159" s="3">
        <ns0:f>'利润表'!G121</ns0:f>
        <ns0:v>599770.18</ns0:v>
      </ns0:c>
      <ns0:c r="D159" s="3">
        <ns0:f>0</ns0:f>
        <ns0:v>0</ns0:v>
      </ns0:c>
      <ns0:c r="E159" s="3" t="inlineStr">
        <ns0:is>
          <ns0:t>占位收入分录，非完整总账</ns0:t>
        </ns0:is>
      </ns0:c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 t="inlineStr">
        <ns0:is>
          <ns0:t>主营业务收入</ns0:t>
        </ns0:is>
      </ns0:c>
      <ns0:c r="C160" s="3">
        <ns0:f>0</ns0:f>
        <ns0:v>0</ns0:v>
      </ns0:c>
      <ns0:c r="D160" s="3">
        <ns0:f>C159</ns0:f>
        <ns0:v>599770.18</ns0:v>
      </ns0:c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 t="inlineStr">
        <ns0:is>
          <ns0:t>2027-06</ns0:t>
        </ns0:is>
      </ns0:c>
      <ns0:c r="B161" s="2" t="inlineStr">
        <ns0:is>
          <ns0:t>银行存款</ns0:t>
        </ns0:is>
      </ns0:c>
      <ns0:c r="C161" s="3">
        <ns0:f>'利润表'!H121</ns0:f>
        <ns0:v>470593.17</ns0:v>
      </ns0:c>
      <ns0:c r="D161" s="3">
        <ns0:f>0</ns0:f>
        <ns0:v>0</ns0:v>
      </ns0:c>
      <ns0:c r="E161" s="3" t="inlineStr">
        <ns0:is>
          <ns0:t>占位收入分录，非完整总账</ns0:t>
        </ns0:is>
      </ns0:c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 t="inlineStr">
        <ns0:is>
          <ns0:t>主营业务收入</ns0:t>
        </ns0:is>
      </ns0:c>
      <ns0:c r="C162" s="3">
        <ns0:f>0</ns0:f>
        <ns0:v>0</ns0:v>
      </ns0:c>
      <ns0:c r="D162" s="3">
        <ns0:f>C161</ns0:f>
        <ns0:v>470593.17</ns0:v>
      </ns0:c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 t="inlineStr">
        <ns0:is>
          <ns0:t>2027-07</ns0:t>
        </ns0:is>
      </ns0:c>
      <ns0:c r="B163" s="2" t="inlineStr">
        <ns0:is>
          <ns0:t>银行存款</ns0:t>
        </ns0:is>
      </ns0:c>
      <ns0:c r="C163" s="3">
        <ns0:f>'利润表'!I121</ns0:f>
        <ns0:v>568075.40</ns0:v>
      </ns0:c>
      <ns0:c r="D163" s="3">
        <ns0:f>0</ns0:f>
        <ns0:v>0</ns0:v>
      </ns0:c>
      <ns0:c r="E163" s="3" t="inlineStr">
        <ns0:is>
          <ns0:t>占位收入分录，非完整总账</ns0:t>
        </ns0:is>
      </ns0:c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 t="inlineStr">
        <ns0:is>
          <ns0:t>主营业务收入</ns0:t>
        </ns0:is>
      </ns0:c>
      <ns0:c r="C164" s="3">
        <ns0:f>0</ns0:f>
        <ns0:v>0</ns0:v>
      </ns0:c>
      <ns0:c r="D164" s="3">
        <ns0:f>C163</ns0:f>
        <ns0:v>568075.40</ns0:v>
      </ns0:c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 t="inlineStr">
        <ns0:is>
          <ns0:t>2027-08</ns0:t>
        </ns0:is>
      </ns0:c>
      <ns0:c r="B165" s="2" t="inlineStr">
        <ns0:is>
          <ns0:t>银行存款</ns0:t>
        </ns0:is>
      </ns0:c>
      <ns0:c r="C165" s="3">
        <ns0:f>'利润表'!J121</ns0:f>
        <ns0:v>358123.71</ns0:v>
      </ns0:c>
      <ns0:c r="D165" s="3">
        <ns0:f>0</ns0:f>
        <ns0:v>0</ns0:v>
      </ns0:c>
      <ns0:c r="E165" s="3" t="inlineStr">
        <ns0:is>
          <ns0:t>占位收入分录，非完整总账</ns0:t>
        </ns0:is>
      </ns0:c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 t="inlineStr">
        <ns0:is>
          <ns0:t>主营业务收入</ns0:t>
        </ns0:is>
      </ns0:c>
      <ns0:c r="C166" s="3">
        <ns0:f>0</ns0:f>
        <ns0:v>0</ns0:v>
      </ns0:c>
      <ns0:c r="D166" s="3">
        <ns0:f>C165</ns0:f>
        <ns0:v>358123.71</ns0:v>
      </ns0:c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 t="inlineStr">
        <ns0:is>
          <ns0:t>2027-09</ns0:t>
        </ns0:is>
      </ns0:c>
      <ns0:c r="B167" s="2" t="inlineStr">
        <ns0:is>
          <ns0:t>银行存款</ns0:t>
        </ns0:is>
      </ns0:c>
      <ns0:c r="C167" s="3">
        <ns0:f>'利润表'!K121</ns0:f>
        <ns0:v>492894.49</ns0:v>
      </ns0:c>
      <ns0:c r="D167" s="3">
        <ns0:f>0</ns0:f>
        <ns0:v>0</ns0:v>
      </ns0:c>
      <ns0:c r="E167" s="3" t="inlineStr">
        <ns0:is>
          <ns0:t>占位收入分录，非完整总账</ns0:t>
        </ns0:is>
      </ns0:c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 t="inlineStr">
        <ns0:is>
          <ns0:t>主营业务收入</ns0:t>
        </ns0:is>
      </ns0:c>
      <ns0:c r="C168" s="3">
        <ns0:f>0</ns0:f>
        <ns0:v>0</ns0:v>
      </ns0:c>
      <ns0:c r="D168" s="3">
        <ns0:f>C167</ns0:f>
        <ns0:v>492894.49</ns0:v>
      </ns0:c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 t="inlineStr">
        <ns0:is>
          <ns0:t>2027-10</ns0:t>
        </ns0:is>
      </ns0:c>
      <ns0:c r="B169" s="2" t="inlineStr">
        <ns0:is>
          <ns0:t>银行存款</ns0:t>
        </ns0:is>
      </ns0:c>
      <ns0:c r="C169" s="3">
        <ns0:f>'利润表'!L121</ns0:f>
        <ns0:v>409280.66</ns0:v>
      </ns0:c>
      <ns0:c r="D169" s="3">
        <ns0:f>0</ns0:f>
        <ns0:v>0</ns0:v>
      </ns0:c>
      <ns0:c r="E169" s="3" t="inlineStr">
        <ns0:is>
          <ns0:t>占位收入分录，非完整总账</ns0:t>
        </ns0:is>
      </ns0:c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 t="inlineStr">
        <ns0:is>
          <ns0:t>主营业务收入</ns0:t>
        </ns0:is>
      </ns0:c>
      <ns0:c r="C170" s="3">
        <ns0:f>0</ns0:f>
        <ns0:v>0</ns0:v>
      </ns0:c>
      <ns0:c r="D170" s="3">
        <ns0:f>C169</ns0:f>
        <ns0:v>409280.66</ns0:v>
      </ns0:c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 t="inlineStr">
        <ns0:is>
          <ns0:t>2027-11</ns0:t>
        </ns0:is>
      </ns0:c>
      <ns0:c r="B171" s="2" t="inlineStr">
        <ns0:is>
          <ns0:t>银行存款</ns0:t>
        </ns0:is>
      </ns0:c>
      <ns0:c r="C171" s="3">
        <ns0:f>'利润表'!M121</ns0:f>
        <ns0:v>513664.66</ns0:v>
      </ns0:c>
      <ns0:c r="D171" s="3">
        <ns0:f>0</ns0:f>
        <ns0:v>0</ns0:v>
      </ns0:c>
      <ns0:c r="E171" s="3" t="inlineStr">
        <ns0:is>
          <ns0:t>占位收入分录，非完整总账</ns0:t>
        </ns0:is>
      </ns0:c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 t="inlineStr">
        <ns0:is>
          <ns0:t>主营业务收入</ns0:t>
        </ns0:is>
      </ns0:c>
      <ns0:c r="C172" s="3">
        <ns0:f>0</ns0:f>
        <ns0:v>0</ns0:v>
      </ns0:c>
      <ns0:c r="D172" s="3">
        <ns0:f>C171</ns0:f>
        <ns0:v>513664.66</ns0:v>
      </ns0:c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 t="inlineStr">
        <ns0:is>
          <ns0:t>2027-12</ns0:t>
        </ns0:is>
      </ns0:c>
      <ns0:c r="B173" s="2" t="inlineStr">
        <ns0:is>
          <ns0:t>银行存款</ns0:t>
        </ns0:is>
      </ns0:c>
      <ns0:c r="C173" s="3">
        <ns0:f>'利润表'!N121</ns0:f>
        <ns0:v>464374.49</ns0:v>
      </ns0:c>
      <ns0:c r="D173" s="3">
        <ns0:f>0</ns0:f>
        <ns0:v>0</ns0:v>
      </ns0:c>
      <ns0:c r="E173" s="3" t="inlineStr">
        <ns0:is>
          <ns0:t>占位收入分录，非完整总账</ns0:t>
        </ns0:is>
      </ns0:c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 t="inlineStr">
        <ns0:is>
          <ns0:t>主营业务收入</ns0:t>
        </ns0:is>
      </ns0:c>
      <ns0:c r="C174" s="3">
        <ns0:f>0</ns0:f>
        <ns0:v>0</ns0:v>
      </ns0:c>
      <ns0:c r="D174" s="3">
        <ns0:f>C173</ns0:f>
        <ns0:v>464374.49</ns0:v>
      </ns0:c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pageMargins left="0.7" right="0.7" top="0.75" bottom="0.75" header="0.3" footer="0.3"/>
</ns0:worksheet>
</file>