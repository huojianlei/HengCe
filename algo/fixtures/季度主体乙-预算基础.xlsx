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目</ns0:t>
        </ns0:is>
      </ns0:c>
      <ns0:c r="B2" s="2" t="inlineStr">
        <ns0:is>
          <ns0:t>行数</ns0:t>
        </ns0:is>
      </ns0:c>
      <ns0:c r="C2" s="3" t="inlineStr">
        <ns0:is>
          <ns0:t>主体乙 / 扩展情景</ns0:t>
        </ns0:is>
      </ns0:c>
      <ns0:c r="D2" s="3"/>
      <ns0:c r="E2" s="3"/>
      <ns0:c r="F2" s="3" t="inlineStr">
        <ns0:is>
          <ns0:t>其他主体费用计入管理费用展示</ns0:t>
        </ns0:is>
      </ns0:c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全年预算基础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一、营业收入</ns0:t>
        </ns0:is>
      </ns0:c>
      <ns0:c r="B4" s="2"/>
      <ns0:c r="C4" s="3">
        <ns0:f>SUM(C61:N61)</ns0:f>
        <ns0:v>4497829.09</ns0:v>
      </ns0:c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减：营业成本</ns0:t>
        </ns0:is>
      </ns0:c>
      <ns0:c r="B5" s="2"/>
      <ns0:c r="C5" s="3">
        <ns0:f>SUM(C62:N62)</ns0:f>
        <ns0:v>1626378.94</ns0:v>
      </ns0:c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营业税金及附加</ns0:t>
        </ns0:is>
      </ns0:c>
      <ns0:c r="B6" s="2"/>
      <ns0:c r="C6" s="3">
        <ns0:f>SUM(C63:N63)</ns0:f>
        <ns0:v>26492.20</ns0:v>
      </ns0:c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销售费用</ns0:t>
        </ns0:is>
      </ns0:c>
      <ns0:c r="B7" s="2"/>
      <ns0:c r="C7" s="3">
        <ns0:f>SUM(C64:N64)</ns0:f>
        <ns0:v>87285.71</ns0:v>
      </ns0:c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管理费用</ns0:t>
        </ns0:is>
      </ns0:c>
      <ns0:c r="B8" s="2"/>
      <ns0:c r="C8" s="3">
        <ns0:f>SUM(C65:N66)</ns0:f>
        <ns0:v>173485.97</ns0:v>
      </ns0:c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财务费用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资产减值损失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加：公允价值变动收益（损失以“-”号填列）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投资收益（损失以“-”号填列）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其中:对联营企业和合营企业的投资收益</ns0:t>
        </ns0:is>
      </ns0:c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二、营业利润（亏损以“-”号填列）</ns0:t>
        </ns0:is>
      </ns0:c>
      <ns0:c r="B14" s="2"/>
      <ns0:c r="C14" s="3">
        <ns0:f>SUM(C67:N67)</ns0:f>
        <ns0:v>2584186.27</ns0:v>
      </ns0:c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加：营业外收入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减：营业外支出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 t="inlineStr">
        <ns0:is>
          <ns0:t>其中：非流动资产处置损失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 t="inlineStr">
        <ns0:is>
          <ns0:t>三、利润总额（亏损总额以“-”号填列）</ns0:t>
        </ns0:is>
      </ns0:c>
      <ns0:c r="B18" s="2"/>
      <ns0:c r="C18" s="3">
        <ns0:f>SUM(C67:N67)</ns0:f>
        <ns0:v>2584186.27</ns0:v>
      </ns0:c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减：所得税费用</ns0:t>
        </ns0:is>
      </ns0:c>
      <ns0:c r="B19" s="2"/>
      <ns0:c r="C19" s="3">
        <ns0:f>SUM(C68:N68)</ns0:f>
        <ns0:v>451767.45</ns0:v>
      </ns0:c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四、净利润（净亏损以“-”号填列）</ns0:t>
        </ns0:is>
      </ns0:c>
      <ns0:c r="B20" s="2"/>
      <ns0:c r="C20" s="3">
        <ns0:f>SUM(C69:N69)</ns0:f>
        <ns0:v>2132418.82</ns0:v>
      </ns0:c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五、每股收益：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（一）基本每股收益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（二）稀释每股收益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营业收入</ns0:t>
        </ns0:is>
      </ns0:c>
      <ns0:c r="C61" s="3">
        <ns0:f>'收入非主控'!C33+'收入主控'!C33</ns0:f>
        <ns0:v>397874.37</ns0:v>
      </ns0:c>
      <ns0:c r="D61" s="3">
        <ns0:f>'收入非主控'!D33+'收入主控'!D33</ns0:f>
        <ns0:v>336013.35</ns0:v>
      </ns0:c>
      <ns0:c r="E61" s="3">
        <ns0:f>'收入非主控'!E33+'收入主控'!E33</ns0:f>
        <ns0:v>301835.70</ns0:v>
      </ns0:c>
      <ns0:c r="F61" s="3">
        <ns0:f>'收入非主控'!F33+'收入主控'!F33</ns0:f>
        <ns0:v>315465.80</ns0:v>
      </ns0:c>
      <ns0:c r="G61" s="3">
        <ns0:f>'收入非主控'!G33+'收入主控'!G33</ns0:f>
        <ns0:v>348734.92</ns0:v>
      </ns0:c>
      <ns0:c r="H61" s="3">
        <ns0:f>'收入非主控'!H33+'收入主控'!H33</ns0:f>
        <ns0:v>395294.23</ns0:v>
      </ns0:c>
      <ns0:c r="I61" s="3">
        <ns0:f>'收入非主控'!I33+'收入主控'!I33</ns0:f>
        <ns0:v>500397.87</ns0:v>
      </ns0:c>
      <ns0:c r="J61" s="3">
        <ns0:f>'收入非主控'!J33+'收入主控'!J33</ns0:f>
        <ns0:v>297810.40</ns0:v>
      </ns0:c>
      <ns0:c r="K61" s="3">
        <ns0:f>'收入非主控'!K33+'收入主控'!K33</ns0:f>
        <ns0:v>398486.63</ns0:v>
      </ns0:c>
      <ns0:c r="L61" s="3">
        <ns0:f>'收入非主控'!L33+'收入主控'!L33</ns0:f>
        <ns0:v>311660.41</ns0:v>
      </ns0:c>
      <ns0:c r="M61" s="3">
        <ns0:f>'收入非主控'!M33+'收入主控'!M33</ns0:f>
        <ns0:v>439141.17</ns0:v>
      </ns0:c>
      <ns0:c r="N61" s="3">
        <ns0:f>'收入非主控'!N33+'收入主控'!N33</ns0:f>
        <ns0:v>455114.24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营业成本</ns0:t>
        </ns0:is>
      </ns0:c>
      <ns0:c r="C62" s="3">
        <ns0:f>'收入非主控'!C36+'收入主控'!C36</ns0:f>
        <ns0:v>155612.37</ns0:v>
      </ns0:c>
      <ns0:c r="D62" s="3">
        <ns0:f>'收入非主控'!D36+'收入主控'!D36</ns0:f>
        <ns0:v>110591.20</ns0:v>
      </ns0:c>
      <ns0:c r="E62" s="3">
        <ns0:f>'收入非主控'!E36+'收入主控'!E36</ns0:f>
        <ns0:v>142512.87</ns0:v>
      </ns0:c>
      <ns0:c r="F62" s="3">
        <ns0:f>'收入非主控'!F36+'收入主控'!F36</ns0:f>
        <ns0:v>128876.25</ns0:v>
      </ns0:c>
      <ns0:c r="G62" s="3">
        <ns0:f>'收入非主控'!G36+'收入主控'!G36</ns0:f>
        <ns0:v>130021.72</ns0:v>
      </ns0:c>
      <ns0:c r="H62" s="3">
        <ns0:f>'收入非主控'!H36+'收入主控'!H36</ns0:f>
        <ns0:v>132705.62</ns0:v>
      </ns0:c>
      <ns0:c r="I62" s="3">
        <ns0:f>'收入非主控'!I36+'收入主控'!I36</ns0:f>
        <ns0:v>136325.97</ns0:v>
      </ns0:c>
      <ns0:c r="J62" s="3">
        <ns0:f>'收入非主控'!J36+'收入主控'!J36</ns0:f>
        <ns0:v>141578.50</ns0:v>
      </ns0:c>
      <ns0:c r="K62" s="3">
        <ns0:f>'收入非主控'!K36+'收入主控'!K36</ns0:f>
        <ns0:v>144347.38</ns0:v>
      </ns0:c>
      <ns0:c r="L62" s="3">
        <ns0:f>'收入非主控'!L36+'收入主控'!L36</ns0:f>
        <ns0:v>118091.42</ns0:v>
      </ns0:c>
      <ns0:c r="M62" s="3">
        <ns0:f>'收入非主控'!M36+'收入主控'!M36</ns0:f>
        <ns0:v>129778.34</ns0:v>
      </ns0:c>
      <ns0:c r="N62" s="3">
        <ns0:f>'收入非主控'!N36+'收入主控'!N36</ns0:f>
        <ns0:v>155937.30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税金及附加</ns0:t>
        </ns0:is>
      </ns0:c>
      <ns0:c r="C63" s="3">
        <ns0:f>'税金及附加'!C33</ns0:f>
        <ns0:v>2343.48</ns0:v>
      </ns0:c>
      <ns0:c r="D63" s="3">
        <ns0:f>'税金及附加'!D33</ns0:f>
        <ns0:v>1979.12</ns0:v>
      </ns0:c>
      <ns0:c r="E63" s="3">
        <ns0:f>'税金及附加'!E33</ns0:f>
        <ns0:v>1777.81</ns0:v>
      </ns0:c>
      <ns0:c r="F63" s="3">
        <ns0:f>'税金及附加'!F33</ns0:f>
        <ns0:v>1858.09</ns0:v>
      </ns0:c>
      <ns0:c r="G63" s="3">
        <ns0:f>'税金及附加'!G33</ns0:f>
        <ns0:v>2054.05</ns0:v>
      </ns0:c>
      <ns0:c r="H63" s="3">
        <ns0:f>'税金及附加'!H33</ns0:f>
        <ns0:v>2328.28</ns0:v>
      </ns0:c>
      <ns0:c r="I63" s="3">
        <ns0:f>'税金及附加'!I33</ns0:f>
        <ns0:v>2947.34</ns0:v>
      </ns0:c>
      <ns0:c r="J63" s="3">
        <ns0:f>'税金及附加'!J33</ns0:f>
        <ns0:v>1754.10</ns0:v>
      </ns0:c>
      <ns0:c r="K63" s="3">
        <ns0:f>'税金及附加'!K33</ns0:f>
        <ns0:v>2347.09</ns0:v>
      </ns0:c>
      <ns0:c r="L63" s="3">
        <ns0:f>'税金及附加'!L33</ns0:f>
        <ns0:v>1835.68</ns0:v>
      </ns0:c>
      <ns0:c r="M63" s="3">
        <ns0:f>'税金及附加'!M33</ns0:f>
        <ns0:v>2586.54</ns0:v>
      </ns0:c>
      <ns0:c r="N63" s="3">
        <ns0:f>'税金及附加'!N33</ns0:f>
        <ns0:v>2680.62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销售费用</ns0:t>
        </ns0:is>
      </ns0:c>
      <ns0:c r="C64" s="3">
        <ns0:f>'销售费用'!C34</ns0:f>
        <ns0:v>6465.25</ns0:v>
      </ns0:c>
      <ns0:c r="D64" s="3">
        <ns0:f>'销售费用'!D34</ns0:f>
        <ns0:v>7469.95</ns0:v>
      </ns0:c>
      <ns0:c r="E64" s="3">
        <ns0:f>'销售费用'!E34</ns0:f>
        <ns0:v>6346.83</ns0:v>
      </ns0:c>
      <ns0:c r="F64" s="3">
        <ns0:f>'销售费用'!F34</ns0:f>
        <ns0:v>7506.69</ns0:v>
      </ns0:c>
      <ns0:c r="G64" s="3">
        <ns0:f>'销售费用'!G34</ns0:f>
        <ns0:v>7948.62</ns0:v>
      </ns0:c>
      <ns0:c r="H64" s="3">
        <ns0:f>'销售费用'!H34</ns0:f>
        <ns0:v>7778.50</ns0:v>
      </ns0:c>
      <ns0:c r="I64" s="3">
        <ns0:f>'销售费用'!I34</ns0:f>
        <ns0:v>7029.98</ns0:v>
      </ns0:c>
      <ns0:c r="J64" s="3">
        <ns0:f>'销售费用'!J34</ns0:f>
        <ns0:v>6314.73</ns0:v>
      </ns0:c>
      <ns0:c r="K64" s="3">
        <ns0:f>'销售费用'!K34</ns0:f>
        <ns0:v>7565.66</ns0:v>
      </ns0:c>
      <ns0:c r="L64" s="3">
        <ns0:f>'销售费用'!L34</ns0:f>
        <ns0:v>7735.82</ns0:v>
      </ns0:c>
      <ns0:c r="M64" s="3">
        <ns0:f>'销售费用'!M34</ns0:f>
        <ns0:v>7396.63</ns0:v>
      </ns0:c>
      <ns0:c r="N64" s="3">
        <ns0:f>'销售费用'!N34</ns0:f>
        <ns0:v>7727.05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管理费用</ns0:t>
        </ns0:is>
      </ns0:c>
      <ns0:c r="C65" s="3">
        <ns0:f>'管理费用'!C34</ns0:f>
        <ns0:v>6510.33</ns0:v>
      </ns0:c>
      <ns0:c r="D65" s="3">
        <ns0:f>'管理费用'!D34</ns0:f>
        <ns0:v>6637.89</ns0:v>
      </ns0:c>
      <ns0:c r="E65" s="3">
        <ns0:f>'管理费用'!E34</ns0:f>
        <ns0:v>6468.54</ns0:v>
      </ns0:c>
      <ns0:c r="F65" s="3">
        <ns0:f>'管理费用'!F34</ns0:f>
        <ns0:v>7337.53</ns0:v>
      </ns0:c>
      <ns0:c r="G65" s="3">
        <ns0:f>'管理费用'!G34</ns0:f>
        <ns0:v>6324.17</ns0:v>
      </ns0:c>
      <ns0:c r="H65" s="3">
        <ns0:f>'管理费用'!H34</ns0:f>
        <ns0:v>8352.32</ns0:v>
      </ns0:c>
      <ns0:c r="I65" s="3">
        <ns0:f>'管理费用'!I34</ns0:f>
        <ns0:v>7730.89</ns0:v>
      </ns0:c>
      <ns0:c r="J65" s="3">
        <ns0:f>'管理费用'!J34</ns0:f>
        <ns0:v>6513.54</ns0:v>
      </ns0:c>
      <ns0:c r="K65" s="3">
        <ns0:f>'管理费用'!K34</ns0:f>
        <ns0:v>7199.54</ns0:v>
      </ns0:c>
      <ns0:c r="L65" s="3">
        <ns0:f>'管理费用'!L34</ns0:f>
        <ns0:v>7674.68</ns0:v>
      </ns0:c>
      <ns0:c r="M65" s="3">
        <ns0:f>'管理费用'!M34</ns0:f>
        <ns0:v>7863.66</ns0:v>
      </ns0:c>
      <ns0:c r="N65" s="3">
        <ns0:f>'管理费用'!N34</ns0:f>
        <ns0:v>7530.11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其他主体费用</ns0:t>
        </ns0:is>
      </ns0:c>
      <ns0:c r="C66" s="3">
        <ns0:f>'蓝恐龙费用'!C34</ns0:f>
        <ns0:v>7362.59</ns0:v>
      </ns0:c>
      <ns0:c r="D66" s="3">
        <ns0:f>'蓝恐龙费用'!D34</ns0:f>
        <ns0:v>8336.63</ns0:v>
      </ns0:c>
      <ns0:c r="E66" s="3">
        <ns0:f>'蓝恐龙费用'!E34</ns0:f>
        <ns0:v>6934.01</ns0:v>
      </ns0:c>
      <ns0:c r="F66" s="3">
        <ns0:f>'蓝恐龙费用'!F34</ns0:f>
        <ns0:v>7850.45</ns0:v>
      </ns0:c>
      <ns0:c r="G66" s="3">
        <ns0:f>'蓝恐龙费用'!G34</ns0:f>
        <ns0:v>7402.69</ns0:v>
      </ns0:c>
      <ns0:c r="H66" s="3">
        <ns0:f>'蓝恐龙费用'!H34</ns0:f>
        <ns0:v>6368.18</ns0:v>
      </ns0:c>
      <ns0:c r="I66" s="3">
        <ns0:f>'蓝恐龙费用'!I34</ns0:f>
        <ns0:v>6169.18</ns0:v>
      </ns0:c>
      <ns0:c r="J66" s="3">
        <ns0:f>'蓝恐龙费用'!J34</ns0:f>
        <ns0:v>6439.27</ns0:v>
      </ns0:c>
      <ns0:c r="K66" s="3">
        <ns0:f>'蓝恐龙费用'!K34</ns0:f>
        <ns0:v>7456.90</ns0:v>
      </ns0:c>
      <ns0:c r="L66" s="3">
        <ns0:f>'蓝恐龙费用'!L34</ns0:f>
        <ns0:v>7370.63</ns0:v>
      </ns0:c>
      <ns0:c r="M66" s="3">
        <ns0:f>'蓝恐龙费用'!M34</ns0:f>
        <ns0:v>8034.09</ns0:v>
      </ns0:c>
      <ns0:c r="N66" s="3">
        <ns0:f>'蓝恐龙费用'!N34</ns0:f>
        <ns0:v>7618.15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税前利润</ns0:t>
        </ns0:is>
      </ns0:c>
      <ns0:c r="C67" s="3">
        <ns0:f>C61-SUM(C62:C66)</ns0:f>
        <ns0:v>219580.35</ns0:v>
      </ns0:c>
      <ns0:c r="D67" s="3">
        <ns0:f>D61-SUM(D62:D66)</ns0:f>
        <ns0:v>200998.56</ns0:v>
      </ns0:c>
      <ns0:c r="E67" s="3">
        <ns0:f>E61-SUM(E62:E66)</ns0:f>
        <ns0:v>137795.64</ns0:v>
      </ns0:c>
      <ns0:c r="F67" s="3">
        <ns0:f>F61-SUM(F62:F66)</ns0:f>
        <ns0:v>162036.79</ns0:v>
      </ns0:c>
      <ns0:c r="G67" s="3">
        <ns0:f>G61-SUM(G62:G66)</ns0:f>
        <ns0:v>194983.67</ns0:v>
      </ns0:c>
      <ns0:c r="H67" s="3">
        <ns0:f>H61-SUM(H62:H66)</ns0:f>
        <ns0:v>237761.33</ns0:v>
      </ns0:c>
      <ns0:c r="I67" s="3">
        <ns0:f>I61-SUM(I62:I66)</ns0:f>
        <ns0:v>340194.51</ns0:v>
      </ns0:c>
      <ns0:c r="J67" s="3">
        <ns0:f>J61-SUM(J62:J66)</ns0:f>
        <ns0:v>135210.26</ns0:v>
      </ns0:c>
      <ns0:c r="K67" s="3">
        <ns0:f>K61-SUM(K62:K66)</ns0:f>
        <ns0:v>229570.06</ns0:v>
      </ns0:c>
      <ns0:c r="L67" s="3">
        <ns0:f>L61-SUM(L62:L66)</ns0:f>
        <ns0:v>168952.18</ns0:v>
      </ns0:c>
      <ns0:c r="M67" s="3">
        <ns0:f>M61-SUM(M62:M66)</ns0:f>
        <ns0:v>283481.91</ns0:v>
      </ns0:c>
      <ns0:c r="N67" s="3">
        <ns0:f>N61-SUM(N62:N66)</ns0:f>
        <ns0:v>273621.01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所得税费用</ns0:t>
        </ns0:is>
      </ns0:c>
      <ns0:c r="C68" s="3">
        <ns0:f>ROUND(MAX(C67,0)*$C$200,2)</ns0:f>
        <ns0:v>38387.04</ns0:v>
      </ns0:c>
      <ns0:c r="D68" s="3">
        <ns0:f>ROUND(MAX(D67,0)*$C$200,2)</ns0:f>
        <ns0:v>35138.57</ns0:v>
      </ns0:c>
      <ns0:c r="E68" s="3">
        <ns0:f>ROUND(MAX(E67,0)*$C$200,2)</ns0:f>
        <ns0:v>24089.43</ns0:v>
      </ns0:c>
      <ns0:c r="F68" s="3">
        <ns0:f>ROUND(MAX(F67,0)*$C$200,2)</ns0:f>
        <ns0:v>28327.27</ns0:v>
      </ns0:c>
      <ns0:c r="G68" s="3">
        <ns0:f>ROUND(MAX(G67,0)*$C$200,2)</ns0:f>
        <ns0:v>34087.05</ns0:v>
      </ns0:c>
      <ns0:c r="H68" s="3">
        <ns0:f>ROUND(MAX(H67,0)*$C$200,2)</ns0:f>
        <ns0:v>41565.44</ns0:v>
      </ns0:c>
      <ns0:c r="I68" s="3">
        <ns0:f>ROUND(MAX(I67,0)*$C$200,2)</ns0:f>
        <ns0:v>59472.80</ns0:v>
      </ns0:c>
      <ns0:c r="J68" s="3">
        <ns0:f>ROUND(MAX(J67,0)*$C$200,2)</ns0:f>
        <ns0:v>23637.46</ns0:v>
      </ns0:c>
      <ns0:c r="K68" s="3">
        <ns0:f>ROUND(MAX(K67,0)*$C$200,2)</ns0:f>
        <ns0:v>40133.44</ns0:v>
      </ns0:c>
      <ns0:c r="L68" s="3">
        <ns0:f>ROUND(MAX(L67,0)*$C$200,2)</ns0:f>
        <ns0:v>29536.22</ns0:v>
      </ns0:c>
      <ns0:c r="M68" s="3">
        <ns0:f>ROUND(MAX(M67,0)*$C$200,2)</ns0:f>
        <ns0:v>49558.31</ns0:v>
      </ns0:c>
      <ns0:c r="N68" s="3">
        <ns0:f>ROUND(MAX(N67,0)*$C$200,2)</ns0:f>
        <ns0:v>47834.42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净利润</ns0:t>
        </ns0:is>
      </ns0:c>
      <ns0:c r="C69" s="3">
        <ns0:f>C67-C68</ns0:f>
        <ns0:v>181193.31</ns0:v>
      </ns0:c>
      <ns0:c r="D69" s="3">
        <ns0:f>D67-D68</ns0:f>
        <ns0:v>165859.99</ns0:v>
      </ns0:c>
      <ns0:c r="E69" s="3">
        <ns0:f>E67-E68</ns0:f>
        <ns0:v>113706.21</ns0:v>
      </ns0:c>
      <ns0:c r="F69" s="3">
        <ns0:f>F67-F68</ns0:f>
        <ns0:v>133709.52</ns0:v>
      </ns0:c>
      <ns0:c r="G69" s="3">
        <ns0:f>G67-G68</ns0:f>
        <ns0:v>160896.62</ns0:v>
      </ns0:c>
      <ns0:c r="H69" s="3">
        <ns0:f>H67-H68</ns0:f>
        <ns0:v>196195.89</ns0:v>
      </ns0:c>
      <ns0:c r="I69" s="3">
        <ns0:f>I67-I68</ns0:f>
        <ns0:v>280721.71</ns0:v>
      </ns0:c>
      <ns0:c r="J69" s="3">
        <ns0:f>J67-J68</ns0:f>
        <ns0:v>111572.80</ns0:v>
      </ns0:c>
      <ns0:c r="K69" s="3">
        <ns0:f>K67-K68</ns0:f>
        <ns0:v>189436.62</ns0:v>
      </ns0:c>
      <ns0:c r="L69" s="3">
        <ns0:f>L67-L68</ns0:f>
        <ns0:v>139415.96</ns0:v>
      </ns0:c>
      <ns0:c r="M69" s="3">
        <ns0:f>M67-M68</ns0:f>
        <ns0:v>233923.60</ns0:v>
      </ns0:c>
      <ns0:c r="N69" s="3">
        <ns0:f>N67-N68</ns0:f>
        <ns0:v>225786.59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所得税率（演示假设）</ns0:t>
        </ns0:is>
      </ns0:c>
      <ns0:c r="C200" s="4">
        <ns0:v>0.17482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资产</ns0:t>
        </ns0:is>
      </ns0:c>
      <ns0:c r="B2" s="2" t="inlineStr">
        <ns0:is>
          <ns0:t>行次</ns0:t>
        </ns0:is>
      </ns0:c>
      <ns0:c r="C2" s="3" t="inlineStr">
        <ns0:is>
          <ns0:t>年初数</ns0:t>
        </ns0:is>
      </ns0:c>
      <ns0:c r="D2" s="3" t="inlineStr">
        <ns0:is>
          <ns0:t>期末数</ns0:t>
        </ns0:is>
      </ns0:c>
      <ns0:c r="E2" s="3" t="inlineStr">
        <ns0:is>
          <ns0:t>负债和所有者权益        (或股东权益)</ns0:t>
        </ns0:is>
      </ns0:c>
      <ns0:c r="F2" s="3" t="inlineStr">
        <ns0:is>
          <ns0:t>行次</ns0:t>
        </ns0:is>
      </ns0:c>
      <ns0:c r="G2" s="3" t="inlineStr">
        <ns0:is>
          <ns0:t>全年预算基础</ns0:t>
        </ns0:is>
      </ns0:c>
      <ns0:c r="H2" s="3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 t="inlineStr">
        <ns0:is>
          <ns0:t>流动资产：</ns0:t>
        </ns0:is>
      </ns0:c>
      <ns0:c r="B3" s="2"/>
      <ns0:c r="C3" s="6" t="inlineStr">
        <ns0:is>
          <ns0:t>全年预算基础</ns0:t>
        </ns0:is>
      </ns0:c>
      <ns0:c r="D3" s="6" t="inlineStr">
        <ns0:is>
          <ns0:t>非本次输入</ns0:t>
        </ns0:is>
      </ns0:c>
      <ns0:c r="E3" s="6" t="inlineStr">
        <ns0:is>
          <ns0:t>流动负债：</ns0:t>
        </ns0:is>
      </ns0:c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货币资金</ns0:t>
        </ns0:is>
      </ns0:c>
      <ns0:c r="B4" s="2"/>
      <ns0:c r="C4" s="3">
        <ns0:f>N61</ns0:f>
        <ns0:v>2294277.64</ns0:v>
      </ns0:c>
      <ns0:c r="D4" s="3"/>
      <ns0:c r="E4" s="3" t="inlineStr">
        <ns0:is>
          <ns0:t>短期借款</ns0:t>
        </ns0:is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短期投资</ns0:t>
        </ns0:is>
      </ns0:c>
      <ns0:c r="B5" s="2"/>
      <ns0:c r="C5" s="3"/>
      <ns0:c r="D5" s="3"/>
      <ns0:c r="E5" s="3" t="inlineStr">
        <ns0:is>
          <ns0:t>应付票据</ns0:t>
        </ns0:is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应收票据</ns0:t>
        </ns0:is>
      </ns0:c>
      <ns0:c r="B6" s="2"/>
      <ns0:c r="C6" s="3"/>
      <ns0:c r="D6" s="3"/>
      <ns0:c r="E6" s="3" t="inlineStr">
        <ns0:is>
          <ns0:t>应付账款</ns0:t>
        </ns0:is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应收股利</ns0:t>
        </ns0:is>
      </ns0:c>
      <ns0:c r="B7" s="2"/>
      <ns0:c r="C7" s="3"/>
      <ns0:c r="D7" s="3"/>
      <ns0:c r="E7" s="3" t="inlineStr">
        <ns0:is>
          <ns0:t>预收账款</ns0:t>
        </ns0:is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应收利息</ns0:t>
        </ns0:is>
      </ns0:c>
      <ns0:c r="B8" s="2"/>
      <ns0:c r="C8" s="3"/>
      <ns0:c r="D8" s="3"/>
      <ns0:c r="E8" s="3" t="inlineStr">
        <ns0:is>
          <ns0:t>应付工资</ns0:t>
        </ns0:is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应收账款</ns0:t>
        </ns0:is>
      </ns0:c>
      <ns0:c r="B9" s="2"/>
      <ns0:c r="C9" s="3"/>
      <ns0:c r="D9" s="3"/>
      <ns0:c r="E9" s="3" t="inlineStr">
        <ns0:is>
          <ns0:t>应付福利费</ns0:t>
        </ns0:is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其他应收款</ns0:t>
        </ns0:is>
      </ns0:c>
      <ns0:c r="B10" s="2"/>
      <ns0:c r="C10" s="3"/>
      <ns0:c r="D10" s="3"/>
      <ns0:c r="E10" s="3" t="inlineStr">
        <ns0:is>
          <ns0:t>应付利息</ns0:t>
        </ns0:is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预付账款</ns0:t>
        </ns0:is>
      </ns0:c>
      <ns0:c r="B11" s="2"/>
      <ns0:c r="C11" s="3"/>
      <ns0:c r="D11" s="3"/>
      <ns0:c r="E11" s="3" t="inlineStr">
        <ns0:is>
          <ns0:t>应交税金</ns0:t>
        </ns0:is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应收补贴款</ns0:t>
        </ns0:is>
      </ns0:c>
      <ns0:c r="B12" s="2"/>
      <ns0:c r="C12" s="3"/>
      <ns0:c r="D12" s="3"/>
      <ns0:c r="E12" s="3" t="inlineStr">
        <ns0:is>
          <ns0:t>其他应交款</ns0:t>
        </ns0:is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存货</ns0:t>
        </ns0:is>
      </ns0:c>
      <ns0:c r="B13" s="2"/>
      <ns0:c r="C13" s="3"/>
      <ns0:c r="D13" s="3"/>
      <ns0:c r="E13" s="3" t="inlineStr">
        <ns0:is>
          <ns0:t>其他应付款</ns0:t>
        </ns0:is>
      </ns0:c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待摊费用</ns0:t>
        </ns0:is>
      </ns0:c>
      <ns0:c r="B14" s="2"/>
      <ns0:c r="C14" s="3"/>
      <ns0:c r="D14" s="3"/>
      <ns0:c r="E14" s="3" t="inlineStr">
        <ns0:is>
          <ns0:t>预提费用</ns0:t>
        </ns0:is>
      </ns0:c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一年内到期的长期债券投资</ns0:t>
        </ns0:is>
      </ns0:c>
      <ns0:c r="B15" s="2"/>
      <ns0:c r="C15" s="3"/>
      <ns0:c r="D15" s="3"/>
      <ns0:c r="E15" s="3" t="inlineStr">
        <ns0:is>
          <ns0:t>预计负债</ns0:t>
        </ns0:is>
      </ns0:c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其他流动资产</ns0:t>
        </ns0:is>
      </ns0:c>
      <ns0:c r="B16" s="2"/>
      <ns0:c r="C16" s="3"/>
      <ns0:c r="D16" s="3"/>
      <ns0:c r="E16" s="3" t="inlineStr">
        <ns0:is>
          <ns0:t>一年内到期的长期负债</ns0:t>
        </ns0:is>
      </ns0:c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 t="inlineStr">
        <ns0:is>
          <ns0:t>流动资产合计</ns0:t>
        </ns0:is>
      </ns0:c>
      <ns0:c r="B17" s="2"/>
      <ns0:c r="C17" s="3"/>
      <ns0:c r="D17" s="3"/>
      <ns0:c r="E17" s="3" t="inlineStr">
        <ns0:is>
          <ns0:t>其他流动负债</ns0:t>
        </ns0:is>
      </ns0:c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 t="inlineStr">
        <ns0:is>
          <ns0:t>长期资产：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长期股权投资</ns0:t>
        </ns0:is>
      </ns0:c>
      <ns0:c r="B19" s="2"/>
      <ns0:c r="C19" s="3"/>
      <ns0:c r="D19" s="3"/>
      <ns0:c r="E19" s="3" t="inlineStr">
        <ns0:is>
          <ns0:t>流动负债合计</ns0:t>
        </ns0:is>
      </ns0:c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长期债券投资</ns0:t>
        </ns0:is>
      </ns0:c>
      <ns0:c r="B20" s="2"/>
      <ns0:c r="C20" s="3"/>
      <ns0:c r="D20" s="3"/>
      <ns0:c r="E20" s="3" t="inlineStr">
        <ns0:is>
          <ns0:t>长期负债：</ns0:t>
        </ns0:is>
      </ns0:c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长期投资合计</ns0:t>
        </ns0:is>
      </ns0:c>
      <ns0:c r="B21" s="2"/>
      <ns0:c r="C21" s="3"/>
      <ns0:c r="D21" s="3"/>
      <ns0:c r="E21" s="3" t="inlineStr">
        <ns0:is>
          <ns0:t>长期借款</ns0:t>
        </ns0:is>
      </ns0:c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固定资产：</ns0:t>
        </ns0:is>
      </ns0:c>
      <ns0:c r="B22" s="2"/>
      <ns0:c r="C22" s="3"/>
      <ns0:c r="D22" s="3"/>
      <ns0:c r="E22" s="3" t="inlineStr">
        <ns0:is>
          <ns0:t>应付债券</ns0:t>
        </ns0:is>
      </ns0:c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固定资产原价</ns0:t>
        </ns0:is>
      </ns0:c>
      <ns0:c r="B23" s="2"/>
      <ns0:c r="C23" s="3"/>
      <ns0:c r="D23" s="3"/>
      <ns0:c r="E23" s="3" t="inlineStr">
        <ns0:is>
          <ns0:t>长期应付款</ns0:t>
        </ns0:is>
      </ns0:c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减：累计折旧</ns0:t>
        </ns0:is>
      </ns0:c>
      <ns0:c r="B24" s="2"/>
      <ns0:c r="C24" s="3"/>
      <ns0:c r="D24" s="3"/>
      <ns0:c r="E24" s="3" t="inlineStr">
        <ns0:is>
          <ns0:t>专项应付款</ns0:t>
        </ns0:is>
      </ns0:c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固定资产净值</ns0:t>
        </ns0:is>
      </ns0:c>
      <ns0:c r="B25" s="2"/>
      <ns0:c r="C25" s="3"/>
      <ns0:c r="D25" s="3"/>
      <ns0:c r="E25" s="3" t="inlineStr">
        <ns0:is>
          <ns0:t>其他长期负债</ns0:t>
        </ns0:is>
      </ns0:c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减：固定资产减值准备</ns0:t>
        </ns0:is>
      </ns0:c>
      <ns0:c r="B26" s="2"/>
      <ns0:c r="C26" s="3"/>
      <ns0:c r="D26" s="3"/>
      <ns0:c r="E26" s="3" t="inlineStr">
        <ns0:is>
          <ns0:t>长期负债合计</ns0:t>
        </ns0:is>
      </ns0:c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固定资产净额</ns0:t>
        </ns0:is>
      </ns0:c>
      <ns0:c r="B27" s="2"/>
      <ns0:c r="C27" s="3"/>
      <ns0:c r="D27" s="3"/>
      <ns0:c r="E27" s="3" t="inlineStr">
        <ns0:is>
          <ns0:t>递延税项：</ns0:t>
        </ns0:is>
      </ns0:c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工程物资</ns0:t>
        </ns0:is>
      </ns0:c>
      <ns0:c r="B28" s="2"/>
      <ns0:c r="C28" s="3"/>
      <ns0:c r="D28" s="3"/>
      <ns0:c r="E28" s="3" t="inlineStr">
        <ns0:is>
          <ns0:t>递延税款贷项</ns0:t>
        </ns0:is>
      </ns0:c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在建工程</ns0:t>
        </ns0:is>
      </ns0:c>
      <ns0:c r="B29" s="2"/>
      <ns0:c r="C29" s="3"/>
      <ns0:c r="D29" s="3"/>
      <ns0:c r="E29" s="3" t="inlineStr">
        <ns0:is>
          <ns0:t>负债合计</ns0:t>
        </ns0:is>
      </ns0:c>
      <ns0:c r="F29" s="3"/>
      <ns0:c r="G29" s="3">
        <ns0:f>N64</ns0:f>
        <ns0:v>0</ns0:v>
      </ns0:c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固定资产清理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固定资产合计</ns0:t>
        </ns0:is>
      </ns0:c>
      <ns0:c r="B31" s="2"/>
      <ns0:c r="C31" s="3"/>
      <ns0:c r="D31" s="3"/>
      <ns0:c r="E31" s="3" t="inlineStr">
        <ns0:is>
          <ns0:t>所有者权益(或股东权益)：</ns0:t>
        </ns0:is>
      </ns0:c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无形资产及其他资产：</ns0:t>
        </ns0:is>
      </ns0:c>
      <ns0:c r="B32" s="2"/>
      <ns0:c r="C32" s="3"/>
      <ns0:c r="D32" s="3"/>
      <ns0:c r="E32" s="3" t="inlineStr">
        <ns0:is>
          <ns0:t>实收资本(或股本)</ns0:t>
        </ns0:is>
      </ns0:c>
      <ns0:c r="F32" s="3"/>
      <ns0:c r="G32" s="3">
        <ns0:f>N65</ns0:f>
        <ns0:v>247069.80</ns0:v>
      </ns0:c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无形资产</ns0:t>
        </ns0:is>
      </ns0:c>
      <ns0:c r="B33" s="2"/>
      <ns0:c r="C33" s="3"/>
      <ns0:c r="D33" s="3"/>
      <ns0:c r="E33" s="3" t="inlineStr">
        <ns0:is>
          <ns0:t>减：已归还投资</ns0:t>
        </ns0:is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长期待摊费用</ns0:t>
        </ns0:is>
      </ns0:c>
      <ns0:c r="B34" s="2"/>
      <ns0:c r="C34" s="3">
        <ns0:f>N62</ns0:f>
        <ns0:v>85210.98</ns0:v>
      </ns0:c>
      <ns0:c r="D34" s="3"/>
      <ns0:c r="E34" s="3" t="inlineStr">
        <ns0:is>
          <ns0:t>实收资本(或股本)净额</ns0:t>
        </ns0:is>
      </ns0:c>
      <ns0:c r="F34" s="3"/>
      <ns0:c r="G34" s="3">
        <ns0:f>N65</ns0:f>
        <ns0:v>247069.80</ns0:v>
      </ns0:c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其他长期资产</ns0:t>
        </ns0:is>
      </ns0:c>
      <ns0:c r="B35" s="2"/>
      <ns0:c r="C35" s="3"/>
      <ns0:c r="D35" s="3"/>
      <ns0:c r="E35" s="3" t="inlineStr">
        <ns0:is>
          <ns0:t>资本公积</ns0:t>
        </ns0:is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无形资产及其他资产合计</ns0:t>
        </ns0:is>
      </ns0:c>
      <ns0:c r="B36" s="2"/>
      <ns0:c r="C36" s="3"/>
      <ns0:c r="D36" s="3"/>
      <ns0:c r="E36" s="3" t="inlineStr">
        <ns0:is>
          <ns0:t>盈余公积</ns0:t>
        </ns0:is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 t="inlineStr">
        <ns0:is>
          <ns0:t>其中：法定公益金</ns0:t>
        </ns0:is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递延税款：</ns0:t>
        </ns0:is>
      </ns0:c>
      <ns0:c r="B38" s="2"/>
      <ns0:c r="C38" s="3"/>
      <ns0:c r="D38" s="3"/>
      <ns0:c r="E38" s="3" t="inlineStr">
        <ns0:is>
          <ns0:t>未分配利润</ns0:t>
        </ns0:is>
      </ns0:c>
      <ns0:c r="F38" s="3"/>
      <ns0:c r="G38" s="3">
        <ns0:f>N66</ns0:f>
        <ns0:v>2132418.82</ns0:v>
      </ns0:c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递延税款借项</ns0:t>
        </ns0:is>
      </ns0:c>
      <ns0:c r="B39" s="2"/>
      <ns0:c r="C39" s="3"/>
      <ns0:c r="D39" s="3"/>
      <ns0:c r="E39" s="3" t="inlineStr">
        <ns0:is>
          <ns0:t>所有者权益(或股东权益)合计</ns0:t>
        </ns0:is>
      </ns0:c>
      <ns0:c r="F39" s="3"/>
      <ns0:c r="G39" s="3">
        <ns0:f>N67</ns0:f>
        <ns0:v>2379488.62</ns0:v>
      </ns0:c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资产总计</ns0:t>
        </ns0:is>
      </ns0:c>
      <ns0:c r="B40" s="2"/>
      <ns0:c r="C40" s="3">
        <ns0:f>N63</ns0:f>
        <ns0:v>2379488.62</ns0:v>
      </ns0:c>
      <ns0:c r="D40" s="3"/>
      <ns0:c r="E40" s="3" t="inlineStr">
        <ns0:is>
          <ns0:t>负债和所有者权益(或股东权益)总计</ns0:t>
        </ns0:is>
      </ns0:c>
      <ns0:c r="F40" s="3"/>
      <ns0:c r="G40" s="3">
        <ns0:f>N68</ns0:f>
        <ns0:v>2379488.62</ns0:v>
      </ns0:c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货币资金</ns0:t>
        </ns0:is>
      </ns0:c>
      <ns0:c r="C61" s="3">
        <ns0:f>'现金流量表'!C68</ns0:f>
        <ns0:v>317719.35</ns0:v>
      </ns0:c>
      <ns0:c r="D61" s="3">
        <ns0:f>'现金流量表'!D68</ns0:f>
        <ns0:v>485882.32</ns0:v>
      </ns0:c>
      <ns0:c r="E61" s="3">
        <ns0:f>'现金流量表'!E68</ns0:f>
        <ns0:v>601891.51</ns0:v>
      </ns0:c>
      <ns0:c r="F61" s="3">
        <ns0:f>'现金流量表'!F68</ns0:f>
        <ns0:v>737904.01</ns0:v>
      </ns0:c>
      <ns0:c r="G61" s="3">
        <ns0:f>'现金流量表'!G68</ns0:f>
        <ns0:v>901103.61</ns0:v>
      </ns0:c>
      <ns0:c r="H61" s="3">
        <ns0:f>'现金流量表'!H68</ns0:f>
        <ns0:v>1099602.48</ns0:v>
      </ns0:c>
      <ns0:c r="I61" s="3">
        <ns0:f>'现金流量表'!I68</ns0:f>
        <ns0:v>1382627.17</ns0:v>
      </ns0:c>
      <ns0:c r="J61" s="3">
        <ns0:f>'现金流量表'!J68</ns0:f>
        <ns0:v>1496502.95</ns0:v>
      </ns0:c>
      <ns0:c r="K61" s="3">
        <ns0:f>'现金流量表'!K68</ns0:f>
        <ns0:v>1688242.55</ns0:v>
      </ns0:c>
      <ns0:c r="L61" s="3">
        <ns0:f>'现金流量表'!L68</ns0:f>
        <ns0:v>1829961.49</ns0:v>
      </ns0:c>
      <ns0:c r="M61" s="3">
        <ns0:f>'现金流量表'!M68</ns0:f>
        <ns0:v>2066188.07</ns0:v>
      </ns0:c>
      <ns0:c r="N61" s="3">
        <ns0:f>'现金流量表'!N68</ns0:f>
        <ns0:v>2294277.64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未摊销资产</ns0:t>
        </ns0:is>
      </ns0:c>
      <ns0:c r="C62" s="3">
        <ns0:f>'摊销明细'!$C$31-SUM('现金流量表'!$C62:C62)</ns0:f>
        <ns0:v>110543.76</ns0:v>
      </ns0:c>
      <ns0:c r="D62" s="3">
        <ns0:f>'摊销明细'!$C$31-SUM('现金流量表'!$C62:D62)</ns0:f>
        <ns0:v>108240.78</ns0:v>
      </ns0:c>
      <ns0:c r="E62" s="3">
        <ns0:f>'摊销明细'!$C$31-SUM('现金流量表'!$C62:E62)</ns0:f>
        <ns0:v>105937.80</ns0:v>
      </ns0:c>
      <ns0:c r="F62" s="3">
        <ns0:f>'摊销明细'!$C$31-SUM('现金流量表'!$C62:F62)</ns0:f>
        <ns0:v>103634.82</ns0:v>
      </ns0:c>
      <ns0:c r="G62" s="3">
        <ns0:f>'摊销明细'!$C$31-SUM('现金流量表'!$C62:G62)</ns0:f>
        <ns0:v>101331.84</ns0:v>
      </ns0:c>
      <ns0:c r="H62" s="3">
        <ns0:f>'摊销明细'!$C$31-SUM('现金流量表'!$C62:H62)</ns0:f>
        <ns0:v>99028.86</ns0:v>
      </ns0:c>
      <ns0:c r="I62" s="3">
        <ns0:f>'摊销明细'!$C$31-SUM('现金流量表'!$C62:I62)</ns0:f>
        <ns0:v>96725.88</ns0:v>
      </ns0:c>
      <ns0:c r="J62" s="3">
        <ns0:f>'摊销明细'!$C$31-SUM('现金流量表'!$C62:J62)</ns0:f>
        <ns0:v>94422.90</ns0:v>
      </ns0:c>
      <ns0:c r="K62" s="3">
        <ns0:f>'摊销明细'!$C$31-SUM('现金流量表'!$C62:K62)</ns0:f>
        <ns0:v>92119.92</ns0:v>
      </ns0:c>
      <ns0:c r="L62" s="3">
        <ns0:f>'摊销明细'!$C$31-SUM('现金流量表'!$C62:L62)</ns0:f>
        <ns0:v>89816.94</ns0:v>
      </ns0:c>
      <ns0:c r="M62" s="3">
        <ns0:f>'摊销明细'!$C$31-SUM('现金流量表'!$C62:M62)</ns0:f>
        <ns0:v>87513.96</ns0:v>
      </ns0:c>
      <ns0:c r="N62" s="3">
        <ns0:f>'摊销明细'!$C$31-SUM('现金流量表'!$C62:N62)</ns0:f>
        <ns0:v>85210.98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资产总额</ns0:t>
        </ns0:is>
      </ns0:c>
      <ns0:c r="C63" s="3">
        <ns0:f>SUM(C61:C62)</ns0:f>
        <ns0:v>428263.11</ns0:v>
      </ns0:c>
      <ns0:c r="D63" s="3">
        <ns0:f>SUM(D61:D62)</ns0:f>
        <ns0:v>594123.10</ns0:v>
      </ns0:c>
      <ns0:c r="E63" s="3">
        <ns0:f>SUM(E61:E62)</ns0:f>
        <ns0:v>707829.31</ns0:v>
      </ns0:c>
      <ns0:c r="F63" s="3">
        <ns0:f>SUM(F61:F62)</ns0:f>
        <ns0:v>841538.83</ns0:v>
      </ns0:c>
      <ns0:c r="G63" s="3">
        <ns0:f>SUM(G61:G62)</ns0:f>
        <ns0:v>1002435.45</ns0:v>
      </ns0:c>
      <ns0:c r="H63" s="3">
        <ns0:f>SUM(H61:H62)</ns0:f>
        <ns0:v>1198631.34</ns0:v>
      </ns0:c>
      <ns0:c r="I63" s="3">
        <ns0:f>SUM(I61:I62)</ns0:f>
        <ns0:v>1479353.05</ns0:v>
      </ns0:c>
      <ns0:c r="J63" s="3">
        <ns0:f>SUM(J61:J62)</ns0:f>
        <ns0:v>1590925.85</ns0:v>
      </ns0:c>
      <ns0:c r="K63" s="3">
        <ns0:f>SUM(K61:K62)</ns0:f>
        <ns0:v>1780362.47</ns0:v>
      </ns0:c>
      <ns0:c r="L63" s="3">
        <ns0:f>SUM(L61:L62)</ns0:f>
        <ns0:v>1919778.43</ns0:v>
      </ns0:c>
      <ns0:c r="M63" s="3">
        <ns0:f>SUM(M61:M62)</ns0:f>
        <ns0:v>2153702.03</ns0:v>
      </ns0:c>
      <ns0:c r="N63" s="3">
        <ns0:f>SUM(N61:N62)</ns0:f>
        <ns0:v>2379488.62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负债总额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实收资本</ns0:t>
        </ns0:is>
      </ns0:c>
      <ns0:c r="C65" s="3">
        <ns0:f>$C$200+'摊销明细'!$C$31</ns0:f>
        <ns0:v>247069.80</ns0:v>
      </ns0:c>
      <ns0:c r="D65" s="3">
        <ns0:f>$C$200+'摊销明细'!$C$31</ns0:f>
        <ns0:v>247069.80</ns0:v>
      </ns0:c>
      <ns0:c r="E65" s="3">
        <ns0:f>$C$200+'摊销明细'!$C$31</ns0:f>
        <ns0:v>247069.80</ns0:v>
      </ns0:c>
      <ns0:c r="F65" s="3">
        <ns0:f>$C$200+'摊销明细'!$C$31</ns0:f>
        <ns0:v>247069.80</ns0:v>
      </ns0:c>
      <ns0:c r="G65" s="3">
        <ns0:f>$C$200+'摊销明细'!$C$31</ns0:f>
        <ns0:v>247069.80</ns0:v>
      </ns0:c>
      <ns0:c r="H65" s="3">
        <ns0:f>$C$200+'摊销明细'!$C$31</ns0:f>
        <ns0:v>247069.80</ns0:v>
      </ns0:c>
      <ns0:c r="I65" s="3">
        <ns0:f>$C$200+'摊销明细'!$C$31</ns0:f>
        <ns0:v>247069.80</ns0:v>
      </ns0:c>
      <ns0:c r="J65" s="3">
        <ns0:f>$C$200+'摊销明细'!$C$31</ns0:f>
        <ns0:v>247069.80</ns0:v>
      </ns0:c>
      <ns0:c r="K65" s="3">
        <ns0:f>$C$200+'摊销明细'!$C$31</ns0:f>
        <ns0:v>247069.80</ns0:v>
      </ns0:c>
      <ns0:c r="L65" s="3">
        <ns0:f>$C$200+'摊销明细'!$C$31</ns0:f>
        <ns0:v>247069.80</ns0:v>
      </ns0:c>
      <ns0:c r="M65" s="3">
        <ns0:f>$C$200+'摊销明细'!$C$31</ns0:f>
        <ns0:v>247069.80</ns0:v>
      </ns0:c>
      <ns0:c r="N65" s="3">
        <ns0:f>$C$200+'摊销明细'!$C$31</ns0:f>
        <ns0:v>247069.80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累计未分配利润</ns0:t>
        </ns0:is>
      </ns0:c>
      <ns0:c r="C66" s="3">
        <ns0:f>SUM('利润表'!$C69:C69)</ns0:f>
        <ns0:v>181193.31</ns0:v>
      </ns0:c>
      <ns0:c r="D66" s="3">
        <ns0:f>SUM('利润表'!$C69:D69)</ns0:f>
        <ns0:v>347053.30</ns0:v>
      </ns0:c>
      <ns0:c r="E66" s="3">
        <ns0:f>SUM('利润表'!$C69:E69)</ns0:f>
        <ns0:v>460759.51</ns0:v>
      </ns0:c>
      <ns0:c r="F66" s="3">
        <ns0:f>SUM('利润表'!$C69:F69)</ns0:f>
        <ns0:v>594469.03</ns0:v>
      </ns0:c>
      <ns0:c r="G66" s="3">
        <ns0:f>SUM('利润表'!$C69:G69)</ns0:f>
        <ns0:v>755365.65</ns0:v>
      </ns0:c>
      <ns0:c r="H66" s="3">
        <ns0:f>SUM('利润表'!$C69:H69)</ns0:f>
        <ns0:v>951561.54</ns0:v>
      </ns0:c>
      <ns0:c r="I66" s="3">
        <ns0:f>SUM('利润表'!$C69:I69)</ns0:f>
        <ns0:v>1232283.25</ns0:v>
      </ns0:c>
      <ns0:c r="J66" s="3">
        <ns0:f>SUM('利润表'!$C69:J69)</ns0:f>
        <ns0:v>1343856.05</ns0:v>
      </ns0:c>
      <ns0:c r="K66" s="3">
        <ns0:f>SUM('利润表'!$C69:K69)</ns0:f>
        <ns0:v>1533292.67</ns0:v>
      </ns0:c>
      <ns0:c r="L66" s="3">
        <ns0:f>SUM('利润表'!$C69:L69)</ns0:f>
        <ns0:v>1672708.63</ns0:v>
      </ns0:c>
      <ns0:c r="M66" s="3">
        <ns0:f>SUM('利润表'!$C69:M69)</ns0:f>
        <ns0:v>1906632.23</ns0:v>
      </ns0:c>
      <ns0:c r="N66" s="3">
        <ns0:f>SUM('利润表'!$C69:N69)</ns0:f>
        <ns0:v>2132418.82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所有者权益</ns0:t>
        </ns0:is>
      </ns0:c>
      <ns0:c r="C67" s="3">
        <ns0:f>SUM(C65:C66)</ns0:f>
        <ns0:v>428263.11</ns0:v>
      </ns0:c>
      <ns0:c r="D67" s="3">
        <ns0:f>SUM(D65:D66)</ns0:f>
        <ns0:v>594123.10</ns0:v>
      </ns0:c>
      <ns0:c r="E67" s="3">
        <ns0:f>SUM(E65:E66)</ns0:f>
        <ns0:v>707829.31</ns0:v>
      </ns0:c>
      <ns0:c r="F67" s="3">
        <ns0:f>SUM(F65:F66)</ns0:f>
        <ns0:v>841538.83</ns0:v>
      </ns0:c>
      <ns0:c r="G67" s="3">
        <ns0:f>SUM(G65:G66)</ns0:f>
        <ns0:v>1002435.45</ns0:v>
      </ns0:c>
      <ns0:c r="H67" s="3">
        <ns0:f>SUM(H65:H66)</ns0:f>
        <ns0:v>1198631.34</ns0:v>
      </ns0:c>
      <ns0:c r="I67" s="3">
        <ns0:f>SUM(I65:I66)</ns0:f>
        <ns0:v>1479353.05</ns0:v>
      </ns0:c>
      <ns0:c r="J67" s="3">
        <ns0:f>SUM(J65:J66)</ns0:f>
        <ns0:v>1590925.85</ns0:v>
      </ns0:c>
      <ns0:c r="K67" s="3">
        <ns0:f>SUM(K65:K66)</ns0:f>
        <ns0:v>1780362.47</ns0:v>
      </ns0:c>
      <ns0:c r="L67" s="3">
        <ns0:f>SUM(L65:L66)</ns0:f>
        <ns0:v>1919778.43</ns0:v>
      </ns0:c>
      <ns0:c r="M67" s="3">
        <ns0:f>SUM(M65:M66)</ns0:f>
        <ns0:v>2153702.03</ns0:v>
      </ns0:c>
      <ns0:c r="N67" s="3">
        <ns0:f>SUM(N65:N66)</ns0:f>
        <ns0:v>2379488.62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负债及权益合计</ns0:t>
        </ns0:is>
      </ns0:c>
      <ns0:c r="C68" s="3">
        <ns0:f>SUM(C64,C67)</ns0:f>
        <ns0:v>428263.11</ns0:v>
      </ns0:c>
      <ns0:c r="D68" s="3">
        <ns0:f>SUM(D64,D67)</ns0:f>
        <ns0:v>594123.10</ns0:v>
      </ns0:c>
      <ns0:c r="E68" s="3">
        <ns0:f>SUM(E64,E67)</ns0:f>
        <ns0:v>707829.31</ns0:v>
      </ns0:c>
      <ns0:c r="F68" s="3">
        <ns0:f>SUM(F64,F67)</ns0:f>
        <ns0:v>841538.83</ns0:v>
      </ns0:c>
      <ns0:c r="G68" s="3">
        <ns0:f>SUM(G64,G67)</ns0:f>
        <ns0:v>1002435.45</ns0:v>
      </ns0:c>
      <ns0:c r="H68" s="3">
        <ns0:f>SUM(H64,H67)</ns0:f>
        <ns0:v>1198631.34</ns0:v>
      </ns0:c>
      <ns0:c r="I68" s="3">
        <ns0:f>SUM(I64,I67)</ns0:f>
        <ns0:v>1479353.05</ns0:v>
      </ns0:c>
      <ns0:c r="J68" s="3">
        <ns0:f>SUM(J64,J67)</ns0:f>
        <ns0:v>1590925.85</ns0:v>
      </ns0:c>
      <ns0:c r="K68" s="3">
        <ns0:f>SUM(K64,K67)</ns0:f>
        <ns0:v>1780362.47</ns0:v>
      </ns0:c>
      <ns0:c r="L68" s="3">
        <ns0:f>SUM(L64,L67)</ns0:f>
        <ns0:v>1919778.43</ns0:v>
      </ns0:c>
      <ns0:c r="M68" s="3">
        <ns0:f>SUM(M64,M67)</ns0:f>
        <ns0:v>2153702.03</ns0:v>
      </ns0:c>
      <ns0:c r="N68" s="3">
        <ns0:f>SUM(N64,N67)</ns0:f>
        <ns0:v>2379488.62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期初现金（投入资本）</ns0:t>
        </ns0:is>
      </ns0:c>
      <ns0:c r="C200" s="4">
        <ns0:v>134223.06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 目</ns0:t>
        </ns0:is>
      </ns0:c>
      <ns0:c r="B2" s="2" t="inlineStr">
        <ns0:is>
          <ns0:t>行次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 t="inlineStr">
        <ns0:is>
          <ns0:t>一、经营活动产生的现金流量：</ns0:t>
        </ns0:is>
      </ns0:c>
      <ns0:c r="B3" s="2"/>
      <ns0:c r="C3" s="6" t="inlineStr">
        <ns0:is>
          <ns0:t>全年预算基础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销售商品、提供劳务收到的现金</ns0:t>
        </ns0:is>
      </ns0:c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收到的税费返还</ns0:t>
        </ns0:is>
      </ns0:c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收到其他与经营活动有关的现金</ns0:t>
        </ns0:is>
      </ns0:c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经营活动现金流入小计</ns0:t>
        </ns0:is>
      </ns0:c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购买商品、接受劳务支付的现金（04）</ns0:t>
        </ns0:is>
      </ns0:c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支付给职工以及为职工支付的现金（05）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支付的各项税费（06）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支付其他与经营活动有关的现金（07）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经营活动现金流出小计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经营活动产生的现金流量净额</ns0:t>
        </ns0:is>
      </ns0:c>
      <ns0:c r="B13" s="2"/>
      <ns0:c r="C13" s="3">
        <ns0:f>SUM(C63:N63)</ns0:f>
        <ns0:v>2160054.58</ns0:v>
      </ns0:c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二、投资活动产生的现金流量：</ns0:t>
        </ns0:is>
      </ns0:c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收回投资收到的现金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取得投资收益收到的现金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 t="inlineStr">
        <ns0:is>
          <ns0:t>处置固定资产、无形资产和其他长期资产收回的现金净额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 t="inlineStr">
        <ns0:is>
          <ns0:t>处置子公司及其他营业单位收到的现金净额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收到其他与投资活动有关的现金</ns0:t>
        </ns0:is>
      </ns0:c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投资活动现金流入小计</ns0:t>
        </ns0:is>
      </ns0:c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购建固定资产、无形资产和其他长期资产支付的现金（13）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投资支付的现金（14）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取得子公司及其他营业单位支付的现金净额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支付其他与投资活动有关的现金</ns0:t>
        </ns0:is>
      </ns0:c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投资活动现金流出小计</ns0:t>
        </ns0:is>
      </ns0:c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投资活动产生的现金流量净额</ns0:t>
        </ns0:is>
      </ns0:c>
      <ns0:c r="B26" s="2"/>
      <ns0:c r="C26" s="3">
        <ns0:f>SUM(C64:N64)</ns0:f>
        <ns0:v>0</ns0:v>
      </ns0:c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三、筹资活动产生的现金流量：</ns0:t>
        </ns0:is>
      </ns0:c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吸收投资收到的现金</ns0:t>
        </ns0:is>
      </ns0:c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取得借款收到的现金</ns0:t>
        </ns0:is>
      </ns0:c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收到其他与筹资活动有关的现金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筹资活动现金流入小计</ns0:t>
        </ns0:is>
      </ns0:c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偿还债务支付的现金</ns0:t>
        </ns0:is>
      </ns0:c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分配股利、利润或偿付利息支付的现金</ns0:t>
        </ns0:is>
      </ns0:c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支付其他与筹资活动有关的现金</ns0:t>
        </ns0:is>
      </ns0:c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筹资活动现金流出小计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筹资活动产生的现金流量净额</ns0:t>
        </ns0:is>
      </ns0:c>
      <ns0:c r="B36" s="2"/>
      <ns0:c r="C36" s="3">
        <ns0:f>SUM(C65:N65)</ns0:f>
        <ns0:v>0</ns0:v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 t="inlineStr">
        <ns0:is>
          <ns0:t>四、汇率变动对现金及现金等价物的影响</ns0:t>
        </ns0:is>
      </ns0:c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五、现金及现金等价物净增加额</ns0:t>
        </ns0:is>
      </ns0:c>
      <ns0:c r="B38" s="2"/>
      <ns0:c r="C38" s="3">
        <ns0:f>SUM(C66:N66)</ns0:f>
        <ns0:v>2160054.58</ns0:v>
      </ns0:c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加：期初现金及现金等价物余额</ns0:t>
        </ns0:is>
      </ns0:c>
      <ns0:c r="B39" s="2"/>
      <ns0:c r="C39" s="3">
        <ns0:f>C67</ns0:f>
        <ns0:v>134223.06</ns0:v>
      </ns0:c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六、期末现金及现金等价物余额</ns0:t>
        </ns0:is>
      </ns0:c>
      <ns0:c r="B40" s="2"/>
      <ns0:c r="C40" s="3">
        <ns0:f>N68</ns0:f>
        <ns0:v>2294277.64</ns0:v>
      </ns0:c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净利润</ns0:t>
        </ns0:is>
      </ns0:c>
      <ns0:c r="C61" s="3">
        <ns0:f>'利润表'!C69</ns0:f>
        <ns0:v>181193.31</ns0:v>
      </ns0:c>
      <ns0:c r="D61" s="3">
        <ns0:f>'利润表'!D69</ns0:f>
        <ns0:v>165859.99</ns0:v>
      </ns0:c>
      <ns0:c r="E61" s="3">
        <ns0:f>'利润表'!E69</ns0:f>
        <ns0:v>113706.21</ns0:v>
      </ns0:c>
      <ns0:c r="F61" s="3">
        <ns0:f>'利润表'!F69</ns0:f>
        <ns0:v>133709.52</ns0:v>
      </ns0:c>
      <ns0:c r="G61" s="3">
        <ns0:f>'利润表'!G69</ns0:f>
        <ns0:v>160896.62</ns0:v>
      </ns0:c>
      <ns0:c r="H61" s="3">
        <ns0:f>'利润表'!H69</ns0:f>
        <ns0:v>196195.89</ns0:v>
      </ns0:c>
      <ns0:c r="I61" s="3">
        <ns0:f>'利润表'!I69</ns0:f>
        <ns0:v>280721.71</ns0:v>
      </ns0:c>
      <ns0:c r="J61" s="3">
        <ns0:f>'利润表'!J69</ns0:f>
        <ns0:v>111572.80</ns0:v>
      </ns0:c>
      <ns0:c r="K61" s="3">
        <ns0:f>'利润表'!K69</ns0:f>
        <ns0:v>189436.62</ns0:v>
      </ns0:c>
      <ns0:c r="L61" s="3">
        <ns0:f>'利润表'!L69</ns0:f>
        <ns0:v>139415.96</ns0:v>
      </ns0:c>
      <ns0:c r="M61" s="3">
        <ns0:f>'利润表'!M69</ns0:f>
        <ns0:v>233923.60</ns0:v>
      </ns0:c>
      <ns0:c r="N61" s="3">
        <ns0:f>'利润表'!N69</ns0:f>
        <ns0:v>225786.59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折旧摊销加回</ns0:t>
        </ns0:is>
      </ns0:c>
      <ns0:c r="C62" s="3">
        <ns0:f>'销售费用'!C20+'管理费用'!C20+'蓝恐龙费用'!C20</ns0:f>
        <ns0:v>2302.98</ns0:v>
      </ns0:c>
      <ns0:c r="D62" s="3">
        <ns0:f>'销售费用'!D20+'管理费用'!D20+'蓝恐龙费用'!D20</ns0:f>
        <ns0:v>2302.98</ns0:v>
      </ns0:c>
      <ns0:c r="E62" s="3">
        <ns0:f>'销售费用'!E20+'管理费用'!E20+'蓝恐龙费用'!E20</ns0:f>
        <ns0:v>2302.98</ns0:v>
      </ns0:c>
      <ns0:c r="F62" s="3">
        <ns0:f>'销售费用'!F20+'管理费用'!F20+'蓝恐龙费用'!F20</ns0:f>
        <ns0:v>2302.98</ns0:v>
      </ns0:c>
      <ns0:c r="G62" s="3">
        <ns0:f>'销售费用'!G20+'管理费用'!G20+'蓝恐龙费用'!G20</ns0:f>
        <ns0:v>2302.98</ns0:v>
      </ns0:c>
      <ns0:c r="H62" s="3">
        <ns0:f>'销售费用'!H20+'管理费用'!H20+'蓝恐龙费用'!H20</ns0:f>
        <ns0:v>2302.98</ns0:v>
      </ns0:c>
      <ns0:c r="I62" s="3">
        <ns0:f>'销售费用'!I20+'管理费用'!I20+'蓝恐龙费用'!I20</ns0:f>
        <ns0:v>2302.98</ns0:v>
      </ns0:c>
      <ns0:c r="J62" s="3">
        <ns0:f>'销售费用'!J20+'管理费用'!J20+'蓝恐龙费用'!J20</ns0:f>
        <ns0:v>2302.98</ns0:v>
      </ns0:c>
      <ns0:c r="K62" s="3">
        <ns0:f>'销售费用'!K20+'管理费用'!K20+'蓝恐龙费用'!K20</ns0:f>
        <ns0:v>2302.98</ns0:v>
      </ns0:c>
      <ns0:c r="L62" s="3">
        <ns0:f>'销售费用'!L20+'管理费用'!L20+'蓝恐龙费用'!L20</ns0:f>
        <ns0:v>2302.98</ns0:v>
      </ns0:c>
      <ns0:c r="M62" s="3">
        <ns0:f>'销售费用'!M20+'管理费用'!M20+'蓝恐龙费用'!M20</ns0:f>
        <ns0:v>2302.98</ns0:v>
      </ns0:c>
      <ns0:c r="N62" s="3">
        <ns0:f>'销售费用'!N20+'管理费用'!N20+'蓝恐龙费用'!N20</ns0:f>
        <ns0:v>2302.98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经营现金净流量</ns0:t>
        </ns0:is>
      </ns0:c>
      <ns0:c r="C63" s="3">
        <ns0:f>SUM(C61:C62)</ns0:f>
        <ns0:v>183496.29</ns0:v>
      </ns0:c>
      <ns0:c r="D63" s="3">
        <ns0:f>SUM(D61:D62)</ns0:f>
        <ns0:v>168162.97</ns0:v>
      </ns0:c>
      <ns0:c r="E63" s="3">
        <ns0:f>SUM(E61:E62)</ns0:f>
        <ns0:v>116009.19</ns0:v>
      </ns0:c>
      <ns0:c r="F63" s="3">
        <ns0:f>SUM(F61:F62)</ns0:f>
        <ns0:v>136012.50</ns0:v>
      </ns0:c>
      <ns0:c r="G63" s="3">
        <ns0:f>SUM(G61:G62)</ns0:f>
        <ns0:v>163199.60</ns0:v>
      </ns0:c>
      <ns0:c r="H63" s="3">
        <ns0:f>SUM(H61:H62)</ns0:f>
        <ns0:v>198498.87</ns0:v>
      </ns0:c>
      <ns0:c r="I63" s="3">
        <ns0:f>SUM(I61:I62)</ns0:f>
        <ns0:v>283024.69</ns0:v>
      </ns0:c>
      <ns0:c r="J63" s="3">
        <ns0:f>SUM(J61:J62)</ns0:f>
        <ns0:v>113875.78</ns0:v>
      </ns0:c>
      <ns0:c r="K63" s="3">
        <ns0:f>SUM(K61:K62)</ns0:f>
        <ns0:v>191739.60</ns0:v>
      </ns0:c>
      <ns0:c r="L63" s="3">
        <ns0:f>SUM(L61:L62)</ns0:f>
        <ns0:v>141718.94</ns0:v>
      </ns0:c>
      <ns0:c r="M63" s="3">
        <ns0:f>SUM(M61:M62)</ns0:f>
        <ns0:v>236226.58</ns0:v>
      </ns0:c>
      <ns0:c r="N63" s="3">
        <ns0:f>SUM(N61:N62)</ns0:f>
        <ns0:v>228089.57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投资现金净流量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筹资现金净流量</ns0:t>
        </ns0:is>
      </ns0:c>
      <ns0:c r="C65" s="3">
        <ns0:f>0</ns0:f>
        <ns0:v>0</ns0:v>
      </ns0:c>
      <ns0:c r="D65" s="3">
        <ns0:f>0</ns0:f>
        <ns0:v>0</ns0:v>
      </ns0:c>
      <ns0:c r="E65" s="3">
        <ns0:f>0</ns0:f>
        <ns0:v>0</ns0:v>
      </ns0:c>
      <ns0:c r="F65" s="3">
        <ns0:f>0</ns0:f>
        <ns0:v>0</ns0:v>
      </ns0:c>
      <ns0:c r="G65" s="3">
        <ns0:f>0</ns0:f>
        <ns0:v>0</ns0:v>
      </ns0:c>
      <ns0:c r="H65" s="3">
        <ns0:f>0</ns0:f>
        <ns0:v>0</ns0:v>
      </ns0:c>
      <ns0:c r="I65" s="3">
        <ns0:f>0</ns0:f>
        <ns0:v>0</ns0:v>
      </ns0:c>
      <ns0:c r="J65" s="3">
        <ns0:f>0</ns0:f>
        <ns0:v>0</ns0:v>
      </ns0:c>
      <ns0:c r="K65" s="3">
        <ns0:f>0</ns0:f>
        <ns0:v>0</ns0:v>
      </ns0:c>
      <ns0:c r="L65" s="3">
        <ns0:f>0</ns0:f>
        <ns0:v>0</ns0:v>
      </ns0:c>
      <ns0:c r="M65" s="3">
        <ns0:f>0</ns0:f>
        <ns0:v>0</ns0:v>
      </ns0:c>
      <ns0:c r="N65" s="3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现金净增加</ns0:t>
        </ns0:is>
      </ns0:c>
      <ns0:c r="C66" s="3">
        <ns0:f>SUM(C63:C65)</ns0:f>
        <ns0:v>183496.29</ns0:v>
      </ns0:c>
      <ns0:c r="D66" s="3">
        <ns0:f>SUM(D63:D65)</ns0:f>
        <ns0:v>168162.97</ns0:v>
      </ns0:c>
      <ns0:c r="E66" s="3">
        <ns0:f>SUM(E63:E65)</ns0:f>
        <ns0:v>116009.19</ns0:v>
      </ns0:c>
      <ns0:c r="F66" s="3">
        <ns0:f>SUM(F63:F65)</ns0:f>
        <ns0:v>136012.50</ns0:v>
      </ns0:c>
      <ns0:c r="G66" s="3">
        <ns0:f>SUM(G63:G65)</ns0:f>
        <ns0:v>163199.60</ns0:v>
      </ns0:c>
      <ns0:c r="H66" s="3">
        <ns0:f>SUM(H63:H65)</ns0:f>
        <ns0:v>198498.87</ns0:v>
      </ns0:c>
      <ns0:c r="I66" s="3">
        <ns0:f>SUM(I63:I65)</ns0:f>
        <ns0:v>283024.69</ns0:v>
      </ns0:c>
      <ns0:c r="J66" s="3">
        <ns0:f>SUM(J63:J65)</ns0:f>
        <ns0:v>113875.78</ns0:v>
      </ns0:c>
      <ns0:c r="K66" s="3">
        <ns0:f>SUM(K63:K65)</ns0:f>
        <ns0:v>191739.60</ns0:v>
      </ns0:c>
      <ns0:c r="L66" s="3">
        <ns0:f>SUM(L63:L65)</ns0:f>
        <ns0:v>141718.94</ns0:v>
      </ns0:c>
      <ns0:c r="M66" s="3">
        <ns0:f>SUM(M63:M65)</ns0:f>
        <ns0:v>236226.58</ns0:v>
      </ns0:c>
      <ns0:c r="N66" s="3">
        <ns0:f>SUM(N63:N65)</ns0:f>
        <ns0:v>228089.57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期初现金</ns0:t>
        </ns0:is>
      </ns0:c>
      <ns0:c r="C67" s="3">
        <ns0:f>'资产负债表'!$C$200</ns0:f>
        <ns0:v>134223.06</ns0:v>
      </ns0:c>
      <ns0:c r="D67" s="3">
        <ns0:f>C68</ns0:f>
        <ns0:v>317719.35</ns0:v>
      </ns0:c>
      <ns0:c r="E67" s="3">
        <ns0:f>D68</ns0:f>
        <ns0:v>485882.32</ns0:v>
      </ns0:c>
      <ns0:c r="F67" s="3">
        <ns0:f>E68</ns0:f>
        <ns0:v>601891.51</ns0:v>
      </ns0:c>
      <ns0:c r="G67" s="3">
        <ns0:f>F68</ns0:f>
        <ns0:v>737904.01</ns0:v>
      </ns0:c>
      <ns0:c r="H67" s="3">
        <ns0:f>G68</ns0:f>
        <ns0:v>901103.61</ns0:v>
      </ns0:c>
      <ns0:c r="I67" s="3">
        <ns0:f>H68</ns0:f>
        <ns0:v>1099602.48</ns0:v>
      </ns0:c>
      <ns0:c r="J67" s="3">
        <ns0:f>I68</ns0:f>
        <ns0:v>1382627.17</ns0:v>
      </ns0:c>
      <ns0:c r="K67" s="3">
        <ns0:f>J68</ns0:f>
        <ns0:v>1496502.95</ns0:v>
      </ns0:c>
      <ns0:c r="L67" s="3">
        <ns0:f>K68</ns0:f>
        <ns0:v>1688242.55</ns0:v>
      </ns0:c>
      <ns0:c r="M67" s="3">
        <ns0:f>L68</ns0:f>
        <ns0:v>1829961.49</ns0:v>
      </ns0:c>
      <ns0:c r="N67" s="3">
        <ns0:f>M68</ns0:f>
        <ns0:v>2066188.07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期末现金</ns0:t>
        </ns0:is>
      </ns0:c>
      <ns0:c r="C68" s="3">
        <ns0:f>SUM(C66:C67)</ns0:f>
        <ns0:v>317719.35</ns0:v>
      </ns0:c>
      <ns0:c r="D68" s="3">
        <ns0:f>SUM(D66:D67)</ns0:f>
        <ns0:v>485882.32</ns0:v>
      </ns0:c>
      <ns0:c r="E68" s="3">
        <ns0:f>SUM(E66:E67)</ns0:f>
        <ns0:v>601891.51</ns0:v>
      </ns0:c>
      <ns0:c r="F68" s="3">
        <ns0:f>SUM(F66:F67)</ns0:f>
        <ns0:v>737904.01</ns0:v>
      </ns0:c>
      <ns0:c r="G68" s="3">
        <ns0:f>SUM(G66:G67)</ns0:f>
        <ns0:v>901103.61</ns0:v>
      </ns0:c>
      <ns0:c r="H68" s="3">
        <ns0:f>SUM(H66:H67)</ns0:f>
        <ns0:v>1099602.48</ns0:v>
      </ns0:c>
      <ns0:c r="I68" s="3">
        <ns0:f>SUM(I66:I67)</ns0:f>
        <ns0:v>1382627.17</ns0:v>
      </ns0:c>
      <ns0:c r="J68" s="3">
        <ns0:f>SUM(J66:J67)</ns0:f>
        <ns0:v>1496502.95</ns0:v>
      </ns0:c>
      <ns0:c r="K68" s="3">
        <ns0:f>SUM(K66:K67)</ns0:f>
        <ns0:v>1688242.55</ns0:v>
      </ns0:c>
      <ns0:c r="L68" s="3">
        <ns0:f>SUM(L66:L67)</ns0:f>
        <ns0:v>1829961.49</ns0:v>
      </ns0:c>
      <ns0:c r="M68" s="3">
        <ns0:f>SUM(M66:M67)</ns0:f>
        <ns0:v>2066188.07</ns0:v>
      </ns0:c>
      <ns0:c r="N68" s="3">
        <ns0:f>SUM(N66:N67)</ns0:f>
        <ns0:v>2294277.64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 t="inlineStr">
        <ns0:is>
          <ns0:t>电视剧</ns0:t>
        </ns0:is>
      </ns0:c>
      <ns0:c r="C3" s="6"/>
      <ns0:c r="D3" s="6" t="inlineStr">
        <ns0:is>
          <ns0:t>项目名称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1942.67</ns0:v>
      </ns0:c>
      <ns0:c r="D31" s="4">
        <ns0:v>1725.00</ns0:v>
      </ns0:c>
      <ns0:c r="E31" s="4">
        <ns0:v>1375.40</ns0:v>
      </ns0:c>
      <ns0:c r="F31" s="4">
        <ns0:v>2233.03</ns0:v>
      </ns0:c>
      <ns0:c r="G31" s="4">
        <ns0:v>1665.86</ns0:v>
      </ns0:c>
      <ns0:c r="H31" s="4">
        <ns0:v>1653.56</ns0:v>
      </ns0:c>
      <ns0:c r="I31" s="4">
        <ns0:v>2657.06</ns0:v>
      </ns0:c>
      <ns0:c r="J31" s="4">
        <ns0:v>2079.09</ns0:v>
      </ns0:c>
      <ns0:c r="K31" s="4">
        <ns0:v>1937.41</ns0:v>
      </ns0:c>
      <ns0:c r="L31" s="4">
        <ns0:v>1902.33</ns0:v>
      </ns0:c>
      <ns0:c r="M31" s="4">
        <ns0:v>2430.73</ns0:v>
      </ns0:c>
      <ns0:c r="N31" s="4">
        <ns0:v>1886.36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132.23</ns0:v>
      </ns0:c>
      <ns0:c r="D32" s="4">
        <ns0:v>83.17</ns0:v>
      </ns0:c>
      <ns0:c r="E32" s="4">
        <ns0:v>77.97</ns0:v>
      </ns0:c>
      <ns0:c r="F32" s="4">
        <ns0:v>80.63</ns0:v>
      </ns0:c>
      <ns0:c r="G32" s="4">
        <ns0:v>79.55</ns0:v>
      </ns0:c>
      <ns0:c r="H32" s="4">
        <ns0:v>76.96</ns0:v>
      </ns0:c>
      <ns0:c r="I32" s="4">
        <ns0:v>109.39</ns0:v>
      </ns0:c>
      <ns0:c r="J32" s="4">
        <ns0:v>93.51</ns0:v>
      </ns0:c>
      <ns0:c r="K32" s="4">
        <ns0:v>100.96</ns0:v>
      </ns0:c>
      <ns0:c r="L32" s="4">
        <ns0:v>86.91</ns0:v>
      </ns0:c>
      <ns0:c r="M32" s="4">
        <ns0:v>78.90</ns0:v>
      </ns0:c>
      <ns0:c r="N32" s="4">
        <ns0:v>90.71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256879.25</ns0:v>
      </ns0:c>
      <ns0:c r="D33" s="3">
        <ns0:f>ROUND(D31*D32,2)</ns0:f>
        <ns0:v>143468.25</ns0:v>
      </ns0:c>
      <ns0:c r="E33" s="3">
        <ns0:f>ROUND(E31*E32,2)</ns0:f>
        <ns0:v>107239.94</ns0:v>
      </ns0:c>
      <ns0:c r="F33" s="3">
        <ns0:f>ROUND(F31*F32,2)</ns0:f>
        <ns0:v>180049.21</ns0:v>
      </ns0:c>
      <ns0:c r="G33" s="3">
        <ns0:f>ROUND(G31*G32,2)</ns0:f>
        <ns0:v>132519.16</ns0:v>
      </ns0:c>
      <ns0:c r="H33" s="3">
        <ns0:f>ROUND(H31*H32,2)</ns0:f>
        <ns0:v>127257.98</ns0:v>
      </ns0:c>
      <ns0:c r="I33" s="3">
        <ns0:f>ROUND(I31*I32,2)</ns0:f>
        <ns0:v>290655.79</ns0:v>
      </ns0:c>
      <ns0:c r="J33" s="3">
        <ns0:f>ROUND(J31*J32,2)</ns0:f>
        <ns0:v>194415.71</ns0:v>
      </ns0:c>
      <ns0:c r="K33" s="3">
        <ns0:f>ROUND(K31*K32,2)</ns0:f>
        <ns0:v>195600.91</ns0:v>
      </ns0:c>
      <ns0:c r="L33" s="3">
        <ns0:f>ROUND(L31*L32,2)</ns0:f>
        <ns0:v>165331.50</ns0:v>
      </ns0:c>
      <ns0:c r="M33" s="3">
        <ns0:f>ROUND(M31*M32,2)</ns0:f>
        <ns0:v>191784.60</ns0:v>
      </ns0:c>
      <ns0:c r="N33" s="3">
        <ns0:f>ROUND(N31*N32,2)</ns0:f>
        <ns0:v>171111.72</ns0:v>
      </ns0:c>
      <ns0:c r="O33" s="3">
        <ns0:f>SUM(C33:N33)</ns0:f>
        <ns0:v>2156314.02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761.54</ns0:v>
      </ns0:c>
      <ns0:c r="D34" s="4">
        <ns0:v>716.60</ns0:v>
      </ns0:c>
      <ns0:c r="E34" s="4">
        <ns0:v>804.07</ns0:v>
      </ns0:c>
      <ns0:c r="F34" s="4">
        <ns0:v>829.29</ns0:v>
      </ns0:c>
      <ns0:c r="G34" s="4">
        <ns0:v>648.16</ns0:v>
      </ns0:c>
      <ns0:c r="H34" s="4">
        <ns0:v>881.00</ns0:v>
      </ns0:c>
      <ns0:c r="I34" s="4">
        <ns0:v>683.39</ns0:v>
      </ns0:c>
      <ns0:c r="J34" s="4">
        <ns0:v>893.27</ns0:v>
      </ns0:c>
      <ns0:c r="K34" s="4">
        <ns0:v>892.89</ns0:v>
      </ns0:c>
      <ns0:c r="L34" s="4">
        <ns0:v>656.44</ns0:v>
      </ns0:c>
      <ns0:c r="M34" s="4">
        <ns0:v>741.28</ns0:v>
      </ns0:c>
      <ns0:c r="N34" s="4">
        <ns0:v>809.85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132.23</ns0:v>
      </ns0:c>
      <ns0:c r="D35" s="3">
        <ns0:f>D32</ns0:f>
        <ns0:v>83.17</ns0:v>
      </ns0:c>
      <ns0:c r="E35" s="3">
        <ns0:f>E32</ns0:f>
        <ns0:v>77.97</ns0:v>
      </ns0:c>
      <ns0:c r="F35" s="3">
        <ns0:f>F32</ns0:f>
        <ns0:v>80.63</ns0:v>
      </ns0:c>
      <ns0:c r="G35" s="3">
        <ns0:f>G32</ns0:f>
        <ns0:v>79.55</ns0:v>
      </ns0:c>
      <ns0:c r="H35" s="3">
        <ns0:f>H32</ns0:f>
        <ns0:v>76.96</ns0:v>
      </ns0:c>
      <ns0:c r="I35" s="3">
        <ns0:f>I32</ns0:f>
        <ns0:v>109.39</ns0:v>
      </ns0:c>
      <ns0:c r="J35" s="3">
        <ns0:f>J32</ns0:f>
        <ns0:v>93.51</ns0:v>
      </ns0:c>
      <ns0:c r="K35" s="3">
        <ns0:f>K32</ns0:f>
        <ns0:v>100.96</ns0:v>
      </ns0:c>
      <ns0:c r="L35" s="3">
        <ns0:f>L32</ns0:f>
        <ns0:v>86.91</ns0:v>
      </ns0:c>
      <ns0:c r="M35" s="3">
        <ns0:f>M32</ns0:f>
        <ns0:v>78.90</ns0:v>
      </ns0:c>
      <ns0:c r="N35" s="3">
        <ns0:f>N32</ns0:f>
        <ns0:v>90.71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100698.43</ns0:v>
      </ns0:c>
      <ns0:c r="D36" s="3">
        <ns0:f>ROUND(D34*D35,2)</ns0:f>
        <ns0:v>59599.62</ns0:v>
      </ns0:c>
      <ns0:c r="E36" s="3">
        <ns0:f>ROUND(E34*E35,2)</ns0:f>
        <ns0:v>62693.34</ns0:v>
      </ns0:c>
      <ns0:c r="F36" s="3">
        <ns0:f>ROUND(F34*F35,2)</ns0:f>
        <ns0:v>66865.65</ns0:v>
      </ns0:c>
      <ns0:c r="G36" s="3">
        <ns0:f>ROUND(G34*G35,2)</ns0:f>
        <ns0:v>51561.13</ns0:v>
      </ns0:c>
      <ns0:c r="H36" s="3">
        <ns0:f>ROUND(H34*H35,2)</ns0:f>
        <ns0:v>67801.76</ns0:v>
      </ns0:c>
      <ns0:c r="I36" s="3">
        <ns0:f>ROUND(I34*I35,2)</ns0:f>
        <ns0:v>74756.03</ns0:v>
      </ns0:c>
      <ns0:c r="J36" s="3">
        <ns0:f>ROUND(J34*J35,2)</ns0:f>
        <ns0:v>83529.68</ns0:v>
      </ns0:c>
      <ns0:c r="K36" s="3">
        <ns0:f>ROUND(K34*K35,2)</ns0:f>
        <ns0:v>90146.17</ns0:v>
      </ns0:c>
      <ns0:c r="L36" s="3">
        <ns0:f>ROUND(L34*L35,2)</ns0:f>
        <ns0:v>57051.20</ns0:v>
      </ns0:c>
      <ns0:c r="M36" s="3">
        <ns0:f>ROUND(M34*M35,2)</ns0:f>
        <ns0:v>58486.99</ns0:v>
      </ns0:c>
      <ns0:c r="N36" s="3">
        <ns0:f>ROUND(N34*N35,2)</ns0:f>
        <ns0:v>73461.49</ns0:v>
      </ns0:c>
      <ns0:c r="O36" s="3">
        <ns0:f>SUM(C36:N36)</ns0:f>
        <ns0:v>846651.49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100698.43</ns0:v>
      </ns0:c>
      <ns0:c r="D37" s="3">
        <ns0:f>D36</ns0:f>
        <ns0:v>59599.62</ns0:v>
      </ns0:c>
      <ns0:c r="E37" s="3">
        <ns0:f>E36</ns0:f>
        <ns0:v>62693.34</ns0:v>
      </ns0:c>
      <ns0:c r="F37" s="3">
        <ns0:f>F36</ns0:f>
        <ns0:v>66865.65</ns0:v>
      </ns0:c>
      <ns0:c r="G37" s="3">
        <ns0:f>G36</ns0:f>
        <ns0:v>51561.13</ns0:v>
      </ns0:c>
      <ns0:c r="H37" s="3">
        <ns0:f>H36</ns0:f>
        <ns0:v>67801.76</ns0:v>
      </ns0:c>
      <ns0:c r="I37" s="3">
        <ns0:f>I36</ns0:f>
        <ns0:v>74756.03</ns0:v>
      </ns0:c>
      <ns0:c r="J37" s="3">
        <ns0:f>J36</ns0:f>
        <ns0:v>83529.68</ns0:v>
      </ns0:c>
      <ns0:c r="K37" s="3">
        <ns0:f>K36</ns0:f>
        <ns0:v>90146.17</ns0:v>
      </ns0:c>
      <ns0:c r="L37" s="3">
        <ns0:f>L36</ns0:f>
        <ns0:v>57051.20</ns0:v>
      </ns0:c>
      <ns0:c r="M37" s="3">
        <ns0:f>M36</ns0:f>
        <ns0:v>58486.99</ns0:v>
      </ns0:c>
      <ns0:c r="N37" s="3">
        <ns0:f>N36</ns0:f>
        <ns0:v>73461.49</ns0:v>
      </ns0:c>
      <ns0:c r="O37" s="3">
        <ns0:f>SUM(C37:N37)</ns0:f>
        <ns0:v>846651.49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项目名称</ns0:t>
        </ns0:is>
      </ns0:c>
      <ns0:c r="C2" s="3"/>
      <ns0:c r="D2" s="3" t="inlineStr">
        <ns0:is>
          <ns0:t>投资比例</ns0:t>
        </ns0:is>
      </ns0:c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 t="inlineStr">
        <ns0:is>
          <ns0:t>成本</ns0:t>
        </ns0:is>
      </ns0:c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1564.70</ns0:v>
      </ns0:c>
      <ns0:c r="D31" s="4">
        <ns0:v>2061.29</ns0:v>
      </ns0:c>
      <ns0:c r="E31" s="4">
        <ns0:v>1995.24</ns0:v>
      </ns0:c>
      <ns0:c r="F31" s="4">
        <ns0:v>1522.39</ns0:v>
      </ns0:c>
      <ns0:c r="G31" s="4">
        <ns0:v>2027.91</ns0:v>
      </ns0:c>
      <ns0:c r="H31" s="4">
        <ns0:v>2583.98</ns0:v>
      </ns0:c>
      <ns0:c r="I31" s="4">
        <ns0:v>2365.69</ns0:v>
      </ns0:c>
      <ns0:c r="J31" s="4">
        <ns0:v>1412.11</ns0:v>
      </ns0:c>
      <ns0:c r="K31" s="4">
        <ns0:v>2154.92</ns0:v>
      </ns0:c>
      <ns0:c r="L31" s="4">
        <ns0:v>1459.64</ns0:v>
      </ns0:c>
      <ns0:c r="M31" s="4">
        <ns0:v>2225.23</ns0:v>
      </ns0:c>
      <ns0:c r="N31" s="4">
        <ns0:v>2185.98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90.11</ns0:v>
      </ns0:c>
      <ns0:c r="D32" s="4">
        <ns0:v>93.41</ns0:v>
      </ns0:c>
      <ns0:c r="E32" s="4">
        <ns0:v>97.53</ns0:v>
      </ns0:c>
      <ns0:c r="F32" s="4">
        <ns0:v>88.95</ns0:v>
      </ns0:c>
      <ns0:c r="G32" s="4">
        <ns0:v>106.62</ns0:v>
      </ns0:c>
      <ns0:c r="H32" s="4">
        <ns0:v>103.73</ns0:v>
      </ns0:c>
      <ns0:c r="I32" s="4">
        <ns0:v>88.66</ns0:v>
      </ns0:c>
      <ns0:c r="J32" s="4">
        <ns0:v>73.22</ns0:v>
      </ns0:c>
      <ns0:c r="K32" s="4">
        <ns0:v>94.15</ns0:v>
      </ns0:c>
      <ns0:c r="L32" s="4">
        <ns0:v>100.25</ns0:v>
      </ns0:c>
      <ns0:c r="M32" s="4">
        <ns0:v>111.16</ns0:v>
      </ns0:c>
      <ns0:c r="N32" s="4">
        <ns0:v>129.92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140995.12</ns0:v>
      </ns0:c>
      <ns0:c r="D33" s="3">
        <ns0:f>ROUND(D31*D32,2)</ns0:f>
        <ns0:v>192545.10</ns0:v>
      </ns0:c>
      <ns0:c r="E33" s="3">
        <ns0:f>ROUND(E31*E32,2)</ns0:f>
        <ns0:v>194595.76</ns0:v>
      </ns0:c>
      <ns0:c r="F33" s="3">
        <ns0:f>ROUND(F31*F32,2)</ns0:f>
        <ns0:v>135416.59</ns0:v>
      </ns0:c>
      <ns0:c r="G33" s="3">
        <ns0:f>ROUND(G31*G32,2)</ns0:f>
        <ns0:v>216215.76</ns0:v>
      </ns0:c>
      <ns0:c r="H33" s="3">
        <ns0:f>ROUND(H31*H32,2)</ns0:f>
        <ns0:v>268036.25</ns0:v>
      </ns0:c>
      <ns0:c r="I33" s="3">
        <ns0:f>ROUND(I31*I32,2)</ns0:f>
        <ns0:v>209742.08</ns0:v>
      </ns0:c>
      <ns0:c r="J33" s="3">
        <ns0:f>ROUND(J31*J32,2)</ns0:f>
        <ns0:v>103394.69</ns0:v>
      </ns0:c>
      <ns0:c r="K33" s="3">
        <ns0:f>ROUND(K31*K32,2)</ns0:f>
        <ns0:v>202885.72</ns0:v>
      </ns0:c>
      <ns0:c r="L33" s="3">
        <ns0:f>ROUND(L31*L32,2)</ns0:f>
        <ns0:v>146328.91</ns0:v>
      </ns0:c>
      <ns0:c r="M33" s="3">
        <ns0:f>ROUND(M31*M32,2)</ns0:f>
        <ns0:v>247356.57</ns0:v>
      </ns0:c>
      <ns0:c r="N33" s="3">
        <ns0:f>ROUND(N31*N32,2)</ns0:f>
        <ns0:v>284002.52</ns0:v>
      </ns0:c>
      <ns0:c r="O33" s="3">
        <ns0:f>SUM(C33:N33)</ns0:f>
        <ns0:v>2341515.07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609.41</ns0:v>
      </ns0:c>
      <ns0:c r="D34" s="4">
        <ns0:v>545.89</ns0:v>
      </ns0:c>
      <ns0:c r="E34" s="4">
        <ns0:v>818.41</ns0:v>
      </ns0:c>
      <ns0:c r="F34" s="4">
        <ns0:v>697.14</ns0:v>
      </ns0:c>
      <ns0:c r="G34" s="4">
        <ns0:v>735.89</ns0:v>
      </ns0:c>
      <ns0:c r="H34" s="4">
        <ns0:v>625.70</ns0:v>
      </ns0:c>
      <ns0:c r="I34" s="4">
        <ns0:v>694.45</ns0:v>
      </ns0:c>
      <ns0:c r="J34" s="4">
        <ns0:v>792.80</ns0:v>
      </ns0:c>
      <ns0:c r="K34" s="4">
        <ns0:v>575.69</ns0:v>
      </ns0:c>
      <ns0:c r="L34" s="4">
        <ns0:v>608.88</ns0:v>
      </ns0:c>
      <ns0:c r="M34" s="4">
        <ns0:v>641.34</ns0:v>
      </ns0:c>
      <ns0:c r="N34" s="4">
        <ns0:v>634.82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90.11</ns0:v>
      </ns0:c>
      <ns0:c r="D35" s="3">
        <ns0:f>D32</ns0:f>
        <ns0:v>93.41</ns0:v>
      </ns0:c>
      <ns0:c r="E35" s="3">
        <ns0:f>E32</ns0:f>
        <ns0:v>97.53</ns0:v>
      </ns0:c>
      <ns0:c r="F35" s="3">
        <ns0:f>F32</ns0:f>
        <ns0:v>88.95</ns0:v>
      </ns0:c>
      <ns0:c r="G35" s="3">
        <ns0:f>G32</ns0:f>
        <ns0:v>106.62</ns0:v>
      </ns0:c>
      <ns0:c r="H35" s="3">
        <ns0:f>H32</ns0:f>
        <ns0:v>103.73</ns0:v>
      </ns0:c>
      <ns0:c r="I35" s="3">
        <ns0:f>I32</ns0:f>
        <ns0:v>88.66</ns0:v>
      </ns0:c>
      <ns0:c r="J35" s="3">
        <ns0:f>J32</ns0:f>
        <ns0:v>73.22</ns0:v>
      </ns0:c>
      <ns0:c r="K35" s="3">
        <ns0:f>K32</ns0:f>
        <ns0:v>94.15</ns0:v>
      </ns0:c>
      <ns0:c r="L35" s="3">
        <ns0:f>L32</ns0:f>
        <ns0:v>100.25</ns0:v>
      </ns0:c>
      <ns0:c r="M35" s="3">
        <ns0:f>M32</ns0:f>
        <ns0:v>111.16</ns0:v>
      </ns0:c>
      <ns0:c r="N35" s="3">
        <ns0:f>N32</ns0:f>
        <ns0:v>129.92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54913.94</ns0:v>
      </ns0:c>
      <ns0:c r="D36" s="3">
        <ns0:f>ROUND(D34*D35,2)</ns0:f>
        <ns0:v>50991.58</ns0:v>
      </ns0:c>
      <ns0:c r="E36" s="3">
        <ns0:f>ROUND(E34*E35,2)</ns0:f>
        <ns0:v>79819.53</ns0:v>
      </ns0:c>
      <ns0:c r="F36" s="3">
        <ns0:f>ROUND(F34*F35,2)</ns0:f>
        <ns0:v>62010.60</ns0:v>
      </ns0:c>
      <ns0:c r="G36" s="3">
        <ns0:f>ROUND(G34*G35,2)</ns0:f>
        <ns0:v>78460.59</ns0:v>
      </ns0:c>
      <ns0:c r="H36" s="3">
        <ns0:f>ROUND(H34*H35,2)</ns0:f>
        <ns0:v>64903.86</ns0:v>
      </ns0:c>
      <ns0:c r="I36" s="3">
        <ns0:f>ROUND(I34*I35,2)</ns0:f>
        <ns0:v>61569.94</ns0:v>
      </ns0:c>
      <ns0:c r="J36" s="3">
        <ns0:f>ROUND(J34*J35,2)</ns0:f>
        <ns0:v>58048.82</ns0:v>
      </ns0:c>
      <ns0:c r="K36" s="3">
        <ns0:f>ROUND(K34*K35,2)</ns0:f>
        <ns0:v>54201.21</ns0:v>
      </ns0:c>
      <ns0:c r="L36" s="3">
        <ns0:f>ROUND(L34*L35,2)</ns0:f>
        <ns0:v>61040.22</ns0:v>
      </ns0:c>
      <ns0:c r="M36" s="3">
        <ns0:f>ROUND(M34*M35,2)</ns0:f>
        <ns0:v>71291.35</ns0:v>
      </ns0:c>
      <ns0:c r="N36" s="3">
        <ns0:f>ROUND(N34*N35,2)</ns0:f>
        <ns0:v>82475.81</ns0:v>
      </ns0:c>
      <ns0:c r="O36" s="3">
        <ns0:f>SUM(C36:N36)</ns0:f>
        <ns0:v>779727.45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54913.94</ns0:v>
      </ns0:c>
      <ns0:c r="D37" s="3">
        <ns0:f>D36</ns0:f>
        <ns0:v>50991.58</ns0:v>
      </ns0:c>
      <ns0:c r="E37" s="3">
        <ns0:f>E36</ns0:f>
        <ns0:v>79819.53</ns0:v>
      </ns0:c>
      <ns0:c r="F37" s="3">
        <ns0:f>F36</ns0:f>
        <ns0:v>62010.60</ns0:v>
      </ns0:c>
      <ns0:c r="G37" s="3">
        <ns0:f>G36</ns0:f>
        <ns0:v>78460.59</ns0:v>
      </ns0:c>
      <ns0:c r="H37" s="3">
        <ns0:f>H36</ns0:f>
        <ns0:v>64903.86</ns0:v>
      </ns0:c>
      <ns0:c r="I37" s="3">
        <ns0:f>I36</ns0:f>
        <ns0:v>61569.94</ns0:v>
      </ns0:c>
      <ns0:c r="J37" s="3">
        <ns0:f>J36</ns0:f>
        <ns0:v>58048.82</ns0:v>
      </ns0:c>
      <ns0:c r="K37" s="3">
        <ns0:f>K36</ns0:f>
        <ns0:v>54201.21</ns0:v>
      </ns0:c>
      <ns0:c r="L37" s="3">
        <ns0:f>L36</ns0:f>
        <ns0:v>61040.22</ns0:v>
      </ns0:c>
      <ns0:c r="M37" s="3">
        <ns0:f>M36</ns0:f>
        <ns0:v>71291.35</ns0:v>
      </ns0:c>
      <ns0:c r="N37" s="3">
        <ns0:f>N36</ns0:f>
        <ns0:v>82475.81</ns0:v>
      </ns0:c>
      <ns0:c r="O37" s="3">
        <ns0:f>SUM(C37:N37)</ns0:f>
        <ns0:v>779727.45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税金及附加</ns0:t>
        </ns0:is>
      </ns0:c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综合附加率（演示假设）</ns0:t>
        </ns0:is>
      </ns0:c>
      <ns0:c r="C31" s="4">
        <ns0:v>0.00589</ns0:v>
      </ns0:c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计税收入</ns0:t>
        </ns0:is>
      </ns0:c>
      <ns0:c r="C32" s="3">
        <ns0:f>'收入非主控'!C33+'收入主控'!C33</ns0:f>
        <ns0:v>397874.37</ns0:v>
      </ns0:c>
      <ns0:c r="D32" s="3">
        <ns0:f>'收入非主控'!D33+'收入主控'!D33</ns0:f>
        <ns0:v>336013.35</ns0:v>
      </ns0:c>
      <ns0:c r="E32" s="3">
        <ns0:f>'收入非主控'!E33+'收入主控'!E33</ns0:f>
        <ns0:v>301835.70</ns0:v>
      </ns0:c>
      <ns0:c r="F32" s="3">
        <ns0:f>'收入非主控'!F33+'收入主控'!F33</ns0:f>
        <ns0:v>315465.80</ns0:v>
      </ns0:c>
      <ns0:c r="G32" s="3">
        <ns0:f>'收入非主控'!G33+'收入主控'!G33</ns0:f>
        <ns0:v>348734.92</ns0:v>
      </ns0:c>
      <ns0:c r="H32" s="3">
        <ns0:f>'收入非主控'!H33+'收入主控'!H33</ns0:f>
        <ns0:v>395294.23</ns0:v>
      </ns0:c>
      <ns0:c r="I32" s="3">
        <ns0:f>'收入非主控'!I33+'收入主控'!I33</ns0:f>
        <ns0:v>500397.87</ns0:v>
      </ns0:c>
      <ns0:c r="J32" s="3">
        <ns0:f>'收入非主控'!J33+'收入主控'!J33</ns0:f>
        <ns0:v>297810.40</ns0:v>
      </ns0:c>
      <ns0:c r="K32" s="3">
        <ns0:f>'收入非主控'!K33+'收入主控'!K33</ns0:f>
        <ns0:v>398486.63</ns0:v>
      </ns0:c>
      <ns0:c r="L32" s="3">
        <ns0:f>'收入非主控'!L33+'收入主控'!L33</ns0:f>
        <ns0:v>311660.41</ns0:v>
      </ns0:c>
      <ns0:c r="M32" s="3">
        <ns0:f>'收入非主控'!M33+'收入主控'!M33</ns0:f>
        <ns0:v>439141.17</ns0:v>
      </ns0:c>
      <ns0:c r="N32" s="3">
        <ns0:f>'收入非主控'!N33+'收入主控'!N33</ns0:f>
        <ns0:v>455114.24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税金及附加</ns0:t>
        </ns0:is>
      </ns0:c>
      <ns0:c r="C33" s="3">
        <ns0:f>ROUND(C32*$C$31,2)</ns0:f>
        <ns0:v>2343.48</ns0:v>
      </ns0:c>
      <ns0:c r="D33" s="3">
        <ns0:f>ROUND(D32*$C$31,2)</ns0:f>
        <ns0:v>1979.12</ns0:v>
      </ns0:c>
      <ns0:c r="E33" s="3">
        <ns0:f>ROUND(E32*$C$31,2)</ns0:f>
        <ns0:v>1777.81</ns0:v>
      </ns0:c>
      <ns0:c r="F33" s="3">
        <ns0:f>ROUND(F32*$C$31,2)</ns0:f>
        <ns0:v>1858.09</ns0:v>
      </ns0:c>
      <ns0:c r="G33" s="3">
        <ns0:f>ROUND(G32*$C$31,2)</ns0:f>
        <ns0:v>2054.05</ns0:v>
      </ns0:c>
      <ns0:c r="H33" s="3">
        <ns0:f>ROUND(H32*$C$31,2)</ns0:f>
        <ns0:v>2328.28</ns0:v>
      </ns0:c>
      <ns0:c r="I33" s="3">
        <ns0:f>ROUND(I32*$C$31,2)</ns0:f>
        <ns0:v>2947.34</ns0:v>
      </ns0:c>
      <ns0:c r="J33" s="3">
        <ns0:f>ROUND(J32*$C$31,2)</ns0:f>
        <ns0:v>1754.10</ns0:v>
      </ns0:c>
      <ns0:c r="K33" s="3">
        <ns0:f>ROUND(K32*$C$31,2)</ns0:f>
        <ns0:v>2347.09</ns0:v>
      </ns0:c>
      <ns0:c r="L33" s="3">
        <ns0:f>ROUND(L32*$C$31,2)</ns0:f>
        <ns0:v>1835.68</ns0:v>
      </ns0:c>
      <ns0:c r="M33" s="3">
        <ns0:f>ROUND(M32*$C$31,2)</ns0:f>
        <ns0:v>2586.54</ns0:v>
      </ns0:c>
      <ns0:c r="N33" s="3">
        <ns0:f>ROUND(N32*$C$31,2)</ns0:f>
        <ns0:v>2680.62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292.06</ns0:v>
      </ns0:c>
      <ns0:c r="D4" s="3">
        <ns0:f>ROUND(D204*D324,2)</ns0:f>
        <ns0:v>120.47</ns0:v>
      </ns0:c>
      <ns0:c r="E4" s="3">
        <ns0:f>ROUND(E204*E324,2)</ns0:f>
        <ns0:v>314.77</ns0:v>
      </ns0:c>
      <ns0:c r="F4" s="3">
        <ns0:f>ROUND(F204*F324,2)</ns0:f>
        <ns0:v>479.00</ns0:v>
      </ns0:c>
      <ns0:c r="G4" s="3">
        <ns0:f>ROUND(G204*G324,2)</ns0:f>
        <ns0:v>540.57</ns0:v>
      </ns0:c>
      <ns0:c r="H4" s="3">
        <ns0:f>ROUND(H204*H324,2)</ns0:f>
        <ns0:v>78.71</ns0:v>
      </ns0:c>
      <ns0:c r="I4" s="3">
        <ns0:f>ROUND(I204*I324,2)</ns0:f>
        <ns0:v>143.99</ns0:v>
      </ns0:c>
      <ns0:c r="J4" s="3">
        <ns0:f>ROUND(J204*J324,2)</ns0:f>
        <ns0:v>80.80</ns0:v>
      </ns0:c>
      <ns0:c r="K4" s="3">
        <ns0:f>ROUND(K204*K324,2)</ns0:f>
        <ns0:v>365.47</ns0:v>
      </ns0:c>
      <ns0:c r="L4" s="3">
        <ns0:f>ROUND(L204*L324,2)</ns0:f>
        <ns0:v>199.06</ns0:v>
      </ns0:c>
      <ns0:c r="M4" s="3">
        <ns0:f>ROUND(M204*M324,2)</ns0:f>
        <ns0:v>247.26</ns0:v>
      </ns0:c>
      <ns0:c r="N4" s="3">
        <ns0:f>ROUND(N204*N324,2)</ns0:f>
        <ns0:v>284.29</ns0:v>
      </ns0:c>
      <ns0:c r="O4" s="3">
        <ns0:f>SUM(C4:N4)</ns0:f>
        <ns0:v>3146.45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168.33</ns0:v>
      </ns0:c>
      <ns0:c r="D5" s="3">
        <ns0:f>ROUND(D205*D325,2)</ns0:f>
        <ns0:v>449.22</ns0:v>
      </ns0:c>
      <ns0:c r="E5" s="3">
        <ns0:f>ROUND(E205*E325,2)</ns0:f>
        <ns0:v>170.36</ns0:v>
      </ns0:c>
      <ns0:c r="F5" s="3">
        <ns0:f>ROUND(F205*F325,2)</ns0:f>
        <ns0:v>507.81</ns0:v>
      </ns0:c>
      <ns0:c r="G5" s="3">
        <ns0:f>ROUND(G205*G325,2)</ns0:f>
        <ns0:v>371.88</ns0:v>
      </ns0:c>
      <ns0:c r="H5" s="3">
        <ns0:f>ROUND(H205*H325,2)</ns0:f>
        <ns0:v>194.08</ns0:v>
      </ns0:c>
      <ns0:c r="I5" s="3">
        <ns0:f>ROUND(I205*I325,2)</ns0:f>
        <ns0:v>333.49</ns0:v>
      </ns0:c>
      <ns0:c r="J5" s="3">
        <ns0:f>ROUND(J205*J325,2)</ns0:f>
        <ns0:v>107.22</ns0:v>
      </ns0:c>
      <ns0:c r="K5" s="3">
        <ns0:f>ROUND(K205*K325,2)</ns0:f>
        <ns0:v>148.23</ns0:v>
      </ns0:c>
      <ns0:c r="L5" s="3">
        <ns0:f>ROUND(L205*L325,2)</ns0:f>
        <ns0:v>103.98</ns0:v>
      </ns0:c>
      <ns0:c r="M5" s="3">
        <ns0:f>ROUND(M205*M325,2)</ns0:f>
        <ns0:v>46.46</ns0:v>
      </ns0:c>
      <ns0:c r="N5" s="3">
        <ns0:f>ROUND(N205*N325,2)</ns0:f>
        <ns0:v>399.79</ns0:v>
      </ns0:c>
      <ns0:c r="O5" s="3">
        <ns0:f>SUM(C5:N5)</ns0:f>
        <ns0:v>3000.85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343.52</ns0:v>
      </ns0:c>
      <ns0:c r="D6" s="3">
        <ns0:f>ROUND(D206*D326,2)</ns0:f>
        <ns0:v>351.48</ns0:v>
      </ns0:c>
      <ns0:c r="E6" s="3">
        <ns0:f>ROUND(E206*E326,2)</ns0:f>
        <ns0:v>130.18</ns0:v>
      </ns0:c>
      <ns0:c r="F6" s="3">
        <ns0:f>ROUND(F206*F326,2)</ns0:f>
        <ns0:v>133.94</ns0:v>
      </ns0:c>
      <ns0:c r="G6" s="3">
        <ns0:f>ROUND(G206*G326,2)</ns0:f>
        <ns0:v>168.01</ns0:v>
      </ns0:c>
      <ns0:c r="H6" s="3">
        <ns0:f>ROUND(H206*H326,2)</ns0:f>
        <ns0:v>535.51</ns0:v>
      </ns0:c>
      <ns0:c r="I6" s="3">
        <ns0:f>ROUND(I206*I326,2)</ns0:f>
        <ns0:v>121.39</ns0:v>
      </ns0:c>
      <ns0:c r="J6" s="3">
        <ns0:f>ROUND(J206*J326,2)</ns0:f>
        <ns0:v>157.71</ns0:v>
      </ns0:c>
      <ns0:c r="K6" s="3">
        <ns0:f>ROUND(K206*K326,2)</ns0:f>
        <ns0:v>393.42</ns0:v>
      </ns0:c>
      <ns0:c r="L6" s="3">
        <ns0:f>ROUND(L206*L326,2)</ns0:f>
        <ns0:v>386.30</ns0:v>
      </ns0:c>
      <ns0:c r="M6" s="3">
        <ns0:f>ROUND(M206*M326,2)</ns0:f>
        <ns0:v>155.40</ns0:v>
      </ns0:c>
      <ns0:c r="N6" s="3">
        <ns0:f>ROUND(N206*N326,2)</ns0:f>
        <ns0:v>115.57</ns0:v>
      </ns0:c>
      <ns0:c r="O6" s="3">
        <ns0:f>SUM(C6:N6)</ns0:f>
        <ns0:v>2992.43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223.39</ns0:v>
      </ns0:c>
      <ns0:c r="D7" s="3">
        <ns0:f>ROUND(D207*D327,2)</ns0:f>
        <ns0:v>131.67</ns0:v>
      </ns0:c>
      <ns0:c r="E7" s="3">
        <ns0:f>ROUND(E207*E327,2)</ns0:f>
        <ns0:v>123.59</ns0:v>
      </ns0:c>
      <ns0:c r="F7" s="3">
        <ns0:f>ROUND(F207*F327,2)</ns0:f>
        <ns0:v>343.63</ns0:v>
      </ns0:c>
      <ns0:c r="G7" s="3">
        <ns0:f>ROUND(G207*G327,2)</ns0:f>
        <ns0:v>112.08</ns0:v>
      </ns0:c>
      <ns0:c r="H7" s="3">
        <ns0:f>ROUND(H207*H327,2)</ns0:f>
        <ns0:v>84.29</ns0:v>
      </ns0:c>
      <ns0:c r="I7" s="3">
        <ns0:f>ROUND(I207*I327,2)</ns0:f>
        <ns0:v>428.04</ns0:v>
      </ns0:c>
      <ns0:c r="J7" s="3">
        <ns0:f>ROUND(J207*J327,2)</ns0:f>
        <ns0:v>328.52</ns0:v>
      </ns0:c>
      <ns0:c r="K7" s="3">
        <ns0:f>ROUND(K207*K327,2)</ns0:f>
        <ns0:v>288.11</ns0:v>
      </ns0:c>
      <ns0:c r="L7" s="3">
        <ns0:f>ROUND(L207*L327,2)</ns0:f>
        <ns0:v>294.32</ns0:v>
      </ns0:c>
      <ns0:c r="M7" s="3">
        <ns0:f>ROUND(M207*M327,2)</ns0:f>
        <ns0:v>160.80</ns0:v>
      </ns0:c>
      <ns0:c r="N7" s="3">
        <ns0:f>ROUND(N207*N327,2)</ns0:f>
        <ns0:v>288.15</ns0:v>
      </ns0:c>
      <ns0:c r="O7" s="3">
        <ns0:f>SUM(C7:N7)</ns0:f>
        <ns0:v>2806.59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467.24</ns0:v>
      </ns0:c>
      <ns0:c r="D8" s="3">
        <ns0:f>ROUND(D208*D328,2)</ns0:f>
        <ns0:v>83.98</ns0:v>
      </ns0:c>
      <ns0:c r="E8" s="3">
        <ns0:f>ROUND(E208*E328,2)</ns0:f>
        <ns0:v>318.94</ns0:v>
      </ns0:c>
      <ns0:c r="F8" s="3">
        <ns0:f>ROUND(F208*F328,2)</ns0:f>
        <ns0:v>126.93</ns0:v>
      </ns0:c>
      <ns0:c r="G8" s="3">
        <ns0:f>ROUND(G208*G328,2)</ns0:f>
        <ns0:v>324.45</ns0:v>
      </ns0:c>
      <ns0:c r="H8" s="3">
        <ns0:f>ROUND(H208*H328,2)</ns0:f>
        <ns0:v>137.80</ns0:v>
      </ns0:c>
      <ns0:c r="I8" s="3">
        <ns0:f>ROUND(I208*I328,2)</ns0:f>
        <ns0:v>367.52</ns0:v>
      </ns0:c>
      <ns0:c r="J8" s="3">
        <ns0:f>ROUND(J208*J328,2)</ns0:f>
        <ns0:v>114.21</ns0:v>
      </ns0:c>
      <ns0:c r="K8" s="3">
        <ns0:f>ROUND(K208*K328,2)</ns0:f>
        <ns0:v>106.92</ns0:v>
      </ns0:c>
      <ns0:c r="L8" s="3">
        <ns0:f>ROUND(L208*L328,2)</ns0:f>
        <ns0:v>74.46</ns0:v>
      </ns0:c>
      <ns0:c r="M8" s="3">
        <ns0:f>ROUND(M208*M328,2)</ns0:f>
        <ns0:v>251.26</ns0:v>
      </ns0:c>
      <ns0:c r="N8" s="3">
        <ns0:f>ROUND(N208*N328,2)</ns0:f>
        <ns0:v>240.82</ns0:v>
      </ns0:c>
      <ns0:c r="O8" s="3">
        <ns0:f>SUM(C8:N8)</ns0:f>
        <ns0:v>2614.53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60.80</ns0:v>
      </ns0:c>
      <ns0:c r="D9" s="3">
        <ns0:f>ROUND(D209*D329,2)</ns0:f>
        <ns0:v>189.77</ns0:v>
      </ns0:c>
      <ns0:c r="E9" s="3">
        <ns0:f>ROUND(E209*E329,2)</ns0:f>
        <ns0:v>355.48</ns0:v>
      </ns0:c>
      <ns0:c r="F9" s="3">
        <ns0:f>ROUND(F209*F329,2)</ns0:f>
        <ns0:v>421.25</ns0:v>
      </ns0:c>
      <ns0:c r="G9" s="3">
        <ns0:f>ROUND(G209*G329,2)</ns0:f>
        <ns0:v>246.43</ns0:v>
      </ns0:c>
      <ns0:c r="H9" s="3">
        <ns0:f>ROUND(H209*H329,2)</ns0:f>
        <ns0:v>194.04</ns0:v>
      </ns0:c>
      <ns0:c r="I9" s="3">
        <ns0:f>ROUND(I209*I329,2)</ns0:f>
        <ns0:v>155.41</ns0:v>
      </ns0:c>
      <ns0:c r="J9" s="3">
        <ns0:f>ROUND(J209*J329,2)</ns0:f>
        <ns0:v>68.71</ns0:v>
      </ns0:c>
      <ns0:c r="K9" s="3">
        <ns0:f>ROUND(K209*K329,2)</ns0:f>
        <ns0:v>474.41</ns0:v>
      </ns0:c>
      <ns0:c r="L9" s="3">
        <ns0:f>ROUND(L209*L329,2)</ns0:f>
        <ns0:v>203.68</ns0:v>
      </ns0:c>
      <ns0:c r="M9" s="3">
        <ns0:f>ROUND(M209*M329,2)</ns0:f>
        <ns0:v>376.39</ns0:v>
      </ns0:c>
      <ns0:c r="N9" s="3">
        <ns0:f>ROUND(N209*N329,2)</ns0:f>
        <ns0:v>254.58</ns0:v>
      </ns0:c>
      <ns0:c r="O9" s="3">
        <ns0:f>SUM(C9:N9)</ns0:f>
        <ns0:v>3000.95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123.15</ns0:v>
      </ns0:c>
      <ns0:c r="D10" s="3">
        <ns0:f>ROUND(D210*D330,2)</ns0:f>
        <ns0:v>139.17</ns0:v>
      </ns0:c>
      <ns0:c r="E10" s="3">
        <ns0:f>ROUND(E210*E330,2)</ns0:f>
        <ns0:v>241.11</ns0:v>
      </ns0:c>
      <ns0:c r="F10" s="3">
        <ns0:f>ROUND(F210*F330,2)</ns0:f>
        <ns0:v>153.21</ns0:v>
      </ns0:c>
      <ns0:c r="G10" s="3">
        <ns0:f>ROUND(G210*G330,2)</ns0:f>
        <ns0:v>233.32</ns0:v>
      </ns0:c>
      <ns0:c r="H10" s="3">
        <ns0:f>ROUND(H210*H330,2)</ns0:f>
        <ns0:v>404.08</ns0:v>
      </ns0:c>
      <ns0:c r="I10" s="3">
        <ns0:f>ROUND(I210*I330,2)</ns0:f>
        <ns0:v>188.83</ns0:v>
      </ns0:c>
      <ns0:c r="J10" s="3">
        <ns0:f>ROUND(J210*J330,2)</ns0:f>
        <ns0:v>157.95</ns0:v>
      </ns0:c>
      <ns0:c r="K10" s="3">
        <ns0:f>ROUND(K210*K330,2)</ns0:f>
        <ns0:v>273.86</ns0:v>
      </ns0:c>
      <ns0:c r="L10" s="3">
        <ns0:f>ROUND(L210*L330,2)</ns0:f>
        <ns0:v>322.05</ns0:v>
      </ns0:c>
      <ns0:c r="M10" s="3">
        <ns0:f>ROUND(M210*M330,2)</ns0:f>
        <ns0:v>315.51</ns0:v>
      </ns0:c>
      <ns0:c r="N10" s="3">
        <ns0:f>ROUND(N210*N330,2)</ns0:f>
        <ns0:v>509.22</ns0:v>
      </ns0:c>
      <ns0:c r="O10" s="3">
        <ns0:f>SUM(C10:N10)</ns0:f>
        <ns0:v>3061.46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139.21</ns0:v>
      </ns0:c>
      <ns0:c r="D11" s="3">
        <ns0:f>ROUND(D211*D331,2)</ns0:f>
        <ns0:v>254.65</ns0:v>
      </ns0:c>
      <ns0:c r="E11" s="3">
        <ns0:f>ROUND(E211*E331,2)</ns0:f>
        <ns0:v>180.83</ns0:v>
      </ns0:c>
      <ns0:c r="F11" s="3">
        <ns0:f>ROUND(F211*F331,2)</ns0:f>
        <ns0:v>333.68</ns0:v>
      </ns0:c>
      <ns0:c r="G11" s="3">
        <ns0:f>ROUND(G211*G331,2)</ns0:f>
        <ns0:v>212.87</ns0:v>
      </ns0:c>
      <ns0:c r="H11" s="3">
        <ns0:f>ROUND(H211*H331,2)</ns0:f>
        <ns0:v>79.36</ns0:v>
      </ns0:c>
      <ns0:c r="I11" s="3">
        <ns0:f>ROUND(I211*I331,2)</ns0:f>
        <ns0:v>175.71</ns0:v>
      </ns0:c>
      <ns0:c r="J11" s="3">
        <ns0:f>ROUND(J211*J331,2)</ns0:f>
        <ns0:v>211.43</ns0:v>
      </ns0:c>
      <ns0:c r="K11" s="3">
        <ns0:f>ROUND(K211*K331,2)</ns0:f>
        <ns0:v>461.34</ns0:v>
      </ns0:c>
      <ns0:c r="L11" s="3">
        <ns0:f>ROUND(L211*L331,2)</ns0:f>
        <ns0:v>102.73</ns0:v>
      </ns0:c>
      <ns0:c r="M11" s="3">
        <ns0:f>ROUND(M211*M331,2)</ns0:f>
        <ns0:v>145.96</ns0:v>
      </ns0:c>
      <ns0:c r="N11" s="3">
        <ns0:f>ROUND(N211*N331,2)</ns0:f>
        <ns0:v>118.63</ns0:v>
      </ns0:c>
      <ns0:c r="O11" s="3">
        <ns0:f>SUM(C11:N11)</ns0:f>
        <ns0:v>2416.40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116.11</ns0:v>
      </ns0:c>
      <ns0:c r="D12" s="3">
        <ns0:f>ROUND(D212*D332,2)</ns0:f>
        <ns0:v>204.70</ns0:v>
      </ns0:c>
      <ns0:c r="E12" s="3">
        <ns0:f>ROUND(E212*E332,2)</ns0:f>
        <ns0:v>249.63</ns0:v>
      </ns0:c>
      <ns0:c r="F12" s="3">
        <ns0:f>ROUND(F212*F332,2)</ns0:f>
        <ns0:v>136.64</ns0:v>
      </ns0:c>
      <ns0:c r="G12" s="3">
        <ns0:f>ROUND(G212*G332,2)</ns0:f>
        <ns0:v>240.20</ns0:v>
      </ns0:c>
      <ns0:c r="H12" s="3">
        <ns0:f>ROUND(H212*H332,2)</ns0:f>
        <ns0:v>79.03</ns0:v>
      </ns0:c>
      <ns0:c r="I12" s="3">
        <ns0:f>ROUND(I212*I332,2)</ns0:f>
        <ns0:v>120.93</ns0:v>
      </ns0:c>
      <ns0:c r="J12" s="3">
        <ns0:f>ROUND(J212*J332,2)</ns0:f>
        <ns0:v>254.21</ns0:v>
      </ns0:c>
      <ns0:c r="K12" s="3">
        <ns0:f>ROUND(K212*K332,2)</ns0:f>
        <ns0:v>309.72</ns0:v>
      </ns0:c>
      <ns0:c r="L12" s="3">
        <ns0:f>ROUND(L212*L332,2)</ns0:f>
        <ns0:v>284.45</ns0:v>
      </ns0:c>
      <ns0:c r="M12" s="3">
        <ns0:f>ROUND(M212*M332,2)</ns0:f>
        <ns0:v>249.98</ns0:v>
      </ns0:c>
      <ns0:c r="N12" s="3">
        <ns0:f>ROUND(N212*N332,2)</ns0:f>
        <ns0:v>297.99</ns0:v>
      </ns0:c>
      <ns0:c r="O12" s="3">
        <ns0:f>SUM(C12:N12)</ns0:f>
        <ns0:v>2543.59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126.41</ns0:v>
      </ns0:c>
      <ns0:c r="D13" s="3">
        <ns0:f>ROUND(D213*D333,2)</ns0:f>
        <ns0:v>205.38</ns0:v>
      </ns0:c>
      <ns0:c r="E13" s="3">
        <ns0:f>ROUND(E213*E333,2)</ns0:f>
        <ns0:v>108.97</ns0:v>
      </ns0:c>
      <ns0:c r="F13" s="3">
        <ns0:f>ROUND(F213*F333,2)</ns0:f>
        <ns0:v>178.63</ns0:v>
      </ns0:c>
      <ns0:c r="G13" s="3">
        <ns0:f>ROUND(G213*G333,2)</ns0:f>
        <ns0:v>493.97</ns0:v>
      </ns0:c>
      <ns0:c r="H13" s="3">
        <ns0:f>ROUND(H213*H333,2)</ns0:f>
        <ns0:v>414.69</ns0:v>
      </ns0:c>
      <ns0:c r="I13" s="3">
        <ns0:f>ROUND(I213*I333,2)</ns0:f>
        <ns0:v>70.32</ns0:v>
      </ns0:c>
      <ns0:c r="J13" s="3">
        <ns0:f>ROUND(J213*J333,2)</ns0:f>
        <ns0:v>375.99</ns0:v>
      </ns0:c>
      <ns0:c r="K13" s="3">
        <ns0:f>ROUND(K213*K333,2)</ns0:f>
        <ns0:v>214.08</ns0:v>
      </ns0:c>
      <ns0:c r="L13" s="3">
        <ns0:f>ROUND(L213*L333,2)</ns0:f>
        <ns0:v>377.93</ns0:v>
      </ns0:c>
      <ns0:c r="M13" s="3">
        <ns0:f>ROUND(M213*M333,2)</ns0:f>
        <ns0:v>480.29</ns0:v>
      </ns0:c>
      <ns0:c r="N13" s="3">
        <ns0:f>ROUND(N213*N333,2)</ns0:f>
        <ns0:v>278.85</ns0:v>
      </ns0:c>
      <ns0:c r="O13" s="3">
        <ns0:f>SUM(C13:N13)</ns0:f>
        <ns0:v>3325.51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142.46</ns0:v>
      </ns0:c>
      <ns0:c r="D14" s="3">
        <ns0:f>ROUND(D214*D334,2)</ns0:f>
        <ns0:v>408.27</ns0:v>
      </ns0:c>
      <ns0:c r="E14" s="3">
        <ns0:f>ROUND(E214*E334,2)</ns0:f>
        <ns0:v>209.25</ns0:v>
      </ns0:c>
      <ns0:c r="F14" s="3">
        <ns0:f>ROUND(F214*F334,2)</ns0:f>
        <ns0:v>287.53</ns0:v>
      </ns0:c>
      <ns0:c r="G14" s="3">
        <ns0:f>ROUND(G214*G334,2)</ns0:f>
        <ns0:v>205.55</ns0:v>
      </ns0:c>
      <ns0:c r="H14" s="3">
        <ns0:f>ROUND(H214*H334,2)</ns0:f>
        <ns0:v>354.11</ns0:v>
      </ns0:c>
      <ns0:c r="I14" s="3">
        <ns0:f>ROUND(I214*I334,2)</ns0:f>
        <ns0:v>267.53</ns0:v>
      </ns0:c>
      <ns0:c r="J14" s="3">
        <ns0:f>ROUND(J214*J334,2)</ns0:f>
        <ns0:v>272.05</ns0:v>
      </ns0:c>
      <ns0:c r="K14" s="3">
        <ns0:f>ROUND(K214*K334,2)</ns0:f>
        <ns0:v>263.53</ns0:v>
      </ns0:c>
      <ns0:c r="L14" s="3">
        <ns0:f>ROUND(L214*L334,2)</ns0:f>
        <ns0:v>227.47</ns0:v>
      </ns0:c>
      <ns0:c r="M14" s="3">
        <ns0:f>ROUND(M214*M334,2)</ns0:f>
        <ns0:v>141.98</ns0:v>
      </ns0:c>
      <ns0:c r="N14" s="3">
        <ns0:f>ROUND(N214*N334,2)</ns0:f>
        <ns0:v>323.55</ns0:v>
      </ns0:c>
      <ns0:c r="O14" s="3">
        <ns0:f>SUM(C14:N14)</ns0:f>
        <ns0:v>3103.28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175.28</ns0:v>
      </ns0:c>
      <ns0:c r="D15" s="3">
        <ns0:f>ROUND(D215*D335,2)</ns0:f>
        <ns0:v>345.56</ns0:v>
      </ns0:c>
      <ns0:c r="E15" s="3">
        <ns0:f>ROUND(E215*E335,2)</ns0:f>
        <ns0:v>73.71</ns0:v>
      </ns0:c>
      <ns0:c r="F15" s="3">
        <ns0:f>ROUND(F215*F335,2)</ns0:f>
        <ns0:v>154.41</ns0:v>
      </ns0:c>
      <ns0:c r="G15" s="3">
        <ns0:f>ROUND(G215*G335,2)</ns0:f>
        <ns0:v>168.94</ns0:v>
      </ns0:c>
      <ns0:c r="H15" s="3">
        <ns0:f>ROUND(H215*H335,2)</ns0:f>
        <ns0:v>72.29</ns0:v>
      </ns0:c>
      <ns0:c r="I15" s="3">
        <ns0:f>ROUND(I215*I335,2)</ns0:f>
        <ns0:v>330.72</ns0:v>
      </ns0:c>
      <ns0:c r="J15" s="3">
        <ns0:f>ROUND(J215*J335,2)</ns0:f>
        <ns0:v>345.16</ns0:v>
      </ns0:c>
      <ns0:c r="K15" s="3">
        <ns0:f>ROUND(K215*K335,2)</ns0:f>
        <ns0:v>97.07</ns0:v>
      </ns0:c>
      <ns0:c r="L15" s="3">
        <ns0:f>ROUND(L215*L335,2)</ns0:f>
        <ns0:v>359.83</ns0:v>
      </ns0:c>
      <ns0:c r="M15" s="3">
        <ns0:f>ROUND(M215*M335,2)</ns0:f>
        <ns0:v>160.55</ns0:v>
      </ns0:c>
      <ns0:c r="N15" s="3">
        <ns0:f>ROUND(N215*N335,2)</ns0:f>
        <ns0:v>296.96</ns0:v>
      </ns0:c>
      <ns0:c r="O15" s="3">
        <ns0:f>SUM(C15:N15)</ns0:f>
        <ns0:v>2580.48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104.48</ns0:v>
      </ns0:c>
      <ns0:c r="D16" s="3">
        <ns0:f>ROUND(D216*D336,2)</ns0:f>
        <ns0:v>345.97</ns0:v>
      </ns0:c>
      <ns0:c r="E16" s="3">
        <ns0:f>ROUND(E216*E336,2)</ns0:f>
        <ns0:v>186.79</ns0:v>
      </ns0:c>
      <ns0:c r="F16" s="3">
        <ns0:f>ROUND(F216*F336,2)</ns0:f>
        <ns0:v>104.61</ns0:v>
      </ns0:c>
      <ns0:c r="G16" s="3">
        <ns0:f>ROUND(G216*G336,2)</ns0:f>
        <ns0:v>118.19</ns0:v>
      </ns0:c>
      <ns0:c r="H16" s="3">
        <ns0:f>ROUND(H216*H336,2)</ns0:f>
        <ns0:v>283.14</ns0:v>
      </ns0:c>
      <ns0:c r="I16" s="3">
        <ns0:f>ROUND(I216*I336,2)</ns0:f>
        <ns0:v>252.35</ns0:v>
      </ns0:c>
      <ns0:c r="J16" s="3">
        <ns0:f>ROUND(J216*J336,2)</ns0:f>
        <ns0:v>135.07</ns0:v>
      </ns0:c>
      <ns0:c r="K16" s="3">
        <ns0:f>ROUND(K216*K336,2)</ns0:f>
        <ns0:v>88.13</ns0:v>
      </ns0:c>
      <ns0:c r="L16" s="3">
        <ns0:f>ROUND(L216*L336,2)</ns0:f>
        <ns0:v>112.71</ns0:v>
      </ns0:c>
      <ns0:c r="M16" s="3">
        <ns0:f>ROUND(M216*M336,2)</ns0:f>
        <ns0:v>139.32</ns0:v>
      </ns0:c>
      <ns0:c r="N16" s="3">
        <ns0:f>ROUND(N216*N336,2)</ns0:f>
        <ns0:v>121.68</ns0:v>
      </ns0:c>
      <ns0:c r="O16" s="3">
        <ns0:f>SUM(C16:N16)</ns0:f>
        <ns0:v>1992.44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181.21</ns0:v>
      </ns0:c>
      <ns0:c r="D17" s="3">
        <ns0:f>ROUND(D217*D337,2)</ns0:f>
        <ns0:v>65.80</ns0:v>
      </ns0:c>
      <ns0:c r="E17" s="3">
        <ns0:f>ROUND(E217*E337,2)</ns0:f>
        <ns0:v>101.29</ns0:v>
      </ns0:c>
      <ns0:c r="F17" s="3">
        <ns0:f>ROUND(F217*F337,2)</ns0:f>
        <ns0:v>230.28</ns0:v>
      </ns0:c>
      <ns0:c r="G17" s="3">
        <ns0:f>ROUND(G217*G337,2)</ns0:f>
        <ns0:v>640.03</ns0:v>
      </ns0:c>
      <ns0:c r="H17" s="3">
        <ns0:f>ROUND(H217*H337,2)</ns0:f>
        <ns0:v>150.80</ns0:v>
      </ns0:c>
      <ns0:c r="I17" s="3">
        <ns0:f>ROUND(I217*I337,2)</ns0:f>
        <ns0:v>111.64</ns0:v>
      </ns0:c>
      <ns0:c r="J17" s="3">
        <ns0:f>ROUND(J217*J337,2)</ns0:f>
        <ns0:v>363.28</ns0:v>
      </ns0:c>
      <ns0:c r="K17" s="3">
        <ns0:f>ROUND(K217*K337,2)</ns0:f>
        <ns0:v>288.12</ns0:v>
      </ns0:c>
      <ns0:c r="L17" s="3">
        <ns0:f>ROUND(L217*L337,2)</ns0:f>
        <ns0:v>481.98</ns0:v>
      </ns0:c>
      <ns0:c r="M17" s="3">
        <ns0:f>ROUND(M217*M337,2)</ns0:f>
        <ns0:v>210.66</ns0:v>
      </ns0:c>
      <ns0:c r="N17" s="3">
        <ns0:f>ROUND(N217*N337,2)</ns0:f>
        <ns0:v>84.47</ns0:v>
      </ns0:c>
      <ns0:c r="O17" s="3">
        <ns0:f>SUM(C17:N17)</ns0:f>
        <ns0:v>2909.56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365.00</ns0:v>
      </ns0:c>
      <ns0:c r="D18" s="3">
        <ns0:f>ROUND(D218*D338,2)</ns0:f>
        <ns0:v>135.12</ns0:v>
      </ns0:c>
      <ns0:c r="E18" s="3">
        <ns0:f>ROUND(E218*E338,2)</ns0:f>
        <ns0:v>133.57</ns0:v>
      </ns0:c>
      <ns0:c r="F18" s="3">
        <ns0:f>ROUND(F218*F338,2)</ns0:f>
        <ns0:v>136.57</ns0:v>
      </ns0:c>
      <ns0:c r="G18" s="3">
        <ns0:f>ROUND(G218*G338,2)</ns0:f>
        <ns0:v>200.09</ns0:v>
      </ns0:c>
      <ns0:c r="H18" s="3">
        <ns0:f>ROUND(H218*H338,2)</ns0:f>
        <ns0:v>522.67</ns0:v>
      </ns0:c>
      <ns0:c r="I18" s="3">
        <ns0:f>ROUND(I218*I338,2)</ns0:f>
        <ns0:v>196.28</ns0:v>
      </ns0:c>
      <ns0:c r="J18" s="3">
        <ns0:f>ROUND(J218*J338,2)</ns0:f>
        <ns0:v>140.12</ns0:v>
      </ns0:c>
      <ns0:c r="K18" s="3">
        <ns0:f>ROUND(K218*K338,2)</ns0:f>
        <ns0:v>186.97</ns0:v>
      </ns0:c>
      <ns0:c r="L18" s="3">
        <ns0:f>ROUND(L218*L338,2)</ns0:f>
        <ns0:v>406.12</ns0:v>
      </ns0:c>
      <ns0:c r="M18" s="3">
        <ns0:f>ROUND(M218*M338,2)</ns0:f>
        <ns0:v>398.94</ns0:v>
      </ns0:c>
      <ns0:c r="N18" s="3">
        <ns0:f>ROUND(N218*N338,2)</ns0:f>
        <ns0:v>81.99</ns0:v>
      </ns0:c>
      <ns0:c r="O18" s="3">
        <ns0:f>SUM(C18:N18)</ns0:f>
        <ns0:v>2903.44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171.72</ns0:v>
      </ns0:c>
      <ns0:c r="D19" s="3">
        <ns0:f>ROUND(D219*D339,2)</ns0:f>
        <ns0:v>323.69</ns0:v>
      </ns0:c>
      <ns0:c r="E19" s="3">
        <ns0:f>ROUND(E219*E339,2)</ns0:f>
        <ns0:v>247.76</ns0:v>
      </ns0:c>
      <ns0:c r="F19" s="3">
        <ns0:f>ROUND(F219*F339,2)</ns0:f>
        <ns0:v>169.58</ns0:v>
      </ns0:c>
      <ns0:c r="G19" s="3">
        <ns0:f>ROUND(G219*G339,2)</ns0:f>
        <ns0:v>78.19</ns0:v>
      </ns0:c>
      <ns0:c r="H19" s="3">
        <ns0:f>ROUND(H219*H339,2)</ns0:f>
        <ns0:v>274.44</ns0:v>
      </ns0:c>
      <ns0:c r="I19" s="3">
        <ns0:f>ROUND(I219*I339,2)</ns0:f>
        <ns0:v>312.88</ns0:v>
      </ns0:c>
      <ns0:c r="J19" s="3">
        <ns0:f>ROUND(J219*J339,2)</ns0:f>
        <ns0:v>183.81</ns0:v>
      </ns0:c>
      <ns0:c r="K19" s="3">
        <ns0:f>ROUND(K219*K339,2)</ns0:f>
        <ns0:v>416.09</ns0:v>
      </ns0:c>
      <ns0:c r="L19" s="3">
        <ns0:f>ROUND(L219*L339,2)</ns0:f>
        <ns0:v>203.93</ns0:v>
      </ns0:c>
      <ns0:c r="M19" s="3">
        <ns0:f>ROUND(M219*M339,2)</ns0:f>
        <ns0:v>564.99</ns0:v>
      </ns0:c>
      <ns0:c r="N19" s="3">
        <ns0:f>ROUND(N219*N339,2)</ns0:f>
        <ns0:v>297.10</ns0:v>
      </ns0:c>
      <ns0:c r="O19" s="3">
        <ns0:f>SUM(C19:N19)</ns0:f>
        <ns0:v>3244.18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767.66</ns0:v>
      </ns0:c>
      <ns0:c r="D20" s="3">
        <ns0:f>ROUND('摊销明细'!D33/3,2)</ns0:f>
        <ns0:v>767.66</ns0:v>
      </ns0:c>
      <ns0:c r="E20" s="3">
        <ns0:f>ROUND('摊销明细'!E33/3,2)</ns0:f>
        <ns0:v>767.66</ns0:v>
      </ns0:c>
      <ns0:c r="F20" s="3">
        <ns0:f>ROUND('摊销明细'!F33/3,2)</ns0:f>
        <ns0:v>767.66</ns0:v>
      </ns0:c>
      <ns0:c r="G20" s="3">
        <ns0:f>ROUND('摊销明细'!G33/3,2)</ns0:f>
        <ns0:v>767.66</ns0:v>
      </ns0:c>
      <ns0:c r="H20" s="3">
        <ns0:f>ROUND('摊销明细'!H33/3,2)</ns0:f>
        <ns0:v>767.66</ns0:v>
      </ns0:c>
      <ns0:c r="I20" s="3">
        <ns0:f>ROUND('摊销明细'!I33/3,2)</ns0:f>
        <ns0:v>767.66</ns0:v>
      </ns0:c>
      <ns0:c r="J20" s="3">
        <ns0:f>ROUND('摊销明细'!J33/3,2)</ns0:f>
        <ns0:v>767.66</ns0:v>
      </ns0:c>
      <ns0:c r="K20" s="3">
        <ns0:f>ROUND('摊销明细'!K33/3,2)</ns0:f>
        <ns0:v>767.66</ns0:v>
      </ns0:c>
      <ns0:c r="L20" s="3">
        <ns0:f>ROUND('摊销明细'!L33/3,2)</ns0:f>
        <ns0:v>767.66</ns0:v>
      </ns0:c>
      <ns0:c r="M20" s="3">
        <ns0:f>ROUND('摊销明细'!M33/3,2)</ns0:f>
        <ns0:v>767.66</ns0:v>
      </ns0:c>
      <ns0:c r="N20" s="3">
        <ns0:f>ROUND('摊销明细'!N33/3,2)</ns0:f>
        <ns0:v>767.66</ns0:v>
      </ns0:c>
      <ns0:c r="O20" s="3">
        <ns0:f>SUM(C20:N20)</ns0:f>
        <ns0:v>9211.92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166.71</ns0:v>
      </ns0:c>
      <ns0:c r="D21" s="3">
        <ns0:f>ROUND(D221*D341,2)</ns0:f>
        <ns0:v>347.98</ns0:v>
      </ns0:c>
      <ns0:c r="E21" s="3">
        <ns0:f>ROUND(E221*E341,2)</ns0:f>
        <ns0:v>91.82</ns0:v>
      </ns0:c>
      <ns0:c r="F21" s="3">
        <ns0:f>ROUND(F221*F341,2)</ns0:f>
        <ns0:v>485.16</ns0:v>
      </ns0:c>
      <ns0:c r="G21" s="3">
        <ns0:f>ROUND(G221*G341,2)</ns0:f>
        <ns0:v>81.84</ns0:v>
      </ns0:c>
      <ns0:c r="H21" s="3">
        <ns0:f>ROUND(H221*H341,2)</ns0:f>
        <ns0:v>381.84</ns0:v>
      </ns0:c>
      <ns0:c r="I21" s="3">
        <ns0:f>ROUND(I221*I341,2)</ns0:f>
        <ns0:v>38.10</ns0:v>
      </ns0:c>
      <ns0:c r="J21" s="3">
        <ns0:f>ROUND(J221*J341,2)</ns0:f>
        <ns0:v>248.84</ns0:v>
      </ns0:c>
      <ns0:c r="K21" s="3">
        <ns0:f>ROUND(K221*K341,2)</ns0:f>
        <ns0:v>80.62</ns0:v>
      </ns0:c>
      <ns0:c r="L21" s="3">
        <ns0:f>ROUND(L221*L341,2)</ns0:f>
        <ns0:v>287.88</ns0:v>
      </ns0:c>
      <ns0:c r="M21" s="3">
        <ns0:f>ROUND(M221*M341,2)</ns0:f>
        <ns0:v>131.32</ns0:v>
      </ns0:c>
      <ns0:c r="N21" s="3">
        <ns0:f>ROUND(N221*N341,2)</ns0:f>
        <ns0:v>215.90</ns0:v>
      </ns0:c>
      <ns0:c r="O21" s="3">
        <ns0:f>SUM(C21:N21)</ns0:f>
        <ns0:v>2558.01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50.29</ns0:v>
      </ns0:c>
      <ns0:c r="D22" s="3">
        <ns0:f>ROUND(D222*D342,2)</ns0:f>
        <ns0:v>86.29</ns0:v>
      </ns0:c>
      <ns0:c r="E22" s="3">
        <ns0:f>ROUND(E222*E342,2)</ns0:f>
        <ns0:v>333.74</ns0:v>
      </ns0:c>
      <ns0:c r="F22" s="3">
        <ns0:f>ROUND(F222*F342,2)</ns0:f>
        <ns0:v>230.71</ns0:v>
      </ns0:c>
      <ns0:c r="G22" s="3">
        <ns0:f>ROUND(G222*G342,2)</ns0:f>
        <ns0:v>162.93</ns0:v>
      </ns0:c>
      <ns0:c r="H22" s="3">
        <ns0:f>ROUND(H222*H342,2)</ns0:f>
        <ns0:v>141.96</ns0:v>
      </ns0:c>
      <ns0:c r="I22" s="3">
        <ns0:f>ROUND(I222*I342,2)</ns0:f>
        <ns0:v>154.48</ns0:v>
      </ns0:c>
      <ns0:c r="J22" s="3">
        <ns0:f>ROUND(J222*J342,2)</ns0:f>
        <ns0:v>213.06</ns0:v>
      </ns0:c>
      <ns0:c r="K22" s="3">
        <ns0:f>ROUND(K222*K342,2)</ns0:f>
        <ns0:v>128.15</ns0:v>
      </ns0:c>
      <ns0:c r="L22" s="3">
        <ns0:f>ROUND(L222*L342,2)</ns0:f>
        <ns0:v>151.62</ns0:v>
      </ns0:c>
      <ns0:c r="M22" s="3">
        <ns0:f>ROUND(M222*M342,2)</ns0:f>
        <ns0:v>187.59</ns0:v>
      </ns0:c>
      <ns0:c r="N22" s="3">
        <ns0:f>ROUND(N222*N342,2)</ns0:f>
        <ns0:v>146.70</ns0:v>
      </ns0:c>
      <ns0:c r="O22" s="3">
        <ns0:f>SUM(C22:N22)</ns0:f>
        <ns0:v>1987.52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236.66</ns0:v>
      </ns0:c>
      <ns0:c r="D23" s="3">
        <ns0:f>ROUND(D223*D343,2)</ns0:f>
        <ns0:v>402.62</ns0:v>
      </ns0:c>
      <ns0:c r="E23" s="3">
        <ns0:f>ROUND(E223*E343,2)</ns0:f>
        <ns0:v>72.03</ns0:v>
      </ns0:c>
      <ns0:c r="F23" s="3">
        <ns0:f>ROUND(F223*F343,2)</ns0:f>
        <ns0:v>56.42</ns0:v>
      </ns0:c>
      <ns0:c r="G23" s="3">
        <ns0:f>ROUND(G223*G343,2)</ns0:f>
        <ns0:v>210.89</ns0:v>
      </ns0:c>
      <ns0:c r="H23" s="3">
        <ns0:f>ROUND(H223*H343,2)</ns0:f>
        <ns0:v>157.22</ns0:v>
      </ns0:c>
      <ns0:c r="I23" s="3">
        <ns0:f>ROUND(I223*I343,2)</ns0:f>
        <ns0:v>186.92</ns0:v>
      </ns0:c>
      <ns0:c r="J23" s="3">
        <ns0:f>ROUND(J223*J343,2)</ns0:f>
        <ns0:v>133.82</ns0:v>
      </ns0:c>
      <ns0:c r="K23" s="3">
        <ns0:f>ROUND(K223*K343,2)</ns0:f>
        <ns0:v>260.05</ns0:v>
      </ns0:c>
      <ns0:c r="L23" s="3">
        <ns0:f>ROUND(L223*L343,2)</ns0:f>
        <ns0:v>184.46</ns0:v>
      </ns0:c>
      <ns0:c r="M23" s="3">
        <ns0:f>ROUND(M223*M343,2)</ns0:f>
        <ns0:v>321.39</ns0:v>
      </ns0:c>
      <ns0:c r="N23" s="3">
        <ns0:f>ROUND(N223*N343,2)</ns0:f>
        <ns0:v>618.05</ns0:v>
      </ns0:c>
      <ns0:c r="O23" s="3">
        <ns0:f>SUM(C23:N23)</ns0:f>
        <ns0:v>2840.53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228.75</ns0:v>
      </ns0:c>
      <ns0:c r="D24" s="3">
        <ns0:f>ROUND(D224*D344,2)</ns0:f>
        <ns0:v>118.05</ns0:v>
      </ns0:c>
      <ns0:c r="E24" s="3">
        <ns0:f>ROUND(E224*E344,2)</ns0:f>
        <ns0:v>454.98</ns0:v>
      </ns0:c>
      <ns0:c r="F24" s="3">
        <ns0:f>ROUND(F224*F344,2)</ns0:f>
        <ns0:v>119.07</ns0:v>
      </ns0:c>
      <ns0:c r="G24" s="3">
        <ns0:f>ROUND(G224*G344,2)</ns0:f>
        <ns0:v>586.25</ns0:v>
      </ns0:c>
      <ns0:c r="H24" s="3">
        <ns0:f>ROUND(H224*H344,2)</ns0:f>
        <ns0:v>166.57</ns0:v>
      </ns0:c>
      <ns0:c r="I24" s="3">
        <ns0:f>ROUND(I224*I344,2)</ns0:f>
        <ns0:v>420.44</ns0:v>
      </ns0:c>
      <ns0:c r="J24" s="3">
        <ns0:f>ROUND(J224*J344,2)</ns0:f>
        <ns0:v>90.49</ns0:v>
      </ns0:c>
      <ns0:c r="K24" s="3">
        <ns0:f>ROUND(K224*K344,2)</ns0:f>
        <ns0:v>135.29</ns0:v>
      </ns0:c>
      <ns0:c r="L24" s="3">
        <ns0:f>ROUND(L224*L344,2)</ns0:f>
        <ns0:v>217.32</ns0:v>
      </ns0:c>
      <ns0:c r="M24" s="3">
        <ns0:f>ROUND(M224*M344,2)</ns0:f>
        <ns0:v>234.78</ns0:v>
      </ns0:c>
      <ns0:c r="N24" s="3">
        <ns0:f>ROUND(N224*N344,2)</ns0:f>
        <ns0:v>286.39</ns0:v>
      </ns0:c>
      <ns0:c r="O24" s="3">
        <ns0:f>SUM(C24:N24)</ns0:f>
        <ns0:v>3058.38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265.50</ns0:v>
      </ns0:c>
      <ns0:c r="D25" s="3">
        <ns0:f>ROUND(D225*D345,2)</ns0:f>
        <ns0:v>513.17</ns0:v>
      </ns0:c>
      <ns0:c r="E25" s="3">
        <ns0:f>ROUND(E225*E345,2)</ns0:f>
        <ns0:v>296.10</ns0:v>
      </ns0:c>
      <ns0:c r="F25" s="3">
        <ns0:f>ROUND(F225*F345,2)</ns0:f>
        <ns0:v>416.97</ns0:v>
      </ns0:c>
      <ns0:c r="G25" s="3">
        <ns0:f>ROUND(G225*G345,2)</ns0:f>
        <ns0:v>201.59</ns0:v>
      </ns0:c>
      <ns0:c r="H25" s="3">
        <ns0:f>ROUND(H225*H345,2)</ns0:f>
        <ns0:v>206.28</ns0:v>
      </ns0:c>
      <ns0:c r="I25" s="3">
        <ns0:f>ROUND(I225*I345,2)</ns0:f>
        <ns0:v>328.79</ns0:v>
      </ns0:c>
      <ns0:c r="J25" s="3">
        <ns0:f>ROUND(J225*J345,2)</ns0:f>
        <ns0:v>225.94</ns0:v>
      </ns0:c>
      <ns0:c r="K25" s="3">
        <ns0:f>ROUND(K225*K345,2)</ns0:f>
        <ns0:v>291.75</ns0:v>
      </ns0:c>
      <ns0:c r="L25" s="3">
        <ns0:f>ROUND(L225*L345,2)</ns0:f>
        <ns0:v>158.58</ns0:v>
      </ns0:c>
      <ns0:c r="M25" s="3">
        <ns0:f>ROUND(M225*M345,2)</ns0:f>
        <ns0:v>91.75</ns0:v>
      </ns0:c>
      <ns0:c r="N25" s="3">
        <ns0:f>ROUND(N225*N345,2)</ns0:f>
        <ns0:v>246.56</ns0:v>
      </ns0:c>
      <ns0:c r="O25" s="3">
        <ns0:f>SUM(C25:N25)</ns0:f>
        <ns0:v>3242.98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148.87</ns0:v>
      </ns0:c>
      <ns0:c r="D26" s="3">
        <ns0:f>ROUND(D226*D346,2)</ns0:f>
        <ns0:v>165.30</ns0:v>
      </ns0:c>
      <ns0:c r="E26" s="3">
        <ns0:f>ROUND(E226*E346,2)</ns0:f>
        <ns0:v>330.86</ns0:v>
      </ns0:c>
      <ns0:c r="F26" s="3">
        <ns0:f>ROUND(F226*F346,2)</ns0:f>
        <ns0:v>439.25</ns0:v>
      </ns0:c>
      <ns0:c r="G26" s="3">
        <ns0:f>ROUND(G226*G346,2)</ns0:f>
        <ns0:v>146.99</ns0:v>
      </ns0:c>
      <ns0:c r="H26" s="3">
        <ns0:f>ROUND(H226*H346,2)</ns0:f>
        <ns0:v>199.91</ns0:v>
      </ns0:c>
      <ns0:c r="I26" s="3">
        <ns0:f>ROUND(I226*I346,2)</ns0:f>
        <ns0:v>196.48</ns0:v>
      </ns0:c>
      <ns0:c r="J26" s="3">
        <ns0:f>ROUND(J226*J346,2)</ns0:f>
        <ns0:v>207.19</ns0:v>
      </ns0:c>
      <ns0:c r="K26" s="3">
        <ns0:f>ROUND(K226*K346,2)</ns0:f>
        <ns0:v>195.40</ns0:v>
      </ns0:c>
      <ns0:c r="L26" s="3">
        <ns0:f>ROUND(L226*L346,2)</ns0:f>
        <ns0:v>213.46</ns0:v>
      </ns0:c>
      <ns0:c r="M26" s="3">
        <ns0:f>ROUND(M226*M346,2)</ns0:f>
        <ns0:v>225.93</ns0:v>
      </ns0:c>
      <ns0:c r="N26" s="3">
        <ns0:f>ROUND(N226*N346,2)</ns0:f>
        <ns0:v>289.36</ns0:v>
      </ns0:c>
      <ns0:c r="O26" s="3">
        <ns0:f>SUM(C26:N26)</ns0:f>
        <ns0:v>2759.00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126.28</ns0:v>
      </ns0:c>
      <ns0:c r="D27" s="3">
        <ns0:f>ROUND(D227*D347,2)</ns0:f>
        <ns0:v>191.87</ns0:v>
      </ns0:c>
      <ns0:c r="E27" s="3">
        <ns0:f>ROUND(E227*E347,2)</ns0:f>
        <ns0:v>191.52</ns0:v>
      </ns0:c>
      <ns0:c r="F27" s="3">
        <ns0:f>ROUND(F227*F347,2)</ns0:f>
        <ns0:v>76.50</ns0:v>
      </ns0:c>
      <ns0:c r="G27" s="3">
        <ns0:f>ROUND(G227*G347,2)</ns0:f>
        <ns0:v>114.17</ns0:v>
      </ns0:c>
      <ns0:c r="H27" s="3">
        <ns0:f>ROUND(H227*H347,2)</ns0:f>
        <ns0:v>201.57</ns0:v>
      </ns0:c>
      <ns0:c r="I27" s="3">
        <ns0:f>ROUND(I227*I347,2)</ns0:f>
        <ns0:v>122.74</ns0:v>
      </ns0:c>
      <ns0:c r="J27" s="3">
        <ns0:f>ROUND(J227*J347,2)</ns0:f>
        <ns0:v>221.27</ns0:v>
      </ns0:c>
      <ns0:c r="K27" s="3">
        <ns0:f>ROUND(K227*K347,2)</ns0:f>
        <ns0:v>570.39</ns0:v>
      </ns0:c>
      <ns0:c r="L27" s="3">
        <ns0:f>ROUND(L227*L347,2)</ns0:f>
        <ns0:v>271.23</ns0:v>
      </ns0:c>
      <ns0:c r="M27" s="3">
        <ns0:f>ROUND(M227*M347,2)</ns0:f>
        <ns0:v>187.14</ns0:v>
      </ns0:c>
      <ns0:c r="N27" s="3">
        <ns0:f>ROUND(N227*N347,2)</ns0:f>
        <ns0:v>176.41</ns0:v>
      </ns0:c>
      <ns0:c r="O27" s="3">
        <ns0:f>SUM(C27:N27)</ns0:f>
        <ns0:v>2451.09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287.38</ns0:v>
      </ns0:c>
      <ns0:c r="D28" s="3">
        <ns0:f>ROUND(D228*D348,2)</ns0:f>
        <ns0:v>224.93</ns0:v>
      </ns0:c>
      <ns0:c r="E28" s="3">
        <ns0:f>ROUND(E228*E348,2)</ns0:f>
        <ns0:v>103.33</ns0:v>
      </ns0:c>
      <ns0:c r="F28" s="3">
        <ns0:f>ROUND(F228*F348,2)</ns0:f>
        <ns0:v>230.46</ns0:v>
      </ns0:c>
      <ns0:c r="G28" s="3">
        <ns0:f>ROUND(G228*G348,2)</ns0:f>
        <ns0:v>377.16</ns0:v>
      </ns0:c>
      <ns0:c r="H28" s="3">
        <ns0:f>ROUND(H228*H348,2)</ns0:f>
        <ns0:v>516.89</ns0:v>
      </ns0:c>
      <ns0:c r="I28" s="3">
        <ns0:f>ROUND(I228*I348,2)</ns0:f>
        <ns0:v>323.90</ns0:v>
      </ns0:c>
      <ns0:c r="J28" s="3">
        <ns0:f>ROUND(J228*J348,2)</ns0:f>
        <ns0:v>120.62</ns0:v>
      </ns0:c>
      <ns0:c r="K28" s="3">
        <ns0:f>ROUND(K228*K348,2)</ns0:f>
        <ns0:v>127.77</ns0:v>
      </ns0:c>
      <ns0:c r="L28" s="3">
        <ns0:f>ROUND(L228*L348,2)</ns0:f>
        <ns0:v>309.02</ns0:v>
      </ns0:c>
      <ns0:c r="M28" s="3">
        <ns0:f>ROUND(M228*M348,2)</ns0:f>
        <ns0:v>244.49</ns0:v>
      </ns0:c>
      <ns0:c r="N28" s="3">
        <ns0:f>ROUND(N228*N348,2)</ns0:f>
        <ns0:v>219.73</ns0:v>
      </ns0:c>
      <ns0:c r="O28" s="3">
        <ns0:f>SUM(C28:N28)</ns0:f>
        <ns0:v>3085.68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137.98</ns0:v>
      </ns0:c>
      <ns0:c r="D30" s="6">
        <ns0:f>ROUND(D230*D350,2)</ns0:f>
        <ns0:v>427.47</ns0:v>
      </ns0:c>
      <ns0:c r="E30" s="6">
        <ns0:f>ROUND(E230*E350,2)</ns0:f>
        <ns0:v>69.48</ns0:v>
      </ns0:c>
      <ns0:c r="F30" s="6">
        <ns0:f>ROUND(F230*F350,2)</ns0:f>
        <ns0:v>233.00</ns0:v>
      </ns0:c>
      <ns0:c r="G30" s="6">
        <ns0:f>ROUND(G230*G350,2)</ns0:f>
        <ns0:v>233.09</ns0:v>
      </ns0:c>
      <ns0:c r="H30" s="6">
        <ns0:f>ROUND(H230*H350,2)</ns0:f>
        <ns0:v>423.32</ns0:v>
      </ns0:c>
      <ns0:c r="I30" s="6">
        <ns0:f>ROUND(I230*I350,2)</ns0:f>
        <ns0:v>57.83</ns0:v>
      </ns0:c>
      <ns0:c r="J30" s="6">
        <ns0:f>ROUND(J230*J350,2)</ns0:f>
        <ns0:v>222.91</ns0:v>
      </ns0:c>
      <ns0:c r="K30" s="6">
        <ns0:f>ROUND(K230*K350,2)</ns0:f>
        <ns0:v>142.75</ns0:v>
      </ns0:c>
      <ns0:c r="L30" s="6">
        <ns0:f>ROUND(L230*L350,2)</ns0:f>
        <ns0:v>250.46</ns0:v>
      </ns0:c>
      <ns0:c r="M30" s="6">
        <ns0:f>ROUND(M230*M350,2)</ns0:f>
        <ns0:v>154.49</ns0:v>
      </ns0:c>
      <ns0:c r="N30" s="6">
        <ns0:f>ROUND(N230*N350,2)</ns0:f>
        <ns0:v>211.08</ns0:v>
      </ns0:c>
      <ns0:c r="O30" s="6">
        <ns0:f>SUM(C30:N30)</ns0:f>
        <ns0:v>2563.86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484.04</ns0:v>
      </ns0:c>
      <ns0:c r="D31" s="3">
        <ns0:f>ROUND(D231*D351,2)</ns0:f>
        <ns0:v>181.31</ns0:v>
      </ns0:c>
      <ns0:c r="E31" s="3">
        <ns0:f>ROUND(E231*E351,2)</ns0:f>
        <ns0:v>187.36</ns0:v>
      </ns0:c>
      <ns0:c r="F31" s="3">
        <ns0:f>ROUND(F231*F351,2)</ns0:f>
        <ns0:v>318.18</ns0:v>
      </ns0:c>
      <ns0:c r="G31" s="3">
        <ns0:f>ROUND(G231*G351,2)</ns0:f>
        <ns0:v>105.00</ns0:v>
      </ns0:c>
      <ns0:c r="H31" s="3">
        <ns0:f>ROUND(H231*H351,2)</ns0:f>
        <ns0:v>342.10</ns0:v>
      </ns0:c>
      <ns0:c r="I31" s="3">
        <ns0:f>ROUND(I231*I351,2)</ns0:f>
        <ns0:v>81.54</ns0:v>
      </ns0:c>
      <ns0:c r="J31" s="3">
        <ns0:f>ROUND(J231*J351,2)</ns0:f>
        <ns0:v>147.55</ns0:v>
      </ns0:c>
      <ns0:c r="K31" s="3">
        <ns0:f>ROUND(K231*K351,2)</ns0:f>
        <ns0:v>69.77</ns0:v>
      </ns0:c>
      <ns0:c r="L31" s="3">
        <ns0:f>ROUND(L231*L351,2)</ns0:f>
        <ns0:v>312.29</ns0:v>
      </ns0:c>
      <ns0:c r="M31" s="3">
        <ns0:f>ROUND(M231*M351,2)</ns0:f>
        <ns0:v>299.83</ns0:v>
      </ns0:c>
      <ns0:c r="N31" s="3">
        <ns0:f>ROUND(N231*N351,2)</ns0:f>
        <ns0:v>77.06</ns0:v>
      </ns0:c>
      <ns0:c r="O31" s="3">
        <ns0:f>SUM(C31:N31)</ns0:f>
        <ns0:v>2606.03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306.82</ns0:v>
      </ns0:c>
      <ns0:c r="D32" s="3">
        <ns0:f>ROUND(D232*D352,2)</ns0:f>
        <ns0:v>87.53</ns0:v>
      </ns0:c>
      <ns0:c r="E32" s="3">
        <ns0:f>ROUND(E232*E352,2)</ns0:f>
        <ns0:v>177.00</ns0:v>
      </ns0:c>
      <ns0:c r="F32" s="3">
        <ns0:f>ROUND(F232*F352,2)</ns0:f>
        <ns0:v>101.20</ns0:v>
      </ns0:c>
      <ns0:c r="G32" s="3">
        <ns0:f>ROUND(G232*G352,2)</ns0:f>
        <ns0:v>235.23</ns0:v>
      </ns0:c>
      <ns0:c r="H32" s="3">
        <ns0:f>ROUND(H232*H352,2)</ns0:f>
        <ns0:v>161.46</ns0:v>
      </ns0:c>
      <ns0:c r="I32" s="3">
        <ns0:f>ROUND(I232*I352,2)</ns0:f>
        <ns0:v>589.04</ns0:v>
      </ns0:c>
      <ns0:c r="J32" s="3">
        <ns0:f>ROUND(J232*J352,2)</ns0:f>
        <ns0:v>295.55</ns0:v>
      </ns0:c>
      <ns0:c r="K32" s="3">
        <ns0:f>ROUND(K232*K352,2)</ns0:f>
        <ns0:v>240.93</ns0:v>
      </ns0:c>
      <ns0:c r="L32" s="3">
        <ns0:f>ROUND(L232*L352,2)</ns0:f>
        <ns0:v>305.96</ns0:v>
      </ns0:c>
      <ns0:c r="M32" s="3">
        <ns0:f>ROUND(M232*M352,2)</ns0:f>
        <ns0:v>122.38</ns0:v>
      </ns0:c>
      <ns0:c r="N32" s="3">
        <ns0:f>ROUND(N232*N352,2)</ns0:f>
        <ns0:v>154.09</ns0:v>
      </ns0:c>
      <ns0:c r="O32" s="3">
        <ns0:f>SUM(C32:N32)</ns0:f>
        <ns0:v>2777.19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57.94</ns0:v>
      </ns0:c>
      <ns0:c r="D33" s="3">
        <ns0:f>ROUND(D233*D353,2)</ns0:f>
        <ns0:v>200.87</ns0:v>
      </ns0:c>
      <ns0:c r="E33" s="3">
        <ns0:f>ROUND(E233*E353,2)</ns0:f>
        <ns0:v>124.72</ns0:v>
      </ns0:c>
      <ns0:c r="F33" s="3">
        <ns0:f>ROUND(F233*F353,2)</ns0:f>
        <ns0:v>134.41</ns0:v>
      </ns0:c>
      <ns0:c r="G33" s="3">
        <ns0:f>ROUND(G233*G353,2)</ns0:f>
        <ns0:v>371.05</ns0:v>
      </ns0:c>
      <ns0:c r="H33" s="3">
        <ns0:f>ROUND(H233*H353,2)</ns0:f>
        <ns0:v>252.68</ns0:v>
      </ns0:c>
      <ns0:c r="I33" s="3">
        <ns0:f>ROUND(I233*I353,2)</ns0:f>
        <ns0:v>185.03</ns0:v>
      </ns0:c>
      <ns0:c r="J33" s="3">
        <ns0:f>ROUND(J233*J353,2)</ns0:f>
        <ns0:v>123.59</ns0:v>
      </ns0:c>
      <ns0:c r="K33" s="3">
        <ns0:f>ROUND(K233*K353,2)</ns0:f>
        <ns0:v>179.66</ns0:v>
      </ns0:c>
      <ns0:c r="L33" s="3">
        <ns0:f>ROUND(L233*L353,2)</ns0:f>
        <ns0:v>164.88</ns0:v>
      </ns0:c>
      <ns0:c r="M33" s="3">
        <ns0:f>ROUND(M233*M353,2)</ns0:f>
        <ns0:v>382.13</ns0:v>
      </ns0:c>
      <ns0:c r="N33" s="3">
        <ns0:f>ROUND(N233*N353,2)</ns0:f>
        <ns0:v>324.42</ns0:v>
      </ns0:c>
      <ns0:c r="O33" s="3">
        <ns0:f>SUM(C33:N33)</ns0:f>
        <ns0:v>2501.38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6465.25</ns0:v>
      </ns0:c>
      <ns0:c r="D34" s="3">
        <ns0:f>SUM(D4:D33)</ns0:f>
        <ns0:v>7469.95</ns0:v>
      </ns0:c>
      <ns0:c r="E34" s="3">
        <ns0:f>SUM(E4:E33)</ns0:f>
        <ns0:v>6346.83</ns0:v>
      </ns0:c>
      <ns0:c r="F34" s="3">
        <ns0:f>SUM(F4:F33)</ns0:f>
        <ns0:v>7506.69</ns0:v>
      </ns0:c>
      <ns0:c r="G34" s="3">
        <ns0:f>SUM(G4:G33)</ns0:f>
        <ns0:v>7948.62</ns0:v>
      </ns0:c>
      <ns0:c r="H34" s="3">
        <ns0:f>SUM(H4:H33)</ns0:f>
        <ns0:v>7778.50</ns0:v>
      </ns0:c>
      <ns0:c r="I34" s="3">
        <ns0:f>SUM(I4:I33)</ns0:f>
        <ns0:v>7029.98</ns0:v>
      </ns0:c>
      <ns0:c r="J34" s="3">
        <ns0:f>SUM(J4:J33)</ns0:f>
        <ns0:v>6314.73</ns0:v>
      </ns0:c>
      <ns0:c r="K34" s="3">
        <ns0:f>SUM(K4:K33)</ns0:f>
        <ns0:v>7565.66</ns0:v>
      </ns0:c>
      <ns0:c r="L34" s="3">
        <ns0:f>SUM(L4:L33)</ns0:f>
        <ns0:v>7735.82</ns0:v>
      </ns0:c>
      <ns0:c r="M34" s="3">
        <ns0:f>SUM(M4:M33)</ns0:f>
        <ns0:v>7396.63</ns0:v>
      </ns0:c>
      <ns0:c r="N34" s="3">
        <ns0:f>SUM(N4:N33)</ns0:f>
        <ns0:v>7727.05</ns0:v>
      </ns0:c>
      <ns0:c r="O34" s="3">
        <ns0:f>SUM(C34:N34)</ns0:f>
        <ns0:v>87285.71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52.91</ns0:v>
      </ns0:c>
      <ns0:c r="D204" s="4">
        <ns0:v>31.05</ns0:v>
      </ns0:c>
      <ns0:c r="E204" s="4">
        <ns0:v>69.18</ns0:v>
      </ns0:c>
      <ns0:c r="F204" s="4">
        <ns0:v>57.16</ns0:v>
      </ns0:c>
      <ns0:c r="G204" s="4">
        <ns0:v>61.15</ns0:v>
      </ns0:c>
      <ns0:c r="H204" s="4">
        <ns0:v>28.01</ns0:v>
      </ns0:c>
      <ns0:c r="I204" s="4">
        <ns0:v>34.53</ns0:v>
      </ns0:c>
      <ns0:c r="J204" s="4">
        <ns0:v>39.61</ns0:v>
      </ns0:c>
      <ns0:c r="K204" s="4">
        <ns0:v>60.21</ns0:v>
      </ns0:c>
      <ns0:c r="L204" s="4">
        <ns0:v>29.71</ns0:v>
      </ns0:c>
      <ns0:c r="M204" s="4">
        <ns0:v>32.07</ns0:v>
      </ns0:c>
      <ns0:c r="N204" s="4">
        <ns0:v>59.60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48.37</ns0:v>
      </ns0:c>
      <ns0:c r="D205" s="4">
        <ns0:v>70.30</ns0:v>
      </ns0:c>
      <ns0:c r="E205" s="4">
        <ns0:v>40.18</ns0:v>
      </ns0:c>
      <ns0:c r="F205" s="4">
        <ns0:v>63.16</ns0:v>
      </ns0:c>
      <ns0:c r="G205" s="4">
        <ns0:v>49.85</ns0:v>
      </ns0:c>
      <ns0:c r="H205" s="4">
        <ns0:v>50.02</ns0:v>
      </ns0:c>
      <ns0:c r="I205" s="4">
        <ns0:v>39.28</ns0:v>
      </ns0:c>
      <ns0:c r="J205" s="4">
        <ns0:v>37.49</ns0:v>
      </ns0:c>
      <ns0:c r="K205" s="4">
        <ns0:v>27.45</ns0:v>
      </ns0:c>
      <ns0:c r="L205" s="4">
        <ns0:v>33.01</ns0:v>
      </ns0:c>
      <ns0:c r="M205" s="4">
        <ns0:v>20.20</ns0:v>
      </ns0:c>
      <ns0:c r="N205" s="4">
        <ns0:v>58.62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48.52</ns0:v>
      </ns0:c>
      <ns0:c r="D206" s="4">
        <ns0:v>46.74</ns0:v>
      </ns0:c>
      <ns0:c r="E206" s="4">
        <ns0:v>23.54</ns0:v>
      </ns0:c>
      <ns0:c r="F206" s="4">
        <ns0:v>21.26</ns0:v>
      </ns0:c>
      <ns0:c r="G206" s="4">
        <ns0:v>22.89</ns0:v>
      </ns0:c>
      <ns0:c r="H206" s="4">
        <ns0:v>75.53</ns0:v>
      </ns0:c>
      <ns0:c r="I206" s="4">
        <ns0:v>56.20</ns0:v>
      </ns0:c>
      <ns0:c r="J206" s="4">
        <ns0:v>30.04</ns0:v>
      </ns0:c>
      <ns0:c r="K206" s="4">
        <ns0:v>51.36</ns0:v>
      </ns0:c>
      <ns0:c r="L206" s="4">
        <ns0:v>64.49</ns0:v>
      </ns0:c>
      <ns0:c r="M206" s="4">
        <ns0:v>73.65</ns0:v>
      </ns0:c>
      <ns0:c r="N206" s="4">
        <ns0:v>21.93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27.75</ns0:v>
      </ns0:c>
      <ns0:c r="D207" s="4">
        <ns0:v>26.44</ns0:v>
      </ns0:c>
      <ns0:c r="E207" s="4">
        <ns0:v>39.74</ns0:v>
      </ns0:c>
      <ns0:c r="F207" s="4">
        <ns0:v>48.06</ns0:v>
      </ns0:c>
      <ns0:c r="G207" s="4">
        <ns0:v>28.09</ns0:v>
      </ns0:c>
      <ns0:c r="H207" s="4">
        <ns0:v>30.43</ns0:v>
      </ns0:c>
      <ns0:c r="I207" s="4">
        <ns0:v>49.37</ns0:v>
      </ns0:c>
      <ns0:c r="J207" s="4">
        <ns0:v>57.94</ns0:v>
      </ns0:c>
      <ns0:c r="K207" s="4">
        <ns0:v>68.11</ns0:v>
      </ns0:c>
      <ns0:c r="L207" s="4">
        <ns0:v>49.97</ns0:v>
      </ns0:c>
      <ns0:c r="M207" s="4">
        <ns0:v>33.50</ns0:v>
      </ns0:c>
      <ns0:c r="N207" s="4">
        <ns0:v>34.97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53.83</ns0:v>
      </ns0:c>
      <ns0:c r="D208" s="4">
        <ns0:v>21.37</ns0:v>
      </ns0:c>
      <ns0:c r="E208" s="4">
        <ns0:v>62.05</ns0:v>
      </ns0:c>
      <ns0:c r="F208" s="4">
        <ns0:v>24.04</ns0:v>
      </ns0:c>
      <ns0:c r="G208" s="4">
        <ns0:v>40.76</ns0:v>
      </ns0:c>
      <ns0:c r="H208" s="4">
        <ns0:v>18.18</ns0:v>
      </ns0:c>
      <ns0:c r="I208" s="4">
        <ns0:v>74.70</ns0:v>
      </ns0:c>
      <ns0:c r="J208" s="4">
        <ns0:v>43.59</ns0:v>
      </ns0:c>
      <ns0:c r="K208" s="4">
        <ns0:v>24.41</ns0:v>
      </ns0:c>
      <ns0:c r="L208" s="4">
        <ns0:v>25.07</ns0:v>
      </ns0:c>
      <ns0:c r="M208" s="4">
        <ns0:v>34.80</ns0:v>
      </ns0:c>
      <ns0:c r="N208" s="4">
        <ns0:v>51.13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17.47</ns0:v>
      </ns0:c>
      <ns0:c r="D209" s="4">
        <ns0:v>20.74</ns0:v>
      </ns0:c>
      <ns0:c r="E209" s="4">
        <ns0:v>56.07</ns0:v>
      </ns0:c>
      <ns0:c r="F209" s="4">
        <ns0:v>64.02</ns0:v>
      </ns0:c>
      <ns0:c r="G209" s="4">
        <ns0:v>41.91</ns0:v>
      </ns0:c>
      <ns0:c r="H209" s="4">
        <ns0:v>53.75</ns0:v>
      </ns0:c>
      <ns0:c r="I209" s="4">
        <ns0:v>53.04</ns0:v>
      </ns0:c>
      <ns0:c r="J209" s="4">
        <ns0:v>28.16</ns0:v>
      </ns0:c>
      <ns0:c r="K209" s="4">
        <ns0:v>52.83</ns0:v>
      </ns0:c>
      <ns0:c r="L209" s="4">
        <ns0:v>25.75</ns0:v>
      </ns0:c>
      <ns0:c r="M209" s="4">
        <ns0:v>55.27</ns0:v>
      </ns0:c>
      <ns0:c r="N209" s="4">
        <ns0:v>53.26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44.62</ns0:v>
      </ns0:c>
      <ns0:c r="D210" s="4">
        <ns0:v>39.65</ns0:v>
      </ns0:c>
      <ns0:c r="E210" s="4">
        <ns0:v>29.44</ns0:v>
      </ns0:c>
      <ns0:c r="F210" s="4">
        <ns0:v>25.62</ns0:v>
      </ns0:c>
      <ns0:c r="G210" s="4">
        <ns0:v>49.12</ns0:v>
      </ns0:c>
      <ns0:c r="H210" s="4">
        <ns0:v>60.31</ns0:v>
      </ns0:c>
      <ns0:c r="I210" s="4">
        <ns0:v>39.34</ns0:v>
      </ns0:c>
      <ns0:c r="J210" s="4">
        <ns0:v>27.14</ns0:v>
      </ns0:c>
      <ns0:c r="K210" s="4">
        <ns0:v>66.31</ns0:v>
      </ns0:c>
      <ns0:c r="L210" s="4">
        <ns0:v>39.71</ns0:v>
      </ns0:c>
      <ns0:c r="M210" s="4">
        <ns0:v>62.23</ns0:v>
      </ns0:c>
      <ns0:c r="N210" s="4">
        <ns0:v>55.11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22.31</ns0:v>
      </ns0:c>
      <ns0:c r="D211" s="4">
        <ns0:v>30.57</ns0:v>
      </ns0:c>
      <ns0:c r="E211" s="4">
        <ns0:v>35.18</ns0:v>
      </ns0:c>
      <ns0:c r="F211" s="4">
        <ns0:v>40.01</ns0:v>
      </ns0:c>
      <ns0:c r="G211" s="4">
        <ns0:v>52.69</ns0:v>
      </ns0:c>
      <ns0:c r="H211" s="4">
        <ns0:v>40.49</ns0:v>
      </ns0:c>
      <ns0:c r="I211" s="4">
        <ns0:v>74.77</ns0:v>
      </ns0:c>
      <ns0:c r="J211" s="4">
        <ns0:v>27.71</ns0:v>
      </ns0:c>
      <ns0:c r="K211" s="4">
        <ns0:v>51.72</ns0:v>
      </ns0:c>
      <ns0:c r="L211" s="4">
        <ns0:v>39.06</ns0:v>
      </ns0:c>
      <ns0:c r="M211" s="4">
        <ns0:v>40.21</ns0:v>
      </ns0:c>
      <ns0:c r="N211" s="4">
        <ns0:v>18.95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41.03</ns0:v>
      </ns0:c>
      <ns0:c r="D212" s="4">
        <ns0:v>64.37</ns0:v>
      </ns0:c>
      <ns0:c r="E212" s="4">
        <ns0:v>48.66</ns0:v>
      </ns0:c>
      <ns0:c r="F212" s="4">
        <ns0:v>52.96</ns0:v>
      </ns0:c>
      <ns0:c r="G212" s="4">
        <ns0:v>30.10</ns0:v>
      </ns0:c>
      <ns0:c r="H212" s="4">
        <ns0:v>19.61</ns0:v>
      </ns0:c>
      <ns0:c r="I212" s="4">
        <ns0:v>64.67</ns0:v>
      </ns0:c>
      <ns0:c r="J212" s="4">
        <ns0:v>39.23</ns0:v>
      </ns0:c>
      <ns0:c r="K212" s="4">
        <ns0:v>52.23</ns0:v>
      </ns0:c>
      <ns0:c r="L212" s="4">
        <ns0:v>29.63</ns0:v>
      </ns0:c>
      <ns0:c r="M212" s="4">
        <ns0:v>30.30</ns0:v>
      </ns0:c>
      <ns0:c r="N212" s="4">
        <ns0:v>41.97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51.18</ns0:v>
      </ns0:c>
      <ns0:c r="D213" s="4">
        <ns0:v>64.79</ns0:v>
      </ns0:c>
      <ns0:c r="E213" s="4">
        <ns0:v>20.60</ns0:v>
      </ns0:c>
      <ns0:c r="F213" s="4">
        <ns0:v>24.01</ns0:v>
      </ns0:c>
      <ns0:c r="G213" s="4">
        <ns0:v>63.82</ns0:v>
      </ns0:c>
      <ns0:c r="H213" s="4">
        <ns0:v>48.73</ns0:v>
      </ns0:c>
      <ns0:c r="I213" s="4">
        <ns0:v>28.24</ns0:v>
      </ns0:c>
      <ns0:c r="J213" s="4">
        <ns0:v>54.97</ns0:v>
      </ns0:c>
      <ns0:c r="K213" s="4">
        <ns0:v>47.05</ns0:v>
      </ns0:c>
      <ns0:c r="L213" s="4">
        <ns0:v>43.39</ns0:v>
      </ns0:c>
      <ns0:c r="M213" s="4">
        <ns0:v>66.80</ns0:v>
      </ns0:c>
      <ns0:c r="N213" s="4">
        <ns0:v>44.76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21.52</ns0:v>
      </ns0:c>
      <ns0:c r="D214" s="4">
        <ns0:v>61.21</ns0:v>
      </ns0:c>
      <ns0:c r="E214" s="4">
        <ns0:v>76.09</ns0:v>
      </ns0:c>
      <ns0:c r="F214" s="4">
        <ns0:v>41.61</ns0:v>
      </ns0:c>
      <ns0:c r="G214" s="4">
        <ns0:v>28.87</ns0:v>
      </ns0:c>
      <ns0:c r="H214" s="4">
        <ns0:v>43.88</ns0:v>
      </ns0:c>
      <ns0:c r="I214" s="4">
        <ns0:v>34.88</ns0:v>
      </ns0:c>
      <ns0:c r="J214" s="4">
        <ns0:v>40.91</ns0:v>
      </ns0:c>
      <ns0:c r="K214" s="4">
        <ns0:v>60.03</ns0:v>
      </ns0:c>
      <ns0:c r="L214" s="4">
        <ns0:v>33.65</ns0:v>
      </ns0:c>
      <ns0:c r="M214" s="4">
        <ns0:v>20.88</ns0:v>
      </ns0:c>
      <ns0:c r="N214" s="4">
        <ns0:v>53.48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41.34</ns0:v>
      </ns0:c>
      <ns0:c r="D215" s="4">
        <ns0:v>42.40</ns0:v>
      </ns0:c>
      <ns0:c r="E215" s="4">
        <ns0:v>23.55</ns0:v>
      </ns0:c>
      <ns0:c r="F215" s="4">
        <ns0:v>21.81</ns0:v>
      </ns0:c>
      <ns0:c r="G215" s="4">
        <ns0:v>56.50</ns0:v>
      </ns0:c>
      <ns0:c r="H215" s="4">
        <ns0:v>23.17</ns0:v>
      </ns0:c>
      <ns0:c r="I215" s="4">
        <ns0:v>46.32</ns0:v>
      </ns0:c>
      <ns0:c r="J215" s="4">
        <ns0:v>65.87</ns0:v>
      </ns0:c>
      <ns0:c r="K215" s="4">
        <ns0:v>16.97</ns0:v>
      </ns0:c>
      <ns0:c r="L215" s="4">
        <ns0:v>57.85</ns0:v>
      </ns0:c>
      <ns0:c r="M215" s="4">
        <ns0:v>27.12</ns0:v>
      </ns0:c>
      <ns0:c r="N215" s="4">
        <ns0:v>45.13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38.84</ns0:v>
      </ns0:c>
      <ns0:c r="D216" s="4">
        <ns0:v>57.09</ns0:v>
      </ns0:c>
      <ns0:c r="E216" s="4">
        <ns0:v>66.95</ns0:v>
      </ns0:c>
      <ns0:c r="F216" s="4">
        <ns0:v>19.59</ns0:v>
      </ns0:c>
      <ns0:c r="G216" s="4">
        <ns0:v>16.37</ns0:v>
      </ns0:c>
      <ns0:c r="H216" s="4">
        <ns0:v>46.19</ns0:v>
      </ns0:c>
      <ns0:c r="I216" s="4">
        <ns0:v>42.27</ns0:v>
      </ns0:c>
      <ns0:c r="J216" s="4">
        <ns0:v>61.96</ns0:v>
      </ns0:c>
      <ns0:c r="K216" s="4">
        <ns0:v>20.12</ns0:v>
      </ns0:c>
      <ns0:c r="L216" s="4">
        <ns0:v>32.02</ns0:v>
      </ns0:c>
      <ns0:c r="M216" s="4">
        <ns0:v>19.35</ns0:v>
      </ns0:c>
      <ns0:c r="N216" s="4">
        <ns0:v>19.69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31.46</ns0:v>
      </ns0:c>
      <ns0:c r="D217" s="4">
        <ns0:v>20.06</ns0:v>
      </ns0:c>
      <ns0:c r="E217" s="4">
        <ns0:v>20.38</ns0:v>
      </ns0:c>
      <ns0:c r="F217" s="4">
        <ns0:v>36.61</ns0:v>
      </ns0:c>
      <ns0:c r="G217" s="4">
        <ns0:v>73.23</ns0:v>
      </ns0:c>
      <ns0:c r="H217" s="4">
        <ns0:v>24.48</ns0:v>
      </ns0:c>
      <ns0:c r="I217" s="4">
        <ns0:v>35.33</ns0:v>
      </ns0:c>
      <ns0:c r="J217" s="4">
        <ns0:v>67.15</ns0:v>
      </ns0:c>
      <ns0:c r="K217" s="4">
        <ns0:v>59.90</ns0:v>
      </ns0:c>
      <ns0:c r="L217" s="4">
        <ns0:v>70.88</ns0:v>
      </ns0:c>
      <ns0:c r="M217" s="4">
        <ns0:v>25.35</ns0:v>
      </ns0:c>
      <ns0:c r="N217" s="4">
        <ns0:v>22.83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43.66</ns0:v>
      </ns0:c>
      <ns0:c r="D218" s="4">
        <ns0:v>21.90</ns0:v>
      </ns0:c>
      <ns0:c r="E218" s="4">
        <ns0:v>22.60</ns0:v>
      </ns0:c>
      <ns0:c r="F218" s="4">
        <ns0:v>47.42</ns0:v>
      </ns0:c>
      <ns0:c r="G218" s="4">
        <ns0:v>31.61</ns0:v>
      </ns0:c>
      <ns0:c r="H218" s="4">
        <ns0:v>69.32</ns0:v>
      </ns0:c>
      <ns0:c r="I218" s="4">
        <ns0:v>29.56</ns0:v>
      </ns0:c>
      <ns0:c r="J218" s="4">
        <ns0:v>36.02</ns0:v>
      </ns0:c>
      <ns0:c r="K218" s="4">
        <ns0:v>48.69</ns0:v>
      </ns0:c>
      <ns0:c r="L218" s="4">
        <ns0:v>52.88</ns0:v>
      </ns0:c>
      <ns0:c r="M218" s="4">
        <ns0:v>43.84</ns0:v>
      </ns0:c>
      <ns0:c r="N218" s="4">
        <ns0:v>16.87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35.70</ns0:v>
      </ns0:c>
      <ns0:c r="D219" s="4">
        <ns0:v>72.74</ns0:v>
      </ns0:c>
      <ns0:c r="E219" s="4">
        <ns0:v>58.99</ns0:v>
      </ns0:c>
      <ns0:c r="F219" s="4">
        <ns0:v>35.11</ns0:v>
      </ns0:c>
      <ns0:c r="G219" s="4">
        <ns0:v>36.03</ns0:v>
      </ns0:c>
      <ns0:c r="H219" s="4">
        <ns0:v>66.29</ns0:v>
      </ns0:c>
      <ns0:c r="I219" s="4">
        <ns0:v>40.74</ns0:v>
      </ns0:c>
      <ns0:c r="J219" s="4">
        <ns0:v>52.97</ns0:v>
      </ns0:c>
      <ns0:c r="K219" s="4">
        <ns0:v>64.61</ns0:v>
      </ns0:c>
      <ns0:c r="L219" s="4">
        <ns0:v>33.82</ns0:v>
      </ns0:c>
      <ns0:c r="M219" s="4">
        <ns0:v>64.35</ns0:v>
      </ns0:c>
      <ns0:c r="N219" s="4">
        <ns0:v>44.61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18.71</ns0:v>
      </ns0:c>
      <ns0:c r="D221" s="4">
        <ns0:v>58.98</ns0:v>
      </ns0:c>
      <ns0:c r="E221" s="4">
        <ns0:v>19.13</ns0:v>
      </ns0:c>
      <ns0:c r="F221" s="4">
        <ns0:v>59.31</ns0:v>
      </ns0:c>
      <ns0:c r="G221" s="4">
        <ns0:v>27.37</ns0:v>
      </ns0:c>
      <ns0:c r="H221" s="4">
        <ns0:v>55.50</ns0:v>
      </ns0:c>
      <ns0:c r="I221" s="4">
        <ns0:v>18.86</ns0:v>
      </ns0:c>
      <ns0:c r="J221" s="4">
        <ns0:v>61.29</ns0:v>
      </ns0:c>
      <ns0:c r="K221" s="4">
        <ns0:v>32.64</ns0:v>
      </ns0:c>
      <ns0:c r="L221" s="4">
        <ns0:v>38.59</ns0:v>
      </ns0:c>
      <ns0:c r="M221" s="4">
        <ns0:v>45.44</ns0:v>
      </ns0:c>
      <ns0:c r="N221" s="4">
        <ns0:v>49.18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22.25</ns0:v>
      </ns0:c>
      <ns0:c r="D222" s="4">
        <ns0:v>30.60</ns0:v>
      </ns0:c>
      <ns0:c r="E222" s="4">
        <ns0:v>58.86</ns0:v>
      </ns0:c>
      <ns0:c r="F222" s="4">
        <ns0:v>30.04</ns0:v>
      </ns0:c>
      <ns0:c r="G222" s="4">
        <ns0:v>32.01</ns0:v>
      </ns0:c>
      <ns0:c r="H222" s="4">
        <ns0:v>24.02</ns0:v>
      </ns0:c>
      <ns0:c r="I222" s="4">
        <ns0:v>51.84</ns0:v>
      </ns0:c>
      <ns0:c r="J222" s="4">
        <ns0:v>32.38</ns0:v>
      </ns0:c>
      <ns0:c r="K222" s="4">
        <ns0:v>31.41</ns0:v>
      </ns0:c>
      <ns0:c r="L222" s="4">
        <ns0:v>43.82</ns0:v>
      </ns0:c>
      <ns0:c r="M222" s="4">
        <ns0:v>39.41</ns0:v>
      </ns0:c>
      <ns0:c r="N222" s="4">
        <ns0:v>34.60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61.31</ns0:v>
      </ns0:c>
      <ns0:c r="D223" s="4">
        <ns0:v>65.36</ns0:v>
      </ns0:c>
      <ns0:c r="E223" s="4">
        <ns0:v>21.06</ns0:v>
      </ns0:c>
      <ns0:c r="F223" s="4">
        <ns0:v>20.08</ns0:v>
      </ns0:c>
      <ns0:c r="G223" s="4">
        <ns0:v>42.69</ns0:v>
      </ns0:c>
      <ns0:c r="H223" s="4">
        <ns0:v>50.23</ns0:v>
      </ns0:c>
      <ns0:c r="I223" s="4">
        <ns0:v>45.15</ns0:v>
      </ns0:c>
      <ns0:c r="J223" s="4">
        <ns0:v>39.36</ns0:v>
      </ns0:c>
      <ns0:c r="K223" s="4">
        <ns0:v>64.37</ns0:v>
      </ns0:c>
      <ns0:c r="L223" s="4">
        <ns0:v>63.17</ns0:v>
      </ns0:c>
      <ns0:c r="M223" s="4">
        <ns0:v>41.31</ns0:v>
      </ns0:c>
      <ns0:c r="N223" s="4">
        <ns0:v>65.89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38.51</ns0:v>
      </ns0:c>
      <ns0:c r="D224" s="4">
        <ns0:v>19.29</ns0:v>
      </ns0:c>
      <ns0:c r="E224" s="4">
        <ns0:v>57.52</ns0:v>
      </ns0:c>
      <ns0:c r="F224" s="4">
        <ns0:v>28.83</ns0:v>
      </ns0:c>
      <ns0:c r="G224" s="4">
        <ns0:v>60.50</ns0:v>
      </ns0:c>
      <ns0:c r="H224" s="4">
        <ns0:v>37.77</ns0:v>
      </ns0:c>
      <ns0:c r="I224" s="4">
        <ns0:v>54.25</ns0:v>
      </ns0:c>
      <ns0:c r="J224" s="4">
        <ns0:v>26.23</ns0:v>
      </ns0:c>
      <ns0:c r="K224" s="4">
        <ns0:v>46.49</ns0:v>
      </ns0:c>
      <ns0:c r="L224" s="4">
        <ns0:v>43.12</ns0:v>
      </ns0:c>
      <ns0:c r="M224" s="4">
        <ns0:v>57.97</ns0:v>
      </ns0:c>
      <ns0:c r="N224" s="4">
        <ns0:v>41.87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37.82</ns0:v>
      </ns0:c>
      <ns0:c r="D225" s="4">
        <ns0:v>58.85</ns0:v>
      </ns0:c>
      <ns0:c r="E225" s="4">
        <ns0:v>52.97</ns0:v>
      </ns0:c>
      <ns0:c r="F225" s="4">
        <ns0:v>73.93</ns0:v>
      </ns0:c>
      <ns0:c r="G225" s="4">
        <ns0:v>65.45</ns0:v>
      </ns0:c>
      <ns0:c r="H225" s="4">
        <ns0:v>42.62</ns0:v>
      </ns0:c>
      <ns0:c r="I225" s="4">
        <ns0:v>41.15</ns0:v>
      </ns0:c>
      <ns0:c r="J225" s="4">
        <ns0:v>66.65</ns0:v>
      </ns0:c>
      <ns0:c r="K225" s="4">
        <ns0:v>51.82</ns0:v>
      </ns0:c>
      <ns0:c r="L225" s="4">
        <ns0:v>38.12</ns0:v>
      </ns0:c>
      <ns0:c r="M225" s="4">
        <ns0:v>46.34</ns0:v>
      </ns0:c>
      <ns0:c r="N225" s="4">
        <ns0:v>35.63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35.11</ns0:v>
      </ns0:c>
      <ns0:c r="D226" s="4">
        <ns0:v>43.73</ns0:v>
      </ns0:c>
      <ns0:c r="E226" s="4">
        <ns0:v>66.04</ns0:v>
      </ns0:c>
      <ns0:c r="F226" s="4">
        <ns0:v>53.83</ns0:v>
      </ns0:c>
      <ns0:c r="G226" s="4">
        <ns0:v>45.65</ns0:v>
      </ns0:c>
      <ns0:c r="H226" s="4">
        <ns0:v>71.91</ns0:v>
      </ns0:c>
      <ns0:c r="I226" s="4">
        <ns0:v>22.98</ns0:v>
      </ns0:c>
      <ns0:c r="J226" s="4">
        <ns0:v>22.97</ns0:v>
      </ns0:c>
      <ns0:c r="K226" s="4">
        <ns0:v>42.85</ns0:v>
      </ns0:c>
      <ns0:c r="L226" s="4">
        <ns0:v>41.61</ns0:v>
      </ns0:c>
      <ns0:c r="M226" s="4">
        <ns0:v>54.18</ns0:v>
      </ns0:c>
      <ns0:c r="N226" s="4">
        <ns0:v>41.22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54.43</ns0:v>
      </ns0:c>
      <ns0:c r="D227" s="4">
        <ns0:v>37.77</ns0:v>
      </ns0:c>
      <ns0:c r="E227" s="4">
        <ns0:v>25.30</ns0:v>
      </ns0:c>
      <ns0:c r="F227" s="4">
        <ns0:v>20.40</ns0:v>
      </ns0:c>
      <ns0:c r="G227" s="4">
        <ns0:v>37.31</ns0:v>
      </ns0:c>
      <ns0:c r="H227" s="4">
        <ns0:v>28.92</ns0:v>
      </ns0:c>
      <ns0:c r="I227" s="4">
        <ns0:v>41.05</ns0:v>
      </ns0:c>
      <ns0:c r="J227" s="4">
        <ns0:v>46.29</ns0:v>
      </ns0:c>
      <ns0:c r="K227" s="4">
        <ns0:v>70.68</ns0:v>
      </ns0:c>
      <ns0:c r="L227" s="4">
        <ns0:v>40.91</ns0:v>
      </ns0:c>
      <ns0:c r="M227" s="4">
        <ns0:v>30.78</ns0:v>
      </ns0:c>
      <ns0:c r="N227" s="4">
        <ns0:v>38.35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51.41</ns0:v>
      </ns0:c>
      <ns0:c r="D228" s="4">
        <ns0:v>23.43</ns0:v>
      </ns0:c>
      <ns0:c r="E228" s="4">
        <ns0:v>49.44</ns0:v>
      </ns0:c>
      <ns0:c r="F228" s="4">
        <ns0:v>32.69</ns0:v>
      </ns0:c>
      <ns0:c r="G228" s="4">
        <ns0:v>55.71</ns0:v>
      </ns0:c>
      <ns0:c r="H228" s="4">
        <ns0:v>55.58</ns0:v>
      </ns0:c>
      <ns0:c r="I228" s="4">
        <ns0:v>47.01</ns0:v>
      </ns0:c>
      <ns0:c r="J228" s="4">
        <ns0:v>57.44</ns0:v>
      </ns0:c>
      <ns0:c r="K228" s="4">
        <ns0:v>22.22</ns0:v>
      </ns0:c>
      <ns0:c r="L228" s="4">
        <ns0:v>38.15</ns0:v>
      </ns0:c>
      <ns0:c r="M228" s="4">
        <ns0:v>28.33</ns0:v>
      </ns0:c>
      <ns0:c r="N228" s="4">
        <ns0:v>43.34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19.74</ns0:v>
      </ns0:c>
      <ns0:c r="D230" s="4">
        <ns0:v>47.13</ns0:v>
      </ns0:c>
      <ns0:c r="E230" s="4">
        <ns0:v>25.83</ns0:v>
      </ns0:c>
      <ns0:c r="F230" s="4">
        <ns0:v>59.59</ns0:v>
      </ns0:c>
      <ns0:c r="G230" s="4">
        <ns0:v>41.11</ns0:v>
      </ns0:c>
      <ns0:c r="H230" s="4">
        <ns0:v>57.36</ns0:v>
      </ns0:c>
      <ns0:c r="I230" s="4">
        <ns0:v>24.82</ns0:v>
      </ns0:c>
      <ns0:c r="J230" s="4">
        <ns0:v>46.83</ns0:v>
      </ns0:c>
      <ns0:c r="K230" s="4">
        <ns0:v>21.37</ns0:v>
      </ns0:c>
      <ns0:c r="L230" s="4">
        <ns0:v>26.96</ns0:v>
      </ns0:c>
      <ns0:c r="M230" s="4">
        <ns0:v>59.42</ns0:v>
      </ns0:c>
      <ns0:c r="N230" s="4">
        <ns0:v>34.89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51.33</ns0:v>
      </ns0:c>
      <ns0:c r="D231" s="4">
        <ns0:v>30.94</ns0:v>
      </ns0:c>
      <ns0:c r="E231" s="4">
        <ns0:v>24.46</ns0:v>
      </ns0:c>
      <ns0:c r="F231" s="4">
        <ns0:v>62.51</ns0:v>
      </ns0:c>
      <ns0:c r="G231" s="4">
        <ns0:v>24.59</ns0:v>
      </ns0:c>
      <ns0:c r="H231" s="4">
        <ns0:v>43.14</ns0:v>
      </ns0:c>
      <ns0:c r="I231" s="4">
        <ns0:v>34.55</ns0:v>
      </ns0:c>
      <ns0:c r="J231" s="4">
        <ns0:v>56.97</ns0:v>
      </ns0:c>
      <ns0:c r="K231" s="4">
        <ns0:v>22.15</ns0:v>
      </ns0:c>
      <ns0:c r="L231" s="4">
        <ns0:v>52.93</ns0:v>
      </ns0:c>
      <ns0:c r="M231" s="4">
        <ns0:v>59.49</ns0:v>
      </ns0:c>
      <ns0:c r="N231" s="4">
        <ns0:v>32.93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45.12</ns0:v>
      </ns0:c>
      <ns0:c r="D232" s="4">
        <ns0:v>38.90</ns0:v>
      </ns0:c>
      <ns0:c r="E232" s="4">
        <ns0:v>27.23</ns0:v>
      </ns0:c>
      <ns0:c r="F232" s="4">
        <ns0:v>37.07</ns0:v>
      </ns0:c>
      <ns0:c r="G232" s="4">
        <ns0:v>54.96</ns0:v>
      </ns0:c>
      <ns0:c r="H232" s="4">
        <ns0:v>50.30</ns0:v>
      </ns0:c>
      <ns0:c r="I232" s="4">
        <ns0:v>75.81</ns0:v>
      </ns0:c>
      <ns0:c r="J232" s="4">
        <ns0:v>45.61</ns0:v>
      </ns0:c>
      <ns0:c r="K232" s="4">
        <ns0:v>49.37</ns0:v>
      </ns0:c>
      <ns0:c r="L232" s="4">
        <ns0:v>50.24</ns0:v>
      </ns0:c>
      <ns0:c r="M232" s="4">
        <ns0:v>26.49</ns0:v>
      </ns0:c>
      <ns0:c r="N232" s="4">
        <ns0:v>48.61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23.65</ns0:v>
      </ns0:c>
      <ns0:c r="D233" s="4">
        <ns0:v>42.20</ns0:v>
      </ns0:c>
      <ns0:c r="E233" s="4">
        <ns0:v>25.93</ns0:v>
      </ns0:c>
      <ns0:c r="F233" s="4">
        <ns0:v>43.08</ns0:v>
      </ns0:c>
      <ns0:c r="G233" s="4">
        <ns0:v>47.57</ns0:v>
      </ns0:c>
      <ns0:c r="H233" s="4">
        <ns0:v>53.42</ns0:v>
      </ns0:c>
      <ns0:c r="I233" s="4">
        <ns0:v>26.06</ns0:v>
      </ns0:c>
      <ns0:c r="J233" s="4">
        <ns0:v>33.86</ns0:v>
      </ns0:c>
      <ns0:c r="K233" s="4">
        <ns0:v>36.74</ns0:v>
      </ns0:c>
      <ns0:c r="L233" s="4">
        <ns0:v>64.66</ns0:v>
      </ns0:c>
      <ns0:c r="M233" s="4">
        <ns0:v>42.84</ns0:v>
      </ns0:c>
      <ns0:c r="N233" s="4">
        <ns0:v>62.63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5.52</ns0:v>
      </ns0:c>
      <ns0:c r="D324" s="4">
        <ns0:v>3.88</ns0:v>
      </ns0:c>
      <ns0:c r="E324" s="4">
        <ns0:v>4.55</ns0:v>
      </ns0:c>
      <ns0:c r="F324" s="4">
        <ns0:v>8.38</ns0:v>
      </ns0:c>
      <ns0:c r="G324" s="4">
        <ns0:v>8.84</ns0:v>
      </ns0:c>
      <ns0:c r="H324" s="4">
        <ns0:v>2.81</ns0:v>
      </ns0:c>
      <ns0:c r="I324" s="4">
        <ns0:v>4.17</ns0:v>
      </ns0:c>
      <ns0:c r="J324" s="4">
        <ns0:v>2.04</ns0:v>
      </ns0:c>
      <ns0:c r="K324" s="4">
        <ns0:v>6.07</ns0:v>
      </ns0:c>
      <ns0:c r="L324" s="4">
        <ns0:v>6.70</ns0:v>
      </ns0:c>
      <ns0:c r="M324" s="4">
        <ns0:v>7.71</ns0:v>
      </ns0:c>
      <ns0:c r="N324" s="4">
        <ns0:v>4.77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3.48</ns0:v>
      </ns0:c>
      <ns0:c r="D325" s="4">
        <ns0:v>6.39</ns0:v>
      </ns0:c>
      <ns0:c r="E325" s="4">
        <ns0:v>4.24</ns0:v>
      </ns0:c>
      <ns0:c r="F325" s="4">
        <ns0:v>8.04</ns0:v>
      </ns0:c>
      <ns0:c r="G325" s="4">
        <ns0:v>7.46</ns0:v>
      </ns0:c>
      <ns0:c r="H325" s="4">
        <ns0:v>3.88</ns0:v>
      </ns0:c>
      <ns0:c r="I325" s="4">
        <ns0:v>8.49</ns0:v>
      </ns0:c>
      <ns0:c r="J325" s="4">
        <ns0:v>2.86</ns0:v>
      </ns0:c>
      <ns0:c r="K325" s="4">
        <ns0:v>5.40</ns0:v>
      </ns0:c>
      <ns0:c r="L325" s="4">
        <ns0:v>3.15</ns0:v>
      </ns0:c>
      <ns0:c r="M325" s="4">
        <ns0:v>2.30</ns0:v>
      </ns0:c>
      <ns0:c r="N325" s="4">
        <ns0:v>6.82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7.08</ns0:v>
      </ns0:c>
      <ns0:c r="D326" s="4">
        <ns0:v>7.52</ns0:v>
      </ns0:c>
      <ns0:c r="E326" s="4">
        <ns0:v>5.53</ns0:v>
      </ns0:c>
      <ns0:c r="F326" s="4">
        <ns0:v>6.30</ns0:v>
      </ns0:c>
      <ns0:c r="G326" s="4">
        <ns0:v>7.34</ns0:v>
      </ns0:c>
      <ns0:c r="H326" s="4">
        <ns0:v>7.09</ns0:v>
      </ns0:c>
      <ns0:c r="I326" s="4">
        <ns0:v>2.16</ns0:v>
      </ns0:c>
      <ns0:c r="J326" s="4">
        <ns0:v>5.25</ns0:v>
      </ns0:c>
      <ns0:c r="K326" s="4">
        <ns0:v>7.66</ns0:v>
      </ns0:c>
      <ns0:c r="L326" s="4">
        <ns0:v>5.99</ns0:v>
      </ns0:c>
      <ns0:c r="M326" s="4">
        <ns0:v>2.11</ns0:v>
      </ns0:c>
      <ns0:c r="N326" s="4">
        <ns0:v>5.27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8.05</ns0:v>
      </ns0:c>
      <ns0:c r="D327" s="4">
        <ns0:v>4.98</ns0:v>
      </ns0:c>
      <ns0:c r="E327" s="4">
        <ns0:v>3.11</ns0:v>
      </ns0:c>
      <ns0:c r="F327" s="4">
        <ns0:v>7.15</ns0:v>
      </ns0:c>
      <ns0:c r="G327" s="4">
        <ns0:v>3.99</ns0:v>
      </ns0:c>
      <ns0:c r="H327" s="4">
        <ns0:v>2.77</ns0:v>
      </ns0:c>
      <ns0:c r="I327" s="4">
        <ns0:v>8.67</ns0:v>
      </ns0:c>
      <ns0:c r="J327" s="4">
        <ns0:v>5.67</ns0:v>
      </ns0:c>
      <ns0:c r="K327" s="4">
        <ns0:v>4.23</ns0:v>
      </ns0:c>
      <ns0:c r="L327" s="4">
        <ns0:v>5.89</ns0:v>
      </ns0:c>
      <ns0:c r="M327" s="4">
        <ns0:v>4.80</ns0:v>
      </ns0:c>
      <ns0:c r="N327" s="4">
        <ns0:v>8.24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8.68</ns0:v>
      </ns0:c>
      <ns0:c r="D328" s="4">
        <ns0:v>3.93</ns0:v>
      </ns0:c>
      <ns0:c r="E328" s="4">
        <ns0:v>5.14</ns0:v>
      </ns0:c>
      <ns0:c r="F328" s="4">
        <ns0:v>5.28</ns0:v>
      </ns0:c>
      <ns0:c r="G328" s="4">
        <ns0:v>7.96</ns0:v>
      </ns0:c>
      <ns0:c r="H328" s="4">
        <ns0:v>7.58</ns0:v>
      </ns0:c>
      <ns0:c r="I328" s="4">
        <ns0:v>4.92</ns0:v>
      </ns0:c>
      <ns0:c r="J328" s="4">
        <ns0:v>2.62</ns0:v>
      </ns0:c>
      <ns0:c r="K328" s="4">
        <ns0:v>4.38</ns0:v>
      </ns0:c>
      <ns0:c r="L328" s="4">
        <ns0:v>2.97</ns0:v>
      </ns0:c>
      <ns0:c r="M328" s="4">
        <ns0:v>7.22</ns0:v>
      </ns0:c>
      <ns0:c r="N328" s="4">
        <ns0:v>4.71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3.48</ns0:v>
      </ns0:c>
      <ns0:c r="D329" s="4">
        <ns0:v>9.15</ns0:v>
      </ns0:c>
      <ns0:c r="E329" s="4">
        <ns0:v>6.34</ns0:v>
      </ns0:c>
      <ns0:c r="F329" s="4">
        <ns0:v>6.58</ns0:v>
      </ns0:c>
      <ns0:c r="G329" s="4">
        <ns0:v>5.88</ns0:v>
      </ns0:c>
      <ns0:c r="H329" s="4">
        <ns0:v>3.61</ns0:v>
      </ns0:c>
      <ns0:c r="I329" s="4">
        <ns0:v>2.93</ns0:v>
      </ns0:c>
      <ns0:c r="J329" s="4">
        <ns0:v>2.44</ns0:v>
      </ns0:c>
      <ns0:c r="K329" s="4">
        <ns0:v>8.98</ns0:v>
      </ns0:c>
      <ns0:c r="L329" s="4">
        <ns0:v>7.91</ns0:v>
      </ns0:c>
      <ns0:c r="M329" s="4">
        <ns0:v>6.81</ns0:v>
      </ns0:c>
      <ns0:c r="N329" s="4">
        <ns0:v>4.78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2.76</ns0:v>
      </ns0:c>
      <ns0:c r="D330" s="4">
        <ns0:v>3.51</ns0:v>
      </ns0:c>
      <ns0:c r="E330" s="4">
        <ns0:v>8.19</ns0:v>
      </ns0:c>
      <ns0:c r="F330" s="4">
        <ns0:v>5.98</ns0:v>
      </ns0:c>
      <ns0:c r="G330" s="4">
        <ns0:v>4.75</ns0:v>
      </ns0:c>
      <ns0:c r="H330" s="4">
        <ns0:v>6.70</ns0:v>
      </ns0:c>
      <ns0:c r="I330" s="4">
        <ns0:v>4.80</ns0:v>
      </ns0:c>
      <ns0:c r="J330" s="4">
        <ns0:v>5.82</ns0:v>
      </ns0:c>
      <ns0:c r="K330" s="4">
        <ns0:v>4.13</ns0:v>
      </ns0:c>
      <ns0:c r="L330" s="4">
        <ns0:v>8.11</ns0:v>
      </ns0:c>
      <ns0:c r="M330" s="4">
        <ns0:v>5.07</ns0:v>
      </ns0:c>
      <ns0:c r="N330" s="4">
        <ns0:v>9.24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6.24</ns0:v>
      </ns0:c>
      <ns0:c r="D331" s="4">
        <ns0:v>8.33</ns0:v>
      </ns0:c>
      <ns0:c r="E331" s="4">
        <ns0:v>5.14</ns0:v>
      </ns0:c>
      <ns0:c r="F331" s="4">
        <ns0:v>8.34</ns0:v>
      </ns0:c>
      <ns0:c r="G331" s="4">
        <ns0:v>4.04</ns0:v>
      </ns0:c>
      <ns0:c r="H331" s="4">
        <ns0:v>1.96</ns0:v>
      </ns0:c>
      <ns0:c r="I331" s="4">
        <ns0:v>2.35</ns0:v>
      </ns0:c>
      <ns0:c r="J331" s="4">
        <ns0:v>7.63</ns0:v>
      </ns0:c>
      <ns0:c r="K331" s="4">
        <ns0:v>8.92</ns0:v>
      </ns0:c>
      <ns0:c r="L331" s="4">
        <ns0:v>2.63</ns0:v>
      </ns0:c>
      <ns0:c r="M331" s="4">
        <ns0:v>3.63</ns0:v>
      </ns0:c>
      <ns0:c r="N331" s="4">
        <ns0:v>6.26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2.83</ns0:v>
      </ns0:c>
      <ns0:c r="D332" s="4">
        <ns0:v>3.18</ns0:v>
      </ns0:c>
      <ns0:c r="E332" s="4">
        <ns0:v>5.13</ns0:v>
      </ns0:c>
      <ns0:c r="F332" s="4">
        <ns0:v>2.58</ns0:v>
      </ns0:c>
      <ns0:c r="G332" s="4">
        <ns0:v>7.98</ns0:v>
      </ns0:c>
      <ns0:c r="H332" s="4">
        <ns0:v>4.03</ns0:v>
      </ns0:c>
      <ns0:c r="I332" s="4">
        <ns0:v>1.87</ns0:v>
      </ns0:c>
      <ns0:c r="J332" s="4">
        <ns0:v>6.48</ns0:v>
      </ns0:c>
      <ns0:c r="K332" s="4">
        <ns0:v>5.93</ns0:v>
      </ns0:c>
      <ns0:c r="L332" s="4">
        <ns0:v>9.60</ns0:v>
      </ns0:c>
      <ns0:c r="M332" s="4">
        <ns0:v>8.25</ns0:v>
      </ns0:c>
      <ns0:c r="N332" s="4">
        <ns0:v>7.10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2.47</ns0:v>
      </ns0:c>
      <ns0:c r="D333" s="4">
        <ns0:v>3.17</ns0:v>
      </ns0:c>
      <ns0:c r="E333" s="4">
        <ns0:v>5.29</ns0:v>
      </ns0:c>
      <ns0:c r="F333" s="4">
        <ns0:v>7.44</ns0:v>
      </ns0:c>
      <ns0:c r="G333" s="4">
        <ns0:v>7.74</ns0:v>
      </ns0:c>
      <ns0:c r="H333" s="4">
        <ns0:v>8.51</ns0:v>
      </ns0:c>
      <ns0:c r="I333" s="4">
        <ns0:v>2.49</ns0:v>
      </ns0:c>
      <ns0:c r="J333" s="4">
        <ns0:v>6.84</ns0:v>
      </ns0:c>
      <ns0:c r="K333" s="4">
        <ns0:v>4.55</ns0:v>
      </ns0:c>
      <ns0:c r="L333" s="4">
        <ns0:v>8.71</ns0:v>
      </ns0:c>
      <ns0:c r="M333" s="4">
        <ns0:v>7.19</ns0:v>
      </ns0:c>
      <ns0:c r="N333" s="4">
        <ns0:v>6.23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6.62</ns0:v>
      </ns0:c>
      <ns0:c r="D334" s="4">
        <ns0:v>6.67</ns0:v>
      </ns0:c>
      <ns0:c r="E334" s="4">
        <ns0:v>2.75</ns0:v>
      </ns0:c>
      <ns0:c r="F334" s="4">
        <ns0:v>6.91</ns0:v>
      </ns0:c>
      <ns0:c r="G334" s="4">
        <ns0:v>7.12</ns0:v>
      </ns0:c>
      <ns0:c r="H334" s="4">
        <ns0:v>8.07</ns0:v>
      </ns0:c>
      <ns0:c r="I334" s="4">
        <ns0:v>7.67</ns0:v>
      </ns0:c>
      <ns0:c r="J334" s="4">
        <ns0:v>6.65</ns0:v>
      </ns0:c>
      <ns0:c r="K334" s="4">
        <ns0:v>4.39</ns0:v>
      </ns0:c>
      <ns0:c r="L334" s="4">
        <ns0:v>6.76</ns0:v>
      </ns0:c>
      <ns0:c r="M334" s="4">
        <ns0:v>6.80</ns0:v>
      </ns0:c>
      <ns0:c r="N334" s="4">
        <ns0:v>6.05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4.24</ns0:v>
      </ns0:c>
      <ns0:c r="D335" s="4">
        <ns0:v>8.15</ns0:v>
      </ns0:c>
      <ns0:c r="E335" s="4">
        <ns0:v>3.13</ns0:v>
      </ns0:c>
      <ns0:c r="F335" s="4">
        <ns0:v>7.08</ns0:v>
      </ns0:c>
      <ns0:c r="G335" s="4">
        <ns0:v>2.99</ns0:v>
      </ns0:c>
      <ns0:c r="H335" s="4">
        <ns0:v>3.12</ns0:v>
      </ns0:c>
      <ns0:c r="I335" s="4">
        <ns0:v>7.14</ns0:v>
      </ns0:c>
      <ns0:c r="J335" s="4">
        <ns0:v>5.24</ns0:v>
      </ns0:c>
      <ns0:c r="K335" s="4">
        <ns0:v>5.72</ns0:v>
      </ns0:c>
      <ns0:c r="L335" s="4">
        <ns0:v>6.22</ns0:v>
      </ns0:c>
      <ns0:c r="M335" s="4">
        <ns0:v>5.92</ns0:v>
      </ns0:c>
      <ns0:c r="N335" s="4">
        <ns0:v>6.58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2.69</ns0:v>
      </ns0:c>
      <ns0:c r="D336" s="4">
        <ns0:v>6.06</ns0:v>
      </ns0:c>
      <ns0:c r="E336" s="4">
        <ns0:v>2.79</ns0:v>
      </ns0:c>
      <ns0:c r="F336" s="4">
        <ns0:v>5.34</ns0:v>
      </ns0:c>
      <ns0:c r="G336" s="4">
        <ns0:v>7.22</ns0:v>
      </ns0:c>
      <ns0:c r="H336" s="4">
        <ns0:v>6.13</ns0:v>
      </ns0:c>
      <ns0:c r="I336" s="4">
        <ns0:v>5.97</ns0:v>
      </ns0:c>
      <ns0:c r="J336" s="4">
        <ns0:v>2.18</ns0:v>
      </ns0:c>
      <ns0:c r="K336" s="4">
        <ns0:v>4.38</ns0:v>
      </ns0:c>
      <ns0:c r="L336" s="4">
        <ns0:v>3.52</ns0:v>
      </ns0:c>
      <ns0:c r="M336" s="4">
        <ns0:v>7.20</ns0:v>
      </ns0:c>
      <ns0:c r="N336" s="4">
        <ns0:v>6.18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5.76</ns0:v>
      </ns0:c>
      <ns0:c r="D337" s="4">
        <ns0:v>3.28</ns0:v>
      </ns0:c>
      <ns0:c r="E337" s="4">
        <ns0:v>4.97</ns0:v>
      </ns0:c>
      <ns0:c r="F337" s="4">
        <ns0:v>6.29</ns0:v>
      </ns0:c>
      <ns0:c r="G337" s="4">
        <ns0:v>8.74</ns0:v>
      </ns0:c>
      <ns0:c r="H337" s="4">
        <ns0:v>6.16</ns0:v>
      </ns0:c>
      <ns0:c r="I337" s="4">
        <ns0:v>3.16</ns0:v>
      </ns0:c>
      <ns0:c r="J337" s="4">
        <ns0:v>5.41</ns0:v>
      </ns0:c>
      <ns0:c r="K337" s="4">
        <ns0:v>4.81</ns0:v>
      </ns0:c>
      <ns0:c r="L337" s="4">
        <ns0:v>6.80</ns0:v>
      </ns0:c>
      <ns0:c r="M337" s="4">
        <ns0:v>8.31</ns0:v>
      </ns0:c>
      <ns0:c r="N337" s="4">
        <ns0:v>3.70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8.36</ns0:v>
      </ns0:c>
      <ns0:c r="D338" s="4">
        <ns0:v>6.17</ns0:v>
      </ns0:c>
      <ns0:c r="E338" s="4">
        <ns0:v>5.91</ns0:v>
      </ns0:c>
      <ns0:c r="F338" s="4">
        <ns0:v>2.88</ns0:v>
      </ns0:c>
      <ns0:c r="G338" s="4">
        <ns0:v>6.33</ns0:v>
      </ns0:c>
      <ns0:c r="H338" s="4">
        <ns0:v>7.54</ns0:v>
      </ns0:c>
      <ns0:c r="I338" s="4">
        <ns0:v>6.64</ns0:v>
      </ns0:c>
      <ns0:c r="J338" s="4">
        <ns0:v>3.89</ns0:v>
      </ns0:c>
      <ns0:c r="K338" s="4">
        <ns0:v>3.84</ns0:v>
      </ns0:c>
      <ns0:c r="L338" s="4">
        <ns0:v>7.68</ns0:v>
      </ns0:c>
      <ns0:c r="M338" s="4">
        <ns0:v>9.10</ns0:v>
      </ns0:c>
      <ns0:c r="N338" s="4">
        <ns0:v>4.86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4.81</ns0:v>
      </ns0:c>
      <ns0:c r="D339" s="4">
        <ns0:v>4.45</ns0:v>
      </ns0:c>
      <ns0:c r="E339" s="4">
        <ns0:v>4.20</ns0:v>
      </ns0:c>
      <ns0:c r="F339" s="4">
        <ns0:v>4.83</ns0:v>
      </ns0:c>
      <ns0:c r="G339" s="4">
        <ns0:v>2.17</ns0:v>
      </ns0:c>
      <ns0:c r="H339" s="4">
        <ns0:v>4.14</ns0:v>
      </ns0:c>
      <ns0:c r="I339" s="4">
        <ns0:v>7.68</ns0:v>
      </ns0:c>
      <ns0:c r="J339" s="4">
        <ns0:v>3.47</ns0:v>
      </ns0:c>
      <ns0:c r="K339" s="4">
        <ns0:v>6.44</ns0:v>
      </ns0:c>
      <ns0:c r="L339" s="4">
        <ns0:v>6.03</ns0:v>
      </ns0:c>
      <ns0:c r="M339" s="4">
        <ns0:v>8.78</ns0:v>
      </ns0:c>
      <ns0:c r="N339" s="4">
        <ns0:v>6.66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8.91</ns0:v>
      </ns0:c>
      <ns0:c r="D341" s="4">
        <ns0:v>5.90</ns0:v>
      </ns0:c>
      <ns0:c r="E341" s="4">
        <ns0:v>4.80</ns0:v>
      </ns0:c>
      <ns0:c r="F341" s="4">
        <ns0:v>8.18</ns0:v>
      </ns0:c>
      <ns0:c r="G341" s="4">
        <ns0:v>2.99</ns0:v>
      </ns0:c>
      <ns0:c r="H341" s="4">
        <ns0:v>6.88</ns0:v>
      </ns0:c>
      <ns0:c r="I341" s="4">
        <ns0:v>2.02</ns0:v>
      </ns0:c>
      <ns0:c r="J341" s="4">
        <ns0:v>4.06</ns0:v>
      </ns0:c>
      <ns0:c r="K341" s="4">
        <ns0:v>2.47</ns0:v>
      </ns0:c>
      <ns0:c r="L341" s="4">
        <ns0:v>7.46</ns0:v>
      </ns0:c>
      <ns0:c r="M341" s="4">
        <ns0:v>2.89</ns0:v>
      </ns0:c>
      <ns0:c r="N341" s="4">
        <ns0:v>4.39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2.26</ns0:v>
      </ns0:c>
      <ns0:c r="D342" s="4">
        <ns0:v>2.82</ns0:v>
      </ns0:c>
      <ns0:c r="E342" s="4">
        <ns0:v>5.67</ns0:v>
      </ns0:c>
      <ns0:c r="F342" s="4">
        <ns0:v>7.68</ns0:v>
      </ns0:c>
      <ns0:c r="G342" s="4">
        <ns0:v>5.09</ns0:v>
      </ns0:c>
      <ns0:c r="H342" s="4">
        <ns0:v>5.91</ns0:v>
      </ns0:c>
      <ns0:c r="I342" s="4">
        <ns0:v>2.98</ns0:v>
      </ns0:c>
      <ns0:c r="J342" s="4">
        <ns0:v>6.58</ns0:v>
      </ns0:c>
      <ns0:c r="K342" s="4">
        <ns0:v>4.08</ns0:v>
      </ns0:c>
      <ns0:c r="L342" s="4">
        <ns0:v>3.46</ns0:v>
      </ns0:c>
      <ns0:c r="M342" s="4">
        <ns0:v>4.76</ns0:v>
      </ns0:c>
      <ns0:c r="N342" s="4">
        <ns0:v>4.24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3.86</ns0:v>
      </ns0:c>
      <ns0:c r="D343" s="4">
        <ns0:v>6.16</ns0:v>
      </ns0:c>
      <ns0:c r="E343" s="4">
        <ns0:v>3.42</ns0:v>
      </ns0:c>
      <ns0:c r="F343" s="4">
        <ns0:v>2.81</ns0:v>
      </ns0:c>
      <ns0:c r="G343" s="4">
        <ns0:v>4.94</ns0:v>
      </ns0:c>
      <ns0:c r="H343" s="4">
        <ns0:v>3.13</ns0:v>
      </ns0:c>
      <ns0:c r="I343" s="4">
        <ns0:v>4.14</ns0:v>
      </ns0:c>
      <ns0:c r="J343" s="4">
        <ns0:v>3.40</ns0:v>
      </ns0:c>
      <ns0:c r="K343" s="4">
        <ns0:v>4.04</ns0:v>
      </ns0:c>
      <ns0:c r="L343" s="4">
        <ns0:v>2.92</ns0:v>
      </ns0:c>
      <ns0:c r="M343" s="4">
        <ns0:v>7.78</ns0:v>
      </ns0:c>
      <ns0:c r="N343" s="4">
        <ns0:v>9.38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5.94</ns0:v>
      </ns0:c>
      <ns0:c r="D344" s="4">
        <ns0:v>6.12</ns0:v>
      </ns0:c>
      <ns0:c r="E344" s="4">
        <ns0:v>7.91</ns0:v>
      </ns0:c>
      <ns0:c r="F344" s="4">
        <ns0:v>4.13</ns0:v>
      </ns0:c>
      <ns0:c r="G344" s="4">
        <ns0:v>9.69</ns0:v>
      </ns0:c>
      <ns0:c r="H344" s="4">
        <ns0:v>4.41</ns0:v>
      </ns0:c>
      <ns0:c r="I344" s="4">
        <ns0:v>7.75</ns0:v>
      </ns0:c>
      <ns0:c r="J344" s="4">
        <ns0:v>3.45</ns0:v>
      </ns0:c>
      <ns0:c r="K344" s="4">
        <ns0:v>2.91</ns0:v>
      </ns0:c>
      <ns0:c r="L344" s="4">
        <ns0:v>5.04</ns0:v>
      </ns0:c>
      <ns0:c r="M344" s="4">
        <ns0:v>4.05</ns0:v>
      </ns0:c>
      <ns0:c r="N344" s="4">
        <ns0:v>6.84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7.02</ns0:v>
      </ns0:c>
      <ns0:c r="D345" s="4">
        <ns0:v>8.72</ns0:v>
      </ns0:c>
      <ns0:c r="E345" s="4">
        <ns0:v>5.59</ns0:v>
      </ns0:c>
      <ns0:c r="F345" s="4">
        <ns0:v>5.64</ns0:v>
      </ns0:c>
      <ns0:c r="G345" s="4">
        <ns0:v>3.08</ns0:v>
      </ns0:c>
      <ns0:c r="H345" s="4">
        <ns0:v>4.84</ns0:v>
      </ns0:c>
      <ns0:c r="I345" s="4">
        <ns0:v>7.99</ns0:v>
      </ns0:c>
      <ns0:c r="J345" s="4">
        <ns0:v>3.39</ns0:v>
      </ns0:c>
      <ns0:c r="K345" s="4">
        <ns0:v>5.63</ns0:v>
      </ns0:c>
      <ns0:c r="L345" s="4">
        <ns0:v>4.16</ns0:v>
      </ns0:c>
      <ns0:c r="M345" s="4">
        <ns0:v>1.98</ns0:v>
      </ns0:c>
      <ns0:c r="N345" s="4">
        <ns0:v>6.92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4.24</ns0:v>
      </ns0:c>
      <ns0:c r="D346" s="4">
        <ns0:v>3.78</ns0:v>
      </ns0:c>
      <ns0:c r="E346" s="4">
        <ns0:v>5.01</ns0:v>
      </ns0:c>
      <ns0:c r="F346" s="4">
        <ns0:v>8.16</ns0:v>
      </ns0:c>
      <ns0:c r="G346" s="4">
        <ns0:v>3.22</ns0:v>
      </ns0:c>
      <ns0:c r="H346" s="4">
        <ns0:v>2.78</ns0:v>
      </ns0:c>
      <ns0:c r="I346" s="4">
        <ns0:v>8.55</ns0:v>
      </ns0:c>
      <ns0:c r="J346" s="4">
        <ns0:v>9.02</ns0:v>
      </ns0:c>
      <ns0:c r="K346" s="4">
        <ns0:v>4.56</ns0:v>
      </ns0:c>
      <ns0:c r="L346" s="4">
        <ns0:v>5.13</ns0:v>
      </ns0:c>
      <ns0:c r="M346" s="4">
        <ns0:v>4.17</ns0:v>
      </ns0:c>
      <ns0:c r="N346" s="4">
        <ns0:v>7.02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2.32</ns0:v>
      </ns0:c>
      <ns0:c r="D347" s="4">
        <ns0:v>5.08</ns0:v>
      </ns0:c>
      <ns0:c r="E347" s="4">
        <ns0:v>7.57</ns0:v>
      </ns0:c>
      <ns0:c r="F347" s="4">
        <ns0:v>3.75</ns0:v>
      </ns0:c>
      <ns0:c r="G347" s="4">
        <ns0:v>3.06</ns0:v>
      </ns0:c>
      <ns0:c r="H347" s="4">
        <ns0:v>6.97</ns0:v>
      </ns0:c>
      <ns0:c r="I347" s="4">
        <ns0:v>2.99</ns0:v>
      </ns0:c>
      <ns0:c r="J347" s="4">
        <ns0:v>4.78</ns0:v>
      </ns0:c>
      <ns0:c r="K347" s="4">
        <ns0:v>8.07</ns0:v>
      </ns0:c>
      <ns0:c r="L347" s="4">
        <ns0:v>6.63</ns0:v>
      </ns0:c>
      <ns0:c r="M347" s="4">
        <ns0:v>6.08</ns0:v>
      </ns0:c>
      <ns0:c r="N347" s="4">
        <ns0:v>4.60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5.59</ns0:v>
      </ns0:c>
      <ns0:c r="D348" s="4">
        <ns0:v>9.60</ns0:v>
      </ns0:c>
      <ns0:c r="E348" s="4">
        <ns0:v>2.09</ns0:v>
      </ns0:c>
      <ns0:c r="F348" s="4">
        <ns0:v>7.05</ns0:v>
      </ns0:c>
      <ns0:c r="G348" s="4">
        <ns0:v>6.77</ns0:v>
      </ns0:c>
      <ns0:c r="H348" s="4">
        <ns0:v>9.30</ns0:v>
      </ns0:c>
      <ns0:c r="I348" s="4">
        <ns0:v>6.89</ns0:v>
      </ns0:c>
      <ns0:c r="J348" s="4">
        <ns0:v>2.10</ns0:v>
      </ns0:c>
      <ns0:c r="K348" s="4">
        <ns0:v>5.75</ns0:v>
      </ns0:c>
      <ns0:c r="L348" s="4">
        <ns0:v>8.10</ns0:v>
      </ns0:c>
      <ns0:c r="M348" s="4">
        <ns0:v>8.63</ns0:v>
      </ns0:c>
      <ns0:c r="N348" s="4">
        <ns0:v>5.07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6.99</ns0:v>
      </ns0:c>
      <ns0:c r="D350" s="4">
        <ns0:v>9.07</ns0:v>
      </ns0:c>
      <ns0:c r="E350" s="4">
        <ns0:v>2.69</ns0:v>
      </ns0:c>
      <ns0:c r="F350" s="4">
        <ns0:v>3.91</ns0:v>
      </ns0:c>
      <ns0:c r="G350" s="4">
        <ns0:v>5.67</ns0:v>
      </ns0:c>
      <ns0:c r="H350" s="4">
        <ns0:v>7.38</ns0:v>
      </ns0:c>
      <ns0:c r="I350" s="4">
        <ns0:v>2.33</ns0:v>
      </ns0:c>
      <ns0:c r="J350" s="4">
        <ns0:v>4.76</ns0:v>
      </ns0:c>
      <ns0:c r="K350" s="4">
        <ns0:v>6.68</ns0:v>
      </ns0:c>
      <ns0:c r="L350" s="4">
        <ns0:v>9.29</ns0:v>
      </ns0:c>
      <ns0:c r="M350" s="4">
        <ns0:v>2.60</ns0:v>
      </ns0:c>
      <ns0:c r="N350" s="4">
        <ns0:v>6.05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9.43</ns0:v>
      </ns0:c>
      <ns0:c r="D351" s="4">
        <ns0:v>5.86</ns0:v>
      </ns0:c>
      <ns0:c r="E351" s="4">
        <ns0:v>7.66</ns0:v>
      </ns0:c>
      <ns0:c r="F351" s="4">
        <ns0:v>5.09</ns0:v>
      </ns0:c>
      <ns0:c r="G351" s="4">
        <ns0:v>4.27</ns0:v>
      </ns0:c>
      <ns0:c r="H351" s="4">
        <ns0:v>7.93</ns0:v>
      </ns0:c>
      <ns0:c r="I351" s="4">
        <ns0:v>2.36</ns0:v>
      </ns0:c>
      <ns0:c r="J351" s="4">
        <ns0:v>2.59</ns0:v>
      </ns0:c>
      <ns0:c r="K351" s="4">
        <ns0:v>3.15</ns0:v>
      </ns0:c>
      <ns0:c r="L351" s="4">
        <ns0:v>5.90</ns0:v>
      </ns0:c>
      <ns0:c r="M351" s="4">
        <ns0:v>5.04</ns0:v>
      </ns0:c>
      <ns0:c r="N351" s="4">
        <ns0:v>2.34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6.80</ns0:v>
      </ns0:c>
      <ns0:c r="D352" s="4">
        <ns0:v>2.25</ns0:v>
      </ns0:c>
      <ns0:c r="E352" s="4">
        <ns0:v>6.50</ns0:v>
      </ns0:c>
      <ns0:c r="F352" s="4">
        <ns0:v>2.73</ns0:v>
      </ns0:c>
      <ns0:c r="G352" s="4">
        <ns0:v>4.28</ns0:v>
      </ns0:c>
      <ns0:c r="H352" s="4">
        <ns0:v>3.21</ns0:v>
      </ns0:c>
      <ns0:c r="I352" s="4">
        <ns0:v>7.77</ns0:v>
      </ns0:c>
      <ns0:c r="J352" s="4">
        <ns0:v>6.48</ns0:v>
      </ns0:c>
      <ns0:c r="K352" s="4">
        <ns0:v>4.88</ns0:v>
      </ns0:c>
      <ns0:c r="L352" s="4">
        <ns0:v>6.09</ns0:v>
      </ns0:c>
      <ns0:c r="M352" s="4">
        <ns0:v>4.62</ns0:v>
      </ns0:c>
      <ns0:c r="N352" s="4">
        <ns0:v>3.17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2.45</ns0:v>
      </ns0:c>
      <ns0:c r="D353" s="4">
        <ns0:v>4.76</ns0:v>
      </ns0:c>
      <ns0:c r="E353" s="4">
        <ns0:v>4.81</ns0:v>
      </ns0:c>
      <ns0:c r="F353" s="4">
        <ns0:v>3.12</ns0:v>
      </ns0:c>
      <ns0:c r="G353" s="4">
        <ns0:v>7.80</ns0:v>
      </ns0:c>
      <ns0:c r="H353" s="4">
        <ns0:v>4.73</ns0:v>
      </ns0:c>
      <ns0:c r="I353" s="4">
        <ns0:v>7.10</ns0:v>
      </ns0:c>
      <ns0:c r="J353" s="4">
        <ns0:v>3.65</ns0:v>
      </ns0:c>
      <ns0:c r="K353" s="4">
        <ns0:v>4.89</ns0:v>
      </ns0:c>
      <ns0:c r="L353" s="4">
        <ns0:v>2.55</ns0:v>
      </ns0:c>
      <ns0:c r="M353" s="4">
        <ns0:v>8.92</ns0:v>
      </ns0:c>
      <ns0:c r="N353" s="4">
        <ns0:v>5.18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435.93</ns0:v>
      </ns0:c>
      <ns0:c r="D4" s="3">
        <ns0:f>ROUND(D204*D324,2)</ns0:f>
        <ns0:v>137.42</ns0:v>
      </ns0:c>
      <ns0:c r="E4" s="3">
        <ns0:f>ROUND(E204*E324,2)</ns0:f>
        <ns0:v>326.79</ns0:v>
      </ns0:c>
      <ns0:c r="F4" s="3">
        <ns0:f>ROUND(F204*F324,2)</ns0:f>
        <ns0:v>213.79</ns0:v>
      </ns0:c>
      <ns0:c r="G4" s="3">
        <ns0:f>ROUND(G204*G324,2)</ns0:f>
        <ns0:v>143.53</ns0:v>
      </ns0:c>
      <ns0:c r="H4" s="3">
        <ns0:f>ROUND(H204*H324,2)</ns0:f>
        <ns0:v>388.79</ns0:v>
      </ns0:c>
      <ns0:c r="I4" s="3">
        <ns0:f>ROUND(I204*I324,2)</ns0:f>
        <ns0:v>252.28</ns0:v>
      </ns0:c>
      <ns0:c r="J4" s="3">
        <ns0:f>ROUND(J204*J324,2)</ns0:f>
        <ns0:v>85.73</ns0:v>
      </ns0:c>
      <ns0:c r="K4" s="3">
        <ns0:f>ROUND(K204*K324,2)</ns0:f>
        <ns0:v>190.38</ns0:v>
      </ns0:c>
      <ns0:c r="L4" s="3">
        <ns0:f>ROUND(L204*L324,2)</ns0:f>
        <ns0:v>296.93</ns0:v>
      </ns0:c>
      <ns0:c r="M4" s="3">
        <ns0:f>ROUND(M204*M324,2)</ns0:f>
        <ns0:v>250.75</ns0:v>
      </ns0:c>
      <ns0:c r="N4" s="3">
        <ns0:f>ROUND(N204*N324,2)</ns0:f>
        <ns0:v>529.04</ns0:v>
      </ns0:c>
      <ns0:c r="O4" s="3">
        <ns0:f>SUM(C4:N4)</ns0:f>
        <ns0:v>3251.36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333.30</ns0:v>
      </ns0:c>
      <ns0:c r="D5" s="3">
        <ns0:f>ROUND(D205*D325,2)</ns0:f>
        <ns0:v>165.44</ns0:v>
      </ns0:c>
      <ns0:c r="E5" s="3">
        <ns0:f>ROUND(E205*E325,2)</ns0:f>
        <ns0:v>126.45</ns0:v>
      </ns0:c>
      <ns0:c r="F5" s="3">
        <ns0:f>ROUND(F205*F325,2)</ns0:f>
        <ns0:v>323.67</ns0:v>
      </ns0:c>
      <ns0:c r="G5" s="3">
        <ns0:f>ROUND(G205*G325,2)</ns0:f>
        <ns0:v>402.88</ns0:v>
      </ns0:c>
      <ns0:c r="H5" s="3">
        <ns0:f>ROUND(H205*H325,2)</ns0:f>
        <ns0:v>401.04</ns0:v>
      </ns0:c>
      <ns0:c r="I5" s="3">
        <ns0:f>ROUND(I205*I325,2)</ns0:f>
        <ns0:v>387.35</ns0:v>
      </ns0:c>
      <ns0:c r="J5" s="3">
        <ns0:f>ROUND(J205*J325,2)</ns0:f>
        <ns0:v>293.75</ns0:v>
      </ns0:c>
      <ns0:c r="K5" s="3">
        <ns0:f>ROUND(K205*K325,2)</ns0:f>
        <ns0:v>237.89</ns0:v>
      </ns0:c>
      <ns0:c r="L5" s="3">
        <ns0:f>ROUND(L205*L325,2)</ns0:f>
        <ns0:v>164.54</ns0:v>
      </ns0:c>
      <ns0:c r="M5" s="3">
        <ns0:f>ROUND(M205*M325,2)</ns0:f>
        <ns0:v>131.02</ns0:v>
      </ns0:c>
      <ns0:c r="N5" s="3">
        <ns0:f>ROUND(N205*N325,2)</ns0:f>
        <ns0:v>104.61</ns0:v>
      </ns0:c>
      <ns0:c r="O5" s="3">
        <ns0:f>SUM(C5:N5)</ns0:f>
        <ns0:v>3071.94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141.84</ns0:v>
      </ns0:c>
      <ns0:c r="D6" s="3">
        <ns0:f>ROUND(D206*D326,2)</ns0:f>
        <ns0:v>467.59</ns0:v>
      </ns0:c>
      <ns0:c r="E6" s="3">
        <ns0:f>ROUND(E206*E326,2)</ns0:f>
        <ns0:v>171.43</ns0:v>
      </ns0:c>
      <ns0:c r="F6" s="3">
        <ns0:f>ROUND(F206*F326,2)</ns0:f>
        <ns0:v>211.07</ns0:v>
      </ns0:c>
      <ns0:c r="G6" s="3">
        <ns0:f>ROUND(G206*G326,2)</ns0:f>
        <ns0:v>326.69</ns0:v>
      </ns0:c>
      <ns0:c r="H6" s="3">
        <ns0:f>ROUND(H206*H326,2)</ns0:f>
        <ns0:v>90.41</ns0:v>
      </ns0:c>
      <ns0:c r="I6" s="3">
        <ns0:f>ROUND(I206*I326,2)</ns0:f>
        <ns0:v>91.66</ns0:v>
      </ns0:c>
      <ns0:c r="J6" s="3">
        <ns0:f>ROUND(J206*J326,2)</ns0:f>
        <ns0:v>121.77</ns0:v>
      </ns0:c>
      <ns0:c r="K6" s="3">
        <ns0:f>ROUND(K206*K326,2)</ns0:f>
        <ns0:v>343.04</ns0:v>
      </ns0:c>
      <ns0:c r="L6" s="3">
        <ns0:f>ROUND(L206*L326,2)</ns0:f>
        <ns0:v>137.10</ns0:v>
      </ns0:c>
      <ns0:c r="M6" s="3">
        <ns0:f>ROUND(M206*M326,2)</ns0:f>
        <ns0:v>226.54</ns0:v>
      </ns0:c>
      <ns0:c r="N6" s="3">
        <ns0:f>ROUND(N206*N326,2)</ns0:f>
        <ns0:v>344.62</ns0:v>
      </ns0:c>
      <ns0:c r="O6" s="3">
        <ns0:f>SUM(C6:N6)</ns0:f>
        <ns0:v>2673.76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128.78</ns0:v>
      </ns0:c>
      <ns0:c r="D7" s="3">
        <ns0:f>ROUND(D207*D327,2)</ns0:f>
        <ns0:v>207.81</ns0:v>
      </ns0:c>
      <ns0:c r="E7" s="3">
        <ns0:f>ROUND(E207*E327,2)</ns0:f>
        <ns0:v>221.61</ns0:v>
      </ns0:c>
      <ns0:c r="F7" s="3">
        <ns0:f>ROUND(F207*F327,2)</ns0:f>
        <ns0:v>90.63</ns0:v>
      </ns0:c>
      <ns0:c r="G7" s="3">
        <ns0:f>ROUND(G207*G327,2)</ns0:f>
        <ns0:v>100.20</ns0:v>
      </ns0:c>
      <ns0:c r="H7" s="3">
        <ns0:f>ROUND(H207*H327,2)</ns0:f>
        <ns0:v>413.05</ns0:v>
      </ns0:c>
      <ns0:c r="I7" s="3">
        <ns0:f>ROUND(I207*I327,2)</ns0:f>
        <ns0:v>72.16</ns0:v>
      </ns0:c>
      <ns0:c r="J7" s="3">
        <ns0:f>ROUND(J207*J327,2)</ns0:f>
        <ns0:v>62.36</ns0:v>
      </ns0:c>
      <ns0:c r="K7" s="3">
        <ns0:f>ROUND(K207*K327,2)</ns0:f>
        <ns0:v>483.67</ns0:v>
      </ns0:c>
      <ns0:c r="L7" s="3">
        <ns0:f>ROUND(L207*L327,2)</ns0:f>
        <ns0:v>181.58</ns0:v>
      </ns0:c>
      <ns0:c r="M7" s="3">
        <ns0:f>ROUND(M207*M327,2)</ns0:f>
        <ns0:v>338.92</ns0:v>
      </ns0:c>
      <ns0:c r="N7" s="3">
        <ns0:f>ROUND(N207*N327,2)</ns0:f>
        <ns0:v>235.11</ns0:v>
      </ns0:c>
      <ns0:c r="O7" s="3">
        <ns0:f>SUM(C7:N7)</ns0:f>
        <ns0:v>2535.88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384.47</ns0:v>
      </ns0:c>
      <ns0:c r="D8" s="3">
        <ns0:f>ROUND(D208*D328,2)</ns0:f>
        <ns0:v>79.13</ns0:v>
      </ns0:c>
      <ns0:c r="E8" s="3">
        <ns0:f>ROUND(E208*E328,2)</ns0:f>
        <ns0:v>62.14</ns0:v>
      </ns0:c>
      <ns0:c r="F8" s="3">
        <ns0:f>ROUND(F208*F328,2)</ns0:f>
        <ns0:v>442.20</ns0:v>
      </ns0:c>
      <ns0:c r="G8" s="3">
        <ns0:f>ROUND(G208*G328,2)</ns0:f>
        <ns0:v>264.14</ns0:v>
      </ns0:c>
      <ns0:c r="H8" s="3">
        <ns0:f>ROUND(H208*H328,2)</ns0:f>
        <ns0:v>471.74</ns0:v>
      </ns0:c>
      <ns0:c r="I8" s="3">
        <ns0:f>ROUND(I208*I328,2)</ns0:f>
        <ns0:v>135.58</ns0:v>
      </ns0:c>
      <ns0:c r="J8" s="3">
        <ns0:f>ROUND(J208*J328,2)</ns0:f>
        <ns0:v>277.86</ns0:v>
      </ns0:c>
      <ns0:c r="K8" s="3">
        <ns0:f>ROUND(K208*K328,2)</ns0:f>
        <ns0:v>105.81</ns0:v>
      </ns0:c>
      <ns0:c r="L8" s="3">
        <ns0:f>ROUND(L208*L328,2)</ns0:f>
        <ns0:v>344.60</ns0:v>
      </ns0:c>
      <ns0:c r="M8" s="3">
        <ns0:f>ROUND(M208*M328,2)</ns0:f>
        <ns0:v>124.42</ns0:v>
      </ns0:c>
      <ns0:c r="N8" s="3">
        <ns0:f>ROUND(N208*N328,2)</ns0:f>
        <ns0:v>184.17</ns0:v>
      </ns0:c>
      <ns0:c r="O8" s="3">
        <ns0:f>SUM(C8:N8)</ns0:f>
        <ns0:v>2876.26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201.10</ns0:v>
      </ns0:c>
      <ns0:c r="D9" s="3">
        <ns0:f>ROUND(D209*D329,2)</ns0:f>
        <ns0:v>185.47</ns0:v>
      </ns0:c>
      <ns0:c r="E9" s="3">
        <ns0:f>ROUND(E209*E329,2)</ns0:f>
        <ns0:v>370.71</ns0:v>
      </ns0:c>
      <ns0:c r="F9" s="3">
        <ns0:f>ROUND(F209*F329,2)</ns0:f>
        <ns0:v>57.75</ns0:v>
      </ns0:c>
      <ns0:c r="G9" s="3">
        <ns0:f>ROUND(G209*G329,2)</ns0:f>
        <ns0:v>59.15</ns0:v>
      </ns0:c>
      <ns0:c r="H9" s="3">
        <ns0:f>ROUND(H209*H329,2)</ns0:f>
        <ns0:v>69.93</ns0:v>
      </ns0:c>
      <ns0:c r="I9" s="3">
        <ns0:f>ROUND(I209*I329,2)</ns0:f>
        <ns0:v>129.89</ns0:v>
      </ns0:c>
      <ns0:c r="J9" s="3">
        <ns0:f>ROUND(J209*J329,2)</ns0:f>
        <ns0:v>309.07</ns0:v>
      </ns0:c>
      <ns0:c r="K9" s="3">
        <ns0:f>ROUND(K209*K329,2)</ns0:f>
        <ns0:v>391.84</ns0:v>
      </ns0:c>
      <ns0:c r="L9" s="3">
        <ns0:f>ROUND(L209*L329,2)</ns0:f>
        <ns0:v>71.80</ns0:v>
      </ns0:c>
      <ns0:c r="M9" s="3">
        <ns0:f>ROUND(M209*M329,2)</ns0:f>
        <ns0:v>427.91</ns0:v>
      </ns0:c>
      <ns0:c r="N9" s="3">
        <ns0:f>ROUND(N209*N329,2)</ns0:f>
        <ns0:v>326.33</ns0:v>
      </ns0:c>
      <ns0:c r="O9" s="3">
        <ns0:f>SUM(C9:N9)</ns0:f>
        <ns0:v>2600.95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167.42</ns0:v>
      </ns0:c>
      <ns0:c r="D10" s="3">
        <ns0:f>ROUND(D210*D330,2)</ns0:f>
        <ns0:v>110.23</ns0:v>
      </ns0:c>
      <ns0:c r="E10" s="3">
        <ns0:f>ROUND(E210*E330,2)</ns0:f>
        <ns0:v>96.08</ns0:v>
      </ns0:c>
      <ns0:c r="F10" s="3">
        <ns0:f>ROUND(F210*F330,2)</ns0:f>
        <ns0:v>72.27</ns0:v>
      </ns0:c>
      <ns0:c r="G10" s="3">
        <ns0:f>ROUND(G210*G330,2)</ns0:f>
        <ns0:v>177.33</ns0:v>
      </ns0:c>
      <ns0:c r="H10" s="3">
        <ns0:f>ROUND(H210*H330,2)</ns0:f>
        <ns0:v>72.36</ns0:v>
      </ns0:c>
      <ns0:c r="I10" s="3">
        <ns0:f>ROUND(I210*I330,2)</ns0:f>
        <ns0:v>349.48</ns0:v>
      </ns0:c>
      <ns0:c r="J10" s="3">
        <ns0:f>ROUND(J210*J330,2)</ns0:f>
        <ns0:v>632.19</ns0:v>
      </ns0:c>
      <ns0:c r="K10" s="3">
        <ns0:f>ROUND(K210*K330,2)</ns0:f>
        <ns0:v>230.90</ns0:v>
      </ns0:c>
      <ns0:c r="L10" s="3">
        <ns0:f>ROUND(L210*L330,2)</ns0:f>
        <ns0:v>167.31</ns0:v>
      </ns0:c>
      <ns0:c r="M10" s="3">
        <ns0:f>ROUND(M210*M330,2)</ns0:f>
        <ns0:v>151.45</ns0:v>
      </ns0:c>
      <ns0:c r="N10" s="3">
        <ns0:f>ROUND(N210*N330,2)</ns0:f>
        <ns0:v>196.15</ns0:v>
      </ns0:c>
      <ns0:c r="O10" s="3">
        <ns0:f>SUM(C10:N10)</ns0:f>
        <ns0:v>2423.17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307.76</ns0:v>
      </ns0:c>
      <ns0:c r="D11" s="3">
        <ns0:f>ROUND(D211*D331,2)</ns0:f>
        <ns0:v>520.51</ns0:v>
      </ns0:c>
      <ns0:c r="E11" s="3">
        <ns0:f>ROUND(E211*E331,2)</ns0:f>
        <ns0:v>116.87</ns0:v>
      </ns0:c>
      <ns0:c r="F11" s="3">
        <ns0:f>ROUND(F211*F331,2)</ns0:f>
        <ns0:v>265.58</ns0:v>
      </ns0:c>
      <ns0:c r="G11" s="3">
        <ns0:f>ROUND(G211*G331,2)</ns0:f>
        <ns0:v>152.67</ns0:v>
      </ns0:c>
      <ns0:c r="H11" s="3">
        <ns0:f>ROUND(H211*H331,2)</ns0:f>
        <ns0:v>330.98</ns0:v>
      </ns0:c>
      <ns0:c r="I11" s="3">
        <ns0:f>ROUND(I211*I331,2)</ns0:f>
        <ns0:v>384.15</ns0:v>
      </ns0:c>
      <ns0:c r="J11" s="3">
        <ns0:f>ROUND(J211*J331,2)</ns0:f>
        <ns0:v>444.14</ns0:v>
      </ns0:c>
      <ns0:c r="K11" s="3">
        <ns0:f>ROUND(K211*K331,2)</ns0:f>
        <ns0:v>230.48</ns0:v>
      </ns0:c>
      <ns0:c r="L11" s="3">
        <ns0:f>ROUND(L211*L331,2)</ns0:f>
        <ns0:v>157.39</ns0:v>
      </ns0:c>
      <ns0:c r="M11" s="3">
        <ns0:f>ROUND(M211*M331,2)</ns0:f>
        <ns0:v>268.27</ns0:v>
      </ns0:c>
      <ns0:c r="N11" s="3">
        <ns0:f>ROUND(N211*N331,2)</ns0:f>
        <ns0:v>115.90</ns0:v>
      </ns0:c>
      <ns0:c r="O11" s="3">
        <ns0:f>SUM(C11:N11)</ns0:f>
        <ns0:v>3294.70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106.69</ns0:v>
      </ns0:c>
      <ns0:c r="D12" s="3">
        <ns0:f>ROUND(D212*D332,2)</ns0:f>
        <ns0:v>174.46</ns0:v>
      </ns0:c>
      <ns0:c r="E12" s="3">
        <ns0:f>ROUND(E212*E332,2)</ns0:f>
        <ns0:v>234.61</ns0:v>
      </ns0:c>
      <ns0:c r="F12" s="3">
        <ns0:f>ROUND(F212*F332,2)</ns0:f>
        <ns0:v>178.49</ns0:v>
      </ns0:c>
      <ns0:c r="G12" s="3">
        <ns0:f>ROUND(G212*G332,2)</ns0:f>
        <ns0:v>198.51</ns0:v>
      </ns0:c>
      <ns0:c r="H12" s="3">
        <ns0:f>ROUND(H212*H332,2)</ns0:f>
        <ns0:v>342.92</ns0:v>
      </ns0:c>
      <ns0:c r="I12" s="3">
        <ns0:f>ROUND(I212*I332,2)</ns0:f>
        <ns0:v>147.88</ns0:v>
      </ns0:c>
      <ns0:c r="J12" s="3">
        <ns0:f>ROUND(J212*J332,2)</ns0:f>
        <ns0:v>263.47</ns0:v>
      </ns0:c>
      <ns0:c r="K12" s="3">
        <ns0:f>ROUND(K212*K332,2)</ns0:f>
        <ns0:v>149.97</ns0:v>
      </ns0:c>
      <ns0:c r="L12" s="3">
        <ns0:f>ROUND(L212*L332,2)</ns0:f>
        <ns0:v>173.81</ns0:v>
      </ns0:c>
      <ns0:c r="M12" s="3">
        <ns0:f>ROUND(M212*M332,2)</ns0:f>
        <ns0:v>189.33</ns0:v>
      </ns0:c>
      <ns0:c r="N12" s="3">
        <ns0:f>ROUND(N212*N332,2)</ns0:f>
        <ns0:v>119.04</ns0:v>
      </ns0:c>
      <ns0:c r="O12" s="3">
        <ns0:f>SUM(C12:N12)</ns0:f>
        <ns0:v>2279.18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261.65</ns0:v>
      </ns0:c>
      <ns0:c r="D13" s="3">
        <ns0:f>ROUND(D213*D333,2)</ns0:f>
        <ns0:v>188.51</ns0:v>
      </ns0:c>
      <ns0:c r="E13" s="3">
        <ns0:f>ROUND(E213*E333,2)</ns0:f>
        <ns0:v>93.54</ns0:v>
      </ns0:c>
      <ns0:c r="F13" s="3">
        <ns0:f>ROUND(F213*F333,2)</ns0:f>
        <ns0:v>292.98</ns0:v>
      </ns0:c>
      <ns0:c r="G13" s="3">
        <ns0:f>ROUND(G213*G333,2)</ns0:f>
        <ns0:v>209.65</ns0:v>
      </ns0:c>
      <ns0:c r="H13" s="3">
        <ns0:f>ROUND(H213*H333,2)</ns0:f>
        <ns0:v>161.60</ns0:v>
      </ns0:c>
      <ns0:c r="I13" s="3">
        <ns0:f>ROUND(I213*I333,2)</ns0:f>
        <ns0:v>260.54</ns0:v>
      </ns0:c>
      <ns0:c r="J13" s="3">
        <ns0:f>ROUND(J213*J333,2)</ns0:f>
        <ns0:v>307.89</ns0:v>
      </ns0:c>
      <ns0:c r="K13" s="3">
        <ns0:f>ROUND(K213*K333,2)</ns0:f>
        <ns0:v>182.70</ns0:v>
      </ns0:c>
      <ns0:c r="L13" s="3">
        <ns0:f>ROUND(L213*L333,2)</ns0:f>
        <ns0:v>127.92</ns0:v>
      </ns0:c>
      <ns0:c r="M13" s="3">
        <ns0:f>ROUND(M213*M333,2)</ns0:f>
        <ns0:v>154.48</ns0:v>
      </ns0:c>
      <ns0:c r="N13" s="3">
        <ns0:f>ROUND(N213*N333,2)</ns0:f>
        <ns0:v>238.17</ns0:v>
      </ns0:c>
      <ns0:c r="O13" s="3">
        <ns0:f>SUM(C13:N13)</ns0:f>
        <ns0:v>2479.63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188.78</ns0:v>
      </ns0:c>
      <ns0:c r="D14" s="3">
        <ns0:f>ROUND(D214*D334,2)</ns0:f>
        <ns0:v>264.14</ns0:v>
      </ns0:c>
      <ns0:c r="E14" s="3">
        <ns0:f>ROUND(E214*E334,2)</ns0:f>
        <ns0:v>128.75</ns0:v>
      </ns0:c>
      <ns0:c r="F14" s="3">
        <ns0:f>ROUND(F214*F334,2)</ns0:f>
        <ns0:v>298.96</ns0:v>
      </ns0:c>
      <ns0:c r="G14" s="3">
        <ns0:f>ROUND(G214*G334,2)</ns0:f>
        <ns0:v>64.01</ns0:v>
      </ns0:c>
      <ns0:c r="H14" s="3">
        <ns0:f>ROUND(H214*H334,2)</ns0:f>
        <ns0:v>146.21</ns0:v>
      </ns0:c>
      <ns0:c r="I14" s="3">
        <ns0:f>ROUND(I214*I334,2)</ns0:f>
        <ns0:v>56.87</ns0:v>
      </ns0:c>
      <ns0:c r="J14" s="3">
        <ns0:f>ROUND(J214*J334,2)</ns0:f>
        <ns0:v>40.66</ns0:v>
      </ns0:c>
      <ns0:c r="K14" s="3">
        <ns0:f>ROUND(K214*K334,2)</ns0:f>
        <ns0:v>203.87</ns0:v>
      </ns0:c>
      <ns0:c r="L14" s="3">
        <ns0:f>ROUND(L214*L334,2)</ns0:f>
        <ns0:v>396.58</ns0:v>
      </ns0:c>
      <ns0:c r="M14" s="3">
        <ns0:f>ROUND(M214*M334,2)</ns0:f>
        <ns0:v>214.74</ns0:v>
      </ns0:c>
      <ns0:c r="N14" s="3">
        <ns0:f>ROUND(N214*N334,2)</ns0:f>
        <ns0:v>268.73</ns0:v>
      </ns0:c>
      <ns0:c r="O14" s="3">
        <ns0:f>SUM(C14:N14)</ns0:f>
        <ns0:v>2272.30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132.15</ns0:v>
      </ns0:c>
      <ns0:c r="D15" s="3">
        <ns0:f>ROUND(D215*D335,2)</ns0:f>
        <ns0:v>537.42</ns0:v>
      </ns0:c>
      <ns0:c r="E15" s="3">
        <ns0:f>ROUND(E215*E335,2)</ns0:f>
        <ns0:v>201.07</ns0:v>
      </ns0:c>
      <ns0:c r="F15" s="3">
        <ns0:f>ROUND(F215*F335,2)</ns0:f>
        <ns0:v>145.25</ns0:v>
      </ns0:c>
      <ns0:c r="G15" s="3">
        <ns0:f>ROUND(G215*G335,2)</ns0:f>
        <ns0:v>219.35</ns0:v>
      </ns0:c>
      <ns0:c r="H15" s="3">
        <ns0:f>ROUND(H215*H335,2)</ns0:f>
        <ns0:v>418.92</ns0:v>
      </ns0:c>
      <ns0:c r="I15" s="3">
        <ns0:f>ROUND(I215*I335,2)</ns0:f>
        <ns0:v>477.78</ns0:v>
      </ns0:c>
      <ns0:c r="J15" s="3">
        <ns0:f>ROUND(J215*J335,2)</ns0:f>
        <ns0:v>224.37</ns0:v>
      </ns0:c>
      <ns0:c r="K15" s="3">
        <ns0:f>ROUND(K215*K335,2)</ns0:f>
        <ns0:v>548.86</ns0:v>
      </ns0:c>
      <ns0:c r="L15" s="3">
        <ns0:f>ROUND(L215*L335,2)</ns0:f>
        <ns0:v>140.62</ns0:v>
      </ns0:c>
      <ns0:c r="M15" s="3">
        <ns0:f>ROUND(M215*M335,2)</ns0:f>
        <ns0:v>352.98</ns0:v>
      </ns0:c>
      <ns0:c r="N15" s="3">
        <ns0:f>ROUND(N215*N335,2)</ns0:f>
        <ns0:v>180.91</ns0:v>
      </ns0:c>
      <ns0:c r="O15" s="3">
        <ns0:f>SUM(C15:N15)</ns0:f>
        <ns0:v>3579.68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121.49</ns0:v>
      </ns0:c>
      <ns0:c r="D16" s="3">
        <ns0:f>ROUND(D216*D336,2)</ns0:f>
        <ns0:v>226.05</ns0:v>
      </ns0:c>
      <ns0:c r="E16" s="3">
        <ns0:f>ROUND(E216*E336,2)</ns0:f>
        <ns0:v>127.98</ns0:v>
      </ns0:c>
      <ns0:c r="F16" s="3">
        <ns0:f>ROUND(F216*F336,2)</ns0:f>
        <ns0:v>525.05</ns0:v>
      </ns0:c>
      <ns0:c r="G16" s="3">
        <ns0:f>ROUND(G216*G336,2)</ns0:f>
        <ns0:v>139.24</ns0:v>
      </ns0:c>
      <ns0:c r="H16" s="3">
        <ns0:f>ROUND(H216*H336,2)</ns0:f>
        <ns0:v>332.11</ns0:v>
      </ns0:c>
      <ns0:c r="I16" s="3">
        <ns0:f>ROUND(I216*I336,2)</ns0:f>
        <ns0:v>290.71</ns0:v>
      </ns0:c>
      <ns0:c r="J16" s="3">
        <ns0:f>ROUND(J216*J336,2)</ns0:f>
        <ns0:v>289.74</ns0:v>
      </ns0:c>
      <ns0:c r="K16" s="3">
        <ns0:f>ROUND(K216*K336,2)</ns0:f>
        <ns0:v>60.86</ns0:v>
      </ns0:c>
      <ns0:c r="L16" s="3">
        <ns0:f>ROUND(L216*L336,2)</ns0:f>
        <ns0:v>273.95</ns0:v>
      </ns0:c>
      <ns0:c r="M16" s="3">
        <ns0:f>ROUND(M216*M336,2)</ns0:f>
        <ns0:v>247.84</ns0:v>
      </ns0:c>
      <ns0:c r="N16" s="3">
        <ns0:f>ROUND(N216*N336,2)</ns0:f>
        <ns0:v>111.47</ns0:v>
      </ns0:c>
      <ns0:c r="O16" s="3">
        <ns0:f>SUM(C16:N16)</ns0:f>
        <ns0:v>2746.49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520.65</ns0:v>
      </ns0:c>
      <ns0:c r="D17" s="3">
        <ns0:f>ROUND(D217*D337,2)</ns0:f>
        <ns0:v>96.47</ns0:v>
      </ns0:c>
      <ns0:c r="E17" s="3">
        <ns0:f>ROUND(E217*E337,2)</ns0:f>
        <ns0:v>198.59</ns0:v>
      </ns0:c>
      <ns0:c r="F17" s="3">
        <ns0:f>ROUND(F217*F337,2)</ns0:f>
        <ns0:v>196.37</ns0:v>
      </ns0:c>
      <ns0:c r="G17" s="3">
        <ns0:f>ROUND(G217*G337,2)</ns0:f>
        <ns0:v>324.31</ns0:v>
      </ns0:c>
      <ns0:c r="H17" s="3">
        <ns0:f>ROUND(H217*H337,2)</ns0:f>
        <ns0:v>357.30</ns0:v>
      </ns0:c>
      <ns0:c r="I17" s="3">
        <ns0:f>ROUND(I217*I337,2)</ns0:f>
        <ns0:v>285.60</ns0:v>
      </ns0:c>
      <ns0:c r="J17" s="3">
        <ns0:f>ROUND(J217*J337,2)</ns0:f>
        <ns0:v>110.40</ns0:v>
      </ns0:c>
      <ns0:c r="K17" s="3">
        <ns0:f>ROUND(K217*K337,2)</ns0:f>
        <ns0:v>120.60</ns0:v>
      </ns0:c>
      <ns0:c r="L17" s="3">
        <ns0:f>ROUND(L217*L337,2)</ns0:f>
        <ns0:v>122.30</ns0:v>
      </ns0:c>
      <ns0:c r="M17" s="3">
        <ns0:f>ROUND(M217*M337,2)</ns0:f>
        <ns0:v>340.38</ns0:v>
      </ns0:c>
      <ns0:c r="N17" s="3">
        <ns0:f>ROUND(N217*N337,2)</ns0:f>
        <ns0:v>154.11</ns0:v>
      </ns0:c>
      <ns0:c r="O17" s="3">
        <ns0:f>SUM(C17:N17)</ns0:f>
        <ns0:v>2827.08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375.78</ns0:v>
      </ns0:c>
      <ns0:c r="D18" s="3">
        <ns0:f>ROUND(D218*D338,2)</ns0:f>
        <ns0:v>159.56</ns0:v>
      </ns0:c>
      <ns0:c r="E18" s="3">
        <ns0:f>ROUND(E218*E338,2)</ns0:f>
        <ns0:v>144.07</ns0:v>
      </ns0:c>
      <ns0:c r="F18" s="3">
        <ns0:f>ROUND(F218*F338,2)</ns0:f>
        <ns0:v>351.88</ns0:v>
      </ns0:c>
      <ns0:c r="G18" s="3">
        <ns0:f>ROUND(G218*G338,2)</ns0:f>
        <ns0:v>278.10</ns0:v>
      </ns0:c>
      <ns0:c r="H18" s="3">
        <ns0:f>ROUND(H218*H338,2)</ns0:f>
        <ns0:v>319.08</ns0:v>
      </ns0:c>
      <ns0:c r="I18" s="3">
        <ns0:f>ROUND(I218*I338,2)</ns0:f>
        <ns0:v>396.17</ns0:v>
      </ns0:c>
      <ns0:c r="J18" s="3">
        <ns0:f>ROUND(J218*J338,2)</ns0:f>
        <ns0:v>106.76</ns0:v>
      </ns0:c>
      <ns0:c r="K18" s="3">
        <ns0:f>ROUND(K218*K338,2)</ns0:f>
        <ns0:v>251.16</ns0:v>
      </ns0:c>
      <ns0:c r="L18" s="3">
        <ns0:f>ROUND(L218*L338,2)</ns0:f>
        <ns0:v>585.44</ns0:v>
      </ns0:c>
      <ns0:c r="M18" s="3">
        <ns0:f>ROUND(M218*M338,2)</ns0:f>
        <ns0:v>411.29</ns0:v>
      </ns0:c>
      <ns0:c r="N18" s="3">
        <ns0:f>ROUND(N218*N338,2)</ns0:f>
        <ns0:v>165.63</ns0:v>
      </ns0:c>
      <ns0:c r="O18" s="3">
        <ns0:f>SUM(C18:N18)</ns0:f>
        <ns0:v>3544.92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67.94</ns0:v>
      </ns0:c>
      <ns0:c r="D19" s="3">
        <ns0:f>ROUND(D219*D339,2)</ns0:f>
        <ns0:v>132.67</ns0:v>
      </ns0:c>
      <ns0:c r="E19" s="3">
        <ns0:f>ROUND(E219*E339,2)</ns0:f>
        <ns0:v>94.63</ns0:v>
      </ns0:c>
      <ns0:c r="F19" s="3">
        <ns0:f>ROUND(F219*F339,2)</ns0:f>
        <ns0:v>82.08</ns0:v>
      </ns0:c>
      <ns0:c r="G19" s="3">
        <ns0:f>ROUND(G219*G339,2)</ns0:f>
        <ns0:v>140.66</ns0:v>
      </ns0:c>
      <ns0:c r="H19" s="3">
        <ns0:f>ROUND(H219*H339,2)</ns0:f>
        <ns0:v>217.43</ns0:v>
      </ns0:c>
      <ns0:c r="I19" s="3">
        <ns0:f>ROUND(I219*I339,2)</ns0:f>
        <ns0:v>136.47</ns0:v>
      </ns0:c>
      <ns0:c r="J19" s="3">
        <ns0:f>ROUND(J219*J339,2)</ns0:f>
        <ns0:v>140.78</ns0:v>
      </ns0:c>
      <ns0:c r="K19" s="3">
        <ns0:f>ROUND(K219*K339,2)</ns0:f>
        <ns0:v>229.28</ns0:v>
      </ns0:c>
      <ns0:c r="L19" s="3">
        <ns0:f>ROUND(L219*L339,2)</ns0:f>
        <ns0:v>252.98</ns0:v>
      </ns0:c>
      <ns0:c r="M19" s="3">
        <ns0:f>ROUND(M219*M339,2)</ns0:f>
        <ns0:v>405.32</ns0:v>
      </ns0:c>
      <ns0:c r="N19" s="3">
        <ns0:f>ROUND(N219*N339,2)</ns0:f>
        <ns0:v>123.74</ns0:v>
      </ns0:c>
      <ns0:c r="O19" s="3">
        <ns0:f>SUM(C19:N19)</ns0:f>
        <ns0:v>2023.98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767.66</ns0:v>
      </ns0:c>
      <ns0:c r="D20" s="3">
        <ns0:f>ROUND('摊销明细'!D33/3,2)</ns0:f>
        <ns0:v>767.66</ns0:v>
      </ns0:c>
      <ns0:c r="E20" s="3">
        <ns0:f>ROUND('摊销明细'!E33/3,2)</ns0:f>
        <ns0:v>767.66</ns0:v>
      </ns0:c>
      <ns0:c r="F20" s="3">
        <ns0:f>ROUND('摊销明细'!F33/3,2)</ns0:f>
        <ns0:v>767.66</ns0:v>
      </ns0:c>
      <ns0:c r="G20" s="3">
        <ns0:f>ROUND('摊销明细'!G33/3,2)</ns0:f>
        <ns0:v>767.66</ns0:v>
      </ns0:c>
      <ns0:c r="H20" s="3">
        <ns0:f>ROUND('摊销明细'!H33/3,2)</ns0:f>
        <ns0:v>767.66</ns0:v>
      </ns0:c>
      <ns0:c r="I20" s="3">
        <ns0:f>ROUND('摊销明细'!I33/3,2)</ns0:f>
        <ns0:v>767.66</ns0:v>
      </ns0:c>
      <ns0:c r="J20" s="3">
        <ns0:f>ROUND('摊销明细'!J33/3,2)</ns0:f>
        <ns0:v>767.66</ns0:v>
      </ns0:c>
      <ns0:c r="K20" s="3">
        <ns0:f>ROUND('摊销明细'!K33/3,2)</ns0:f>
        <ns0:v>767.66</ns0:v>
      </ns0:c>
      <ns0:c r="L20" s="3">
        <ns0:f>ROUND('摊销明细'!L33/3,2)</ns0:f>
        <ns0:v>767.66</ns0:v>
      </ns0:c>
      <ns0:c r="M20" s="3">
        <ns0:f>ROUND('摊销明细'!M33/3,2)</ns0:f>
        <ns0:v>767.66</ns0:v>
      </ns0:c>
      <ns0:c r="N20" s="3">
        <ns0:f>ROUND('摊销明细'!N33/3,2)</ns0:f>
        <ns0:v>767.66</ns0:v>
      </ns0:c>
      <ns0:c r="O20" s="3">
        <ns0:f>SUM(C20:N20)</ns0:f>
        <ns0:v>9211.92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214.44</ns0:v>
      </ns0:c>
      <ns0:c r="D21" s="3">
        <ns0:f>ROUND(D221*D341,2)</ns0:f>
        <ns0:v>54.55</ns0:v>
      </ns0:c>
      <ns0:c r="E21" s="3">
        <ns0:f>ROUND(E221*E341,2)</ns0:f>
        <ns0:v>314.63</ns0:v>
      </ns0:c>
      <ns0:c r="F21" s="3">
        <ns0:f>ROUND(F221*F341,2)</ns0:f>
        <ns0:v>245.28</ns0:v>
      </ns0:c>
      <ns0:c r="G21" s="3">
        <ns0:f>ROUND(G221*G341,2)</ns0:f>
        <ns0:v>180.69</ns0:v>
      </ns0:c>
      <ns0:c r="H21" s="3">
        <ns0:f>ROUND(H221*H341,2)</ns0:f>
        <ns0:v>143.86</ns0:v>
      </ns0:c>
      <ns0:c r="I21" s="3">
        <ns0:f>ROUND(I221*I341,2)</ns0:f>
        <ns0:v>277.14</ns0:v>
      </ns0:c>
      <ns0:c r="J21" s="3">
        <ns0:f>ROUND(J221*J341,2)</ns0:f>
        <ns0:v>222.80</ns0:v>
      </ns0:c>
      <ns0:c r="K21" s="3">
        <ns0:f>ROUND(K221*K341,2)</ns0:f>
        <ns0:v>117.03</ns0:v>
      </ns0:c>
      <ns0:c r="L21" s="3">
        <ns0:f>ROUND(L221*L341,2)</ns0:f>
        <ns0:v>274.34</ns0:v>
      </ns0:c>
      <ns0:c r="M21" s="3">
        <ns0:f>ROUND(M221*M341,2)</ns0:f>
        <ns0:v>245.34</ns0:v>
      </ns0:c>
      <ns0:c r="N21" s="3">
        <ns0:f>ROUND(N221*N341,2)</ns0:f>
        <ns0:v>516.24</ns0:v>
      </ns0:c>
      <ns0:c r="O21" s="3">
        <ns0:f>SUM(C21:N21)</ns0:f>
        <ns0:v>2806.34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59.98</ns0:v>
      </ns0:c>
      <ns0:c r="D22" s="3">
        <ns0:f>ROUND(D222*D342,2)</ns0:f>
        <ns0:v>474.43</ns0:v>
      </ns0:c>
      <ns0:c r="E22" s="3">
        <ns0:f>ROUND(E222*E342,2)</ns0:f>
        <ns0:v>328.62</ns0:v>
      </ns0:c>
      <ns0:c r="F22" s="3">
        <ns0:f>ROUND(F222*F342,2)</ns0:f>
        <ns0:v>95.48</ns0:v>
      </ns0:c>
      <ns0:c r="G22" s="3">
        <ns0:f>ROUND(G222*G342,2)</ns0:f>
        <ns0:v>141.22</ns0:v>
      </ns0:c>
      <ns0:c r="H22" s="3">
        <ns0:f>ROUND(H222*H342,2)</ns0:f>
        <ns0:v>378.54</ns0:v>
      </ns0:c>
      <ns0:c r="I22" s="3">
        <ns0:f>ROUND(I222*I342,2)</ns0:f>
        <ns0:v>117.63</ns0:v>
      </ns0:c>
      <ns0:c r="J22" s="3">
        <ns0:f>ROUND(J222*J342,2)</ns0:f>
        <ns0:v>88.33</ns0:v>
      </ns0:c>
      <ns0:c r="K22" s="3">
        <ns0:f>ROUND(K222*K342,2)</ns0:f>
        <ns0:v>298.80</ns0:v>
      </ns0:c>
      <ns0:c r="L22" s="3">
        <ns0:f>ROUND(L222*L342,2)</ns0:f>
        <ns0:v>237.34</ns0:v>
      </ns0:c>
      <ns0:c r="M22" s="3">
        <ns0:f>ROUND(M222*M342,2)</ns0:f>
        <ns0:v>349.06</ns0:v>
      </ns0:c>
      <ns0:c r="N22" s="3">
        <ns0:f>ROUND(N222*N342,2)</ns0:f>
        <ns0:v>408.06</ns0:v>
      </ns0:c>
      <ns0:c r="O22" s="3">
        <ns0:f>SUM(C22:N22)</ns0:f>
        <ns0:v>2977.49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128.83</ns0:v>
      </ns0:c>
      <ns0:c r="D23" s="3">
        <ns0:f>ROUND(D223*D343,2)</ns0:f>
        <ns0:v>128.43</ns0:v>
      </ns0:c>
      <ns0:c r="E23" s="3">
        <ns0:f>ROUND(E223*E343,2)</ns0:f>
        <ns0:v>219.71</ns0:v>
      </ns0:c>
      <ns0:c r="F23" s="3">
        <ns0:f>ROUND(F223*F343,2)</ns0:f>
        <ns0:v>149.39</ns0:v>
      </ns0:c>
      <ns0:c r="G23" s="3">
        <ns0:f>ROUND(G223*G343,2)</ns0:f>
        <ns0:v>161.85</ns0:v>
      </ns0:c>
      <ns0:c r="H23" s="3">
        <ns0:f>ROUND(H223*H343,2)</ns0:f>
        <ns0:v>173.43</ns0:v>
      </ns0:c>
      <ns0:c r="I23" s="3">
        <ns0:f>ROUND(I223*I343,2)</ns0:f>
        <ns0:v>84.93</ns0:v>
      </ns0:c>
      <ns0:c r="J23" s="3">
        <ns0:f>ROUND(J223*J343,2)</ns0:f>
        <ns0:v>132.52</ns0:v>
      </ns0:c>
      <ns0:c r="K23" s="3">
        <ns0:f>ROUND(K223*K343,2)</ns0:f>
        <ns0:v>392.26</ns0:v>
      </ns0:c>
      <ns0:c r="L23" s="3">
        <ns0:f>ROUND(L223*L343,2)</ns0:f>
        <ns0:v>120.49</ns0:v>
      </ns0:c>
      <ns0:c r="M23" s="3">
        <ns0:f>ROUND(M223*M343,2)</ns0:f>
        <ns0:v>124.30</ns0:v>
      </ns0:c>
      <ns0:c r="N23" s="3">
        <ns0:f>ROUND(N223*N343,2)</ns0:f>
        <ns0:v>473.35</ns0:v>
      </ns0:c>
      <ns0:c r="O23" s="3">
        <ns0:f>SUM(C23:N23)</ns0:f>
        <ns0:v>2289.49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102.62</ns0:v>
      </ns0:c>
      <ns0:c r="D24" s="3">
        <ns0:f>ROUND(D224*D344,2)</ns0:f>
        <ns0:v>99.51</ns0:v>
      </ns0:c>
      <ns0:c r="E24" s="3">
        <ns0:f>ROUND(E224*E344,2)</ns0:f>
        <ns0:v>101.90</ns0:v>
      </ns0:c>
      <ns0:c r="F24" s="3">
        <ns0:f>ROUND(F224*F344,2)</ns0:f>
        <ns0:v>177.36</ns0:v>
      </ns0:c>
      <ns0:c r="G24" s="3">
        <ns0:f>ROUND(G224*G344,2)</ns0:f>
        <ns0:v>300.94</ns0:v>
      </ns0:c>
      <ns0:c r="H24" s="3">
        <ns0:f>ROUND(H224*H344,2)</ns0:f>
        <ns0:v>146.24</ns0:v>
      </ns0:c>
      <ns0:c r="I24" s="3">
        <ns0:f>ROUND(I224*I344,2)</ns0:f>
        <ns0:v>217.58</ns0:v>
      </ns0:c>
      <ns0:c r="J24" s="3">
        <ns0:f>ROUND(J224*J344,2)</ns0:f>
        <ns0:v>129.76</ns0:v>
      </ns0:c>
      <ns0:c r="K24" s="3">
        <ns0:f>ROUND(K224*K344,2)</ns0:f>
        <ns0:v>267.81</ns0:v>
      </ns0:c>
      <ns0:c r="L24" s="3">
        <ns0:f>ROUND(L224*L344,2)</ns0:f>
        <ns0:v>170.21</ns0:v>
      </ns0:c>
      <ns0:c r="M24" s="3">
        <ns0:f>ROUND(M224*M344,2)</ns0:f>
        <ns0:v>206.92</ns0:v>
      </ns0:c>
      <ns0:c r="N24" s="3">
        <ns0:f>ROUND(N224*N344,2)</ns0:f>
        <ns0:v>197.06</ns0:v>
      </ns0:c>
      <ns0:c r="O24" s="3">
        <ns0:f>SUM(C24:N24)</ns0:f>
        <ns0:v>2117.91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91.27</ns0:v>
      </ns0:c>
      <ns0:c r="D25" s="3">
        <ns0:f>ROUND(D225*D345,2)</ns0:f>
        <ns0:v>97.14</ns0:v>
      </ns0:c>
      <ns0:c r="E25" s="3">
        <ns0:f>ROUND(E225*E345,2)</ns0:f>
        <ns0:v>222.40</ns0:v>
      </ns0:c>
      <ns0:c r="F25" s="3">
        <ns0:f>ROUND(F225*F345,2)</ns0:f>
        <ns0:v>141.86</ns0:v>
      </ns0:c>
      <ns0:c r="G25" s="3">
        <ns0:f>ROUND(G225*G345,2)</ns0:f>
        <ns0:v>195.39</ns0:v>
      </ns0:c>
      <ns0:c r="H25" s="3">
        <ns0:f>ROUND(H225*H345,2)</ns0:f>
        <ns0:v>257.32</ns0:v>
      </ns0:c>
      <ns0:c r="I25" s="3">
        <ns0:f>ROUND(I225*I345,2)</ns0:f>
        <ns0:v>367.90</ns0:v>
      </ns0:c>
      <ns0:c r="J25" s="3">
        <ns0:f>ROUND(J225*J345,2)</ns0:f>
        <ns0:v>238.54</ns0:v>
      </ns0:c>
      <ns0:c r="K25" s="3">
        <ns0:f>ROUND(K225*K345,2)</ns0:f>
        <ns0:v>91.58</ns0:v>
      </ns0:c>
      <ns0:c r="L25" s="3">
        <ns0:f>ROUND(L225*L345,2)</ns0:f>
        <ns0:v>204.68</ns0:v>
      </ns0:c>
      <ns0:c r="M25" s="3">
        <ns0:f>ROUND(M225*M345,2)</ns0:f>
        <ns0:v>86.45</ns0:v>
      </ns0:c>
      <ns0:c r="N25" s="3">
        <ns0:f>ROUND(N225*N345,2)</ns0:f>
        <ns0:v>91.53</ns0:v>
      </ns0:c>
      <ns0:c r="O25" s="3">
        <ns0:f>SUM(C25:N25)</ns0:f>
        <ns0:v>2086.06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67.21</ns0:v>
      </ns0:c>
      <ns0:c r="D26" s="3">
        <ns0:f>ROUND(D226*D346,2)</ns0:f>
        <ns0:v>275.80</ns0:v>
      </ns0:c>
      <ns0:c r="E26" s="3">
        <ns0:f>ROUND(E226*E346,2)</ns0:f>
        <ns0:v>328.30</ns0:v>
      </ns0:c>
      <ns0:c r="F26" s="3">
        <ns0:f>ROUND(F226*F346,2)</ns0:f>
        <ns0:v>230.40</ns0:v>
      </ns0:c>
      <ns0:c r="G26" s="3">
        <ns0:f>ROUND(G226*G346,2)</ns0:f>
        <ns0:v>66.16</ns0:v>
      </ns0:c>
      <ns0:c r="H26" s="3">
        <ns0:f>ROUND(H226*H346,2)</ns0:f>
        <ns0:v>354.04</ns0:v>
      </ns0:c>
      <ns0:c r="I26" s="3">
        <ns0:f>ROUND(I226*I346,2)</ns0:f>
        <ns0:v>149.88</ns0:v>
      </ns0:c>
      <ns0:c r="J26" s="3">
        <ns0:f>ROUND(J226*J346,2)</ns0:f>
        <ns0:v>247.54</ns0:v>
      </ns0:c>
      <ns0:c r="K26" s="3">
        <ns0:f>ROUND(K226*K346,2)</ns0:f>
        <ns0:v>191.35</ns0:v>
      </ns0:c>
      <ns0:c r="L26" s="3">
        <ns0:f>ROUND(L226*L346,2)</ns0:f>
        <ns0:v>158.10</ns0:v>
      </ns0:c>
      <ns0:c r="M26" s="3">
        <ns0:f>ROUND(M226*M346,2)</ns0:f>
        <ns0:v>189.82</ns0:v>
      </ns0:c>
      <ns0:c r="N26" s="3">
        <ns0:f>ROUND(N226*N346,2)</ns0:f>
        <ns0:v>199.35</ns0:v>
      </ns0:c>
      <ns0:c r="O26" s="3">
        <ns0:f>SUM(C26:N26)</ns0:f>
        <ns0:v>2457.95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322.33</ns0:v>
      </ns0:c>
      <ns0:c r="D27" s="3">
        <ns0:f>ROUND(D227*D347,2)</ns0:f>
        <ns0:v>313.08</ns0:v>
      </ns0:c>
      <ns0:c r="E27" s="3">
        <ns0:f>ROUND(E227*E347,2)</ns0:f>
        <ns0:v>273.54</ns0:v>
      </ns0:c>
      <ns0:c r="F27" s="3">
        <ns0:f>ROUND(F227*F347,2)</ns0:f>
        <ns0:v>263.49</ns0:v>
      </ns0:c>
      <ns0:c r="G27" s="3">
        <ns0:f>ROUND(G227*G347,2)</ns0:f>
        <ns0:v>328.11</ns0:v>
      </ns0:c>
      <ns0:c r="H27" s="3">
        <ns0:f>ROUND(H227*H347,2)</ns0:f>
        <ns0:v>206.81</ns0:v>
      </ns0:c>
      <ns0:c r="I27" s="3">
        <ns0:f>ROUND(I227*I347,2)</ns0:f>
        <ns0:v>614.72</ns0:v>
      </ns0:c>
      <ns0:c r="J27" s="3">
        <ns0:f>ROUND(J227*J347,2)</ns0:f>
        <ns0:v>196.92</ns0:v>
      </ns0:c>
      <ns0:c r="K27" s="3">
        <ns0:f>ROUND(K227*K347,2)</ns0:f>
        <ns0:v>191.74</ns0:v>
      </ns0:c>
      <ns0:c r="L27" s="3">
        <ns0:f>ROUND(L227*L347,2)</ns0:f>
        <ns0:v>250.27</ns0:v>
      </ns0:c>
      <ns0:c r="M27" s="3">
        <ns0:f>ROUND(M227*M347,2)</ns0:f>
        <ns0:v>64.68</ns0:v>
      </ns0:c>
      <ns0:c r="N27" s="3">
        <ns0:f>ROUND(N227*N347,2)</ns0:f>
        <ns0:v>320.64</ns0:v>
      </ns0:c>
      <ns0:c r="O27" s="3">
        <ns0:f>SUM(C27:N27)</ns0:f>
        <ns0:v>3346.33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201.29</ns0:v>
      </ns0:c>
      <ns0:c r="D28" s="3">
        <ns0:f>ROUND(D228*D348,2)</ns0:f>
        <ns0:v>75.23</ns0:v>
      </ns0:c>
      <ns0:c r="E28" s="3">
        <ns0:f>ROUND(E228*E348,2)</ns0:f>
        <ns0:v>214.50</ns0:v>
      </ns0:c>
      <ns0:c r="F28" s="3">
        <ns0:f>ROUND(F228*F348,2)</ns0:f>
        <ns0:v>353.15</ns0:v>
      </ns0:c>
      <ns0:c r="G28" s="3">
        <ns0:f>ROUND(G228*G348,2)</ns0:f>
        <ns0:v>272.49</ns0:v>
      </ns0:c>
      <ns0:c r="H28" s="3">
        <ns0:f>ROUND(H228*H348,2)</ns0:f>
        <ns0:v>256.03</ns0:v>
      </ns0:c>
      <ns0:c r="I28" s="3">
        <ns0:f>ROUND(I228*I348,2)</ns0:f>
        <ns0:v>390.82</ns0:v>
      </ns0:c>
      <ns0:c r="J28" s="3">
        <ns0:f>ROUND(J228*J348,2)</ns0:f>
        <ns0:v>82.20</ns0:v>
      </ns0:c>
      <ns0:c r="K28" s="3">
        <ns0:f>ROUND(K228*K348,2)</ns0:f>
        <ns0:v>95.10</ns0:v>
      </ns0:c>
      <ns0:c r="L28" s="3">
        <ns0:f>ROUND(L228*L348,2)</ns0:f>
        <ns0:v>375.31</ns0:v>
      </ns0:c>
      <ns0:c r="M28" s="3">
        <ns0:f>ROUND(M228*M348,2)</ns0:f>
        <ns0:v>145.36</ns0:v>
      </ns0:c>
      <ns0:c r="N28" s="3">
        <ns0:f>ROUND(N228*N348,2)</ns0:f>
        <ns0:v>539.01</ns0:v>
      </ns0:c>
      <ns0:c r="O28" s="3">
        <ns0:f>SUM(C28:N28)</ns0:f>
        <ns0:v>3000.49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84.32</ns0:v>
      </ns0:c>
      <ns0:c r="D30" s="6">
        <ns0:f>ROUND(D230*D350,2)</ns0:f>
        <ns0:v>176.87</ns0:v>
      </ns0:c>
      <ns0:c r="E30" s="6">
        <ns0:f>ROUND(E230*E350,2)</ns0:f>
        <ns0:v>399.85</ns0:v>
      </ns0:c>
      <ns0:c r="F30" s="6">
        <ns0:f>ROUND(F230*F350,2)</ns0:f>
        <ns0:v>332.58</ns0:v>
      </ns0:c>
      <ns0:c r="G30" s="6">
        <ns0:f>ROUND(G230*G350,2)</ns0:f>
        <ns0:v>241.64</ns0:v>
      </ns0:c>
      <ns0:c r="H30" s="6">
        <ns0:f>ROUND(H230*H350,2)</ns0:f>
        <ns0:v>296.76</ns0:v>
      </ns0:c>
      <ns0:c r="I30" s="6">
        <ns0:f>ROUND(I230*I350,2)</ns0:f>
        <ns0:v>61.74</ns0:v>
      </ns0:c>
      <ns0:c r="J30" s="6">
        <ns0:f>ROUND(J230*J350,2)</ns0:f>
        <ns0:v>223.25</ns0:v>
      </ns0:c>
      <ns0:c r="K30" s="6">
        <ns0:f>ROUND(K230*K350,2)</ns0:f>
        <ns0:v>317.18</ns0:v>
      </ns0:c>
      <ns0:c r="L30" s="6">
        <ns0:f>ROUND(L230*L350,2)</ns0:f>
        <ns0:v>573.98</ns0:v>
      </ns0:c>
      <ns0:c r="M30" s="6">
        <ns0:f>ROUND(M230*M350,2)</ns0:f>
        <ns0:v>536.70</ns0:v>
      </ns0:c>
      <ns0:c r="N30" s="6">
        <ns0:f>ROUND(N230*N350,2)</ns0:f>
        <ns0:v>159.98</ns0:v>
      </ns0:c>
      <ns0:c r="O30" s="6">
        <ns0:f>SUM(C30:N30)</ns0:f>
        <ns0:v>3404.85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252.10</ns0:v>
      </ns0:c>
      <ns0:c r="D31" s="3">
        <ns0:f>ROUND(D231*D351,2)</ns0:f>
        <ns0:v>84.82</ns0:v>
      </ns0:c>
      <ns0:c r="E31" s="3">
        <ns0:f>ROUND(E231*E351,2)</ns0:f>
        <ns0:v>119.05</ns0:v>
      </ns0:c>
      <ns0:c r="F31" s="3">
        <ns0:f>ROUND(F231*F351,2)</ns0:f>
        <ns0:v>363.95</ns0:v>
      </ns0:c>
      <ns0:c r="G31" s="3">
        <ns0:f>ROUND(G231*G351,2)</ns0:f>
        <ns0:v>97.70</ns0:v>
      </ns0:c>
      <ns0:c r="H31" s="3">
        <ns0:f>ROUND(H231*H351,2)</ns0:f>
        <ns0:v>125.37</ns0:v>
      </ns0:c>
      <ns0:c r="I31" s="3">
        <ns0:f>ROUND(I231*I351,2)</ns0:f>
        <ns0:v>321.26</ns0:v>
      </ns0:c>
      <ns0:c r="J31" s="3">
        <ns0:f>ROUND(J231*J351,2)</ns0:f>
        <ns0:v>238.45</ns0:v>
      </ns0:c>
      <ns0:c r="K31" s="3">
        <ns0:f>ROUND(K231*K351,2)</ns0:f>
        <ns0:v>108.63</ns0:v>
      </ns0:c>
      <ns0:c r="L31" s="3">
        <ns0:f>ROUND(L231*L351,2)</ns0:f>
        <ns0:v>439.86</ns0:v>
      </ns0:c>
      <ns0:c r="M31" s="3">
        <ns0:f>ROUND(M231*M351,2)</ns0:f>
        <ns0:v>194.77</ns0:v>
      </ns0:c>
      <ns0:c r="N31" s="3">
        <ns0:f>ROUND(N231*N351,2)</ns0:f>
        <ns0:v>239.17</ns0:v>
      </ns0:c>
      <ns0:c r="O31" s="3">
        <ns0:f>SUM(C31:N31)</ns0:f>
        <ns0:v>2585.13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84.83</ns0:v>
      </ns0:c>
      <ns0:c r="D32" s="3">
        <ns0:f>ROUND(D232*D352,2)</ns0:f>
        <ns0:v>161.69</ns0:v>
      </ns0:c>
      <ns0:c r="E32" s="3">
        <ns0:f>ROUND(E232*E352,2)</ns0:f>
        <ns0:v>295.05</ns0:v>
      </ns0:c>
      <ns0:c r="F32" s="3">
        <ns0:f>ROUND(F232*F352,2)</ns0:f>
        <ns0:v>151.94</ns0:v>
      </ns0:c>
      <ns0:c r="G32" s="3">
        <ns0:f>ROUND(G232*G352,2)</ns0:f>
        <ns0:v>197.70</ns0:v>
      </ns0:c>
      <ns0:c r="H32" s="3">
        <ns0:f>ROUND(H232*H352,2)</ns0:f>
        <ns0:v>523.06</ns0:v>
      </ns0:c>
      <ns0:c r="I32" s="3">
        <ns0:f>ROUND(I232*I352,2)</ns0:f>
        <ns0:v>137.90</ns0:v>
      </ns0:c>
      <ns0:c r="J32" s="3">
        <ns0:f>ROUND(J232*J352,2)</ns0:f>
        <ns0:v>130.59</ns0:v>
      </ns0:c>
      <ns0:c r="K32" s="3">
        <ns0:f>ROUND(K232*K352,2)</ns0:f>
        <ns0:v>172.69</ns0:v>
      </ns0:c>
      <ns0:c r="L32" s="3">
        <ns0:f>ROUND(L232*L352,2)</ns0:f>
        <ns0:v>164.08</ns0:v>
      </ns0:c>
      <ns0:c r="M32" s="3">
        <ns0:f>ROUND(M232*M352,2)</ns0:f>
        <ns0:v>257.17</ns0:v>
      </ns0:c>
      <ns0:c r="N32" s="3">
        <ns0:f>ROUND(N232*N352,2)</ns0:f>
        <ns0:v>86.31</ns0:v>
      </ns0:c>
      <ns0:c r="O32" s="3">
        <ns0:f>SUM(C32:N32)</ns0:f>
        <ns0:v>2363.01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257.72</ns0:v>
      </ns0:c>
      <ns0:c r="D33" s="3">
        <ns0:f>ROUND(D233*D353,2)</ns0:f>
        <ns0:v>275.80</ns0:v>
      </ns0:c>
      <ns0:c r="E33" s="3">
        <ns0:f>ROUND(E233*E353,2)</ns0:f>
        <ns0:v>168.01</ns0:v>
      </ns0:c>
      <ns0:c r="F33" s="3">
        <ns0:f>ROUND(F233*F353,2)</ns0:f>
        <ns0:v>316.97</ns0:v>
      </ns0:c>
      <ns0:c r="G33" s="3">
        <ns0:f>ROUND(G233*G353,2)</ns0:f>
        <ns0:v>172.20</ns0:v>
      </ns0:c>
      <ns0:c r="H33" s="3">
        <ns0:f>ROUND(H233*H353,2)</ns0:f>
        <ns0:v>189.33</ns0:v>
      </ns0:c>
      <ns0:c r="I33" s="3">
        <ns0:f>ROUND(I233*I353,2)</ns0:f>
        <ns0:v>367.16</ns0:v>
      </ns0:c>
      <ns0:c r="J33" s="3">
        <ns0:f>ROUND(J233*J353,2)</ns0:f>
        <ns0:v>104.04</ns0:v>
      </ns0:c>
      <ns0:c r="K33" s="3">
        <ns0:f>ROUND(K233*K353,2)</ns0:f>
        <ns0:v>226.40</ns0:v>
      </ns0:c>
      <ns0:c r="L33" s="3">
        <ns0:f>ROUND(L233*L353,2)</ns0:f>
        <ns0:v>343.51</ns0:v>
      </ns0:c>
      <ns0:c r="M33" s="3">
        <ns0:f>ROUND(M233*M353,2)</ns0:f>
        <ns0:v>459.79</ns0:v>
      </ns0:c>
      <ns0:c r="N33" s="3">
        <ns0:f>ROUND(N233*N353,2)</ns0:f>
        <ns0:v>134.02</ns0:v>
      </ns0:c>
      <ns0:c r="O33" s="3">
        <ns0:f>SUM(C33:N33)</ns0:f>
        <ns0:v>3014.95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6510.33</ns0:v>
      </ns0:c>
      <ns0:c r="D34" s="3">
        <ns0:f>SUM(D4:D33)</ns0:f>
        <ns0:v>6637.89</ns0:v>
      </ns0:c>
      <ns0:c r="E34" s="3">
        <ns0:f>SUM(E4:E33)</ns0:f>
        <ns0:v>6468.54</ns0:v>
      </ns0:c>
      <ns0:c r="F34" s="3">
        <ns0:f>SUM(F4:F33)</ns0:f>
        <ns0:v>7337.53</ns0:v>
      </ns0:c>
      <ns0:c r="G34" s="3">
        <ns0:f>SUM(G4:G33)</ns0:f>
        <ns0:v>6324.17</ns0:v>
      </ns0:c>
      <ns0:c r="H34" s="3">
        <ns0:f>SUM(H4:H33)</ns0:f>
        <ns0:v>8352.32</ns0:v>
      </ns0:c>
      <ns0:c r="I34" s="3">
        <ns0:f>SUM(I4:I33)</ns0:f>
        <ns0:v>7730.89</ns0:v>
      </ns0:c>
      <ns0:c r="J34" s="3">
        <ns0:f>SUM(J4:J33)</ns0:f>
        <ns0:v>6513.54</ns0:v>
      </ns0:c>
      <ns0:c r="K34" s="3">
        <ns0:f>SUM(K4:K33)</ns0:f>
        <ns0:v>7199.54</ns0:v>
      </ns0:c>
      <ns0:c r="L34" s="3">
        <ns0:f>SUM(L4:L33)</ns0:f>
        <ns0:v>7674.68</ns0:v>
      </ns0:c>
      <ns0:c r="M34" s="3">
        <ns0:f>SUM(M4:M33)</ns0:f>
        <ns0:v>7863.66</ns0:v>
      </ns0:c>
      <ns0:c r="N34" s="3">
        <ns0:f>SUM(N4:N33)</ns0:f>
        <ns0:v>7530.11</ns0:v>
      </ns0:c>
      <ns0:c r="O34" s="3">
        <ns0:f>SUM(C34:N34)</ns0:f>
        <ns0:v>86143.20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65.85</ns0:v>
      </ns0:c>
      <ns0:c r="D204" s="4">
        <ns0:v>31.81</ns0:v>
      </ns0:c>
      <ns0:c r="E204" s="4">
        <ns0:v>49.74</ns0:v>
      </ns0:c>
      <ns0:c r="F204" s="4">
        <ns0:v>39.30</ns0:v>
      </ns0:c>
      <ns0:c r="G204" s="4">
        <ns0:v>51.26</ns0:v>
      </ns0:c>
      <ns0:c r="H204" s="4">
        <ns0:v>61.91</ns0:v>
      </ns0:c>
      <ns0:c r="I204" s="4">
        <ns0:v>44.89</ns0:v>
      </ns0:c>
      <ns0:c r="J204" s="4">
        <ns0:v>22.86</ns0:v>
      </ns0:c>
      <ns0:c r="K204" s="4">
        <ns0:v>57.69</ns0:v>
      </ns0:c>
      <ns0:c r="L204" s="4">
        <ns0:v>72.60</ns0:v>
      </ns0:c>
      <ns0:c r="M204" s="4">
        <ns0:v>35.07</ns0:v>
      </ns0:c>
      <ns0:c r="N204" s="4">
        <ns0:v>71.88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35.27</ns0:v>
      </ns0:c>
      <ns0:c r="D205" s="4">
        <ns0:v>65.65</ns0:v>
      </ns0:c>
      <ns0:c r="E205" s="4">
        <ns0:v>17.76</ns0:v>
      </ns0:c>
      <ns0:c r="F205" s="4">
        <ns0:v>42.20</ns0:v>
      </ns0:c>
      <ns0:c r="G205" s="4">
        <ns0:v>55.80</ns0:v>
      </ns0:c>
      <ns0:c r="H205" s="4">
        <ns0:v>50.70</ns0:v>
      </ns0:c>
      <ns0:c r="I205" s="4">
        <ns0:v>54.71</ns0:v>
      </ns0:c>
      <ns0:c r="J205" s="4">
        <ns0:v>69.28</ns0:v>
      </ns0:c>
      <ns0:c r="K205" s="4">
        <ns0:v>75.52</ns0:v>
      </ns0:c>
      <ns0:c r="L205" s="4">
        <ns0:v>30.08</ns0:v>
      </ns0:c>
      <ns0:c r="M205" s="4">
        <ns0:v>55.99</ns0:v>
      </ns0:c>
      <ns0:c r="N205" s="4">
        <ns0:v>18.58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40.41</ns0:v>
      </ns0:c>
      <ns0:c r="D206" s="4">
        <ns0:v>53.50</ns0:v>
      </ns0:c>
      <ns0:c r="E206" s="4">
        <ns0:v>55.66</ns0:v>
      </ns0:c>
      <ns0:c r="F206" s="4">
        <ns0:v>29.77</ns0:v>
      </ns0:c>
      <ns0:c r="G206" s="4">
        <ns0:v>55.94</ns0:v>
      </ns0:c>
      <ns0:c r="H206" s="4">
        <ns0:v>20.88</ns0:v>
      </ns0:c>
      <ns0:c r="I206" s="4">
        <ns0:v>27.36</ns0:v>
      </ns0:c>
      <ns0:c r="J206" s="4">
        <ns0:v>24.75</ns0:v>
      </ns0:c>
      <ns0:c r="K206" s="4">
        <ns0:v>49.43</ns0:v>
      </ns0:c>
      <ns0:c r="L206" s="4">
        <ns0:v>22.22</ns0:v>
      </ns0:c>
      <ns0:c r="M206" s="4">
        <ns0:v>26.81</ns0:v>
      </ns0:c>
      <ns0:c r="N206" s="4">
        <ns0:v>43.24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23.76</ns0:v>
      </ns0:c>
      <ns0:c r="D207" s="4">
        <ns0:v>32.42</ns0:v>
      </ns0:c>
      <ns0:c r="E207" s="4">
        <ns0:v>54.05</ns0:v>
      </ns0:c>
      <ns0:c r="F207" s="4">
        <ns0:v>28.50</ns0:v>
      </ns0:c>
      <ns0:c r="G207" s="4">
        <ns0:v>42.64</ns0:v>
      </ns0:c>
      <ns0:c r="H207" s="4">
        <ns0:v>73.89</ns0:v>
      </ns0:c>
      <ns0:c r="I207" s="4">
        <ns0:v>16.00</ns0:v>
      </ns0:c>
      <ns0:c r="J207" s="4">
        <ns0:v>20.05</ns0:v>
      </ns0:c>
      <ns0:c r="K207" s="4">
        <ns0:v>66.53</ns0:v>
      </ns0:c>
      <ns0:c r="L207" s="4">
        <ns0:v>25.83</ns0:v>
      </ns0:c>
      <ns0:c r="M207" s="4">
        <ns0:v>44.95</ns0:v>
      </ns0:c>
      <ns0:c r="N207" s="4">
        <ns0:v>50.89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55.72</ns0:v>
      </ns0:c>
      <ns0:c r="D208" s="4">
        <ns0:v>23.41</ns0:v>
      </ns0:c>
      <ns0:c r="E208" s="4">
        <ns0:v>18.66</ns0:v>
      </ns0:c>
      <ns0:c r="F208" s="4">
        <ns0:v>51.24</ns0:v>
      </ns0:c>
      <ns0:c r="G208" s="4">
        <ns0:v>43.02</ns0:v>
      </ns0:c>
      <ns0:c r="H208" s="4">
        <ns0:v>69.17</ns0:v>
      </ns0:c>
      <ns0:c r="I208" s="4">
        <ns0:v>45.65</ns0:v>
      </ns0:c>
      <ns0:c r="J208" s="4">
        <ns0:v>63.15</ns0:v>
      </ns0:c>
      <ns0:c r="K208" s="4">
        <ns0:v>34.92</ns0:v>
      </ns0:c>
      <ns0:c r="L208" s="4">
        <ns0:v>51.51</ns0:v>
      </ns0:c>
      <ns0:c r="M208" s="4">
        <ns0:v>22.06</ns0:v>
      </ns0:c>
      <ns0:c r="N208" s="4">
        <ns0:v>26.05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60.03</ns0:v>
      </ns0:c>
      <ns0:c r="D209" s="4">
        <ns0:v>28.89</ns0:v>
      </ns0:c>
      <ns0:c r="E209" s="4">
        <ns0:v>53.96</ns0:v>
      </ns0:c>
      <ns0:c r="F209" s="4">
        <ns0:v>22.21</ns0:v>
      </ns0:c>
      <ns0:c r="G209" s="4">
        <ns0:v>20.12</ns0:v>
      </ns0:c>
      <ns0:c r="H209" s="4">
        <ns0:v>18.21</ns0:v>
      </ns0:c>
      <ns0:c r="I209" s="4">
        <ns0:v>37.11</ns0:v>
      </ns0:c>
      <ns0:c r="J209" s="4">
        <ns0:v>49.93</ns0:v>
      </ns0:c>
      <ns0:c r="K209" s="4">
        <ns0:v>75.21</ns0:v>
      </ns0:c>
      <ns0:c r="L209" s="4">
        <ns0:v>24.76</ns0:v>
      </ns0:c>
      <ns0:c r="M209" s="4">
        <ns0:v>60.10</ns0:v>
      </ns0:c>
      <ns0:c r="N209" s="4">
        <ns0:v>40.09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56.18</ns0:v>
      </ns0:c>
      <ns0:c r="D210" s="4">
        <ns0:v>44.27</ns0:v>
      </ns0:c>
      <ns0:c r="E210" s="4">
        <ns0:v>30.60</ns0:v>
      </ns0:c>
      <ns0:c r="F210" s="4">
        <ns0:v>31.56</ns0:v>
      </ns0:c>
      <ns0:c r="G210" s="4">
        <ns0:v>25.85</ns0:v>
      </ns0:c>
      <ns0:c r="H210" s="4">
        <ns0:v>25.75</ns0:v>
      </ns0:c>
      <ns0:c r="I210" s="4">
        <ns0:v>50.43</ns0:v>
      </ns0:c>
      <ns0:c r="J210" s="4">
        <ns0:v>72.25</ns0:v>
      </ns0:c>
      <ns0:c r="K210" s="4">
        <ns0:v>56.18</ns0:v>
      </ns0:c>
      <ns0:c r="L210" s="4">
        <ns0:v>24.64</ns0:v>
      </ns0:c>
      <ns0:c r="M210" s="4">
        <ns0:v>46.60</ns0:v>
      </ns0:c>
      <ns0:c r="N210" s="4">
        <ns0:v>39.95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43.53</ns0:v>
      </ns0:c>
      <ns0:c r="D211" s="4">
        <ns0:v>64.34</ns0:v>
      </ns0:c>
      <ns0:c r="E211" s="4">
        <ns0:v>57.57</ns0:v>
      </ns0:c>
      <ns0:c r="F211" s="4">
        <ns0:v>48.20</ns0:v>
      </ns0:c>
      <ns0:c r="G211" s="4">
        <ns0:v>19.35</ns0:v>
      </ns0:c>
      <ns0:c r="H211" s="4">
        <ns0:v>54.98</ns0:v>
      </ns0:c>
      <ns0:c r="I211" s="4">
        <ns0:v>64.78</ns0:v>
      </ns0:c>
      <ns0:c r="J211" s="4">
        <ns0:v>57.68</ns0:v>
      </ns0:c>
      <ns0:c r="K211" s="4">
        <ns0:v>49.78</ns0:v>
      </ns0:c>
      <ns0:c r="L211" s="4">
        <ns0:v>21.24</ns0:v>
      </ns0:c>
      <ns0:c r="M211" s="4">
        <ns0:v>51.99</ns0:v>
      </ns0:c>
      <ns0:c r="N211" s="4">
        <ns0:v>41.10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36.79</ns0:v>
      </ns0:c>
      <ns0:c r="D212" s="4">
        <ns0:v>24.13</ns0:v>
      </ns0:c>
      <ns0:c r="E212" s="4">
        <ns0:v>53.20</ns0:v>
      </ns0:c>
      <ns0:c r="F212" s="4">
        <ns0:v>22.20</ns0:v>
      </ns0:c>
      <ns0:c r="G212" s="4">
        <ns0:v>50.90</ns0:v>
      </ns0:c>
      <ns0:c r="H212" s="4">
        <ns0:v>63.74</ns0:v>
      </ns0:c>
      <ns0:c r="I212" s="4">
        <ns0:v>43.88</ns0:v>
      </ns0:c>
      <ns0:c r="J212" s="4">
        <ns0:v>45.98</ns0:v>
      </ns0:c>
      <ns0:c r="K212" s="4">
        <ns0:v>18.70</ns0:v>
      </ns0:c>
      <ns0:c r="L212" s="4">
        <ns0:v>29.56</ns0:v>
      </ns0:c>
      <ns0:c r="M212" s="4">
        <ns0:v>30.10</ns0:v>
      </ns0:c>
      <ns0:c r="N212" s="4">
        <ns0:v>45.61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55.67</ns0:v>
      </ns0:c>
      <ns0:c r="D213" s="4">
        <ns0:v>64.12</ns0:v>
      </ns0:c>
      <ns0:c r="E213" s="4">
        <ns0:v>24.68</ns0:v>
      </ns0:c>
      <ns0:c r="F213" s="4">
        <ns0:v>51.31</ns0:v>
      </ns0:c>
      <ns0:c r="G213" s="4">
        <ns0:v>24.87</ns0:v>
      </ns0:c>
      <ns0:c r="H213" s="4">
        <ns0:v>58.55</ns0:v>
      </ns0:c>
      <ns0:c r="I213" s="4">
        <ns0:v>48.07</ns0:v>
      </ns0:c>
      <ns0:c r="J213" s="4">
        <ns0:v>37.05</ns0:v>
      </ns0:c>
      <ns0:c r="K213" s="4">
        <ns0:v>32.86</ns0:v>
      </ns0:c>
      <ns0:c r="L213" s="4">
        <ns0:v>19.59</ns0:v>
      </ns0:c>
      <ns0:c r="M213" s="4">
        <ns0:v>19.53</ns0:v>
      </ns0:c>
      <ns0:c r="N213" s="4">
        <ns0:v>33.31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36.80</ns0:v>
      </ns0:c>
      <ns0:c r="D214" s="4">
        <ns0:v>32.41</ns0:v>
      </ns0:c>
      <ns0:c r="E214" s="4">
        <ns0:v>49.52</ns0:v>
      </ns0:c>
      <ns0:c r="F214" s="4">
        <ns0:v>47.08</ns0:v>
      </ns0:c>
      <ns0:c r="G214" s="4">
        <ns0:v>26.34</ns0:v>
      </ns0:c>
      <ns0:c r="H214" s="4">
        <ns0:v>25.97</ns0:v>
      </ns0:c>
      <ns0:c r="I214" s="4">
        <ns0:v>18.17</ns0:v>
      </ns0:c>
      <ns0:c r="J214" s="4">
        <ns0:v>19.18</ns0:v>
      </ns0:c>
      <ns0:c r="K214" s="4">
        <ns0:v>23.90</ns0:v>
      </ns0:c>
      <ns0:c r="L214" s="4">
        <ns0:v>57.81</ns0:v>
      </ns0:c>
      <ns0:c r="M214" s="4">
        <ns0:v>31.72</ns0:v>
      </ns0:c>
      <ns0:c r="N214" s="4">
        <ns0:v>42.52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18.96</ns0:v>
      </ns0:c>
      <ns0:c r="D215" s="4">
        <ns0:v>65.30</ns0:v>
      </ns0:c>
      <ns0:c r="E215" s="4">
        <ns0:v>25.04</ns0:v>
      </ns0:c>
      <ns0:c r="F215" s="4">
        <ns0:v>43.23</ns0:v>
      </ns0:c>
      <ns0:c r="G215" s="4">
        <ns0:v>63.58</ns0:v>
      </ns0:c>
      <ns0:c r="H215" s="4">
        <ns0:v>44.05</ns0:v>
      </ns0:c>
      <ns0:c r="I215" s="4">
        <ns0:v>58.48</ns0:v>
      </ns0:c>
      <ns0:c r="J215" s="4">
        <ns0:v>31.38</ns0:v>
      </ns0:c>
      <ns0:c r="K215" s="4">
        <ns0:v>61.12</ns0:v>
      </ns0:c>
      <ns0:c r="L215" s="4">
        <ns0:v>28.64</ns0:v>
      </ns0:c>
      <ns0:c r="M215" s="4">
        <ns0:v>44.40</ns0:v>
      </ns0:c>
      <ns0:c r="N215" s="4">
        <ns0:v>21.41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21.85</ns0:v>
      </ns0:c>
      <ns0:c r="D216" s="4">
        <ns0:v>30.10</ns0:v>
      </ns0:c>
      <ns0:c r="E216" s="4">
        <ns0:v>19.42</ns0:v>
      </ns0:c>
      <ns0:c r="F216" s="4">
        <ns0:v>68.10</ns0:v>
      </ns0:c>
      <ns0:c r="G216" s="4">
        <ns0:v>23.60</ns0:v>
      </ns0:c>
      <ns0:c r="H216" s="4">
        <ns0:v>62.78</ns0:v>
      </ns0:c>
      <ns0:c r="I216" s="4">
        <ns0:v>49.61</ns0:v>
      </ns0:c>
      <ns0:c r="J216" s="4">
        <ns0:v>45.06</ns0:v>
      </ns0:c>
      <ns0:c r="K216" s="4">
        <ns0:v>21.97</ns0:v>
      </ns0:c>
      <ns0:c r="L216" s="4">
        <ns0:v>61.70</ns0:v>
      </ns0:c>
      <ns0:c r="M216" s="4">
        <ns0:v>70.01</ns0:v>
      </ns0:c>
      <ns0:c r="N216" s="4">
        <ns0:v>36.31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58.83</ns0:v>
      </ns0:c>
      <ns0:c r="D217" s="4">
        <ns0:v>42.31</ns0:v>
      </ns0:c>
      <ns0:c r="E217" s="4">
        <ns0:v>41.03</ns0:v>
      </ns0:c>
      <ns0:c r="F217" s="4">
        <ns0:v>42.23</ns0:v>
      </ns0:c>
      <ns0:c r="G217" s="4">
        <ns0:v>44.98</ns0:v>
      </ns0:c>
      <ns0:c r="H217" s="4">
        <ns0:v>61.71</ns0:v>
      </ns0:c>
      <ns0:c r="I217" s="4">
        <ns0:v>56.78</ns0:v>
      </ns0:c>
      <ns0:c r="J217" s="4">
        <ns0:v>40.44</ns0:v>
      </ns0:c>
      <ns0:c r="K217" s="4">
        <ns0:v>40.88</ns0:v>
      </ns0:c>
      <ns0:c r="L217" s="4">
        <ns0:v>57.69</ns0:v>
      </ns0:c>
      <ns0:c r="M217" s="4">
        <ns0:v>57.40</ns0:v>
      </ns0:c>
      <ns0:c r="N217" s="4">
        <ns0:v>43.78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49.25</ns0:v>
      </ns0:c>
      <ns0:c r="D218" s="4">
        <ns0:v>25.57</ns0:v>
      </ns0:c>
      <ns0:c r="E218" s="4">
        <ns0:v>48.51</ns0:v>
      </ns0:c>
      <ns0:c r="F218" s="4">
        <ns0:v>44.94</ns0:v>
      </ns0:c>
      <ns0:c r="G218" s="4">
        <ns0:v>34.59</ns0:v>
      </ns0:c>
      <ns0:c r="H218" s="4">
        <ns0:v>59.53</ns0:v>
      </ns0:c>
      <ns0:c r="I218" s="4">
        <ns0:v>45.38</ns0:v>
      </ns0:c>
      <ns0:c r="J218" s="4">
        <ns0:v>18.60</ns0:v>
      </ns0:c>
      <ns0:c r="K218" s="4">
        <ns0:v>72.38</ns0:v>
      </ns0:c>
      <ns0:c r="L218" s="4">
        <ns0:v>57.85</ns0:v>
      </ns0:c>
      <ns0:c r="M218" s="4">
        <ns0:v>58.01</ns0:v>
      </ns0:c>
      <ns0:c r="N218" s="4">
        <ns0:v>18.61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32.98</ns0:v>
      </ns0:c>
      <ns0:c r="D219" s="4">
        <ns0:v>24.21</ns0:v>
      </ns0:c>
      <ns0:c r="E219" s="4">
        <ns0:v>17.02</ns0:v>
      </ns0:c>
      <ns0:c r="F219" s="4">
        <ns0:v>18.74</ns0:v>
      </ns0:c>
      <ns0:c r="G219" s="4">
        <ns0:v>25.39</ns0:v>
      </ns0:c>
      <ns0:c r="H219" s="4">
        <ns0:v>28.76</ns0:v>
      </ns0:c>
      <ns0:c r="I219" s="4">
        <ns0:v>38.12</ns0:v>
      </ns0:c>
      <ns0:c r="J219" s="4">
        <ns0:v>53.94</ns0:v>
      </ns0:c>
      <ns0:c r="K219" s="4">
        <ns0:v>37.16</ns0:v>
      </ns0:c>
      <ns0:c r="L219" s="4">
        <ns0:v>33.20</ns0:v>
      </ns0:c>
      <ns0:c r="M219" s="4">
        <ns0:v>65.06</ns0:v>
      </ns0:c>
      <ns0:c r="N219" s="4">
        <ns0:v>18.95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36.47</ns0:v>
      </ns0:c>
      <ns0:c r="D221" s="4">
        <ns0:v>25.14</ns0:v>
      </ns0:c>
      <ns0:c r="E221" s="4">
        <ns0:v>53.60</ns0:v>
      </ns0:c>
      <ns0:c r="F221" s="4">
        <ns0:v>39.69</ns0:v>
      </ns0:c>
      <ns0:c r="G221" s="4">
        <ns0:v>19.45</ns0:v>
      </ns0:c>
      <ns0:c r="H221" s="4">
        <ns0:v>44.13</ns0:v>
      </ns0:c>
      <ns0:c r="I221" s="4">
        <ns0:v>31.28</ns0:v>
      </ns0:c>
      <ns0:c r="J221" s="4">
        <ns0:v>24.43</ns0:v>
      </ns0:c>
      <ns0:c r="K221" s="4">
        <ns0:v>32.60</ns0:v>
      </ns0:c>
      <ns0:c r="L221" s="4">
        <ns0:v>59.90</ns0:v>
      </ns0:c>
      <ns0:c r="M221" s="4">
        <ns0:v>36.24</ns0:v>
      </ns0:c>
      <ns0:c r="N221" s="4">
        <ns0:v>58.73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18.92</ns0:v>
      </ns0:c>
      <ns0:c r="D222" s="4">
        <ns0:v>51.29</ns0:v>
      </ns0:c>
      <ns0:c r="E222" s="4">
        <ns0:v>61.77</ns0:v>
      </ns0:c>
      <ns0:c r="F222" s="4">
        <ns0:v>24.11</ns0:v>
      </ns0:c>
      <ns0:c r="G222" s="4">
        <ns0:v>20.89</ns0:v>
      </ns0:c>
      <ns0:c r="H222" s="4">
        <ns0:v>52.43</ns0:v>
      </ns0:c>
      <ns0:c r="I222" s="4">
        <ns0:v>39.08</ns0:v>
      </ns0:c>
      <ns0:c r="J222" s="4">
        <ns0:v>17.63</ns0:v>
      </ns0:c>
      <ns0:c r="K222" s="4">
        <ns0:v>47.13</ns0:v>
      </ns0:c>
      <ns0:c r="L222" s="4">
        <ns0:v>44.95</ns0:v>
      </ns0:c>
      <ns0:c r="M222" s="4">
        <ns0:v>40.03</ns0:v>
      </ns0:c>
      <ns0:c r="N222" s="4">
        <ns0:v>44.94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18.17</ns0:v>
      </ns0:c>
      <ns0:c r="D223" s="4">
        <ns0:v>22.03</ns0:v>
      </ns0:c>
      <ns0:c r="E223" s="4">
        <ns0:v>63.87</ns0:v>
      </ns0:c>
      <ns0:c r="F223" s="4">
        <ns0:v>55.33</ns0:v>
      </ns0:c>
      <ns0:c r="G223" s="4">
        <ns0:v>20.75</ns0:v>
      </ns0:c>
      <ns0:c r="H223" s="4">
        <ns0:v>31.88</ns0:v>
      </ns0:c>
      <ns0:c r="I223" s="4">
        <ns0:v>17.02</ns0:v>
      </ns0:c>
      <ns0:c r="J223" s="4">
        <ns0:v>57.37</ns0:v>
      </ns0:c>
      <ns0:c r="K223" s="4">
        <ns0:v>61.10</ns0:v>
      </ns0:c>
      <ns0:c r="L223" s="4">
        <ns0:v>22.48</ns0:v>
      </ns0:c>
      <ns0:c r="M223" s="4">
        <ns0:v>49.92</ns0:v>
      </ns0:c>
      <ns0:c r="N223" s="4">
        <ns0:v>71.72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16.11</ns0:v>
      </ns0:c>
      <ns0:c r="D224" s="4">
        <ns0:v>19.21</ns0:v>
      </ns0:c>
      <ns0:c r="E224" s="4">
        <ns0:v>37.74</ns0:v>
      </ns0:c>
      <ns0:c r="F224" s="4">
        <ns0:v>58.15</ns0:v>
      </ns0:c>
      <ns0:c r="G224" s="4">
        <ns0:v>52.52</ns0:v>
      </ns0:c>
      <ns0:c r="H224" s="4">
        <ns0:v>41.31</ns0:v>
      </ns0:c>
      <ns0:c r="I224" s="4">
        <ns0:v>52.43</ns0:v>
      </ns0:c>
      <ns0:c r="J224" s="4">
        <ns0:v>19.72</ns0:v>
      </ns0:c>
      <ns0:c r="K224" s="4">
        <ns0:v>44.34</ns0:v>
      </ns0:c>
      <ns0:c r="L224" s="4">
        <ns0:v>56.36</ns0:v>
      </ns0:c>
      <ns0:c r="M224" s="4">
        <ns0:v>24.96</ns0:v>
      </ns0:c>
      <ns0:c r="N224" s="4">
        <ns0:v>61.20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33.19</ns0:v>
      </ns0:c>
      <ns0:c r="D225" s="4">
        <ns0:v>21.35</ns0:v>
      </ns0:c>
      <ns0:c r="E225" s="4">
        <ns0:v>51.72</ns0:v>
      </ns0:c>
      <ns0:c r="F225" s="4">
        <ns0:v>19.38</ns0:v>
      </ns0:c>
      <ns0:c r="G225" s="4">
        <ns0:v>42.11</ns0:v>
      </ns0:c>
      <ns0:c r="H225" s="4">
        <ns0:v>31.19</ns0:v>
      </ns0:c>
      <ns0:c r="I225" s="4">
        <ns0:v>49.25</ns0:v>
      </ns0:c>
      <ns0:c r="J225" s="4">
        <ns0:v>29.09</ns0:v>
      </ns0:c>
      <ns0:c r="K225" s="4">
        <ns0:v>17.41</ns0:v>
      </ns0:c>
      <ns0:c r="L225" s="4">
        <ns0:v>42.91</ns0:v>
      </ns0:c>
      <ns0:c r="M225" s="4">
        <ns0:v>18.20</ns0:v>
      </ns0:c>
      <ns0:c r="N225" s="4">
        <ns0:v>23.96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27.66</ns0:v>
      </ns0:c>
      <ns0:c r="D226" s="4">
        <ns0:v>43.57</ns0:v>
      </ns0:c>
      <ns0:c r="E226" s="4">
        <ns0:v>49.22</ns0:v>
      </ns0:c>
      <ns0:c r="F226" s="4">
        <ns0:v>56.47</ns0:v>
      </ns0:c>
      <ns0:c r="G226" s="4">
        <ns0:v>30.77</ns0:v>
      </ns0:c>
      <ns0:c r="H226" s="4">
        <ns0:v>65.08</ns0:v>
      </ns0:c>
      <ns0:c r="I226" s="4">
        <ns0:v>42.58</ns0:v>
      </ns0:c>
      <ns0:c r="J226" s="4">
        <ns0:v>40.58</ns0:v>
      </ns0:c>
      <ns0:c r="K226" s="4">
        <ns0:v>26.65</ns0:v>
      </ns0:c>
      <ns0:c r="L226" s="4">
        <ns0:v>70.58</ns0:v>
      </ns0:c>
      <ns0:c r="M226" s="4">
        <ns0:v>42.37</ns0:v>
      </ns0:c>
      <ns0:c r="N226" s="4">
        <ns0:v>34.43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54.54</ns0:v>
      </ns0:c>
      <ns0:c r="D227" s="4">
        <ns0:v>60.91</ns0:v>
      </ns0:c>
      <ns0:c r="E227" s="4">
        <ns0:v>38.80</ns0:v>
      </ns0:c>
      <ns0:c r="F227" s="4">
        <ns0:v>54.78</ns0:v>
      </ns0:c>
      <ns0:c r="G227" s="4">
        <ns0:v>38.02</ns0:v>
      </ns0:c>
      <ns0:c r="H227" s="4">
        <ns0:v>31.67</ns0:v>
      </ns0:c>
      <ns0:c r="I227" s="4">
        <ns0:v>67.33</ns0:v>
      </ns0:c>
      <ns0:c r="J227" s="4">
        <ns0:v>49.98</ns0:v>
      </ns0:c>
      <ns0:c r="K227" s="4">
        <ns0:v>32.01</ns0:v>
      </ns0:c>
      <ns0:c r="L227" s="4">
        <ns0:v>35.60</ns0:v>
      </ns0:c>
      <ns0:c r="M227" s="4">
        <ns0:v>17.48</ns0:v>
      </ns0:c>
      <ns0:c r="N227" s="4">
        <ns0:v>50.10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63.30</ns0:v>
      </ns0:c>
      <ns0:c r="D228" s="4">
        <ns0:v>22.66</ns0:v>
      </ns0:c>
      <ns0:c r="E228" s="4">
        <ns0:v>32.95</ns0:v>
      </ns0:c>
      <ns0:c r="F228" s="4">
        <ns0:v>70.49</ns0:v>
      </ns0:c>
      <ns0:c r="G228" s="4">
        <ns0:v>60.96</ns0:v>
      </ns0:c>
      <ns0:c r="H228" s="4">
        <ns0:v>65.48</ns0:v>
      </ns0:c>
      <ns0:c r="I228" s="4">
        <ns0:v>47.43</ns0:v>
      </ns0:c>
      <ns0:c r="J228" s="4">
        <ns0:v>27.96</ns0:v>
      </ns0:c>
      <ns0:c r="K228" s="4">
        <ns0:v>42.08</ns0:v>
      </ns0:c>
      <ns0:c r="L228" s="4">
        <ns0:v>56.10</ns0:v>
      </ns0:c>
      <ns0:c r="M228" s="4">
        <ns0:v>55.06</ns0:v>
      </ns0:c>
      <ns0:c r="N228" s="4">
        <ns0:v>57.22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27.92</ns0:v>
      </ns0:c>
      <ns0:c r="D230" s="4">
        <ns0:v>28.03</ns0:v>
      </ns0:c>
      <ns0:c r="E230" s="4">
        <ns0:v>51.66</ns0:v>
      </ns0:c>
      <ns0:c r="F230" s="4">
        <ns0:v>48.41</ns0:v>
      </ns0:c>
      <ns0:c r="G230" s="4">
        <ns0:v>60.26</ns0:v>
      </ns0:c>
      <ns0:c r="H230" s="4">
        <ns0:v>46.08</ns0:v>
      </ns0:c>
      <ns0:c r="I230" s="4">
        <ns0:v>19.79</ns0:v>
      </ns0:c>
      <ns0:c r="J230" s="4">
        <ns0:v>33.98</ns0:v>
      </ns0:c>
      <ns0:c r="K230" s="4">
        <ns0:v>49.95</ns0:v>
      </ns0:c>
      <ns0:c r="L230" s="4">
        <ns0:v>60.61</ns0:v>
      </ns0:c>
      <ns0:c r="M230" s="4">
        <ns0:v>71.37</ns0:v>
      </ns0:c>
      <ns0:c r="N230" s="4">
        <ns0:v>56.53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31.75</ns0:v>
      </ns0:c>
      <ns0:c r="D231" s="4">
        <ns0:v>25.02</ns0:v>
      </ns0:c>
      <ns0:c r="E231" s="4">
        <ns0:v>18.66</ns0:v>
      </ns0:c>
      <ns0:c r="F231" s="4">
        <ns0:v>50.69</ns0:v>
      </ns0:c>
      <ns0:c r="G231" s="4">
        <ns0:v>21.71</ns0:v>
      </ns0:c>
      <ns0:c r="H231" s="4">
        <ns0:v>35.02</ns0:v>
      </ns0:c>
      <ns0:c r="I231" s="4">
        <ns0:v>60.96</ns0:v>
      </ns0:c>
      <ns0:c r="J231" s="4">
        <ns0:v>40.90</ns0:v>
      </ns0:c>
      <ns0:c r="K231" s="4">
        <ns0:v>24.14</ns0:v>
      </ns0:c>
      <ns0:c r="L231" s="4">
        <ns0:v>59.28</ns0:v>
      </ns0:c>
      <ns0:c r="M231" s="4">
        <ns0:v>52.64</ns0:v>
      </ns0:c>
      <ns0:c r="N231" s="4">
        <ns0:v>59.20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18.85</ns0:v>
      </ns0:c>
      <ns0:c r="D232" s="4">
        <ns0:v>19.09</ns0:v>
      </ns0:c>
      <ns0:c r="E232" s="4">
        <ns0:v>57.74</ns0:v>
      </ns0:c>
      <ns0:c r="F232" s="4">
        <ns0:v>39.06</ns0:v>
      </ns0:c>
      <ns0:c r="G232" s="4">
        <ns0:v>35.43</ns0:v>
      </ns0:c>
      <ns0:c r="H232" s="4">
        <ns0:v>56.67</ns0:v>
      </ns0:c>
      <ns0:c r="I232" s="4">
        <ns0:v>37.07</ns0:v>
      </ns0:c>
      <ns0:c r="J232" s="4">
        <ns0:v>37.31</ns0:v>
      </ns0:c>
      <ns0:c r="K232" s="4">
        <ns0:v>21.32</ns0:v>
      </ns0:c>
      <ns0:c r="L232" s="4">
        <ns0:v>21.42</ns0:v>
      </ns0:c>
      <ns0:c r="M232" s="4">
        <ns0:v>34.80</ns0:v>
      </ns0:c>
      <ns0:c r="N232" s="4">
        <ns0:v>21.85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41.77</ns0:v>
      </ns0:c>
      <ns0:c r="D233" s="4">
        <ns0:v>64.59</ns0:v>
      </ns0:c>
      <ns0:c r="E233" s="4">
        <ns0:v>40.78</ns0:v>
      </ns0:c>
      <ns0:c r="F233" s="4">
        <ns0:v>62.03</ns0:v>
      </ns0:c>
      <ns0:c r="G233" s="4">
        <ns0:v>30.37</ns0:v>
      </ns0:c>
      <ns0:c r="H233" s="4">
        <ns0:v>36.48</ns0:v>
      </ns0:c>
      <ns0:c r="I233" s="4">
        <ns0:v>70.88</ns0:v>
      </ns0:c>
      <ns0:c r="J233" s="4">
        <ns0:v>29.64</ns0:v>
      </ns0:c>
      <ns0:c r="K233" s="4">
        <ns0:v>63.24</ns0:v>
      </ns0:c>
      <ns0:c r="L233" s="4">
        <ns0:v>53.34</ns0:v>
      </ns0:c>
      <ns0:c r="M233" s="4">
        <ns0:v>65.59</ns0:v>
      </ns0:c>
      <ns0:c r="N233" s="4">
        <ns0:v>40.49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6.62</ns0:v>
      </ns0:c>
      <ns0:c r="D324" s="4">
        <ns0:v>4.32</ns0:v>
      </ns0:c>
      <ns0:c r="E324" s="4">
        <ns0:v>6.57</ns0:v>
      </ns0:c>
      <ns0:c r="F324" s="4">
        <ns0:v>5.44</ns0:v>
      </ns0:c>
      <ns0:c r="G324" s="4">
        <ns0:v>2.80</ns0:v>
      </ns0:c>
      <ns0:c r="H324" s="4">
        <ns0:v>6.28</ns0:v>
      </ns0:c>
      <ns0:c r="I324" s="4">
        <ns0:v>5.62</ns0:v>
      </ns0:c>
      <ns0:c r="J324" s="4">
        <ns0:v>3.75</ns0:v>
      </ns0:c>
      <ns0:c r="K324" s="4">
        <ns0:v>3.30</ns0:v>
      </ns0:c>
      <ns0:c r="L324" s="4">
        <ns0:v>4.09</ns0:v>
      </ns0:c>
      <ns0:c r="M324" s="4">
        <ns0:v>7.15</ns0:v>
      </ns0:c>
      <ns0:c r="N324" s="4">
        <ns0:v>7.36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9.45</ns0:v>
      </ns0:c>
      <ns0:c r="D325" s="4">
        <ns0:v>2.52</ns0:v>
      </ns0:c>
      <ns0:c r="E325" s="4">
        <ns0:v>7.12</ns0:v>
      </ns0:c>
      <ns0:c r="F325" s="4">
        <ns0:v>7.67</ns0:v>
      </ns0:c>
      <ns0:c r="G325" s="4">
        <ns0:v>7.22</ns0:v>
      </ns0:c>
      <ns0:c r="H325" s="4">
        <ns0:v>7.91</ns0:v>
      </ns0:c>
      <ns0:c r="I325" s="4">
        <ns0:v>7.08</ns0:v>
      </ns0:c>
      <ns0:c r="J325" s="4">
        <ns0:v>4.24</ns0:v>
      </ns0:c>
      <ns0:c r="K325" s="4">
        <ns0:v>3.15</ns0:v>
      </ns0:c>
      <ns0:c r="L325" s="4">
        <ns0:v>5.47</ns0:v>
      </ns0:c>
      <ns0:c r="M325" s="4">
        <ns0:v>2.34</ns0:v>
      </ns0:c>
      <ns0:c r="N325" s="4">
        <ns0:v>5.63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3.51</ns0:v>
      </ns0:c>
      <ns0:c r="D326" s="4">
        <ns0:v>8.74</ns0:v>
      </ns0:c>
      <ns0:c r="E326" s="4">
        <ns0:v>3.08</ns0:v>
      </ns0:c>
      <ns0:c r="F326" s="4">
        <ns0:v>7.09</ns0:v>
      </ns0:c>
      <ns0:c r="G326" s="4">
        <ns0:v>5.84</ns0:v>
      </ns0:c>
      <ns0:c r="H326" s="4">
        <ns0:v>4.33</ns0:v>
      </ns0:c>
      <ns0:c r="I326" s="4">
        <ns0:v>3.35</ns0:v>
      </ns0:c>
      <ns0:c r="J326" s="4">
        <ns0:v>4.92</ns0:v>
      </ns0:c>
      <ns0:c r="K326" s="4">
        <ns0:v>6.94</ns0:v>
      </ns0:c>
      <ns0:c r="L326" s="4">
        <ns0:v>6.17</ns0:v>
      </ns0:c>
      <ns0:c r="M326" s="4">
        <ns0:v>8.45</ns0:v>
      </ns0:c>
      <ns0:c r="N326" s="4">
        <ns0:v>7.97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5.42</ns0:v>
      </ns0:c>
      <ns0:c r="D327" s="4">
        <ns0:v>6.41</ns0:v>
      </ns0:c>
      <ns0:c r="E327" s="4">
        <ns0:v>4.10</ns0:v>
      </ns0:c>
      <ns0:c r="F327" s="4">
        <ns0:v>3.18</ns0:v>
      </ns0:c>
      <ns0:c r="G327" s="4">
        <ns0:v>2.35</ns0:v>
      </ns0:c>
      <ns0:c r="H327" s="4">
        <ns0:v>5.59</ns0:v>
      </ns0:c>
      <ns0:c r="I327" s="4">
        <ns0:v>4.51</ns0:v>
      </ns0:c>
      <ns0:c r="J327" s="4">
        <ns0:v>3.11</ns0:v>
      </ns0:c>
      <ns0:c r="K327" s="4">
        <ns0:v>7.27</ns0:v>
      </ns0:c>
      <ns0:c r="L327" s="4">
        <ns0:v>7.03</ns0:v>
      </ns0:c>
      <ns0:c r="M327" s="4">
        <ns0:v>7.54</ns0:v>
      </ns0:c>
      <ns0:c r="N327" s="4">
        <ns0:v>4.62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6.90</ns0:v>
      </ns0:c>
      <ns0:c r="D328" s="4">
        <ns0:v>3.38</ns0:v>
      </ns0:c>
      <ns0:c r="E328" s="4">
        <ns0:v>3.33</ns0:v>
      </ns0:c>
      <ns0:c r="F328" s="4">
        <ns0:v>8.63</ns0:v>
      </ns0:c>
      <ns0:c r="G328" s="4">
        <ns0:v>6.14</ns0:v>
      </ns0:c>
      <ns0:c r="H328" s="4">
        <ns0:v>6.82</ns0:v>
      </ns0:c>
      <ns0:c r="I328" s="4">
        <ns0:v>2.97</ns0:v>
      </ns0:c>
      <ns0:c r="J328" s="4">
        <ns0:v>4.40</ns0:v>
      </ns0:c>
      <ns0:c r="K328" s="4">
        <ns0:v>3.03</ns0:v>
      </ns0:c>
      <ns0:c r="L328" s="4">
        <ns0:v>6.69</ns0:v>
      </ns0:c>
      <ns0:c r="M328" s="4">
        <ns0:v>5.64</ns0:v>
      </ns0:c>
      <ns0:c r="N328" s="4">
        <ns0:v>7.07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3.35</ns0:v>
      </ns0:c>
      <ns0:c r="D329" s="4">
        <ns0:v>6.42</ns0:v>
      </ns0:c>
      <ns0:c r="E329" s="4">
        <ns0:v>6.87</ns0:v>
      </ns0:c>
      <ns0:c r="F329" s="4">
        <ns0:v>2.60</ns0:v>
      </ns0:c>
      <ns0:c r="G329" s="4">
        <ns0:v>2.94</ns0:v>
      </ns0:c>
      <ns0:c r="H329" s="4">
        <ns0:v>3.84</ns0:v>
      </ns0:c>
      <ns0:c r="I329" s="4">
        <ns0:v>3.50</ns0:v>
      </ns0:c>
      <ns0:c r="J329" s="4">
        <ns0:v>6.19</ns0:v>
      </ns0:c>
      <ns0:c r="K329" s="4">
        <ns0:v>5.21</ns0:v>
      </ns0:c>
      <ns0:c r="L329" s="4">
        <ns0:v>2.90</ns0:v>
      </ns0:c>
      <ns0:c r="M329" s="4">
        <ns0:v>7.12</ns0:v>
      </ns0:c>
      <ns0:c r="N329" s="4">
        <ns0:v>8.14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2.98</ns0:v>
      </ns0:c>
      <ns0:c r="D330" s="4">
        <ns0:v>2.49</ns0:v>
      </ns0:c>
      <ns0:c r="E330" s="4">
        <ns0:v>3.14</ns0:v>
      </ns0:c>
      <ns0:c r="F330" s="4">
        <ns0:v>2.29</ns0:v>
      </ns0:c>
      <ns0:c r="G330" s="4">
        <ns0:v>6.86</ns0:v>
      </ns0:c>
      <ns0:c r="H330" s="4">
        <ns0:v>2.81</ns0:v>
      </ns0:c>
      <ns0:c r="I330" s="4">
        <ns0:v>6.93</ns0:v>
      </ns0:c>
      <ns0:c r="J330" s="4">
        <ns0:v>8.75</ns0:v>
      </ns0:c>
      <ns0:c r="K330" s="4">
        <ns0:v>4.11</ns0:v>
      </ns0:c>
      <ns0:c r="L330" s="4">
        <ns0:v>6.79</ns0:v>
      </ns0:c>
      <ns0:c r="M330" s="4">
        <ns0:v>3.25</ns0:v>
      </ns0:c>
      <ns0:c r="N330" s="4">
        <ns0:v>4.91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7.07</ns0:v>
      </ns0:c>
      <ns0:c r="D331" s="4">
        <ns0:v>8.09</ns0:v>
      </ns0:c>
      <ns0:c r="E331" s="4">
        <ns0:v>2.03</ns0:v>
      </ns0:c>
      <ns0:c r="F331" s="4">
        <ns0:v>5.51</ns0:v>
      </ns0:c>
      <ns0:c r="G331" s="4">
        <ns0:v>7.89</ns0:v>
      </ns0:c>
      <ns0:c r="H331" s="4">
        <ns0:v>6.02</ns0:v>
      </ns0:c>
      <ns0:c r="I331" s="4">
        <ns0:v>5.93</ns0:v>
      </ns0:c>
      <ns0:c r="J331" s="4">
        <ns0:v>7.70</ns0:v>
      </ns0:c>
      <ns0:c r="K331" s="4">
        <ns0:v>4.63</ns0:v>
      </ns0:c>
      <ns0:c r="L331" s="4">
        <ns0:v>7.41</ns0:v>
      </ns0:c>
      <ns0:c r="M331" s="4">
        <ns0:v>5.16</ns0:v>
      </ns0:c>
      <ns0:c r="N331" s="4">
        <ns0:v>2.82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2.90</ns0:v>
      </ns0:c>
      <ns0:c r="D332" s="4">
        <ns0:v>7.23</ns0:v>
      </ns0:c>
      <ns0:c r="E332" s="4">
        <ns0:v>4.41</ns0:v>
      </ns0:c>
      <ns0:c r="F332" s="4">
        <ns0:v>8.04</ns0:v>
      </ns0:c>
      <ns0:c r="G332" s="4">
        <ns0:v>3.90</ns0:v>
      </ns0:c>
      <ns0:c r="H332" s="4">
        <ns0:v>5.38</ns0:v>
      </ns0:c>
      <ns0:c r="I332" s="4">
        <ns0:v>3.37</ns0:v>
      </ns0:c>
      <ns0:c r="J332" s="4">
        <ns0:v>5.73</ns0:v>
      </ns0:c>
      <ns0:c r="K332" s="4">
        <ns0:v>8.02</ns0:v>
      </ns0:c>
      <ns0:c r="L332" s="4">
        <ns0:v>5.88</ns0:v>
      </ns0:c>
      <ns0:c r="M332" s="4">
        <ns0:v>6.29</ns0:v>
      </ns0:c>
      <ns0:c r="N332" s="4">
        <ns0:v>2.61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4.70</ns0:v>
      </ns0:c>
      <ns0:c r="D333" s="4">
        <ns0:v>2.94</ns0:v>
      </ns0:c>
      <ns0:c r="E333" s="4">
        <ns0:v>3.79</ns0:v>
      </ns0:c>
      <ns0:c r="F333" s="4">
        <ns0:v>5.71</ns0:v>
      </ns0:c>
      <ns0:c r="G333" s="4">
        <ns0:v>8.43</ns0:v>
      </ns0:c>
      <ns0:c r="H333" s="4">
        <ns0:v>2.76</ns0:v>
      </ns0:c>
      <ns0:c r="I333" s="4">
        <ns0:v>5.42</ns0:v>
      </ns0:c>
      <ns0:c r="J333" s="4">
        <ns0:v>8.31</ns0:v>
      </ns0:c>
      <ns0:c r="K333" s="4">
        <ns0:v>5.56</ns0:v>
      </ns0:c>
      <ns0:c r="L333" s="4">
        <ns0:v>6.53</ns0:v>
      </ns0:c>
      <ns0:c r="M333" s="4">
        <ns0:v>7.91</ns0:v>
      </ns0:c>
      <ns0:c r="N333" s="4">
        <ns0:v>7.15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5.13</ns0:v>
      </ns0:c>
      <ns0:c r="D334" s="4">
        <ns0:v>8.15</ns0:v>
      </ns0:c>
      <ns0:c r="E334" s="4">
        <ns0:v>2.60</ns0:v>
      </ns0:c>
      <ns0:c r="F334" s="4">
        <ns0:v>6.35</ns0:v>
      </ns0:c>
      <ns0:c r="G334" s="4">
        <ns0:v>2.43</ns0:v>
      </ns0:c>
      <ns0:c r="H334" s="4">
        <ns0:v>5.63</ns0:v>
      </ns0:c>
      <ns0:c r="I334" s="4">
        <ns0:v>3.13</ns0:v>
      </ns0:c>
      <ns0:c r="J334" s="4">
        <ns0:v>2.12</ns0:v>
      </ns0:c>
      <ns0:c r="K334" s="4">
        <ns0:v>8.53</ns0:v>
      </ns0:c>
      <ns0:c r="L334" s="4">
        <ns0:v>6.86</ns0:v>
      </ns0:c>
      <ns0:c r="M334" s="4">
        <ns0:v>6.77</ns0:v>
      </ns0:c>
      <ns0:c r="N334" s="4">
        <ns0:v>6.32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6.97</ns0:v>
      </ns0:c>
      <ns0:c r="D335" s="4">
        <ns0:v>8.23</ns0:v>
      </ns0:c>
      <ns0:c r="E335" s="4">
        <ns0:v>8.03</ns0:v>
      </ns0:c>
      <ns0:c r="F335" s="4">
        <ns0:v>3.36</ns0:v>
      </ns0:c>
      <ns0:c r="G335" s="4">
        <ns0:v>3.45</ns0:v>
      </ns0:c>
      <ns0:c r="H335" s="4">
        <ns0:v>9.51</ns0:v>
      </ns0:c>
      <ns0:c r="I335" s="4">
        <ns0:v>8.17</ns0:v>
      </ns0:c>
      <ns0:c r="J335" s="4">
        <ns0:v>7.15</ns0:v>
      </ns0:c>
      <ns0:c r="K335" s="4">
        <ns0:v>8.98</ns0:v>
      </ns0:c>
      <ns0:c r="L335" s="4">
        <ns0:v>4.91</ns0:v>
      </ns0:c>
      <ns0:c r="M335" s="4">
        <ns0:v>7.95</ns0:v>
      </ns0:c>
      <ns0:c r="N335" s="4">
        <ns0:v>8.45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5.56</ns0:v>
      </ns0:c>
      <ns0:c r="D336" s="4">
        <ns0:v>7.51</ns0:v>
      </ns0:c>
      <ns0:c r="E336" s="4">
        <ns0:v>6.59</ns0:v>
      </ns0:c>
      <ns0:c r="F336" s="4">
        <ns0:v>7.71</ns0:v>
      </ns0:c>
      <ns0:c r="G336" s="4">
        <ns0:v>5.90</ns0:v>
      </ns0:c>
      <ns0:c r="H336" s="4">
        <ns0:v>5.29</ns0:v>
      </ns0:c>
      <ns0:c r="I336" s="4">
        <ns0:v>5.86</ns0:v>
      </ns0:c>
      <ns0:c r="J336" s="4">
        <ns0:v>6.43</ns0:v>
      </ns0:c>
      <ns0:c r="K336" s="4">
        <ns0:v>2.77</ns0:v>
      </ns0:c>
      <ns0:c r="L336" s="4">
        <ns0:v>4.44</ns0:v>
      </ns0:c>
      <ns0:c r="M336" s="4">
        <ns0:v>3.54</ns0:v>
      </ns0:c>
      <ns0:c r="N336" s="4">
        <ns0:v>3.07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8.85</ns0:v>
      </ns0:c>
      <ns0:c r="D337" s="4">
        <ns0:v>2.28</ns0:v>
      </ns0:c>
      <ns0:c r="E337" s="4">
        <ns0:v>4.84</ns0:v>
      </ns0:c>
      <ns0:c r="F337" s="4">
        <ns0:v>4.65</ns0:v>
      </ns0:c>
      <ns0:c r="G337" s="4">
        <ns0:v>7.21</ns0:v>
      </ns0:c>
      <ns0:c r="H337" s="4">
        <ns0:v>5.79</ns0:v>
      </ns0:c>
      <ns0:c r="I337" s="4">
        <ns0:v>5.03</ns0:v>
      </ns0:c>
      <ns0:c r="J337" s="4">
        <ns0:v>2.73</ns0:v>
      </ns0:c>
      <ns0:c r="K337" s="4">
        <ns0:v>2.95</ns0:v>
      </ns0:c>
      <ns0:c r="L337" s="4">
        <ns0:v>2.12</ns0:v>
      </ns0:c>
      <ns0:c r="M337" s="4">
        <ns0:v>5.93</ns0:v>
      </ns0:c>
      <ns0:c r="N337" s="4">
        <ns0:v>3.52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7.63</ns0:v>
      </ns0:c>
      <ns0:c r="D338" s="4">
        <ns0:v>6.24</ns0:v>
      </ns0:c>
      <ns0:c r="E338" s="4">
        <ns0:v>2.97</ns0:v>
      </ns0:c>
      <ns0:c r="F338" s="4">
        <ns0:v>7.83</ns0:v>
      </ns0:c>
      <ns0:c r="G338" s="4">
        <ns0:v>8.04</ns0:v>
      </ns0:c>
      <ns0:c r="H338" s="4">
        <ns0:v>5.36</ns0:v>
      </ns0:c>
      <ns0:c r="I338" s="4">
        <ns0:v>8.73</ns0:v>
      </ns0:c>
      <ns0:c r="J338" s="4">
        <ns0:v>5.74</ns0:v>
      </ns0:c>
      <ns0:c r="K338" s="4">
        <ns0:v>3.47</ns0:v>
      </ns0:c>
      <ns0:c r="L338" s="4">
        <ns0:v>10.12</ns0:v>
      </ns0:c>
      <ns0:c r="M338" s="4">
        <ns0:v>7.09</ns0:v>
      </ns0:c>
      <ns0:c r="N338" s="4">
        <ns0:v>8.90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2.06</ns0:v>
      </ns0:c>
      <ns0:c r="D339" s="4">
        <ns0:v>5.48</ns0:v>
      </ns0:c>
      <ns0:c r="E339" s="4">
        <ns0:v>5.56</ns0:v>
      </ns0:c>
      <ns0:c r="F339" s="4">
        <ns0:v>4.38</ns0:v>
      </ns0:c>
      <ns0:c r="G339" s="4">
        <ns0:v>5.54</ns0:v>
      </ns0:c>
      <ns0:c r="H339" s="4">
        <ns0:v>7.56</ns0:v>
      </ns0:c>
      <ns0:c r="I339" s="4">
        <ns0:v>3.58</ns0:v>
      </ns0:c>
      <ns0:c r="J339" s="4">
        <ns0:v>2.61</ns0:v>
      </ns0:c>
      <ns0:c r="K339" s="4">
        <ns0:v>6.17</ns0:v>
      </ns0:c>
      <ns0:c r="L339" s="4">
        <ns0:v>7.62</ns0:v>
      </ns0:c>
      <ns0:c r="M339" s="4">
        <ns0:v>6.23</ns0:v>
      </ns0:c>
      <ns0:c r="N339" s="4">
        <ns0:v>6.53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5.88</ns0:v>
      </ns0:c>
      <ns0:c r="D341" s="4">
        <ns0:v>2.17</ns0:v>
      </ns0:c>
      <ns0:c r="E341" s="4">
        <ns0:v>5.87</ns0:v>
      </ns0:c>
      <ns0:c r="F341" s="4">
        <ns0:v>6.18</ns0:v>
      </ns0:c>
      <ns0:c r="G341" s="4">
        <ns0:v>9.29</ns0:v>
      </ns0:c>
      <ns0:c r="H341" s="4">
        <ns0:v>3.26</ns0:v>
      </ns0:c>
      <ns0:c r="I341" s="4">
        <ns0:v>8.86</ns0:v>
      </ns0:c>
      <ns0:c r="J341" s="4">
        <ns0:v>9.12</ns0:v>
      </ns0:c>
      <ns0:c r="K341" s="4">
        <ns0:v>3.59</ns0:v>
      </ns0:c>
      <ns0:c r="L341" s="4">
        <ns0:v>4.58</ns0:v>
      </ns0:c>
      <ns0:c r="M341" s="4">
        <ns0:v>6.77</ns0:v>
      </ns0:c>
      <ns0:c r="N341" s="4">
        <ns0:v>8.79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3.17</ns0:v>
      </ns0:c>
      <ns0:c r="D342" s="4">
        <ns0:v>9.25</ns0:v>
      </ns0:c>
      <ns0:c r="E342" s="4">
        <ns0:v>5.32</ns0:v>
      </ns0:c>
      <ns0:c r="F342" s="4">
        <ns0:v>3.96</ns0:v>
      </ns0:c>
      <ns0:c r="G342" s="4">
        <ns0:v>6.76</ns0:v>
      </ns0:c>
      <ns0:c r="H342" s="4">
        <ns0:v>7.22</ns0:v>
      </ns0:c>
      <ns0:c r="I342" s="4">
        <ns0:v>3.01</ns0:v>
      </ns0:c>
      <ns0:c r="J342" s="4">
        <ns0:v>5.01</ns0:v>
      </ns0:c>
      <ns0:c r="K342" s="4">
        <ns0:v>6.34</ns0:v>
      </ns0:c>
      <ns0:c r="L342" s="4">
        <ns0:v>5.28</ns0:v>
      </ns0:c>
      <ns0:c r="M342" s="4">
        <ns0:v>8.72</ns0:v>
      </ns0:c>
      <ns0:c r="N342" s="4">
        <ns0:v>9.08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7.09</ns0:v>
      </ns0:c>
      <ns0:c r="D343" s="4">
        <ns0:v>5.83</ns0:v>
      </ns0:c>
      <ns0:c r="E343" s="4">
        <ns0:v>3.44</ns0:v>
      </ns0:c>
      <ns0:c r="F343" s="4">
        <ns0:v>2.70</ns0:v>
      </ns0:c>
      <ns0:c r="G343" s="4">
        <ns0:v>7.80</ns0:v>
      </ns0:c>
      <ns0:c r="H343" s="4">
        <ns0:v>5.44</ns0:v>
      </ns0:c>
      <ns0:c r="I343" s="4">
        <ns0:v>4.99</ns0:v>
      </ns0:c>
      <ns0:c r="J343" s="4">
        <ns0:v>2.31</ns0:v>
      </ns0:c>
      <ns0:c r="K343" s="4">
        <ns0:v>6.42</ns0:v>
      </ns0:c>
      <ns0:c r="L343" s="4">
        <ns0:v>5.36</ns0:v>
      </ns0:c>
      <ns0:c r="M343" s="4">
        <ns0:v>2.49</ns0:v>
      </ns0:c>
      <ns0:c r="N343" s="4">
        <ns0:v>6.60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6.37</ns0:v>
      </ns0:c>
      <ns0:c r="D344" s="4">
        <ns0:v>5.18</ns0:v>
      </ns0:c>
      <ns0:c r="E344" s="4">
        <ns0:v>2.70</ns0:v>
      </ns0:c>
      <ns0:c r="F344" s="4">
        <ns0:v>3.05</ns0:v>
      </ns0:c>
      <ns0:c r="G344" s="4">
        <ns0:v>5.73</ns0:v>
      </ns0:c>
      <ns0:c r="H344" s="4">
        <ns0:v>3.54</ns0:v>
      </ns0:c>
      <ns0:c r="I344" s="4">
        <ns0:v>4.15</ns0:v>
      </ns0:c>
      <ns0:c r="J344" s="4">
        <ns0:v>6.58</ns0:v>
      </ns0:c>
      <ns0:c r="K344" s="4">
        <ns0:v>6.04</ns0:v>
      </ns0:c>
      <ns0:c r="L344" s="4">
        <ns0:v>3.02</ns0:v>
      </ns0:c>
      <ns0:c r="M344" s="4">
        <ns0:v>8.29</ns0:v>
      </ns0:c>
      <ns0:c r="N344" s="4">
        <ns0:v>3.22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2.75</ns0:v>
      </ns0:c>
      <ns0:c r="D345" s="4">
        <ns0:v>4.55</ns0:v>
      </ns0:c>
      <ns0:c r="E345" s="4">
        <ns0:v>4.30</ns0:v>
      </ns0:c>
      <ns0:c r="F345" s="4">
        <ns0:v>7.32</ns0:v>
      </ns0:c>
      <ns0:c r="G345" s="4">
        <ns0:v>4.64</ns0:v>
      </ns0:c>
      <ns0:c r="H345" s="4">
        <ns0:v>8.25</ns0:v>
      </ns0:c>
      <ns0:c r="I345" s="4">
        <ns0:v>7.47</ns0:v>
      </ns0:c>
      <ns0:c r="J345" s="4">
        <ns0:v>8.20</ns0:v>
      </ns0:c>
      <ns0:c r="K345" s="4">
        <ns0:v>5.26</ns0:v>
      </ns0:c>
      <ns0:c r="L345" s="4">
        <ns0:v>4.77</ns0:v>
      </ns0:c>
      <ns0:c r="M345" s="4">
        <ns0:v>4.75</ns0:v>
      </ns0:c>
      <ns0:c r="N345" s="4">
        <ns0:v>3.82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2.43</ns0:v>
      </ns0:c>
      <ns0:c r="D346" s="4">
        <ns0:v>6.33</ns0:v>
      </ns0:c>
      <ns0:c r="E346" s="4">
        <ns0:v>6.67</ns0:v>
      </ns0:c>
      <ns0:c r="F346" s="4">
        <ns0:v>4.08</ns0:v>
      </ns0:c>
      <ns0:c r="G346" s="4">
        <ns0:v>2.15</ns0:v>
      </ns0:c>
      <ns0:c r="H346" s="4">
        <ns0:v>5.44</ns0:v>
      </ns0:c>
      <ns0:c r="I346" s="4">
        <ns0:v>3.52</ns0:v>
      </ns0:c>
      <ns0:c r="J346" s="4">
        <ns0:v>6.10</ns0:v>
      </ns0:c>
      <ns0:c r="K346" s="4">
        <ns0:v>7.18</ns0:v>
      </ns0:c>
      <ns0:c r="L346" s="4">
        <ns0:v>2.24</ns0:v>
      </ns0:c>
      <ns0:c r="M346" s="4">
        <ns0:v>4.48</ns0:v>
      </ns0:c>
      <ns0:c r="N346" s="4">
        <ns0:v>5.79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5.91</ns0:v>
      </ns0:c>
      <ns0:c r="D347" s="4">
        <ns0:v>5.14</ns0:v>
      </ns0:c>
      <ns0:c r="E347" s="4">
        <ns0:v>7.05</ns0:v>
      </ns0:c>
      <ns0:c r="F347" s="4">
        <ns0:v>4.81</ns0:v>
      </ns0:c>
      <ns0:c r="G347" s="4">
        <ns0:v>8.63</ns0:v>
      </ns0:c>
      <ns0:c r="H347" s="4">
        <ns0:v>6.53</ns0:v>
      </ns0:c>
      <ns0:c r="I347" s="4">
        <ns0:v>9.13</ns0:v>
      </ns0:c>
      <ns0:c r="J347" s="4">
        <ns0:v>3.94</ns0:v>
      </ns0:c>
      <ns0:c r="K347" s="4">
        <ns0:v>5.99</ns0:v>
      </ns0:c>
      <ns0:c r="L347" s="4">
        <ns0:v>7.03</ns0:v>
      </ns0:c>
      <ns0:c r="M347" s="4">
        <ns0:v>3.70</ns0:v>
      </ns0:c>
      <ns0:c r="N347" s="4">
        <ns0:v>6.40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3.18</ns0:v>
      </ns0:c>
      <ns0:c r="D348" s="4">
        <ns0:v>3.32</ns0:v>
      </ns0:c>
      <ns0:c r="E348" s="4">
        <ns0:v>6.51</ns0:v>
      </ns0:c>
      <ns0:c r="F348" s="4">
        <ns0:v>5.01</ns0:v>
      </ns0:c>
      <ns0:c r="G348" s="4">
        <ns0:v>4.47</ns0:v>
      </ns0:c>
      <ns0:c r="H348" s="4">
        <ns0:v>3.91</ns0:v>
      </ns0:c>
      <ns0:c r="I348" s="4">
        <ns0:v>8.24</ns0:v>
      </ns0:c>
      <ns0:c r="J348" s="4">
        <ns0:v>2.94</ns0:v>
      </ns0:c>
      <ns0:c r="K348" s="4">
        <ns0:v>2.26</ns0:v>
      </ns0:c>
      <ns0:c r="L348" s="4">
        <ns0:v>6.69</ns0:v>
      </ns0:c>
      <ns0:c r="M348" s="4">
        <ns0:v>2.64</ns0:v>
      </ns0:c>
      <ns0:c r="N348" s="4">
        <ns0:v>9.42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3.02</ns0:v>
      </ns0:c>
      <ns0:c r="D350" s="4">
        <ns0:v>6.31</ns0:v>
      </ns0:c>
      <ns0:c r="E350" s="4">
        <ns0:v>7.74</ns0:v>
      </ns0:c>
      <ns0:c r="F350" s="4">
        <ns0:v>6.87</ns0:v>
      </ns0:c>
      <ns0:c r="G350" s="4">
        <ns0:v>4.01</ns0:v>
      </ns0:c>
      <ns0:c r="H350" s="4">
        <ns0:v>6.44</ns0:v>
      </ns0:c>
      <ns0:c r="I350" s="4">
        <ns0:v>3.12</ns0:v>
      </ns0:c>
      <ns0:c r="J350" s="4">
        <ns0:v>6.57</ns0:v>
      </ns0:c>
      <ns0:c r="K350" s="4">
        <ns0:v>6.35</ns0:v>
      </ns0:c>
      <ns0:c r="L350" s="4">
        <ns0:v>9.47</ns0:v>
      </ns0:c>
      <ns0:c r="M350" s="4">
        <ns0:v>7.52</ns0:v>
      </ns0:c>
      <ns0:c r="N350" s="4">
        <ns0:v>2.83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7.94</ns0:v>
      </ns0:c>
      <ns0:c r="D351" s="4">
        <ns0:v>3.39</ns0:v>
      </ns0:c>
      <ns0:c r="E351" s="4">
        <ns0:v>6.38</ns0:v>
      </ns0:c>
      <ns0:c r="F351" s="4">
        <ns0:v>7.18</ns0:v>
      </ns0:c>
      <ns0:c r="G351" s="4">
        <ns0:v>4.50</ns0:v>
      </ns0:c>
      <ns0:c r="H351" s="4">
        <ns0:v>3.58</ns0:v>
      </ns0:c>
      <ns0:c r="I351" s="4">
        <ns0:v>5.27</ns0:v>
      </ns0:c>
      <ns0:c r="J351" s="4">
        <ns0:v>5.83</ns0:v>
      </ns0:c>
      <ns0:c r="K351" s="4">
        <ns0:v>4.50</ns0:v>
      </ns0:c>
      <ns0:c r="L351" s="4">
        <ns0:v>7.42</ns0:v>
      </ns0:c>
      <ns0:c r="M351" s="4">
        <ns0:v>3.70</ns0:v>
      </ns0:c>
      <ns0:c r="N351" s="4">
        <ns0:v>4.04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4.50</ns0:v>
      </ns0:c>
      <ns0:c r="D352" s="4">
        <ns0:v>8.47</ns0:v>
      </ns0:c>
      <ns0:c r="E352" s="4">
        <ns0:v>5.11</ns0:v>
      </ns0:c>
      <ns0:c r="F352" s="4">
        <ns0:v>3.89</ns0:v>
      </ns0:c>
      <ns0:c r="G352" s="4">
        <ns0:v>5.58</ns0:v>
      </ns0:c>
      <ns0:c r="H352" s="4">
        <ns0:v>9.23</ns0:v>
      </ns0:c>
      <ns0:c r="I352" s="4">
        <ns0:v>3.72</ns0:v>
      </ns0:c>
      <ns0:c r="J352" s="4">
        <ns0:v>3.50</ns0:v>
      </ns0:c>
      <ns0:c r="K352" s="4">
        <ns0:v>8.10</ns0:v>
      </ns0:c>
      <ns0:c r="L352" s="4">
        <ns0:v>7.66</ns0:v>
      </ns0:c>
      <ns0:c r="M352" s="4">
        <ns0:v>7.39</ns0:v>
      </ns0:c>
      <ns0:c r="N352" s="4">
        <ns0:v>3.95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6.17</ns0:v>
      </ns0:c>
      <ns0:c r="D353" s="4">
        <ns0:v>4.27</ns0:v>
      </ns0:c>
      <ns0:c r="E353" s="4">
        <ns0:v>4.12</ns0:v>
      </ns0:c>
      <ns0:c r="F353" s="4">
        <ns0:v>5.11</ns0:v>
      </ns0:c>
      <ns0:c r="G353" s="4">
        <ns0:v>5.67</ns0:v>
      </ns0:c>
      <ns0:c r="H353" s="4">
        <ns0:v>5.19</ns0:v>
      </ns0:c>
      <ns0:c r="I353" s="4">
        <ns0:v>5.18</ns0:v>
      </ns0:c>
      <ns0:c r="J353" s="4">
        <ns0:v>3.51</ns0:v>
      </ns0:c>
      <ns0:c r="K353" s="4">
        <ns0:v>3.58</ns0:v>
      </ns0:c>
      <ns0:c r="L353" s="4">
        <ns0:v>6.44</ns0:v>
      </ns0:c>
      <ns0:c r="M353" s="4">
        <ns0:v>7.01</ns0:v>
      </ns0:c>
      <ns0:c r="N353" s="4">
        <ns0:v>3.31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108.75</ns0:v>
      </ns0:c>
      <ns0:c r="D4" s="3">
        <ns0:f>ROUND(D204*D324,2)</ns0:f>
        <ns0:v>145.88</ns0:v>
      </ns0:c>
      <ns0:c r="E4" s="3">
        <ns0:f>ROUND(E204*E324,2)</ns0:f>
        <ns0:v>209.76</ns0:v>
      </ns0:c>
      <ns0:c r="F4" s="3">
        <ns0:f>ROUND(F204*F324,2)</ns0:f>
        <ns0:v>174.64</ns0:v>
      </ns0:c>
      <ns0:c r="G4" s="3">
        <ns0:f>ROUND(G204*G324,2)</ns0:f>
        <ns0:v>488.18</ns0:v>
      </ns0:c>
      <ns0:c r="H4" s="3">
        <ns0:f>ROUND(H204*H324,2)</ns0:f>
        <ns0:v>127.76</ns0:v>
      </ns0:c>
      <ns0:c r="I4" s="3">
        <ns0:f>ROUND(I204*I324,2)</ns0:f>
        <ns0:v>162.87</ns0:v>
      </ns0:c>
      <ns0:c r="J4" s="3">
        <ns0:f>ROUND(J204*J324,2)</ns0:f>
        <ns0:v>122.99</ns0:v>
      </ns0:c>
      <ns0:c r="K4" s="3">
        <ns0:f>ROUND(K204*K324,2)</ns0:f>
        <ns0:v>444.30</ns0:v>
      </ns0:c>
      <ns0:c r="L4" s="3">
        <ns0:f>ROUND(L204*L324,2)</ns0:f>
        <ns0:v>176.25</ns0:v>
      </ns0:c>
      <ns0:c r="M4" s="3">
        <ns0:f>ROUND(M204*M324,2)</ns0:f>
        <ns0:v>247.86</ns0:v>
      </ns0:c>
      <ns0:c r="N4" s="3">
        <ns0:f>ROUND(N204*N324,2)</ns0:f>
        <ns0:v>300.70</ns0:v>
      </ns0:c>
      <ns0:c r="O4" s="3">
        <ns0:f>SUM(C4:N4)</ns0:f>
        <ns0:v>2709.94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146.18</ns0:v>
      </ns0:c>
      <ns0:c r="D5" s="3">
        <ns0:f>ROUND(D205*D325,2)</ns0:f>
        <ns0:v>303.39</ns0:v>
      </ns0:c>
      <ns0:c r="E5" s="3">
        <ns0:f>ROUND(E205*E325,2)</ns0:f>
        <ns0:v>107.45</ns0:v>
      </ns0:c>
      <ns0:c r="F5" s="3">
        <ns0:f>ROUND(F205*F325,2)</ns0:f>
        <ns0:v>404.50</ns0:v>
      </ns0:c>
      <ns0:c r="G5" s="3">
        <ns0:f>ROUND(G205*G325,2)</ns0:f>
        <ns0:v>310.58</ns0:v>
      </ns0:c>
      <ns0:c r="H5" s="3">
        <ns0:f>ROUND(H205*H325,2)</ns0:f>
        <ns0:v>107.80</ns0:v>
      </ns0:c>
      <ns0:c r="I5" s="3">
        <ns0:f>ROUND(I205*I325,2)</ns0:f>
        <ns0:v>169.32</ns0:v>
      </ns0:c>
      <ns0:c r="J5" s="3">
        <ns0:f>ROUND(J205*J325,2)</ns0:f>
        <ns0:v>111.34</ns0:v>
      </ns0:c>
      <ns0:c r="K5" s="3">
        <ns0:f>ROUND(K205*K325,2)</ns0:f>
        <ns0:v>119.04</ns0:v>
      </ns0:c>
      <ns0:c r="L5" s="3">
        <ns0:f>ROUND(L205*L325,2)</ns0:f>
        <ns0:v>382.46</ns0:v>
      </ns0:c>
      <ns0:c r="M5" s="3">
        <ns0:f>ROUND(M205*M325,2)</ns0:f>
        <ns0:v>92.23</ns0:v>
      </ns0:c>
      <ns0:c r="N5" s="3">
        <ns0:f>ROUND(N205*N325,2)</ns0:f>
        <ns0:v>97.58</ns0:v>
      </ns0:c>
      <ns0:c r="O5" s="3">
        <ns0:f>SUM(C5:N5)</ns0:f>
        <ns0:v>2351.87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108.06</ns0:v>
      </ns0:c>
      <ns0:c r="D6" s="3">
        <ns0:f>ROUND(D206*D326,2)</ns0:f>
        <ns0:v>413.40</ns0:v>
      </ns0:c>
      <ns0:c r="E6" s="3">
        <ns0:f>ROUND(E206*E326,2)</ns0:f>
        <ns0:v>134.85</ns0:v>
      </ns0:c>
      <ns0:c r="F6" s="3">
        <ns0:f>ROUND(F206*F326,2)</ns0:f>
        <ns0:v>229.37</ns0:v>
      </ns0:c>
      <ns0:c r="G6" s="3">
        <ns0:f>ROUND(G206*G326,2)</ns0:f>
        <ns0:v>326.23</ns0:v>
      </ns0:c>
      <ns0:c r="H6" s="3">
        <ns0:f>ROUND(H206*H326,2)</ns0:f>
        <ns0:v>355.58</ns0:v>
      </ns0:c>
      <ns0:c r="I6" s="3">
        <ns0:f>ROUND(I206*I326,2)</ns0:f>
        <ns0:v>413.52</ns0:v>
      </ns0:c>
      <ns0:c r="J6" s="3">
        <ns0:f>ROUND(J206*J326,2)</ns0:f>
        <ns0:v>413.97</ns0:v>
      </ns0:c>
      <ns0:c r="K6" s="3">
        <ns0:f>ROUND(K206*K326,2)</ns0:f>
        <ns0:v>151.58</ns0:v>
      </ns0:c>
      <ns0:c r="L6" s="3">
        <ns0:f>ROUND(L206*L326,2)</ns0:f>
        <ns0:v>176.92</ns0:v>
      </ns0:c>
      <ns0:c r="M6" s="3">
        <ns0:f>ROUND(M206*M326,2)</ns0:f>
        <ns0:v>76.43</ns0:v>
      </ns0:c>
      <ns0:c r="N6" s="3">
        <ns0:f>ROUND(N206*N326,2)</ns0:f>
        <ns0:v>492.35</ns0:v>
      </ns0:c>
      <ns0:c r="O6" s="3">
        <ns0:f>SUM(C6:N6)</ns0:f>
        <ns0:v>3292.26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121.37</ns0:v>
      </ns0:c>
      <ns0:c r="D7" s="3">
        <ns0:f>ROUND(D207*D327,2)</ns0:f>
        <ns0:v>145.98</ns0:v>
      </ns0:c>
      <ns0:c r="E7" s="3">
        <ns0:f>ROUND(E207*E327,2)</ns0:f>
        <ns0:v>342.67</ns0:v>
      </ns0:c>
      <ns0:c r="F7" s="3">
        <ns0:f>ROUND(F207*F327,2)</ns0:f>
        <ns0:v>127.50</ns0:v>
      </ns0:c>
      <ns0:c r="G7" s="3">
        <ns0:f>ROUND(G207*G327,2)</ns0:f>
        <ns0:v>287.87</ns0:v>
      </ns0:c>
      <ns0:c r="H7" s="3">
        <ns0:f>ROUND(H207*H327,2)</ns0:f>
        <ns0:v>373.91</ns0:v>
      </ns0:c>
      <ns0:c r="I7" s="3">
        <ns0:f>ROUND(I207*I327,2)</ns0:f>
        <ns0:v>98.01</ns0:v>
      </ns0:c>
      <ns0:c r="J7" s="3">
        <ns0:f>ROUND(J207*J327,2)</ns0:f>
        <ns0:v>110.92</ns0:v>
      </ns0:c>
      <ns0:c r="K7" s="3">
        <ns0:f>ROUND(K207*K327,2)</ns0:f>
        <ns0:v>285.75</ns0:v>
      </ns0:c>
      <ns0:c r="L7" s="3">
        <ns0:f>ROUND(L207*L327,2)</ns0:f>
        <ns0:v>80.08</ns0:v>
      </ns0:c>
      <ns0:c r="M7" s="3">
        <ns0:f>ROUND(M207*M327,2)</ns0:f>
        <ns0:v>154.47</ns0:v>
      </ns0:c>
      <ns0:c r="N7" s="3">
        <ns0:f>ROUND(N207*N327,2)</ns0:f>
        <ns0:v>334.62</ns0:v>
      </ns0:c>
      <ns0:c r="O7" s="3">
        <ns0:f>SUM(C7:N7)</ns0:f>
        <ns0:v>2463.15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60.64</ns0:v>
      </ns0:c>
      <ns0:c r="D8" s="3">
        <ns0:f>ROUND(D208*D328,2)</ns0:f>
        <ns0:v>184.60</ns0:v>
      </ns0:c>
      <ns0:c r="E8" s="3">
        <ns0:f>ROUND(E208*E328,2)</ns0:f>
        <ns0:v>200.13</ns0:v>
      </ns0:c>
      <ns0:c r="F8" s="3">
        <ns0:f>ROUND(F208*F328,2)</ns0:f>
        <ns0:v>428.80</ns0:v>
      </ns0:c>
      <ns0:c r="G8" s="3">
        <ns0:f>ROUND(G208*G328,2)</ns0:f>
        <ns0:v>234.00</ns0:v>
      </ns0:c>
      <ns0:c r="H8" s="3">
        <ns0:f>ROUND(H208*H328,2)</ns0:f>
        <ns0:v>93.41</ns0:v>
      </ns0:c>
      <ns0:c r="I8" s="3">
        <ns0:f>ROUND(I208*I328,2)</ns0:f>
        <ns0:v>311.47</ns0:v>
      </ns0:c>
      <ns0:c r="J8" s="3">
        <ns0:f>ROUND(J208*J328,2)</ns0:f>
        <ns0:v>154.96</ns0:v>
      </ns0:c>
      <ns0:c r="K8" s="3">
        <ns0:f>ROUND(K208*K328,2)</ns0:f>
        <ns0:v>124.70</ns0:v>
      </ns0:c>
      <ns0:c r="L8" s="3">
        <ns0:f>ROUND(L208*L328,2)</ns0:f>
        <ns0:v>122.41</ns0:v>
      </ns0:c>
      <ns0:c r="M8" s="3">
        <ns0:f>ROUND(M208*M328,2)</ns0:f>
        <ns0:v>633.91</ns0:v>
      </ns0:c>
      <ns0:c r="N8" s="3">
        <ns0:f>ROUND(N208*N328,2)</ns0:f>
        <ns0:v>230.34</ns0:v>
      </ns0:c>
      <ns0:c r="O8" s="3">
        <ns0:f>SUM(C8:N8)</ns0:f>
        <ns0:v>2779.37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318.09</ns0:v>
      </ns0:c>
      <ns0:c r="D9" s="3">
        <ns0:f>ROUND(D209*D329,2)</ns0:f>
        <ns0:v>201.56</ns0:v>
      </ns0:c>
      <ns0:c r="E9" s="3">
        <ns0:f>ROUND(E209*E329,2)</ns0:f>
        <ns0:v>326.94</ns0:v>
      </ns0:c>
      <ns0:c r="F9" s="3">
        <ns0:f>ROUND(F209*F329,2)</ns0:f>
        <ns0:v>328.95</ns0:v>
      </ns0:c>
      <ns0:c r="G9" s="3">
        <ns0:f>ROUND(G209*G329,2)</ns0:f>
        <ns0:v>244.45</ns0:v>
      </ns0:c>
      <ns0:c r="H9" s="3">
        <ns0:f>ROUND(H209*H329,2)</ns0:f>
        <ns0:v>283.72</ns0:v>
      </ns0:c>
      <ns0:c r="I9" s="3">
        <ns0:f>ROUND(I209*I329,2)</ns0:f>
        <ns0:v>139.28</ns0:v>
      </ns0:c>
      <ns0:c r="J9" s="3">
        <ns0:f>ROUND(J209*J329,2)</ns0:f>
        <ns0:v>227.10</ns0:v>
      </ns0:c>
      <ns0:c r="K9" s="3">
        <ns0:f>ROUND(K209*K329,2)</ns0:f>
        <ns0:v>271.41</ns0:v>
      </ns0:c>
      <ns0:c r="L9" s="3">
        <ns0:f>ROUND(L209*L329,2)</ns0:f>
        <ns0:v>89.85</ns0:v>
      </ns0:c>
      <ns0:c r="M9" s="3">
        <ns0:f>ROUND(M209*M329,2)</ns0:f>
        <ns0:v>275.49</ns0:v>
      </ns0:c>
      <ns0:c r="N9" s="3">
        <ns0:f>ROUND(N209*N329,2)</ns0:f>
        <ns0:v>505.90</ns0:v>
      </ns0:c>
      <ns0:c r="O9" s="3">
        <ns0:f>SUM(C9:N9)</ns0:f>
        <ns0:v>3212.74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456.95</ns0:v>
      </ns0:c>
      <ns0:c r="D10" s="3">
        <ns0:f>ROUND(D210*D330,2)</ns0:f>
        <ns0:v>166.31</ns0:v>
      </ns0:c>
      <ns0:c r="E10" s="3">
        <ns0:f>ROUND(E210*E330,2)</ns0:f>
        <ns0:v>262.39</ns0:v>
      </ns0:c>
      <ns0:c r="F10" s="3">
        <ns0:f>ROUND(F210*F330,2)</ns0:f>
        <ns0:v>179.94</ns0:v>
      </ns0:c>
      <ns0:c r="G10" s="3">
        <ns0:f>ROUND(G210*G330,2)</ns0:f>
        <ns0:v>100.99</ns0:v>
      </ns0:c>
      <ns0:c r="H10" s="3">
        <ns0:f>ROUND(H210*H330,2)</ns0:f>
        <ns0:v>101.88</ns0:v>
      </ns0:c>
      <ns0:c r="I10" s="3">
        <ns0:f>ROUND(I210*I330,2)</ns0:f>
        <ns0:v>285.08</ns0:v>
      </ns0:c>
      <ns0:c r="J10" s="3">
        <ns0:f>ROUND(J210*J330,2)</ns0:f>
        <ns0:v>481.27</ns0:v>
      </ns0:c>
      <ns0:c r="K10" s="3">
        <ns0:f>ROUND(K210*K330,2)</ns0:f>
        <ns0:v>58.69</ns0:v>
      </ns0:c>
      <ns0:c r="L10" s="3">
        <ns0:f>ROUND(L210*L330,2)</ns0:f>
        <ns0:v>77.26</ns0:v>
      </ns0:c>
      <ns0:c r="M10" s="3">
        <ns0:f>ROUND(M210*M330,2)</ns0:f>
        <ns0:v>292.07</ns0:v>
      </ns0:c>
      <ns0:c r="N10" s="3">
        <ns0:f>ROUND(N210*N330,2)</ns0:f>
        <ns0:v>463.02</ns0:v>
      </ns0:c>
      <ns0:c r="O10" s="3">
        <ns0:f>SUM(C10:N10)</ns0:f>
        <ns0:v>2925.85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468.24</ns0:v>
      </ns0:c>
      <ns0:c r="D11" s="3">
        <ns0:f>ROUND(D211*D331,2)</ns0:f>
        <ns0:v>111.04</ns0:v>
      </ns0:c>
      <ns0:c r="E11" s="3">
        <ns0:f>ROUND(E211*E331,2)</ns0:f>
        <ns0:v>482.43</ns0:v>
      </ns0:c>
      <ns0:c r="F11" s="3">
        <ns0:f>ROUND(F211*F331,2)</ns0:f>
        <ns0:v>124.53</ns0:v>
      </ns0:c>
      <ns0:c r="G11" s="3">
        <ns0:f>ROUND(G211*G331,2)</ns0:f>
        <ns0:v>80.07</ns0:v>
      </ns0:c>
      <ns0:c r="H11" s="3">
        <ns0:f>ROUND(H211*H331,2)</ns0:f>
        <ns0:v>221.01</ns0:v>
      </ns0:c>
      <ns0:c r="I11" s="3">
        <ns0:f>ROUND(I211*I331,2)</ns0:f>
        <ns0:v>57.47</ns0:v>
      </ns0:c>
      <ns0:c r="J11" s="3">
        <ns0:f>ROUND(J211*J331,2)</ns0:f>
        <ns0:v>148.82</ns0:v>
      </ns0:c>
      <ns0:c r="K11" s="3">
        <ns0:f>ROUND(K211*K331,2)</ns0:f>
        <ns0:v>153.58</ns0:v>
      </ns0:c>
      <ns0:c r="L11" s="3">
        <ns0:f>ROUND(L211*L331,2)</ns0:f>
        <ns0:v>82.87</ns0:v>
      </ns0:c>
      <ns0:c r="M11" s="3">
        <ns0:f>ROUND(M211*M331,2)</ns0:f>
        <ns0:v>508.92</ns0:v>
      </ns0:c>
      <ns0:c r="N11" s="3">
        <ns0:f>ROUND(N211*N331,2)</ns0:f>
        <ns0:v>144.57</ns0:v>
      </ns0:c>
      <ns0:c r="O11" s="3">
        <ns0:f>SUM(C11:N11)</ns0:f>
        <ns0:v>2583.55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115.25</ns0:v>
      </ns0:c>
      <ns0:c r="D12" s="3">
        <ns0:f>ROUND(D212*D332,2)</ns0:f>
        <ns0:v>48.82</ns0:v>
      </ns0:c>
      <ns0:c r="E12" s="3">
        <ns0:f>ROUND(E212*E332,2)</ns0:f>
        <ns0:v>195.30</ns0:v>
      </ns0:c>
      <ns0:c r="F12" s="3">
        <ns0:f>ROUND(F212*F332,2)</ns0:f>
        <ns0:v>203.32</ns0:v>
      </ns0:c>
      <ns0:c r="G12" s="3">
        <ns0:f>ROUND(G212*G332,2)</ns0:f>
        <ns0:v>184.99</ns0:v>
      </ns0:c>
      <ns0:c r="H12" s="3">
        <ns0:f>ROUND(H212*H332,2)</ns0:f>
        <ns0:v>237.72</ns0:v>
      </ns0:c>
      <ns0:c r="I12" s="3">
        <ns0:f>ROUND(I212*I332,2)</ns0:f>
        <ns0:v>51.55</ns0:v>
      </ns0:c>
      <ns0:c r="J12" s="3">
        <ns0:f>ROUND(J212*J332,2)</ns0:f>
        <ns0:v>198.00</ns0:v>
      </ns0:c>
      <ns0:c r="K12" s="3">
        <ns0:f>ROUND(K212*K332,2)</ns0:f>
        <ns0:v>116.44</ns0:v>
      </ns0:c>
      <ns0:c r="L12" s="3">
        <ns0:f>ROUND(L212*L332,2)</ns0:f>
        <ns0:v>250.74</ns0:v>
      </ns0:c>
      <ns0:c r="M12" s="3">
        <ns0:f>ROUND(M212*M332,2)</ns0:f>
        <ns0:v>126.27</ns0:v>
      </ns0:c>
      <ns0:c r="N12" s="3">
        <ns0:f>ROUND(N212*N332,2)</ns0:f>
        <ns0:v>127.89</ns0:v>
      </ns0:c>
      <ns0:c r="O12" s="3">
        <ns0:f>SUM(C12:N12)</ns0:f>
        <ns0:v>1856.29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388.03</ns0:v>
      </ns0:c>
      <ns0:c r="D13" s="3">
        <ns0:f>ROUND(D213*D333,2)</ns0:f>
        <ns0:v>400.53</ns0:v>
      </ns0:c>
      <ns0:c r="E13" s="3">
        <ns0:f>ROUND(E213*E333,2)</ns0:f>
        <ns0:v>185.43</ns0:v>
      </ns0:c>
      <ns0:c r="F13" s="3">
        <ns0:f>ROUND(F213*F333,2)</ns0:f>
        <ns0:v>123.00</ns0:v>
      </ns0:c>
      <ns0:c r="G13" s="3">
        <ns0:f>ROUND(G213*G333,2)</ns0:f>
        <ns0:v>133.17</ns0:v>
      </ns0:c>
      <ns0:c r="H13" s="3">
        <ns0:f>ROUND(H213*H333,2)</ns0:f>
        <ns0:v>133.68</ns0:v>
      </ns0:c>
      <ns0:c r="I13" s="3">
        <ns0:f>ROUND(I213*I333,2)</ns0:f>
        <ns0:v>254.75</ns0:v>
      </ns0:c>
      <ns0:c r="J13" s="3">
        <ns0:f>ROUND(J213*J333,2)</ns0:f>
        <ns0:v>81.92</ns0:v>
      </ns0:c>
      <ns0:c r="K13" s="3">
        <ns0:f>ROUND(K213*K333,2)</ns0:f>
        <ns0:v>128.26</ns0:v>
      </ns0:c>
      <ns0:c r="L13" s="3">
        <ns0:f>ROUND(L213*L333,2)</ns0:f>
        <ns0:v>510.18</ns0:v>
      </ns0:c>
      <ns0:c r="M13" s="3">
        <ns0:f>ROUND(M213*M333,2)</ns0:f>
        <ns0:v>157.04</ns0:v>
      </ns0:c>
      <ns0:c r="N13" s="3">
        <ns0:f>ROUND(N213*N333,2)</ns0:f>
        <ns0:v>136.99</ns0:v>
      </ns0:c>
      <ns0:c r="O13" s="3">
        <ns0:f>SUM(C13:N13)</ns0:f>
        <ns0:v>2632.98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118.82</ns0:v>
      </ns0:c>
      <ns0:c r="D14" s="3">
        <ns0:f>ROUND(D214*D334,2)</ns0:f>
        <ns0:v>222.74</ns0:v>
      </ns0:c>
      <ns0:c r="E14" s="3">
        <ns0:f>ROUND(E214*E334,2)</ns0:f>
        <ns0:v>110.57</ns0:v>
      </ns0:c>
      <ns0:c r="F14" s="3">
        <ns0:f>ROUND(F214*F334,2)</ns0:f>
        <ns0:v>235.71</ns0:v>
      </ns0:c>
      <ns0:c r="G14" s="3">
        <ns0:f>ROUND(G214*G334,2)</ns0:f>
        <ns0:v>195.89</ns0:v>
      </ns0:c>
      <ns0:c r="H14" s="3">
        <ns0:f>ROUND(H214*H334,2)</ns0:f>
        <ns0:v>455.65</ns0:v>
      </ns0:c>
      <ns0:c r="I14" s="3">
        <ns0:f>ROUND(I214*I334,2)</ns0:f>
        <ns0:v>94.68</ns0:v>
      </ns0:c>
      <ns0:c r="J14" s="3">
        <ns0:f>ROUND(J214*J334,2)</ns0:f>
        <ns0:v>136.19</ns0:v>
      </ns0:c>
      <ns0:c r="K14" s="3">
        <ns0:f>ROUND(K214*K334,2)</ns0:f>
        <ns0:v>187.58</ns0:v>
      </ns0:c>
      <ns0:c r="L14" s="3">
        <ns0:f>ROUND(L214*L334,2)</ns0:f>
        <ns0:v>414.54</ns0:v>
      </ns0:c>
      <ns0:c r="M14" s="3">
        <ns0:f>ROUND(M214*M334,2)</ns0:f>
        <ns0:v>245.54</ns0:v>
      </ns0:c>
      <ns0:c r="N14" s="3">
        <ns0:f>ROUND(N214*N334,2)</ns0:f>
        <ns0:v>135.60</ns0:v>
      </ns0:c>
      <ns0:c r="O14" s="3">
        <ns0:f>SUM(C14:N14)</ns0:f>
        <ns0:v>2553.51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416.60</ns0:v>
      </ns0:c>
      <ns0:c r="D15" s="3">
        <ns0:f>ROUND(D215*D335,2)</ns0:f>
        <ns0:v>393.17</ns0:v>
      </ns0:c>
      <ns0:c r="E15" s="3">
        <ns0:f>ROUND(E215*E335,2)</ns0:f>
        <ns0:v>275.83</ns0:v>
      </ns0:c>
      <ns0:c r="F15" s="3">
        <ns0:f>ROUND(F215*F335,2)</ns0:f>
        <ns0:v>269.49</ns0:v>
      </ns0:c>
      <ns0:c r="G15" s="3">
        <ns0:f>ROUND(G215*G335,2)</ns0:f>
        <ns0:v>306.94</ns0:v>
      </ns0:c>
      <ns0:c r="H15" s="3">
        <ns0:f>ROUND(H215*H335,2)</ns0:f>
        <ns0:v>510.46</ns0:v>
      </ns0:c>
      <ns0:c r="I15" s="3">
        <ns0:f>ROUND(I215*I335,2)</ns0:f>
        <ns0:v>300.56</ns0:v>
      </ns0:c>
      <ns0:c r="J15" s="3">
        <ns0:f>ROUND(J215*J335,2)</ns0:f>
        <ns0:v>126.59</ns0:v>
      </ns0:c>
      <ns0:c r="K15" s="3">
        <ns0:f>ROUND(K215*K335,2)</ns0:f>
        <ns0:v>230.85</ns0:v>
      </ns0:c>
      <ns0:c r="L15" s="3">
        <ns0:f>ROUND(L215*L335,2)</ns0:f>
        <ns0:v>123.62</ns0:v>
      </ns0:c>
      <ns0:c r="M15" s="3">
        <ns0:f>ROUND(M215*M335,2)</ns0:f>
        <ns0:v>435.60</ns0:v>
      </ns0:c>
      <ns0:c r="N15" s="3">
        <ns0:f>ROUND(N215*N335,2)</ns0:f>
        <ns0:v>125.46</ns0:v>
      </ns0:c>
      <ns0:c r="O15" s="3">
        <ns0:f>SUM(C15:N15)</ns0:f>
        <ns0:v>3515.17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105.07</ns0:v>
      </ns0:c>
      <ns0:c r="D16" s="3">
        <ns0:f>ROUND(D216*D336,2)</ns0:f>
        <ns0:v>518.81</ns0:v>
      </ns0:c>
      <ns0:c r="E16" s="3">
        <ns0:f>ROUND(E216*E336,2)</ns0:f>
        <ns0:v>114.62</ns0:v>
      </ns0:c>
      <ns0:c r="F16" s="3">
        <ns0:f>ROUND(F216*F336,2)</ns0:f>
        <ns0:v>582.06</ns0:v>
      </ns0:c>
      <ns0:c r="G16" s="3">
        <ns0:f>ROUND(G216*G336,2)</ns0:f>
        <ns0:v>176.94</ns0:v>
      </ns0:c>
      <ns0:c r="H16" s="3">
        <ns0:f>ROUND(H216*H336,2)</ns0:f>
        <ns0:v>169.65</ns0:v>
      </ns0:c>
      <ns0:c r="I16" s="3">
        <ns0:f>ROUND(I216*I336,2)</ns0:f>
        <ns0:v>210.37</ns0:v>
      </ns0:c>
      <ns0:c r="J16" s="3">
        <ns0:f>ROUND(J216*J336,2)</ns0:f>
        <ns0:v>254.96</ns0:v>
      </ns0:c>
      <ns0:c r="K16" s="3">
        <ns0:f>ROUND(K216*K336,2)</ns0:f>
        <ns0:v>156.89</ns0:v>
      </ns0:c>
      <ns0:c r="L16" s="3">
        <ns0:f>ROUND(L216*L336,2)</ns0:f>
        <ns0:v>350.93</ns0:v>
      </ns0:c>
      <ns0:c r="M16" s="3">
        <ns0:f>ROUND(M216*M336,2)</ns0:f>
        <ns0:v>219.47</ns0:v>
      </ns0:c>
      <ns0:c r="N16" s="3">
        <ns0:f>ROUND(N216*N336,2)</ns0:f>
        <ns0:v>155.74</ns0:v>
      </ns0:c>
      <ns0:c r="O16" s="3">
        <ns0:f>SUM(C16:N16)</ns0:f>
        <ns0:v>3015.51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270.19</ns0:v>
      </ns0:c>
      <ns0:c r="D17" s="3">
        <ns0:f>ROUND(D217*D337,2)</ns0:f>
        <ns0:v>498.21</ns0:v>
      </ns0:c>
      <ns0:c r="E17" s="3">
        <ns0:f>ROUND(E217*E337,2)</ns0:f>
        <ns0:v>500.68</ns0:v>
      </ns0:c>
      <ns0:c r="F17" s="3">
        <ns0:f>ROUND(F217*F337,2)</ns0:f>
        <ns0:v>372.56</ns0:v>
      </ns0:c>
      <ns0:c r="G17" s="3">
        <ns0:f>ROUND(G217*G337,2)</ns0:f>
        <ns0:v>177.25</ns0:v>
      </ns0:c>
      <ns0:c r="H17" s="3">
        <ns0:f>ROUND(H217*H337,2)</ns0:f>
        <ns0:v>98.13</ns0:v>
      </ns0:c>
      <ns0:c r="I17" s="3">
        <ns0:f>ROUND(I217*I337,2)</ns0:f>
        <ns0:v>103.05</ns0:v>
      </ns0:c>
      <ns0:c r="J17" s="3">
        <ns0:f>ROUND(J217*J337,2)</ns0:f>
        <ns0:v>332.79</ns0:v>
      </ns0:c>
      <ns0:c r="K17" s="3">
        <ns0:f>ROUND(K217*K337,2)</ns0:f>
        <ns0:v>319.12</ns0:v>
      </ns0:c>
      <ns0:c r="L17" s="3">
        <ns0:f>ROUND(L217*L337,2)</ns0:f>
        <ns0:v>120.73</ns0:v>
      </ns0:c>
      <ns0:c r="M17" s="3">
        <ns0:f>ROUND(M217*M337,2)</ns0:f>
        <ns0:v>184.20</ns0:v>
      </ns0:c>
      <ns0:c r="N17" s="3">
        <ns0:f>ROUND(N217*N337,2)</ns0:f>
        <ns0:v>502.36</ns0:v>
      </ns0:c>
      <ns0:c r="O17" s="3">
        <ns0:f>SUM(C17:N17)</ns0:f>
        <ns0:v>3479.27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86.62</ns0:v>
      </ns0:c>
      <ns0:c r="D18" s="3">
        <ns0:f>ROUND(D218*D338,2)</ns0:f>
        <ns0:v>425.86</ns0:v>
      </ns0:c>
      <ns0:c r="E18" s="3">
        <ns0:f>ROUND(E218*E338,2)</ns0:f>
        <ns0:v>218.30</ns0:v>
      </ns0:c>
      <ns0:c r="F18" s="3">
        <ns0:f>ROUND(F218*F338,2)</ns0:f>
        <ns0:v>134.71</ns0:v>
      </ns0:c>
      <ns0:c r="G18" s="3">
        <ns0:f>ROUND(G218*G338,2)</ns0:f>
        <ns0:v>127.56</ns0:v>
      </ns0:c>
      <ns0:c r="H18" s="3">
        <ns0:f>ROUND(H218*H338,2)</ns0:f>
        <ns0:v>351.60</ns0:v>
      </ns0:c>
      <ns0:c r="I18" s="3">
        <ns0:f>ROUND(I218*I338,2)</ns0:f>
        <ns0:v>195.33</ns0:v>
      </ns0:c>
      <ns0:c r="J18" s="3">
        <ns0:f>ROUND(J218*J338,2)</ns0:f>
        <ns0:v>275.28</ns0:v>
      </ns0:c>
      <ns0:c r="K18" s="3">
        <ns0:f>ROUND(K218*K338,2)</ns0:f>
        <ns0:v>269.81</ns0:v>
      </ns0:c>
      <ns0:c r="L18" s="3">
        <ns0:f>ROUND(L218*L338,2)</ns0:f>
        <ns0:v>121.88</ns0:v>
      </ns0:c>
      <ns0:c r="M18" s="3">
        <ns0:f>ROUND(M218*M338,2)</ns0:f>
        <ns0:v>421.91</ns0:v>
      </ns0:c>
      <ns0:c r="N18" s="3">
        <ns0:f>ROUND(N218*N338,2)</ns0:f>
        <ns0:v>211.69</ns0:v>
      </ns0:c>
      <ns0:c r="O18" s="3">
        <ns0:f>SUM(C18:N18)</ns0:f>
        <ns0:v>2840.55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121.66</ns0:v>
      </ns0:c>
      <ns0:c r="D19" s="3">
        <ns0:f>ROUND(D219*D339,2)</ns0:f>
        <ns0:v>227.94</ns0:v>
      </ns0:c>
      <ns0:c r="E19" s="3">
        <ns0:f>ROUND(E219*E339,2)</ns0:f>
        <ns0:v>137.67</ns0:v>
      </ns0:c>
      <ns0:c r="F19" s="3">
        <ns0:f>ROUND(F219*F339,2)</ns0:f>
        <ns0:v>153.95</ns0:v>
      </ns0:c>
      <ns0:c r="G19" s="3">
        <ns0:f>ROUND(G219*G339,2)</ns0:f>
        <ns0:v>350.23</ns0:v>
      </ns0:c>
      <ns0:c r="H19" s="3">
        <ns0:f>ROUND(H219*H339,2)</ns0:f>
        <ns0:v>144.28</ns0:v>
      </ns0:c>
      <ns0:c r="I19" s="3">
        <ns0:f>ROUND(I219*I339,2)</ns0:f>
        <ns0:v>123.22</ns0:v>
      </ns0:c>
      <ns0:c r="J19" s="3">
        <ns0:f>ROUND(J219*J339,2)</ns0:f>
        <ns0:v>109.44</ns0:v>
      </ns0:c>
      <ns0:c r="K19" s="3">
        <ns0:f>ROUND(K219*K339,2)</ns0:f>
        <ns0:v>71.97</ns0:v>
      </ns0:c>
      <ns0:c r="L19" s="3">
        <ns0:f>ROUND(L219*L339,2)</ns0:f>
        <ns0:v>165.55</ns0:v>
      </ns0:c>
      <ns0:c r="M19" s="3">
        <ns0:f>ROUND(M219*M339,2)</ns0:f>
        <ns0:v>193.56</ns0:v>
      </ns0:c>
      <ns0:c r="N19" s="3">
        <ns0:f>ROUND(N219*N339,2)</ns0:f>
        <ns0:v>114.37</ns0:v>
      </ns0:c>
      <ns0:c r="O19" s="3">
        <ns0:f>SUM(C19:N19)</ns0:f>
        <ns0:v>1913.84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767.66</ns0:v>
      </ns0:c>
      <ns0:c r="D20" s="3">
        <ns0:f>ROUND('摊销明细'!D33/3,2)</ns0:f>
        <ns0:v>767.66</ns0:v>
      </ns0:c>
      <ns0:c r="E20" s="3">
        <ns0:f>ROUND('摊销明细'!E33/3,2)</ns0:f>
        <ns0:v>767.66</ns0:v>
      </ns0:c>
      <ns0:c r="F20" s="3">
        <ns0:f>ROUND('摊销明细'!F33/3,2)</ns0:f>
        <ns0:v>767.66</ns0:v>
      </ns0:c>
      <ns0:c r="G20" s="3">
        <ns0:f>ROUND('摊销明细'!G33/3,2)</ns0:f>
        <ns0:v>767.66</ns0:v>
      </ns0:c>
      <ns0:c r="H20" s="3">
        <ns0:f>ROUND('摊销明细'!H33/3,2)</ns0:f>
        <ns0:v>767.66</ns0:v>
      </ns0:c>
      <ns0:c r="I20" s="3">
        <ns0:f>ROUND('摊销明细'!I33/3,2)</ns0:f>
        <ns0:v>767.66</ns0:v>
      </ns0:c>
      <ns0:c r="J20" s="3">
        <ns0:f>ROUND('摊销明细'!J33/3,2)</ns0:f>
        <ns0:v>767.66</ns0:v>
      </ns0:c>
      <ns0:c r="K20" s="3">
        <ns0:f>ROUND('摊销明细'!K33/3,2)</ns0:f>
        <ns0:v>767.66</ns0:v>
      </ns0:c>
      <ns0:c r="L20" s="3">
        <ns0:f>ROUND('摊销明细'!L33/3,2)</ns0:f>
        <ns0:v>767.66</ns0:v>
      </ns0:c>
      <ns0:c r="M20" s="3">
        <ns0:f>ROUND('摊销明细'!M33/3,2)</ns0:f>
        <ns0:v>767.66</ns0:v>
      </ns0:c>
      <ns0:c r="N20" s="3">
        <ns0:f>ROUND('摊销明细'!N33/3,2)</ns0:f>
        <ns0:v>767.66</ns0:v>
      </ns0:c>
      <ns0:c r="O20" s="3">
        <ns0:f>SUM(C20:N20)</ns0:f>
        <ns0:v>9211.92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431.31</ns0:v>
      </ns0:c>
      <ns0:c r="D21" s="3">
        <ns0:f>ROUND(D221*D341,2)</ns0:f>
        <ns0:v>451.96</ns0:v>
      </ns0:c>
      <ns0:c r="E21" s="3">
        <ns0:f>ROUND(E221*E341,2)</ns0:f>
        <ns0:v>76.18</ns0:v>
      </ns0:c>
      <ns0:c r="F21" s="3">
        <ns0:f>ROUND(F221*F341,2)</ns0:f>
        <ns0:v>129.46</ns0:v>
      </ns0:c>
      <ns0:c r="G21" s="3">
        <ns0:f>ROUND(G221*G341,2)</ns0:f>
        <ns0:v>78.90</ns0:v>
      </ns0:c>
      <ns0:c r="H21" s="3">
        <ns0:f>ROUND(H221*H341,2)</ns0:f>
        <ns0:v>134.79</ns0:v>
      </ns0:c>
      <ns0:c r="I21" s="3">
        <ns0:f>ROUND(I221*I341,2)</ns0:f>
        <ns0:v>219.57</ns0:v>
      </ns0:c>
      <ns0:c r="J21" s="3">
        <ns0:f>ROUND(J221*J341,2)</ns0:f>
        <ns0:v>422.73</ns0:v>
      </ns0:c>
      <ns0:c r="K21" s="3">
        <ns0:f>ROUND(K221*K341,2)</ns0:f>
        <ns0:v>149.61</ns0:v>
      </ns0:c>
      <ns0:c r="L21" s="3">
        <ns0:f>ROUND(L221*L341,2)</ns0:f>
        <ns0:v>104.83</ns0:v>
      </ns0:c>
      <ns0:c r="M21" s="3">
        <ns0:f>ROUND(M221*M341,2)</ns0:f>
        <ns0:v>157.82</ns0:v>
      </ns0:c>
      <ns0:c r="N21" s="3">
        <ns0:f>ROUND(N221*N341,2)</ns0:f>
        <ns0:v>190.25</ns0:v>
      </ns0:c>
      <ns0:c r="O21" s="3">
        <ns0:f>SUM(C21:N21)</ns0:f>
        <ns0:v>2547.41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117.89</ns0:v>
      </ns0:c>
      <ns0:c r="D22" s="3">
        <ns0:f>ROUND(D222*D342,2)</ns0:f>
        <ns0:v>278.80</ns0:v>
      </ns0:c>
      <ns0:c r="E22" s="3">
        <ns0:f>ROUND(E222*E342,2)</ns0:f>
        <ns0:v>178.60</ns0:v>
      </ns0:c>
      <ns0:c r="F22" s="3">
        <ns0:f>ROUND(F222*F342,2)</ns0:f>
        <ns0:v>223.50</ns0:v>
      </ns0:c>
      <ns0:c r="G22" s="3">
        <ns0:f>ROUND(G222*G342,2)</ns0:f>
        <ns0:v>142.92</ns0:v>
      </ns0:c>
      <ns0:c r="H22" s="3">
        <ns0:f>ROUND(H222*H342,2)</ns0:f>
        <ns0:v>316.97</ns0:v>
      </ns0:c>
      <ns0:c r="I22" s="3">
        <ns0:f>ROUND(I222*I342,2)</ns0:f>
        <ns0:v>45.15</ns0:v>
      </ns0:c>
      <ns0:c r="J22" s="3">
        <ns0:f>ROUND(J222*J342,2)</ns0:f>
        <ns0:v>84.98</ns0:v>
      </ns0:c>
      <ns0:c r="K22" s="3">
        <ns0:f>ROUND(K222*K342,2)</ns0:f>
        <ns0:v>367.19</ns0:v>
      </ns0:c>
      <ns0:c r="L22" s="3">
        <ns0:f>ROUND(L222*L342,2)</ns0:f>
        <ns0:v>271.89</ns0:v>
      </ns0:c>
      <ns0:c r="M22" s="3">
        <ns0:f>ROUND(M222*M342,2)</ns0:f>
        <ns0:v>248.91</ns0:v>
      </ns0:c>
      <ns0:c r="N22" s="3">
        <ns0:f>ROUND(N222*N342,2)</ns0:f>
        <ns0:v>144.07</ns0:v>
      </ns0:c>
      <ns0:c r="O22" s="3">
        <ns0:f>SUM(C22:N22)</ns0:f>
        <ns0:v>2420.87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206.83</ns0:v>
      </ns0:c>
      <ns0:c r="D23" s="3">
        <ns0:f>ROUND(D223*D343,2)</ns0:f>
        <ns0:v>207.30</ns0:v>
      </ns0:c>
      <ns0:c r="E23" s="3">
        <ns0:f>ROUND(E223*E343,2)</ns0:f>
        <ns0:v>213.17</ns0:v>
      </ns0:c>
      <ns0:c r="F23" s="3">
        <ns0:f>ROUND(F223*F343,2)</ns0:f>
        <ns0:v>422.17</ns0:v>
      </ns0:c>
      <ns0:c r="G23" s="3">
        <ns0:f>ROUND(G223*G343,2)</ns0:f>
        <ns0:v>352.10</ns0:v>
      </ns0:c>
      <ns0:c r="H23" s="3">
        <ns0:f>ROUND(H223*H343,2)</ns0:f>
        <ns0:v>126.87</ns0:v>
      </ns0:c>
      <ns0:c r="I23" s="3">
        <ns0:f>ROUND(I223*I343,2)</ns0:f>
        <ns0:v>407.07</ns0:v>
      </ns0:c>
      <ns0:c r="J23" s="3">
        <ns0:f>ROUND(J223*J343,2)</ns0:f>
        <ns0:v>134.15</ns0:v>
      </ns0:c>
      <ns0:c r="K23" s="3">
        <ns0:f>ROUND(K223*K343,2)</ns0:f>
        <ns0:v>365.09</ns0:v>
      </ns0:c>
      <ns0:c r="L23" s="3">
        <ns0:f>ROUND(L223*L343,2)</ns0:f>
        <ns0:v>164.38</ns0:v>
      </ns0:c>
      <ns0:c r="M23" s="3">
        <ns0:f>ROUND(M223*M343,2)</ns0:f>
        <ns0:v>381.47</ns0:v>
      </ns0:c>
      <ns0:c r="N23" s="3">
        <ns0:f>ROUND(N223*N343,2)</ns0:f>
        <ns0:v>261.94</ns0:v>
      </ns0:c>
      <ns0:c r="O23" s="3">
        <ns0:f>SUM(C23:N23)</ns0:f>
        <ns0:v>3242.54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586.09</ns0:v>
      </ns0:c>
      <ns0:c r="D24" s="3">
        <ns0:f>ROUND(D224*D344,2)</ns0:f>
        <ns0:v>263.45</ns0:v>
      </ns0:c>
      <ns0:c r="E24" s="3">
        <ns0:f>ROUND(E224*E344,2)</ns0:f>
        <ns0:v>218.18</ns0:v>
      </ns0:c>
      <ns0:c r="F24" s="3">
        <ns0:f>ROUND(F224*F344,2)</ns0:f>
        <ns0:v>256.98</ns0:v>
      </ns0:c>
      <ns0:c r="G24" s="3">
        <ns0:f>ROUND(G224*G344,2)</ns0:f>
        <ns0:v>210.62</ns0:v>
      </ns0:c>
      <ns0:c r="H24" s="3">
        <ns0:f>ROUND(H224*H344,2)</ns0:f>
        <ns0:v>97.09</ns0:v>
      </ns0:c>
      <ns0:c r="I24" s="3">
        <ns0:f>ROUND(I224*I344,2)</ns0:f>
        <ns0:v>152.58</ns0:v>
      </ns0:c>
      <ns0:c r="J24" s="3">
        <ns0:f>ROUND(J224*J344,2)</ns0:f>
        <ns0:v>267.58</ns0:v>
      </ns0:c>
      <ns0:c r="K24" s="3">
        <ns0:f>ROUND(K224*K344,2)</ns0:f>
        <ns0:v>141.69</ns0:v>
      </ns0:c>
      <ns0:c r="L24" s="3">
        <ns0:f>ROUND(L224*L344,2)</ns0:f>
        <ns0:v>183.60</ns0:v>
      </ns0:c>
      <ns0:c r="M24" s="3">
        <ns0:f>ROUND(M224*M344,2)</ns0:f>
        <ns0:v>432.77</ns0:v>
      </ns0:c>
      <ns0:c r="N24" s="3">
        <ns0:f>ROUND(N224*N344,2)</ns0:f>
        <ns0:v>85.03</ns0:v>
      </ns0:c>
      <ns0:c r="O24" s="3">
        <ns0:f>SUM(C24:N24)</ns0:f>
        <ns0:v>2895.66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219.01</ns0:v>
      </ns0:c>
      <ns0:c r="D25" s="3">
        <ns0:f>ROUND(D225*D345,2)</ns0:f>
        <ns0:v>407.48</ns0:v>
      </ns0:c>
      <ns0:c r="E25" s="3">
        <ns0:f>ROUND(E225*E345,2)</ns0:f>
        <ns0:v>206.24</ns0:v>
      </ns0:c>
      <ns0:c r="F25" s="3">
        <ns0:f>ROUND(F225*F345,2)</ns0:f>
        <ns0:v>358.18</ns0:v>
      </ns0:c>
      <ns0:c r="G25" s="3">
        <ns0:f>ROUND(G225*G345,2)</ns0:f>
        <ns0:v>444.77</ns0:v>
      </ns0:c>
      <ns0:c r="H25" s="3">
        <ns0:f>ROUND(H225*H345,2)</ns0:f>
        <ns0:v>127.46</ns0:v>
      </ns0:c>
      <ns0:c r="I25" s="3">
        <ns0:f>ROUND(I225*I345,2)</ns0:f>
        <ns0:v>415.44</ns0:v>
      </ns0:c>
      <ns0:c r="J25" s="3">
        <ns0:f>ROUND(J225*J345,2)</ns0:f>
        <ns0:v>158.25</ns0:v>
      </ns0:c>
      <ns0:c r="K25" s="3">
        <ns0:f>ROUND(K225*K345,2)</ns0:f>
        <ns0:v>227.77</ns0:v>
      </ns0:c>
      <ns0:c r="L25" s="3">
        <ns0:f>ROUND(L225*L345,2)</ns0:f>
        <ns0:v>465.82</ns0:v>
      </ns0:c>
      <ns0:c r="M25" s="3">
        <ns0:f>ROUND(M225*M345,2)</ns0:f>
        <ns0:v>319.72</ns0:v>
      </ns0:c>
      <ns0:c r="N25" s="3">
        <ns0:f>ROUND(N225*N345,2)</ns0:f>
        <ns0:v>49.61</ns0:v>
      </ns0:c>
      <ns0:c r="O25" s="3">
        <ns0:f>SUM(C25:N25)</ns0:f>
        <ns0:v>3399.75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374.61</ns0:v>
      </ns0:c>
      <ns0:c r="D26" s="3">
        <ns0:f>ROUND(D226*D346,2)</ns0:f>
        <ns0:v>331.33</ns0:v>
      </ns0:c>
      <ns0:c r="E26" s="3">
        <ns0:f>ROUND(E226*E346,2)</ns0:f>
        <ns0:v>167.64</ns0:v>
      </ns0:c>
      <ns0:c r="F26" s="3">
        <ns0:f>ROUND(F226*F346,2)</ns0:f>
        <ns0:v>199.56</ns0:v>
      </ns0:c>
      <ns0:c r="G26" s="3">
        <ns0:f>ROUND(G226*G346,2)</ns0:f>
        <ns0:v>134.54</ns0:v>
      </ns0:c>
      <ns0:c r="H26" s="3">
        <ns0:f>ROUND(H226*H346,2)</ns0:f>
        <ns0:v>160.34</ns0:v>
      </ns0:c>
      <ns0:c r="I26" s="3">
        <ns0:f>ROUND(I226*I346,2)</ns0:f>
        <ns0:v>168.32</ns0:v>
      </ns0:c>
      <ns0:c r="J26" s="3">
        <ns0:f>ROUND(J226*J346,2)</ns0:f>
        <ns0:v>195.53</ns0:v>
      </ns0:c>
      <ns0:c r="K26" s="3">
        <ns0:f>ROUND(K226*K346,2)</ns0:f>
        <ns0:v>220.05</ns0:v>
      </ns0:c>
      <ns0:c r="L26" s="3">
        <ns0:f>ROUND(L226*L346,2)</ns0:f>
        <ns0:v>206.35</ns0:v>
      </ns0:c>
      <ns0:c r="M26" s="3">
        <ns0:f>ROUND(M226*M346,2)</ns0:f>
        <ns0:v>148.99</ns0:v>
      </ns0:c>
      <ns0:c r="N26" s="3">
        <ns0:f>ROUND(N226*N346,2)</ns0:f>
        <ns0:v>254.94</ns0:v>
      </ns0:c>
      <ns0:c r="O26" s="3">
        <ns0:f>SUM(C26:N26)</ns0:f>
        <ns0:v>2562.20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117.83</ns0:v>
      </ns0:c>
      <ns0:c r="D27" s="3">
        <ns0:f>ROUND(D227*D347,2)</ns0:f>
        <ns0:v>269.62</ns0:v>
      </ns0:c>
      <ns0:c r="E27" s="3">
        <ns0:f>ROUND(E227*E347,2)</ns0:f>
        <ns0:v>178.72</ns0:v>
      </ns0:c>
      <ns0:c r="F27" s="3">
        <ns0:f>ROUND(F227*F347,2)</ns0:f>
        <ns0:v>252.43</ns0:v>
      </ns0:c>
      <ns0:c r="G27" s="3">
        <ns0:f>ROUND(G227*G347,2)</ns0:f>
        <ns0:v>535.68</ns0:v>
      </ns0:c>
      <ns0:c r="H27" s="3">
        <ns0:f>ROUND(H227*H347,2)</ns0:f>
        <ns0:v>155.30</ns0:v>
      </ns0:c>
      <ns0:c r="I27" s="3">
        <ns0:f>ROUND(I227*I347,2)</ns0:f>
        <ns0:v>289.34</ns0:v>
      </ns0:c>
      <ns0:c r="J27" s="3">
        <ns0:f>ROUND(J227*J347,2)</ns0:f>
        <ns0:v>187.53</ns0:v>
      </ns0:c>
      <ns0:c r="K27" s="3">
        <ns0:f>ROUND(K227*K347,2)</ns0:f>
        <ns0:v>205.64</ns0:v>
      </ns0:c>
      <ns0:c r="L27" s="3">
        <ns0:f>ROUND(L227*L347,2)</ns0:f>
        <ns0:v>175.49</ns0:v>
      </ns0:c>
      <ns0:c r="M27" s="3">
        <ns0:f>ROUND(M227*M347,2)</ns0:f>
        <ns0:v>79.42</ns0:v>
      </ns0:c>
      <ns0:c r="N27" s="3">
        <ns0:f>ROUND(N227*N347,2)</ns0:f>
        <ns0:v>485.85</ns0:v>
      </ns0:c>
      <ns0:c r="O27" s="3">
        <ns0:f>SUM(C27:N27)</ns0:f>
        <ns0:v>2932.85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180.48</ns0:v>
      </ns0:c>
      <ns0:c r="D28" s="3">
        <ns0:f>ROUND(D228*D348,2)</ns0:f>
        <ns0:v>161.50</ns0:v>
      </ns0:c>
      <ns0:c r="E28" s="3">
        <ns0:f>ROUND(E228*E348,2)</ns0:f>
        <ns0:v>404.13</ns0:v>
      </ns0:c>
      <ns0:c r="F28" s="3">
        <ns0:f>ROUND(F228*F348,2)</ns0:f>
        <ns0:v>311.63</ns0:v>
      </ns0:c>
      <ns0:c r="G28" s="3">
        <ns0:f>ROUND(G228*G348,2)</ns0:f>
        <ns0:v>186.99</ns0:v>
      </ns0:c>
      <ns0:c r="H28" s="3">
        <ns0:f>ROUND(H228*H348,2)</ns0:f>
        <ns0:v>124.03</ns0:v>
      </ns0:c>
      <ns0:c r="I28" s="3">
        <ns0:f>ROUND(I228*I348,2)</ns0:f>
        <ns0:v>188.83</ns0:v>
      </ns0:c>
      <ns0:c r="J28" s="3">
        <ns0:f>ROUND(J228*J348,2)</ns0:f>
        <ns0:v>85.78</ns0:v>
      </ns0:c>
      <ns0:c r="K28" s="3">
        <ns0:f>ROUND(K228*K348,2)</ns0:f>
        <ns0:v>679.77</ns0:v>
      </ns0:c>
      <ns0:c r="L28" s="3">
        <ns0:f>ROUND(L228*L348,2)</ns0:f>
        <ns0:v>443.15</ns0:v>
      </ns0:c>
      <ns0:c r="M28" s="3">
        <ns0:f>ROUND(M228*M348,2)</ns0:f>
        <ns0:v>110.93</ns0:v>
      </ns0:c>
      <ns0:c r="N28" s="3">
        <ns0:f>ROUND(N228*N348,2)</ns0:f>
        <ns0:v>140.23</ns0:v>
      </ns0:c>
      <ns0:c r="O28" s="3">
        <ns0:f>SUM(C28:N28)</ns0:f>
        <ns0:v>3017.45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490.65</ns0:v>
      </ns0:c>
      <ns0:c r="D30" s="6">
        <ns0:f>ROUND(D230*D350,2)</ns0:f>
        <ns0:v>125.17</ns0:v>
      </ns0:c>
      <ns0:c r="E30" s="6">
        <ns0:f>ROUND(E230*E350,2)</ns0:f>
        <ns0:v>94.42</ns0:v>
      </ns0:c>
      <ns0:c r="F30" s="6">
        <ns0:f>ROUND(F230*F350,2)</ns0:f>
        <ns0:v>174.63</ns0:v>
      </ns0:c>
      <ns0:c r="G30" s="6">
        <ns0:f>ROUND(G230*G350,2)</ns0:f>
        <ns0:v>255.69</ns0:v>
      </ns0:c>
      <ns0:c r="H30" s="6">
        <ns0:f>ROUND(H230*H350,2)</ns0:f>
        <ns0:v>56.35</ns0:v>
      </ns0:c>
      <ns0:c r="I30" s="6">
        <ns0:f>ROUND(I230*I350,2)</ns0:f>
        <ns0:v>73.48</ns0:v>
      </ns0:c>
      <ns0:c r="J30" s="6">
        <ns0:f>ROUND(J230*J350,2)</ns0:f>
        <ns0:v>218.00</ns0:v>
      </ns0:c>
      <ns0:c r="K30" s="6">
        <ns0:f>ROUND(K230*K350,2)</ns0:f>
        <ns0:v>292.37</ns0:v>
      </ns0:c>
      <ns0:c r="L30" s="6">
        <ns0:f>ROUND(L230*L350,2)</ns0:f>
        <ns0:v>315.32</ns0:v>
      </ns0:c>
      <ns0:c r="M30" s="6">
        <ns0:f>ROUND(M230*M350,2)</ns0:f>
        <ns0:v>86.72</ns0:v>
      </ns0:c>
      <ns0:c r="N30" s="6">
        <ns0:f>ROUND(N230*N350,2)</ns0:f>
        <ns0:v>238.36</ns0:v>
      </ns0:c>
      <ns0:c r="O30" s="6">
        <ns0:f>SUM(C30:N30)</ns0:f>
        <ns0:v>2421.16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204.32</ns0:v>
      </ns0:c>
      <ns0:c r="D31" s="3">
        <ns0:f>ROUND(D231*D351,2)</ns0:f>
        <ns0:v>89.88</ns0:v>
      </ns0:c>
      <ns0:c r="E31" s="3">
        <ns0:f>ROUND(E231*E351,2)</ns0:f>
        <ns0:v>170.52</ns0:v>
      </ns0:c>
      <ns0:c r="F31" s="3">
        <ns0:f>ROUND(F231*F351,2)</ns0:f>
        <ns0:v>200.74</ns0:v>
      </ns0:c>
      <ns0:c r="G31" s="3">
        <ns0:f>ROUND(G231*G351,2)</ns0:f>
        <ns0:v>157.13</ns0:v>
      </ns0:c>
      <ns0:c r="H31" s="3">
        <ns0:f>ROUND(H231*H351,2)</ns0:f>
        <ns0:v>206.42</ns0:v>
      </ns0:c>
      <ns0:c r="I31" s="3">
        <ns0:f>ROUND(I231*I351,2)</ns0:f>
        <ns0:v>145.81</ns0:v>
      </ns0:c>
      <ns0:c r="J31" s="3">
        <ns0:f>ROUND(J231*J351,2)</ns0:f>
        <ns0:v>129.67</ns0:v>
      </ns0:c>
      <ns0:c r="K31" s="3">
        <ns0:f>ROUND(K231*K351,2)</ns0:f>
        <ns0:v>255.35</ns0:v>
      </ns0:c>
      <ns0:c r="L31" s="3">
        <ns0:f>ROUND(L231*L351,2)</ns0:f>
        <ns0:v>432.74</ns0:v>
      </ns0:c>
      <ns0:c r="M31" s="3">
        <ns0:f>ROUND(M231*M351,2)</ns0:f>
        <ns0:v>282.18</ns0:v>
      </ns0:c>
      <ns0:c r="N31" s="3">
        <ns0:f>ROUND(N231*N351,2)</ns0:f>
        <ns0:v>113.26</ns0:v>
      </ns0:c>
      <ns0:c r="O31" s="3">
        <ns0:f>SUM(C31:N31)</ns0:f>
        <ns0:v>2388.02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188.13</ns0:v>
      </ns0:c>
      <ns0:c r="D32" s="3">
        <ns0:f>ROUND(D232*D352,2)</ns0:f>
        <ns0:v>198.77</ns0:v>
      </ns0:c>
      <ns0:c r="E32" s="3">
        <ns0:f>ROUND(E232*E352,2)</ns0:f>
        <ns0:v>316.22</ns0:v>
      </ns0:c>
      <ns0:c r="F32" s="3">
        <ns0:f>ROUND(F232*F352,2)</ns0:f>
        <ns0:v>142.10</ns0:v>
      </ns0:c>
      <ns0:c r="G32" s="3">
        <ns0:f>ROUND(G232*G352,2)</ns0:f>
        <ns0:v>167.84</ns0:v>
      </ns0:c>
      <ns0:c r="H32" s="3">
        <ns0:f>ROUND(H232*H352,2)</ns0:f>
        <ns0:v>124.69</ns0:v>
      </ns0:c>
      <ns0:c r="I32" s="3">
        <ns0:f>ROUND(I232*I352,2)</ns0:f>
        <ns0:v>102.78</ns0:v>
      </ns0:c>
      <ns0:c r="J32" s="3">
        <ns0:f>ROUND(J232*J352,2)</ns0:f>
        <ns0:v>275.39</ns0:v>
      </ns0:c>
      <ns0:c r="K32" s="3">
        <ns0:f>ROUND(K232*K352,2)</ns0:f>
        <ns0:v>308.64</ns0:v>
      </ns0:c>
      <ns0:c r="L32" s="3">
        <ns0:f>ROUND(L232*L352,2)</ns0:f>
        <ns0:v>176.63</ns0:v>
      </ns0:c>
      <ns0:c r="M32" s="3">
        <ns0:f>ROUND(M232*M352,2)</ns0:f>
        <ns0:v>512.93</ns0:v>
      </ns0:c>
      <ns0:c r="N32" s="3">
        <ns0:f>ROUND(N232*N352,2)</ns0:f>
        <ns0:v>344.60</ns0:v>
      </ns0:c>
      <ns0:c r="O32" s="3">
        <ns0:f>SUM(C32:N32)</ns0:f>
        <ns0:v>2858.72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67.26</ns0:v>
      </ns0:c>
      <ns0:c r="D33" s="3">
        <ns0:f>ROUND(D233*D353,2)</ns0:f>
        <ns0:v>375.47</ns0:v>
      </ns0:c>
      <ns0:c r="E33" s="3">
        <ns0:f>ROUND(E233*E353,2)</ns0:f>
        <ns0:v>137.31</ns0:v>
      </ns0:c>
      <ns0:c r="F33" s="3">
        <ns0:f>ROUND(F233*F353,2)</ns0:f>
        <ns0:v>338.38</ns0:v>
      </ns0:c>
      <ns0:c r="G33" s="3">
        <ns0:f>ROUND(G233*G353,2)</ns0:f>
        <ns0:v>242.51</ns0:v>
      </ns0:c>
      <ns0:c r="H33" s="3">
        <ns0:f>ROUND(H233*H353,2)</ns0:f>
        <ns0:v>203.97</ns0:v>
      </ns0:c>
      <ns0:c r="I33" s="3">
        <ns0:f>ROUND(I233*I353,2)</ns0:f>
        <ns0:v>222.62</ns0:v>
      </ns0:c>
      <ns0:c r="J33" s="3">
        <ns0:f>ROUND(J233*J353,2)</ns0:f>
        <ns0:v>225.48</ns0:v>
      </ns0:c>
      <ns0:c r="K33" s="3">
        <ns0:f>ROUND(K233*K353,2)</ns0:f>
        <ns0:v>386.10</ns0:v>
      </ns0:c>
      <ns0:c r="L33" s="3">
        <ns0:f>ROUND(L233*L353,2)</ns0:f>
        <ns0:v>416.50</ns0:v>
      </ns0:c>
      <ns0:c r="M33" s="3">
        <ns0:f>ROUND(M233*M353,2)</ns0:f>
        <ns0:v>239.60</ns0:v>
      </ns0:c>
      <ns0:c r="N33" s="3">
        <ns0:f>ROUND(N233*N353,2)</ns0:f>
        <ns0:v>463.17</ns0:v>
      </ns0:c>
      <ns0:c r="O33" s="3">
        <ns0:f>SUM(C33:N33)</ns0:f>
        <ns0:v>3318.37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7362.59</ns0:v>
      </ns0:c>
      <ns0:c r="D34" s="3">
        <ns0:f>SUM(D4:D33)</ns0:f>
        <ns0:v>8336.63</ns0:v>
      </ns0:c>
      <ns0:c r="E34" s="3">
        <ns0:f>SUM(E4:E33)</ns0:f>
        <ns0:v>6934.01</ns0:v>
      </ns0:c>
      <ns0:c r="F34" s="3">
        <ns0:f>SUM(F4:F33)</ns0:f>
        <ns0:v>7850.45</ns0:v>
      </ns0:c>
      <ns0:c r="G34" s="3">
        <ns0:f>SUM(G4:G33)</ns0:f>
        <ns0:v>7402.69</ns0:v>
      </ns0:c>
      <ns0:c r="H34" s="3">
        <ns0:f>SUM(H4:H33)</ns0:f>
        <ns0:v>6368.18</ns0:v>
      </ns0:c>
      <ns0:c r="I34" s="3">
        <ns0:f>SUM(I4:I33)</ns0:f>
        <ns0:v>6169.18</ns0:v>
      </ns0:c>
      <ns0:c r="J34" s="3">
        <ns0:f>SUM(J4:J33)</ns0:f>
        <ns0:v>6439.27</ns0:v>
      </ns0:c>
      <ns0:c r="K34" s="3">
        <ns0:f>SUM(K4:K33)</ns0:f>
        <ns0:v>7456.90</ns0:v>
      </ns0:c>
      <ns0:c r="L34" s="3">
        <ns0:f>SUM(L4:L33)</ns0:f>
        <ns0:v>7370.63</ns0:v>
      </ns0:c>
      <ns0:c r="M34" s="3">
        <ns0:f>SUM(M4:M33)</ns0:f>
        <ns0:v>8034.09</ns0:v>
      </ns0:c>
      <ns0:c r="N34" s="3">
        <ns0:f>SUM(N4:N33)</ns0:f>
        <ns0:v>7618.15</ns0:v>
      </ns0:c>
      <ns0:c r="O34" s="3">
        <ns0:f>SUM(C34:N34)</ns0:f>
        <ns0:v>87342.77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45.50</ns0:v>
      </ns0:c>
      <ns0:c r="D204" s="4">
        <ns0:v>24.98</ns0:v>
      </ns0:c>
      <ns0:c r="E204" s="4">
        <ns0:v>53.51</ns0:v>
      </ns0:c>
      <ns0:c r="F204" s="4">
        <ns0:v>29.40</ns0:v>
      </ns0:c>
      <ns0:c r="G204" s="4">
        <ns0:v>73.41</ns0:v>
      </ns0:c>
      <ns0:c r="H204" s="4">
        <ns0:v>40.56</ns0:v>
      </ns0:c>
      <ns0:c r="I204" s="4">
        <ns0:v>30.33</ns0:v>
      </ns0:c>
      <ns0:c r="J204" s="4">
        <ns0:v>20.67</ns0:v>
      </ns0:c>
      <ns0:c r="K204" s="4">
        <ns0:v>56.24</ns0:v>
      </ns0:c>
      <ns0:c r="L204" s="4">
        <ns0:v>30.18</ns0:v>
      </ns0:c>
      <ns0:c r="M204" s="4">
        <ns0:v>39.28</ns0:v>
      </ns0:c>
      <ns0:c r="N204" s="4">
        <ns0:v>35.84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19.31</ns0:v>
      </ns0:c>
      <ns0:c r="D205" s="4">
        <ns0:v>56.08</ns0:v>
      </ns0:c>
      <ns0:c r="E205" s="4">
        <ns0:v>38.65</ns0:v>
      </ns0:c>
      <ns0:c r="F205" s="4">
        <ns0:v>66.42</ns0:v>
      </ns0:c>
      <ns0:c r="G205" s="4">
        <ns0:v>50.50</ns0:v>
      </ns0:c>
      <ns0:c r="H205" s="4">
        <ns0:v>39.78</ns0:v>
      </ns0:c>
      <ns0:c r="I205" s="4">
        <ns0:v>51.94</ns0:v>
      </ns0:c>
      <ns0:c r="J205" s="4">
        <ns0:v>27.09</ns0:v>
      </ns0:c>
      <ns0:c r="K205" s="4">
        <ns0:v>30.76</ns0:v>
      </ns0:c>
      <ns0:c r="L205" s="4">
        <ns0:v>58.75</ns0:v>
      </ns0:c>
      <ns0:c r="M205" s="4">
        <ns0:v>44.34</ns0:v>
      </ns0:c>
      <ns0:c r="N205" s="4">
        <ns0:v>27.96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32.16</ns0:v>
      </ns0:c>
      <ns0:c r="D206" s="4">
        <ns0:v>55.12</ns0:v>
      </ns0:c>
      <ns0:c r="E206" s="4">
        <ns0:v>37.88</ns0:v>
      </ns0:c>
      <ns0:c r="F206" s="4">
        <ns0:v>57.63</ns0:v>
      </ns0:c>
      <ns0:c r="G206" s="4">
        <ns0:v>48.33</ns0:v>
      </ns0:c>
      <ns0:c r="H206" s="4">
        <ns0:v>67.73</ns0:v>
      </ns0:c>
      <ns0:c r="I206" s="4">
        <ns0:v>62.94</ns0:v>
      </ns0:c>
      <ns0:c r="J206" s="4">
        <ns0:v>54.47</ns0:v>
      </ns0:c>
      <ns0:c r="K206" s="4">
        <ns0:v>22.49</ns0:v>
      </ns0:c>
      <ns0:c r="L206" s="4">
        <ns0:v>40.21</ns0:v>
      </ns0:c>
      <ns0:c r="M206" s="4">
        <ns0:v>19.06</ns0:v>
      </ns0:c>
      <ns0:c r="N206" s="4">
        <ns0:v>61.39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36.23</ns0:v>
      </ns0:c>
      <ns0:c r="D207" s="4">
        <ns0:v>24.37</ns0:v>
      </ns0:c>
      <ns0:c r="E207" s="4">
        <ns0:v>55.90</ns0:v>
      </ns0:c>
      <ns0:c r="F207" s="4">
        <ns0:v>40.22</ns0:v>
      </ns0:c>
      <ns0:c r="G207" s="4">
        <ns0:v>53.31</ns0:v>
      </ns0:c>
      <ns0:c r="H207" s="4">
        <ns0:v>51.15</ns0:v>
      </ns0:c>
      <ns0:c r="I207" s="4">
        <ns0:v>30.82</ns0:v>
      </ns0:c>
      <ns0:c r="J207" s="4">
        <ns0:v>30.64</ns0:v>
      </ns0:c>
      <ns0:c r="K207" s="4">
        <ns0:v>63.08</ns0:v>
      </ns0:c>
      <ns0:c r="L207" s="4">
        <ns0:v>29.12</ns0:v>
      </ns0:c>
      <ns0:c r="M207" s="4">
        <ns0:v>59.64</ns0:v>
      </ns0:c>
      <ns0:c r="N207" s="4">
        <ns0:v>65.74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28.74</ns0:v>
      </ns0:c>
      <ns0:c r="D208" s="4">
        <ns0:v>38.22</ns0:v>
      </ns0:c>
      <ns0:c r="E208" s="4">
        <ns0:v>56.06</ns0:v>
      </ns0:c>
      <ns0:c r="F208" s="4">
        <ns0:v>60.31</ns0:v>
      </ns0:c>
      <ns0:c r="G208" s="4">
        <ns0:v>65.00</ns0:v>
      </ns0:c>
      <ns0:c r="H208" s="4">
        <ns0:v>30.23</ns0:v>
      </ns0:c>
      <ns0:c r="I208" s="4">
        <ns0:v>49.44</ns0:v>
      </ns0:c>
      <ns0:c r="J208" s="4">
        <ns0:v>59.60</ns0:v>
      </ns0:c>
      <ns0:c r="K208" s="4">
        <ns0:v>27.71</ns0:v>
      </ns0:c>
      <ns0:c r="L208" s="4">
        <ns0:v>24.83</ns0:v>
      </ns0:c>
      <ns0:c r="M208" s="4">
        <ns0:v>70.67</ns0:v>
      </ns0:c>
      <ns0:c r="N208" s="4">
        <ns0:v>30.96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50.57</ns0:v>
      </ns0:c>
      <ns0:c r="D209" s="4">
        <ns0:v>24.64</ns0:v>
      </ns0:c>
      <ns0:c r="E209" s="4">
        <ns0:v>64.74</ns0:v>
      </ns0:c>
      <ns0:c r="F209" s="4">
        <ns0:v>56.52</ns0:v>
      </ns0:c>
      <ns0:c r="G209" s="4">
        <ns0:v>27.81</ns0:v>
      </ns0:c>
      <ns0:c r="H209" s="4">
        <ns0:v>29.07</ns0:v>
      </ns0:c>
      <ns0:c r="I209" s="4">
        <ns0:v>43.39</ns0:v>
      </ns0:c>
      <ns0:c r="J209" s="4">
        <ns0:v>31.11</ns0:v>
      </ns0:c>
      <ns0:c r="K209" s="4">
        <ns0:v>55.73</ns0:v>
      </ns0:c>
      <ns0:c r="L209" s="4">
        <ns0:v>20.75</ns0:v>
      </ns0:c>
      <ns0:c r="M209" s="4">
        <ns0:v>59.76</ns0:v>
      </ns0:c>
      <ns0:c r="N209" s="4">
        <ns0:v>68.83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71.96</ns0:v>
      </ns0:c>
      <ns0:c r="D210" s="4">
        <ns0:v>67.33</ns0:v>
      </ns0:c>
      <ns0:c r="E210" s="4">
        <ns0:v>50.17</ns0:v>
      </ns0:c>
      <ns0:c r="F210" s="4">
        <ns0:v>41.75</ns0:v>
      </ns0:c>
      <ns0:c r="G210" s="4">
        <ns0:v>28.61</ns0:v>
      </ns0:c>
      <ns0:c r="H210" s="4">
        <ns0:v>16.38</ns0:v>
      </ns0:c>
      <ns0:c r="I210" s="4">
        <ns0:v>40.04</ns0:v>
      </ns0:c>
      <ns0:c r="J210" s="4">
        <ns0:v>54.94</ns0:v>
      </ns0:c>
      <ns0:c r="K210" s="4">
        <ns0:v>25.19</ns0:v>
      </ns0:c>
      <ns0:c r="L210" s="4">
        <ns0:v>35.44</ns0:v>
      </ns0:c>
      <ns0:c r="M210" s="4">
        <ns0:v>66.53</ns0:v>
      </ns0:c>
      <ns0:c r="N210" s="4">
        <ns0:v>61.49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55.61</ns0:v>
      </ns0:c>
      <ns0:c r="D211" s="4">
        <ns0:v>19.90</ns0:v>
      </ns0:c>
      <ns0:c r="E211" s="4">
        <ns0:v>53.19</ns0:v>
      </ns0:c>
      <ns0:c r="F211" s="4">
        <ns0:v>20.93</ns0:v>
      </ns0:c>
      <ns0:c r="G211" s="4">
        <ns0:v>25.10</ns0:v>
      </ns0:c>
      <ns0:c r="H211" s="4">
        <ns0:v>33.64</ns0:v>
      </ns0:c>
      <ns0:c r="I211" s="4">
        <ns0:v>19.22</ns0:v>
      </ns0:c>
      <ns0:c r="J211" s="4">
        <ns0:v>22.79</ns0:v>
      </ns0:c>
      <ns0:c r="K211" s="4">
        <ns0:v>64.80</ns0:v>
      </ns0:c>
      <ns0:c r="L211" s="4">
        <ns0:v>18.92</ns0:v>
      </ns0:c>
      <ns0:c r="M211" s="4">
        <ns0:v>57.44</ns0:v>
      </ns0:c>
      <ns0:c r="N211" s="4">
        <ns0:v>34.34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40.44</ns0:v>
      </ns0:c>
      <ns0:c r="D212" s="4">
        <ns0:v>16.95</ns0:v>
      </ns0:c>
      <ns0:c r="E212" s="4">
        <ns0:v>26.25</ns0:v>
      </ns0:c>
      <ns0:c r="F212" s="4">
        <ns0:v>44.49</ns0:v>
      </ns0:c>
      <ns0:c r="G212" s="4">
        <ns0:v>22.81</ns0:v>
      </ns0:c>
      <ns0:c r="H212" s="4">
        <ns0:v>36.46</ns0:v>
      </ns0:c>
      <ns0:c r="I212" s="4">
        <ns0:v>22.81</ns0:v>
      </ns0:c>
      <ns0:c r="J212" s="4">
        <ns0:v>39.92</ns0:v>
      </ns0:c>
      <ns0:c r="K212" s="4">
        <ns0:v>40.57</ns0:v>
      </ns0:c>
      <ns0:c r="L212" s="4">
        <ns0:v>26.01</ns0:v>
      </ns0:c>
      <ns0:c r="M212" s="4">
        <ns0:v>17.81</ns0:v>
      </ns0:c>
      <ns0:c r="N212" s="4">
        <ns0:v>41.93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67.25</ns0:v>
      </ns0:c>
      <ns0:c r="D213" s="4">
        <ns0:v>52.84</ns0:v>
      </ns0:c>
      <ns0:c r="E213" s="4">
        <ns0:v>29.86</ns0:v>
      </ns0:c>
      <ns0:c r="F213" s="4">
        <ns0:v>24.95</ns0:v>
      </ns0:c>
      <ns0:c r="G213" s="4">
        <ns0:v>24.48</ns0:v>
      </ns0:c>
      <ns0:c r="H213" s="4">
        <ns0:v>49.51</ns0:v>
      </ns0:c>
      <ns0:c r="I213" s="4">
        <ns0:v>35.58</ns0:v>
      </ns0:c>
      <ns0:c r="J213" s="4">
        <ns0:v>16.00</ns0:v>
      </ns0:c>
      <ns0:c r="K213" s="4">
        <ns0:v>23.84</ns0:v>
      </ns0:c>
      <ns0:c r="L213" s="4">
        <ns0:v>59.74</ns0:v>
      </ns0:c>
      <ns0:c r="M213" s="4">
        <ns0:v>24.16</ns0:v>
      </ns0:c>
      <ns0:c r="N213" s="4">
        <ns0:v>28.84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26.70</ns0:v>
      </ns0:c>
      <ns0:c r="D214" s="4">
        <ns0:v>34.64</ns0:v>
      </ns0:c>
      <ns0:c r="E214" s="4">
        <ns0:v>26.14</ns0:v>
      </ns0:c>
      <ns0:c r="F214" s="4">
        <ns0:v>41.28</ns0:v>
      </ns0:c>
      <ns0:c r="G214" s="4">
        <ns0:v>40.06</ns0:v>
      </ns0:c>
      <ns0:c r="H214" s="4">
        <ns0:v>59.33</ns0:v>
      </ns0:c>
      <ns0:c r="I214" s="4">
        <ns0:v>20.45</ns0:v>
      </ns0:c>
      <ns0:c r="J214" s="4">
        <ns0:v>23.28</ns0:v>
      </ns0:c>
      <ns0:c r="K214" s="4">
        <ns0:v>57.19</ns0:v>
      </ns0:c>
      <ns0:c r="L214" s="4">
        <ns0:v>52.54</ns0:v>
      </ns0:c>
      <ns0:c r="M214" s="4">
        <ns0:v>28.03</ns0:v>
      </ns0:c>
      <ns0:c r="N214" s="4">
        <ns0:v>23.38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55.77</ns0:v>
      </ns0:c>
      <ns0:c r="D215" s="4">
        <ns0:v>42.14</ns0:v>
      </ns0:c>
      <ns0:c r="E215" s="4">
        <ns0:v>40.15</ns0:v>
      </ns0:c>
      <ns0:c r="F215" s="4">
        <ns0:v>35.98</ns0:v>
      </ns0:c>
      <ns0:c r="G215" s="4">
        <ns0:v>37.25</ns0:v>
      </ns0:c>
      <ns0:c r="H215" s="4">
        <ns0:v>74.52</ns0:v>
      </ns0:c>
      <ns0:c r="I215" s="4">
        <ns0:v>50.60</ns0:v>
      </ns0:c>
      <ns0:c r="J215" s="4">
        <ns0:v>46.20</ns0:v>
      </ns0:c>
      <ns0:c r="K215" s="4">
        <ns0:v>34.15</ns0:v>
      </ns0:c>
      <ns0:c r="L215" s="4">
        <ns0:v>33.23</ns0:v>
      </ns0:c>
      <ns0:c r="M215" s="4">
        <ns0:v>59.59</ns0:v>
      </ns0:c>
      <ns0:c r="N215" s="4">
        <ns0:v>55.76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32.23</ns0:v>
      </ns0:c>
      <ns0:c r="D216" s="4">
        <ns0:v>56.70</ns0:v>
      </ns0:c>
      <ns0:c r="E216" s="4">
        <ns0:v>29.54</ns0:v>
      </ns0:c>
      <ns0:c r="F216" s="4">
        <ns0:v>65.40</ns0:v>
      </ns0:c>
      <ns0:c r="G216" s="4">
        <ns0:v>21.19</ns0:v>
      </ns0:c>
      <ns0:c r="H216" s="4">
        <ns0:v>36.80</ns0:v>
      </ns0:c>
      <ns0:c r="I216" s="4">
        <ns0:v>38.18</ns0:v>
      </ns0:c>
      <ns0:c r="J216" s="4">
        <ns0:v>54.83</ns0:v>
      </ns0:c>
      <ns0:c r="K216" s="4">
        <ns0:v>20.14</ns0:v>
      </ns0:c>
      <ns0:c r="L216" s="4">
        <ns0:v>41.53</ns0:v>
      </ns0:c>
      <ns0:c r="M216" s="4">
        <ns0:v>53.66</ns0:v>
      </ns0:c>
      <ns0:c r="N216" s="4">
        <ns0:v>39.23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42.35</ns0:v>
      </ns0:c>
      <ns0:c r="D217" s="4">
        <ns0:v>65.64</ns0:v>
      </ns0:c>
      <ns0:c r="E217" s="4">
        <ns0:v>56.13</ns0:v>
      </ns0:c>
      <ns0:c r="F217" s="4">
        <ns0:v>61.99</ns0:v>
      </ns0:c>
      <ns0:c r="G217" s="4">
        <ns0:v>38.70</ns0:v>
      </ns0:c>
      <ns0:c r="H217" s="4">
        <ns0:v>18.98</ns0:v>
      </ns0:c>
      <ns0:c r="I217" s="4">
        <ns0:v>22.55</ns0:v>
      </ns0:c>
      <ns0:c r="J217" s="4">
        <ns0:v>44.79</ns0:v>
      </ns0:c>
      <ns0:c r="K217" s="4">
        <ns0:v>53.01</ns0:v>
      </ns0:c>
      <ns0:c r="L217" s="4">
        <ns0:v>55.38</ns0:v>
      </ns0:c>
      <ns0:c r="M217" s="4">
        <ns0:v>55.65</ns0:v>
      </ns0:c>
      <ns0:c r="N217" s="4">
        <ns0:v>69.10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16.69</ns0:v>
      </ns0:c>
      <ns0:c r="D218" s="4">
        <ns0:v>61.63</ns0:v>
      </ns0:c>
      <ns0:c r="E218" s="4">
        <ns0:v>57.75</ns0:v>
      </ns0:c>
      <ns0:c r="F218" s="4">
        <ns0:v>54.10</ns0:v>
      </ns0:c>
      <ns0:c r="G218" s="4">
        <ns0:v>47.07</ns0:v>
      </ns0:c>
      <ns0:c r="H218" s="4">
        <ns0:v>37.01</ns0:v>
      </ns0:c>
      <ns0:c r="I218" s="4">
        <ns0:v>60.66</ns0:v>
      </ns0:c>
      <ns0:c r="J218" s="4">
        <ns0:v>57.23</ns0:v>
      </ns0:c>
      <ns0:c r="K218" s="4">
        <ns0:v>51.49</ns0:v>
      </ns0:c>
      <ns0:c r="L218" s="4">
        <ns0:v>16.47</ns0:v>
      </ns0:c>
      <ns0:c r="M218" s="4">
        <ns0:v>49.52</ns0:v>
      </ns0:c>
      <ns0:c r="N218" s="4">
        <ns0:v>32.82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32.10</ns0:v>
      </ns0:c>
      <ns0:c r="D219" s="4">
        <ns0:v>70.57</ns0:v>
      </ns0:c>
      <ns0:c r="E219" s="4">
        <ns0:v>24.11</ns0:v>
      </ns0:c>
      <ns0:c r="F219" s="4">
        <ns0:v>37.64</ns0:v>
      </ns0:c>
      <ns0:c r="G219" s="4">
        <ns0:v>47.65</ns0:v>
      </ns0:c>
      <ns0:c r="H219" s="4">
        <ns0:v>18.24</ns0:v>
      </ns0:c>
      <ns0:c r="I219" s="4">
        <ns0:v>27.94</ns0:v>
      </ns0:c>
      <ns0:c r="J219" s="4">
        <ns0:v>18.58</ns0:v>
      </ns0:c>
      <ns0:c r="K219" s="4">
        <ns0:v>16.03</ns0:v>
      </ns0:c>
      <ns0:c r="L219" s="4">
        <ns0:v>59.55</ns0:v>
      </ns0:c>
      <ns0:c r="M219" s="4">
        <ns0:v>67.68</ns0:v>
      </ns0:c>
      <ns0:c r="N219" s="4">
        <ns0:v>31.77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68.90</ns0:v>
      </ns0:c>
      <ns0:c r="D221" s="4">
        <ns0:v>66.27</ns0:v>
      </ns0:c>
      <ns0:c r="E221" s="4">
        <ns0:v>25.06</ns0:v>
      </ns0:c>
      <ns0:c r="F221" s="4">
        <ns0:v>19.38</ns0:v>
      </ns0:c>
      <ns0:c r="G221" s="4">
        <ns0:v>28.28</ns0:v>
      </ns0:c>
      <ns0:c r="H221" s="4">
        <ns0:v>32.48</ns0:v>
      </ns0:c>
      <ns0:c r="I221" s="4">
        <ns0:v>45.46</ns0:v>
      </ns0:c>
      <ns0:c r="J221" s="4">
        <ns0:v>53.51</ns0:v>
      </ns0:c>
      <ns0:c r="K221" s="4">
        <ns0:v>19.33</ns0:v>
      </ns0:c>
      <ns0:c r="L221" s="4">
        <ns0:v>42.10</ns0:v>
      </ns0:c>
      <ns0:c r="M221" s="4">
        <ns0:v>49.32</ns0:v>
      </ns0:c>
      <ns0:c r="N221" s="4">
        <ns0:v>30.44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21.28</ns0:v>
      </ns0:c>
      <ns0:c r="D222" s="4">
        <ns0:v>40.70</ns0:v>
      </ns0:c>
      <ns0:c r="E222" s="4">
        <ns0:v>34.68</ns0:v>
      </ns0:c>
      <ns0:c r="F222" s="4">
        <ns0:v>29.76</ns0:v>
      </ns0:c>
      <ns0:c r="G222" s="4">
        <ns0:v>47.80</ns0:v>
      </ns0:c>
      <ns0:c r="H222" s="4">
        <ns0:v>46.75</ns0:v>
      </ns0:c>
      <ns0:c r="I222" s="4">
        <ns0:v>21.10</ns0:v>
      </ns0:c>
      <ns0:c r="J222" s="4">
        <ns0:v>30.90</ns0:v>
      </ns0:c>
      <ns0:c r="K222" s="4">
        <ns0:v>61.92</ns0:v>
      </ns0:c>
      <ns0:c r="L222" s="4">
        <ns0:v>40.52</ns0:v>
      </ns0:c>
      <ns0:c r="M222" s="4">
        <ns0:v>64.82</ns0:v>
      </ns0:c>
      <ns0:c r="N222" s="4">
        <ns0:v>23.35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34.82</ns0:v>
      </ns0:c>
      <ns0:c r="D223" s="4">
        <ns0:v>32.39</ns0:v>
      </ns0:c>
      <ns0:c r="E223" s="4">
        <ns0:v>24.53</ns0:v>
      </ns0:c>
      <ns0:c r="F223" s="4">
        <ns0:v>51.61</ns0:v>
      </ns0:c>
      <ns0:c r="G223" s="4">
        <ns0:v>54.42</ns0:v>
      </ns0:c>
      <ns0:c r="H223" s="4">
        <ns0:v>30.57</ns0:v>
      </ns0:c>
      <ns0:c r="I223" s="4">
        <ns0:v>50.07</ns0:v>
      </ns0:c>
      <ns0:c r="J223" s="4">
        <ns0:v>41.15</ns0:v>
      </ns0:c>
      <ns0:c r="K223" s="4">
        <ns0:v>42.75</ns0:v>
      </ns0:c>
      <ns0:c r="L223" s="4">
        <ns0:v>31.25</ns0:v>
      </ns0:c>
      <ns0:c r="M223" s="4">
        <ns0:v>49.80</ns0:v>
      </ns0:c>
      <ns0:c r="N223" s="4">
        <ns0:v>44.93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63.43</ns0:v>
      </ns0:c>
      <ns0:c r="D224" s="4">
        <ns0:v>43.33</ns0:v>
      </ns0:c>
      <ns0:c r="E224" s="4">
        <ns0:v>38.01</ns0:v>
      </ns0:c>
      <ns0:c r="F224" s="4">
        <ns0:v>58.01</ns0:v>
      </ns0:c>
      <ns0:c r="G224" s="4">
        <ns0:v>45.49</ns0:v>
      </ns0:c>
      <ns0:c r="H224" s="4">
        <ns0:v>20.88</ns0:v>
      </ns0:c>
      <ns0:c r="I224" s="4">
        <ns0:v>24.61</ns0:v>
      </ns0:c>
      <ns0:c r="J224" s="4">
        <ns0:v>67.23</ns0:v>
      </ns0:c>
      <ns0:c r="K224" s="4">
        <ns0:v>60.04</ns0:v>
      </ns0:c>
      <ns0:c r="L224" s="4">
        <ns0:v>35.93</ns0:v>
      </ns0:c>
      <ns0:c r="M224" s="4">
        <ns0:v>55.20</ns0:v>
      </ns0:c>
      <ns0:c r="N224" s="4">
        <ns0:v>21.31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48.24</ns0:v>
      </ns0:c>
      <ns0:c r="D225" s="4">
        <ns0:v>51.58</ns0:v>
      </ns0:c>
      <ns0:c r="E225" s="4">
        <ns0:v>42.09</ns0:v>
      </ns0:c>
      <ns0:c r="F225" s="4">
        <ns0:v>60.30</ns0:v>
      </ns0:c>
      <ns0:c r="G225" s="4">
        <ns0:v>53.33</ns0:v>
      </ns0:c>
      <ns0:c r="H225" s="4">
        <ns0:v>18.58</ns0:v>
      </ns0:c>
      <ns0:c r="I225" s="4">
        <ns0:v>51.80</ns0:v>
      </ns0:c>
      <ns0:c r="J225" s="4">
        <ns0:v>59.27</ns0:v>
      </ns0:c>
      <ns0:c r="K225" s="4">
        <ns0:v>25.03</ns0:v>
      </ns0:c>
      <ns0:c r="L225" s="4">
        <ns0:v>58.30</ns0:v>
      </ns0:c>
      <ns0:c r="M225" s="4">
        <ns0:v>55.03</ns0:v>
      </ns0:c>
      <ns0:c r="N225" s="4">
        <ns0:v>18.04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58.35</ns0:v>
      </ns0:c>
      <ns0:c r="D226" s="4">
        <ns0:v>52.26</ns0:v>
      </ns0:c>
      <ns0:c r="E226" s="4">
        <ns0:v>25.95</ns0:v>
      </ns0:c>
      <ns0:c r="F226" s="4">
        <ns0:v>51.30</ns0:v>
      </ns0:c>
      <ns0:c r="G226" s="4">
        <ns0:v>16.59</ns0:v>
      </ns0:c>
      <ns0:c r="H226" s="4">
        <ns0:v>23.79</ns0:v>
      </ns0:c>
      <ns0:c r="I226" s="4">
        <ns0:v>46.37</ns0:v>
      </ns0:c>
      <ns0:c r="J226" s="4">
        <ns0:v>43.94</ns0:v>
      </ns0:c>
      <ns0:c r="K226" s="4">
        <ns0:v>29.03</ns0:v>
      </ns0:c>
      <ns0:c r="L226" s="4">
        <ns0:v>37.18</ns0:v>
      </ns0:c>
      <ns0:c r="M226" s="4">
        <ns0:v>18.60</ns0:v>
      </ns0:c>
      <ns0:c r="N226" s="4">
        <ns0:v>27.15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47.90</ns0:v>
      </ns0:c>
      <ns0:c r="D227" s="4">
        <ns0:v>37.24</ns0:v>
      </ns0:c>
      <ns0:c r="E227" s="4">
        <ns0:v>44.02</ns0:v>
      </ns0:c>
      <ns0:c r="F227" s="4">
        <ns0:v>53.48</ns0:v>
      </ns0:c>
      <ns0:c r="G227" s="4">
        <ns0:v>63.62</ns0:v>
      </ns0:c>
      <ns0:c r="H227" s="4">
        <ns0:v>21.60</ns0:v>
      </ns0:c>
      <ns0:c r="I227" s="4">
        <ns0:v>39.42</ns0:v>
      </ns0:c>
      <ns0:c r="J227" s="4">
        <ns0:v>44.65</ns0:v>
      </ns0:c>
      <ns0:c r="K227" s="4">
        <ns0:v>36.14</ns0:v>
      </ns0:c>
      <ns0:c r="L227" s="4">
        <ns0:v>19.74</ns0:v>
      </ns0:c>
      <ns0:c r="M227" s="4">
        <ns0:v>29.97</ns0:v>
      </ns0:c>
      <ns0:c r="N227" s="4">
        <ns0:v>62.05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27.47</ns0:v>
      </ns0:c>
      <ns0:c r="D228" s="4">
        <ns0:v>20.60</ns0:v>
      </ns0:c>
      <ns0:c r="E228" s="4">
        <ns0:v>44.41</ns0:v>
      </ns0:c>
      <ns0:c r="F228" s="4">
        <ns0:v>47.65</ns0:v>
      </ns0:c>
      <ns0:c r="G228" s="4">
        <ns0:v>45.72</ns0:v>
      </ns0:c>
      <ns0:c r="H228" s="4">
        <ns0:v>20.81</ns0:v>
      </ns0:c>
      <ns0:c r="I228" s="4">
        <ns0:v>60.33</ns0:v>
      </ns0:c>
      <ns0:c r="J228" s="4">
        <ns0:v>36.66</ns0:v>
      </ns0:c>
      <ns0:c r="K228" s="4">
        <ns0:v>72.47</ns0:v>
      </ns0:c>
      <ns0:c r="L228" s="4">
        <ns0:v>52.32</ns0:v>
      </ns0:c>
      <ns0:c r="M228" s="4">
        <ns0:v>29.58</ns0:v>
      </ns0:c>
      <ns0:c r="N228" s="4">
        <ns0:v>48.19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58.55</ns0:v>
      </ns0:c>
      <ns0:c r="D230" s="4">
        <ns0:v>30.68</ns0:v>
      </ns0:c>
      <ns0:c r="E230" s="4">
        <ns0:v>18.66</ns0:v>
      </ns0:c>
      <ns0:c r="F230" s="4">
        <ns0:v>57.07</ns0:v>
      </ns0:c>
      <ns0:c r="G230" s="4">
        <ns0:v>40.65</ns0:v>
      </ns0:c>
      <ns0:c r="H230" s="4">
        <ns0:v>21.59</ns0:v>
      </ns0:c>
      <ns0:c r="I230" s="4">
        <ns0:v>29.87</ns0:v>
      </ns0:c>
      <ns0:c r="J230" s="4">
        <ns0:v>53.17</ns0:v>
      </ns0:c>
      <ns0:c r="K230" s="4">
        <ns0:v>50.15</ns0:v>
      </ns0:c>
      <ns0:c r="L230" s="4">
        <ns0:v>63.19</ns0:v>
      </ns0:c>
      <ns0:c r="M230" s="4">
        <ns0:v>24.92</ns0:v>
      </ns0:c>
      <ns0:c r="N230" s="4">
        <ns0:v>54.42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33.66</ns0:v>
      </ns0:c>
      <ns0:c r="D231" s="4">
        <ns0:v>24.83</ns0:v>
      </ns0:c>
      <ns0:c r="E231" s="4">
        <ns0:v>61.12</ns0:v>
      </ns0:c>
      <ns0:c r="F231" s="4">
        <ns0:v>27.88</ns0:v>
      </ns0:c>
      <ns0:c r="G231" s="4">
        <ns0:v>54.75</ns0:v>
      </ns0:c>
      <ns0:c r="H231" s="4">
        <ns0:v>28.63</ns0:v>
      </ns0:c>
      <ns0:c r="I231" s="4">
        <ns0:v>31.29</ns0:v>
      </ns0:c>
      <ns0:c r="J231" s="4">
        <ns0:v>29.47</ns0:v>
      </ns0:c>
      <ns0:c r="K231" s="4">
        <ns0:v>35.27</ns0:v>
      </ns0:c>
      <ns0:c r="L231" s="4">
        <ns0:v>54.16</ns0:v>
      </ns0:c>
      <ns0:c r="M231" s="4">
        <ns0:v>39.41</ns0:v>
      </ns0:c>
      <ns0:c r="N231" s="4">
        <ns0:v>21.41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30.10</ns0:v>
      </ns0:c>
      <ns0:c r="D232" s="4">
        <ns0:v>26.97</ns0:v>
      </ns0:c>
      <ns0:c r="E232" s="4">
        <ns0:v>38.47</ns0:v>
      </ns0:c>
      <ns0:c r="F232" s="4">
        <ns0:v>26.71</ns0:v>
      </ns0:c>
      <ns0:c r="G232" s="4">
        <ns0:v>48.51</ns0:v>
      </ns0:c>
      <ns0:c r="H232" s="4">
        <ns0:v>28.02</ns0:v>
      </ns0:c>
      <ns0:c r="I232" s="4">
        <ns0:v>17.45</ns0:v>
      </ns0:c>
      <ns0:c r="J232" s="4">
        <ns0:v>53.37</ns0:v>
      </ns0:c>
      <ns0:c r="K232" s="4">
        <ns0:v>37.32</ns0:v>
      </ns0:c>
      <ns0:c r="L232" s="4">
        <ns0:v>22.33</ns0:v>
      </ns0:c>
      <ns0:c r="M232" s="4">
        <ns0:v>58.09</ns0:v>
      </ns0:c>
      <ns0:c r="N232" s="4">
        <ns0:v>76.24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17.47</ns0:v>
      </ns0:c>
      <ns0:c r="D233" s="4">
        <ns0:v>59.41</ns0:v>
      </ns0:c>
      <ns0:c r="E233" s="4">
        <ns0:v>24.52</ns0:v>
      </ns0:c>
      <ns0:c r="F233" s="4">
        <ns0:v>37.39</ns0:v>
      </ns0:c>
      <ns0:c r="G233" s="4">
        <ns0:v>38.25</ns0:v>
      </ns0:c>
      <ns0:c r="H233" s="4">
        <ns0:v>32.74</ns0:v>
      </ns0:c>
      <ns0:c r="I233" s="4">
        <ns0:v>25.53</ns0:v>
      </ns0:c>
      <ns0:c r="J233" s="4">
        <ns0:v>48.18</ns0:v>
      </ns0:c>
      <ns0:c r="K233" s="4">
        <ns0:v>77.53</ns0:v>
      </ns0:c>
      <ns0:c r="L233" s="4">
        <ns0:v>55.46</ns0:v>
      </ns0:c>
      <ns0:c r="M233" s="4">
        <ns0:v>33.37</ns0:v>
      </ns0:c>
      <ns0:c r="N233" s="4">
        <ns0:v>52.10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2.39</ns0:v>
      </ns0:c>
      <ns0:c r="D324" s="4">
        <ns0:v>5.84</ns0:v>
      </ns0:c>
      <ns0:c r="E324" s="4">
        <ns0:v>3.92</ns0:v>
      </ns0:c>
      <ns0:c r="F324" s="4">
        <ns0:v>5.94</ns0:v>
      </ns0:c>
      <ns0:c r="G324" s="4">
        <ns0:v>6.65</ns0:v>
      </ns0:c>
      <ns0:c r="H324" s="4">
        <ns0:v>3.15</ns0:v>
      </ns0:c>
      <ns0:c r="I324" s="4">
        <ns0:v>5.37</ns0:v>
      </ns0:c>
      <ns0:c r="J324" s="4">
        <ns0:v>5.95</ns0:v>
      </ns0:c>
      <ns0:c r="K324" s="4">
        <ns0:v>7.90</ns0:v>
      </ns0:c>
      <ns0:c r="L324" s="4">
        <ns0:v>5.84</ns0:v>
      </ns0:c>
      <ns0:c r="M324" s="4">
        <ns0:v>6.31</ns0:v>
      </ns0:c>
      <ns0:c r="N324" s="4">
        <ns0:v>8.39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7.57</ns0:v>
      </ns0:c>
      <ns0:c r="D325" s="4">
        <ns0:v>5.41</ns0:v>
      </ns0:c>
      <ns0:c r="E325" s="4">
        <ns0:v>2.78</ns0:v>
      </ns0:c>
      <ns0:c r="F325" s="4">
        <ns0:v>6.09</ns0:v>
      </ns0:c>
      <ns0:c r="G325" s="4">
        <ns0:v>6.15</ns0:v>
      </ns0:c>
      <ns0:c r="H325" s="4">
        <ns0:v>2.71</ns0:v>
      </ns0:c>
      <ns0:c r="I325" s="4">
        <ns0:v>3.26</ns0:v>
      </ns0:c>
      <ns0:c r="J325" s="4">
        <ns0:v>4.11</ns0:v>
      </ns0:c>
      <ns0:c r="K325" s="4">
        <ns0:v>3.87</ns0:v>
      </ns0:c>
      <ns0:c r="L325" s="4">
        <ns0:v>6.51</ns0:v>
      </ns0:c>
      <ns0:c r="M325" s="4">
        <ns0:v>2.08</ns0:v>
      </ns0:c>
      <ns0:c r="N325" s="4">
        <ns0:v>3.49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3.36</ns0:v>
      </ns0:c>
      <ns0:c r="D326" s="4">
        <ns0:v>7.50</ns0:v>
      </ns0:c>
      <ns0:c r="E326" s="4">
        <ns0:v>3.56</ns0:v>
      </ns0:c>
      <ns0:c r="F326" s="4">
        <ns0:v>3.98</ns0:v>
      </ns0:c>
      <ns0:c r="G326" s="4">
        <ns0:v>6.75</ns0:v>
      </ns0:c>
      <ns0:c r="H326" s="4">
        <ns0:v>5.25</ns0:v>
      </ns0:c>
      <ns0:c r="I326" s="4">
        <ns0:v>6.57</ns0:v>
      </ns0:c>
      <ns0:c r="J326" s="4">
        <ns0:v>7.60</ns0:v>
      </ns0:c>
      <ns0:c r="K326" s="4">
        <ns0:v>6.74</ns0:v>
      </ns0:c>
      <ns0:c r="L326" s="4">
        <ns0:v>4.40</ns0:v>
      </ns0:c>
      <ns0:c r="M326" s="4">
        <ns0:v>4.01</ns0:v>
      </ns0:c>
      <ns0:c r="N326" s="4">
        <ns0:v>8.02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3.35</ns0:v>
      </ns0:c>
      <ns0:c r="D327" s="4">
        <ns0:v>5.99</ns0:v>
      </ns0:c>
      <ns0:c r="E327" s="4">
        <ns0:v>6.13</ns0:v>
      </ns0:c>
      <ns0:c r="F327" s="4">
        <ns0:v>3.17</ns0:v>
      </ns0:c>
      <ns0:c r="G327" s="4">
        <ns0:v>5.40</ns0:v>
      </ns0:c>
      <ns0:c r="H327" s="4">
        <ns0:v>7.31</ns0:v>
      </ns0:c>
      <ns0:c r="I327" s="4">
        <ns0:v>3.18</ns0:v>
      </ns0:c>
      <ns0:c r="J327" s="4">
        <ns0:v>3.62</ns0:v>
      </ns0:c>
      <ns0:c r="K327" s="4">
        <ns0:v>4.53</ns0:v>
      </ns0:c>
      <ns0:c r="L327" s="4">
        <ns0:v>2.75</ns0:v>
      </ns0:c>
      <ns0:c r="M327" s="4">
        <ns0:v>2.59</ns0:v>
      </ns0:c>
      <ns0:c r="N327" s="4">
        <ns0:v>5.09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2.11</ns0:v>
      </ns0:c>
      <ns0:c r="D328" s="4">
        <ns0:v>4.83</ns0:v>
      </ns0:c>
      <ns0:c r="E328" s="4">
        <ns0:v>3.57</ns0:v>
      </ns0:c>
      <ns0:c r="F328" s="4">
        <ns0:v>7.11</ns0:v>
      </ns0:c>
      <ns0:c r="G328" s="4">
        <ns0:v>3.60</ns0:v>
      </ns0:c>
      <ns0:c r="H328" s="4">
        <ns0:v>3.09</ns0:v>
      </ns0:c>
      <ns0:c r="I328" s="4">
        <ns0:v>6.30</ns0:v>
      </ns0:c>
      <ns0:c r="J328" s="4">
        <ns0:v>2.60</ns0:v>
      </ns0:c>
      <ns0:c r="K328" s="4">
        <ns0:v>4.50</ns0:v>
      </ns0:c>
      <ns0:c r="L328" s="4">
        <ns0:v>4.93</ns0:v>
      </ns0:c>
      <ns0:c r="M328" s="4">
        <ns0:v>8.97</ns0:v>
      </ns0:c>
      <ns0:c r="N328" s="4">
        <ns0:v>7.44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6.29</ns0:v>
      </ns0:c>
      <ns0:c r="D329" s="4">
        <ns0:v>8.18</ns0:v>
      </ns0:c>
      <ns0:c r="E329" s="4">
        <ns0:v>5.05</ns0:v>
      </ns0:c>
      <ns0:c r="F329" s="4">
        <ns0:v>5.82</ns0:v>
      </ns0:c>
      <ns0:c r="G329" s="4">
        <ns0:v>8.79</ns0:v>
      </ns0:c>
      <ns0:c r="H329" s="4">
        <ns0:v>9.76</ns0:v>
      </ns0:c>
      <ns0:c r="I329" s="4">
        <ns0:v>3.21</ns0:v>
      </ns0:c>
      <ns0:c r="J329" s="4">
        <ns0:v>7.30</ns0:v>
      </ns0:c>
      <ns0:c r="K329" s="4">
        <ns0:v>4.87</ns0:v>
      </ns0:c>
      <ns0:c r="L329" s="4">
        <ns0:v>4.33</ns0:v>
      </ns0:c>
      <ns0:c r="M329" s="4">
        <ns0:v>4.61</ns0:v>
      </ns0:c>
      <ns0:c r="N329" s="4">
        <ns0:v>7.35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6.35</ns0:v>
      </ns0:c>
      <ns0:c r="D330" s="4">
        <ns0:v>2.47</ns0:v>
      </ns0:c>
      <ns0:c r="E330" s="4">
        <ns0:v>5.23</ns0:v>
      </ns0:c>
      <ns0:c r="F330" s="4">
        <ns0:v>4.31</ns0:v>
      </ns0:c>
      <ns0:c r="G330" s="4">
        <ns0:v>3.53</ns0:v>
      </ns0:c>
      <ns0:c r="H330" s="4">
        <ns0:v>6.22</ns0:v>
      </ns0:c>
      <ns0:c r="I330" s="4">
        <ns0:v>7.12</ns0:v>
      </ns0:c>
      <ns0:c r="J330" s="4">
        <ns0:v>8.76</ns0:v>
      </ns0:c>
      <ns0:c r="K330" s="4">
        <ns0:v>2.33</ns0:v>
      </ns0:c>
      <ns0:c r="L330" s="4">
        <ns0:v>2.18</ns0:v>
      </ns0:c>
      <ns0:c r="M330" s="4">
        <ns0:v>4.39</ns0:v>
      </ns0:c>
      <ns0:c r="N330" s="4">
        <ns0:v>7.53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8.42</ns0:v>
      </ns0:c>
      <ns0:c r="D331" s="4">
        <ns0:v>5.58</ns0:v>
      </ns0:c>
      <ns0:c r="E331" s="4">
        <ns0:v>9.07</ns0:v>
      </ns0:c>
      <ns0:c r="F331" s="4">
        <ns0:v>5.95</ns0:v>
      </ns0:c>
      <ns0:c r="G331" s="4">
        <ns0:v>3.19</ns0:v>
      </ns0:c>
      <ns0:c r="H331" s="4">
        <ns0:v>6.57</ns0:v>
      </ns0:c>
      <ns0:c r="I331" s="4">
        <ns0:v>2.99</ns0:v>
      </ns0:c>
      <ns0:c r="J331" s="4">
        <ns0:v>6.53</ns0:v>
      </ns0:c>
      <ns0:c r="K331" s="4">
        <ns0:v>2.37</ns0:v>
      </ns0:c>
      <ns0:c r="L331" s="4">
        <ns0:v>4.38</ns0:v>
      </ns0:c>
      <ns0:c r="M331" s="4">
        <ns0:v>8.86</ns0:v>
      </ns0:c>
      <ns0:c r="N331" s="4">
        <ns0:v>4.21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2.85</ns0:v>
      </ns0:c>
      <ns0:c r="D332" s="4">
        <ns0:v>2.88</ns0:v>
      </ns0:c>
      <ns0:c r="E332" s="4">
        <ns0:v>7.44</ns0:v>
      </ns0:c>
      <ns0:c r="F332" s="4">
        <ns0:v>4.57</ns0:v>
      </ns0:c>
      <ns0:c r="G332" s="4">
        <ns0:v>8.11</ns0:v>
      </ns0:c>
      <ns0:c r="H332" s="4">
        <ns0:v>6.52</ns0:v>
      </ns0:c>
      <ns0:c r="I332" s="4">
        <ns0:v>2.26</ns0:v>
      </ns0:c>
      <ns0:c r="J332" s="4">
        <ns0:v>4.96</ns0:v>
      </ns0:c>
      <ns0:c r="K332" s="4">
        <ns0:v>2.87</ns0:v>
      </ns0:c>
      <ns0:c r="L332" s="4">
        <ns0:v>9.64</ns0:v>
      </ns0:c>
      <ns0:c r="M332" s="4">
        <ns0:v>7.09</ns0:v>
      </ns0:c>
      <ns0:c r="N332" s="4">
        <ns0:v>3.05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5.77</ns0:v>
      </ns0:c>
      <ns0:c r="D333" s="4">
        <ns0:v>7.58</ns0:v>
      </ns0:c>
      <ns0:c r="E333" s="4">
        <ns0:v>6.21</ns0:v>
      </ns0:c>
      <ns0:c r="F333" s="4">
        <ns0:v>4.93</ns0:v>
      </ns0:c>
      <ns0:c r="G333" s="4">
        <ns0:v>5.44</ns0:v>
      </ns0:c>
      <ns0:c r="H333" s="4">
        <ns0:v>2.70</ns0:v>
      </ns0:c>
      <ns0:c r="I333" s="4">
        <ns0:v>7.16</ns0:v>
      </ns0:c>
      <ns0:c r="J333" s="4">
        <ns0:v>5.12</ns0:v>
      </ns0:c>
      <ns0:c r="K333" s="4">
        <ns0:v>5.38</ns0:v>
      </ns0:c>
      <ns0:c r="L333" s="4">
        <ns0:v>8.54</ns0:v>
      </ns0:c>
      <ns0:c r="M333" s="4">
        <ns0:v>6.50</ns0:v>
      </ns0:c>
      <ns0:c r="N333" s="4">
        <ns0:v>4.75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4.45</ns0:v>
      </ns0:c>
      <ns0:c r="D334" s="4">
        <ns0:v>6.43</ns0:v>
      </ns0:c>
      <ns0:c r="E334" s="4">
        <ns0:v>4.23</ns0:v>
      </ns0:c>
      <ns0:c r="F334" s="4">
        <ns0:v>5.71</ns0:v>
      </ns0:c>
      <ns0:c r="G334" s="4">
        <ns0:v>4.89</ns0:v>
      </ns0:c>
      <ns0:c r="H334" s="4">
        <ns0:v>7.68</ns0:v>
      </ns0:c>
      <ns0:c r="I334" s="4">
        <ns0:v>4.63</ns0:v>
      </ns0:c>
      <ns0:c r="J334" s="4">
        <ns0:v>5.85</ns0:v>
      </ns0:c>
      <ns0:c r="K334" s="4">
        <ns0:v>3.28</ns0:v>
      </ns0:c>
      <ns0:c r="L334" s="4">
        <ns0:v>7.89</ns0:v>
      </ns0:c>
      <ns0:c r="M334" s="4">
        <ns0:v>8.76</ns0:v>
      </ns0:c>
      <ns0:c r="N334" s="4">
        <ns0:v>5.80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7.47</ns0:v>
      </ns0:c>
      <ns0:c r="D335" s="4">
        <ns0:v>9.33</ns0:v>
      </ns0:c>
      <ns0:c r="E335" s="4">
        <ns0:v>6.87</ns0:v>
      </ns0:c>
      <ns0:c r="F335" s="4">
        <ns0:v>7.49</ns0:v>
      </ns0:c>
      <ns0:c r="G335" s="4">
        <ns0:v>8.24</ns0:v>
      </ns0:c>
      <ns0:c r="H335" s="4">
        <ns0:v>6.85</ns0:v>
      </ns0:c>
      <ns0:c r="I335" s="4">
        <ns0:v>5.94</ns0:v>
      </ns0:c>
      <ns0:c r="J335" s="4">
        <ns0:v>2.74</ns0:v>
      </ns0:c>
      <ns0:c r="K335" s="4">
        <ns0:v>6.76</ns0:v>
      </ns0:c>
      <ns0:c r="L335" s="4">
        <ns0:v>3.72</ns0:v>
      </ns0:c>
      <ns0:c r="M335" s="4">
        <ns0:v>7.31</ns0:v>
      </ns0:c>
      <ns0:c r="N335" s="4">
        <ns0:v>2.25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3.26</ns0:v>
      </ns0:c>
      <ns0:c r="D336" s="4">
        <ns0:v>9.15</ns0:v>
      </ns0:c>
      <ns0:c r="E336" s="4">
        <ns0:v>3.88</ns0:v>
      </ns0:c>
      <ns0:c r="F336" s="4">
        <ns0:v>8.90</ns0:v>
      </ns0:c>
      <ns0:c r="G336" s="4">
        <ns0:v>8.35</ns0:v>
      </ns0:c>
      <ns0:c r="H336" s="4">
        <ns0:v>4.61</ns0:v>
      </ns0:c>
      <ns0:c r="I336" s="4">
        <ns0:v>5.51</ns0:v>
      </ns0:c>
      <ns0:c r="J336" s="4">
        <ns0:v>4.65</ns0:v>
      </ns0:c>
      <ns0:c r="K336" s="4">
        <ns0:v>7.79</ns0:v>
      </ns0:c>
      <ns0:c r="L336" s="4">
        <ns0:v>8.45</ns0:v>
      </ns0:c>
      <ns0:c r="M336" s="4">
        <ns0:v>4.09</ns0:v>
      </ns0:c>
      <ns0:c r="N336" s="4">
        <ns0:v>3.97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6.38</ns0:v>
      </ns0:c>
      <ns0:c r="D337" s="4">
        <ns0:v>7.59</ns0:v>
      </ns0:c>
      <ns0:c r="E337" s="4">
        <ns0:v>8.92</ns0:v>
      </ns0:c>
      <ns0:c r="F337" s="4">
        <ns0:v>6.01</ns0:v>
      </ns0:c>
      <ns0:c r="G337" s="4">
        <ns0:v>4.58</ns0:v>
      </ns0:c>
      <ns0:c r="H337" s="4">
        <ns0:v>5.17</ns0:v>
      </ns0:c>
      <ns0:c r="I337" s="4">
        <ns0:v>4.57</ns0:v>
      </ns0:c>
      <ns0:c r="J337" s="4">
        <ns0:v>7.43</ns0:v>
      </ns0:c>
      <ns0:c r="K337" s="4">
        <ns0:v>6.02</ns0:v>
      </ns0:c>
      <ns0:c r="L337" s="4">
        <ns0:v>2.18</ns0:v>
      </ns0:c>
      <ns0:c r="M337" s="4">
        <ns0:v>3.31</ns0:v>
      </ns0:c>
      <ns0:c r="N337" s="4">
        <ns0:v>7.27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5.19</ns0:v>
      </ns0:c>
      <ns0:c r="D338" s="4">
        <ns0:v>6.91</ns0:v>
      </ns0:c>
      <ns0:c r="E338" s="4">
        <ns0:v>3.78</ns0:v>
      </ns0:c>
      <ns0:c r="F338" s="4">
        <ns0:v>2.49</ns0:v>
      </ns0:c>
      <ns0:c r="G338" s="4">
        <ns0:v>2.71</ns0:v>
      </ns0:c>
      <ns0:c r="H338" s="4">
        <ns0:v>9.50</ns0:v>
      </ns0:c>
      <ns0:c r="I338" s="4">
        <ns0:v>3.22</ns0:v>
      </ns0:c>
      <ns0:c r="J338" s="4">
        <ns0:v>4.81</ns0:v>
      </ns0:c>
      <ns0:c r="K338" s="4">
        <ns0:v>5.24</ns0:v>
      </ns0:c>
      <ns0:c r="L338" s="4">
        <ns0:v>7.40</ns0:v>
      </ns0:c>
      <ns0:c r="M338" s="4">
        <ns0:v>8.52</ns0:v>
      </ns0:c>
      <ns0:c r="N338" s="4">
        <ns0:v>6.45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3.79</ns0:v>
      </ns0:c>
      <ns0:c r="D339" s="4">
        <ns0:v>3.23</ns0:v>
      </ns0:c>
      <ns0:c r="E339" s="4">
        <ns0:v>5.71</ns0:v>
      </ns0:c>
      <ns0:c r="F339" s="4">
        <ns0:v>4.09</ns0:v>
      </ns0:c>
      <ns0:c r="G339" s="4">
        <ns0:v>7.35</ns0:v>
      </ns0:c>
      <ns0:c r="H339" s="4">
        <ns0:v>7.91</ns0:v>
      </ns0:c>
      <ns0:c r="I339" s="4">
        <ns0:v>4.41</ns0:v>
      </ns0:c>
      <ns0:c r="J339" s="4">
        <ns0:v>5.89</ns0:v>
      </ns0:c>
      <ns0:c r="K339" s="4">
        <ns0:v>4.49</ns0:v>
      </ns0:c>
      <ns0:c r="L339" s="4">
        <ns0:v>2.78</ns0:v>
      </ns0:c>
      <ns0:c r="M339" s="4">
        <ns0:v>2.86</ns0:v>
      </ns0:c>
      <ns0:c r="N339" s="4">
        <ns0:v>3.60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6.26</ns0:v>
      </ns0:c>
      <ns0:c r="D341" s="4">
        <ns0:v>6.82</ns0:v>
      </ns0:c>
      <ns0:c r="E341" s="4">
        <ns0:v>3.04</ns0:v>
      </ns0:c>
      <ns0:c r="F341" s="4">
        <ns0:v>6.68</ns0:v>
      </ns0:c>
      <ns0:c r="G341" s="4">
        <ns0:v>2.79</ns0:v>
      </ns0:c>
      <ns0:c r="H341" s="4">
        <ns0:v>4.15</ns0:v>
      </ns0:c>
      <ns0:c r="I341" s="4">
        <ns0:v>4.83</ns0:v>
      </ns0:c>
      <ns0:c r="J341" s="4">
        <ns0:v>7.90</ns0:v>
      </ns0:c>
      <ns0:c r="K341" s="4">
        <ns0:v>7.74</ns0:v>
      </ns0:c>
      <ns0:c r="L341" s="4">
        <ns0:v>2.49</ns0:v>
      </ns0:c>
      <ns0:c r="M341" s="4">
        <ns0:v>3.20</ns0:v>
      </ns0:c>
      <ns0:c r="N341" s="4">
        <ns0:v>6.25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5.54</ns0:v>
      </ns0:c>
      <ns0:c r="D342" s="4">
        <ns0:v>6.85</ns0:v>
      </ns0:c>
      <ns0:c r="E342" s="4">
        <ns0:v>5.15</ns0:v>
      </ns0:c>
      <ns0:c r="F342" s="4">
        <ns0:v>7.51</ns0:v>
      </ns0:c>
      <ns0:c r="G342" s="4">
        <ns0:v>2.99</ns0:v>
      </ns0:c>
      <ns0:c r="H342" s="4">
        <ns0:v>6.78</ns0:v>
      </ns0:c>
      <ns0:c r="I342" s="4">
        <ns0:v>2.14</ns0:v>
      </ns0:c>
      <ns0:c r="J342" s="4">
        <ns0:v>2.75</ns0:v>
      </ns0:c>
      <ns0:c r="K342" s="4">
        <ns0:v>5.93</ns0:v>
      </ns0:c>
      <ns0:c r="L342" s="4">
        <ns0:v>6.71</ns0:v>
      </ns0:c>
      <ns0:c r="M342" s="4">
        <ns0:v>3.84</ns0:v>
      </ns0:c>
      <ns0:c r="N342" s="4">
        <ns0:v>6.17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5.94</ns0:v>
      </ns0:c>
      <ns0:c r="D343" s="4">
        <ns0:v>6.40</ns0:v>
      </ns0:c>
      <ns0:c r="E343" s="4">
        <ns0:v>8.69</ns0:v>
      </ns0:c>
      <ns0:c r="F343" s="4">
        <ns0:v>8.18</ns0:v>
      </ns0:c>
      <ns0:c r="G343" s="4">
        <ns0:v>6.47</ns0:v>
      </ns0:c>
      <ns0:c r="H343" s="4">
        <ns0:v>4.15</ns0:v>
      </ns0:c>
      <ns0:c r="I343" s="4">
        <ns0:v>8.13</ns0:v>
      </ns0:c>
      <ns0:c r="J343" s="4">
        <ns0:v>3.26</ns0:v>
      </ns0:c>
      <ns0:c r="K343" s="4">
        <ns0:v>8.54</ns0:v>
      </ns0:c>
      <ns0:c r="L343" s="4">
        <ns0:v>5.26</ns0:v>
      </ns0:c>
      <ns0:c r="M343" s="4">
        <ns0:v>7.66</ns0:v>
      </ns0:c>
      <ns0:c r="N343" s="4">
        <ns0:v>5.83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9.24</ns0:v>
      </ns0:c>
      <ns0:c r="D344" s="4">
        <ns0:v>6.08</ns0:v>
      </ns0:c>
      <ns0:c r="E344" s="4">
        <ns0:v>5.74</ns0:v>
      </ns0:c>
      <ns0:c r="F344" s="4">
        <ns0:v>4.43</ns0:v>
      </ns0:c>
      <ns0:c r="G344" s="4">
        <ns0:v>4.63</ns0:v>
      </ns0:c>
      <ns0:c r="H344" s="4">
        <ns0:v>4.65</ns0:v>
      </ns0:c>
      <ns0:c r="I344" s="4">
        <ns0:v>6.20</ns0:v>
      </ns0:c>
      <ns0:c r="J344" s="4">
        <ns0:v>3.98</ns0:v>
      </ns0:c>
      <ns0:c r="K344" s="4">
        <ns0:v>2.36</ns0:v>
      </ns0:c>
      <ns0:c r="L344" s="4">
        <ns0:v>5.11</ns0:v>
      </ns0:c>
      <ns0:c r="M344" s="4">
        <ns0:v>7.84</ns0:v>
      </ns0:c>
      <ns0:c r="N344" s="4">
        <ns0:v>3.99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4.54</ns0:v>
      </ns0:c>
      <ns0:c r="D345" s="4">
        <ns0:v>7.90</ns0:v>
      </ns0:c>
      <ns0:c r="E345" s="4">
        <ns0:v>4.90</ns0:v>
      </ns0:c>
      <ns0:c r="F345" s="4">
        <ns0:v>5.94</ns0:v>
      </ns0:c>
      <ns0:c r="G345" s="4">
        <ns0:v>8.34</ns0:v>
      </ns0:c>
      <ns0:c r="H345" s="4">
        <ns0:v>6.86</ns0:v>
      </ns0:c>
      <ns0:c r="I345" s="4">
        <ns0:v>8.02</ns0:v>
      </ns0:c>
      <ns0:c r="J345" s="4">
        <ns0:v>2.67</ns0:v>
      </ns0:c>
      <ns0:c r="K345" s="4">
        <ns0:v>9.10</ns0:v>
      </ns0:c>
      <ns0:c r="L345" s="4">
        <ns0:v>7.99</ns0:v>
      </ns0:c>
      <ns0:c r="M345" s="4">
        <ns0:v>5.81</ns0:v>
      </ns0:c>
      <ns0:c r="N345" s="4">
        <ns0:v>2.75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6.42</ns0:v>
      </ns0:c>
      <ns0:c r="D346" s="4">
        <ns0:v>6.34</ns0:v>
      </ns0:c>
      <ns0:c r="E346" s="4">
        <ns0:v>6.46</ns0:v>
      </ns0:c>
      <ns0:c r="F346" s="4">
        <ns0:v>3.89</ns0:v>
      </ns0:c>
      <ns0:c r="G346" s="4">
        <ns0:v>8.11</ns0:v>
      </ns0:c>
      <ns0:c r="H346" s="4">
        <ns0:v>6.74</ns0:v>
      </ns0:c>
      <ns0:c r="I346" s="4">
        <ns0:v>3.63</ns0:v>
      </ns0:c>
      <ns0:c r="J346" s="4">
        <ns0:v>4.45</ns0:v>
      </ns0:c>
      <ns0:c r="K346" s="4">
        <ns0:v>7.58</ns0:v>
      </ns0:c>
      <ns0:c r="L346" s="4">
        <ns0:v>5.55</ns0:v>
      </ns0:c>
      <ns0:c r="M346" s="4">
        <ns0:v>8.01</ns0:v>
      </ns0:c>
      <ns0:c r="N346" s="4">
        <ns0:v>9.39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2.46</ns0:v>
      </ns0:c>
      <ns0:c r="D347" s="4">
        <ns0:v>7.24</ns0:v>
      </ns0:c>
      <ns0:c r="E347" s="4">
        <ns0:v>4.06</ns0:v>
      </ns0:c>
      <ns0:c r="F347" s="4">
        <ns0:v>4.72</ns0:v>
      </ns0:c>
      <ns0:c r="G347" s="4">
        <ns0:v>8.42</ns0:v>
      </ns0:c>
      <ns0:c r="H347" s="4">
        <ns0:v>7.19</ns0:v>
      </ns0:c>
      <ns0:c r="I347" s="4">
        <ns0:v>7.34</ns0:v>
      </ns0:c>
      <ns0:c r="J347" s="4">
        <ns0:v>4.20</ns0:v>
      </ns0:c>
      <ns0:c r="K347" s="4">
        <ns0:v>5.69</ns0:v>
      </ns0:c>
      <ns0:c r="L347" s="4">
        <ns0:v>8.89</ns0:v>
      </ns0:c>
      <ns0:c r="M347" s="4">
        <ns0:v>2.65</ns0:v>
      </ns0:c>
      <ns0:c r="N347" s="4">
        <ns0:v>7.83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6.57</ns0:v>
      </ns0:c>
      <ns0:c r="D348" s="4">
        <ns0:v>7.84</ns0:v>
      </ns0:c>
      <ns0:c r="E348" s="4">
        <ns0:v>9.10</ns0:v>
      </ns0:c>
      <ns0:c r="F348" s="4">
        <ns0:v>6.54</ns0:v>
      </ns0:c>
      <ns0:c r="G348" s="4">
        <ns0:v>4.09</ns0:v>
      </ns0:c>
      <ns0:c r="H348" s="4">
        <ns0:v>5.96</ns0:v>
      </ns0:c>
      <ns0:c r="I348" s="4">
        <ns0:v>3.13</ns0:v>
      </ns0:c>
      <ns0:c r="J348" s="4">
        <ns0:v>2.34</ns0:v>
      </ns0:c>
      <ns0:c r="K348" s="4">
        <ns0:v>9.38</ns0:v>
      </ns0:c>
      <ns0:c r="L348" s="4">
        <ns0:v>8.47</ns0:v>
      </ns0:c>
      <ns0:c r="M348" s="4">
        <ns0:v>3.75</ns0:v>
      </ns0:c>
      <ns0:c r="N348" s="4">
        <ns0:v>2.91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8.38</ns0:v>
      </ns0:c>
      <ns0:c r="D350" s="4">
        <ns0:v>4.08</ns0:v>
      </ns0:c>
      <ns0:c r="E350" s="4">
        <ns0:v>5.06</ns0:v>
      </ns0:c>
      <ns0:c r="F350" s="4">
        <ns0:v>3.06</ns0:v>
      </ns0:c>
      <ns0:c r="G350" s="4">
        <ns0:v>6.29</ns0:v>
      </ns0:c>
      <ns0:c r="H350" s="4">
        <ns0:v>2.61</ns0:v>
      </ns0:c>
      <ns0:c r="I350" s="4">
        <ns0:v>2.46</ns0:v>
      </ns0:c>
      <ns0:c r="J350" s="4">
        <ns0:v>4.10</ns0:v>
      </ns0:c>
      <ns0:c r="K350" s="4">
        <ns0:v>5.83</ns0:v>
      </ns0:c>
      <ns0:c r="L350" s="4">
        <ns0:v>4.99</ns0:v>
      </ns0:c>
      <ns0:c r="M350" s="4">
        <ns0:v>3.48</ns0:v>
      </ns0:c>
      <ns0:c r="N350" s="4">
        <ns0:v>4.38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6.07</ns0:v>
      </ns0:c>
      <ns0:c r="D351" s="4">
        <ns0:v>3.62</ns0:v>
      </ns0:c>
      <ns0:c r="E351" s="4">
        <ns0:v>2.79</ns0:v>
      </ns0:c>
      <ns0:c r="F351" s="4">
        <ns0:v>7.20</ns0:v>
      </ns0:c>
      <ns0:c r="G351" s="4">
        <ns0:v>2.87</ns0:v>
      </ns0:c>
      <ns0:c r="H351" s="4">
        <ns0:v>7.21</ns0:v>
      </ns0:c>
      <ns0:c r="I351" s="4">
        <ns0:v>4.66</ns0:v>
      </ns0:c>
      <ns0:c r="J351" s="4">
        <ns0:v>4.40</ns0:v>
      </ns0:c>
      <ns0:c r="K351" s="4">
        <ns0:v>7.24</ns0:v>
      </ns0:c>
      <ns0:c r="L351" s="4">
        <ns0:v>7.99</ns0:v>
      </ns0:c>
      <ns0:c r="M351" s="4">
        <ns0:v>7.16</ns0:v>
      </ns0:c>
      <ns0:c r="N351" s="4">
        <ns0:v>5.29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6.25</ns0:v>
      </ns0:c>
      <ns0:c r="D352" s="4">
        <ns0:v>7.37</ns0:v>
      </ns0:c>
      <ns0:c r="E352" s="4">
        <ns0:v>8.22</ns0:v>
      </ns0:c>
      <ns0:c r="F352" s="4">
        <ns0:v>5.32</ns0:v>
      </ns0:c>
      <ns0:c r="G352" s="4">
        <ns0:v>3.46</ns0:v>
      </ns0:c>
      <ns0:c r="H352" s="4">
        <ns0:v>4.45</ns0:v>
      </ns0:c>
      <ns0:c r="I352" s="4">
        <ns0:v>5.89</ns0:v>
      </ns0:c>
      <ns0:c r="J352" s="4">
        <ns0:v>5.16</ns0:v>
      </ns0:c>
      <ns0:c r="K352" s="4">
        <ns0:v>8.27</ns0:v>
      </ns0:c>
      <ns0:c r="L352" s="4">
        <ns0:v>7.91</ns0:v>
      </ns0:c>
      <ns0:c r="M352" s="4">
        <ns0:v>8.83</ns0:v>
      </ns0:c>
      <ns0:c r="N352" s="4">
        <ns0:v>4.52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3.85</ns0:v>
      </ns0:c>
      <ns0:c r="D353" s="4">
        <ns0:v>6.32</ns0:v>
      </ns0:c>
      <ns0:c r="E353" s="4">
        <ns0:v>5.60</ns0:v>
      </ns0:c>
      <ns0:c r="F353" s="4">
        <ns0:v>9.05</ns0:v>
      </ns0:c>
      <ns0:c r="G353" s="4">
        <ns0:v>6.34</ns0:v>
      </ns0:c>
      <ns0:c r="H353" s="4">
        <ns0:v>6.23</ns0:v>
      </ns0:c>
      <ns0:c r="I353" s="4">
        <ns0:v>8.72</ns0:v>
      </ns0:c>
      <ns0:c r="J353" s="4">
        <ns0:v>4.68</ns0:v>
      </ns0:c>
      <ns0:c r="K353" s="4">
        <ns0:v>4.98</ns0:v>
      </ns0:c>
      <ns0:c r="L353" s="4">
        <ns0:v>7.51</ns0:v>
      </ns0:c>
      <ns0:c r="M353" s="4">
        <ns0:v>7.18</ns0:v>
      </ns0:c>
      <ns0:c r="N353" s="4">
        <ns0:v>8.89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'销售费用'!C4+'管理费用'!C4+'蓝恐龙费用'!C4</ns0:f>
        <ns0:v>836.74</ns0:v>
      </ns0:c>
      <ns0:c r="D4" s="3">
        <ns0:f>'销售费用'!D4+'管理费用'!D4+'蓝恐龙费用'!D4</ns0:f>
        <ns0:v>403.77</ns0:v>
      </ns0:c>
      <ns0:c r="E4" s="3">
        <ns0:f>'销售费用'!E4+'管理费用'!E4+'蓝恐龙费用'!E4</ns0:f>
        <ns0:v>851.32</ns0:v>
      </ns0:c>
      <ns0:c r="F4" s="3">
        <ns0:f>'销售费用'!F4+'管理费用'!F4+'蓝恐龙费用'!F4</ns0:f>
        <ns0:v>867.43</ns0:v>
      </ns0:c>
      <ns0:c r="G4" s="3">
        <ns0:f>'销售费用'!G4+'管理费用'!G4+'蓝恐龙费用'!G4</ns0:f>
        <ns0:v>1172.28</ns0:v>
      </ns0:c>
      <ns0:c r="H4" s="3">
        <ns0:f>'销售费用'!H4+'管理费用'!H4+'蓝恐龙费用'!H4</ns0:f>
        <ns0:v>595.26</ns0:v>
      </ns0:c>
      <ns0:c r="I4" s="3">
        <ns0:f>'销售费用'!I4+'管理费用'!I4+'蓝恐龙费用'!I4</ns0:f>
        <ns0:v>559.14</ns0:v>
      </ns0:c>
      <ns0:c r="J4" s="3">
        <ns0:f>'销售费用'!J4+'管理费用'!J4+'蓝恐龙费用'!J4</ns0:f>
        <ns0:v>289.52</ns0:v>
      </ns0:c>
      <ns0:c r="K4" s="3">
        <ns0:f>'销售费用'!K4+'管理费用'!K4+'蓝恐龙费用'!K4</ns0:f>
        <ns0:v>1000.15</ns0:v>
      </ns0:c>
      <ns0:c r="L4" s="3">
        <ns0:f>'销售费用'!L4+'管理费用'!L4+'蓝恐龙费用'!L4</ns0:f>
        <ns0:v>672.24</ns0:v>
      </ns0:c>
      <ns0:c r="M4" s="3">
        <ns0:f>'销售费用'!M4+'管理费用'!M4+'蓝恐龙费用'!M4</ns0:f>
        <ns0:v>745.87</ns0:v>
      </ns0:c>
      <ns0:c r="N4" s="3">
        <ns0:f>'销售费用'!N4+'管理费用'!N4+'蓝恐龙费用'!N4</ns0:f>
        <ns0:v>1114.03</ns0:v>
      </ns0:c>
      <ns0:c r="O4" s="3">
        <ns0:f>SUM(C4:N4)</ns0:f>
        <ns0:v>9107.75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'销售费用'!C5+'管理费用'!C5+'蓝恐龙费用'!C5</ns0:f>
        <ns0:v>647.81</ns0:v>
      </ns0:c>
      <ns0:c r="D5" s="3">
        <ns0:f>'销售费用'!D5+'管理费用'!D5+'蓝恐龙费用'!D5</ns0:f>
        <ns0:v>918.05</ns0:v>
      </ns0:c>
      <ns0:c r="E5" s="3">
        <ns0:f>'销售费用'!E5+'管理费用'!E5+'蓝恐龙费用'!E5</ns0:f>
        <ns0:v>404.26</ns0:v>
      </ns0:c>
      <ns0:c r="F5" s="3">
        <ns0:f>'销售费用'!F5+'管理费用'!F5+'蓝恐龙费用'!F5</ns0:f>
        <ns0:v>1235.98</ns0:v>
      </ns0:c>
      <ns0:c r="G5" s="3">
        <ns0:f>'销售费用'!G5+'管理费用'!G5+'蓝恐龙费用'!G5</ns0:f>
        <ns0:v>1085.34</ns0:v>
      </ns0:c>
      <ns0:c r="H5" s="3">
        <ns0:f>'销售费用'!H5+'管理费用'!H5+'蓝恐龙费用'!H5</ns0:f>
        <ns0:v>702.92</ns0:v>
      </ns0:c>
      <ns0:c r="I5" s="3">
        <ns0:f>'销售费用'!I5+'管理费用'!I5+'蓝恐龙费用'!I5</ns0:f>
        <ns0:v>890.16</ns0:v>
      </ns0:c>
      <ns0:c r="J5" s="3">
        <ns0:f>'销售费用'!J5+'管理费用'!J5+'蓝恐龙费用'!J5</ns0:f>
        <ns0:v>512.31</ns0:v>
      </ns0:c>
      <ns0:c r="K5" s="3">
        <ns0:f>'销售费用'!K5+'管理费用'!K5+'蓝恐龙费用'!K5</ns0:f>
        <ns0:v>505.16</ns0:v>
      </ns0:c>
      <ns0:c r="L5" s="3">
        <ns0:f>'销售费用'!L5+'管理费用'!L5+'蓝恐龙费用'!L5</ns0:f>
        <ns0:v>650.98</ns0:v>
      </ns0:c>
      <ns0:c r="M5" s="3">
        <ns0:f>'销售费用'!M5+'管理费用'!M5+'蓝恐龙费用'!M5</ns0:f>
        <ns0:v>269.71</ns0:v>
      </ns0:c>
      <ns0:c r="N5" s="3">
        <ns0:f>'销售费用'!N5+'管理费用'!N5+'蓝恐龙费用'!N5</ns0:f>
        <ns0:v>601.98</ns0:v>
      </ns0:c>
      <ns0:c r="O5" s="3">
        <ns0:f>SUM(C5:N5)</ns0:f>
        <ns0:v>8424.66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'销售费用'!C6+'管理费用'!C6+'蓝恐龙费用'!C6</ns0:f>
        <ns0:v>593.42</ns0:v>
      </ns0:c>
      <ns0:c r="D6" s="3">
        <ns0:f>'销售费用'!D6+'管理费用'!D6+'蓝恐龙费用'!D6</ns0:f>
        <ns0:v>1232.47</ns0:v>
      </ns0:c>
      <ns0:c r="E6" s="3">
        <ns0:f>'销售费用'!E6+'管理费用'!E6+'蓝恐龙费用'!E6</ns0:f>
        <ns0:v>436.46</ns0:v>
      </ns0:c>
      <ns0:c r="F6" s="3">
        <ns0:f>'销售费用'!F6+'管理费用'!F6+'蓝恐龙费用'!F6</ns0:f>
        <ns0:v>574.38</ns0:v>
      </ns0:c>
      <ns0:c r="G6" s="3">
        <ns0:f>'销售费用'!G6+'管理费用'!G6+'蓝恐龙费用'!G6</ns0:f>
        <ns0:v>820.93</ns0:v>
      </ns0:c>
      <ns0:c r="H6" s="3">
        <ns0:f>'销售费用'!H6+'管理费用'!H6+'蓝恐龙费用'!H6</ns0:f>
        <ns0:v>981.50</ns0:v>
      </ns0:c>
      <ns0:c r="I6" s="3">
        <ns0:f>'销售费用'!I6+'管理费用'!I6+'蓝恐龙费用'!I6</ns0:f>
        <ns0:v>626.57</ns0:v>
      </ns0:c>
      <ns0:c r="J6" s="3">
        <ns0:f>'销售费用'!J6+'管理费用'!J6+'蓝恐龙费用'!J6</ns0:f>
        <ns0:v>693.45</ns0:v>
      </ns0:c>
      <ns0:c r="K6" s="3">
        <ns0:f>'销售费用'!K6+'管理费用'!K6+'蓝恐龙费用'!K6</ns0:f>
        <ns0:v>888.04</ns0:v>
      </ns0:c>
      <ns0:c r="L6" s="3">
        <ns0:f>'销售费用'!L6+'管理费用'!L6+'蓝恐龙费用'!L6</ns0:f>
        <ns0:v>700.32</ns0:v>
      </ns0:c>
      <ns0:c r="M6" s="3">
        <ns0:f>'销售费用'!M6+'管理费用'!M6+'蓝恐龙费用'!M6</ns0:f>
        <ns0:v>458.37</ns0:v>
      </ns0:c>
      <ns0:c r="N6" s="3">
        <ns0:f>'销售费用'!N6+'管理费用'!N6+'蓝恐龙费用'!N6</ns0:f>
        <ns0:v>952.54</ns0:v>
      </ns0:c>
      <ns0:c r="O6" s="3">
        <ns0:f>SUM(C6:N6)</ns0:f>
        <ns0:v>8958.45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'销售费用'!C7+'管理费用'!C7+'蓝恐龙费用'!C7</ns0:f>
        <ns0:v>473.54</ns0:v>
      </ns0:c>
      <ns0:c r="D7" s="3">
        <ns0:f>'销售费用'!D7+'管理费用'!D7+'蓝恐龙费用'!D7</ns0:f>
        <ns0:v>485.46</ns0:v>
      </ns0:c>
      <ns0:c r="E7" s="3">
        <ns0:f>'销售费用'!E7+'管理费用'!E7+'蓝恐龙费用'!E7</ns0:f>
        <ns0:v>687.87</ns0:v>
      </ns0:c>
      <ns0:c r="F7" s="3">
        <ns0:f>'销售费用'!F7+'管理费用'!F7+'蓝恐龙费用'!F7</ns0:f>
        <ns0:v>561.76</ns0:v>
      </ns0:c>
      <ns0:c r="G7" s="3">
        <ns0:f>'销售费用'!G7+'管理费用'!G7+'蓝恐龙费用'!G7</ns0:f>
        <ns0:v>500.15</ns0:v>
      </ns0:c>
      <ns0:c r="H7" s="3">
        <ns0:f>'销售费用'!H7+'管理费用'!H7+'蓝恐龙费用'!H7</ns0:f>
        <ns0:v>871.25</ns0:v>
      </ns0:c>
      <ns0:c r="I7" s="3">
        <ns0:f>'销售费用'!I7+'管理费用'!I7+'蓝恐龙费用'!I7</ns0:f>
        <ns0:v>598.21</ns0:v>
      </ns0:c>
      <ns0:c r="J7" s="3">
        <ns0:f>'销售费用'!J7+'管理费用'!J7+'蓝恐龙费用'!J7</ns0:f>
        <ns0:v>501.80</ns0:v>
      </ns0:c>
      <ns0:c r="K7" s="3">
        <ns0:f>'销售费用'!K7+'管理费用'!K7+'蓝恐龙费用'!K7</ns0:f>
        <ns0:v>1057.53</ns0:v>
      </ns0:c>
      <ns0:c r="L7" s="3">
        <ns0:f>'销售费用'!L7+'管理费用'!L7+'蓝恐龙费用'!L7</ns0:f>
        <ns0:v>555.98</ns0:v>
      </ns0:c>
      <ns0:c r="M7" s="3">
        <ns0:f>'销售费用'!M7+'管理费用'!M7+'蓝恐龙费用'!M7</ns0:f>
        <ns0:v>654.19</ns0:v>
      </ns0:c>
      <ns0:c r="N7" s="3">
        <ns0:f>'销售费用'!N7+'管理费用'!N7+'蓝恐龙费用'!N7</ns0:f>
        <ns0:v>857.88</ns0:v>
      </ns0:c>
      <ns0:c r="O7" s="3">
        <ns0:f>SUM(C7:N7)</ns0:f>
        <ns0:v>7805.62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'销售费用'!C8+'管理费用'!C8+'蓝恐龙费用'!C8</ns0:f>
        <ns0:v>912.35</ns0:v>
      </ns0:c>
      <ns0:c r="D8" s="3">
        <ns0:f>'销售费用'!D8+'管理费用'!D8+'蓝恐龙费用'!D8</ns0:f>
        <ns0:v>347.71</ns0:v>
      </ns0:c>
      <ns0:c r="E8" s="3">
        <ns0:f>'销售费用'!E8+'管理费用'!E8+'蓝恐龙费用'!E8</ns0:f>
        <ns0:v>581.21</ns0:v>
      </ns0:c>
      <ns0:c r="F8" s="3">
        <ns0:f>'销售费用'!F8+'管理费用'!F8+'蓝恐龙费用'!F8</ns0:f>
        <ns0:v>997.93</ns0:v>
      </ns0:c>
      <ns0:c r="G8" s="3">
        <ns0:f>'销售费用'!G8+'管理费用'!G8+'蓝恐龙费用'!G8</ns0:f>
        <ns0:v>822.59</ns0:v>
      </ns0:c>
      <ns0:c r="H8" s="3">
        <ns0:f>'销售费用'!H8+'管理费用'!H8+'蓝恐龙费用'!H8</ns0:f>
        <ns0:v>702.95</ns0:v>
      </ns0:c>
      <ns0:c r="I8" s="3">
        <ns0:f>'销售费用'!I8+'管理费用'!I8+'蓝恐龙费用'!I8</ns0:f>
        <ns0:v>814.57</ns0:v>
      </ns0:c>
      <ns0:c r="J8" s="3">
        <ns0:f>'销售费用'!J8+'管理费用'!J8+'蓝恐龙费用'!J8</ns0:f>
        <ns0:v>547.03</ns0:v>
      </ns0:c>
      <ns0:c r="K8" s="3">
        <ns0:f>'销售费用'!K8+'管理费用'!K8+'蓝恐龙费用'!K8</ns0:f>
        <ns0:v>337.43</ns0:v>
      </ns0:c>
      <ns0:c r="L8" s="3">
        <ns0:f>'销售费用'!L8+'管理费用'!L8+'蓝恐龙费用'!L8</ns0:f>
        <ns0:v>541.47</ns0:v>
      </ns0:c>
      <ns0:c r="M8" s="3">
        <ns0:f>'销售费用'!M8+'管理费用'!M8+'蓝恐龙费用'!M8</ns0:f>
        <ns0:v>1009.59</ns0:v>
      </ns0:c>
      <ns0:c r="N8" s="3">
        <ns0:f>'销售费用'!N8+'管理费用'!N8+'蓝恐龙费用'!N8</ns0:f>
        <ns0:v>655.33</ns0:v>
      </ns0:c>
      <ns0:c r="O8" s="3">
        <ns0:f>SUM(C8:N8)</ns0:f>
        <ns0:v>8270.16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'销售费用'!C9+'管理费用'!C9+'蓝恐龙费用'!C9</ns0:f>
        <ns0:v>579.99</ns0:v>
      </ns0:c>
      <ns0:c r="D9" s="3">
        <ns0:f>'销售费用'!D9+'管理费用'!D9+'蓝恐龙费用'!D9</ns0:f>
        <ns0:v>576.80</ns0:v>
      </ns0:c>
      <ns0:c r="E9" s="3">
        <ns0:f>'销售费用'!E9+'管理费用'!E9+'蓝恐龙费用'!E9</ns0:f>
        <ns0:v>1053.13</ns0:v>
      </ns0:c>
      <ns0:c r="F9" s="3">
        <ns0:f>'销售费用'!F9+'管理费用'!F9+'蓝恐龙费用'!F9</ns0:f>
        <ns0:v>807.95</ns0:v>
      </ns0:c>
      <ns0:c r="G9" s="3">
        <ns0:f>'销售费用'!G9+'管理费用'!G9+'蓝恐龙费用'!G9</ns0:f>
        <ns0:v>550.03</ns0:v>
      </ns0:c>
      <ns0:c r="H9" s="3">
        <ns0:f>'销售费用'!H9+'管理费用'!H9+'蓝恐龙费用'!H9</ns0:f>
        <ns0:v>547.69</ns0:v>
      </ns0:c>
      <ns0:c r="I9" s="3">
        <ns0:f>'销售费用'!I9+'管理费用'!I9+'蓝恐龙费用'!I9</ns0:f>
        <ns0:v>424.58</ns0:v>
      </ns0:c>
      <ns0:c r="J9" s="3">
        <ns0:f>'销售费用'!J9+'管理费用'!J9+'蓝恐龙费用'!J9</ns0:f>
        <ns0:v>604.88</ns0:v>
      </ns0:c>
      <ns0:c r="K9" s="3">
        <ns0:f>'销售费用'!K9+'管理费用'!K9+'蓝恐龙费用'!K9</ns0:f>
        <ns0:v>1137.66</ns0:v>
      </ns0:c>
      <ns0:c r="L9" s="3">
        <ns0:f>'销售费用'!L9+'管理费用'!L9+'蓝恐龙费用'!L9</ns0:f>
        <ns0:v>365.33</ns0:v>
      </ns0:c>
      <ns0:c r="M9" s="3">
        <ns0:f>'销售费用'!M9+'管理费用'!M9+'蓝恐龙费用'!M9</ns0:f>
        <ns0:v>1079.79</ns0:v>
      </ns0:c>
      <ns0:c r="N9" s="3">
        <ns0:f>'销售费用'!N9+'管理费用'!N9+'蓝恐龙费用'!N9</ns0:f>
        <ns0:v>1086.81</ns0:v>
      </ns0:c>
      <ns0:c r="O9" s="3">
        <ns0:f>SUM(C9:N9)</ns0:f>
        <ns0:v>8814.64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'销售费用'!C10+'管理费用'!C10+'蓝恐龙费用'!C10</ns0:f>
        <ns0:v>747.52</ns0:v>
      </ns0:c>
      <ns0:c r="D10" s="3">
        <ns0:f>'销售费用'!D10+'管理费用'!D10+'蓝恐龙费用'!D10</ns0:f>
        <ns0:v>415.71</ns0:v>
      </ns0:c>
      <ns0:c r="E10" s="3">
        <ns0:f>'销售费用'!E10+'管理费用'!E10+'蓝恐龙费用'!E10</ns0:f>
        <ns0:v>599.58</ns0:v>
      </ns0:c>
      <ns0:c r="F10" s="3">
        <ns0:f>'销售费用'!F10+'管理费用'!F10+'蓝恐龙费用'!F10</ns0:f>
        <ns0:v>405.42</ns0:v>
      </ns0:c>
      <ns0:c r="G10" s="3">
        <ns0:f>'销售费用'!G10+'管理费用'!G10+'蓝恐龙费用'!G10</ns0:f>
        <ns0:v>511.64</ns0:v>
      </ns0:c>
      <ns0:c r="H10" s="3">
        <ns0:f>'销售费用'!H10+'管理费用'!H10+'蓝恐龙费用'!H10</ns0:f>
        <ns0:v>578.32</ns0:v>
      </ns0:c>
      <ns0:c r="I10" s="3">
        <ns0:f>'销售费用'!I10+'管理费用'!I10+'蓝恐龙费用'!I10</ns0:f>
        <ns0:v>823.39</ns0:v>
      </ns0:c>
      <ns0:c r="J10" s="3">
        <ns0:f>'销售费用'!J10+'管理费用'!J10+'蓝恐龙费用'!J10</ns0:f>
        <ns0:v>1271.41</ns0:v>
      </ns0:c>
      <ns0:c r="K10" s="3">
        <ns0:f>'销售费用'!K10+'管理费用'!K10+'蓝恐龙费用'!K10</ns0:f>
        <ns0:v>563.45</ns0:v>
      </ns0:c>
      <ns0:c r="L10" s="3">
        <ns0:f>'销售费用'!L10+'管理费用'!L10+'蓝恐龙费用'!L10</ns0:f>
        <ns0:v>566.62</ns0:v>
      </ns0:c>
      <ns0:c r="M10" s="3">
        <ns0:f>'销售费用'!M10+'管理费用'!M10+'蓝恐龙费用'!M10</ns0:f>
        <ns0:v>759.03</ns0:v>
      </ns0:c>
      <ns0:c r="N10" s="3">
        <ns0:f>'销售费用'!N10+'管理费用'!N10+'蓝恐龙费用'!N10</ns0:f>
        <ns0:v>1168.39</ns0:v>
      </ns0:c>
      <ns0:c r="O10" s="3">
        <ns0:f>SUM(C10:N10)</ns0:f>
        <ns0:v>8410.48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'销售费用'!C11+'管理费用'!C11+'蓝恐龙费用'!C11</ns0:f>
        <ns0:v>915.21</ns0:v>
      </ns0:c>
      <ns0:c r="D11" s="3">
        <ns0:f>'销售费用'!D11+'管理费用'!D11+'蓝恐龙费用'!D11</ns0:f>
        <ns0:v>886.20</ns0:v>
      </ns0:c>
      <ns0:c r="E11" s="3">
        <ns0:f>'销售费用'!E11+'管理费用'!E11+'蓝恐龙费用'!E11</ns0:f>
        <ns0:v>780.13</ns0:v>
      </ns0:c>
      <ns0:c r="F11" s="3">
        <ns0:f>'销售费用'!F11+'管理费用'!F11+'蓝恐龙费用'!F11</ns0:f>
        <ns0:v>723.79</ns0:v>
      </ns0:c>
      <ns0:c r="G11" s="3">
        <ns0:f>'销售费用'!G11+'管理费用'!G11+'蓝恐龙费用'!G11</ns0:f>
        <ns0:v>445.61</ns0:v>
      </ns0:c>
      <ns0:c r="H11" s="3">
        <ns0:f>'销售费用'!H11+'管理费用'!H11+'蓝恐龙费用'!H11</ns0:f>
        <ns0:v>631.35</ns0:v>
      </ns0:c>
      <ns0:c r="I11" s="3">
        <ns0:f>'销售费用'!I11+'管理费用'!I11+'蓝恐龙费用'!I11</ns0:f>
        <ns0:v>617.33</ns0:v>
      </ns0:c>
      <ns0:c r="J11" s="3">
        <ns0:f>'销售费用'!J11+'管理费用'!J11+'蓝恐龙费用'!J11</ns0:f>
        <ns0:v>804.39</ns0:v>
      </ns0:c>
      <ns0:c r="K11" s="3">
        <ns0:f>'销售费用'!K11+'管理费用'!K11+'蓝恐龙费用'!K11</ns0:f>
        <ns0:v>845.40</ns0:v>
      </ns0:c>
      <ns0:c r="L11" s="3">
        <ns0:f>'销售费用'!L11+'管理费用'!L11+'蓝恐龙费用'!L11</ns0:f>
        <ns0:v>342.99</ns0:v>
      </ns0:c>
      <ns0:c r="M11" s="3">
        <ns0:f>'销售费用'!M11+'管理费用'!M11+'蓝恐龙费用'!M11</ns0:f>
        <ns0:v>923.15</ns0:v>
      </ns0:c>
      <ns0:c r="N11" s="3">
        <ns0:f>'销售费用'!N11+'管理费用'!N11+'蓝恐龙费用'!N11</ns0:f>
        <ns0:v>379.10</ns0:v>
      </ns0:c>
      <ns0:c r="O11" s="3">
        <ns0:f>SUM(C11:N11)</ns0:f>
        <ns0:v>8294.65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'销售费用'!C12+'管理费用'!C12+'蓝恐龙费用'!C12</ns0:f>
        <ns0:v>338.05</ns0:v>
      </ns0:c>
      <ns0:c r="D12" s="3">
        <ns0:f>'销售费用'!D12+'管理费用'!D12+'蓝恐龙费用'!D12</ns0:f>
        <ns0:v>427.98</ns0:v>
      </ns0:c>
      <ns0:c r="E12" s="3">
        <ns0:f>'销售费用'!E12+'管理费用'!E12+'蓝恐龙费用'!E12</ns0:f>
        <ns0:v>679.54</ns0:v>
      </ns0:c>
      <ns0:c r="F12" s="3">
        <ns0:f>'销售费用'!F12+'管理费用'!F12+'蓝恐龙费用'!F12</ns0:f>
        <ns0:v>518.45</ns0:v>
      </ns0:c>
      <ns0:c r="G12" s="3">
        <ns0:f>'销售费用'!G12+'管理费用'!G12+'蓝恐龙费用'!G12</ns0:f>
        <ns0:v>623.70</ns0:v>
      </ns0:c>
      <ns0:c r="H12" s="3">
        <ns0:f>'销售费用'!H12+'管理费用'!H12+'蓝恐龙费用'!H12</ns0:f>
        <ns0:v>659.67</ns0:v>
      </ns0:c>
      <ns0:c r="I12" s="3">
        <ns0:f>'销售费用'!I12+'管理费用'!I12+'蓝恐龙费用'!I12</ns0:f>
        <ns0:v>320.36</ns0:v>
      </ns0:c>
      <ns0:c r="J12" s="3">
        <ns0:f>'销售费用'!J12+'管理费用'!J12+'蓝恐龙费用'!J12</ns0:f>
        <ns0:v>715.68</ns0:v>
      </ns0:c>
      <ns0:c r="K12" s="3">
        <ns0:f>'销售费用'!K12+'管理费用'!K12+'蓝恐龙费用'!K12</ns0:f>
        <ns0:v>576.13</ns0:v>
      </ns0:c>
      <ns0:c r="L12" s="3">
        <ns0:f>'销售费用'!L12+'管理费用'!L12+'蓝恐龙费用'!L12</ns0:f>
        <ns0:v>709.00</ns0:v>
      </ns0:c>
      <ns0:c r="M12" s="3">
        <ns0:f>'销售费用'!M12+'管理费用'!M12+'蓝恐龙费用'!M12</ns0:f>
        <ns0:v>565.58</ns0:v>
      </ns0:c>
      <ns0:c r="N12" s="3">
        <ns0:f>'销售费用'!N12+'管理费用'!N12+'蓝恐龙费用'!N12</ns0:f>
        <ns0:v>544.92</ns0:v>
      </ns0:c>
      <ns0:c r="O12" s="3">
        <ns0:f>SUM(C12:N12)</ns0:f>
        <ns0:v>6679.06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'销售费用'!C13+'管理费用'!C13+'蓝恐龙费用'!C13</ns0:f>
        <ns0:v>776.09</ns0:v>
      </ns0:c>
      <ns0:c r="D13" s="3">
        <ns0:f>'销售费用'!D13+'管理费用'!D13+'蓝恐龙费用'!D13</ns0:f>
        <ns0:v>794.42</ns0:v>
      </ns0:c>
      <ns0:c r="E13" s="3">
        <ns0:f>'销售费用'!E13+'管理费用'!E13+'蓝恐龙费用'!E13</ns0:f>
        <ns0:v>387.94</ns0:v>
      </ns0:c>
      <ns0:c r="F13" s="3">
        <ns0:f>'销售费用'!F13+'管理费用'!F13+'蓝恐龙费用'!F13</ns0:f>
        <ns0:v>594.61</ns0:v>
      </ns0:c>
      <ns0:c r="G13" s="3">
        <ns0:f>'销售费用'!G13+'管理费用'!G13+'蓝恐龙费用'!G13</ns0:f>
        <ns0:v>836.79</ns0:v>
      </ns0:c>
      <ns0:c r="H13" s="3">
        <ns0:f>'销售费用'!H13+'管理费用'!H13+'蓝恐龙费用'!H13</ns0:f>
        <ns0:v>709.97</ns0:v>
      </ns0:c>
      <ns0:c r="I13" s="3">
        <ns0:f>'销售费用'!I13+'管理费用'!I13+'蓝恐龙费用'!I13</ns0:f>
        <ns0:v>585.61</ns0:v>
      </ns0:c>
      <ns0:c r="J13" s="3">
        <ns0:f>'销售费用'!J13+'管理费用'!J13+'蓝恐龙费用'!J13</ns0:f>
        <ns0:v>765.80</ns0:v>
      </ns0:c>
      <ns0:c r="K13" s="3">
        <ns0:f>'销售费用'!K13+'管理费用'!K13+'蓝恐龙费用'!K13</ns0:f>
        <ns0:v>525.04</ns0:v>
      </ns0:c>
      <ns0:c r="L13" s="3">
        <ns0:f>'销售费用'!L13+'管理费用'!L13+'蓝恐龙费用'!L13</ns0:f>
        <ns0:v>1016.03</ns0:v>
      </ns0:c>
      <ns0:c r="M13" s="3">
        <ns0:f>'销售费用'!M13+'管理费用'!M13+'蓝恐龙费用'!M13</ns0:f>
        <ns0:v>791.81</ns0:v>
      </ns0:c>
      <ns0:c r="N13" s="3">
        <ns0:f>'销售费用'!N13+'管理费用'!N13+'蓝恐龙费用'!N13</ns0:f>
        <ns0:v>654.01</ns0:v>
      </ns0:c>
      <ns0:c r="O13" s="3">
        <ns0:f>SUM(C13:N13)</ns0:f>
        <ns0:v>8438.12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'销售费用'!C14+'管理费用'!C14+'蓝恐龙费用'!C14</ns0:f>
        <ns0:v>450.06</ns0:v>
      </ns0:c>
      <ns0:c r="D14" s="3">
        <ns0:f>'销售费用'!D14+'管理费用'!D14+'蓝恐龙费用'!D14</ns0:f>
        <ns0:v>895.15</ns0:v>
      </ns0:c>
      <ns0:c r="E14" s="3">
        <ns0:f>'销售费用'!E14+'管理费用'!E14+'蓝恐龙费用'!E14</ns0:f>
        <ns0:v>448.57</ns0:v>
      </ns0:c>
      <ns0:c r="F14" s="3">
        <ns0:f>'销售费用'!F14+'管理费用'!F14+'蓝恐龙费用'!F14</ns0:f>
        <ns0:v>822.20</ns0:v>
      </ns0:c>
      <ns0:c r="G14" s="3">
        <ns0:f>'销售费用'!G14+'管理费用'!G14+'蓝恐龙费用'!G14</ns0:f>
        <ns0:v>465.45</ns0:v>
      </ns0:c>
      <ns0:c r="H14" s="3">
        <ns0:f>'销售费用'!H14+'管理费用'!H14+'蓝恐龙费用'!H14</ns0:f>
        <ns0:v>955.97</ns0:v>
      </ns0:c>
      <ns0:c r="I14" s="3">
        <ns0:f>'销售费用'!I14+'管理费用'!I14+'蓝恐龙费用'!I14</ns0:f>
        <ns0:v>419.08</ns0:v>
      </ns0:c>
      <ns0:c r="J14" s="3">
        <ns0:f>'销售费用'!J14+'管理费用'!J14+'蓝恐龙费用'!J14</ns0:f>
        <ns0:v>448.90</ns0:v>
      </ns0:c>
      <ns0:c r="K14" s="3">
        <ns0:f>'销售费用'!K14+'管理费用'!K14+'蓝恐龙费用'!K14</ns0:f>
        <ns0:v>654.98</ns0:v>
      </ns0:c>
      <ns0:c r="L14" s="3">
        <ns0:f>'销售费用'!L14+'管理费用'!L14+'蓝恐龙费用'!L14</ns0:f>
        <ns0:v>1038.59</ns0:v>
      </ns0:c>
      <ns0:c r="M14" s="3">
        <ns0:f>'销售费用'!M14+'管理费用'!M14+'蓝恐龙费用'!M14</ns0:f>
        <ns0:v>602.26</ns0:v>
      </ns0:c>
      <ns0:c r="N14" s="3">
        <ns0:f>'销售费用'!N14+'管理费用'!N14+'蓝恐龙费用'!N14</ns0:f>
        <ns0:v>727.88</ns0:v>
      </ns0:c>
      <ns0:c r="O14" s="3">
        <ns0:f>SUM(C14:N14)</ns0:f>
        <ns0:v>7929.09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'销售费用'!C15+'管理费用'!C15+'蓝恐龙费用'!C15</ns0:f>
        <ns0:v>724.03</ns0:v>
      </ns0:c>
      <ns0:c r="D15" s="3">
        <ns0:f>'销售费用'!D15+'管理费用'!D15+'蓝恐龙费用'!D15</ns0:f>
        <ns0:v>1276.15</ns0:v>
      </ns0:c>
      <ns0:c r="E15" s="3">
        <ns0:f>'销售费用'!E15+'管理费用'!E15+'蓝恐龙费用'!E15</ns0:f>
        <ns0:v>550.61</ns0:v>
      </ns0:c>
      <ns0:c r="F15" s="3">
        <ns0:f>'销售费用'!F15+'管理费用'!F15+'蓝恐龙费用'!F15</ns0:f>
        <ns0:v>569.15</ns0:v>
      </ns0:c>
      <ns0:c r="G15" s="3">
        <ns0:f>'销售费用'!G15+'管理费用'!G15+'蓝恐龙费用'!G15</ns0:f>
        <ns0:v>695.23</ns0:v>
      </ns0:c>
      <ns0:c r="H15" s="3">
        <ns0:f>'销售费用'!H15+'管理费用'!H15+'蓝恐龙费用'!H15</ns0:f>
        <ns0:v>1001.67</ns0:v>
      </ns0:c>
      <ns0:c r="I15" s="3">
        <ns0:f>'销售费用'!I15+'管理费用'!I15+'蓝恐龙费用'!I15</ns0:f>
        <ns0:v>1109.06</ns0:v>
      </ns0:c>
      <ns0:c r="J15" s="3">
        <ns0:f>'销售费用'!J15+'管理费用'!J15+'蓝恐龙费用'!J15</ns0:f>
        <ns0:v>696.12</ns0:v>
      </ns0:c>
      <ns0:c r="K15" s="3">
        <ns0:f>'销售费用'!K15+'管理费用'!K15+'蓝恐龙费用'!K15</ns0:f>
        <ns0:v>876.78</ns0:v>
      </ns0:c>
      <ns0:c r="L15" s="3">
        <ns0:f>'销售费用'!L15+'管理费用'!L15+'蓝恐龙费用'!L15</ns0:f>
        <ns0:v>624.07</ns0:v>
      </ns0:c>
      <ns0:c r="M15" s="3">
        <ns0:f>'销售费用'!M15+'管理费用'!M15+'蓝恐龙费用'!M15</ns0:f>
        <ns0:v>949.13</ns0:v>
      </ns0:c>
      <ns0:c r="N15" s="3">
        <ns0:f>'销售费用'!N15+'管理费用'!N15+'蓝恐龙费用'!N15</ns0:f>
        <ns0:v>603.33</ns0:v>
      </ns0:c>
      <ns0:c r="O15" s="3">
        <ns0:f>SUM(C15:N15)</ns0:f>
        <ns0:v>9675.33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'销售费用'!C16+'管理费用'!C16+'蓝恐龙费用'!C16</ns0:f>
        <ns0:v>331.04</ns0:v>
      </ns0:c>
      <ns0:c r="D16" s="3">
        <ns0:f>'销售费用'!D16+'管理费用'!D16+'蓝恐龙费用'!D16</ns0:f>
        <ns0:v>1090.83</ns0:v>
      </ns0:c>
      <ns0:c r="E16" s="3">
        <ns0:f>'销售费用'!E16+'管理费用'!E16+'蓝恐龙费用'!E16</ns0:f>
        <ns0:v>429.39</ns0:v>
      </ns0:c>
      <ns0:c r="F16" s="3">
        <ns0:f>'销售费用'!F16+'管理费用'!F16+'蓝恐龙费用'!F16</ns0:f>
        <ns0:v>1211.72</ns0:v>
      </ns0:c>
      <ns0:c r="G16" s="3">
        <ns0:f>'销售费用'!G16+'管理费用'!G16+'蓝恐龙费用'!G16</ns0:f>
        <ns0:v>434.37</ns0:v>
      </ns0:c>
      <ns0:c r="H16" s="3">
        <ns0:f>'销售费用'!H16+'管理费用'!H16+'蓝恐龙费用'!H16</ns0:f>
        <ns0:v>784.90</ns0:v>
      </ns0:c>
      <ns0:c r="I16" s="3">
        <ns0:f>'销售费用'!I16+'管理费用'!I16+'蓝恐龙费用'!I16</ns0:f>
        <ns0:v>753.43</ns0:v>
      </ns0:c>
      <ns0:c r="J16" s="3">
        <ns0:f>'销售费用'!J16+'管理费用'!J16+'蓝恐龙费用'!J16</ns0:f>
        <ns0:v>679.77</ns0:v>
      </ns0:c>
      <ns0:c r="K16" s="3">
        <ns0:f>'销售费用'!K16+'管理费用'!K16+'蓝恐龙费用'!K16</ns0:f>
        <ns0:v>305.88</ns0:v>
      </ns0:c>
      <ns0:c r="L16" s="3">
        <ns0:f>'销售费用'!L16+'管理费用'!L16+'蓝恐龙费用'!L16</ns0:f>
        <ns0:v>737.59</ns0:v>
      </ns0:c>
      <ns0:c r="M16" s="3">
        <ns0:f>'销售费用'!M16+'管理费用'!M16+'蓝恐龙费用'!M16</ns0:f>
        <ns0:v>606.63</ns0:v>
      </ns0:c>
      <ns0:c r="N16" s="3">
        <ns0:f>'销售费用'!N16+'管理费用'!N16+'蓝恐龙费用'!N16</ns0:f>
        <ns0:v>388.89</ns0:v>
      </ns0:c>
      <ns0:c r="O16" s="3">
        <ns0:f>SUM(C16:N16)</ns0:f>
        <ns0:v>7754.44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'销售费用'!C17+'管理费用'!C17+'蓝恐龙费用'!C17</ns0:f>
        <ns0:v>972.05</ns0:v>
      </ns0:c>
      <ns0:c r="D17" s="3">
        <ns0:f>'销售费用'!D17+'管理费用'!D17+'蓝恐龙费用'!D17</ns0:f>
        <ns0:v>660.48</ns0:v>
      </ns0:c>
      <ns0:c r="E17" s="3">
        <ns0:f>'销售费用'!E17+'管理费用'!E17+'蓝恐龙费用'!E17</ns0:f>
        <ns0:v>800.56</ns0:v>
      </ns0:c>
      <ns0:c r="F17" s="3">
        <ns0:f>'销售费用'!F17+'管理费用'!F17+'蓝恐龙费用'!F17</ns0:f>
        <ns0:v>799.21</ns0:v>
      </ns0:c>
      <ns0:c r="G17" s="3">
        <ns0:f>'销售费用'!G17+'管理费用'!G17+'蓝恐龙费用'!G17</ns0:f>
        <ns0:v>1141.59</ns0:v>
      </ns0:c>
      <ns0:c r="H17" s="3">
        <ns0:f>'销售费用'!H17+'管理费用'!H17+'蓝恐龙费用'!H17</ns0:f>
        <ns0:v>606.23</ns0:v>
      </ns0:c>
      <ns0:c r="I17" s="3">
        <ns0:f>'销售费用'!I17+'管理费用'!I17+'蓝恐龙费用'!I17</ns0:f>
        <ns0:v>500.29</ns0:v>
      </ns0:c>
      <ns0:c r="J17" s="3">
        <ns0:f>'销售费用'!J17+'管理费用'!J17+'蓝恐龙费用'!J17</ns0:f>
        <ns0:v>806.47</ns0:v>
      </ns0:c>
      <ns0:c r="K17" s="3">
        <ns0:f>'销售费用'!K17+'管理费用'!K17+'蓝恐龙费用'!K17</ns0:f>
        <ns0:v>727.84</ns0:v>
      </ns0:c>
      <ns0:c r="L17" s="3">
        <ns0:f>'销售费用'!L17+'管理费用'!L17+'蓝恐龙费用'!L17</ns0:f>
        <ns0:v>725.01</ns0:v>
      </ns0:c>
      <ns0:c r="M17" s="3">
        <ns0:f>'销售费用'!M17+'管理费用'!M17+'蓝恐龙费用'!M17</ns0:f>
        <ns0:v>735.24</ns0:v>
      </ns0:c>
      <ns0:c r="N17" s="3">
        <ns0:f>'销售费用'!N17+'管理费用'!N17+'蓝恐龙费用'!N17</ns0:f>
        <ns0:v>740.94</ns0:v>
      </ns0:c>
      <ns0:c r="O17" s="3">
        <ns0:f>SUM(C17:N17)</ns0:f>
        <ns0:v>9215.91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'销售费用'!C18+'管理费用'!C18+'蓝恐龙费用'!C18</ns0:f>
        <ns0:v>827.40</ns0:v>
      </ns0:c>
      <ns0:c r="D18" s="3">
        <ns0:f>'销售费用'!D18+'管理费用'!D18+'蓝恐龙费用'!D18</ns0:f>
        <ns0:v>720.54</ns0:v>
      </ns0:c>
      <ns0:c r="E18" s="3">
        <ns0:f>'销售费用'!E18+'管理费用'!E18+'蓝恐龙费用'!E18</ns0:f>
        <ns0:v>495.94</ns0:v>
      </ns0:c>
      <ns0:c r="F18" s="3">
        <ns0:f>'销售费用'!F18+'管理费用'!F18+'蓝恐龙费用'!F18</ns0:f>
        <ns0:v>623.16</ns0:v>
      </ns0:c>
      <ns0:c r="G18" s="3">
        <ns0:f>'销售费用'!G18+'管理费用'!G18+'蓝恐龙费用'!G18</ns0:f>
        <ns0:v>605.75</ns0:v>
      </ns0:c>
      <ns0:c r="H18" s="3">
        <ns0:f>'销售费用'!H18+'管理费用'!H18+'蓝恐龙费用'!H18</ns0:f>
        <ns0:v>1193.35</ns0:v>
      </ns0:c>
      <ns0:c r="I18" s="3">
        <ns0:f>'销售费用'!I18+'管理费用'!I18+'蓝恐龙费用'!I18</ns0:f>
        <ns0:v>787.78</ns0:v>
      </ns0:c>
      <ns0:c r="J18" s="3">
        <ns0:f>'销售费用'!J18+'管理费用'!J18+'蓝恐龙费用'!J18</ns0:f>
        <ns0:v>522.16</ns0:v>
      </ns0:c>
      <ns0:c r="K18" s="3">
        <ns0:f>'销售费用'!K18+'管理费用'!K18+'蓝恐龙费用'!K18</ns0:f>
        <ns0:v>707.94</ns0:v>
      </ns0:c>
      <ns0:c r="L18" s="3">
        <ns0:f>'销售费用'!L18+'管理费用'!L18+'蓝恐龙费用'!L18</ns0:f>
        <ns0:v>1113.44</ns0:v>
      </ns0:c>
      <ns0:c r="M18" s="3">
        <ns0:f>'销售费用'!M18+'管理费用'!M18+'蓝恐龙费用'!M18</ns0:f>
        <ns0:v>1232.14</ns0:v>
      </ns0:c>
      <ns0:c r="N18" s="3">
        <ns0:f>'销售费用'!N18+'管理费用'!N18+'蓝恐龙费用'!N18</ns0:f>
        <ns0:v>459.31</ns0:v>
      </ns0:c>
      <ns0:c r="O18" s="3">
        <ns0:f>SUM(C18:N18)</ns0:f>
        <ns0:v>9288.91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'销售费用'!C19+'管理费用'!C19+'蓝恐龙费用'!C19</ns0:f>
        <ns0:v>361.32</ns0:v>
      </ns0:c>
      <ns0:c r="D19" s="3">
        <ns0:f>'销售费用'!D19+'管理费用'!D19+'蓝恐龙费用'!D19</ns0:f>
        <ns0:v>684.30</ns0:v>
      </ns0:c>
      <ns0:c r="E19" s="3">
        <ns0:f>'销售费用'!E19+'管理费用'!E19+'蓝恐龙费用'!E19</ns0:f>
        <ns0:v>480.06</ns0:v>
      </ns0:c>
      <ns0:c r="F19" s="3">
        <ns0:f>'销售费用'!F19+'管理费用'!F19+'蓝恐龙费用'!F19</ns0:f>
        <ns0:v>405.61</ns0:v>
      </ns0:c>
      <ns0:c r="G19" s="3">
        <ns0:f>'销售费用'!G19+'管理费用'!G19+'蓝恐龙费用'!G19</ns0:f>
        <ns0:v>569.08</ns0:v>
      </ns0:c>
      <ns0:c r="H19" s="3">
        <ns0:f>'销售费用'!H19+'管理费用'!H19+'蓝恐龙费用'!H19</ns0:f>
        <ns0:v>636.15</ns0:v>
      </ns0:c>
      <ns0:c r="I19" s="3">
        <ns0:f>'销售费用'!I19+'管理费用'!I19+'蓝恐龙费用'!I19</ns0:f>
        <ns0:v>572.57</ns0:v>
      </ns0:c>
      <ns0:c r="J19" s="3">
        <ns0:f>'销售费用'!J19+'管理费用'!J19+'蓝恐龙费用'!J19</ns0:f>
        <ns0:v>434.03</ns0:v>
      </ns0:c>
      <ns0:c r="K19" s="3">
        <ns0:f>'销售费用'!K19+'管理费用'!K19+'蓝恐龙费用'!K19</ns0:f>
        <ns0:v>717.34</ns0:v>
      </ns0:c>
      <ns0:c r="L19" s="3">
        <ns0:f>'销售费用'!L19+'管理费用'!L19+'蓝恐龙费用'!L19</ns0:f>
        <ns0:v>622.46</ns0:v>
      </ns0:c>
      <ns0:c r="M19" s="3">
        <ns0:f>'销售费用'!M19+'管理费用'!M19+'蓝恐龙费用'!M19</ns0:f>
        <ns0:v>1163.87</ns0:v>
      </ns0:c>
      <ns0:c r="N19" s="3">
        <ns0:f>'销售费用'!N19+'管理费用'!N19+'蓝恐龙费用'!N19</ns0:f>
        <ns0:v>535.21</ns0:v>
      </ns0:c>
      <ns0:c r="O19" s="3">
        <ns0:f>SUM(C19:N19)</ns0:f>
        <ns0:v>7182.00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'销售费用'!C20+'管理费用'!C20+'蓝恐龙费用'!C20</ns0:f>
        <ns0:v>2302.98</ns0:v>
      </ns0:c>
      <ns0:c r="D20" s="3">
        <ns0:f>'销售费用'!D20+'管理费用'!D20+'蓝恐龙费用'!D20</ns0:f>
        <ns0:v>2302.98</ns0:v>
      </ns0:c>
      <ns0:c r="E20" s="3">
        <ns0:f>'销售费用'!E20+'管理费用'!E20+'蓝恐龙费用'!E20</ns0:f>
        <ns0:v>2302.98</ns0:v>
      </ns0:c>
      <ns0:c r="F20" s="3">
        <ns0:f>'销售费用'!F20+'管理费用'!F20+'蓝恐龙费用'!F20</ns0:f>
        <ns0:v>2302.98</ns0:v>
      </ns0:c>
      <ns0:c r="G20" s="3">
        <ns0:f>'销售费用'!G20+'管理费用'!G20+'蓝恐龙费用'!G20</ns0:f>
        <ns0:v>2302.98</ns0:v>
      </ns0:c>
      <ns0:c r="H20" s="3">
        <ns0:f>'销售费用'!H20+'管理费用'!H20+'蓝恐龙费用'!H20</ns0:f>
        <ns0:v>2302.98</ns0:v>
      </ns0:c>
      <ns0:c r="I20" s="3">
        <ns0:f>'销售费用'!I20+'管理费用'!I20+'蓝恐龙费用'!I20</ns0:f>
        <ns0:v>2302.98</ns0:v>
      </ns0:c>
      <ns0:c r="J20" s="3">
        <ns0:f>'销售费用'!J20+'管理费用'!J20+'蓝恐龙费用'!J20</ns0:f>
        <ns0:v>2302.98</ns0:v>
      </ns0:c>
      <ns0:c r="K20" s="3">
        <ns0:f>'销售费用'!K20+'管理费用'!K20+'蓝恐龙费用'!K20</ns0:f>
        <ns0:v>2302.98</ns0:v>
      </ns0:c>
      <ns0:c r="L20" s="3">
        <ns0:f>'销售费用'!L20+'管理费用'!L20+'蓝恐龙费用'!L20</ns0:f>
        <ns0:v>2302.98</ns0:v>
      </ns0:c>
      <ns0:c r="M20" s="3">
        <ns0:f>'销售费用'!M20+'管理费用'!M20+'蓝恐龙费用'!M20</ns0:f>
        <ns0:v>2302.98</ns0:v>
      </ns0:c>
      <ns0:c r="N20" s="3">
        <ns0:f>'销售费用'!N20+'管理费用'!N20+'蓝恐龙费用'!N20</ns0:f>
        <ns0:v>2302.98</ns0:v>
      </ns0:c>
      <ns0:c r="O20" s="3">
        <ns0:f>SUM(C20:N20)</ns0:f>
        <ns0:v>27635.76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'销售费用'!C21+'管理费用'!C21+'蓝恐龙费用'!C21</ns0:f>
        <ns0:v>812.46</ns0:v>
      </ns0:c>
      <ns0:c r="D21" s="3">
        <ns0:f>'销售费用'!D21+'管理费用'!D21+'蓝恐龙费用'!D21</ns0:f>
        <ns0:v>854.49</ns0:v>
      </ns0:c>
      <ns0:c r="E21" s="3">
        <ns0:f>'销售费用'!E21+'管理费用'!E21+'蓝恐龙费用'!E21</ns0:f>
        <ns0:v>482.63</ns0:v>
      </ns0:c>
      <ns0:c r="F21" s="3">
        <ns0:f>'销售费用'!F21+'管理费用'!F21+'蓝恐龙费用'!F21</ns0:f>
        <ns0:v>859.90</ns0:v>
      </ns0:c>
      <ns0:c r="G21" s="3">
        <ns0:f>'销售费用'!G21+'管理费用'!G21+'蓝恐龙费用'!G21</ns0:f>
        <ns0:v>341.43</ns0:v>
      </ns0:c>
      <ns0:c r="H21" s="3">
        <ns0:f>'销售费用'!H21+'管理费用'!H21+'蓝恐龙费用'!H21</ns0:f>
        <ns0:v>660.49</ns0:v>
      </ns0:c>
      <ns0:c r="I21" s="3">
        <ns0:f>'销售费用'!I21+'管理费用'!I21+'蓝恐龙费用'!I21</ns0:f>
        <ns0:v>534.81</ns0:v>
      </ns0:c>
      <ns0:c r="J21" s="3">
        <ns0:f>'销售费用'!J21+'管理费用'!J21+'蓝恐龙费用'!J21</ns0:f>
        <ns0:v>894.37</ns0:v>
      </ns0:c>
      <ns0:c r="K21" s="3">
        <ns0:f>'销售费用'!K21+'管理费用'!K21+'蓝恐龙费用'!K21</ns0:f>
        <ns0:v>347.26</ns0:v>
      </ns0:c>
      <ns0:c r="L21" s="3">
        <ns0:f>'销售费用'!L21+'管理费用'!L21+'蓝恐龙费用'!L21</ns0:f>
        <ns0:v>667.05</ns0:v>
      </ns0:c>
      <ns0:c r="M21" s="3">
        <ns0:f>'销售费用'!M21+'管理费用'!M21+'蓝恐龙费用'!M21</ns0:f>
        <ns0:v>534.48</ns0:v>
      </ns0:c>
      <ns0:c r="N21" s="3">
        <ns0:f>'销售费用'!N21+'管理费用'!N21+'蓝恐龙费用'!N21</ns0:f>
        <ns0:v>922.39</ns0:v>
      </ns0:c>
      <ns0:c r="O21" s="3">
        <ns0:f>SUM(C21:N21)</ns0:f>
        <ns0:v>7911.76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'销售费用'!C22+'管理费用'!C22+'蓝恐龙费用'!C22</ns0:f>
        <ns0:v>228.16</ns0:v>
      </ns0:c>
      <ns0:c r="D22" s="3">
        <ns0:f>'销售费用'!D22+'管理费用'!D22+'蓝恐龙费用'!D22</ns0:f>
        <ns0:v>839.52</ns0:v>
      </ns0:c>
      <ns0:c r="E22" s="3">
        <ns0:f>'销售费用'!E22+'管理费用'!E22+'蓝恐龙费用'!E22</ns0:f>
        <ns0:v>840.96</ns0:v>
      </ns0:c>
      <ns0:c r="F22" s="3">
        <ns0:f>'销售费用'!F22+'管理费用'!F22+'蓝恐龙费用'!F22</ns0:f>
        <ns0:v>549.69</ns0:v>
      </ns0:c>
      <ns0:c r="G22" s="3">
        <ns0:f>'销售费用'!G22+'管理费用'!G22+'蓝恐龙费用'!G22</ns0:f>
        <ns0:v>447.07</ns0:v>
      </ns0:c>
      <ns0:c r="H22" s="3">
        <ns0:f>'销售费用'!H22+'管理费用'!H22+'蓝恐龙费用'!H22</ns0:f>
        <ns0:v>837.47</ns0:v>
      </ns0:c>
      <ns0:c r="I22" s="3">
        <ns0:f>'销售费用'!I22+'管理费用'!I22+'蓝恐龙费用'!I22</ns0:f>
        <ns0:v>317.26</ns0:v>
      </ns0:c>
      <ns0:c r="J22" s="3">
        <ns0:f>'销售费用'!J22+'管理费用'!J22+'蓝恐龙费用'!J22</ns0:f>
        <ns0:v>386.37</ns0:v>
      </ns0:c>
      <ns0:c r="K22" s="3">
        <ns0:f>'销售费用'!K22+'管理费用'!K22+'蓝恐龙费用'!K22</ns0:f>
        <ns0:v>794.14</ns0:v>
      </ns0:c>
      <ns0:c r="L22" s="3">
        <ns0:f>'销售费用'!L22+'管理费用'!L22+'蓝恐龙费用'!L22</ns0:f>
        <ns0:v>660.85</ns0:v>
      </ns0:c>
      <ns0:c r="M22" s="3">
        <ns0:f>'销售费用'!M22+'管理费用'!M22+'蓝恐龙费用'!M22</ns0:f>
        <ns0:v>785.56</ns0:v>
      </ns0:c>
      <ns0:c r="N22" s="3">
        <ns0:f>'销售费用'!N22+'管理费用'!N22+'蓝恐龙费用'!N22</ns0:f>
        <ns0:v>698.83</ns0:v>
      </ns0:c>
      <ns0:c r="O22" s="3">
        <ns0:f>SUM(C22:N22)</ns0:f>
        <ns0:v>7385.88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'销售费用'!C23+'管理费用'!C23+'蓝恐龙费用'!C23</ns0:f>
        <ns0:v>572.32</ns0:v>
      </ns0:c>
      <ns0:c r="D23" s="3">
        <ns0:f>'销售费用'!D23+'管理费用'!D23+'蓝恐龙费用'!D23</ns0:f>
        <ns0:v>738.35</ns0:v>
      </ns0:c>
      <ns0:c r="E23" s="3">
        <ns0:f>'销售费用'!E23+'管理费用'!E23+'蓝恐龙费用'!E23</ns0:f>
        <ns0:v>504.91</ns0:v>
      </ns0:c>
      <ns0:c r="F23" s="3">
        <ns0:f>'销售费用'!F23+'管理费用'!F23+'蓝恐龙费用'!F23</ns0:f>
        <ns0:v>627.98</ns0:v>
      </ns0:c>
      <ns0:c r="G23" s="3">
        <ns0:f>'销售费用'!G23+'管理费用'!G23+'蓝恐龙费用'!G23</ns0:f>
        <ns0:v>724.84</ns0:v>
      </ns0:c>
      <ns0:c r="H23" s="3">
        <ns0:f>'销售费用'!H23+'管理费用'!H23+'蓝恐龙费用'!H23</ns0:f>
        <ns0:v>457.52</ns0:v>
      </ns0:c>
      <ns0:c r="I23" s="3">
        <ns0:f>'销售费用'!I23+'管理费用'!I23+'蓝恐龙费用'!I23</ns0:f>
        <ns0:v>678.92</ns0:v>
      </ns0:c>
      <ns0:c r="J23" s="3">
        <ns0:f>'销售费用'!J23+'管理费用'!J23+'蓝恐龙费用'!J23</ns0:f>
        <ns0:v>400.49</ns0:v>
      </ns0:c>
      <ns0:c r="K23" s="3">
        <ns0:f>'销售费用'!K23+'管理费用'!K23+'蓝恐龙费用'!K23</ns0:f>
        <ns0:v>1017.40</ns0:v>
      </ns0:c>
      <ns0:c r="L23" s="3">
        <ns0:f>'销售费用'!L23+'管理费用'!L23+'蓝恐龙费用'!L23</ns0:f>
        <ns0:v>469.33</ns0:v>
      </ns0:c>
      <ns0:c r="M23" s="3">
        <ns0:f>'销售费用'!M23+'管理费用'!M23+'蓝恐龙费用'!M23</ns0:f>
        <ns0:v>827.16</ns0:v>
      </ns0:c>
      <ns0:c r="N23" s="3">
        <ns0:f>'销售费用'!N23+'管理费用'!N23+'蓝恐龙费用'!N23</ns0:f>
        <ns0:v>1353.34</ns0:v>
      </ns0:c>
      <ns0:c r="O23" s="3">
        <ns0:f>SUM(C23:N23)</ns0:f>
        <ns0:v>8372.56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'销售费用'!C24+'管理费用'!C24+'蓝恐龙费用'!C24</ns0:f>
        <ns0:v>917.46</ns0:v>
      </ns0:c>
      <ns0:c r="D24" s="3">
        <ns0:f>'销售费用'!D24+'管理费用'!D24+'蓝恐龙费用'!D24</ns0:f>
        <ns0:v>481.01</ns0:v>
      </ns0:c>
      <ns0:c r="E24" s="3">
        <ns0:f>'销售费用'!E24+'管理费用'!E24+'蓝恐龙费用'!E24</ns0:f>
        <ns0:v>775.06</ns0:v>
      </ns0:c>
      <ns0:c r="F24" s="3">
        <ns0:f>'销售费用'!F24+'管理费用'!F24+'蓝恐龙费用'!F24</ns0:f>
        <ns0:v>553.41</ns0:v>
      </ns0:c>
      <ns0:c r="G24" s="3">
        <ns0:f>'销售费用'!G24+'管理费用'!G24+'蓝恐龙费用'!G24</ns0:f>
        <ns0:v>1097.81</ns0:v>
      </ns0:c>
      <ns0:c r="H24" s="3">
        <ns0:f>'销售费用'!H24+'管理费用'!H24+'蓝恐龙费用'!H24</ns0:f>
        <ns0:v>409.90</ns0:v>
      </ns0:c>
      <ns0:c r="I24" s="3">
        <ns0:f>'销售费用'!I24+'管理费用'!I24+'蓝恐龙费用'!I24</ns0:f>
        <ns0:v>790.60</ns0:v>
      </ns0:c>
      <ns0:c r="J24" s="3">
        <ns0:f>'销售费用'!J24+'管理费用'!J24+'蓝恐龙费用'!J24</ns0:f>
        <ns0:v>487.83</ns0:v>
      </ns0:c>
      <ns0:c r="K24" s="3">
        <ns0:f>'销售费用'!K24+'管理费用'!K24+'蓝恐龙费用'!K24</ns0:f>
        <ns0:v>544.79</ns0:v>
      </ns0:c>
      <ns0:c r="L24" s="3">
        <ns0:f>'销售费用'!L24+'管理费用'!L24+'蓝恐龙费用'!L24</ns0:f>
        <ns0:v>571.13</ns0:v>
      </ns0:c>
      <ns0:c r="M24" s="3">
        <ns0:f>'销售费用'!M24+'管理费用'!M24+'蓝恐龙费用'!M24</ns0:f>
        <ns0:v>874.47</ns0:v>
      </ns0:c>
      <ns0:c r="N24" s="3">
        <ns0:f>'销售费用'!N24+'管理费用'!N24+'蓝恐龙费用'!N24</ns0:f>
        <ns0:v>568.48</ns0:v>
      </ns0:c>
      <ns0:c r="O24" s="3">
        <ns0:f>SUM(C24:N24)</ns0:f>
        <ns0:v>8071.95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'销售费用'!C25+'管理费用'!C25+'蓝恐龙费用'!C25</ns0:f>
        <ns0:v>575.78</ns0:v>
      </ns0:c>
      <ns0:c r="D25" s="3">
        <ns0:f>'销售费用'!D25+'管理费用'!D25+'蓝恐龙费用'!D25</ns0:f>
        <ns0:v>1017.79</ns0:v>
      </ns0:c>
      <ns0:c r="E25" s="3">
        <ns0:f>'销售费用'!E25+'管理费用'!E25+'蓝恐龙费用'!E25</ns0:f>
        <ns0:v>724.74</ns0:v>
      </ns0:c>
      <ns0:c r="F25" s="3">
        <ns0:f>'销售费用'!F25+'管理费用'!F25+'蓝恐龙费用'!F25</ns0:f>
        <ns0:v>917.01</ns0:v>
      </ns0:c>
      <ns0:c r="G25" s="3">
        <ns0:f>'销售费用'!G25+'管理费用'!G25+'蓝恐龙费用'!G25</ns0:f>
        <ns0:v>841.75</ns0:v>
      </ns0:c>
      <ns0:c r="H25" s="3">
        <ns0:f>'销售费用'!H25+'管理费用'!H25+'蓝恐龙费用'!H25</ns0:f>
        <ns0:v>591.06</ns0:v>
      </ns0:c>
      <ns0:c r="I25" s="3">
        <ns0:f>'销售费用'!I25+'管理费用'!I25+'蓝恐龙费用'!I25</ns0:f>
        <ns0:v>1112.13</ns0:v>
      </ns0:c>
      <ns0:c r="J25" s="3">
        <ns0:f>'销售费用'!J25+'管理费用'!J25+'蓝恐龙费用'!J25</ns0:f>
        <ns0:v>622.73</ns0:v>
      </ns0:c>
      <ns0:c r="K25" s="3">
        <ns0:f>'销售费用'!K25+'管理费用'!K25+'蓝恐龙费用'!K25</ns0:f>
        <ns0:v>611.10</ns0:v>
      </ns0:c>
      <ns0:c r="L25" s="3">
        <ns0:f>'销售费用'!L25+'管理费用'!L25+'蓝恐龙费用'!L25</ns0:f>
        <ns0:v>829.08</ns0:v>
      </ns0:c>
      <ns0:c r="M25" s="3">
        <ns0:f>'销售费用'!M25+'管理费用'!M25+'蓝恐龙费用'!M25</ns0:f>
        <ns0:v>497.92</ns0:v>
      </ns0:c>
      <ns0:c r="N25" s="3">
        <ns0:f>'销售费用'!N25+'管理费用'!N25+'蓝恐龙费用'!N25</ns0:f>
        <ns0:v>387.70</ns0:v>
      </ns0:c>
      <ns0:c r="O25" s="3">
        <ns0:f>SUM(C25:N25)</ns0:f>
        <ns0:v>8728.79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'销售费用'!C26+'管理费用'!C26+'蓝恐龙费用'!C26</ns0:f>
        <ns0:v>590.69</ns0:v>
      </ns0:c>
      <ns0:c r="D26" s="3">
        <ns0:f>'销售费用'!D26+'管理费用'!D26+'蓝恐龙费用'!D26</ns0:f>
        <ns0:v>772.43</ns0:v>
      </ns0:c>
      <ns0:c r="E26" s="3">
        <ns0:f>'销售费用'!E26+'管理费用'!E26+'蓝恐龙费用'!E26</ns0:f>
        <ns0:v>826.80</ns0:v>
      </ns0:c>
      <ns0:c r="F26" s="3">
        <ns0:f>'销售费用'!F26+'管理费用'!F26+'蓝恐龙费用'!F26</ns0:f>
        <ns0:v>869.21</ns0:v>
      </ns0:c>
      <ns0:c r="G26" s="3">
        <ns0:f>'销售费用'!G26+'管理费用'!G26+'蓝恐龙费用'!G26</ns0:f>
        <ns0:v>347.69</ns0:v>
      </ns0:c>
      <ns0:c r="H26" s="3">
        <ns0:f>'销售费用'!H26+'管理费用'!H26+'蓝恐龙费用'!H26</ns0:f>
        <ns0:v>714.29</ns0:v>
      </ns0:c>
      <ns0:c r="I26" s="3">
        <ns0:f>'销售费用'!I26+'管理费用'!I26+'蓝恐龙费用'!I26</ns0:f>
        <ns0:v>514.68</ns0:v>
      </ns0:c>
      <ns0:c r="J26" s="3">
        <ns0:f>'销售费用'!J26+'管理费用'!J26+'蓝恐龙费用'!J26</ns0:f>
        <ns0:v>650.26</ns0:v>
      </ns0:c>
      <ns0:c r="K26" s="3">
        <ns0:f>'销售费用'!K26+'管理费用'!K26+'蓝恐龙费用'!K26</ns0:f>
        <ns0:v>606.80</ns0:v>
      </ns0:c>
      <ns0:c r="L26" s="3">
        <ns0:f>'销售费用'!L26+'管理费用'!L26+'蓝恐龙费用'!L26</ns0:f>
        <ns0:v>577.91</ns0:v>
      </ns0:c>
      <ns0:c r="M26" s="3">
        <ns0:f>'销售费用'!M26+'管理费用'!M26+'蓝恐龙费用'!M26</ns0:f>
        <ns0:v>564.74</ns0:v>
      </ns0:c>
      <ns0:c r="N26" s="3">
        <ns0:f>'销售费用'!N26+'管理费用'!N26+'蓝恐龙费用'!N26</ns0:f>
        <ns0:v>743.65</ns0:v>
      </ns0:c>
      <ns0:c r="O26" s="3">
        <ns0:f>SUM(C26:N26)</ns0:f>
        <ns0:v>7779.15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'销售费用'!C27+'管理费用'!C27+'蓝恐龙费用'!C27</ns0:f>
        <ns0:v>566.44</ns0:v>
      </ns0:c>
      <ns0:c r="D27" s="3">
        <ns0:f>'销售费用'!D27+'管理费用'!D27+'蓝恐龙费用'!D27</ns0:f>
        <ns0:v>774.57</ns0:v>
      </ns0:c>
      <ns0:c r="E27" s="3">
        <ns0:f>'销售费用'!E27+'管理费用'!E27+'蓝恐龙费用'!E27</ns0:f>
        <ns0:v>643.78</ns0:v>
      </ns0:c>
      <ns0:c r="F27" s="3">
        <ns0:f>'销售费用'!F27+'管理费用'!F27+'蓝恐龙费用'!F27</ns0:f>
        <ns0:v>592.42</ns0:v>
      </ns0:c>
      <ns0:c r="G27" s="3">
        <ns0:f>'销售费用'!G27+'管理费用'!G27+'蓝恐龙费用'!G27</ns0:f>
        <ns0:v>977.96</ns0:v>
      </ns0:c>
      <ns0:c r="H27" s="3">
        <ns0:f>'销售费用'!H27+'管理费用'!H27+'蓝恐龙费用'!H27</ns0:f>
        <ns0:v>563.68</ns0:v>
      </ns0:c>
      <ns0:c r="I27" s="3">
        <ns0:f>'销售费用'!I27+'管理费用'!I27+'蓝恐龙费用'!I27</ns0:f>
        <ns0:v>1026.80</ns0:v>
      </ns0:c>
      <ns0:c r="J27" s="3">
        <ns0:f>'销售费用'!J27+'管理费用'!J27+'蓝恐龙费用'!J27</ns0:f>
        <ns0:v>605.72</ns0:v>
      </ns0:c>
      <ns0:c r="K27" s="3">
        <ns0:f>'销售费用'!K27+'管理费用'!K27+'蓝恐龙费用'!K27</ns0:f>
        <ns0:v>967.77</ns0:v>
      </ns0:c>
      <ns0:c r="L27" s="3">
        <ns0:f>'销售费用'!L27+'管理费用'!L27+'蓝恐龙费用'!L27</ns0:f>
        <ns0:v>696.99</ns0:v>
      </ns0:c>
      <ns0:c r="M27" s="3">
        <ns0:f>'销售费用'!M27+'管理费用'!M27+'蓝恐龙费用'!M27</ns0:f>
        <ns0:v>331.24</ns0:v>
      </ns0:c>
      <ns0:c r="N27" s="3">
        <ns0:f>'销售费用'!N27+'管理费用'!N27+'蓝恐龙费用'!N27</ns0:f>
        <ns0:v>982.90</ns0:v>
      </ns0:c>
      <ns0:c r="O27" s="3">
        <ns0:f>SUM(C27:N27)</ns0:f>
        <ns0:v>8730.27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'销售费用'!C28+'管理费用'!C28+'蓝恐龙费用'!C28</ns0:f>
        <ns0:v>669.15</ns0:v>
      </ns0:c>
      <ns0:c r="D28" s="3">
        <ns0:f>'销售费用'!D28+'管理费用'!D28+'蓝恐龙费用'!D28</ns0:f>
        <ns0:v>461.66</ns0:v>
      </ns0:c>
      <ns0:c r="E28" s="3">
        <ns0:f>'销售费用'!E28+'管理费用'!E28+'蓝恐龙费用'!E28</ns0:f>
        <ns0:v>721.96</ns0:v>
      </ns0:c>
      <ns0:c r="F28" s="3">
        <ns0:f>'销售费用'!F28+'管理费用'!F28+'蓝恐龙费用'!F28</ns0:f>
        <ns0:v>895.24</ns0:v>
      </ns0:c>
      <ns0:c r="G28" s="3">
        <ns0:f>'销售费用'!G28+'管理费用'!G28+'蓝恐龙费用'!G28</ns0:f>
        <ns0:v>836.64</ns0:v>
      </ns0:c>
      <ns0:c r="H28" s="3">
        <ns0:f>'销售费用'!H28+'管理费用'!H28+'蓝恐龙费用'!H28</ns0:f>
        <ns0:v>896.95</ns0:v>
      </ns0:c>
      <ns0:c r="I28" s="3">
        <ns0:f>'销售费用'!I28+'管理费用'!I28+'蓝恐龙费用'!I28</ns0:f>
        <ns0:v>903.55</ns0:v>
      </ns0:c>
      <ns0:c r="J28" s="3">
        <ns0:f>'销售费用'!J28+'管理费用'!J28+'蓝恐龙费用'!J28</ns0:f>
        <ns0:v>288.60</ns0:v>
      </ns0:c>
      <ns0:c r="K28" s="3">
        <ns0:f>'销售费用'!K28+'管理费用'!K28+'蓝恐龙费用'!K28</ns0:f>
        <ns0:v>902.64</ns0:v>
      </ns0:c>
      <ns0:c r="L28" s="3">
        <ns0:f>'销售费用'!L28+'管理费用'!L28+'蓝恐龙费用'!L28</ns0:f>
        <ns0:v>1127.48</ns0:v>
      </ns0:c>
      <ns0:c r="M28" s="3">
        <ns0:f>'销售费用'!M28+'管理费用'!M28+'蓝恐龙费用'!M28</ns0:f>
        <ns0:v>500.78</ns0:v>
      </ns0:c>
      <ns0:c r="N28" s="3">
        <ns0:f>'销售费用'!N28+'管理费用'!N28+'蓝恐龙费用'!N28</ns0:f>
        <ns0:v>898.97</ns0:v>
      </ns0:c>
      <ns0:c r="O28" s="3">
        <ns0:f>SUM(C28:N28)</ns0:f>
        <ns0:v>9103.62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'销售费用'!C29+'管理费用'!C29+'蓝恐龙费用'!C29</ns0:f>
        <ns0:v>0</ns0:v>
      </ns0:c>
      <ns0:c r="D29" s="3">
        <ns0:f>'销售费用'!D29+'管理费用'!D29+'蓝恐龙费用'!D29</ns0:f>
        <ns0:v>0</ns0:v>
      </ns0:c>
      <ns0:c r="E29" s="3">
        <ns0:f>'销售费用'!E29+'管理费用'!E29+'蓝恐龙费用'!E29</ns0:f>
        <ns0:v>0</ns0:v>
      </ns0:c>
      <ns0:c r="F29" s="3">
        <ns0:f>'销售费用'!F29+'管理费用'!F29+'蓝恐龙费用'!F29</ns0:f>
        <ns0:v>0</ns0:v>
      </ns0:c>
      <ns0:c r="G29" s="3">
        <ns0:f>'销售费用'!G29+'管理费用'!G29+'蓝恐龙费用'!G29</ns0:f>
        <ns0:v>0</ns0:v>
      </ns0:c>
      <ns0:c r="H29" s="3">
        <ns0:f>'销售费用'!H29+'管理费用'!H29+'蓝恐龙费用'!H29</ns0:f>
        <ns0:v>0</ns0:v>
      </ns0:c>
      <ns0:c r="I29" s="3">
        <ns0:f>'销售费用'!I29+'管理费用'!I29+'蓝恐龙费用'!I29</ns0:f>
        <ns0:v>0</ns0:v>
      </ns0:c>
      <ns0:c r="J29" s="3">
        <ns0:f>'销售费用'!J29+'管理费用'!J29+'蓝恐龙费用'!J29</ns0:f>
        <ns0:v>0</ns0:v>
      </ns0:c>
      <ns0:c r="K29" s="3">
        <ns0:f>'销售费用'!K29+'管理费用'!K29+'蓝恐龙费用'!K29</ns0:f>
        <ns0:v>0</ns0:v>
      </ns0:c>
      <ns0:c r="L29" s="3">
        <ns0:f>'销售费用'!L29+'管理费用'!L29+'蓝恐龙费用'!L29</ns0:f>
        <ns0:v>0</ns0:v>
      </ns0:c>
      <ns0:c r="M29" s="3">
        <ns0:f>'销售费用'!M29+'管理费用'!M29+'蓝恐龙费用'!M29</ns0:f>
        <ns0:v>0</ns0:v>
      </ns0:c>
      <ns0:c r="N29" s="3">
        <ns0:f>'销售费用'!N29+'管理费用'!N29+'蓝恐龙费用'!N29</ns0:f>
        <ns0:v>0</ns0:v>
      </ns0:c>
      <ns0:c r="O29" s="3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'销售费用'!C30+'管理费用'!C30+'蓝恐龙费用'!C30</ns0:f>
        <ns0:v>712.95</ns0:v>
      </ns0:c>
      <ns0:c r="D30" s="6">
        <ns0:f>'销售费用'!D30+'管理费用'!D30+'蓝恐龙费用'!D30</ns0:f>
        <ns0:v>729.51</ns0:v>
      </ns0:c>
      <ns0:c r="E30" s="6">
        <ns0:f>'销售费用'!E30+'管理费用'!E30+'蓝恐龙费用'!E30</ns0:f>
        <ns0:v>563.75</ns0:v>
      </ns0:c>
      <ns0:c r="F30" s="6">
        <ns0:f>'销售费用'!F30+'管理费用'!F30+'蓝恐龙费用'!F30</ns0:f>
        <ns0:v>740.21</ns0:v>
      </ns0:c>
      <ns0:c r="G30" s="6">
        <ns0:f>'销售费用'!G30+'管理费用'!G30+'蓝恐龙费用'!G30</ns0:f>
        <ns0:v>730.42</ns0:v>
      </ns0:c>
      <ns0:c r="H30" s="6">
        <ns0:f>'销售费用'!H30+'管理费用'!H30+'蓝恐龙费用'!H30</ns0:f>
        <ns0:v>776.43</ns0:v>
      </ns0:c>
      <ns0:c r="I30" s="6">
        <ns0:f>'销售费用'!I30+'管理费用'!I30+'蓝恐龙费用'!I30</ns0:f>
        <ns0:v>193.05</ns0:v>
      </ns0:c>
      <ns0:c r="J30" s="6">
        <ns0:f>'销售费用'!J30+'管理费用'!J30+'蓝恐龙费用'!J30</ns0:f>
        <ns0:v>664.16</ns0:v>
      </ns0:c>
      <ns0:c r="K30" s="6">
        <ns0:f>'销售费用'!K30+'管理费用'!K30+'蓝恐龙费用'!K30</ns0:f>
        <ns0:v>752.30</ns0:v>
      </ns0:c>
      <ns0:c r="L30" s="6">
        <ns0:f>'销售费用'!L30+'管理费用'!L30+'蓝恐龙费用'!L30</ns0:f>
        <ns0:v>1139.76</ns0:v>
      </ns0:c>
      <ns0:c r="M30" s="6">
        <ns0:f>'销售费用'!M30+'管理费用'!M30+'蓝恐龙费用'!M30</ns0:f>
        <ns0:v>777.91</ns0:v>
      </ns0:c>
      <ns0:c r="N30" s="6">
        <ns0:f>'销售费用'!N30+'管理费用'!N30+'蓝恐龙费用'!N30</ns0:f>
        <ns0:v>609.42</ns0:v>
      </ns0:c>
      <ns0:c r="O30" s="6">
        <ns0:f>SUM(C30:N30)</ns0:f>
        <ns0:v>8389.87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'销售费用'!C31+'管理费用'!C31+'蓝恐龙费用'!C31</ns0:f>
        <ns0:v>940.46</ns0:v>
      </ns0:c>
      <ns0:c r="D31" s="3">
        <ns0:f>'销售费用'!D31+'管理费用'!D31+'蓝恐龙费用'!D31</ns0:f>
        <ns0:v>356.01</ns0:v>
      </ns0:c>
      <ns0:c r="E31" s="3">
        <ns0:f>'销售费用'!E31+'管理费用'!E31+'蓝恐龙费用'!E31</ns0:f>
        <ns0:v>476.93</ns0:v>
      </ns0:c>
      <ns0:c r="F31" s="3">
        <ns0:f>'销售费用'!F31+'管理费用'!F31+'蓝恐龙费用'!F31</ns0:f>
        <ns0:v>882.87</ns0:v>
      </ns0:c>
      <ns0:c r="G31" s="3">
        <ns0:f>'销售费用'!G31+'管理费用'!G31+'蓝恐龙费用'!G31</ns0:f>
        <ns0:v>359.83</ns0:v>
      </ns0:c>
      <ns0:c r="H31" s="3">
        <ns0:f>'销售费用'!H31+'管理费用'!H31+'蓝恐龙费用'!H31</ns0:f>
        <ns0:v>673.89</ns0:v>
      </ns0:c>
      <ns0:c r="I31" s="3">
        <ns0:f>'销售费用'!I31+'管理费用'!I31+'蓝恐龙费用'!I31</ns0:f>
        <ns0:v>548.61</ns0:v>
      </ns0:c>
      <ns0:c r="J31" s="3">
        <ns0:f>'销售费用'!J31+'管理费用'!J31+'蓝恐龙费用'!J31</ns0:f>
        <ns0:v>515.67</ns0:v>
      </ns0:c>
      <ns0:c r="K31" s="3">
        <ns0:f>'销售费用'!K31+'管理费用'!K31+'蓝恐龙费用'!K31</ns0:f>
        <ns0:v>433.75</ns0:v>
      </ns0:c>
      <ns0:c r="L31" s="3">
        <ns0:f>'销售费用'!L31+'管理费用'!L31+'蓝恐龙费用'!L31</ns0:f>
        <ns0:v>1184.89</ns0:v>
      </ns0:c>
      <ns0:c r="M31" s="3">
        <ns0:f>'销售费用'!M31+'管理费用'!M31+'蓝恐龙费用'!M31</ns0:f>
        <ns0:v>776.78</ns0:v>
      </ns0:c>
      <ns0:c r="N31" s="3">
        <ns0:f>'销售费用'!N31+'管理费用'!N31+'蓝恐龙费用'!N31</ns0:f>
        <ns0:v>429.49</ns0:v>
      </ns0:c>
      <ns0:c r="O31" s="3">
        <ns0:f>SUM(C31:N31)</ns0:f>
        <ns0:v>7579.18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'销售费用'!C32+'管理费用'!C32+'蓝恐龙费用'!C32</ns0:f>
        <ns0:v>579.78</ns0:v>
      </ns0:c>
      <ns0:c r="D32" s="3">
        <ns0:f>'销售费用'!D32+'管理费用'!D32+'蓝恐龙费用'!D32</ns0:f>
        <ns0:v>447.99</ns0:v>
      </ns0:c>
      <ns0:c r="E32" s="3">
        <ns0:f>'销售费用'!E32+'管理费用'!E32+'蓝恐龙费用'!E32</ns0:f>
        <ns0:v>788.27</ns0:v>
      </ns0:c>
      <ns0:c r="F32" s="3">
        <ns0:f>'销售费用'!F32+'管理费用'!F32+'蓝恐龙费用'!F32</ns0:f>
        <ns0:v>395.24</ns0:v>
      </ns0:c>
      <ns0:c r="G32" s="3">
        <ns0:f>'销售费用'!G32+'管理费用'!G32+'蓝恐龙费用'!G32</ns0:f>
        <ns0:v>600.77</ns0:v>
      </ns0:c>
      <ns0:c r="H32" s="3">
        <ns0:f>'销售费用'!H32+'管理费用'!H32+'蓝恐龙费用'!H32</ns0:f>
        <ns0:v>809.21</ns0:v>
      </ns0:c>
      <ns0:c r="I32" s="3">
        <ns0:f>'销售费用'!I32+'管理费用'!I32+'蓝恐龙费用'!I32</ns0:f>
        <ns0:v>829.72</ns0:v>
      </ns0:c>
      <ns0:c r="J32" s="3">
        <ns0:f>'销售费用'!J32+'管理费用'!J32+'蓝恐龙费用'!J32</ns0:f>
        <ns0:v>701.53</ns0:v>
      </ns0:c>
      <ns0:c r="K32" s="3">
        <ns0:f>'销售费用'!K32+'管理费用'!K32+'蓝恐龙费用'!K32</ns0:f>
        <ns0:v>722.26</ns0:v>
      </ns0:c>
      <ns0:c r="L32" s="3">
        <ns0:f>'销售费用'!L32+'管理费用'!L32+'蓝恐龙费用'!L32</ns0:f>
        <ns0:v>646.67</ns0:v>
      </ns0:c>
      <ns0:c r="M32" s="3">
        <ns0:f>'销售费用'!M32+'管理费用'!M32+'蓝恐龙费用'!M32</ns0:f>
        <ns0:v>892.48</ns0:v>
      </ns0:c>
      <ns0:c r="N32" s="3">
        <ns0:f>'销售费用'!N32+'管理费用'!N32+'蓝恐龙费用'!N32</ns0:f>
        <ns0:v>585.00</ns0:v>
      </ns0:c>
      <ns0:c r="O32" s="3">
        <ns0:f>SUM(C32:N32)</ns0:f>
        <ns0:v>7998.92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'销售费用'!C33+'管理费用'!C33+'蓝恐龙费用'!C33</ns0:f>
        <ns0:v>382.92</ns0:v>
      </ns0:c>
      <ns0:c r="D33" s="3">
        <ns0:f>'销售费用'!D33+'管理费用'!D33+'蓝恐龙费用'!D33</ns0:f>
        <ns0:v>852.14</ns0:v>
      </ns0:c>
      <ns0:c r="E33" s="3">
        <ns0:f>'销售费用'!E33+'管理费用'!E33+'蓝恐龙费用'!E33</ns0:f>
        <ns0:v>430.04</ns0:v>
      </ns0:c>
      <ns0:c r="F33" s="3">
        <ns0:f>'销售费用'!F33+'管理费用'!F33+'蓝恐龙费用'!F33</ns0:f>
        <ns0:v>789.76</ns0:v>
      </ns0:c>
      <ns0:c r="G33" s="3">
        <ns0:f>'销售费用'!G33+'管理费用'!G33+'蓝恐龙费用'!G33</ns0:f>
        <ns0:v>785.76</ns0:v>
      </ns0:c>
      <ns0:c r="H33" s="3">
        <ns0:f>'销售费用'!H33+'管理费用'!H33+'蓝恐龙费用'!H33</ns0:f>
        <ns0:v>645.98</ns0:v>
      </ns0:c>
      <ns0:c r="I33" s="3">
        <ns0:f>'销售费用'!I33+'管理费用'!I33+'蓝恐龙费用'!I33</ns0:f>
        <ns0:v>774.81</ns0:v>
      </ns0:c>
      <ns0:c r="J33" s="3">
        <ns0:f>'销售费用'!J33+'管理费用'!J33+'蓝恐龙费用'!J33</ns0:f>
        <ns0:v>453.11</ns0:v>
      </ns0:c>
      <ns0:c r="K33" s="3">
        <ns0:f>'销售费用'!K33+'管理费用'!K33+'蓝恐龙费用'!K33</ns0:f>
        <ns0:v>792.16</ns0:v>
      </ns0:c>
      <ns0:c r="L33" s="3">
        <ns0:f>'销售费用'!L33+'管理费用'!L33+'蓝恐龙费用'!L33</ns0:f>
        <ns0:v>924.89</ns0:v>
      </ns0:c>
      <ns0:c r="M33" s="3">
        <ns0:f>'销售费用'!M33+'管理费用'!M33+'蓝恐龙费用'!M33</ns0:f>
        <ns0:v>1081.52</ns0:v>
      </ns0:c>
      <ns0:c r="N33" s="3">
        <ns0:f>'销售费用'!N33+'管理费用'!N33+'蓝恐龙费用'!N33</ns0:f>
        <ns0:v>921.61</ns0:v>
      </ns0:c>
      <ns0:c r="O33" s="3">
        <ns0:f>SUM(C33:N33)</ns0:f>
        <ns0:v>8834.70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20338.17</ns0:v>
      </ns0:c>
      <ns0:c r="D34" s="3">
        <ns0:f>SUM(D4:D33)</ns0:f>
        <ns0:v>22444.47</ns0:v>
      </ns0:c>
      <ns0:c r="E34" s="3">
        <ns0:f>SUM(E4:E33)</ns0:f>
        <ns0:v>19749.38</ns0:v>
      </ns0:c>
      <ns0:c r="F34" s="3">
        <ns0:f>SUM(F4:F33)</ns0:f>
        <ns0:v>22694.67</ns0:v>
      </ns0:c>
      <ns0:c r="G34" s="3">
        <ns0:f>SUM(G4:G33)</ns0:f>
        <ns0:v>21675.48</ns0:v>
      </ns0:c>
      <ns0:c r="H34" s="3">
        <ns0:f>SUM(H4:H33)</ns0:f>
        <ns0:v>22499.00</ns0:v>
      </ns0:c>
      <ns0:c r="I34" s="3">
        <ns0:f>SUM(I4:I33)</ns0:f>
        <ns0:v>20930.05</ns0:v>
      </ns0:c>
      <ns0:c r="J34" s="3">
        <ns0:f>SUM(J4:J33)</ns0:f>
        <ns0:v>19267.54</ns0:v>
      </ns0:c>
      <ns0:c r="K34" s="3">
        <ns0:f>SUM(K4:K33)</ns0:f>
        <ns0:v>22222.10</ns0:v>
      </ns0:c>
      <ns0:c r="L34" s="3">
        <ns0:f>SUM(L4:L33)</ns0:f>
        <ns0:v>22781.13</ns0:v>
      </ns0:c>
      <ns0:c r="M34" s="3">
        <ns0:f>SUM(M4:M33)</ns0:f>
        <ns0:v>23294.38</ns0:v>
      </ns0:c>
      <ns0:c r="N34" s="3">
        <ns0:f>SUM(N4:N33)</ns0:f>
        <ns0:v>22875.31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日期</ns0:t>
        </ns0:is>
      </ns0:c>
      <ns0:c r="C2" s="3"/>
      <ns0:c r="D2" s="3"/>
      <ns0:c r="E2" s="3"/>
      <ns0:c r="F2" s="3"/>
      <ns0:c r="G2" s="3"/>
      <ns0:c r="H2" s="3" t="inlineStr">
        <ns0:is>
          <ns0:t>金额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摘要</ns0:t>
        </ns0:is>
      </ns0:c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预算基础内部底稿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摊销资产原值</ns0:t>
        </ns0:is>
      </ns0:c>
      <ns0:c r="C31" s="4">
        <ns0:v>112846.74</ns0:v>
      </ns0:c>
      <ns0:c r="D31" s="3">
        <ns0:f>$C$31</ns0:f>
        <ns0:v>112846.74</ns0:v>
      </ns0:c>
      <ns0:c r="E31" s="3">
        <ns0:f>$C$31</ns0:f>
        <ns0:v>112846.74</ns0:v>
      </ns0:c>
      <ns0:c r="F31" s="3">
        <ns0:f>$C$31</ns0:f>
        <ns0:v>112846.74</ns0:v>
      </ns0:c>
      <ns0:c r="G31" s="3">
        <ns0:f>$C$31</ns0:f>
        <ns0:v>112846.74</ns0:v>
      </ns0:c>
      <ns0:c r="H31" s="3">
        <ns0:f>$C$31</ns0:f>
        <ns0:v>112846.74</ns0:v>
      </ns0:c>
      <ns0:c r="I31" s="3">
        <ns0:f>$C$31</ns0:f>
        <ns0:v>112846.74</ns0:v>
      </ns0:c>
      <ns0:c r="J31" s="3">
        <ns0:f>$C$31</ns0:f>
        <ns0:v>112846.74</ns0:v>
      </ns0:c>
      <ns0:c r="K31" s="3">
        <ns0:f>$C$31</ns0:f>
        <ns0:v>112846.74</ns0:v>
      </ns0:c>
      <ns0:c r="L31" s="3">
        <ns0:f>$C$31</ns0:f>
        <ns0:v>112846.74</ns0:v>
      </ns0:c>
      <ns0:c r="M31" s="3">
        <ns0:f>$C$31</ns0:f>
        <ns0:v>112846.74</ns0:v>
      </ns0:c>
      <ns0:c r="N31" s="3">
        <ns0:f>$C$31</ns0:f>
        <ns0:v>112846.74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摊销月数</ns0:t>
        </ns0:is>
      </ns0:c>
      <ns0:c r="C32" s="4">
        <ns0:v>49</ns0:v>
      </ns0:c>
      <ns0:c r="D32" s="3">
        <ns0:f>$C$32</ns0:f>
        <ns0:v>49</ns0:v>
      </ns0:c>
      <ns0:c r="E32" s="3">
        <ns0:f>$C$32</ns0:f>
        <ns0:v>49</ns0:v>
      </ns0:c>
      <ns0:c r="F32" s="3">
        <ns0:f>$C$32</ns0:f>
        <ns0:v>49</ns0:v>
      </ns0:c>
      <ns0:c r="G32" s="3">
        <ns0:f>$C$32</ns0:f>
        <ns0:v>49</ns0:v>
      </ns0:c>
      <ns0:c r="H32" s="3">
        <ns0:f>$C$32</ns0:f>
        <ns0:v>49</ns0:v>
      </ns0:c>
      <ns0:c r="I32" s="3">
        <ns0:f>$C$32</ns0:f>
        <ns0:v>49</ns0:v>
      </ns0:c>
      <ns0:c r="J32" s="3">
        <ns0:f>$C$32</ns0:f>
        <ns0:v>49</ns0:v>
      </ns0:c>
      <ns0:c r="K32" s="3">
        <ns0:f>$C$32</ns0:f>
        <ns0:v>49</ns0:v>
      </ns0:c>
      <ns0:c r="L32" s="3">
        <ns0:f>$C$32</ns0:f>
        <ns0:v>49</ns0:v>
      </ns0:c>
      <ns0:c r="M32" s="3">
        <ns0:f>$C$32</ns0:f>
        <ns0:v>49</ns0:v>
      </ns0:c>
      <ns0:c r="N32" s="3">
        <ns0:f>$C$32</ns0:f>
        <ns0:v>49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本月摊销</ns0:t>
        </ns0:is>
      </ns0:c>
      <ns0:c r="C33" s="3">
        <ns0:f>ROUND(C31/MAX(C32,1),2)</ns0:f>
        <ns0:v>2302.99</ns0:v>
      </ns0:c>
      <ns0:c r="D33" s="3">
        <ns0:f>ROUND(D31/MAX(D32,1),2)</ns0:f>
        <ns0:v>2302.99</ns0:v>
      </ns0:c>
      <ns0:c r="E33" s="3">
        <ns0:f>ROUND(E31/MAX(E32,1),2)</ns0:f>
        <ns0:v>2302.99</ns0:v>
      </ns0:c>
      <ns0:c r="F33" s="3">
        <ns0:f>ROUND(F31/MAX(F32,1),2)</ns0:f>
        <ns0:v>2302.99</ns0:v>
      </ns0:c>
      <ns0:c r="G33" s="3">
        <ns0:f>ROUND(G31/MAX(G32,1),2)</ns0:f>
        <ns0:v>2302.99</ns0:v>
      </ns0:c>
      <ns0:c r="H33" s="3">
        <ns0:f>ROUND(H31/MAX(H32,1),2)</ns0:f>
        <ns0:v>2302.99</ns0:v>
      </ns0:c>
      <ns0:c r="I33" s="3">
        <ns0:f>ROUND(I31/MAX(I32,1),2)</ns0:f>
        <ns0:v>2302.99</ns0:v>
      </ns0:c>
      <ns0:c r="J33" s="3">
        <ns0:f>ROUND(J31/MAX(J32,1),2)</ns0:f>
        <ns0:v>2302.99</ns0:v>
      </ns0:c>
      <ns0:c r="K33" s="3">
        <ns0:f>ROUND(K31/MAX(K32,1),2)</ns0:f>
        <ns0:v>2302.99</ns0:v>
      </ns0:c>
      <ns0:c r="L33" s="3">
        <ns0:f>ROUND(L31/MAX(L32,1),2)</ns0:f>
        <ns0:v>2302.99</ns0:v>
      </ns0:c>
      <ns0:c r="M33" s="3">
        <ns0:f>ROUND(M31/MAX(M32,1),2)</ns0:f>
        <ns0:v>2302.99</ns0:v>
      </ns0:c>
      <ns0:c r="N33" s="3">
        <ns0:f>ROUND(N31/MAX(N32,1),2)</ns0:f>
        <ns0:v>2302.99</ns0:v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累计已摊销</ns0:t>
        </ns0:is>
      </ns0:c>
      <ns0:c r="C34" s="3">
        <ns0:f>SUM($C33:C33)</ns0:f>
        <ns0:v>2302.99</ns0:v>
      </ns0:c>
      <ns0:c r="D34" s="3">
        <ns0:f>SUM($C33:D33)</ns0:f>
        <ns0:v>4605.98</ns0:v>
      </ns0:c>
      <ns0:c r="E34" s="3">
        <ns0:f>SUM($C33:E33)</ns0:f>
        <ns0:v>6908.97</ns0:v>
      </ns0:c>
      <ns0:c r="F34" s="3">
        <ns0:f>SUM($C33:F33)</ns0:f>
        <ns0:v>9211.96</ns0:v>
      </ns0:c>
      <ns0:c r="G34" s="3">
        <ns0:f>SUM($C33:G33)</ns0:f>
        <ns0:v>11514.95</ns0:v>
      </ns0:c>
      <ns0:c r="H34" s="3">
        <ns0:f>SUM($C33:H33)</ns0:f>
        <ns0:v>13817.94</ns0:v>
      </ns0:c>
      <ns0:c r="I34" s="3">
        <ns0:f>SUM($C33:I33)</ns0:f>
        <ns0:v>16120.93</ns0:v>
      </ns0:c>
      <ns0:c r="J34" s="3">
        <ns0:f>SUM($C33:J33)</ns0:f>
        <ns0:v>18423.92</ns0:v>
      </ns0:c>
      <ns0:c r="K34" s="3">
        <ns0:f>SUM($C33:K33)</ns0:f>
        <ns0:v>20726.91</ns0:v>
      </ns0:c>
      <ns0:c r="L34" s="3">
        <ns0:f>SUM($C33:L33)</ns0:f>
        <ns0:v>23029.90</ns0:v>
      </ns0:c>
      <ns0:c r="M34" s="3">
        <ns0:f>SUM($C33:M33)</ns0:f>
        <ns0:v>25332.89</ns0:v>
      </ns0:c>
      <ns0:c r="N34" s="3">
        <ns0:f>SUM($C33:N33)</ns0:f>
        <ns0:v>27635.88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3">
        <ns0:f>C31-C34</ns0:f>
        <ns0:v>110543.75</ns0:v>
      </ns0:c>
      <ns0:c r="D35" s="3">
        <ns0:f>D31-D34</ns0:f>
        <ns0:v>108240.76</ns0:v>
      </ns0:c>
      <ns0:c r="E35" s="3">
        <ns0:f>E31-E34</ns0:f>
        <ns0:v>105937.77</ns0:v>
      </ns0:c>
      <ns0:c r="F35" s="3">
        <ns0:f>F31-F34</ns0:f>
        <ns0:v>103634.78</ns0:v>
      </ns0:c>
      <ns0:c r="G35" s="3">
        <ns0:f>G31-G34</ns0:f>
        <ns0:v>101331.79</ns0:v>
      </ns0:c>
      <ns0:c r="H35" s="3">
        <ns0:f>H31-H34</ns0:f>
        <ns0:v>99028.80</ns0:v>
      </ns0:c>
      <ns0:c r="I35" s="3">
        <ns0:f>I31-I34</ns0:f>
        <ns0:v>96725.81</ns0:v>
      </ns0:c>
      <ns0:c r="J35" s="3">
        <ns0:f>J31-J34</ns0:f>
        <ns0:v>94422.82</ns0:v>
      </ns0:c>
      <ns0:c r="K35" s="3">
        <ns0:f>K31-K34</ns0:f>
        <ns0:v>92119.83</ns0:v>
      </ns0:c>
      <ns0:c r="L35" s="3">
        <ns0:f>L31-L34</ns0:f>
        <ns0:v>89816.84</ns0:v>
      </ns0:c>
      <ns0:c r="M35" s="3">
        <ns0:f>M31-M34</ns0:f>
        <ns0:v>87513.85</ns0:v>
      </ns0:c>
      <ns0:c r="N35" s="3">
        <ns0:f>N31-N34</ns0:f>
        <ns0:v>85210.86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摊销起始日</ns0:t>
        </ns0:is>
      </ns0:c>
      <ns0:c r="C36" s="3" t="inlineStr">
        <ns0:is>
          <ns0:t>2027-01-01</ns0:t>
        </ns0:is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管理费用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财务费用</ns0:t>
        </ns0:is>
      </ns0:c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财务费用</ns0:t>
        </ns0:is>
      </ns0:c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财务费用</ns0:t>
        </ns0:is>
      </ns0:c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财务费用</ns0:t>
        </ns0:is>
      </ns0:c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财务费用</ns0:t>
        </ns0:is>
      </ns0:c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管理费用</ns0:t>
        </ns0:is>
      </ns0:c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管理费用</ns0:t>
        </ns0:is>
      </ns0:c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 t="inlineStr">
        <ns0:is>
          <ns0:t>管理费用</ns0:t>
        </ns0:is>
      </ns0:c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 t="inlineStr">
        <ns0:is>
          <ns0:t>管理费用</ns0:t>
        </ns0:is>
      </ns0:c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 t="inlineStr">
        <ns0:is>
          <ns0:t>管理费用</ns0:t>
        </ns0:is>
      </ns0:c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 t="inlineStr">
        <ns0:is>
          <ns0:t>管理费用</ns0:t>
        </ns0:is>
      </ns0:c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管理费用</ns0:t>
        </ns0:is>
      </ns0:c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 t="inlineStr">
        <ns0:is>
          <ns0:t>财务费用</ns0:t>
        </ns0:is>
      </ns0:c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 t="inlineStr">
        <ns0:is>
          <ns0:t>期间</ns0:t>
        </ns0:is>
      </ns0:c>
      <ns0:c r="B150" s="2" t="inlineStr">
        <ns0:is>
          <ns0:t>科目</ns0:t>
        </ns0:is>
      </ns0:c>
      <ns0:c r="C150" s="3" t="inlineStr">
        <ns0:is>
          <ns0:t>借方</ns0:t>
        </ns0:is>
      </ns0:c>
      <ns0:c r="D150" s="3" t="inlineStr">
        <ns0:is>
          <ns0:t>贷方</ns0:t>
        </ns0:is>
      </ns0:c>
      <ns0:c r="E150" s="3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 t="inlineStr">
        <ns0:is>
          <ns0:t>2027-01</ns0:t>
        </ns0:is>
      </ns0:c>
      <ns0:c r="B151" s="2" t="inlineStr">
        <ns0:is>
          <ns0:t>银行存款</ns0:t>
        </ns0:is>
      </ns0:c>
      <ns0:c r="C151" s="3">
        <ns0:f>'利润表'!C61</ns0:f>
        <ns0:v>397874.37</ns0:v>
      </ns0:c>
      <ns0:c r="D151" s="3">
        <ns0:f>0</ns0:f>
        <ns0:v>0</ns0:v>
      </ns0:c>
      <ns0:c r="E151" s="3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 t="inlineStr">
        <ns0:is>
          <ns0:t>主营业务收入</ns0:t>
        </ns0:is>
      </ns0:c>
      <ns0:c r="C152" s="3">
        <ns0:f>0</ns0:f>
        <ns0:v>0</ns0:v>
      </ns0:c>
      <ns0:c r="D152" s="3">
        <ns0:f>C151</ns0:f>
        <ns0:v>397874.37</ns0:v>
      </ns0:c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 t="inlineStr">
        <ns0:is>
          <ns0:t>2027-02</ns0:t>
        </ns0:is>
      </ns0:c>
      <ns0:c r="B153" s="2" t="inlineStr">
        <ns0:is>
          <ns0:t>银行存款</ns0:t>
        </ns0:is>
      </ns0:c>
      <ns0:c r="C153" s="3">
        <ns0:f>'利润表'!D61</ns0:f>
        <ns0:v>336013.35</ns0:v>
      </ns0:c>
      <ns0:c r="D153" s="3">
        <ns0:f>0</ns0:f>
        <ns0:v>0</ns0:v>
      </ns0:c>
      <ns0:c r="E153" s="3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 t="inlineStr">
        <ns0:is>
          <ns0:t>主营业务收入</ns0:t>
        </ns0:is>
      </ns0:c>
      <ns0:c r="C154" s="3">
        <ns0:f>0</ns0:f>
        <ns0:v>0</ns0:v>
      </ns0:c>
      <ns0:c r="D154" s="3">
        <ns0:f>C153</ns0:f>
        <ns0:v>336013.35</ns0:v>
      </ns0:c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 t="inlineStr">
        <ns0:is>
          <ns0:t>2027-03</ns0:t>
        </ns0:is>
      </ns0:c>
      <ns0:c r="B155" s="2" t="inlineStr">
        <ns0:is>
          <ns0:t>银行存款</ns0:t>
        </ns0:is>
      </ns0:c>
      <ns0:c r="C155" s="3">
        <ns0:f>'利润表'!E61</ns0:f>
        <ns0:v>301835.70</ns0:v>
      </ns0:c>
      <ns0:c r="D155" s="3">
        <ns0:f>0</ns0:f>
        <ns0:v>0</ns0:v>
      </ns0:c>
      <ns0:c r="E155" s="3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 t="inlineStr">
        <ns0:is>
          <ns0:t>主营业务收入</ns0:t>
        </ns0:is>
      </ns0:c>
      <ns0:c r="C156" s="3">
        <ns0:f>0</ns0:f>
        <ns0:v>0</ns0:v>
      </ns0:c>
      <ns0:c r="D156" s="3">
        <ns0:f>C155</ns0:f>
        <ns0:v>301835.70</ns0:v>
      </ns0:c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 t="inlineStr">
        <ns0:is>
          <ns0:t>2027-04</ns0:t>
        </ns0:is>
      </ns0:c>
      <ns0:c r="B157" s="2" t="inlineStr">
        <ns0:is>
          <ns0:t>银行存款</ns0:t>
        </ns0:is>
      </ns0:c>
      <ns0:c r="C157" s="3">
        <ns0:f>'利润表'!F61</ns0:f>
        <ns0:v>315465.80</ns0:v>
      </ns0:c>
      <ns0:c r="D157" s="3">
        <ns0:f>0</ns0:f>
        <ns0:v>0</ns0:v>
      </ns0:c>
      <ns0:c r="E157" s="3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 t="inlineStr">
        <ns0:is>
          <ns0:t>主营业务收入</ns0:t>
        </ns0:is>
      </ns0:c>
      <ns0:c r="C158" s="3">
        <ns0:f>0</ns0:f>
        <ns0:v>0</ns0:v>
      </ns0:c>
      <ns0:c r="D158" s="3">
        <ns0:f>C157</ns0:f>
        <ns0:v>315465.80</ns0:v>
      </ns0:c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 t="inlineStr">
        <ns0:is>
          <ns0:t>2027-05</ns0:t>
        </ns0:is>
      </ns0:c>
      <ns0:c r="B159" s="2" t="inlineStr">
        <ns0:is>
          <ns0:t>银行存款</ns0:t>
        </ns0:is>
      </ns0:c>
      <ns0:c r="C159" s="3">
        <ns0:f>'利润表'!G61</ns0:f>
        <ns0:v>348734.92</ns0:v>
      </ns0:c>
      <ns0:c r="D159" s="3">
        <ns0:f>0</ns0:f>
        <ns0:v>0</ns0:v>
      </ns0:c>
      <ns0:c r="E159" s="3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 t="inlineStr">
        <ns0:is>
          <ns0:t>主营业务收入</ns0:t>
        </ns0:is>
      </ns0:c>
      <ns0:c r="C160" s="3">
        <ns0:f>0</ns0:f>
        <ns0:v>0</ns0:v>
      </ns0:c>
      <ns0:c r="D160" s="3">
        <ns0:f>C159</ns0:f>
        <ns0:v>348734.92</ns0:v>
      </ns0:c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 t="inlineStr">
        <ns0:is>
          <ns0:t>2027-06</ns0:t>
        </ns0:is>
      </ns0:c>
      <ns0:c r="B161" s="2" t="inlineStr">
        <ns0:is>
          <ns0:t>银行存款</ns0:t>
        </ns0:is>
      </ns0:c>
      <ns0:c r="C161" s="3">
        <ns0:f>'利润表'!H61</ns0:f>
        <ns0:v>395294.23</ns0:v>
      </ns0:c>
      <ns0:c r="D161" s="3">
        <ns0:f>0</ns0:f>
        <ns0:v>0</ns0:v>
      </ns0:c>
      <ns0:c r="E161" s="3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 t="inlineStr">
        <ns0:is>
          <ns0:t>主营业务收入</ns0:t>
        </ns0:is>
      </ns0:c>
      <ns0:c r="C162" s="3">
        <ns0:f>0</ns0:f>
        <ns0:v>0</ns0:v>
      </ns0:c>
      <ns0:c r="D162" s="3">
        <ns0:f>C161</ns0:f>
        <ns0:v>395294.23</ns0:v>
      </ns0:c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 t="inlineStr">
        <ns0:is>
          <ns0:t>2027-07</ns0:t>
        </ns0:is>
      </ns0:c>
      <ns0:c r="B163" s="2" t="inlineStr">
        <ns0:is>
          <ns0:t>银行存款</ns0:t>
        </ns0:is>
      </ns0:c>
      <ns0:c r="C163" s="3">
        <ns0:f>'利润表'!I61</ns0:f>
        <ns0:v>500397.87</ns0:v>
      </ns0:c>
      <ns0:c r="D163" s="3">
        <ns0:f>0</ns0:f>
        <ns0:v>0</ns0:v>
      </ns0:c>
      <ns0:c r="E163" s="3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 t="inlineStr">
        <ns0:is>
          <ns0:t>主营业务收入</ns0:t>
        </ns0:is>
      </ns0:c>
      <ns0:c r="C164" s="3">
        <ns0:f>0</ns0:f>
        <ns0:v>0</ns0:v>
      </ns0:c>
      <ns0:c r="D164" s="3">
        <ns0:f>C163</ns0:f>
        <ns0:v>500397.87</ns0:v>
      </ns0:c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 t="inlineStr">
        <ns0:is>
          <ns0:t>2027-08</ns0:t>
        </ns0:is>
      </ns0:c>
      <ns0:c r="B165" s="2" t="inlineStr">
        <ns0:is>
          <ns0:t>银行存款</ns0:t>
        </ns0:is>
      </ns0:c>
      <ns0:c r="C165" s="3">
        <ns0:f>'利润表'!J61</ns0:f>
        <ns0:v>297810.40</ns0:v>
      </ns0:c>
      <ns0:c r="D165" s="3">
        <ns0:f>0</ns0:f>
        <ns0:v>0</ns0:v>
      </ns0:c>
      <ns0:c r="E165" s="3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 t="inlineStr">
        <ns0:is>
          <ns0:t>主营业务收入</ns0:t>
        </ns0:is>
      </ns0:c>
      <ns0:c r="C166" s="3">
        <ns0:f>0</ns0:f>
        <ns0:v>0</ns0:v>
      </ns0:c>
      <ns0:c r="D166" s="3">
        <ns0:f>C165</ns0:f>
        <ns0:v>297810.40</ns0:v>
      </ns0:c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 t="inlineStr">
        <ns0:is>
          <ns0:t>2027-09</ns0:t>
        </ns0:is>
      </ns0:c>
      <ns0:c r="B167" s="2" t="inlineStr">
        <ns0:is>
          <ns0:t>银行存款</ns0:t>
        </ns0:is>
      </ns0:c>
      <ns0:c r="C167" s="3">
        <ns0:f>'利润表'!K61</ns0:f>
        <ns0:v>398486.63</ns0:v>
      </ns0:c>
      <ns0:c r="D167" s="3">
        <ns0:f>0</ns0:f>
        <ns0:v>0</ns0:v>
      </ns0:c>
      <ns0:c r="E167" s="3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 t="inlineStr">
        <ns0:is>
          <ns0:t>主营业务收入</ns0:t>
        </ns0:is>
      </ns0:c>
      <ns0:c r="C168" s="3">
        <ns0:f>0</ns0:f>
        <ns0:v>0</ns0:v>
      </ns0:c>
      <ns0:c r="D168" s="3">
        <ns0:f>C167</ns0:f>
        <ns0:v>398486.63</ns0:v>
      </ns0:c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 t="inlineStr">
        <ns0:is>
          <ns0:t>2027-10</ns0:t>
        </ns0:is>
      </ns0:c>
      <ns0:c r="B169" s="2" t="inlineStr">
        <ns0:is>
          <ns0:t>银行存款</ns0:t>
        </ns0:is>
      </ns0:c>
      <ns0:c r="C169" s="3">
        <ns0:f>'利润表'!L61</ns0:f>
        <ns0:v>311660.41</ns0:v>
      </ns0:c>
      <ns0:c r="D169" s="3">
        <ns0:f>0</ns0:f>
        <ns0:v>0</ns0:v>
      </ns0:c>
      <ns0:c r="E169" s="3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 t="inlineStr">
        <ns0:is>
          <ns0:t>主营业务收入</ns0:t>
        </ns0:is>
      </ns0:c>
      <ns0:c r="C170" s="3">
        <ns0:f>0</ns0:f>
        <ns0:v>0</ns0:v>
      </ns0:c>
      <ns0:c r="D170" s="3">
        <ns0:f>C169</ns0:f>
        <ns0:v>311660.41</ns0:v>
      </ns0:c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 t="inlineStr">
        <ns0:is>
          <ns0:t>2027-11</ns0:t>
        </ns0:is>
      </ns0:c>
      <ns0:c r="B171" s="2" t="inlineStr">
        <ns0:is>
          <ns0:t>银行存款</ns0:t>
        </ns0:is>
      </ns0:c>
      <ns0:c r="C171" s="3">
        <ns0:f>'利润表'!M61</ns0:f>
        <ns0:v>439141.17</ns0:v>
      </ns0:c>
      <ns0:c r="D171" s="3">
        <ns0:f>0</ns0:f>
        <ns0:v>0</ns0:v>
      </ns0:c>
      <ns0:c r="E171" s="3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 t="inlineStr">
        <ns0:is>
          <ns0:t>主营业务收入</ns0:t>
        </ns0:is>
      </ns0:c>
      <ns0:c r="C172" s="3">
        <ns0:f>0</ns0:f>
        <ns0:v>0</ns0:v>
      </ns0:c>
      <ns0:c r="D172" s="3">
        <ns0:f>C171</ns0:f>
        <ns0:v>439141.17</ns0:v>
      </ns0:c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 t="inlineStr">
        <ns0:is>
          <ns0:t>2027-12</ns0:t>
        </ns0:is>
      </ns0:c>
      <ns0:c r="B173" s="2" t="inlineStr">
        <ns0:is>
          <ns0:t>银行存款</ns0:t>
        </ns0:is>
      </ns0:c>
      <ns0:c r="C173" s="3">
        <ns0:f>'利润表'!N61</ns0:f>
        <ns0:v>455114.24</ns0:v>
      </ns0:c>
      <ns0:c r="D173" s="3">
        <ns0:f>0</ns0:f>
        <ns0:v>0</ns0:v>
      </ns0:c>
      <ns0:c r="E173" s="3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 t="inlineStr">
        <ns0:is>
          <ns0:t>主营业务收入</ns0:t>
        </ns0:is>
      </ns0:c>
      <ns0:c r="C174" s="3">
        <ns0:f>0</ns0:f>
        <ns0:v>0</ns0:v>
      </ns0:c>
      <ns0:c r="D174" s="3">
        <ns0:f>C173</ns0:f>
        <ns0:v>455114.24</ns0:v>
      </ns0:c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