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635b32f7cc40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利润表" sheetId="1" r:id="Rf414777375414dac"/>
    <x:sheet xmlns:r="http://schemas.openxmlformats.org/officeDocument/2006/relationships" name="资产负债表" sheetId="2" r:id="R00c0f526b23b43c4"/>
    <x:sheet xmlns:r="http://schemas.openxmlformats.org/officeDocument/2006/relationships" name="现金流量表" sheetId="3" r:id="Rccbc93688e7a497d"/>
    <x:sheet xmlns:r="http://schemas.openxmlformats.org/officeDocument/2006/relationships" name="收入非主控" sheetId="4" r:id="Ra2a83754d2244b73"/>
    <x:sheet xmlns:r="http://schemas.openxmlformats.org/officeDocument/2006/relationships" name="收入主控" sheetId="5" r:id="Red42a0f6e957476f"/>
    <x:sheet xmlns:r="http://schemas.openxmlformats.org/officeDocument/2006/relationships" name="税金及附加" sheetId="6" r:id="R0f7b400d563f44ab"/>
    <x:sheet xmlns:r="http://schemas.openxmlformats.org/officeDocument/2006/relationships" name="销售费用" sheetId="7" r:id="R39efd9f0c3294386"/>
    <x:sheet xmlns:r="http://schemas.openxmlformats.org/officeDocument/2006/relationships" name="管理费用" sheetId="8" r:id="R373373aede304fa3"/>
    <x:sheet xmlns:r="http://schemas.openxmlformats.org/officeDocument/2006/relationships" name="蓝恐龙费用" sheetId="9" r:id="R41ca02ad8afe4fdc"/>
    <x:sheet xmlns:r="http://schemas.openxmlformats.org/officeDocument/2006/relationships" name="费用表月度汇总" sheetId="10" r:id="R79efa3ebd04a4966"/>
    <x:sheet xmlns:r="http://schemas.openxmlformats.org/officeDocument/2006/relationships" name="摊销明细" sheetId="11" r:id="R8b0c6f9619c64f08"/>
    <x:sheet xmlns:r="http://schemas.openxmlformats.org/officeDocument/2006/relationships" name="分录" sheetId="12" r:id="Rf22370c557d44e9b"/>
  </x:sheets>
</x:workbook>
</file>

<file path=xl/sharedStrings.xml><?xml version="1.0" encoding="utf-8"?>
<sst xmlns="http://schemas.openxmlformats.org/spreadsheetml/2006/main" count="0" uniqueCount="0"/>
</file>

<file path=xl/styles.xml><?xml version="1.0" encoding="utf-8"?>
<x:styleSheet xmlns:x="http://schemas.openxmlformats.org/spreadsheetml/2006/main">
  <x:numFmts count="1">
    <x:numFmt numFmtId="200" formatCode="#,##0.00;(#,##0.00);&quot;—&quot;"/>
  </x:numFmts>
  <x:fonts count="3">
    <x:font>
      <x:sz val="11"/>
      <x:name val="Carlito"/>
    </x:font>
    <x:font>
      <x:sz val="10"/>
      <x:name val="Microsoft YaHei"/>
    </x:font>
    <x:font>
      <x:sz val="10"/>
      <x:color rgb="FF0000FF"/>
      <x:name val="Microsoft YaHei"/>
    </x:font>
  </x:fonts>
  <x:fills count="3">
    <x:fill>
      <x:patternFill patternType="none"/>
    </x:fill>
    <x:fill>
      <x:patternFill patternType="gray125"/>
    </x:fill>
    <x:fill>
      <x:patternFill patternType="solid">
        <x:fgColor rgb="FFE5EAF0"/>
      </x:patternFill>
    </x:fill>
  </x:fills>
  <x:borders count="1">
    <x:border/>
  </x:borders>
  <x:cellStyleXfs count="1">
    <x:xf numFmtId="0" fontId="0" fillId="0" borderId="0"/>
  </x:cellStyleXfs>
  <x:cellXfs count="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bd0a177816467f" /><Relationship Type="http://schemas.openxmlformats.org/officeDocument/2006/relationships/theme" Target="/xl/theme/theme1.xml" Id="Rd49473a9c7ec4176" /><Relationship Type="http://schemas.openxmlformats.org/officeDocument/2006/relationships/sharedStrings" Target="/xl/sharedStrings.xml" Id="R546b070d7c944874" /><Relationship Type="http://schemas.openxmlformats.org/officeDocument/2006/relationships/worksheet" Target="/xl/worksheets/sheet1.xml" Id="Rf414777375414dac" /><Relationship Type="http://schemas.openxmlformats.org/officeDocument/2006/relationships/worksheet" Target="/xl/worksheets/sheet2.xml" Id="R00c0f526b23b43c4" /><Relationship Type="http://schemas.openxmlformats.org/officeDocument/2006/relationships/worksheet" Target="/xl/worksheets/sheet3.xml" Id="Rccbc93688e7a497d" /><Relationship Type="http://schemas.openxmlformats.org/officeDocument/2006/relationships/worksheet" Target="/xl/worksheets/sheet4.xml" Id="Ra2a83754d2244b73" /><Relationship Type="http://schemas.openxmlformats.org/officeDocument/2006/relationships/worksheet" Target="/xl/worksheets/sheet5.xml" Id="Red42a0f6e957476f" /><Relationship Type="http://schemas.openxmlformats.org/officeDocument/2006/relationships/worksheet" Target="/xl/worksheets/sheet6.xml" Id="R0f7b400d563f44ab" /><Relationship Type="http://schemas.openxmlformats.org/officeDocument/2006/relationships/worksheet" Target="/xl/worksheets/sheet7.xml" Id="R39efd9f0c3294386" /><Relationship Type="http://schemas.openxmlformats.org/officeDocument/2006/relationships/worksheet" Target="/xl/worksheets/sheet8.xml" Id="R373373aede304fa3" /><Relationship Type="http://schemas.openxmlformats.org/officeDocument/2006/relationships/worksheet" Target="/xl/worksheets/sheet9.xml" Id="R41ca02ad8afe4fdc" /><Relationship Type="http://schemas.openxmlformats.org/officeDocument/2006/relationships/worksheet" Target="/xl/worksheets/sheet10.xml" Id="R79efa3ebd04a4966" /><Relationship Type="http://schemas.openxmlformats.org/officeDocument/2006/relationships/worksheet" Target="/xl/worksheets/sheet11.xml" Id="R8b0c6f9619c64f08" /><Relationship Type="http://schemas.openxmlformats.org/officeDocument/2006/relationships/worksheet" Target="/xl/worksheets/sheet12.xml" Id="Rf22370c557d44e9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44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10.25" hidden="0" customWidth="1"/>
    <ns0:col min="17" max="17" width="10.25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 t="inlineStr">
        <ns0:is>
          <ns0:t>利润表</ns0:t>
        </ns0:is>
      </ns0:c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 t="inlineStr">
        <ns0:is>
          <ns0:t>项     目</ns0:t>
        </ns0:is>
      </ns0:c>
      <ns0:c r="B2" s="2" t="inlineStr">
        <ns0:is>
          <ns0:t>行数</ns0:t>
        </ns0:is>
      </ns0:c>
      <ns0:c r="C2" s="3" t="inlineStr">
        <ns0:is>
          <ns0:t>主体乙 / 扩展情景</ns0:t>
        </ns0:is>
      </ns0:c>
      <ns0:c r="D2" s="3"/>
      <ns0:c r="E2" s="3"/>
      <ns0:c r="F2" s="3" t="inlineStr">
        <ns0:is>
          <ns0:t>其他主体费用计入管理费用展示</ns0:t>
        </ns0:is>
      </ns0:c>
      <ns0:c r="G2" s="3"/>
      <ns0:c r="H2" s="3"/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E-5f17fa2948</ns0:t>
        </ns0:is>
      </ns0:c>
    </ns0:row>
    <ns0:row r="3" ht="20" customHeight="1">
      <ns0:c r="A3" s="2"/>
      <ns0:c r="B3" s="2"/>
      <ns0:c r="C3" s="6" t="inlineStr">
        <ns0:is>
          <ns0:t>全年预算基础</ns0:t>
        </ns0:is>
      </ns0:c>
      <ns0:c r="D3" s="6" t="inlineStr">
        <ns0:is>
          <ns0:t>非本次输入</ns0:t>
        </ns0:is>
      </ns0:c>
      <ns0:c r="E3" s="6"/>
      <ns0:c r="F3" s="6"/>
      <ns0:c r="G3" s="6"/>
      <ns0:c r="H3" s="6"/>
      <ns0:c r="I3" s="6"/>
      <ns0:c r="J3" s="6"/>
      <ns0:c r="K3" s="6"/>
      <ns0:c r="L3" s="6"/>
      <ns0:c r="M3" s="6"/>
      <ns0:c r="N3" s="6"/>
      <ns0:c r="O3" s="6"/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主体乙</ns0:t>
        </ns0:is>
      </ns0:c>
    </ns0:row>
    <ns0:row r="4" ht="20" customHeight="1">
      <ns0:c r="A4" s="2" t="inlineStr">
        <ns0:is>
          <ns0:t>一、营业收入</ns0:t>
        </ns0:is>
      </ns0:c>
      <ns0:c r="B4" s="2"/>
      <ns0:c r="C4" s="3">
        <ns0:f>SUM(C61:N61)</ns0:f>
        <ns0:v>5044655.45</ns0:v>
      </ns0:c>
      <ns0:c r="D4" s="3"/>
      <ns0:c r="E4" s="3"/>
      <ns0:c r="F4" s="3"/>
      <ns0:c r="G4" s="3"/>
      <ns0:c r="H4" s="3"/>
      <ns0:c r="I4" s="3"/>
      <ns0:c r="J4" s="3"/>
      <ns0:c r="K4" s="3"/>
      <ns0:c r="L4" s="3"/>
      <ns0:c r="M4" s="3"/>
      <ns0:c r="N4" s="3"/>
      <ns0:c r="O4" s="3"/>
      <ns0:c r="P4" s="2"/>
      <ns0:c r="Q4" s="2"/>
      <ns0:c r="R4" s="2"/>
      <ns0:c r="S4" s="2"/>
      <ns0:c r="T4" s="2"/>
      <ns0:c r="U4" s="2"/>
      <ns0:c r="V4" s="2"/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S-03e3bfa6bf</ns0:t>
        </ns0:is>
      </ns0:c>
    </ns0:row>
    <ns0:row r="5" ht="20" customHeight="1">
      <ns0:c r="A5" s="2" t="inlineStr">
        <ns0:is>
          <ns0:t>减：营业成本</ns0:t>
        </ns0:is>
      </ns0:c>
      <ns0:c r="B5" s="2"/>
      <ns0:c r="C5" s="3">
        <ns0:f>SUM(C62:N62)</ns0:f>
        <ns0:v>1745761.41</ns0:v>
      </ns0:c>
      <ns0:c r="D5" s="3"/>
      <ns0:c r="E5" s="3"/>
      <ns0:c r="F5" s="3"/>
      <ns0:c r="G5" s="3"/>
      <ns0:c r="H5" s="3"/>
      <ns0:c r="I5" s="3"/>
      <ns0:c r="J5" s="3"/>
      <ns0:c r="K5" s="3"/>
      <ns0:c r="L5" s="3"/>
      <ns0:c r="M5" s="3"/>
      <ns0:c r="N5" s="3"/>
      <ns0:c r="O5" s="3"/>
      <ns0:c r="P5" s="2"/>
      <ns0:c r="Q5" s="2"/>
      <ns0:c r="R5" s="2"/>
      <ns0:c r="S5" s="2"/>
      <ns0:c r="T5" s="2"/>
      <ns0:c r="U5" s="2"/>
      <ns0:c r="V5" s="2"/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扩展情景</ns0:t>
        </ns0:is>
      </ns0:c>
    </ns0:row>
    <ns0:row r="6" ht="20" customHeight="1">
      <ns0:c r="A6" s="2" t="inlineStr">
        <ns0:is>
          <ns0:t>营业税金及附加</ns0:t>
        </ns0:is>
      </ns0:c>
      <ns0:c r="B6" s="2"/>
      <ns0:c r="C6" s="3">
        <ns0:f>SUM(C63:N63)</ns0:f>
        <ns0:v>37078.21</ns0:v>
      </ns0:c>
      <ns0:c r="D6" s="3"/>
      <ns0:c r="E6" s="3"/>
      <ns0:c r="F6" s="3"/>
      <ns0:c r="G6" s="3"/>
      <ns0:c r="H6" s="3"/>
      <ns0:c r="I6" s="3"/>
      <ns0:c r="J6" s="3"/>
      <ns0:c r="K6" s="3"/>
      <ns0:c r="L6" s="3"/>
      <ns0:c r="M6" s="3"/>
      <ns0:c r="N6" s="3"/>
      <ns0:c r="O6" s="3"/>
      <ns0:c r="P6" s="2"/>
      <ns0:c r="Q6" s="2"/>
      <ns0:c r="R6" s="2"/>
      <ns0:c r="S6" s="2"/>
      <ns0:c r="T6" s="2"/>
      <ns0:c r="U6" s="2"/>
      <ns0:c r="V6" s="2"/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 t="inlineStr">
        <ns0:is>
          <ns0:t>销售费用</ns0:t>
        </ns0:is>
      </ns0:c>
      <ns0:c r="B7" s="2"/>
      <ns0:c r="C7" s="3">
        <ns0:f>SUM(C64:N64)</ns0:f>
        <ns0:v>86806.11</ns0:v>
      </ns0:c>
      <ns0:c r="D7" s="3"/>
      <ns0:c r="E7" s="3"/>
      <ns0:c r="F7" s="3"/>
      <ns0:c r="G7" s="3"/>
      <ns0:c r="H7" s="3"/>
      <ns0:c r="I7" s="3"/>
      <ns0:c r="J7" s="3"/>
      <ns0:c r="K7" s="3"/>
      <ns0:c r="L7" s="3"/>
      <ns0:c r="M7" s="3"/>
      <ns0:c r="N7" s="3"/>
      <ns0:c r="O7" s="3"/>
      <ns0:c r="P7" s="2"/>
      <ns0:c r="Q7" s="2"/>
      <ns0:c r="R7" s="2"/>
      <ns0:c r="S7" s="2"/>
      <ns0:c r="T7" s="2"/>
      <ns0:c r="U7" s="2"/>
      <ns0:c r="V7" s="2"/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季度</ns0:t>
        </ns0:is>
      </ns0:c>
    </ns0:row>
    <ns0:row r="8" ht="20" customHeight="1">
      <ns0:c r="A8" s="2" t="inlineStr">
        <ns0:is>
          <ns0:t>管理费用</ns0:t>
        </ns0:is>
      </ns0:c>
      <ns0:c r="B8" s="2"/>
      <ns0:c r="C8" s="3">
        <ns0:f>SUM(C65:N66)</ns0:f>
        <ns0:v>176246.43</ns0:v>
      </ns0:c>
      <ns0:c r="D8" s="3"/>
      <ns0:c r="E8" s="3"/>
      <ns0:c r="F8" s="3"/>
      <ns0:c r="G8" s="3"/>
      <ns0:c r="H8" s="3"/>
      <ns0:c r="I8" s="3"/>
      <ns0:c r="J8" s="3"/>
      <ns0:c r="K8" s="3"/>
      <ns0:c r="L8" s="3"/>
      <ns0:c r="M8" s="3"/>
      <ns0:c r="N8" s="3"/>
      <ns0:c r="O8" s="3"/>
      <ns0:c r="P8" s="2"/>
      <ns0:c r="Q8" s="2"/>
      <ns0:c r="R8" s="2"/>
      <ns0:c r="S8" s="2"/>
      <ns0:c r="T8" s="2"/>
      <ns0:c r="U8" s="2"/>
      <ns0:c r="V8" s="2"/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 t="inlineStr">
        <ns0:is>
          <ns0:t>财务费用</ns0:t>
        </ns0:is>
      </ns0:c>
      <ns0:c r="B9" s="2"/>
      <ns0:c r="C9" s="3"/>
      <ns0:c r="D9" s="3"/>
      <ns0:c r="E9" s="3"/>
      <ns0:c r="F9" s="3"/>
      <ns0:c r="G9" s="3"/>
      <ns0:c r="H9" s="3"/>
      <ns0:c r="I9" s="3"/>
      <ns0:c r="J9" s="3"/>
      <ns0:c r="K9" s="3"/>
      <ns0:c r="L9" s="3"/>
      <ns0:c r="M9" s="3"/>
      <ns0:c r="N9" s="3"/>
      <ns0:c r="O9" s="3"/>
      <ns0:c r="P9" s="2"/>
      <ns0:c r="Q9" s="2"/>
      <ns0:c r="R9" s="2"/>
      <ns0:c r="S9" s="2"/>
      <ns0:c r="T9" s="2"/>
      <ns0:c r="U9" s="2"/>
      <ns0:c r="V9" s="2"/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 t="inlineStr">
        <ns0:is>
          <ns0:t>资产减值损失</ns0:t>
        </ns0:is>
      </ns0:c>
      <ns0:c r="B10" s="2"/>
      <ns0:c r="C10" s="3"/>
      <ns0:c r="D10" s="3"/>
      <ns0:c r="E10" s="3"/>
      <ns0:c r="F10" s="3"/>
      <ns0:c r="G10" s="3"/>
      <ns0:c r="H10" s="3"/>
      <ns0:c r="I10" s="3"/>
      <ns0:c r="J10" s="3"/>
      <ns0:c r="K10" s="3"/>
      <ns0:c r="L10" s="3"/>
      <ns0:c r="M10" s="3"/>
      <ns0:c r="N10" s="3"/>
      <ns0:c r="O10" s="3"/>
      <ns0:c r="P10" s="2"/>
      <ns0:c r="Q10" s="2"/>
      <ns0:c r="R10" s="2"/>
      <ns0:c r="S10" s="2"/>
      <ns0:c r="T10" s="2"/>
      <ns0:c r="U10" s="2"/>
      <ns0:c r="V10" s="2"/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 t="inlineStr">
        <ns0:is>
          <ns0:t>加：公允价值变动收益（损失以“-”号填列）</ns0:t>
        </ns0:is>
      </ns0:c>
      <ns0:c r="B11" s="2"/>
      <ns0:c r="C11" s="3"/>
      <ns0:c r="D11" s="3"/>
      <ns0:c r="E11" s="3"/>
      <ns0:c r="F11" s="3"/>
      <ns0:c r="G11" s="3"/>
      <ns0:c r="H11" s="3"/>
      <ns0:c r="I11" s="3"/>
      <ns0:c r="J11" s="3"/>
      <ns0:c r="K11" s="3"/>
      <ns0:c r="L11" s="3"/>
      <ns0:c r="M11" s="3"/>
      <ns0:c r="N11" s="3"/>
      <ns0:c r="O11" s="3"/>
      <ns0:c r="P11" s="2"/>
      <ns0:c r="Q11" s="2"/>
      <ns0:c r="R11" s="2"/>
      <ns0:c r="S11" s="2"/>
      <ns0:c r="T11" s="2"/>
      <ns0:c r="U11" s="2"/>
      <ns0:c r="V11" s="2"/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 t="inlineStr">
        <ns0:is>
          <ns0:t>投资收益（损失以“-”号填列）</ns0:t>
        </ns0:is>
      </ns0:c>
      <ns0:c r="B12" s="2"/>
      <ns0:c r="C12" s="3"/>
      <ns0:c r="D12" s="3"/>
      <ns0:c r="E12" s="3"/>
      <ns0:c r="F12" s="3"/>
      <ns0:c r="G12" s="3"/>
      <ns0:c r="H12" s="3"/>
      <ns0:c r="I12" s="3"/>
      <ns0:c r="J12" s="3"/>
      <ns0:c r="K12" s="3"/>
      <ns0:c r="L12" s="3"/>
      <ns0:c r="M12" s="3"/>
      <ns0:c r="N12" s="3"/>
      <ns0:c r="O12" s="3"/>
      <ns0:c r="P12" s="2"/>
      <ns0:c r="Q12" s="2"/>
      <ns0:c r="R12" s="2"/>
      <ns0:c r="S12" s="2"/>
      <ns0:c r="T12" s="2"/>
      <ns0:c r="U12" s="2"/>
      <ns0:c r="V12" s="2"/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 t="inlineStr">
        <ns0:is>
          <ns0:t>其中:对联营企业和合营企业的投资收益</ns0:t>
        </ns0:is>
      </ns0:c>
      <ns0:c r="B13" s="2"/>
      <ns0:c r="C13" s="3"/>
      <ns0:c r="D13" s="3"/>
      <ns0:c r="E13" s="3"/>
      <ns0:c r="F13" s="3"/>
      <ns0:c r="G13" s="3"/>
      <ns0:c r="H13" s="3"/>
      <ns0:c r="I13" s="3"/>
      <ns0:c r="J13" s="3"/>
      <ns0:c r="K13" s="3"/>
      <ns0:c r="L13" s="3"/>
      <ns0:c r="M13" s="3"/>
      <ns0:c r="N13" s="3"/>
      <ns0:c r="O13" s="3"/>
      <ns0:c r="P13" s="2"/>
      <ns0:c r="Q13" s="2"/>
      <ns0:c r="R13" s="2"/>
      <ns0:c r="S13" s="2"/>
      <ns0:c r="T13" s="2"/>
      <ns0:c r="U13" s="2"/>
      <ns0:c r="V13" s="2"/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 t="inlineStr">
        <ns0:is>
          <ns0:t>二、营业利润（亏损以“-”号填列）</ns0:t>
        </ns0:is>
      </ns0:c>
      <ns0:c r="B14" s="2"/>
      <ns0:c r="C14" s="3">
        <ns0:f>SUM(C67:N67)</ns0:f>
        <ns0:v>2998763.29</ns0:v>
      </ns0:c>
      <ns0:c r="D14" s="3"/>
      <ns0:c r="E14" s="3"/>
      <ns0:c r="F14" s="3"/>
      <ns0:c r="G14" s="3"/>
      <ns0:c r="H14" s="3"/>
      <ns0:c r="I14" s="3"/>
      <ns0:c r="J14" s="3"/>
      <ns0:c r="K14" s="3"/>
      <ns0:c r="L14" s="3"/>
      <ns0:c r="M14" s="3"/>
      <ns0:c r="N14" s="3"/>
      <ns0:c r="O14" s="3"/>
      <ns0:c r="P14" s="2"/>
      <ns0:c r="Q14" s="2"/>
      <ns0:c r="R14" s="2"/>
      <ns0:c r="S14" s="2"/>
      <ns0:c r="T14" s="2"/>
      <ns0:c r="U14" s="2"/>
      <ns0:c r="V14" s="2"/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 t="inlineStr">
        <ns0:is>
          <ns0:t>加：营业外收入</ns0:t>
        </ns0:is>
      </ns0:c>
      <ns0:c r="B15" s="2"/>
      <ns0:c r="C15" s="3"/>
      <ns0:c r="D15" s="3"/>
      <ns0:c r="E15" s="3"/>
      <ns0:c r="F15" s="3"/>
      <ns0:c r="G15" s="3"/>
      <ns0:c r="H15" s="3"/>
      <ns0:c r="I15" s="3"/>
      <ns0:c r="J15" s="3"/>
      <ns0:c r="K15" s="3"/>
      <ns0:c r="L15" s="3"/>
      <ns0:c r="M15" s="3"/>
      <ns0:c r="N15" s="3"/>
      <ns0:c r="O15" s="3"/>
      <ns0:c r="P15" s="2"/>
      <ns0:c r="Q15" s="2"/>
      <ns0:c r="R15" s="2"/>
      <ns0:c r="S15" s="2"/>
      <ns0:c r="T15" s="2"/>
      <ns0:c r="U15" s="2"/>
      <ns0:c r="V15" s="2"/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 t="inlineStr">
        <ns0:is>
          <ns0:t>减：营业外支出</ns0:t>
        </ns0:is>
      </ns0:c>
      <ns0:c r="B16" s="2"/>
      <ns0:c r="C16" s="3"/>
      <ns0:c r="D16" s="3"/>
      <ns0:c r="E16" s="3"/>
      <ns0:c r="F16" s="3"/>
      <ns0:c r="G16" s="3"/>
      <ns0:c r="H16" s="3"/>
      <ns0:c r="I16" s="3"/>
      <ns0:c r="J16" s="3"/>
      <ns0:c r="K16" s="3"/>
      <ns0:c r="L16" s="3"/>
      <ns0:c r="M16" s="3"/>
      <ns0:c r="N16" s="3"/>
      <ns0:c r="O16" s="3"/>
      <ns0:c r="P16" s="2"/>
      <ns0:c r="Q16" s="2"/>
      <ns0:c r="R16" s="2"/>
      <ns0:c r="S16" s="2"/>
      <ns0:c r="T16" s="2"/>
      <ns0:c r="U16" s="2"/>
      <ns0:c r="V16" s="2"/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预算基础</ns0:t>
        </ns0:is>
      </ns0:c>
    </ns0:row>
    <ns0:row r="17" ht="20" customHeight="1">
      <ns0:c r="A17" s="2" t="inlineStr">
        <ns0:is>
          <ns0:t>其中：非流动资产处置损失</ns0:t>
        </ns0:is>
      </ns0:c>
      <ns0:c r="B17" s="2"/>
      <ns0:c r="C17" s="3"/>
      <ns0:c r="D17" s="3"/>
      <ns0:c r="E17" s="3"/>
      <ns0:c r="F17" s="3"/>
      <ns0:c r="G17" s="3"/>
      <ns0:c r="H17" s="3"/>
      <ns0:c r="I17" s="3"/>
      <ns0:c r="J17" s="3"/>
      <ns0:c r="K17" s="3"/>
      <ns0:c r="L17" s="3"/>
      <ns0:c r="M17" s="3"/>
      <ns0:c r="N17" s="3"/>
      <ns0:c r="O17" s="3"/>
      <ns0:c r="P17" s="2"/>
      <ns0:c r="Q17" s="2"/>
      <ns0:c r="R17" s="2"/>
      <ns0:c r="S17" s="2"/>
      <ns0:c r="T17" s="2"/>
      <ns0:c r="U17" s="2"/>
      <ns0:c r="V17" s="2"/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蓝色为预算基础输入参数；示例数值为占位；金额单位：元</ns0:t>
        </ns0:is>
      </ns0:c>
    </ns0:row>
    <ns0:row r="18" ht="20" customHeight="1">
      <ns0:c r="A18" s="2" t="inlineStr">
        <ns0:is>
          <ns0:t>三、利润总额（亏损总额以“-”号填列）</ns0:t>
        </ns0:is>
      </ns0:c>
      <ns0:c r="B18" s="2"/>
      <ns0:c r="C18" s="3">
        <ns0:f>SUM(C67:N67)</ns0:f>
        <ns0:v>2998763.29</ns0:v>
      </ns0:c>
      <ns0:c r="D18" s="3"/>
      <ns0:c r="E18" s="3"/>
      <ns0:c r="F18" s="3"/>
      <ns0:c r="G18" s="3"/>
      <ns0:c r="H18" s="3"/>
      <ns0:c r="I18" s="3"/>
      <ns0:c r="J18" s="3"/>
      <ns0:c r="K18" s="3"/>
      <ns0:c r="L18" s="3"/>
      <ns0:c r="M18" s="3"/>
      <ns0:c r="N18" s="3"/>
      <ns0:c r="O18" s="3"/>
      <ns0:c r="P18" s="2"/>
      <ns0:c r="Q18" s="2"/>
      <ns0:c r="R18" s="2"/>
      <ns0:c r="S18" s="2"/>
      <ns0:c r="T18" s="2"/>
      <ns0:c r="U18" s="2"/>
      <ns0:c r="V18" s="2"/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 t="inlineStr">
        <ns0:is>
          <ns0:t>减：所得税费用</ns0:t>
        </ns0:is>
      </ns0:c>
      <ns0:c r="B19" s="2"/>
      <ns0:c r="C19" s="3">
        <ns0:f>SUM(C68:N68)</ns0:f>
        <ns0:v>522894.35</ns0:v>
      </ns0:c>
      <ns0:c r="D19" s="3"/>
      <ns0:c r="E19" s="3"/>
      <ns0:c r="F19" s="3"/>
      <ns0:c r="G19" s="3"/>
      <ns0:c r="H19" s="3"/>
      <ns0:c r="I19" s="3"/>
      <ns0:c r="J19" s="3"/>
      <ns0:c r="K19" s="3"/>
      <ns0:c r="L19" s="3"/>
      <ns0:c r="M19" s="3"/>
      <ns0:c r="N19" s="3"/>
      <ns0:c r="O19" s="3"/>
      <ns0:c r="P19" s="2"/>
      <ns0:c r="Q19" s="2"/>
      <ns0:c r="R19" s="2"/>
      <ns0:c r="S19" s="2"/>
      <ns0:c r="T19" s="2"/>
      <ns0:c r="U19" s="2"/>
      <ns0:c r="V19" s="2"/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 t="inlineStr">
        <ns0:is>
          <ns0:t>四、净利润（净亏损以“-”号填列）</ns0:t>
        </ns0:is>
      </ns0:c>
      <ns0:c r="B20" s="2"/>
      <ns0:c r="C20" s="3">
        <ns0:f>SUM(C69:N69)</ns0:f>
        <ns0:v>2475868.94</ns0:v>
      </ns0:c>
      <ns0:c r="D20" s="3"/>
      <ns0:c r="E20" s="3"/>
      <ns0:c r="F20" s="3"/>
      <ns0:c r="G20" s="3"/>
      <ns0:c r="H20" s="3"/>
      <ns0:c r="I20" s="3"/>
      <ns0:c r="J20" s="3"/>
      <ns0:c r="K20" s="3"/>
      <ns0:c r="L20" s="3"/>
      <ns0:c r="M20" s="3"/>
      <ns0:c r="N20" s="3"/>
      <ns0:c r="O20" s="3"/>
      <ns0:c r="P20" s="2"/>
      <ns0:c r="Q20" s="2"/>
      <ns0:c r="R20" s="2"/>
      <ns0:c r="S20" s="2"/>
      <ns0:c r="T20" s="2"/>
      <ns0:c r="U20" s="2"/>
      <ns0:c r="V20" s="2"/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 t="inlineStr">
        <ns0:is>
          <ns0:t>五、每股收益：</ns0:t>
        </ns0:is>
      </ns0:c>
      <ns0:c r="B21" s="2"/>
      <ns0:c r="C21" s="3"/>
      <ns0:c r="D21" s="3"/>
      <ns0:c r="E21" s="3"/>
      <ns0:c r="F21" s="3"/>
      <ns0:c r="G21" s="3"/>
      <ns0:c r="H21" s="3"/>
      <ns0:c r="I21" s="3"/>
      <ns0:c r="J21" s="3"/>
      <ns0:c r="K21" s="3"/>
      <ns0:c r="L21" s="3"/>
      <ns0:c r="M21" s="3"/>
      <ns0:c r="N21" s="3"/>
      <ns0:c r="O21" s="3"/>
      <ns0:c r="P21" s="2"/>
      <ns0:c r="Q21" s="2"/>
      <ns0:c r="R21" s="2"/>
      <ns0:c r="S21" s="2"/>
      <ns0:c r="T21" s="2"/>
      <ns0:c r="U21" s="2"/>
      <ns0:c r="V21" s="2"/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 t="inlineStr">
        <ns0:is>
          <ns0:t>（一）基本每股收益</ns0:t>
        </ns0:is>
      </ns0:c>
      <ns0:c r="B22" s="2"/>
      <ns0:c r="C22" s="3"/>
      <ns0:c r="D22" s="3"/>
      <ns0:c r="E22" s="3"/>
      <ns0:c r="F22" s="3"/>
      <ns0:c r="G22" s="3"/>
      <ns0:c r="H22" s="3"/>
      <ns0:c r="I22" s="3"/>
      <ns0:c r="J22" s="3"/>
      <ns0:c r="K22" s="3"/>
      <ns0:c r="L22" s="3"/>
      <ns0:c r="M22" s="3"/>
      <ns0:c r="N22" s="3"/>
      <ns0:c r="O22" s="3"/>
      <ns0:c r="P22" s="2"/>
      <ns0:c r="Q22" s="2"/>
      <ns0:c r="R22" s="2"/>
      <ns0:c r="S22" s="2"/>
      <ns0:c r="T22" s="2"/>
      <ns0:c r="U22" s="2"/>
      <ns0:c r="V22" s="2"/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 t="inlineStr">
        <ns0:is>
          <ns0:t>（二）稀释每股收益</ns0:t>
        </ns0:is>
      </ns0:c>
      <ns0:c r="B23" s="2"/>
      <ns0:c r="C23" s="3"/>
      <ns0:c r="D23" s="3"/>
      <ns0:c r="E23" s="3"/>
      <ns0:c r="F23" s="3"/>
      <ns0:c r="G23" s="3"/>
      <ns0:c r="H23" s="3"/>
      <ns0:c r="I23" s="3"/>
      <ns0:c r="J23" s="3"/>
      <ns0:c r="K23" s="3"/>
      <ns0:c r="L23" s="3"/>
      <ns0:c r="M23" s="3"/>
      <ns0:c r="N23" s="3"/>
      <ns0:c r="O23" s="3"/>
      <ns0:c r="P23" s="2"/>
      <ns0:c r="Q23" s="2"/>
      <ns0:c r="R23" s="2"/>
      <ns0:c r="S23" s="2"/>
      <ns0:c r="T23" s="2"/>
      <ns0:c r="U23" s="2"/>
      <ns0:c r="V23" s="2"/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/>
      <ns0:c r="C24" s="3"/>
      <ns0:c r="D24" s="3"/>
      <ns0:c r="E24" s="3"/>
      <ns0:c r="F24" s="3"/>
      <ns0:c r="G24" s="3"/>
      <ns0:c r="H24" s="3"/>
      <ns0:c r="I24" s="3"/>
      <ns0:c r="J24" s="3"/>
      <ns0:c r="K24" s="3"/>
      <ns0:c r="L24" s="3"/>
      <ns0:c r="M24" s="3"/>
      <ns0:c r="N24" s="3"/>
      <ns0:c r="O24" s="3"/>
      <ns0:c r="P24" s="2"/>
      <ns0:c r="Q24" s="2"/>
      <ns0:c r="R24" s="2"/>
      <ns0:c r="S24" s="2"/>
      <ns0:c r="T24" s="2"/>
      <ns0:c r="U24" s="2"/>
      <ns0:c r="V24" s="2"/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/>
      <ns0:c r="B25" s="2"/>
      <ns0:c r="C25" s="3"/>
      <ns0:c r="D25" s="3"/>
      <ns0:c r="E25" s="3"/>
      <ns0:c r="F25" s="3"/>
      <ns0:c r="G25" s="3"/>
      <ns0:c r="H25" s="3"/>
      <ns0:c r="I25" s="3"/>
      <ns0:c r="J25" s="3"/>
      <ns0:c r="K25" s="3"/>
      <ns0:c r="L25" s="3"/>
      <ns0:c r="M25" s="3"/>
      <ns0:c r="N25" s="3"/>
      <ns0:c r="O25" s="3"/>
      <ns0:c r="P25" s="2"/>
      <ns0:c r="Q25" s="2"/>
      <ns0:c r="R25" s="2"/>
      <ns0:c r="S25" s="2"/>
      <ns0:c r="T25" s="2"/>
      <ns0:c r="U25" s="2"/>
      <ns0:c r="V25" s="2"/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/>
      <ns0:c r="B26" s="2"/>
      <ns0:c r="C26" s="3"/>
      <ns0:c r="D26" s="3"/>
      <ns0:c r="E26" s="3"/>
      <ns0:c r="F26" s="3"/>
      <ns0:c r="G26" s="3"/>
      <ns0:c r="H26" s="3"/>
      <ns0:c r="I26" s="3"/>
      <ns0:c r="J26" s="3"/>
      <ns0:c r="K26" s="3"/>
      <ns0:c r="L26" s="3"/>
      <ns0:c r="M26" s="3"/>
      <ns0:c r="N26" s="3"/>
      <ns0:c r="O26" s="3"/>
      <ns0:c r="P26" s="2"/>
      <ns0:c r="Q26" s="2"/>
      <ns0:c r="R26" s="2"/>
      <ns0:c r="S26" s="2"/>
      <ns0:c r="T26" s="2"/>
      <ns0:c r="U26" s="2"/>
      <ns0:c r="V26" s="2"/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/>
      <ns0:c r="B27" s="2"/>
      <ns0:c r="C27" s="3"/>
      <ns0:c r="D27" s="3"/>
      <ns0:c r="E27" s="3"/>
      <ns0:c r="F27" s="3"/>
      <ns0:c r="G27" s="3"/>
      <ns0:c r="H27" s="3"/>
      <ns0:c r="I27" s="3"/>
      <ns0:c r="J27" s="3"/>
      <ns0:c r="K27" s="3"/>
      <ns0:c r="L27" s="3"/>
      <ns0:c r="M27" s="3"/>
      <ns0:c r="N27" s="3"/>
      <ns0:c r="O27" s="3"/>
      <ns0:c r="P27" s="2"/>
      <ns0:c r="Q27" s="2"/>
      <ns0:c r="R27" s="2"/>
      <ns0:c r="S27" s="2"/>
      <ns0:c r="T27" s="2"/>
      <ns0:c r="U27" s="2"/>
      <ns0:c r="V27" s="2"/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/>
      <ns0:c r="B28" s="2"/>
      <ns0:c r="C28" s="3"/>
      <ns0:c r="D28" s="3"/>
      <ns0:c r="E28" s="3"/>
      <ns0:c r="F28" s="3"/>
      <ns0:c r="G28" s="3"/>
      <ns0:c r="H28" s="3"/>
      <ns0:c r="I28" s="3"/>
      <ns0:c r="J28" s="3"/>
      <ns0:c r="K28" s="3"/>
      <ns0:c r="L28" s="3"/>
      <ns0:c r="M28" s="3"/>
      <ns0:c r="N28" s="3"/>
      <ns0:c r="O28" s="3"/>
      <ns0:c r="P28" s="2"/>
      <ns0:c r="Q28" s="2"/>
      <ns0:c r="R28" s="2"/>
      <ns0:c r="S28" s="2"/>
      <ns0:c r="T28" s="2"/>
      <ns0:c r="U28" s="2"/>
      <ns0:c r="V28" s="2"/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/>
      <ns0:c r="C29" s="3"/>
      <ns0:c r="D29" s="3"/>
      <ns0:c r="E29" s="3"/>
      <ns0:c r="F29" s="3"/>
      <ns0:c r="G29" s="3"/>
      <ns0:c r="H29" s="3"/>
      <ns0:c r="I29" s="3"/>
      <ns0:c r="J29" s="3"/>
      <ns0:c r="K29" s="3"/>
      <ns0:c r="L29" s="3"/>
      <ns0:c r="M29" s="3"/>
      <ns0:c r="N29" s="3"/>
      <ns0:c r="O29" s="3"/>
      <ns0:c r="P29" s="2"/>
      <ns0:c r="Q29" s="2"/>
      <ns0:c r="R29" s="2"/>
      <ns0:c r="S29" s="2"/>
      <ns0:c r="T29" s="2"/>
      <ns0:c r="U29" s="2"/>
      <ns0:c r="V29" s="2"/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/>
      <ns0:c r="C30" s="6"/>
      <ns0:c r="D30" s="6"/>
      <ns0:c r="E30" s="6"/>
      <ns0:c r="F30" s="6"/>
      <ns0:c r="G30" s="6"/>
      <ns0:c r="H30" s="6"/>
      <ns0:c r="I30" s="6"/>
      <ns0:c r="J30" s="6"/>
      <ns0:c r="K30" s="6"/>
      <ns0:c r="L30" s="6"/>
      <ns0:c r="M30" s="6"/>
      <ns0:c r="N30" s="6"/>
      <ns0:c r="O30" s="6"/>
      <ns0:c r="P30" s="2"/>
      <ns0:c r="Q30" s="2"/>
      <ns0:c r="R30" s="2"/>
      <ns0:c r="S30" s="2"/>
      <ns0:c r="T30" s="2"/>
      <ns0:c r="U30" s="2"/>
      <ns0:c r="V30" s="2"/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/>
      <ns0:c r="B31" s="2"/>
      <ns0:c r="C31" s="3"/>
      <ns0:c r="D31" s="3"/>
      <ns0:c r="E31" s="3"/>
      <ns0:c r="F31" s="3"/>
      <ns0:c r="G31" s="3"/>
      <ns0:c r="H31" s="3"/>
      <ns0:c r="I31" s="3"/>
      <ns0:c r="J31" s="3"/>
      <ns0:c r="K31" s="3"/>
      <ns0:c r="L31" s="3"/>
      <ns0:c r="M31" s="3"/>
      <ns0:c r="N31" s="3"/>
      <ns0:c r="O31" s="3"/>
      <ns0:c r="P31" s="2"/>
      <ns0:c r="Q31" s="2"/>
      <ns0:c r="R31" s="2"/>
      <ns0:c r="S31" s="2"/>
      <ns0:c r="T31" s="2"/>
      <ns0:c r="U31" s="2"/>
      <ns0:c r="V31" s="2"/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/>
      <ns0:c r="C32" s="3"/>
      <ns0:c r="D32" s="3"/>
      <ns0:c r="E32" s="3"/>
      <ns0:c r="F32" s="3"/>
      <ns0:c r="G32" s="3"/>
      <ns0:c r="H32" s="3"/>
      <ns0:c r="I32" s="3"/>
      <ns0:c r="J32" s="3"/>
      <ns0:c r="K32" s="3"/>
      <ns0:c r="L32" s="3"/>
      <ns0:c r="M32" s="3"/>
      <ns0:c r="N32" s="3"/>
      <ns0:c r="O32" s="3"/>
      <ns0:c r="P32" s="2"/>
      <ns0:c r="Q32" s="2"/>
      <ns0:c r="R32" s="2"/>
      <ns0:c r="S32" s="2"/>
      <ns0:c r="T32" s="2"/>
      <ns0:c r="U32" s="2"/>
      <ns0:c r="V32" s="2"/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/>
      <ns0:c r="B33" s="2"/>
      <ns0:c r="C33" s="3"/>
      <ns0:c r="D33" s="3"/>
      <ns0:c r="E33" s="3"/>
      <ns0:c r="F33" s="3"/>
      <ns0:c r="G33" s="3"/>
      <ns0:c r="H33" s="3"/>
      <ns0:c r="I33" s="3"/>
      <ns0:c r="J33" s="3"/>
      <ns0:c r="K33" s="3"/>
      <ns0:c r="L33" s="3"/>
      <ns0:c r="M33" s="3"/>
      <ns0:c r="N33" s="3"/>
      <ns0:c r="O33" s="3"/>
      <ns0:c r="P33" s="2"/>
      <ns0:c r="Q33" s="2"/>
      <ns0:c r="R33" s="2"/>
      <ns0:c r="S33" s="2"/>
      <ns0:c r="T33" s="2"/>
      <ns0:c r="U33" s="2"/>
      <ns0:c r="V33" s="2"/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/>
      <ns0:c r="B34" s="2"/>
      <ns0:c r="C34" s="3"/>
      <ns0:c r="D34" s="3"/>
      <ns0:c r="E34" s="3"/>
      <ns0:c r="F34" s="3"/>
      <ns0:c r="G34" s="3"/>
      <ns0:c r="H34" s="3"/>
      <ns0:c r="I34" s="3"/>
      <ns0:c r="J34" s="3"/>
      <ns0:c r="K34" s="3"/>
      <ns0:c r="L34" s="3"/>
      <ns0:c r="M34" s="3"/>
      <ns0:c r="N34" s="3"/>
      <ns0:c r="O34" s="3"/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/>
      <ns0:c r="B35" s="2"/>
      <ns0:c r="C35" s="3"/>
      <ns0:c r="D35" s="3"/>
      <ns0:c r="E35" s="3"/>
      <ns0:c r="F35" s="3"/>
      <ns0:c r="G35" s="3"/>
      <ns0:c r="H35" s="3"/>
      <ns0:c r="I35" s="3"/>
      <ns0:c r="J35" s="3"/>
      <ns0:c r="K35" s="3"/>
      <ns0:c r="L35" s="3"/>
      <ns0:c r="M35" s="3"/>
      <ns0:c r="N35" s="3"/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/>
      <ns0:c r="B36" s="2"/>
      <ns0:c r="C36" s="3"/>
      <ns0:c r="D36" s="3"/>
      <ns0:c r="E36" s="3"/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/>
      <ns0:c r="C37" s="3"/>
      <ns0:c r="D37" s="3"/>
      <ns0:c r="E37" s="3"/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 t="inlineStr">
        <ns0:is>
          <ns0:t>预算基础月度勾稽</ns0:t>
        </ns0:is>
      </ns0:c>
      <ns0:c r="C60" s="6" t="inlineStr">
        <ns0:is>
          <ns0:t>2027-01</ns0:t>
        </ns0:is>
      </ns0:c>
      <ns0:c r="D60" s="6" t="inlineStr">
        <ns0:is>
          <ns0:t>2027-02</ns0:t>
        </ns0:is>
      </ns0:c>
      <ns0:c r="E60" s="6" t="inlineStr">
        <ns0:is>
          <ns0:t>2027-03</ns0:t>
        </ns0:is>
      </ns0:c>
      <ns0:c r="F60" s="6" t="inlineStr">
        <ns0:is>
          <ns0:t>2027-04</ns0:t>
        </ns0:is>
      </ns0:c>
      <ns0:c r="G60" s="6" t="inlineStr">
        <ns0:is>
          <ns0:t>2027-05</ns0:t>
        </ns0:is>
      </ns0:c>
      <ns0:c r="H60" s="6" t="inlineStr">
        <ns0:is>
          <ns0:t>2027-06</ns0:t>
        </ns0:is>
      </ns0:c>
      <ns0:c r="I60" s="6" t="inlineStr">
        <ns0:is>
          <ns0:t>2027-07</ns0:t>
        </ns0:is>
      </ns0:c>
      <ns0:c r="J60" s="6" t="inlineStr">
        <ns0:is>
          <ns0:t>2027-08</ns0:t>
        </ns0:is>
      </ns0:c>
      <ns0:c r="K60" s="6" t="inlineStr">
        <ns0:is>
          <ns0:t>2027-09</ns0:t>
        </ns0:is>
      </ns0:c>
      <ns0:c r="L60" s="6" t="inlineStr">
        <ns0:is>
          <ns0:t>2027-10</ns0:t>
        </ns0:is>
      </ns0:c>
      <ns0:c r="M60" s="6" t="inlineStr">
        <ns0:is>
          <ns0:t>2027-11</ns0:t>
        </ns0:is>
      </ns0:c>
      <ns0:c r="N60" s="6" t="inlineStr">
        <ns0:is>
          <ns0:t>2027-12</ns0:t>
        </ns0:is>
      </ns0:c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 t="inlineStr">
        <ns0:is>
          <ns0:t>营业收入</ns0:t>
        </ns0:is>
      </ns0:c>
      <ns0:c r="C61" s="3">
        <ns0:f>'收入非主控'!C33+'收入主控'!C33</ns0:f>
        <ns0:v>467361.50</ns0:v>
      </ns0:c>
      <ns0:c r="D61" s="3">
        <ns0:f>'收入非主控'!D33+'收入主控'!D33</ns0:f>
        <ns0:v>375509.79</ns0:v>
      </ns0:c>
      <ns0:c r="E61" s="3">
        <ns0:f>'收入非主控'!E33+'收入主控'!E33</ns0:f>
        <ns0:v>525981.56</ns0:v>
      </ns0:c>
      <ns0:c r="F61" s="3">
        <ns0:f>'收入非主控'!F33+'收入主控'!F33</ns0:f>
        <ns0:v>320905.29</ns0:v>
      </ns0:c>
      <ns0:c r="G61" s="3">
        <ns0:f>'收入非主控'!G33+'收入主控'!G33</ns0:f>
        <ns0:v>551813.28</ns0:v>
      </ns0:c>
      <ns0:c r="H61" s="3">
        <ns0:f>'收入非主控'!H33+'收入主控'!H33</ns0:f>
        <ns0:v>400759.10</ns0:v>
      </ns0:c>
      <ns0:c r="I61" s="3">
        <ns0:f>'收入非主控'!I33+'收入主控'!I33</ns0:f>
        <ns0:v>383810.11</ns0:v>
      </ns0:c>
      <ns0:c r="J61" s="3">
        <ns0:f>'收入非主控'!J33+'收入主控'!J33</ns0:f>
        <ns0:v>502083.48</ns0:v>
      </ns0:c>
      <ns0:c r="K61" s="3">
        <ns0:f>'收入非主控'!K33+'收入主控'!K33</ns0:f>
        <ns0:v>366949.12</ns0:v>
      </ns0:c>
      <ns0:c r="L61" s="3">
        <ns0:f>'收入非主控'!L33+'收入主控'!L33</ns0:f>
        <ns0:v>380238.43</ns0:v>
      </ns0:c>
      <ns0:c r="M61" s="3">
        <ns0:f>'收入非主控'!M33+'收入主控'!M33</ns0:f>
        <ns0:v>331310.06</ns0:v>
      </ns0:c>
      <ns0:c r="N61" s="3">
        <ns0:f>'收入非主控'!N33+'收入主控'!N33</ns0:f>
        <ns0:v>437933.73</ns0:v>
      </ns0:c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 t="inlineStr">
        <ns0:is>
          <ns0:t>营业成本</ns0:t>
        </ns0:is>
      </ns0:c>
      <ns0:c r="C62" s="3">
        <ns0:f>'收入非主控'!C36+'收入主控'!C36</ns0:f>
        <ns0:v>166089.92</ns0:v>
      </ns0:c>
      <ns0:c r="D62" s="3">
        <ns0:f>'收入非主控'!D36+'收入主控'!D36</ns0:f>
        <ns0:v>157658.10</ns0:v>
      </ns0:c>
      <ns0:c r="E62" s="3">
        <ns0:f>'收入非主控'!E36+'收入主控'!E36</ns0:f>
        <ns0:v>198697.77</ns0:v>
      </ns0:c>
      <ns0:c r="F62" s="3">
        <ns0:f>'收入非主控'!F36+'收入主控'!F36</ns0:f>
        <ns0:v>122826.87</ns0:v>
      </ns0:c>
      <ns0:c r="G62" s="3">
        <ns0:f>'收入非主控'!G36+'收入主控'!G36</ns0:f>
        <ns0:v>132204.78</ns0:v>
      </ns0:c>
      <ns0:c r="H62" s="3">
        <ns0:f>'收入非主控'!H36+'收入主控'!H36</ns0:f>
        <ns0:v>141454.01</ns0:v>
      </ns0:c>
      <ns0:c r="I62" s="3">
        <ns0:f>'收入非主控'!I36+'收入主控'!I36</ns0:f>
        <ns0:v>139415.67</ns0:v>
      </ns0:c>
      <ns0:c r="J62" s="3">
        <ns0:f>'收入非主控'!J36+'收入主控'!J36</ns0:f>
        <ns0:v>138130.97</ns0:v>
      </ns0:c>
      <ns0:c r="K62" s="3">
        <ns0:f>'收入非主控'!K36+'收入主控'!K36</ns0:f>
        <ns0:v>126440.61</ns0:v>
      </ns0:c>
      <ns0:c r="L62" s="3">
        <ns0:f>'收入非主控'!L36+'收入主控'!L36</ns0:f>
        <ns0:v>106693.33</ns0:v>
      </ns0:c>
      <ns0:c r="M62" s="3">
        <ns0:f>'收入非主控'!M36+'收入主控'!M36</ns0:f>
        <ns0:v>136361.56</ns0:v>
      </ns0:c>
      <ns0:c r="N62" s="3">
        <ns0:f>'收入非主控'!N36+'收入主控'!N36</ns0:f>
        <ns0:v>179787.82</ns0:v>
      </ns0:c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 t="inlineStr">
        <ns0:is>
          <ns0:t>税金及附加</ns0:t>
        </ns0:is>
      </ns0:c>
      <ns0:c r="C63" s="3">
        <ns0:f>'税金及附加'!C33</ns0:f>
        <ns0:v>3435.11</ns0:v>
      </ns0:c>
      <ns0:c r="D63" s="3">
        <ns0:f>'税金及附加'!D33</ns0:f>
        <ns0:v>2760.00</ns0:v>
      </ns0:c>
      <ns0:c r="E63" s="3">
        <ns0:f>'税金及附加'!E33</ns0:f>
        <ns0:v>3865.96</ns0:v>
      </ns0:c>
      <ns0:c r="F63" s="3">
        <ns0:f>'税金及附加'!F33</ns0:f>
        <ns0:v>2358.65</ns0:v>
      </ns0:c>
      <ns0:c r="G63" s="3">
        <ns0:f>'税金及附加'!G33</ns0:f>
        <ns0:v>4055.83</ns0:v>
      </ns0:c>
      <ns0:c r="H63" s="3">
        <ns0:f>'税金及附加'!H33</ns0:f>
        <ns0:v>2945.58</ns0:v>
      </ns0:c>
      <ns0:c r="I63" s="3">
        <ns0:f>'税金及附加'!I33</ns0:f>
        <ns0:v>2821.00</ns0:v>
      </ns0:c>
      <ns0:c r="J63" s="3">
        <ns0:f>'税金及附加'!J33</ns0:f>
        <ns0:v>3690.31</ns0:v>
      </ns0:c>
      <ns0:c r="K63" s="3">
        <ns0:f>'税金及附加'!K33</ns0:f>
        <ns0:v>2697.08</ns0:v>
      </ns0:c>
      <ns0:c r="L63" s="3">
        <ns0:f>'税金及附加'!L33</ns0:f>
        <ns0:v>2794.75</ns0:v>
      </ns0:c>
      <ns0:c r="M63" s="3">
        <ns0:f>'税金及附加'!M33</ns0:f>
        <ns0:v>2435.13</ns0:v>
      </ns0:c>
      <ns0:c r="N63" s="3">
        <ns0:f>'税金及附加'!N33</ns0:f>
        <ns0:v>3218.81</ns0:v>
      </ns0:c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 t="inlineStr">
        <ns0:is>
          <ns0:t>销售费用</ns0:t>
        </ns0:is>
      </ns0:c>
      <ns0:c r="C64" s="3">
        <ns0:f>'销售费用'!C34</ns0:f>
        <ns0:v>6842.49</ns0:v>
      </ns0:c>
      <ns0:c r="D64" s="3">
        <ns0:f>'销售费用'!D34</ns0:f>
        <ns0:v>6875.99</ns0:v>
      </ns0:c>
      <ns0:c r="E64" s="3">
        <ns0:f>'销售费用'!E34</ns0:f>
        <ns0:v>7667.17</ns0:v>
      </ns0:c>
      <ns0:c r="F64" s="3">
        <ns0:f>'销售费用'!F34</ns0:f>
        <ns0:v>6236.43</ns0:v>
      </ns0:c>
      <ns0:c r="G64" s="3">
        <ns0:f>'销售费用'!G34</ns0:f>
        <ns0:v>7596.92</ns0:v>
      </ns0:c>
      <ns0:c r="H64" s="3">
        <ns0:f>'销售费用'!H34</ns0:f>
        <ns0:v>5972.00</ns0:v>
      </ns0:c>
      <ns0:c r="I64" s="3">
        <ns0:f>'销售费用'!I34</ns0:f>
        <ns0:v>8643.70</ns0:v>
      </ns0:c>
      <ns0:c r="J64" s="3">
        <ns0:f>'销售费用'!J34</ns0:f>
        <ns0:v>7102.08</ns0:v>
      </ns0:c>
      <ns0:c r="K64" s="3">
        <ns0:f>'销售费用'!K34</ns0:f>
        <ns0:v>7086.21</ns0:v>
      </ns0:c>
      <ns0:c r="L64" s="3">
        <ns0:f>'销售费用'!L34</ns0:f>
        <ns0:v>7741.07</ns0:v>
      </ns0:c>
      <ns0:c r="M64" s="3">
        <ns0:f>'销售费用'!M34</ns0:f>
        <ns0:v>7495.78</ns0:v>
      </ns0:c>
      <ns0:c r="N64" s="3">
        <ns0:f>'销售费用'!N34</ns0:f>
        <ns0:v>7546.27</ns0:v>
      </ns0:c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 t="inlineStr">
        <ns0:is>
          <ns0:t>管理费用</ns0:t>
        </ns0:is>
      </ns0:c>
      <ns0:c r="C65" s="3">
        <ns0:f>'管理费用'!C34</ns0:f>
        <ns0:v>7639.67</ns0:v>
      </ns0:c>
      <ns0:c r="D65" s="3">
        <ns0:f>'管理费用'!D34</ns0:f>
        <ns0:v>7775.85</ns0:v>
      </ns0:c>
      <ns0:c r="E65" s="3">
        <ns0:f>'管理费用'!E34</ns0:f>
        <ns0:v>7872.38</ns0:v>
      </ns0:c>
      <ns0:c r="F65" s="3">
        <ns0:f>'管理费用'!F34</ns0:f>
        <ns0:v>7453.20</ns0:v>
      </ns0:c>
      <ns0:c r="G65" s="3">
        <ns0:f>'管理费用'!G34</ns0:f>
        <ns0:v>7005.17</ns0:v>
      </ns0:c>
      <ns0:c r="H65" s="3">
        <ns0:f>'管理费用'!H34</ns0:f>
        <ns0:v>7070.44</ns0:v>
      </ns0:c>
      <ns0:c r="I65" s="3">
        <ns0:f>'管理费用'!I34</ns0:f>
        <ns0:v>7118.00</ns0:v>
      </ns0:c>
      <ns0:c r="J65" s="3">
        <ns0:f>'管理费用'!J34</ns0:f>
        <ns0:v>6607.98</ns0:v>
      </ns0:c>
      <ns0:c r="K65" s="3">
        <ns0:f>'管理费用'!K34</ns0:f>
        <ns0:v>6923.80</ns0:v>
      </ns0:c>
      <ns0:c r="L65" s="3">
        <ns0:f>'管理费用'!L34</ns0:f>
        <ns0:v>6779.89</ns0:v>
      </ns0:c>
      <ns0:c r="M65" s="3">
        <ns0:f>'管理费用'!M34</ns0:f>
        <ns0:v>7251.07</ns0:v>
      </ns0:c>
      <ns0:c r="N65" s="3">
        <ns0:f>'管理费用'!N34</ns0:f>
        <ns0:v>8280.49</ns0:v>
      </ns0:c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 t="inlineStr">
        <ns0:is>
          <ns0:t>其他主体费用</ns0:t>
        </ns0:is>
      </ns0:c>
      <ns0:c r="C66" s="3">
        <ns0:f>'蓝恐龙费用'!C34</ns0:f>
        <ns0:v>6168.30</ns0:v>
      </ns0:c>
      <ns0:c r="D66" s="3">
        <ns0:f>'蓝恐龙费用'!D34</ns0:f>
        <ns0:v>6962.63</ns0:v>
      </ns0:c>
      <ns0:c r="E66" s="3">
        <ns0:f>'蓝恐龙费用'!E34</ns0:f>
        <ns0:v>6816.58</ns0:v>
      </ns0:c>
      <ns0:c r="F66" s="3">
        <ns0:f>'蓝恐龙费用'!F34</ns0:f>
        <ns0:v>7701.33</ns0:v>
      </ns0:c>
      <ns0:c r="G66" s="3">
        <ns0:f>'蓝恐龙费用'!G34</ns0:f>
        <ns0:v>8108.08</ns0:v>
      </ns0:c>
      <ns0:c r="H66" s="3">
        <ns0:f>'蓝恐龙费用'!H34</ns0:f>
        <ns0:v>6785.58</ns0:v>
      </ns0:c>
      <ns0:c r="I66" s="3">
        <ns0:f>'蓝恐龙费用'!I34</ns0:f>
        <ns0:v>8367.06</ns0:v>
      </ns0:c>
      <ns0:c r="J66" s="3">
        <ns0:f>'蓝恐龙费用'!J34</ns0:f>
        <ns0:v>6912.52</ns0:v>
      </ns0:c>
      <ns0:c r="K66" s="3">
        <ns0:f>'蓝恐龙费用'!K34</ns0:f>
        <ns0:v>7796.46</ns0:v>
      </ns0:c>
      <ns0:c r="L66" s="3">
        <ns0:f>'蓝恐龙费用'!L34</ns0:f>
        <ns0:v>7485.08</ns0:v>
      </ns0:c>
      <ns0:c r="M66" s="3">
        <ns0:f>'蓝恐龙费用'!M34</ns0:f>
        <ns0:v>6820.19</ns0:v>
      </ns0:c>
      <ns0:c r="N66" s="3">
        <ns0:f>'蓝恐龙费用'!N34</ns0:f>
        <ns0:v>8544.68</ns0:v>
      </ns0:c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 t="inlineStr">
        <ns0:is>
          <ns0:t>税前利润</ns0:t>
        </ns0:is>
      </ns0:c>
      <ns0:c r="C67" s="3">
        <ns0:f>C61-SUM(C62:C66)</ns0:f>
        <ns0:v>277186.01</ns0:v>
      </ns0:c>
      <ns0:c r="D67" s="3">
        <ns0:f>D61-SUM(D62:D66)</ns0:f>
        <ns0:v>193477.22</ns0:v>
      </ns0:c>
      <ns0:c r="E67" s="3">
        <ns0:f>E61-SUM(E62:E66)</ns0:f>
        <ns0:v>301061.70</ns0:v>
      </ns0:c>
      <ns0:c r="F67" s="3">
        <ns0:f>F61-SUM(F62:F66)</ns0:f>
        <ns0:v>174328.81</ns0:v>
      </ns0:c>
      <ns0:c r="G67" s="3">
        <ns0:f>G61-SUM(G62:G66)</ns0:f>
        <ns0:v>392842.50</ns0:v>
      </ns0:c>
      <ns0:c r="H67" s="3">
        <ns0:f>H61-SUM(H62:H66)</ns0:f>
        <ns0:v>236531.49</ns0:v>
      </ns0:c>
      <ns0:c r="I67" s="3">
        <ns0:f>I61-SUM(I62:I66)</ns0:f>
        <ns0:v>217444.68</ns0:v>
      </ns0:c>
      <ns0:c r="J67" s="3">
        <ns0:f>J61-SUM(J62:J66)</ns0:f>
        <ns0:v>339639.62</ns0:v>
      </ns0:c>
      <ns0:c r="K67" s="3">
        <ns0:f>K61-SUM(K62:K66)</ns0:f>
        <ns0:v>216004.96</ns0:v>
      </ns0:c>
      <ns0:c r="L67" s="3">
        <ns0:f>L61-SUM(L62:L66)</ns0:f>
        <ns0:v>248744.31</ns0:v>
      </ns0:c>
      <ns0:c r="M67" s="3">
        <ns0:f>M61-SUM(M62:M66)</ns0:f>
        <ns0:v>170946.33</ns0:v>
      </ns0:c>
      <ns0:c r="N67" s="3">
        <ns0:f>N61-SUM(N62:N66)</ns0:f>
        <ns0:v>230555.66</ns0:v>
      </ns0:c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 t="inlineStr">
        <ns0:is>
          <ns0:t>所得税费用</ns0:t>
        </ns0:is>
      </ns0:c>
      <ns0:c r="C68" s="3">
        <ns0:f>ROUND(MAX(C67,0)*$C$200,2)</ns0:f>
        <ns0:v>48332.92</ns0:v>
      </ns0:c>
      <ns0:c r="D68" s="3">
        <ns0:f>ROUND(MAX(D67,0)*$C$200,2)</ns0:f>
        <ns0:v>33736.62</ns0:v>
      </ns0:c>
      <ns0:c r="E68" s="3">
        <ns0:f>ROUND(MAX(E67,0)*$C$200,2)</ns0:f>
        <ns0:v>52496.13</ns0:v>
      </ns0:c>
      <ns0:c r="F68" s="3">
        <ns0:f>ROUND(MAX(F67,0)*$C$200,2)</ns0:f>
        <ns0:v>30397.71</ns0:v>
      </ns0:c>
      <ns0:c r="G68" s="3">
        <ns0:f>ROUND(MAX(G67,0)*$C$200,2)</ns0:f>
        <ns0:v>68499.95</ns0:v>
      </ns0:c>
      <ns0:c r="H68" s="3">
        <ns0:f>ROUND(MAX(H67,0)*$C$200,2)</ns0:f>
        <ns0:v>41244.00</ns0:v>
      </ns0:c>
      <ns0:c r="I68" s="3">
        <ns0:f>ROUND(MAX(I67,0)*$C$200,2)</ns0:f>
        <ns0:v>37915.83</ns0:v>
      </ns0:c>
      <ns0:c r="J68" s="3">
        <ns0:f>ROUND(MAX(J67,0)*$C$200,2)</ns0:f>
        <ns0:v>59222.96</ns0:v>
      </ns0:c>
      <ns0:c r="K68" s="3">
        <ns0:f>ROUND(MAX(K67,0)*$C$200,2)</ns0:f>
        <ns0:v>37664.78</ns0:v>
      </ns0:c>
      <ns0:c r="L68" s="3">
        <ns0:f>ROUND(MAX(L67,0)*$C$200,2)</ns0:f>
        <ns0:v>43373.55</ns0:v>
      </ns0:c>
      <ns0:c r="M68" s="3">
        <ns0:f>ROUND(MAX(M67,0)*$C$200,2)</ns0:f>
        <ns0:v>29807.91</ns0:v>
      </ns0:c>
      <ns0:c r="N68" s="3">
        <ns0:f>ROUND(MAX(N67,0)*$C$200,2)</ns0:f>
        <ns0:v>40201.99</ns0:v>
      </ns0:c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 t="inlineStr">
        <ns0:is>
          <ns0:t>净利润</ns0:t>
        </ns0:is>
      </ns0:c>
      <ns0:c r="C69" s="3">
        <ns0:f>C67-C68</ns0:f>
        <ns0:v>228853.09</ns0:v>
      </ns0:c>
      <ns0:c r="D69" s="3">
        <ns0:f>D67-D68</ns0:f>
        <ns0:v>159740.60</ns0:v>
      </ns0:c>
      <ns0:c r="E69" s="3">
        <ns0:f>E67-E68</ns0:f>
        <ns0:v>248565.57</ns0:v>
      </ns0:c>
      <ns0:c r="F69" s="3">
        <ns0:f>F67-F68</ns0:f>
        <ns0:v>143931.10</ns0:v>
      </ns0:c>
      <ns0:c r="G69" s="3">
        <ns0:f>G67-G68</ns0:f>
        <ns0:v>324342.55</ns0:v>
      </ns0:c>
      <ns0:c r="H69" s="3">
        <ns0:f>H67-H68</ns0:f>
        <ns0:v>195287.49</ns0:v>
      </ns0:c>
      <ns0:c r="I69" s="3">
        <ns0:f>I67-I68</ns0:f>
        <ns0:v>179528.85</ns0:v>
      </ns0:c>
      <ns0:c r="J69" s="3">
        <ns0:f>J67-J68</ns0:f>
        <ns0:v>280416.66</ns0:v>
      </ns0:c>
      <ns0:c r="K69" s="3">
        <ns0:f>K67-K68</ns0:f>
        <ns0:v>178340.18</ns0:v>
      </ns0:c>
      <ns0:c r="L69" s="3">
        <ns0:f>L67-L68</ns0:f>
        <ns0:v>205370.76</ns0:v>
      </ns0:c>
      <ns0:c r="M69" s="3">
        <ns0:f>M67-M68</ns0:f>
        <ns0:v>141138.42</ns0:v>
      </ns0:c>
      <ns0:c r="N69" s="3">
        <ns0:f>N67-N68</ns0:f>
        <ns0:v>190353.67</ns0:v>
      </ns0:c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 t="inlineStr">
        <ns0:is>
          <ns0:t>所得税率（演示假设）</ns0:t>
        </ns0:is>
      </ns0:c>
      <ns0:c r="C200" s="4">
        <ns0:v>0.17437</ns0:v>
      </ns0:c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/>
      <ns0:c r="C204" s="3"/>
      <ns0:c r="D204" s="3"/>
      <ns0:c r="E204" s="3"/>
      <ns0:c r="F204" s="3"/>
      <ns0:c r="G204" s="3"/>
      <ns0:c r="H204" s="3"/>
      <ns0:c r="I204" s="3"/>
      <ns0:c r="J204" s="3"/>
      <ns0:c r="K204" s="3"/>
      <ns0:c r="L204" s="3"/>
      <ns0:c r="M204" s="3"/>
      <ns0:c r="N204" s="3"/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/>
      <ns0:c r="C205" s="3"/>
      <ns0:c r="D205" s="3"/>
      <ns0:c r="E205" s="3"/>
      <ns0:c r="F205" s="3"/>
      <ns0:c r="G205" s="3"/>
      <ns0:c r="H205" s="3"/>
      <ns0:c r="I205" s="3"/>
      <ns0:c r="J205" s="3"/>
      <ns0:c r="K205" s="3"/>
      <ns0:c r="L205" s="3"/>
      <ns0:c r="M205" s="3"/>
      <ns0:c r="N205" s="3"/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/>
      <ns0:c r="C206" s="3"/>
      <ns0:c r="D206" s="3"/>
      <ns0:c r="E206" s="3"/>
      <ns0:c r="F206" s="3"/>
      <ns0:c r="G206" s="3"/>
      <ns0:c r="H206" s="3"/>
      <ns0:c r="I206" s="3"/>
      <ns0:c r="J206" s="3"/>
      <ns0:c r="K206" s="3"/>
      <ns0:c r="L206" s="3"/>
      <ns0:c r="M206" s="3"/>
      <ns0:c r="N206" s="3"/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/>
      <ns0:c r="C207" s="3"/>
      <ns0:c r="D207" s="3"/>
      <ns0:c r="E207" s="3"/>
      <ns0:c r="F207" s="3"/>
      <ns0:c r="G207" s="3"/>
      <ns0:c r="H207" s="3"/>
      <ns0:c r="I207" s="3"/>
      <ns0:c r="J207" s="3"/>
      <ns0:c r="K207" s="3"/>
      <ns0:c r="L207" s="3"/>
      <ns0:c r="M207" s="3"/>
      <ns0:c r="N207" s="3"/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/>
      <ns0:c r="C208" s="3"/>
      <ns0:c r="D208" s="3"/>
      <ns0:c r="E208" s="3"/>
      <ns0:c r="F208" s="3"/>
      <ns0:c r="G208" s="3"/>
      <ns0:c r="H208" s="3"/>
      <ns0:c r="I208" s="3"/>
      <ns0:c r="J208" s="3"/>
      <ns0:c r="K208" s="3"/>
      <ns0:c r="L208" s="3"/>
      <ns0:c r="M208" s="3"/>
      <ns0:c r="N208" s="3"/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/>
      <ns0:c r="C209" s="3"/>
      <ns0:c r="D209" s="3"/>
      <ns0:c r="E209" s="3"/>
      <ns0:c r="F209" s="3"/>
      <ns0:c r="G209" s="3"/>
      <ns0:c r="H209" s="3"/>
      <ns0:c r="I209" s="3"/>
      <ns0:c r="J209" s="3"/>
      <ns0:c r="K209" s="3"/>
      <ns0:c r="L209" s="3"/>
      <ns0:c r="M209" s="3"/>
      <ns0:c r="N209" s="3"/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/>
      <ns0:c r="C210" s="3"/>
      <ns0:c r="D210" s="3"/>
      <ns0:c r="E210" s="3"/>
      <ns0:c r="F210" s="3"/>
      <ns0:c r="G210" s="3"/>
      <ns0:c r="H210" s="3"/>
      <ns0:c r="I210" s="3"/>
      <ns0:c r="J210" s="3"/>
      <ns0:c r="K210" s="3"/>
      <ns0:c r="L210" s="3"/>
      <ns0:c r="M210" s="3"/>
      <ns0:c r="N210" s="3"/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/>
      <ns0:c r="C211" s="3"/>
      <ns0:c r="D211" s="3"/>
      <ns0:c r="E211" s="3"/>
      <ns0:c r="F211" s="3"/>
      <ns0:c r="G211" s="3"/>
      <ns0:c r="H211" s="3"/>
      <ns0:c r="I211" s="3"/>
      <ns0:c r="J211" s="3"/>
      <ns0:c r="K211" s="3"/>
      <ns0:c r="L211" s="3"/>
      <ns0:c r="M211" s="3"/>
      <ns0:c r="N211" s="3"/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/>
      <ns0:c r="C212" s="3"/>
      <ns0:c r="D212" s="3"/>
      <ns0:c r="E212" s="3"/>
      <ns0:c r="F212" s="3"/>
      <ns0:c r="G212" s="3"/>
      <ns0:c r="H212" s="3"/>
      <ns0:c r="I212" s="3"/>
      <ns0:c r="J212" s="3"/>
      <ns0:c r="K212" s="3"/>
      <ns0:c r="L212" s="3"/>
      <ns0:c r="M212" s="3"/>
      <ns0:c r="N212" s="3"/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/>
      <ns0:c r="C213" s="3"/>
      <ns0:c r="D213" s="3"/>
      <ns0:c r="E213" s="3"/>
      <ns0:c r="F213" s="3"/>
      <ns0:c r="G213" s="3"/>
      <ns0:c r="H213" s="3"/>
      <ns0:c r="I213" s="3"/>
      <ns0:c r="J213" s="3"/>
      <ns0:c r="K213" s="3"/>
      <ns0:c r="L213" s="3"/>
      <ns0:c r="M213" s="3"/>
      <ns0:c r="N213" s="3"/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/>
      <ns0:c r="C214" s="3"/>
      <ns0:c r="D214" s="3"/>
      <ns0:c r="E214" s="3"/>
      <ns0:c r="F214" s="3"/>
      <ns0:c r="G214" s="3"/>
      <ns0:c r="H214" s="3"/>
      <ns0:c r="I214" s="3"/>
      <ns0:c r="J214" s="3"/>
      <ns0:c r="K214" s="3"/>
      <ns0:c r="L214" s="3"/>
      <ns0:c r="M214" s="3"/>
      <ns0:c r="N214" s="3"/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/>
      <ns0:c r="C215" s="3"/>
      <ns0:c r="D215" s="3"/>
      <ns0:c r="E215" s="3"/>
      <ns0:c r="F215" s="3"/>
      <ns0:c r="G215" s="3"/>
      <ns0:c r="H215" s="3"/>
      <ns0:c r="I215" s="3"/>
      <ns0:c r="J215" s="3"/>
      <ns0:c r="K215" s="3"/>
      <ns0:c r="L215" s="3"/>
      <ns0:c r="M215" s="3"/>
      <ns0:c r="N215" s="3"/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/>
      <ns0:c r="C216" s="3"/>
      <ns0:c r="D216" s="3"/>
      <ns0:c r="E216" s="3"/>
      <ns0:c r="F216" s="3"/>
      <ns0:c r="G216" s="3"/>
      <ns0:c r="H216" s="3"/>
      <ns0:c r="I216" s="3"/>
      <ns0:c r="J216" s="3"/>
      <ns0:c r="K216" s="3"/>
      <ns0:c r="L216" s="3"/>
      <ns0:c r="M216" s="3"/>
      <ns0:c r="N216" s="3"/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/>
      <ns0:c r="C217" s="3"/>
      <ns0:c r="D217" s="3"/>
      <ns0:c r="E217" s="3"/>
      <ns0:c r="F217" s="3"/>
      <ns0:c r="G217" s="3"/>
      <ns0:c r="H217" s="3"/>
      <ns0:c r="I217" s="3"/>
      <ns0:c r="J217" s="3"/>
      <ns0:c r="K217" s="3"/>
      <ns0:c r="L217" s="3"/>
      <ns0:c r="M217" s="3"/>
      <ns0:c r="N217" s="3"/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/>
      <ns0:c r="C218" s="3"/>
      <ns0:c r="D218" s="3"/>
      <ns0:c r="E218" s="3"/>
      <ns0:c r="F218" s="3"/>
      <ns0:c r="G218" s="3"/>
      <ns0:c r="H218" s="3"/>
      <ns0:c r="I218" s="3"/>
      <ns0:c r="J218" s="3"/>
      <ns0:c r="K218" s="3"/>
      <ns0:c r="L218" s="3"/>
      <ns0:c r="M218" s="3"/>
      <ns0:c r="N218" s="3"/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/>
      <ns0:c r="C219" s="3"/>
      <ns0:c r="D219" s="3"/>
      <ns0:c r="E219" s="3"/>
      <ns0:c r="F219" s="3"/>
      <ns0:c r="G219" s="3"/>
      <ns0:c r="H219" s="3"/>
      <ns0:c r="I219" s="3"/>
      <ns0:c r="J219" s="3"/>
      <ns0:c r="K219" s="3"/>
      <ns0:c r="L219" s="3"/>
      <ns0:c r="M219" s="3"/>
      <ns0:c r="N219" s="3"/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/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/>
      <ns0:c r="C221" s="3"/>
      <ns0:c r="D221" s="3"/>
      <ns0:c r="E221" s="3"/>
      <ns0:c r="F221" s="3"/>
      <ns0:c r="G221" s="3"/>
      <ns0:c r="H221" s="3"/>
      <ns0:c r="I221" s="3"/>
      <ns0:c r="J221" s="3"/>
      <ns0:c r="K221" s="3"/>
      <ns0:c r="L221" s="3"/>
      <ns0:c r="M221" s="3"/>
      <ns0:c r="N221" s="3"/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/>
      <ns0:c r="C222" s="3"/>
      <ns0:c r="D222" s="3"/>
      <ns0:c r="E222" s="3"/>
      <ns0:c r="F222" s="3"/>
      <ns0:c r="G222" s="3"/>
      <ns0:c r="H222" s="3"/>
      <ns0:c r="I222" s="3"/>
      <ns0:c r="J222" s="3"/>
      <ns0:c r="K222" s="3"/>
      <ns0:c r="L222" s="3"/>
      <ns0:c r="M222" s="3"/>
      <ns0:c r="N222" s="3"/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/>
      <ns0:c r="C223" s="3"/>
      <ns0:c r="D223" s="3"/>
      <ns0:c r="E223" s="3"/>
      <ns0:c r="F223" s="3"/>
      <ns0:c r="G223" s="3"/>
      <ns0:c r="H223" s="3"/>
      <ns0:c r="I223" s="3"/>
      <ns0:c r="J223" s="3"/>
      <ns0:c r="K223" s="3"/>
      <ns0:c r="L223" s="3"/>
      <ns0:c r="M223" s="3"/>
      <ns0:c r="N223" s="3"/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/>
      <ns0:c r="C224" s="3"/>
      <ns0:c r="D224" s="3"/>
      <ns0:c r="E224" s="3"/>
      <ns0:c r="F224" s="3"/>
      <ns0:c r="G224" s="3"/>
      <ns0:c r="H224" s="3"/>
      <ns0:c r="I224" s="3"/>
      <ns0:c r="J224" s="3"/>
      <ns0:c r="K224" s="3"/>
      <ns0:c r="L224" s="3"/>
      <ns0:c r="M224" s="3"/>
      <ns0:c r="N224" s="3"/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/>
      <ns0:c r="C225" s="3"/>
      <ns0:c r="D225" s="3"/>
      <ns0:c r="E225" s="3"/>
      <ns0:c r="F225" s="3"/>
      <ns0:c r="G225" s="3"/>
      <ns0:c r="H225" s="3"/>
      <ns0:c r="I225" s="3"/>
      <ns0:c r="J225" s="3"/>
      <ns0:c r="K225" s="3"/>
      <ns0:c r="L225" s="3"/>
      <ns0:c r="M225" s="3"/>
      <ns0:c r="N225" s="3"/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/>
      <ns0:c r="C226" s="3"/>
      <ns0:c r="D226" s="3"/>
      <ns0:c r="E226" s="3"/>
      <ns0:c r="F226" s="3"/>
      <ns0:c r="G226" s="3"/>
      <ns0:c r="H226" s="3"/>
      <ns0:c r="I226" s="3"/>
      <ns0:c r="J226" s="3"/>
      <ns0:c r="K226" s="3"/>
      <ns0:c r="L226" s="3"/>
      <ns0:c r="M226" s="3"/>
      <ns0:c r="N226" s="3"/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/>
      <ns0:c r="C227" s="3"/>
      <ns0:c r="D227" s="3"/>
      <ns0:c r="E227" s="3"/>
      <ns0:c r="F227" s="3"/>
      <ns0:c r="G227" s="3"/>
      <ns0:c r="H227" s="3"/>
      <ns0:c r="I227" s="3"/>
      <ns0:c r="J227" s="3"/>
      <ns0:c r="K227" s="3"/>
      <ns0:c r="L227" s="3"/>
      <ns0:c r="M227" s="3"/>
      <ns0:c r="N227" s="3"/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/>
      <ns0:c r="C228" s="3"/>
      <ns0:c r="D228" s="3"/>
      <ns0:c r="E228" s="3"/>
      <ns0:c r="F228" s="3"/>
      <ns0:c r="G228" s="3"/>
      <ns0:c r="H228" s="3"/>
      <ns0:c r="I228" s="3"/>
      <ns0:c r="J228" s="3"/>
      <ns0:c r="K228" s="3"/>
      <ns0:c r="L228" s="3"/>
      <ns0:c r="M228" s="3"/>
      <ns0:c r="N228" s="3"/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/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/>
      <ns0:c r="C230" s="3"/>
      <ns0:c r="D230" s="3"/>
      <ns0:c r="E230" s="3"/>
      <ns0:c r="F230" s="3"/>
      <ns0:c r="G230" s="3"/>
      <ns0:c r="H230" s="3"/>
      <ns0:c r="I230" s="3"/>
      <ns0:c r="J230" s="3"/>
      <ns0:c r="K230" s="3"/>
      <ns0:c r="L230" s="3"/>
      <ns0:c r="M230" s="3"/>
      <ns0:c r="N230" s="3"/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/>
      <ns0:c r="C231" s="3"/>
      <ns0:c r="D231" s="3"/>
      <ns0:c r="E231" s="3"/>
      <ns0:c r="F231" s="3"/>
      <ns0:c r="G231" s="3"/>
      <ns0:c r="H231" s="3"/>
      <ns0:c r="I231" s="3"/>
      <ns0:c r="J231" s="3"/>
      <ns0:c r="K231" s="3"/>
      <ns0:c r="L231" s="3"/>
      <ns0:c r="M231" s="3"/>
      <ns0:c r="N231" s="3"/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/>
      <ns0:c r="C232" s="3"/>
      <ns0:c r="D232" s="3"/>
      <ns0:c r="E232" s="3"/>
      <ns0:c r="F232" s="3"/>
      <ns0:c r="G232" s="3"/>
      <ns0:c r="H232" s="3"/>
      <ns0:c r="I232" s="3"/>
      <ns0:c r="J232" s="3"/>
      <ns0:c r="K232" s="3"/>
      <ns0:c r="L232" s="3"/>
      <ns0:c r="M232" s="3"/>
      <ns0:c r="N232" s="3"/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/>
      <ns0:c r="C233" s="3"/>
      <ns0:c r="D233" s="3"/>
      <ns0:c r="E233" s="3"/>
      <ns0:c r="F233" s="3"/>
      <ns0:c r="G233" s="3"/>
      <ns0:c r="H233" s="3"/>
      <ns0:c r="I233" s="3"/>
      <ns0:c r="J233" s="3"/>
      <ns0:c r="K233" s="3"/>
      <ns0:c r="L233" s="3"/>
      <ns0:c r="M233" s="3"/>
      <ns0:c r="N233" s="3"/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/>
      <ns0:c r="C324" s="3"/>
      <ns0:c r="D324" s="3"/>
      <ns0:c r="E324" s="3"/>
      <ns0:c r="F324" s="3"/>
      <ns0:c r="G324" s="3"/>
      <ns0:c r="H324" s="3"/>
      <ns0:c r="I324" s="3"/>
      <ns0:c r="J324" s="3"/>
      <ns0:c r="K324" s="3"/>
      <ns0:c r="L324" s="3"/>
      <ns0:c r="M324" s="3"/>
      <ns0:c r="N324" s="3"/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/>
      <ns0:c r="C325" s="3"/>
      <ns0:c r="D325" s="3"/>
      <ns0:c r="E325" s="3"/>
      <ns0:c r="F325" s="3"/>
      <ns0:c r="G325" s="3"/>
      <ns0:c r="H325" s="3"/>
      <ns0:c r="I325" s="3"/>
      <ns0:c r="J325" s="3"/>
      <ns0:c r="K325" s="3"/>
      <ns0:c r="L325" s="3"/>
      <ns0:c r="M325" s="3"/>
      <ns0:c r="N325" s="3"/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/>
      <ns0:c r="C326" s="3"/>
      <ns0:c r="D326" s="3"/>
      <ns0:c r="E326" s="3"/>
      <ns0:c r="F326" s="3"/>
      <ns0:c r="G326" s="3"/>
      <ns0:c r="H326" s="3"/>
      <ns0:c r="I326" s="3"/>
      <ns0:c r="J326" s="3"/>
      <ns0:c r="K326" s="3"/>
      <ns0:c r="L326" s="3"/>
      <ns0:c r="M326" s="3"/>
      <ns0:c r="N326" s="3"/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/>
      <ns0:c r="C327" s="3"/>
      <ns0:c r="D327" s="3"/>
      <ns0:c r="E327" s="3"/>
      <ns0:c r="F327" s="3"/>
      <ns0:c r="G327" s="3"/>
      <ns0:c r="H327" s="3"/>
      <ns0:c r="I327" s="3"/>
      <ns0:c r="J327" s="3"/>
      <ns0:c r="K327" s="3"/>
      <ns0:c r="L327" s="3"/>
      <ns0:c r="M327" s="3"/>
      <ns0:c r="N327" s="3"/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/>
      <ns0:c r="C328" s="3"/>
      <ns0:c r="D328" s="3"/>
      <ns0:c r="E328" s="3"/>
      <ns0:c r="F328" s="3"/>
      <ns0:c r="G328" s="3"/>
      <ns0:c r="H328" s="3"/>
      <ns0:c r="I328" s="3"/>
      <ns0:c r="J328" s="3"/>
      <ns0:c r="K328" s="3"/>
      <ns0:c r="L328" s="3"/>
      <ns0:c r="M328" s="3"/>
      <ns0:c r="N328" s="3"/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/>
      <ns0:c r="C329" s="3"/>
      <ns0:c r="D329" s="3"/>
      <ns0:c r="E329" s="3"/>
      <ns0:c r="F329" s="3"/>
      <ns0:c r="G329" s="3"/>
      <ns0:c r="H329" s="3"/>
      <ns0:c r="I329" s="3"/>
      <ns0:c r="J329" s="3"/>
      <ns0:c r="K329" s="3"/>
      <ns0:c r="L329" s="3"/>
      <ns0:c r="M329" s="3"/>
      <ns0:c r="N329" s="3"/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/>
      <ns0:c r="C330" s="3"/>
      <ns0:c r="D330" s="3"/>
      <ns0:c r="E330" s="3"/>
      <ns0:c r="F330" s="3"/>
      <ns0:c r="G330" s="3"/>
      <ns0:c r="H330" s="3"/>
      <ns0:c r="I330" s="3"/>
      <ns0:c r="J330" s="3"/>
      <ns0:c r="K330" s="3"/>
      <ns0:c r="L330" s="3"/>
      <ns0:c r="M330" s="3"/>
      <ns0:c r="N330" s="3"/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/>
      <ns0:c r="C331" s="3"/>
      <ns0:c r="D331" s="3"/>
      <ns0:c r="E331" s="3"/>
      <ns0:c r="F331" s="3"/>
      <ns0:c r="G331" s="3"/>
      <ns0:c r="H331" s="3"/>
      <ns0:c r="I331" s="3"/>
      <ns0:c r="J331" s="3"/>
      <ns0:c r="K331" s="3"/>
      <ns0:c r="L331" s="3"/>
      <ns0:c r="M331" s="3"/>
      <ns0:c r="N331" s="3"/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/>
      <ns0:c r="C332" s="3"/>
      <ns0:c r="D332" s="3"/>
      <ns0:c r="E332" s="3"/>
      <ns0:c r="F332" s="3"/>
      <ns0:c r="G332" s="3"/>
      <ns0:c r="H332" s="3"/>
      <ns0:c r="I332" s="3"/>
      <ns0:c r="J332" s="3"/>
      <ns0:c r="K332" s="3"/>
      <ns0:c r="L332" s="3"/>
      <ns0:c r="M332" s="3"/>
      <ns0:c r="N332" s="3"/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/>
      <ns0:c r="C333" s="3"/>
      <ns0:c r="D333" s="3"/>
      <ns0:c r="E333" s="3"/>
      <ns0:c r="F333" s="3"/>
      <ns0:c r="G333" s="3"/>
      <ns0:c r="H333" s="3"/>
      <ns0:c r="I333" s="3"/>
      <ns0:c r="J333" s="3"/>
      <ns0:c r="K333" s="3"/>
      <ns0:c r="L333" s="3"/>
      <ns0:c r="M333" s="3"/>
      <ns0:c r="N333" s="3"/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/>
      <ns0:c r="C334" s="3"/>
      <ns0:c r="D334" s="3"/>
      <ns0:c r="E334" s="3"/>
      <ns0:c r="F334" s="3"/>
      <ns0:c r="G334" s="3"/>
      <ns0:c r="H334" s="3"/>
      <ns0:c r="I334" s="3"/>
      <ns0:c r="J334" s="3"/>
      <ns0:c r="K334" s="3"/>
      <ns0:c r="L334" s="3"/>
      <ns0:c r="M334" s="3"/>
      <ns0:c r="N334" s="3"/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/>
      <ns0:c r="C335" s="3"/>
      <ns0:c r="D335" s="3"/>
      <ns0:c r="E335" s="3"/>
      <ns0:c r="F335" s="3"/>
      <ns0:c r="G335" s="3"/>
      <ns0:c r="H335" s="3"/>
      <ns0:c r="I335" s="3"/>
      <ns0:c r="J335" s="3"/>
      <ns0:c r="K335" s="3"/>
      <ns0:c r="L335" s="3"/>
      <ns0:c r="M335" s="3"/>
      <ns0:c r="N335" s="3"/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/>
      <ns0:c r="C336" s="3"/>
      <ns0:c r="D336" s="3"/>
      <ns0:c r="E336" s="3"/>
      <ns0:c r="F336" s="3"/>
      <ns0:c r="G336" s="3"/>
      <ns0:c r="H336" s="3"/>
      <ns0:c r="I336" s="3"/>
      <ns0:c r="J336" s="3"/>
      <ns0:c r="K336" s="3"/>
      <ns0:c r="L336" s="3"/>
      <ns0:c r="M336" s="3"/>
      <ns0:c r="N336" s="3"/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/>
      <ns0:c r="C337" s="3"/>
      <ns0:c r="D337" s="3"/>
      <ns0:c r="E337" s="3"/>
      <ns0:c r="F337" s="3"/>
      <ns0:c r="G337" s="3"/>
      <ns0:c r="H337" s="3"/>
      <ns0:c r="I337" s="3"/>
      <ns0:c r="J337" s="3"/>
      <ns0:c r="K337" s="3"/>
      <ns0:c r="L337" s="3"/>
      <ns0:c r="M337" s="3"/>
      <ns0:c r="N337" s="3"/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/>
      <ns0:c r="C338" s="3"/>
      <ns0:c r="D338" s="3"/>
      <ns0:c r="E338" s="3"/>
      <ns0:c r="F338" s="3"/>
      <ns0:c r="G338" s="3"/>
      <ns0:c r="H338" s="3"/>
      <ns0:c r="I338" s="3"/>
      <ns0:c r="J338" s="3"/>
      <ns0:c r="K338" s="3"/>
      <ns0:c r="L338" s="3"/>
      <ns0:c r="M338" s="3"/>
      <ns0:c r="N338" s="3"/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/>
      <ns0:c r="C339" s="3"/>
      <ns0:c r="D339" s="3"/>
      <ns0:c r="E339" s="3"/>
      <ns0:c r="F339" s="3"/>
      <ns0:c r="G339" s="3"/>
      <ns0:c r="H339" s="3"/>
      <ns0:c r="I339" s="3"/>
      <ns0:c r="J339" s="3"/>
      <ns0:c r="K339" s="3"/>
      <ns0:c r="L339" s="3"/>
      <ns0:c r="M339" s="3"/>
      <ns0:c r="N339" s="3"/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/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/>
      <ns0:c r="C341" s="3"/>
      <ns0:c r="D341" s="3"/>
      <ns0:c r="E341" s="3"/>
      <ns0:c r="F341" s="3"/>
      <ns0:c r="G341" s="3"/>
      <ns0:c r="H341" s="3"/>
      <ns0:c r="I341" s="3"/>
      <ns0:c r="J341" s="3"/>
      <ns0:c r="K341" s="3"/>
      <ns0:c r="L341" s="3"/>
      <ns0:c r="M341" s="3"/>
      <ns0:c r="N341" s="3"/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/>
      <ns0:c r="C342" s="3"/>
      <ns0:c r="D342" s="3"/>
      <ns0:c r="E342" s="3"/>
      <ns0:c r="F342" s="3"/>
      <ns0:c r="G342" s="3"/>
      <ns0:c r="H342" s="3"/>
      <ns0:c r="I342" s="3"/>
      <ns0:c r="J342" s="3"/>
      <ns0:c r="K342" s="3"/>
      <ns0:c r="L342" s="3"/>
      <ns0:c r="M342" s="3"/>
      <ns0:c r="N342" s="3"/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/>
      <ns0:c r="C343" s="3"/>
      <ns0:c r="D343" s="3"/>
      <ns0:c r="E343" s="3"/>
      <ns0:c r="F343" s="3"/>
      <ns0:c r="G343" s="3"/>
      <ns0:c r="H343" s="3"/>
      <ns0:c r="I343" s="3"/>
      <ns0:c r="J343" s="3"/>
      <ns0:c r="K343" s="3"/>
      <ns0:c r="L343" s="3"/>
      <ns0:c r="M343" s="3"/>
      <ns0:c r="N343" s="3"/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/>
      <ns0:c r="C344" s="3"/>
      <ns0:c r="D344" s="3"/>
      <ns0:c r="E344" s="3"/>
      <ns0:c r="F344" s="3"/>
      <ns0:c r="G344" s="3"/>
      <ns0:c r="H344" s="3"/>
      <ns0:c r="I344" s="3"/>
      <ns0:c r="J344" s="3"/>
      <ns0:c r="K344" s="3"/>
      <ns0:c r="L344" s="3"/>
      <ns0:c r="M344" s="3"/>
      <ns0:c r="N344" s="3"/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/>
      <ns0:c r="C345" s="3"/>
      <ns0:c r="D345" s="3"/>
      <ns0:c r="E345" s="3"/>
      <ns0:c r="F345" s="3"/>
      <ns0:c r="G345" s="3"/>
      <ns0:c r="H345" s="3"/>
      <ns0:c r="I345" s="3"/>
      <ns0:c r="J345" s="3"/>
      <ns0:c r="K345" s="3"/>
      <ns0:c r="L345" s="3"/>
      <ns0:c r="M345" s="3"/>
      <ns0:c r="N345" s="3"/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/>
      <ns0:c r="C346" s="3"/>
      <ns0:c r="D346" s="3"/>
      <ns0:c r="E346" s="3"/>
      <ns0:c r="F346" s="3"/>
      <ns0:c r="G346" s="3"/>
      <ns0:c r="H346" s="3"/>
      <ns0:c r="I346" s="3"/>
      <ns0:c r="J346" s="3"/>
      <ns0:c r="K346" s="3"/>
      <ns0:c r="L346" s="3"/>
      <ns0:c r="M346" s="3"/>
      <ns0:c r="N346" s="3"/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/>
      <ns0:c r="C347" s="3"/>
      <ns0:c r="D347" s="3"/>
      <ns0:c r="E347" s="3"/>
      <ns0:c r="F347" s="3"/>
      <ns0:c r="G347" s="3"/>
      <ns0:c r="H347" s="3"/>
      <ns0:c r="I347" s="3"/>
      <ns0:c r="J347" s="3"/>
      <ns0:c r="K347" s="3"/>
      <ns0:c r="L347" s="3"/>
      <ns0:c r="M347" s="3"/>
      <ns0:c r="N347" s="3"/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/>
      <ns0:c r="C348" s="3"/>
      <ns0:c r="D348" s="3"/>
      <ns0:c r="E348" s="3"/>
      <ns0:c r="F348" s="3"/>
      <ns0:c r="G348" s="3"/>
      <ns0:c r="H348" s="3"/>
      <ns0:c r="I348" s="3"/>
      <ns0:c r="J348" s="3"/>
      <ns0:c r="K348" s="3"/>
      <ns0:c r="L348" s="3"/>
      <ns0:c r="M348" s="3"/>
      <ns0:c r="N348" s="3"/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/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/>
      <ns0:c r="C350" s="3"/>
      <ns0:c r="D350" s="3"/>
      <ns0:c r="E350" s="3"/>
      <ns0:c r="F350" s="3"/>
      <ns0:c r="G350" s="3"/>
      <ns0:c r="H350" s="3"/>
      <ns0:c r="I350" s="3"/>
      <ns0:c r="J350" s="3"/>
      <ns0:c r="K350" s="3"/>
      <ns0:c r="L350" s="3"/>
      <ns0:c r="M350" s="3"/>
      <ns0:c r="N350" s="3"/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/>
      <ns0:c r="C351" s="3"/>
      <ns0:c r="D351" s="3"/>
      <ns0:c r="E351" s="3"/>
      <ns0:c r="F351" s="3"/>
      <ns0:c r="G351" s="3"/>
      <ns0:c r="H351" s="3"/>
      <ns0:c r="I351" s="3"/>
      <ns0:c r="J351" s="3"/>
      <ns0:c r="K351" s="3"/>
      <ns0:c r="L351" s="3"/>
      <ns0:c r="M351" s="3"/>
      <ns0:c r="N351" s="3"/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/>
      <ns0:c r="C352" s="3"/>
      <ns0:c r="D352" s="3"/>
      <ns0:c r="E352" s="3"/>
      <ns0:c r="F352" s="3"/>
      <ns0:c r="G352" s="3"/>
      <ns0:c r="H352" s="3"/>
      <ns0:c r="I352" s="3"/>
      <ns0:c r="J352" s="3"/>
      <ns0:c r="K352" s="3"/>
      <ns0:c r="L352" s="3"/>
      <ns0:c r="M352" s="3"/>
      <ns0:c r="N352" s="3"/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/>
      <ns0:c r="C353" s="3"/>
      <ns0:c r="D353" s="3"/>
      <ns0:c r="E353" s="3"/>
      <ns0:c r="F353" s="3"/>
      <ns0:c r="G353" s="3"/>
      <ns0:c r="H353" s="3"/>
      <ns0:c r="I353" s="3"/>
      <ns0:c r="J353" s="3"/>
      <ns0:c r="K353" s="3"/>
      <ns0:c r="L353" s="3"/>
      <ns0:c r="M353" s="3"/>
      <ns0:c r="N353" s="3"/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mergeCells>
    <ns0:mergeCell ref="A1:H1"/>
    <ns0:mergeCell ref="C2:E2"/>
    <ns0:mergeCell ref="F2:H2"/>
    <ns0:mergeCell ref="A27:H27"/>
    <ns0:mergeCell ref="A2:A3"/>
    <ns0:mergeCell ref="B2:B3"/>
  </ns0:mergeCells>
  <ns0:pageMargins left="0.7" right="0.7" top="0.75" bottom="0.75" header="0.3" footer="0.3"/>
</ns0:worksheet>
</file>

<file path=xl/worksheets/sheet2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44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20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 t="inlineStr">
        <ns0:is>
          <ns0:t>资 产 负 债 表</ns0:t>
        </ns0:is>
      </ns0:c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 t="inlineStr">
        <ns0:is>
          <ns0:t>资产</ns0:t>
        </ns0:is>
      </ns0:c>
      <ns0:c r="B2" s="2" t="inlineStr">
        <ns0:is>
          <ns0:t>行次</ns0:t>
        </ns0:is>
      </ns0:c>
      <ns0:c r="C2" s="3" t="inlineStr">
        <ns0:is>
          <ns0:t>年初数</ns0:t>
        </ns0:is>
      </ns0:c>
      <ns0:c r="D2" s="3" t="inlineStr">
        <ns0:is>
          <ns0:t>期末数</ns0:t>
        </ns0:is>
      </ns0:c>
      <ns0:c r="E2" s="3" t="inlineStr">
        <ns0:is>
          <ns0:t>负债和所有者权益        (或股东权益)</ns0:t>
        </ns0:is>
      </ns0:c>
      <ns0:c r="F2" s="3" t="inlineStr">
        <ns0:is>
          <ns0:t>行次</ns0:t>
        </ns0:is>
      </ns0:c>
      <ns0:c r="G2" s="3" t="inlineStr">
        <ns0:is>
          <ns0:t>全年预算基础</ns0:t>
        </ns0:is>
      </ns0:c>
      <ns0:c r="H2" s="3" t="inlineStr">
        <ns0:is>
          <ns0:t>非本次输入</ns0:t>
        </ns0:is>
      </ns0:c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E-5f17fa2948</ns0:t>
        </ns0:is>
      </ns0:c>
    </ns0:row>
    <ns0:row r="3" ht="20" customHeight="1">
      <ns0:c r="A3" s="2" t="inlineStr">
        <ns0:is>
          <ns0:t>流动资产：</ns0:t>
        </ns0:is>
      </ns0:c>
      <ns0:c r="B3" s="2"/>
      <ns0:c r="C3" s="6" t="inlineStr">
        <ns0:is>
          <ns0:t>全年预算基础</ns0:t>
        </ns0:is>
      </ns0:c>
      <ns0:c r="D3" s="6" t="inlineStr">
        <ns0:is>
          <ns0:t>非本次输入</ns0:t>
        </ns0:is>
      </ns0:c>
      <ns0:c r="E3" s="6" t="inlineStr">
        <ns0:is>
          <ns0:t>流动负债：</ns0:t>
        </ns0:is>
      </ns0:c>
      <ns0:c r="F3" s="6"/>
      <ns0:c r="G3" s="6"/>
      <ns0:c r="H3" s="6"/>
      <ns0:c r="I3" s="6"/>
      <ns0:c r="J3" s="6"/>
      <ns0:c r="K3" s="6"/>
      <ns0:c r="L3" s="6"/>
      <ns0:c r="M3" s="6"/>
      <ns0:c r="N3" s="6"/>
      <ns0:c r="O3" s="6"/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主体乙</ns0:t>
        </ns0:is>
      </ns0:c>
    </ns0:row>
    <ns0:row r="4" ht="20" customHeight="1">
      <ns0:c r="A4" s="2" t="inlineStr">
        <ns0:is>
          <ns0:t>货币资金</ns0:t>
        </ns0:is>
      </ns0:c>
      <ns0:c r="B4" s="2"/>
      <ns0:c r="C4" s="3">
        <ns0:f>N61</ns0:f>
        <ns0:v>2651343.44</ns0:v>
      </ns0:c>
      <ns0:c r="D4" s="3"/>
      <ns0:c r="E4" s="3" t="inlineStr">
        <ns0:is>
          <ns0:t>短期借款</ns0:t>
        </ns0:is>
      </ns0:c>
      <ns0:c r="F4" s="3"/>
      <ns0:c r="G4" s="3"/>
      <ns0:c r="H4" s="3"/>
      <ns0:c r="I4" s="3"/>
      <ns0:c r="J4" s="3"/>
      <ns0:c r="K4" s="3"/>
      <ns0:c r="L4" s="3"/>
      <ns0:c r="M4" s="3"/>
      <ns0:c r="N4" s="3"/>
      <ns0:c r="O4" s="3"/>
      <ns0:c r="P4" s="2"/>
      <ns0:c r="Q4" s="2"/>
      <ns0:c r="R4" s="2"/>
      <ns0:c r="S4" s="2"/>
      <ns0:c r="T4" s="2"/>
      <ns0:c r="U4" s="2"/>
      <ns0:c r="V4" s="2"/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S-03e3bfa6bf</ns0:t>
        </ns0:is>
      </ns0:c>
    </ns0:row>
    <ns0:row r="5" ht="20" customHeight="1">
      <ns0:c r="A5" s="2" t="inlineStr">
        <ns0:is>
          <ns0:t>短期投资</ns0:t>
        </ns0:is>
      </ns0:c>
      <ns0:c r="B5" s="2"/>
      <ns0:c r="C5" s="3"/>
      <ns0:c r="D5" s="3"/>
      <ns0:c r="E5" s="3" t="inlineStr">
        <ns0:is>
          <ns0:t>应付票据</ns0:t>
        </ns0:is>
      </ns0:c>
      <ns0:c r="F5" s="3"/>
      <ns0:c r="G5" s="3"/>
      <ns0:c r="H5" s="3"/>
      <ns0:c r="I5" s="3"/>
      <ns0:c r="J5" s="3"/>
      <ns0:c r="K5" s="3"/>
      <ns0:c r="L5" s="3"/>
      <ns0:c r="M5" s="3"/>
      <ns0:c r="N5" s="3"/>
      <ns0:c r="O5" s="3"/>
      <ns0:c r="P5" s="2"/>
      <ns0:c r="Q5" s="2"/>
      <ns0:c r="R5" s="2"/>
      <ns0:c r="S5" s="2"/>
      <ns0:c r="T5" s="2"/>
      <ns0:c r="U5" s="2"/>
      <ns0:c r="V5" s="2"/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扩展情景</ns0:t>
        </ns0:is>
      </ns0:c>
    </ns0:row>
    <ns0:row r="6" ht="20" customHeight="1">
      <ns0:c r="A6" s="2" t="inlineStr">
        <ns0:is>
          <ns0:t>应收票据</ns0:t>
        </ns0:is>
      </ns0:c>
      <ns0:c r="B6" s="2"/>
      <ns0:c r="C6" s="3"/>
      <ns0:c r="D6" s="3"/>
      <ns0:c r="E6" s="3" t="inlineStr">
        <ns0:is>
          <ns0:t>应付账款</ns0:t>
        </ns0:is>
      </ns0:c>
      <ns0:c r="F6" s="3"/>
      <ns0:c r="G6" s="3"/>
      <ns0:c r="H6" s="3"/>
      <ns0:c r="I6" s="3"/>
      <ns0:c r="J6" s="3"/>
      <ns0:c r="K6" s="3"/>
      <ns0:c r="L6" s="3"/>
      <ns0:c r="M6" s="3"/>
      <ns0:c r="N6" s="3"/>
      <ns0:c r="O6" s="3"/>
      <ns0:c r="P6" s="2"/>
      <ns0:c r="Q6" s="2"/>
      <ns0:c r="R6" s="2"/>
      <ns0:c r="S6" s="2"/>
      <ns0:c r="T6" s="2"/>
      <ns0:c r="U6" s="2"/>
      <ns0:c r="V6" s="2"/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 t="inlineStr">
        <ns0:is>
          <ns0:t>应收股利</ns0:t>
        </ns0:is>
      </ns0:c>
      <ns0:c r="B7" s="2"/>
      <ns0:c r="C7" s="3"/>
      <ns0:c r="D7" s="3"/>
      <ns0:c r="E7" s="3" t="inlineStr">
        <ns0:is>
          <ns0:t>预收账款</ns0:t>
        </ns0:is>
      </ns0:c>
      <ns0:c r="F7" s="3"/>
      <ns0:c r="G7" s="3"/>
      <ns0:c r="H7" s="3"/>
      <ns0:c r="I7" s="3"/>
      <ns0:c r="J7" s="3"/>
      <ns0:c r="K7" s="3"/>
      <ns0:c r="L7" s="3"/>
      <ns0:c r="M7" s="3"/>
      <ns0:c r="N7" s="3"/>
      <ns0:c r="O7" s="3"/>
      <ns0:c r="P7" s="2"/>
      <ns0:c r="Q7" s="2"/>
      <ns0:c r="R7" s="2"/>
      <ns0:c r="S7" s="2"/>
      <ns0:c r="T7" s="2"/>
      <ns0:c r="U7" s="2"/>
      <ns0:c r="V7" s="2"/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季度</ns0:t>
        </ns0:is>
      </ns0:c>
    </ns0:row>
    <ns0:row r="8" ht="20" customHeight="1">
      <ns0:c r="A8" s="2" t="inlineStr">
        <ns0:is>
          <ns0:t>应收利息</ns0:t>
        </ns0:is>
      </ns0:c>
      <ns0:c r="B8" s="2"/>
      <ns0:c r="C8" s="3"/>
      <ns0:c r="D8" s="3"/>
      <ns0:c r="E8" s="3" t="inlineStr">
        <ns0:is>
          <ns0:t>应付工资</ns0:t>
        </ns0:is>
      </ns0:c>
      <ns0:c r="F8" s="3"/>
      <ns0:c r="G8" s="3"/>
      <ns0:c r="H8" s="3"/>
      <ns0:c r="I8" s="3"/>
      <ns0:c r="J8" s="3"/>
      <ns0:c r="K8" s="3"/>
      <ns0:c r="L8" s="3"/>
      <ns0:c r="M8" s="3"/>
      <ns0:c r="N8" s="3"/>
      <ns0:c r="O8" s="3"/>
      <ns0:c r="P8" s="2"/>
      <ns0:c r="Q8" s="2"/>
      <ns0:c r="R8" s="2"/>
      <ns0:c r="S8" s="2"/>
      <ns0:c r="T8" s="2"/>
      <ns0:c r="U8" s="2"/>
      <ns0:c r="V8" s="2"/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 t="inlineStr">
        <ns0:is>
          <ns0:t>应收账款</ns0:t>
        </ns0:is>
      </ns0:c>
      <ns0:c r="B9" s="2"/>
      <ns0:c r="C9" s="3"/>
      <ns0:c r="D9" s="3"/>
      <ns0:c r="E9" s="3" t="inlineStr">
        <ns0:is>
          <ns0:t>应付福利费</ns0:t>
        </ns0:is>
      </ns0:c>
      <ns0:c r="F9" s="3"/>
      <ns0:c r="G9" s="3"/>
      <ns0:c r="H9" s="3"/>
      <ns0:c r="I9" s="3"/>
      <ns0:c r="J9" s="3"/>
      <ns0:c r="K9" s="3"/>
      <ns0:c r="L9" s="3"/>
      <ns0:c r="M9" s="3"/>
      <ns0:c r="N9" s="3"/>
      <ns0:c r="O9" s="3"/>
      <ns0:c r="P9" s="2"/>
      <ns0:c r="Q9" s="2"/>
      <ns0:c r="R9" s="2"/>
      <ns0:c r="S9" s="2"/>
      <ns0:c r="T9" s="2"/>
      <ns0:c r="U9" s="2"/>
      <ns0:c r="V9" s="2"/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 t="inlineStr">
        <ns0:is>
          <ns0:t>其他应收款</ns0:t>
        </ns0:is>
      </ns0:c>
      <ns0:c r="B10" s="2"/>
      <ns0:c r="C10" s="3"/>
      <ns0:c r="D10" s="3"/>
      <ns0:c r="E10" s="3" t="inlineStr">
        <ns0:is>
          <ns0:t>应付利息</ns0:t>
        </ns0:is>
      </ns0:c>
      <ns0:c r="F10" s="3"/>
      <ns0:c r="G10" s="3"/>
      <ns0:c r="H10" s="3"/>
      <ns0:c r="I10" s="3"/>
      <ns0:c r="J10" s="3"/>
      <ns0:c r="K10" s="3"/>
      <ns0:c r="L10" s="3"/>
      <ns0:c r="M10" s="3"/>
      <ns0:c r="N10" s="3"/>
      <ns0:c r="O10" s="3"/>
      <ns0:c r="P10" s="2"/>
      <ns0:c r="Q10" s="2"/>
      <ns0:c r="R10" s="2"/>
      <ns0:c r="S10" s="2"/>
      <ns0:c r="T10" s="2"/>
      <ns0:c r="U10" s="2"/>
      <ns0:c r="V10" s="2"/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 t="inlineStr">
        <ns0:is>
          <ns0:t>预付账款</ns0:t>
        </ns0:is>
      </ns0:c>
      <ns0:c r="B11" s="2"/>
      <ns0:c r="C11" s="3"/>
      <ns0:c r="D11" s="3"/>
      <ns0:c r="E11" s="3" t="inlineStr">
        <ns0:is>
          <ns0:t>应交税金</ns0:t>
        </ns0:is>
      </ns0:c>
      <ns0:c r="F11" s="3"/>
      <ns0:c r="G11" s="3"/>
      <ns0:c r="H11" s="3"/>
      <ns0:c r="I11" s="3"/>
      <ns0:c r="J11" s="3"/>
      <ns0:c r="K11" s="3"/>
      <ns0:c r="L11" s="3"/>
      <ns0:c r="M11" s="3"/>
      <ns0:c r="N11" s="3"/>
      <ns0:c r="O11" s="3"/>
      <ns0:c r="P11" s="2"/>
      <ns0:c r="Q11" s="2"/>
      <ns0:c r="R11" s="2"/>
      <ns0:c r="S11" s="2"/>
      <ns0:c r="T11" s="2"/>
      <ns0:c r="U11" s="2"/>
      <ns0:c r="V11" s="2"/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 t="inlineStr">
        <ns0:is>
          <ns0:t>应收补贴款</ns0:t>
        </ns0:is>
      </ns0:c>
      <ns0:c r="B12" s="2"/>
      <ns0:c r="C12" s="3"/>
      <ns0:c r="D12" s="3"/>
      <ns0:c r="E12" s="3" t="inlineStr">
        <ns0:is>
          <ns0:t>其他应交款</ns0:t>
        </ns0:is>
      </ns0:c>
      <ns0:c r="F12" s="3"/>
      <ns0:c r="G12" s="3"/>
      <ns0:c r="H12" s="3"/>
      <ns0:c r="I12" s="3"/>
      <ns0:c r="J12" s="3"/>
      <ns0:c r="K12" s="3"/>
      <ns0:c r="L12" s="3"/>
      <ns0:c r="M12" s="3"/>
      <ns0:c r="N12" s="3"/>
      <ns0:c r="O12" s="3"/>
      <ns0:c r="P12" s="2"/>
      <ns0:c r="Q12" s="2"/>
      <ns0:c r="R12" s="2"/>
      <ns0:c r="S12" s="2"/>
      <ns0:c r="T12" s="2"/>
      <ns0:c r="U12" s="2"/>
      <ns0:c r="V12" s="2"/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 t="inlineStr">
        <ns0:is>
          <ns0:t>存货</ns0:t>
        </ns0:is>
      </ns0:c>
      <ns0:c r="B13" s="2"/>
      <ns0:c r="C13" s="3"/>
      <ns0:c r="D13" s="3"/>
      <ns0:c r="E13" s="3" t="inlineStr">
        <ns0:is>
          <ns0:t>其他应付款</ns0:t>
        </ns0:is>
      </ns0:c>
      <ns0:c r="F13" s="3"/>
      <ns0:c r="G13" s="3"/>
      <ns0:c r="H13" s="3"/>
      <ns0:c r="I13" s="3"/>
      <ns0:c r="J13" s="3"/>
      <ns0:c r="K13" s="3"/>
      <ns0:c r="L13" s="3"/>
      <ns0:c r="M13" s="3"/>
      <ns0:c r="N13" s="3"/>
      <ns0:c r="O13" s="3"/>
      <ns0:c r="P13" s="2"/>
      <ns0:c r="Q13" s="2"/>
      <ns0:c r="R13" s="2"/>
      <ns0:c r="S13" s="2"/>
      <ns0:c r="T13" s="2"/>
      <ns0:c r="U13" s="2"/>
      <ns0:c r="V13" s="2"/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 t="inlineStr">
        <ns0:is>
          <ns0:t>待摊费用</ns0:t>
        </ns0:is>
      </ns0:c>
      <ns0:c r="B14" s="2"/>
      <ns0:c r="C14" s="3"/>
      <ns0:c r="D14" s="3"/>
      <ns0:c r="E14" s="3" t="inlineStr">
        <ns0:is>
          <ns0:t>预提费用</ns0:t>
        </ns0:is>
      </ns0:c>
      <ns0:c r="F14" s="3"/>
      <ns0:c r="G14" s="3"/>
      <ns0:c r="H14" s="3"/>
      <ns0:c r="I14" s="3"/>
      <ns0:c r="J14" s="3"/>
      <ns0:c r="K14" s="3"/>
      <ns0:c r="L14" s="3"/>
      <ns0:c r="M14" s="3"/>
      <ns0:c r="N14" s="3"/>
      <ns0:c r="O14" s="3"/>
      <ns0:c r="P14" s="2"/>
      <ns0:c r="Q14" s="2"/>
      <ns0:c r="R14" s="2"/>
      <ns0:c r="S14" s="2"/>
      <ns0:c r="T14" s="2"/>
      <ns0:c r="U14" s="2"/>
      <ns0:c r="V14" s="2"/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 t="inlineStr">
        <ns0:is>
          <ns0:t>一年内到期的长期债券投资</ns0:t>
        </ns0:is>
      </ns0:c>
      <ns0:c r="B15" s="2"/>
      <ns0:c r="C15" s="3"/>
      <ns0:c r="D15" s="3"/>
      <ns0:c r="E15" s="3" t="inlineStr">
        <ns0:is>
          <ns0:t>预计负债</ns0:t>
        </ns0:is>
      </ns0:c>
      <ns0:c r="F15" s="3"/>
      <ns0:c r="G15" s="3"/>
      <ns0:c r="H15" s="3"/>
      <ns0:c r="I15" s="3"/>
      <ns0:c r="J15" s="3"/>
      <ns0:c r="K15" s="3"/>
      <ns0:c r="L15" s="3"/>
      <ns0:c r="M15" s="3"/>
      <ns0:c r="N15" s="3"/>
      <ns0:c r="O15" s="3"/>
      <ns0:c r="P15" s="2"/>
      <ns0:c r="Q15" s="2"/>
      <ns0:c r="R15" s="2"/>
      <ns0:c r="S15" s="2"/>
      <ns0:c r="T15" s="2"/>
      <ns0:c r="U15" s="2"/>
      <ns0:c r="V15" s="2"/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 t="inlineStr">
        <ns0:is>
          <ns0:t>其他流动资产</ns0:t>
        </ns0:is>
      </ns0:c>
      <ns0:c r="B16" s="2"/>
      <ns0:c r="C16" s="3"/>
      <ns0:c r="D16" s="3"/>
      <ns0:c r="E16" s="3" t="inlineStr">
        <ns0:is>
          <ns0:t>一年内到期的长期负债</ns0:t>
        </ns0:is>
      </ns0:c>
      <ns0:c r="F16" s="3"/>
      <ns0:c r="G16" s="3"/>
      <ns0:c r="H16" s="3"/>
      <ns0:c r="I16" s="3"/>
      <ns0:c r="J16" s="3"/>
      <ns0:c r="K16" s="3"/>
      <ns0:c r="L16" s="3"/>
      <ns0:c r="M16" s="3"/>
      <ns0:c r="N16" s="3"/>
      <ns0:c r="O16" s="3"/>
      <ns0:c r="P16" s="2"/>
      <ns0:c r="Q16" s="2"/>
      <ns0:c r="R16" s="2"/>
      <ns0:c r="S16" s="2"/>
      <ns0:c r="T16" s="2"/>
      <ns0:c r="U16" s="2"/>
      <ns0:c r="V16" s="2"/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预算基础</ns0:t>
        </ns0:is>
      </ns0:c>
    </ns0:row>
    <ns0:row r="17" ht="20" customHeight="1">
      <ns0:c r="A17" s="2" t="inlineStr">
        <ns0:is>
          <ns0:t>流动资产合计</ns0:t>
        </ns0:is>
      </ns0:c>
      <ns0:c r="B17" s="2"/>
      <ns0:c r="C17" s="3"/>
      <ns0:c r="D17" s="3"/>
      <ns0:c r="E17" s="3" t="inlineStr">
        <ns0:is>
          <ns0:t>其他流动负债</ns0:t>
        </ns0:is>
      </ns0:c>
      <ns0:c r="F17" s="3"/>
      <ns0:c r="G17" s="3"/>
      <ns0:c r="H17" s="3"/>
      <ns0:c r="I17" s="3"/>
      <ns0:c r="J17" s="3"/>
      <ns0:c r="K17" s="3"/>
      <ns0:c r="L17" s="3"/>
      <ns0:c r="M17" s="3"/>
      <ns0:c r="N17" s="3"/>
      <ns0:c r="O17" s="3"/>
      <ns0:c r="P17" s="2"/>
      <ns0:c r="Q17" s="2"/>
      <ns0:c r="R17" s="2"/>
      <ns0:c r="S17" s="2"/>
      <ns0:c r="T17" s="2"/>
      <ns0:c r="U17" s="2"/>
      <ns0:c r="V17" s="2"/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蓝色为预算基础输入参数；示例数值为占位；金额单位：元</ns0:t>
        </ns0:is>
      </ns0:c>
    </ns0:row>
    <ns0:row r="18" ht="20" customHeight="1">
      <ns0:c r="A18" s="2" t="inlineStr">
        <ns0:is>
          <ns0:t>长期资产：</ns0:t>
        </ns0:is>
      </ns0:c>
      <ns0:c r="B18" s="2"/>
      <ns0:c r="C18" s="3"/>
      <ns0:c r="D18" s="3"/>
      <ns0:c r="E18" s="3"/>
      <ns0:c r="F18" s="3"/>
      <ns0:c r="G18" s="3"/>
      <ns0:c r="H18" s="3"/>
      <ns0:c r="I18" s="3"/>
      <ns0:c r="J18" s="3"/>
      <ns0:c r="K18" s="3"/>
      <ns0:c r="L18" s="3"/>
      <ns0:c r="M18" s="3"/>
      <ns0:c r="N18" s="3"/>
      <ns0:c r="O18" s="3"/>
      <ns0:c r="P18" s="2"/>
      <ns0:c r="Q18" s="2"/>
      <ns0:c r="R18" s="2"/>
      <ns0:c r="S18" s="2"/>
      <ns0:c r="T18" s="2"/>
      <ns0:c r="U18" s="2"/>
      <ns0:c r="V18" s="2"/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 t="inlineStr">
        <ns0:is>
          <ns0:t>长期股权投资</ns0:t>
        </ns0:is>
      </ns0:c>
      <ns0:c r="B19" s="2"/>
      <ns0:c r="C19" s="3"/>
      <ns0:c r="D19" s="3"/>
      <ns0:c r="E19" s="3" t="inlineStr">
        <ns0:is>
          <ns0:t>流动负债合计</ns0:t>
        </ns0:is>
      </ns0:c>
      <ns0:c r="F19" s="3"/>
      <ns0:c r="G19" s="3"/>
      <ns0:c r="H19" s="3"/>
      <ns0:c r="I19" s="3"/>
      <ns0:c r="J19" s="3"/>
      <ns0:c r="K19" s="3"/>
      <ns0:c r="L19" s="3"/>
      <ns0:c r="M19" s="3"/>
      <ns0:c r="N19" s="3"/>
      <ns0:c r="O19" s="3"/>
      <ns0:c r="P19" s="2"/>
      <ns0:c r="Q19" s="2"/>
      <ns0:c r="R19" s="2"/>
      <ns0:c r="S19" s="2"/>
      <ns0:c r="T19" s="2"/>
      <ns0:c r="U19" s="2"/>
      <ns0:c r="V19" s="2"/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 t="inlineStr">
        <ns0:is>
          <ns0:t>长期债券投资</ns0:t>
        </ns0:is>
      </ns0:c>
      <ns0:c r="B20" s="2"/>
      <ns0:c r="C20" s="3"/>
      <ns0:c r="D20" s="3"/>
      <ns0:c r="E20" s="3" t="inlineStr">
        <ns0:is>
          <ns0:t>长期负债：</ns0:t>
        </ns0:is>
      </ns0:c>
      <ns0:c r="F20" s="3"/>
      <ns0:c r="G20" s="3"/>
      <ns0:c r="H20" s="3"/>
      <ns0:c r="I20" s="3"/>
      <ns0:c r="J20" s="3"/>
      <ns0:c r="K20" s="3"/>
      <ns0:c r="L20" s="3"/>
      <ns0:c r="M20" s="3"/>
      <ns0:c r="N20" s="3"/>
      <ns0:c r="O20" s="3"/>
      <ns0:c r="P20" s="2"/>
      <ns0:c r="Q20" s="2"/>
      <ns0:c r="R20" s="2"/>
      <ns0:c r="S20" s="2"/>
      <ns0:c r="T20" s="2"/>
      <ns0:c r="U20" s="2"/>
      <ns0:c r="V20" s="2"/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 t="inlineStr">
        <ns0:is>
          <ns0:t>长期投资合计</ns0:t>
        </ns0:is>
      </ns0:c>
      <ns0:c r="B21" s="2"/>
      <ns0:c r="C21" s="3"/>
      <ns0:c r="D21" s="3"/>
      <ns0:c r="E21" s="3" t="inlineStr">
        <ns0:is>
          <ns0:t>长期借款</ns0:t>
        </ns0:is>
      </ns0:c>
      <ns0:c r="F21" s="3"/>
      <ns0:c r="G21" s="3"/>
      <ns0:c r="H21" s="3"/>
      <ns0:c r="I21" s="3"/>
      <ns0:c r="J21" s="3"/>
      <ns0:c r="K21" s="3"/>
      <ns0:c r="L21" s="3"/>
      <ns0:c r="M21" s="3"/>
      <ns0:c r="N21" s="3"/>
      <ns0:c r="O21" s="3"/>
      <ns0:c r="P21" s="2"/>
      <ns0:c r="Q21" s="2"/>
      <ns0:c r="R21" s="2"/>
      <ns0:c r="S21" s="2"/>
      <ns0:c r="T21" s="2"/>
      <ns0:c r="U21" s="2"/>
      <ns0:c r="V21" s="2"/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 t="inlineStr">
        <ns0:is>
          <ns0:t>固定资产：</ns0:t>
        </ns0:is>
      </ns0:c>
      <ns0:c r="B22" s="2"/>
      <ns0:c r="C22" s="3"/>
      <ns0:c r="D22" s="3"/>
      <ns0:c r="E22" s="3" t="inlineStr">
        <ns0:is>
          <ns0:t>应付债券</ns0:t>
        </ns0:is>
      </ns0:c>
      <ns0:c r="F22" s="3"/>
      <ns0:c r="G22" s="3"/>
      <ns0:c r="H22" s="3"/>
      <ns0:c r="I22" s="3"/>
      <ns0:c r="J22" s="3"/>
      <ns0:c r="K22" s="3"/>
      <ns0:c r="L22" s="3"/>
      <ns0:c r="M22" s="3"/>
      <ns0:c r="N22" s="3"/>
      <ns0:c r="O22" s="3"/>
      <ns0:c r="P22" s="2"/>
      <ns0:c r="Q22" s="2"/>
      <ns0:c r="R22" s="2"/>
      <ns0:c r="S22" s="2"/>
      <ns0:c r="T22" s="2"/>
      <ns0:c r="U22" s="2"/>
      <ns0:c r="V22" s="2"/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 t="inlineStr">
        <ns0:is>
          <ns0:t>固定资产原价</ns0:t>
        </ns0:is>
      </ns0:c>
      <ns0:c r="B23" s="2"/>
      <ns0:c r="C23" s="3"/>
      <ns0:c r="D23" s="3"/>
      <ns0:c r="E23" s="3" t="inlineStr">
        <ns0:is>
          <ns0:t>长期应付款</ns0:t>
        </ns0:is>
      </ns0:c>
      <ns0:c r="F23" s="3"/>
      <ns0:c r="G23" s="3"/>
      <ns0:c r="H23" s="3"/>
      <ns0:c r="I23" s="3"/>
      <ns0:c r="J23" s="3"/>
      <ns0:c r="K23" s="3"/>
      <ns0:c r="L23" s="3"/>
      <ns0:c r="M23" s="3"/>
      <ns0:c r="N23" s="3"/>
      <ns0:c r="O23" s="3"/>
      <ns0:c r="P23" s="2"/>
      <ns0:c r="Q23" s="2"/>
      <ns0:c r="R23" s="2"/>
      <ns0:c r="S23" s="2"/>
      <ns0:c r="T23" s="2"/>
      <ns0:c r="U23" s="2"/>
      <ns0:c r="V23" s="2"/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 t="inlineStr">
        <ns0:is>
          <ns0:t>减：累计折旧</ns0:t>
        </ns0:is>
      </ns0:c>
      <ns0:c r="B24" s="2"/>
      <ns0:c r="C24" s="3"/>
      <ns0:c r="D24" s="3"/>
      <ns0:c r="E24" s="3" t="inlineStr">
        <ns0:is>
          <ns0:t>专项应付款</ns0:t>
        </ns0:is>
      </ns0:c>
      <ns0:c r="F24" s="3"/>
      <ns0:c r="G24" s="3"/>
      <ns0:c r="H24" s="3"/>
      <ns0:c r="I24" s="3"/>
      <ns0:c r="J24" s="3"/>
      <ns0:c r="K24" s="3"/>
      <ns0:c r="L24" s="3"/>
      <ns0:c r="M24" s="3"/>
      <ns0:c r="N24" s="3"/>
      <ns0:c r="O24" s="3"/>
      <ns0:c r="P24" s="2"/>
      <ns0:c r="Q24" s="2"/>
      <ns0:c r="R24" s="2"/>
      <ns0:c r="S24" s="2"/>
      <ns0:c r="T24" s="2"/>
      <ns0:c r="U24" s="2"/>
      <ns0:c r="V24" s="2"/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 t="inlineStr">
        <ns0:is>
          <ns0:t>固定资产净值</ns0:t>
        </ns0:is>
      </ns0:c>
      <ns0:c r="B25" s="2"/>
      <ns0:c r="C25" s="3"/>
      <ns0:c r="D25" s="3"/>
      <ns0:c r="E25" s="3" t="inlineStr">
        <ns0:is>
          <ns0:t>其他长期负债</ns0:t>
        </ns0:is>
      </ns0:c>
      <ns0:c r="F25" s="3"/>
      <ns0:c r="G25" s="3"/>
      <ns0:c r="H25" s="3"/>
      <ns0:c r="I25" s="3"/>
      <ns0:c r="J25" s="3"/>
      <ns0:c r="K25" s="3"/>
      <ns0:c r="L25" s="3"/>
      <ns0:c r="M25" s="3"/>
      <ns0:c r="N25" s="3"/>
      <ns0:c r="O25" s="3"/>
      <ns0:c r="P25" s="2"/>
      <ns0:c r="Q25" s="2"/>
      <ns0:c r="R25" s="2"/>
      <ns0:c r="S25" s="2"/>
      <ns0:c r="T25" s="2"/>
      <ns0:c r="U25" s="2"/>
      <ns0:c r="V25" s="2"/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 t="inlineStr">
        <ns0:is>
          <ns0:t>减：固定资产减值准备</ns0:t>
        </ns0:is>
      </ns0:c>
      <ns0:c r="B26" s="2"/>
      <ns0:c r="C26" s="3"/>
      <ns0:c r="D26" s="3"/>
      <ns0:c r="E26" s="3" t="inlineStr">
        <ns0:is>
          <ns0:t>长期负债合计</ns0:t>
        </ns0:is>
      </ns0:c>
      <ns0:c r="F26" s="3"/>
      <ns0:c r="G26" s="3"/>
      <ns0:c r="H26" s="3"/>
      <ns0:c r="I26" s="3"/>
      <ns0:c r="J26" s="3"/>
      <ns0:c r="K26" s="3"/>
      <ns0:c r="L26" s="3"/>
      <ns0:c r="M26" s="3"/>
      <ns0:c r="N26" s="3"/>
      <ns0:c r="O26" s="3"/>
      <ns0:c r="P26" s="2"/>
      <ns0:c r="Q26" s="2"/>
      <ns0:c r="R26" s="2"/>
      <ns0:c r="S26" s="2"/>
      <ns0:c r="T26" s="2"/>
      <ns0:c r="U26" s="2"/>
      <ns0:c r="V26" s="2"/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 t="inlineStr">
        <ns0:is>
          <ns0:t>固定资产净额</ns0:t>
        </ns0:is>
      </ns0:c>
      <ns0:c r="B27" s="2"/>
      <ns0:c r="C27" s="3"/>
      <ns0:c r="D27" s="3"/>
      <ns0:c r="E27" s="3" t="inlineStr">
        <ns0:is>
          <ns0:t>递延税项：</ns0:t>
        </ns0:is>
      </ns0:c>
      <ns0:c r="F27" s="3"/>
      <ns0:c r="G27" s="3"/>
      <ns0:c r="H27" s="3"/>
      <ns0:c r="I27" s="3"/>
      <ns0:c r="J27" s="3"/>
      <ns0:c r="K27" s="3"/>
      <ns0:c r="L27" s="3"/>
      <ns0:c r="M27" s="3"/>
      <ns0:c r="N27" s="3"/>
      <ns0:c r="O27" s="3"/>
      <ns0:c r="P27" s="2"/>
      <ns0:c r="Q27" s="2"/>
      <ns0:c r="R27" s="2"/>
      <ns0:c r="S27" s="2"/>
      <ns0:c r="T27" s="2"/>
      <ns0:c r="U27" s="2"/>
      <ns0:c r="V27" s="2"/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 t="inlineStr">
        <ns0:is>
          <ns0:t>工程物资</ns0:t>
        </ns0:is>
      </ns0:c>
      <ns0:c r="B28" s="2"/>
      <ns0:c r="C28" s="3"/>
      <ns0:c r="D28" s="3"/>
      <ns0:c r="E28" s="3" t="inlineStr">
        <ns0:is>
          <ns0:t>递延税款贷项</ns0:t>
        </ns0:is>
      </ns0:c>
      <ns0:c r="F28" s="3"/>
      <ns0:c r="G28" s="3"/>
      <ns0:c r="H28" s="3"/>
      <ns0:c r="I28" s="3"/>
      <ns0:c r="J28" s="3"/>
      <ns0:c r="K28" s="3"/>
      <ns0:c r="L28" s="3"/>
      <ns0:c r="M28" s="3"/>
      <ns0:c r="N28" s="3"/>
      <ns0:c r="O28" s="3"/>
      <ns0:c r="P28" s="2"/>
      <ns0:c r="Q28" s="2"/>
      <ns0:c r="R28" s="2"/>
      <ns0:c r="S28" s="2"/>
      <ns0:c r="T28" s="2"/>
      <ns0:c r="U28" s="2"/>
      <ns0:c r="V28" s="2"/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 t="inlineStr">
        <ns0:is>
          <ns0:t>在建工程</ns0:t>
        </ns0:is>
      </ns0:c>
      <ns0:c r="B29" s="2"/>
      <ns0:c r="C29" s="3"/>
      <ns0:c r="D29" s="3"/>
      <ns0:c r="E29" s="3" t="inlineStr">
        <ns0:is>
          <ns0:t>负债合计</ns0:t>
        </ns0:is>
      </ns0:c>
      <ns0:c r="F29" s="3"/>
      <ns0:c r="G29" s="3">
        <ns0:f>N64</ns0:f>
        <ns0:v>0</ns0:v>
      </ns0:c>
      <ns0:c r="H29" s="3"/>
      <ns0:c r="I29" s="3"/>
      <ns0:c r="J29" s="3"/>
      <ns0:c r="K29" s="3"/>
      <ns0:c r="L29" s="3"/>
      <ns0:c r="M29" s="3"/>
      <ns0:c r="N29" s="3"/>
      <ns0:c r="O29" s="3"/>
      <ns0:c r="P29" s="2"/>
      <ns0:c r="Q29" s="2"/>
      <ns0:c r="R29" s="2"/>
      <ns0:c r="S29" s="2"/>
      <ns0:c r="T29" s="2"/>
      <ns0:c r="U29" s="2"/>
      <ns0:c r="V29" s="2"/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 t="inlineStr">
        <ns0:is>
          <ns0:t>固定资产清理</ns0:t>
        </ns0:is>
      </ns0:c>
      <ns0:c r="B30" s="5"/>
      <ns0:c r="C30" s="6"/>
      <ns0:c r="D30" s="6"/>
      <ns0:c r="E30" s="6"/>
      <ns0:c r="F30" s="6"/>
      <ns0:c r="G30" s="6"/>
      <ns0:c r="H30" s="6"/>
      <ns0:c r="I30" s="6"/>
      <ns0:c r="J30" s="6"/>
      <ns0:c r="K30" s="6"/>
      <ns0:c r="L30" s="6"/>
      <ns0:c r="M30" s="6"/>
      <ns0:c r="N30" s="6"/>
      <ns0:c r="O30" s="6"/>
      <ns0:c r="P30" s="2"/>
      <ns0:c r="Q30" s="2"/>
      <ns0:c r="R30" s="2"/>
      <ns0:c r="S30" s="2"/>
      <ns0:c r="T30" s="2"/>
      <ns0:c r="U30" s="2"/>
      <ns0:c r="V30" s="2"/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 t="inlineStr">
        <ns0:is>
          <ns0:t>固定资产合计</ns0:t>
        </ns0:is>
      </ns0:c>
      <ns0:c r="B31" s="2"/>
      <ns0:c r="C31" s="3"/>
      <ns0:c r="D31" s="3"/>
      <ns0:c r="E31" s="3" t="inlineStr">
        <ns0:is>
          <ns0:t>所有者权益(或股东权益)：</ns0:t>
        </ns0:is>
      </ns0:c>
      <ns0:c r="F31" s="3"/>
      <ns0:c r="G31" s="3"/>
      <ns0:c r="H31" s="3"/>
      <ns0:c r="I31" s="3"/>
      <ns0:c r="J31" s="3"/>
      <ns0:c r="K31" s="3"/>
      <ns0:c r="L31" s="3"/>
      <ns0:c r="M31" s="3"/>
      <ns0:c r="N31" s="3"/>
      <ns0:c r="O31" s="3"/>
      <ns0:c r="P31" s="2"/>
      <ns0:c r="Q31" s="2"/>
      <ns0:c r="R31" s="2"/>
      <ns0:c r="S31" s="2"/>
      <ns0:c r="T31" s="2"/>
      <ns0:c r="U31" s="2"/>
      <ns0:c r="V31" s="2"/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 t="inlineStr">
        <ns0:is>
          <ns0:t>无形资产及其他资产：</ns0:t>
        </ns0:is>
      </ns0:c>
      <ns0:c r="B32" s="2"/>
      <ns0:c r="C32" s="3"/>
      <ns0:c r="D32" s="3"/>
      <ns0:c r="E32" s="3" t="inlineStr">
        <ns0:is>
          <ns0:t>实收资本(或股本)</ns0:t>
        </ns0:is>
      </ns0:c>
      <ns0:c r="F32" s="3"/>
      <ns0:c r="G32" s="3">
        <ns0:f>N65</ns0:f>
        <ns0:v>255973.08</ns0:v>
      </ns0:c>
      <ns0:c r="H32" s="3"/>
      <ns0:c r="I32" s="3"/>
      <ns0:c r="J32" s="3"/>
      <ns0:c r="K32" s="3"/>
      <ns0:c r="L32" s="3"/>
      <ns0:c r="M32" s="3"/>
      <ns0:c r="N32" s="3"/>
      <ns0:c r="O32" s="3"/>
      <ns0:c r="P32" s="2"/>
      <ns0:c r="Q32" s="2"/>
      <ns0:c r="R32" s="2"/>
      <ns0:c r="S32" s="2"/>
      <ns0:c r="T32" s="2"/>
      <ns0:c r="U32" s="2"/>
      <ns0:c r="V32" s="2"/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 t="inlineStr">
        <ns0:is>
          <ns0:t>无形资产</ns0:t>
        </ns0:is>
      </ns0:c>
      <ns0:c r="B33" s="2"/>
      <ns0:c r="C33" s="3"/>
      <ns0:c r="D33" s="3"/>
      <ns0:c r="E33" s="3" t="inlineStr">
        <ns0:is>
          <ns0:t>减：已归还投资</ns0:t>
        </ns0:is>
      </ns0:c>
      <ns0:c r="F33" s="3"/>
      <ns0:c r="G33" s="3"/>
      <ns0:c r="H33" s="3"/>
      <ns0:c r="I33" s="3"/>
      <ns0:c r="J33" s="3"/>
      <ns0:c r="K33" s="3"/>
      <ns0:c r="L33" s="3"/>
      <ns0:c r="M33" s="3"/>
      <ns0:c r="N33" s="3"/>
      <ns0:c r="O33" s="3"/>
      <ns0:c r="P33" s="2"/>
      <ns0:c r="Q33" s="2"/>
      <ns0:c r="R33" s="2"/>
      <ns0:c r="S33" s="2"/>
      <ns0:c r="T33" s="2"/>
      <ns0:c r="U33" s="2"/>
      <ns0:c r="V33" s="2"/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 t="inlineStr">
        <ns0:is>
          <ns0:t>长期待摊费用</ns0:t>
        </ns0:is>
      </ns0:c>
      <ns0:c r="B34" s="2"/>
      <ns0:c r="C34" s="3">
        <ns0:f>N62</ns0:f>
        <ns0:v>80498.58</ns0:v>
      </ns0:c>
      <ns0:c r="D34" s="3"/>
      <ns0:c r="E34" s="3" t="inlineStr">
        <ns0:is>
          <ns0:t>实收资本(或股本)净额</ns0:t>
        </ns0:is>
      </ns0:c>
      <ns0:c r="F34" s="3"/>
      <ns0:c r="G34" s="3">
        <ns0:f>N65</ns0:f>
        <ns0:v>255973.08</ns0:v>
      </ns0:c>
      <ns0:c r="H34" s="3"/>
      <ns0:c r="I34" s="3"/>
      <ns0:c r="J34" s="3"/>
      <ns0:c r="K34" s="3"/>
      <ns0:c r="L34" s="3"/>
      <ns0:c r="M34" s="3"/>
      <ns0:c r="N34" s="3"/>
      <ns0:c r="O34" s="3"/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 t="inlineStr">
        <ns0:is>
          <ns0:t>其他长期资产</ns0:t>
        </ns0:is>
      </ns0:c>
      <ns0:c r="B35" s="2"/>
      <ns0:c r="C35" s="3"/>
      <ns0:c r="D35" s="3"/>
      <ns0:c r="E35" s="3" t="inlineStr">
        <ns0:is>
          <ns0:t>资本公积</ns0:t>
        </ns0:is>
      </ns0:c>
      <ns0:c r="F35" s="3"/>
      <ns0:c r="G35" s="3"/>
      <ns0:c r="H35" s="3"/>
      <ns0:c r="I35" s="3"/>
      <ns0:c r="J35" s="3"/>
      <ns0:c r="K35" s="3"/>
      <ns0:c r="L35" s="3"/>
      <ns0:c r="M35" s="3"/>
      <ns0:c r="N35" s="3"/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 t="inlineStr">
        <ns0:is>
          <ns0:t>无形资产及其他资产合计</ns0:t>
        </ns0:is>
      </ns0:c>
      <ns0:c r="B36" s="2"/>
      <ns0:c r="C36" s="3"/>
      <ns0:c r="D36" s="3"/>
      <ns0:c r="E36" s="3" t="inlineStr">
        <ns0:is>
          <ns0:t>盈余公积</ns0:t>
        </ns0:is>
      </ns0:c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/>
      <ns0:c r="C37" s="3"/>
      <ns0:c r="D37" s="3"/>
      <ns0:c r="E37" s="3" t="inlineStr">
        <ns0:is>
          <ns0:t>其中：法定公益金</ns0:t>
        </ns0:is>
      </ns0:c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 t="inlineStr">
        <ns0:is>
          <ns0:t>递延税款：</ns0:t>
        </ns0:is>
      </ns0:c>
      <ns0:c r="B38" s="2"/>
      <ns0:c r="C38" s="3"/>
      <ns0:c r="D38" s="3"/>
      <ns0:c r="E38" s="3" t="inlineStr">
        <ns0:is>
          <ns0:t>未分配利润</ns0:t>
        </ns0:is>
      </ns0:c>
      <ns0:c r="F38" s="3"/>
      <ns0:c r="G38" s="3">
        <ns0:f>N66</ns0:f>
        <ns0:v>2475868.94</ns0:v>
      </ns0:c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 t="inlineStr">
        <ns0:is>
          <ns0:t>递延税款借项</ns0:t>
        </ns0:is>
      </ns0:c>
      <ns0:c r="B39" s="2"/>
      <ns0:c r="C39" s="3"/>
      <ns0:c r="D39" s="3"/>
      <ns0:c r="E39" s="3" t="inlineStr">
        <ns0:is>
          <ns0:t>所有者权益(或股东权益)合计</ns0:t>
        </ns0:is>
      </ns0:c>
      <ns0:c r="F39" s="3"/>
      <ns0:c r="G39" s="3">
        <ns0:f>N67</ns0:f>
        <ns0:v>2731842.02</ns0:v>
      </ns0:c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 t="inlineStr">
        <ns0:is>
          <ns0:t>资产总计</ns0:t>
        </ns0:is>
      </ns0:c>
      <ns0:c r="B40" s="2"/>
      <ns0:c r="C40" s="3">
        <ns0:f>N63</ns0:f>
        <ns0:v>2731842.02</ns0:v>
      </ns0:c>
      <ns0:c r="D40" s="3"/>
      <ns0:c r="E40" s="3" t="inlineStr">
        <ns0:is>
          <ns0:t>负债和所有者权益(或股东权益)总计</ns0:t>
        </ns0:is>
      </ns0:c>
      <ns0:c r="F40" s="3"/>
      <ns0:c r="G40" s="3">
        <ns0:f>N68</ns0:f>
        <ns0:v>2731842.02</ns0:v>
      </ns0:c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 t="inlineStr">
        <ns0:is>
          <ns0:t>预算基础月度勾稽</ns0:t>
        </ns0:is>
      </ns0:c>
      <ns0:c r="C60" s="6" t="inlineStr">
        <ns0:is>
          <ns0:t>2027-01</ns0:t>
        </ns0:is>
      </ns0:c>
      <ns0:c r="D60" s="6" t="inlineStr">
        <ns0:is>
          <ns0:t>2027-02</ns0:t>
        </ns0:is>
      </ns0:c>
      <ns0:c r="E60" s="6" t="inlineStr">
        <ns0:is>
          <ns0:t>2027-03</ns0:t>
        </ns0:is>
      </ns0:c>
      <ns0:c r="F60" s="6" t="inlineStr">
        <ns0:is>
          <ns0:t>2027-04</ns0:t>
        </ns0:is>
      </ns0:c>
      <ns0:c r="G60" s="6" t="inlineStr">
        <ns0:is>
          <ns0:t>2027-05</ns0:t>
        </ns0:is>
      </ns0:c>
      <ns0:c r="H60" s="6" t="inlineStr">
        <ns0:is>
          <ns0:t>2027-06</ns0:t>
        </ns0:is>
      </ns0:c>
      <ns0:c r="I60" s="6" t="inlineStr">
        <ns0:is>
          <ns0:t>2027-07</ns0:t>
        </ns0:is>
      </ns0:c>
      <ns0:c r="J60" s="6" t="inlineStr">
        <ns0:is>
          <ns0:t>2027-08</ns0:t>
        </ns0:is>
      </ns0:c>
      <ns0:c r="K60" s="6" t="inlineStr">
        <ns0:is>
          <ns0:t>2027-09</ns0:t>
        </ns0:is>
      </ns0:c>
      <ns0:c r="L60" s="6" t="inlineStr">
        <ns0:is>
          <ns0:t>2027-10</ns0:t>
        </ns0:is>
      </ns0:c>
      <ns0:c r="M60" s="6" t="inlineStr">
        <ns0:is>
          <ns0:t>2027-11</ns0:t>
        </ns0:is>
      </ns0:c>
      <ns0:c r="N60" s="6" t="inlineStr">
        <ns0:is>
          <ns0:t>2027-12</ns0:t>
        </ns0:is>
      </ns0:c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 t="inlineStr">
        <ns0:is>
          <ns0:t>货币资金</ns0:t>
        </ns0:is>
      </ns0:c>
      <ns0:c r="C61" s="3">
        <ns0:f>'现金流量表'!C68</ns0:f>
        <ns0:v>384650.02</ns0:v>
      </ns0:c>
      <ns0:c r="D61" s="3">
        <ns0:f>'现金流量表'!D68</ns0:f>
        <ns0:v>546179.49</ns0:v>
      </ns0:c>
      <ns0:c r="E61" s="3">
        <ns0:f>'现金流量表'!E68</ns0:f>
        <ns0:v>796533.93</ns0:v>
      </ns0:c>
      <ns0:c r="F61" s="3">
        <ns0:f>'现金流量表'!F68</ns0:f>
        <ns0:v>942253.90</ns0:v>
      </ns0:c>
      <ns0:c r="G61" s="3">
        <ns0:f>'现金流量表'!G68</ns0:f>
        <ns0:v>1268385.32</ns0:v>
      </ns0:c>
      <ns0:c r="H61" s="3">
        <ns0:f>'现金流量表'!H68</ns0:f>
        <ns0:v>1465461.68</ns0:v>
      </ns0:c>
      <ns0:c r="I61" s="3">
        <ns0:f>'现金流量表'!I68</ns0:f>
        <ns0:v>1646779.40</ns0:v>
      </ns0:c>
      <ns0:c r="J61" s="3">
        <ns0:f>'现金流量表'!J68</ns0:f>
        <ns0:v>1928984.93</ns0:v>
      </ns0:c>
      <ns0:c r="K61" s="3">
        <ns0:f>'现金流量表'!K68</ns0:f>
        <ns0:v>2109113.98</ns0:v>
      </ns0:c>
      <ns0:c r="L61" s="3">
        <ns0:f>'现金流量表'!L68</ns0:f>
        <ns0:v>2316273.61</ns0:v>
      </ns0:c>
      <ns0:c r="M61" s="3">
        <ns0:f>'现金流量表'!M68</ns0:f>
        <ns0:v>2459200.90</ns0:v>
      </ns0:c>
      <ns0:c r="N61" s="3">
        <ns0:f>'现金流量表'!N68</ns0:f>
        <ns0:v>2651343.44</ns0:v>
      </ns0:c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 t="inlineStr">
        <ns0:is>
          <ns0:t>未摊销资产</ns0:t>
        </ns0:is>
      </ns0:c>
      <ns0:c r="C62" s="3">
        <ns0:f>'摊销明细'!$C$31-SUM('现金流量表'!$C62:C62)</ns0:f>
        <ns0:v>100176.15</ns0:v>
      </ns0:c>
      <ns0:c r="D62" s="3">
        <ns0:f>'摊销明细'!$C$31-SUM('现金流量表'!$C62:D62)</ns0:f>
        <ns0:v>98387.28</ns0:v>
      </ns0:c>
      <ns0:c r="E62" s="3">
        <ns0:f>'摊销明细'!$C$31-SUM('现金流量表'!$C62:E62)</ns0:f>
        <ns0:v>96598.41</ns0:v>
      </ns0:c>
      <ns0:c r="F62" s="3">
        <ns0:f>'摊销明细'!$C$31-SUM('现金流量表'!$C62:F62)</ns0:f>
        <ns0:v>94809.54</ns0:v>
      </ns0:c>
      <ns0:c r="G62" s="3">
        <ns0:f>'摊销明细'!$C$31-SUM('现金流量表'!$C62:G62)</ns0:f>
        <ns0:v>93020.67</ns0:v>
      </ns0:c>
      <ns0:c r="H62" s="3">
        <ns0:f>'摊销明细'!$C$31-SUM('现金流量表'!$C62:H62)</ns0:f>
        <ns0:v>91231.80</ns0:v>
      </ns0:c>
      <ns0:c r="I62" s="3">
        <ns0:f>'摊销明细'!$C$31-SUM('现金流量表'!$C62:I62)</ns0:f>
        <ns0:v>89442.93</ns0:v>
      </ns0:c>
      <ns0:c r="J62" s="3">
        <ns0:f>'摊销明细'!$C$31-SUM('现金流量表'!$C62:J62)</ns0:f>
        <ns0:v>87654.06</ns0:v>
      </ns0:c>
      <ns0:c r="K62" s="3">
        <ns0:f>'摊销明细'!$C$31-SUM('现金流量表'!$C62:K62)</ns0:f>
        <ns0:v>85865.19</ns0:v>
      </ns0:c>
      <ns0:c r="L62" s="3">
        <ns0:f>'摊销明细'!$C$31-SUM('现金流量表'!$C62:L62)</ns0:f>
        <ns0:v>84076.32</ns0:v>
      </ns0:c>
      <ns0:c r="M62" s="3">
        <ns0:f>'摊销明细'!$C$31-SUM('现金流量表'!$C62:M62)</ns0:f>
        <ns0:v>82287.45</ns0:v>
      </ns0:c>
      <ns0:c r="N62" s="3">
        <ns0:f>'摊销明细'!$C$31-SUM('现金流量表'!$C62:N62)</ns0:f>
        <ns0:v>80498.58</ns0:v>
      </ns0:c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 t="inlineStr">
        <ns0:is>
          <ns0:t>资产总额</ns0:t>
        </ns0:is>
      </ns0:c>
      <ns0:c r="C63" s="3">
        <ns0:f>SUM(C61:C62)</ns0:f>
        <ns0:v>484826.17</ns0:v>
      </ns0:c>
      <ns0:c r="D63" s="3">
        <ns0:f>SUM(D61:D62)</ns0:f>
        <ns0:v>644566.77</ns0:v>
      </ns0:c>
      <ns0:c r="E63" s="3">
        <ns0:f>SUM(E61:E62)</ns0:f>
        <ns0:v>893132.34</ns0:v>
      </ns0:c>
      <ns0:c r="F63" s="3">
        <ns0:f>SUM(F61:F62)</ns0:f>
        <ns0:v>1037063.44</ns0:v>
      </ns0:c>
      <ns0:c r="G63" s="3">
        <ns0:f>SUM(G61:G62)</ns0:f>
        <ns0:v>1361405.99</ns0:v>
      </ns0:c>
      <ns0:c r="H63" s="3">
        <ns0:f>SUM(H61:H62)</ns0:f>
        <ns0:v>1556693.48</ns0:v>
      </ns0:c>
      <ns0:c r="I63" s="3">
        <ns0:f>SUM(I61:I62)</ns0:f>
        <ns0:v>1736222.33</ns0:v>
      </ns0:c>
      <ns0:c r="J63" s="3">
        <ns0:f>SUM(J61:J62)</ns0:f>
        <ns0:v>2016638.99</ns0:v>
      </ns0:c>
      <ns0:c r="K63" s="3">
        <ns0:f>SUM(K61:K62)</ns0:f>
        <ns0:v>2194979.17</ns0:v>
      </ns0:c>
      <ns0:c r="L63" s="3">
        <ns0:f>SUM(L61:L62)</ns0:f>
        <ns0:v>2400349.93</ns0:v>
      </ns0:c>
      <ns0:c r="M63" s="3">
        <ns0:f>SUM(M61:M62)</ns0:f>
        <ns0:v>2541488.35</ns0:v>
      </ns0:c>
      <ns0:c r="N63" s="3">
        <ns0:f>SUM(N61:N62)</ns0:f>
        <ns0:v>2731842.02</ns0:v>
      </ns0:c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 t="inlineStr">
        <ns0:is>
          <ns0:t>负债总额</ns0:t>
        </ns0:is>
      </ns0:c>
      <ns0:c r="C64" s="3">
        <ns0:f>0</ns0:f>
        <ns0:v>0</ns0:v>
      </ns0:c>
      <ns0:c r="D64" s="3">
        <ns0:f>0</ns0:f>
        <ns0:v>0</ns0:v>
      </ns0:c>
      <ns0:c r="E64" s="3">
        <ns0:f>0</ns0:f>
        <ns0:v>0</ns0:v>
      </ns0:c>
      <ns0:c r="F64" s="3">
        <ns0:f>0</ns0:f>
        <ns0:v>0</ns0:v>
      </ns0:c>
      <ns0:c r="G64" s="3">
        <ns0:f>0</ns0:f>
        <ns0:v>0</ns0:v>
      </ns0:c>
      <ns0:c r="H64" s="3">
        <ns0:f>0</ns0:f>
        <ns0:v>0</ns0:v>
      </ns0:c>
      <ns0:c r="I64" s="3">
        <ns0:f>0</ns0:f>
        <ns0:v>0</ns0:v>
      </ns0:c>
      <ns0:c r="J64" s="3">
        <ns0:f>0</ns0:f>
        <ns0:v>0</ns0:v>
      </ns0:c>
      <ns0:c r="K64" s="3">
        <ns0:f>0</ns0:f>
        <ns0:v>0</ns0:v>
      </ns0:c>
      <ns0:c r="L64" s="3">
        <ns0:f>0</ns0:f>
        <ns0:v>0</ns0:v>
      </ns0:c>
      <ns0:c r="M64" s="3">
        <ns0:f>0</ns0:f>
        <ns0:v>0</ns0:v>
      </ns0:c>
      <ns0:c r="N64" s="3">
        <ns0:f>0</ns0:f>
        <ns0:v>0</ns0:v>
      </ns0:c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 t="inlineStr">
        <ns0:is>
          <ns0:t>实收资本</ns0:t>
        </ns0:is>
      </ns0:c>
      <ns0:c r="C65" s="3">
        <ns0:f>$C$200+'摊销明细'!$C$31</ns0:f>
        <ns0:v>255973.08</ns0:v>
      </ns0:c>
      <ns0:c r="D65" s="3">
        <ns0:f>$C$200+'摊销明细'!$C$31</ns0:f>
        <ns0:v>255973.08</ns0:v>
      </ns0:c>
      <ns0:c r="E65" s="3">
        <ns0:f>$C$200+'摊销明细'!$C$31</ns0:f>
        <ns0:v>255973.08</ns0:v>
      </ns0:c>
      <ns0:c r="F65" s="3">
        <ns0:f>$C$200+'摊销明细'!$C$31</ns0:f>
        <ns0:v>255973.08</ns0:v>
      </ns0:c>
      <ns0:c r="G65" s="3">
        <ns0:f>$C$200+'摊销明细'!$C$31</ns0:f>
        <ns0:v>255973.08</ns0:v>
      </ns0:c>
      <ns0:c r="H65" s="3">
        <ns0:f>$C$200+'摊销明细'!$C$31</ns0:f>
        <ns0:v>255973.08</ns0:v>
      </ns0:c>
      <ns0:c r="I65" s="3">
        <ns0:f>$C$200+'摊销明细'!$C$31</ns0:f>
        <ns0:v>255973.08</ns0:v>
      </ns0:c>
      <ns0:c r="J65" s="3">
        <ns0:f>$C$200+'摊销明细'!$C$31</ns0:f>
        <ns0:v>255973.08</ns0:v>
      </ns0:c>
      <ns0:c r="K65" s="3">
        <ns0:f>$C$200+'摊销明细'!$C$31</ns0:f>
        <ns0:v>255973.08</ns0:v>
      </ns0:c>
      <ns0:c r="L65" s="3">
        <ns0:f>$C$200+'摊销明细'!$C$31</ns0:f>
        <ns0:v>255973.08</ns0:v>
      </ns0:c>
      <ns0:c r="M65" s="3">
        <ns0:f>$C$200+'摊销明细'!$C$31</ns0:f>
        <ns0:v>255973.08</ns0:v>
      </ns0:c>
      <ns0:c r="N65" s="3">
        <ns0:f>$C$200+'摊销明细'!$C$31</ns0:f>
        <ns0:v>255973.08</ns0:v>
      </ns0:c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 t="inlineStr">
        <ns0:is>
          <ns0:t>累计未分配利润</ns0:t>
        </ns0:is>
      </ns0:c>
      <ns0:c r="C66" s="3">
        <ns0:f>SUM('利润表'!$C69:C69)</ns0:f>
        <ns0:v>228853.09</ns0:v>
      </ns0:c>
      <ns0:c r="D66" s="3">
        <ns0:f>SUM('利润表'!$C69:D69)</ns0:f>
        <ns0:v>388593.69</ns0:v>
      </ns0:c>
      <ns0:c r="E66" s="3">
        <ns0:f>SUM('利润表'!$C69:E69)</ns0:f>
        <ns0:v>637159.26</ns0:v>
      </ns0:c>
      <ns0:c r="F66" s="3">
        <ns0:f>SUM('利润表'!$C69:F69)</ns0:f>
        <ns0:v>781090.36</ns0:v>
      </ns0:c>
      <ns0:c r="G66" s="3">
        <ns0:f>SUM('利润表'!$C69:G69)</ns0:f>
        <ns0:v>1105432.91</ns0:v>
      </ns0:c>
      <ns0:c r="H66" s="3">
        <ns0:f>SUM('利润表'!$C69:H69)</ns0:f>
        <ns0:v>1300720.40</ns0:v>
      </ns0:c>
      <ns0:c r="I66" s="3">
        <ns0:f>SUM('利润表'!$C69:I69)</ns0:f>
        <ns0:v>1480249.25</ns0:v>
      </ns0:c>
      <ns0:c r="J66" s="3">
        <ns0:f>SUM('利润表'!$C69:J69)</ns0:f>
        <ns0:v>1760665.91</ns0:v>
      </ns0:c>
      <ns0:c r="K66" s="3">
        <ns0:f>SUM('利润表'!$C69:K69)</ns0:f>
        <ns0:v>1939006.09</ns0:v>
      </ns0:c>
      <ns0:c r="L66" s="3">
        <ns0:f>SUM('利润表'!$C69:L69)</ns0:f>
        <ns0:v>2144376.85</ns0:v>
      </ns0:c>
      <ns0:c r="M66" s="3">
        <ns0:f>SUM('利润表'!$C69:M69)</ns0:f>
        <ns0:v>2285515.27</ns0:v>
      </ns0:c>
      <ns0:c r="N66" s="3">
        <ns0:f>SUM('利润表'!$C69:N69)</ns0:f>
        <ns0:v>2475868.94</ns0:v>
      </ns0:c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 t="inlineStr">
        <ns0:is>
          <ns0:t>所有者权益</ns0:t>
        </ns0:is>
      </ns0:c>
      <ns0:c r="C67" s="3">
        <ns0:f>SUM(C65:C66)</ns0:f>
        <ns0:v>484826.17</ns0:v>
      </ns0:c>
      <ns0:c r="D67" s="3">
        <ns0:f>SUM(D65:D66)</ns0:f>
        <ns0:v>644566.77</ns0:v>
      </ns0:c>
      <ns0:c r="E67" s="3">
        <ns0:f>SUM(E65:E66)</ns0:f>
        <ns0:v>893132.34</ns0:v>
      </ns0:c>
      <ns0:c r="F67" s="3">
        <ns0:f>SUM(F65:F66)</ns0:f>
        <ns0:v>1037063.44</ns0:v>
      </ns0:c>
      <ns0:c r="G67" s="3">
        <ns0:f>SUM(G65:G66)</ns0:f>
        <ns0:v>1361405.99</ns0:v>
      </ns0:c>
      <ns0:c r="H67" s="3">
        <ns0:f>SUM(H65:H66)</ns0:f>
        <ns0:v>1556693.48</ns0:v>
      </ns0:c>
      <ns0:c r="I67" s="3">
        <ns0:f>SUM(I65:I66)</ns0:f>
        <ns0:v>1736222.33</ns0:v>
      </ns0:c>
      <ns0:c r="J67" s="3">
        <ns0:f>SUM(J65:J66)</ns0:f>
        <ns0:v>2016638.99</ns0:v>
      </ns0:c>
      <ns0:c r="K67" s="3">
        <ns0:f>SUM(K65:K66)</ns0:f>
        <ns0:v>2194979.17</ns0:v>
      </ns0:c>
      <ns0:c r="L67" s="3">
        <ns0:f>SUM(L65:L66)</ns0:f>
        <ns0:v>2400349.93</ns0:v>
      </ns0:c>
      <ns0:c r="M67" s="3">
        <ns0:f>SUM(M65:M66)</ns0:f>
        <ns0:v>2541488.35</ns0:v>
      </ns0:c>
      <ns0:c r="N67" s="3">
        <ns0:f>SUM(N65:N66)</ns0:f>
        <ns0:v>2731842.02</ns0:v>
      </ns0:c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 t="inlineStr">
        <ns0:is>
          <ns0:t>负债及权益合计</ns0:t>
        </ns0:is>
      </ns0:c>
      <ns0:c r="C68" s="3">
        <ns0:f>SUM(C64,C67)</ns0:f>
        <ns0:v>484826.17</ns0:v>
      </ns0:c>
      <ns0:c r="D68" s="3">
        <ns0:f>SUM(D64,D67)</ns0:f>
        <ns0:v>644566.77</ns0:v>
      </ns0:c>
      <ns0:c r="E68" s="3">
        <ns0:f>SUM(E64,E67)</ns0:f>
        <ns0:v>893132.34</ns0:v>
      </ns0:c>
      <ns0:c r="F68" s="3">
        <ns0:f>SUM(F64,F67)</ns0:f>
        <ns0:v>1037063.44</ns0:v>
      </ns0:c>
      <ns0:c r="G68" s="3">
        <ns0:f>SUM(G64,G67)</ns0:f>
        <ns0:v>1361405.99</ns0:v>
      </ns0:c>
      <ns0:c r="H68" s="3">
        <ns0:f>SUM(H64,H67)</ns0:f>
        <ns0:v>1556693.48</ns0:v>
      </ns0:c>
      <ns0:c r="I68" s="3">
        <ns0:f>SUM(I64,I67)</ns0:f>
        <ns0:v>1736222.33</ns0:v>
      </ns0:c>
      <ns0:c r="J68" s="3">
        <ns0:f>SUM(J64,J67)</ns0:f>
        <ns0:v>2016638.99</ns0:v>
      </ns0:c>
      <ns0:c r="K68" s="3">
        <ns0:f>SUM(K64,K67)</ns0:f>
        <ns0:v>2194979.17</ns0:v>
      </ns0:c>
      <ns0:c r="L68" s="3">
        <ns0:f>SUM(L64,L67)</ns0:f>
        <ns0:v>2400349.93</ns0:v>
      </ns0:c>
      <ns0:c r="M68" s="3">
        <ns0:f>SUM(M64,M67)</ns0:f>
        <ns0:v>2541488.35</ns0:v>
      </ns0:c>
      <ns0:c r="N68" s="3">
        <ns0:f>SUM(N64,N67)</ns0:f>
        <ns0:v>2731842.02</ns0:v>
      </ns0:c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 t="inlineStr">
        <ns0:is>
          <ns0:t>期初现金（投入资本）</ns0:t>
        </ns0:is>
      </ns0:c>
      <ns0:c r="C200" s="4">
        <ns0:v>154008.06</ns0:v>
      </ns0:c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/>
      <ns0:c r="C204" s="3"/>
      <ns0:c r="D204" s="3"/>
      <ns0:c r="E204" s="3"/>
      <ns0:c r="F204" s="3"/>
      <ns0:c r="G204" s="3"/>
      <ns0:c r="H204" s="3"/>
      <ns0:c r="I204" s="3"/>
      <ns0:c r="J204" s="3"/>
      <ns0:c r="K204" s="3"/>
      <ns0:c r="L204" s="3"/>
      <ns0:c r="M204" s="3"/>
      <ns0:c r="N204" s="3"/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/>
      <ns0:c r="C205" s="3"/>
      <ns0:c r="D205" s="3"/>
      <ns0:c r="E205" s="3"/>
      <ns0:c r="F205" s="3"/>
      <ns0:c r="G205" s="3"/>
      <ns0:c r="H205" s="3"/>
      <ns0:c r="I205" s="3"/>
      <ns0:c r="J205" s="3"/>
      <ns0:c r="K205" s="3"/>
      <ns0:c r="L205" s="3"/>
      <ns0:c r="M205" s="3"/>
      <ns0:c r="N205" s="3"/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/>
      <ns0:c r="C206" s="3"/>
      <ns0:c r="D206" s="3"/>
      <ns0:c r="E206" s="3"/>
      <ns0:c r="F206" s="3"/>
      <ns0:c r="G206" s="3"/>
      <ns0:c r="H206" s="3"/>
      <ns0:c r="I206" s="3"/>
      <ns0:c r="J206" s="3"/>
      <ns0:c r="K206" s="3"/>
      <ns0:c r="L206" s="3"/>
      <ns0:c r="M206" s="3"/>
      <ns0:c r="N206" s="3"/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/>
      <ns0:c r="C207" s="3"/>
      <ns0:c r="D207" s="3"/>
      <ns0:c r="E207" s="3"/>
      <ns0:c r="F207" s="3"/>
      <ns0:c r="G207" s="3"/>
      <ns0:c r="H207" s="3"/>
      <ns0:c r="I207" s="3"/>
      <ns0:c r="J207" s="3"/>
      <ns0:c r="K207" s="3"/>
      <ns0:c r="L207" s="3"/>
      <ns0:c r="M207" s="3"/>
      <ns0:c r="N207" s="3"/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/>
      <ns0:c r="C208" s="3"/>
      <ns0:c r="D208" s="3"/>
      <ns0:c r="E208" s="3"/>
      <ns0:c r="F208" s="3"/>
      <ns0:c r="G208" s="3"/>
      <ns0:c r="H208" s="3"/>
      <ns0:c r="I208" s="3"/>
      <ns0:c r="J208" s="3"/>
      <ns0:c r="K208" s="3"/>
      <ns0:c r="L208" s="3"/>
      <ns0:c r="M208" s="3"/>
      <ns0:c r="N208" s="3"/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/>
      <ns0:c r="C209" s="3"/>
      <ns0:c r="D209" s="3"/>
      <ns0:c r="E209" s="3"/>
      <ns0:c r="F209" s="3"/>
      <ns0:c r="G209" s="3"/>
      <ns0:c r="H209" s="3"/>
      <ns0:c r="I209" s="3"/>
      <ns0:c r="J209" s="3"/>
      <ns0:c r="K209" s="3"/>
      <ns0:c r="L209" s="3"/>
      <ns0:c r="M209" s="3"/>
      <ns0:c r="N209" s="3"/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/>
      <ns0:c r="C210" s="3"/>
      <ns0:c r="D210" s="3"/>
      <ns0:c r="E210" s="3"/>
      <ns0:c r="F210" s="3"/>
      <ns0:c r="G210" s="3"/>
      <ns0:c r="H210" s="3"/>
      <ns0:c r="I210" s="3"/>
      <ns0:c r="J210" s="3"/>
      <ns0:c r="K210" s="3"/>
      <ns0:c r="L210" s="3"/>
      <ns0:c r="M210" s="3"/>
      <ns0:c r="N210" s="3"/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/>
      <ns0:c r="C211" s="3"/>
      <ns0:c r="D211" s="3"/>
      <ns0:c r="E211" s="3"/>
      <ns0:c r="F211" s="3"/>
      <ns0:c r="G211" s="3"/>
      <ns0:c r="H211" s="3"/>
      <ns0:c r="I211" s="3"/>
      <ns0:c r="J211" s="3"/>
      <ns0:c r="K211" s="3"/>
      <ns0:c r="L211" s="3"/>
      <ns0:c r="M211" s="3"/>
      <ns0:c r="N211" s="3"/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/>
      <ns0:c r="C212" s="3"/>
      <ns0:c r="D212" s="3"/>
      <ns0:c r="E212" s="3"/>
      <ns0:c r="F212" s="3"/>
      <ns0:c r="G212" s="3"/>
      <ns0:c r="H212" s="3"/>
      <ns0:c r="I212" s="3"/>
      <ns0:c r="J212" s="3"/>
      <ns0:c r="K212" s="3"/>
      <ns0:c r="L212" s="3"/>
      <ns0:c r="M212" s="3"/>
      <ns0:c r="N212" s="3"/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/>
      <ns0:c r="C213" s="3"/>
      <ns0:c r="D213" s="3"/>
      <ns0:c r="E213" s="3"/>
      <ns0:c r="F213" s="3"/>
      <ns0:c r="G213" s="3"/>
      <ns0:c r="H213" s="3"/>
      <ns0:c r="I213" s="3"/>
      <ns0:c r="J213" s="3"/>
      <ns0:c r="K213" s="3"/>
      <ns0:c r="L213" s="3"/>
      <ns0:c r="M213" s="3"/>
      <ns0:c r="N213" s="3"/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/>
      <ns0:c r="C214" s="3"/>
      <ns0:c r="D214" s="3"/>
      <ns0:c r="E214" s="3"/>
      <ns0:c r="F214" s="3"/>
      <ns0:c r="G214" s="3"/>
      <ns0:c r="H214" s="3"/>
      <ns0:c r="I214" s="3"/>
      <ns0:c r="J214" s="3"/>
      <ns0:c r="K214" s="3"/>
      <ns0:c r="L214" s="3"/>
      <ns0:c r="M214" s="3"/>
      <ns0:c r="N214" s="3"/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/>
      <ns0:c r="C215" s="3"/>
      <ns0:c r="D215" s="3"/>
      <ns0:c r="E215" s="3"/>
      <ns0:c r="F215" s="3"/>
      <ns0:c r="G215" s="3"/>
      <ns0:c r="H215" s="3"/>
      <ns0:c r="I215" s="3"/>
      <ns0:c r="J215" s="3"/>
      <ns0:c r="K215" s="3"/>
      <ns0:c r="L215" s="3"/>
      <ns0:c r="M215" s="3"/>
      <ns0:c r="N215" s="3"/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/>
      <ns0:c r="C216" s="3"/>
      <ns0:c r="D216" s="3"/>
      <ns0:c r="E216" s="3"/>
      <ns0:c r="F216" s="3"/>
      <ns0:c r="G216" s="3"/>
      <ns0:c r="H216" s="3"/>
      <ns0:c r="I216" s="3"/>
      <ns0:c r="J216" s="3"/>
      <ns0:c r="K216" s="3"/>
      <ns0:c r="L216" s="3"/>
      <ns0:c r="M216" s="3"/>
      <ns0:c r="N216" s="3"/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/>
      <ns0:c r="C217" s="3"/>
      <ns0:c r="D217" s="3"/>
      <ns0:c r="E217" s="3"/>
      <ns0:c r="F217" s="3"/>
      <ns0:c r="G217" s="3"/>
      <ns0:c r="H217" s="3"/>
      <ns0:c r="I217" s="3"/>
      <ns0:c r="J217" s="3"/>
      <ns0:c r="K217" s="3"/>
      <ns0:c r="L217" s="3"/>
      <ns0:c r="M217" s="3"/>
      <ns0:c r="N217" s="3"/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/>
      <ns0:c r="C218" s="3"/>
      <ns0:c r="D218" s="3"/>
      <ns0:c r="E218" s="3"/>
      <ns0:c r="F218" s="3"/>
      <ns0:c r="G218" s="3"/>
      <ns0:c r="H218" s="3"/>
      <ns0:c r="I218" s="3"/>
      <ns0:c r="J218" s="3"/>
      <ns0:c r="K218" s="3"/>
      <ns0:c r="L218" s="3"/>
      <ns0:c r="M218" s="3"/>
      <ns0:c r="N218" s="3"/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/>
      <ns0:c r="C219" s="3"/>
      <ns0:c r="D219" s="3"/>
      <ns0:c r="E219" s="3"/>
      <ns0:c r="F219" s="3"/>
      <ns0:c r="G219" s="3"/>
      <ns0:c r="H219" s="3"/>
      <ns0:c r="I219" s="3"/>
      <ns0:c r="J219" s="3"/>
      <ns0:c r="K219" s="3"/>
      <ns0:c r="L219" s="3"/>
      <ns0:c r="M219" s="3"/>
      <ns0:c r="N219" s="3"/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/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/>
      <ns0:c r="C221" s="3"/>
      <ns0:c r="D221" s="3"/>
      <ns0:c r="E221" s="3"/>
      <ns0:c r="F221" s="3"/>
      <ns0:c r="G221" s="3"/>
      <ns0:c r="H221" s="3"/>
      <ns0:c r="I221" s="3"/>
      <ns0:c r="J221" s="3"/>
      <ns0:c r="K221" s="3"/>
      <ns0:c r="L221" s="3"/>
      <ns0:c r="M221" s="3"/>
      <ns0:c r="N221" s="3"/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/>
      <ns0:c r="C222" s="3"/>
      <ns0:c r="D222" s="3"/>
      <ns0:c r="E222" s="3"/>
      <ns0:c r="F222" s="3"/>
      <ns0:c r="G222" s="3"/>
      <ns0:c r="H222" s="3"/>
      <ns0:c r="I222" s="3"/>
      <ns0:c r="J222" s="3"/>
      <ns0:c r="K222" s="3"/>
      <ns0:c r="L222" s="3"/>
      <ns0:c r="M222" s="3"/>
      <ns0:c r="N222" s="3"/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/>
      <ns0:c r="C223" s="3"/>
      <ns0:c r="D223" s="3"/>
      <ns0:c r="E223" s="3"/>
      <ns0:c r="F223" s="3"/>
      <ns0:c r="G223" s="3"/>
      <ns0:c r="H223" s="3"/>
      <ns0:c r="I223" s="3"/>
      <ns0:c r="J223" s="3"/>
      <ns0:c r="K223" s="3"/>
      <ns0:c r="L223" s="3"/>
      <ns0:c r="M223" s="3"/>
      <ns0:c r="N223" s="3"/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/>
      <ns0:c r="C224" s="3"/>
      <ns0:c r="D224" s="3"/>
      <ns0:c r="E224" s="3"/>
      <ns0:c r="F224" s="3"/>
      <ns0:c r="G224" s="3"/>
      <ns0:c r="H224" s="3"/>
      <ns0:c r="I224" s="3"/>
      <ns0:c r="J224" s="3"/>
      <ns0:c r="K224" s="3"/>
      <ns0:c r="L224" s="3"/>
      <ns0:c r="M224" s="3"/>
      <ns0:c r="N224" s="3"/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/>
      <ns0:c r="C225" s="3"/>
      <ns0:c r="D225" s="3"/>
      <ns0:c r="E225" s="3"/>
      <ns0:c r="F225" s="3"/>
      <ns0:c r="G225" s="3"/>
      <ns0:c r="H225" s="3"/>
      <ns0:c r="I225" s="3"/>
      <ns0:c r="J225" s="3"/>
      <ns0:c r="K225" s="3"/>
      <ns0:c r="L225" s="3"/>
      <ns0:c r="M225" s="3"/>
      <ns0:c r="N225" s="3"/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/>
      <ns0:c r="C226" s="3"/>
      <ns0:c r="D226" s="3"/>
      <ns0:c r="E226" s="3"/>
      <ns0:c r="F226" s="3"/>
      <ns0:c r="G226" s="3"/>
      <ns0:c r="H226" s="3"/>
      <ns0:c r="I226" s="3"/>
      <ns0:c r="J226" s="3"/>
      <ns0:c r="K226" s="3"/>
      <ns0:c r="L226" s="3"/>
      <ns0:c r="M226" s="3"/>
      <ns0:c r="N226" s="3"/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/>
      <ns0:c r="C227" s="3"/>
      <ns0:c r="D227" s="3"/>
      <ns0:c r="E227" s="3"/>
      <ns0:c r="F227" s="3"/>
      <ns0:c r="G227" s="3"/>
      <ns0:c r="H227" s="3"/>
      <ns0:c r="I227" s="3"/>
      <ns0:c r="J227" s="3"/>
      <ns0:c r="K227" s="3"/>
      <ns0:c r="L227" s="3"/>
      <ns0:c r="M227" s="3"/>
      <ns0:c r="N227" s="3"/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/>
      <ns0:c r="C228" s="3"/>
      <ns0:c r="D228" s="3"/>
      <ns0:c r="E228" s="3"/>
      <ns0:c r="F228" s="3"/>
      <ns0:c r="G228" s="3"/>
      <ns0:c r="H228" s="3"/>
      <ns0:c r="I228" s="3"/>
      <ns0:c r="J228" s="3"/>
      <ns0:c r="K228" s="3"/>
      <ns0:c r="L228" s="3"/>
      <ns0:c r="M228" s="3"/>
      <ns0:c r="N228" s="3"/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/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/>
      <ns0:c r="C230" s="3"/>
      <ns0:c r="D230" s="3"/>
      <ns0:c r="E230" s="3"/>
      <ns0:c r="F230" s="3"/>
      <ns0:c r="G230" s="3"/>
      <ns0:c r="H230" s="3"/>
      <ns0:c r="I230" s="3"/>
      <ns0:c r="J230" s="3"/>
      <ns0:c r="K230" s="3"/>
      <ns0:c r="L230" s="3"/>
      <ns0:c r="M230" s="3"/>
      <ns0:c r="N230" s="3"/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/>
      <ns0:c r="C231" s="3"/>
      <ns0:c r="D231" s="3"/>
      <ns0:c r="E231" s="3"/>
      <ns0:c r="F231" s="3"/>
      <ns0:c r="G231" s="3"/>
      <ns0:c r="H231" s="3"/>
      <ns0:c r="I231" s="3"/>
      <ns0:c r="J231" s="3"/>
      <ns0:c r="K231" s="3"/>
      <ns0:c r="L231" s="3"/>
      <ns0:c r="M231" s="3"/>
      <ns0:c r="N231" s="3"/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/>
      <ns0:c r="C232" s="3"/>
      <ns0:c r="D232" s="3"/>
      <ns0:c r="E232" s="3"/>
      <ns0:c r="F232" s="3"/>
      <ns0:c r="G232" s="3"/>
      <ns0:c r="H232" s="3"/>
      <ns0:c r="I232" s="3"/>
      <ns0:c r="J232" s="3"/>
      <ns0:c r="K232" s="3"/>
      <ns0:c r="L232" s="3"/>
      <ns0:c r="M232" s="3"/>
      <ns0:c r="N232" s="3"/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/>
      <ns0:c r="C233" s="3"/>
      <ns0:c r="D233" s="3"/>
      <ns0:c r="E233" s="3"/>
      <ns0:c r="F233" s="3"/>
      <ns0:c r="G233" s="3"/>
      <ns0:c r="H233" s="3"/>
      <ns0:c r="I233" s="3"/>
      <ns0:c r="J233" s="3"/>
      <ns0:c r="K233" s="3"/>
      <ns0:c r="L233" s="3"/>
      <ns0:c r="M233" s="3"/>
      <ns0:c r="N233" s="3"/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/>
      <ns0:c r="C324" s="3"/>
      <ns0:c r="D324" s="3"/>
      <ns0:c r="E324" s="3"/>
      <ns0:c r="F324" s="3"/>
      <ns0:c r="G324" s="3"/>
      <ns0:c r="H324" s="3"/>
      <ns0:c r="I324" s="3"/>
      <ns0:c r="J324" s="3"/>
      <ns0:c r="K324" s="3"/>
      <ns0:c r="L324" s="3"/>
      <ns0:c r="M324" s="3"/>
      <ns0:c r="N324" s="3"/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/>
      <ns0:c r="C325" s="3"/>
      <ns0:c r="D325" s="3"/>
      <ns0:c r="E325" s="3"/>
      <ns0:c r="F325" s="3"/>
      <ns0:c r="G325" s="3"/>
      <ns0:c r="H325" s="3"/>
      <ns0:c r="I325" s="3"/>
      <ns0:c r="J325" s="3"/>
      <ns0:c r="K325" s="3"/>
      <ns0:c r="L325" s="3"/>
      <ns0:c r="M325" s="3"/>
      <ns0:c r="N325" s="3"/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/>
      <ns0:c r="C326" s="3"/>
      <ns0:c r="D326" s="3"/>
      <ns0:c r="E326" s="3"/>
      <ns0:c r="F326" s="3"/>
      <ns0:c r="G326" s="3"/>
      <ns0:c r="H326" s="3"/>
      <ns0:c r="I326" s="3"/>
      <ns0:c r="J326" s="3"/>
      <ns0:c r="K326" s="3"/>
      <ns0:c r="L326" s="3"/>
      <ns0:c r="M326" s="3"/>
      <ns0:c r="N326" s="3"/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/>
      <ns0:c r="C327" s="3"/>
      <ns0:c r="D327" s="3"/>
      <ns0:c r="E327" s="3"/>
      <ns0:c r="F327" s="3"/>
      <ns0:c r="G327" s="3"/>
      <ns0:c r="H327" s="3"/>
      <ns0:c r="I327" s="3"/>
      <ns0:c r="J327" s="3"/>
      <ns0:c r="K327" s="3"/>
      <ns0:c r="L327" s="3"/>
      <ns0:c r="M327" s="3"/>
      <ns0:c r="N327" s="3"/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/>
      <ns0:c r="C328" s="3"/>
      <ns0:c r="D328" s="3"/>
      <ns0:c r="E328" s="3"/>
      <ns0:c r="F328" s="3"/>
      <ns0:c r="G328" s="3"/>
      <ns0:c r="H328" s="3"/>
      <ns0:c r="I328" s="3"/>
      <ns0:c r="J328" s="3"/>
      <ns0:c r="K328" s="3"/>
      <ns0:c r="L328" s="3"/>
      <ns0:c r="M328" s="3"/>
      <ns0:c r="N328" s="3"/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/>
      <ns0:c r="C329" s="3"/>
      <ns0:c r="D329" s="3"/>
      <ns0:c r="E329" s="3"/>
      <ns0:c r="F329" s="3"/>
      <ns0:c r="G329" s="3"/>
      <ns0:c r="H329" s="3"/>
      <ns0:c r="I329" s="3"/>
      <ns0:c r="J329" s="3"/>
      <ns0:c r="K329" s="3"/>
      <ns0:c r="L329" s="3"/>
      <ns0:c r="M329" s="3"/>
      <ns0:c r="N329" s="3"/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/>
      <ns0:c r="C330" s="3"/>
      <ns0:c r="D330" s="3"/>
      <ns0:c r="E330" s="3"/>
      <ns0:c r="F330" s="3"/>
      <ns0:c r="G330" s="3"/>
      <ns0:c r="H330" s="3"/>
      <ns0:c r="I330" s="3"/>
      <ns0:c r="J330" s="3"/>
      <ns0:c r="K330" s="3"/>
      <ns0:c r="L330" s="3"/>
      <ns0:c r="M330" s="3"/>
      <ns0:c r="N330" s="3"/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/>
      <ns0:c r="C331" s="3"/>
      <ns0:c r="D331" s="3"/>
      <ns0:c r="E331" s="3"/>
      <ns0:c r="F331" s="3"/>
      <ns0:c r="G331" s="3"/>
      <ns0:c r="H331" s="3"/>
      <ns0:c r="I331" s="3"/>
      <ns0:c r="J331" s="3"/>
      <ns0:c r="K331" s="3"/>
      <ns0:c r="L331" s="3"/>
      <ns0:c r="M331" s="3"/>
      <ns0:c r="N331" s="3"/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/>
      <ns0:c r="C332" s="3"/>
      <ns0:c r="D332" s="3"/>
      <ns0:c r="E332" s="3"/>
      <ns0:c r="F332" s="3"/>
      <ns0:c r="G332" s="3"/>
      <ns0:c r="H332" s="3"/>
      <ns0:c r="I332" s="3"/>
      <ns0:c r="J332" s="3"/>
      <ns0:c r="K332" s="3"/>
      <ns0:c r="L332" s="3"/>
      <ns0:c r="M332" s="3"/>
      <ns0:c r="N332" s="3"/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/>
      <ns0:c r="C333" s="3"/>
      <ns0:c r="D333" s="3"/>
      <ns0:c r="E333" s="3"/>
      <ns0:c r="F333" s="3"/>
      <ns0:c r="G333" s="3"/>
      <ns0:c r="H333" s="3"/>
      <ns0:c r="I333" s="3"/>
      <ns0:c r="J333" s="3"/>
      <ns0:c r="K333" s="3"/>
      <ns0:c r="L333" s="3"/>
      <ns0:c r="M333" s="3"/>
      <ns0:c r="N333" s="3"/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/>
      <ns0:c r="C334" s="3"/>
      <ns0:c r="D334" s="3"/>
      <ns0:c r="E334" s="3"/>
      <ns0:c r="F334" s="3"/>
      <ns0:c r="G334" s="3"/>
      <ns0:c r="H334" s="3"/>
      <ns0:c r="I334" s="3"/>
      <ns0:c r="J334" s="3"/>
      <ns0:c r="K334" s="3"/>
      <ns0:c r="L334" s="3"/>
      <ns0:c r="M334" s="3"/>
      <ns0:c r="N334" s="3"/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/>
      <ns0:c r="C335" s="3"/>
      <ns0:c r="D335" s="3"/>
      <ns0:c r="E335" s="3"/>
      <ns0:c r="F335" s="3"/>
      <ns0:c r="G335" s="3"/>
      <ns0:c r="H335" s="3"/>
      <ns0:c r="I335" s="3"/>
      <ns0:c r="J335" s="3"/>
      <ns0:c r="K335" s="3"/>
      <ns0:c r="L335" s="3"/>
      <ns0:c r="M335" s="3"/>
      <ns0:c r="N335" s="3"/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/>
      <ns0:c r="C336" s="3"/>
      <ns0:c r="D336" s="3"/>
      <ns0:c r="E336" s="3"/>
      <ns0:c r="F336" s="3"/>
      <ns0:c r="G336" s="3"/>
      <ns0:c r="H336" s="3"/>
      <ns0:c r="I336" s="3"/>
      <ns0:c r="J336" s="3"/>
      <ns0:c r="K336" s="3"/>
      <ns0:c r="L336" s="3"/>
      <ns0:c r="M336" s="3"/>
      <ns0:c r="N336" s="3"/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/>
      <ns0:c r="C337" s="3"/>
      <ns0:c r="D337" s="3"/>
      <ns0:c r="E337" s="3"/>
      <ns0:c r="F337" s="3"/>
      <ns0:c r="G337" s="3"/>
      <ns0:c r="H337" s="3"/>
      <ns0:c r="I337" s="3"/>
      <ns0:c r="J337" s="3"/>
      <ns0:c r="K337" s="3"/>
      <ns0:c r="L337" s="3"/>
      <ns0:c r="M337" s="3"/>
      <ns0:c r="N337" s="3"/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/>
      <ns0:c r="C338" s="3"/>
      <ns0:c r="D338" s="3"/>
      <ns0:c r="E338" s="3"/>
      <ns0:c r="F338" s="3"/>
      <ns0:c r="G338" s="3"/>
      <ns0:c r="H338" s="3"/>
      <ns0:c r="I338" s="3"/>
      <ns0:c r="J338" s="3"/>
      <ns0:c r="K338" s="3"/>
      <ns0:c r="L338" s="3"/>
      <ns0:c r="M338" s="3"/>
      <ns0:c r="N338" s="3"/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/>
      <ns0:c r="C339" s="3"/>
      <ns0:c r="D339" s="3"/>
      <ns0:c r="E339" s="3"/>
      <ns0:c r="F339" s="3"/>
      <ns0:c r="G339" s="3"/>
      <ns0:c r="H339" s="3"/>
      <ns0:c r="I339" s="3"/>
      <ns0:c r="J339" s="3"/>
      <ns0:c r="K339" s="3"/>
      <ns0:c r="L339" s="3"/>
      <ns0:c r="M339" s="3"/>
      <ns0:c r="N339" s="3"/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/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/>
      <ns0:c r="C341" s="3"/>
      <ns0:c r="D341" s="3"/>
      <ns0:c r="E341" s="3"/>
      <ns0:c r="F341" s="3"/>
      <ns0:c r="G341" s="3"/>
      <ns0:c r="H341" s="3"/>
      <ns0:c r="I341" s="3"/>
      <ns0:c r="J341" s="3"/>
      <ns0:c r="K341" s="3"/>
      <ns0:c r="L341" s="3"/>
      <ns0:c r="M341" s="3"/>
      <ns0:c r="N341" s="3"/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/>
      <ns0:c r="C342" s="3"/>
      <ns0:c r="D342" s="3"/>
      <ns0:c r="E342" s="3"/>
      <ns0:c r="F342" s="3"/>
      <ns0:c r="G342" s="3"/>
      <ns0:c r="H342" s="3"/>
      <ns0:c r="I342" s="3"/>
      <ns0:c r="J342" s="3"/>
      <ns0:c r="K342" s="3"/>
      <ns0:c r="L342" s="3"/>
      <ns0:c r="M342" s="3"/>
      <ns0:c r="N342" s="3"/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/>
      <ns0:c r="C343" s="3"/>
      <ns0:c r="D343" s="3"/>
      <ns0:c r="E343" s="3"/>
      <ns0:c r="F343" s="3"/>
      <ns0:c r="G343" s="3"/>
      <ns0:c r="H343" s="3"/>
      <ns0:c r="I343" s="3"/>
      <ns0:c r="J343" s="3"/>
      <ns0:c r="K343" s="3"/>
      <ns0:c r="L343" s="3"/>
      <ns0:c r="M343" s="3"/>
      <ns0:c r="N343" s="3"/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/>
      <ns0:c r="C344" s="3"/>
      <ns0:c r="D344" s="3"/>
      <ns0:c r="E344" s="3"/>
      <ns0:c r="F344" s="3"/>
      <ns0:c r="G344" s="3"/>
      <ns0:c r="H344" s="3"/>
      <ns0:c r="I344" s="3"/>
      <ns0:c r="J344" s="3"/>
      <ns0:c r="K344" s="3"/>
      <ns0:c r="L344" s="3"/>
      <ns0:c r="M344" s="3"/>
      <ns0:c r="N344" s="3"/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/>
      <ns0:c r="C345" s="3"/>
      <ns0:c r="D345" s="3"/>
      <ns0:c r="E345" s="3"/>
      <ns0:c r="F345" s="3"/>
      <ns0:c r="G345" s="3"/>
      <ns0:c r="H345" s="3"/>
      <ns0:c r="I345" s="3"/>
      <ns0:c r="J345" s="3"/>
      <ns0:c r="K345" s="3"/>
      <ns0:c r="L345" s="3"/>
      <ns0:c r="M345" s="3"/>
      <ns0:c r="N345" s="3"/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/>
      <ns0:c r="C346" s="3"/>
      <ns0:c r="D346" s="3"/>
      <ns0:c r="E346" s="3"/>
      <ns0:c r="F346" s="3"/>
      <ns0:c r="G346" s="3"/>
      <ns0:c r="H346" s="3"/>
      <ns0:c r="I346" s="3"/>
      <ns0:c r="J346" s="3"/>
      <ns0:c r="K346" s="3"/>
      <ns0:c r="L346" s="3"/>
      <ns0:c r="M346" s="3"/>
      <ns0:c r="N346" s="3"/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/>
      <ns0:c r="C347" s="3"/>
      <ns0:c r="D347" s="3"/>
      <ns0:c r="E347" s="3"/>
      <ns0:c r="F347" s="3"/>
      <ns0:c r="G347" s="3"/>
      <ns0:c r="H347" s="3"/>
      <ns0:c r="I347" s="3"/>
      <ns0:c r="J347" s="3"/>
      <ns0:c r="K347" s="3"/>
      <ns0:c r="L347" s="3"/>
      <ns0:c r="M347" s="3"/>
      <ns0:c r="N347" s="3"/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/>
      <ns0:c r="C348" s="3"/>
      <ns0:c r="D348" s="3"/>
      <ns0:c r="E348" s="3"/>
      <ns0:c r="F348" s="3"/>
      <ns0:c r="G348" s="3"/>
      <ns0:c r="H348" s="3"/>
      <ns0:c r="I348" s="3"/>
      <ns0:c r="J348" s="3"/>
      <ns0:c r="K348" s="3"/>
      <ns0:c r="L348" s="3"/>
      <ns0:c r="M348" s="3"/>
      <ns0:c r="N348" s="3"/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/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/>
      <ns0:c r="C350" s="3"/>
      <ns0:c r="D350" s="3"/>
      <ns0:c r="E350" s="3"/>
      <ns0:c r="F350" s="3"/>
      <ns0:c r="G350" s="3"/>
      <ns0:c r="H350" s="3"/>
      <ns0:c r="I350" s="3"/>
      <ns0:c r="J350" s="3"/>
      <ns0:c r="K350" s="3"/>
      <ns0:c r="L350" s="3"/>
      <ns0:c r="M350" s="3"/>
      <ns0:c r="N350" s="3"/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/>
      <ns0:c r="C351" s="3"/>
      <ns0:c r="D351" s="3"/>
      <ns0:c r="E351" s="3"/>
      <ns0:c r="F351" s="3"/>
      <ns0:c r="G351" s="3"/>
      <ns0:c r="H351" s="3"/>
      <ns0:c r="I351" s="3"/>
      <ns0:c r="J351" s="3"/>
      <ns0:c r="K351" s="3"/>
      <ns0:c r="L351" s="3"/>
      <ns0:c r="M351" s="3"/>
      <ns0:c r="N351" s="3"/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/>
      <ns0:c r="C352" s="3"/>
      <ns0:c r="D352" s="3"/>
      <ns0:c r="E352" s="3"/>
      <ns0:c r="F352" s="3"/>
      <ns0:c r="G352" s="3"/>
      <ns0:c r="H352" s="3"/>
      <ns0:c r="I352" s="3"/>
      <ns0:c r="J352" s="3"/>
      <ns0:c r="K352" s="3"/>
      <ns0:c r="L352" s="3"/>
      <ns0:c r="M352" s="3"/>
      <ns0:c r="N352" s="3"/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/>
      <ns0:c r="C353" s="3"/>
      <ns0:c r="D353" s="3"/>
      <ns0:c r="E353" s="3"/>
      <ns0:c r="F353" s="3"/>
      <ns0:c r="G353" s="3"/>
      <ns0:c r="H353" s="3"/>
      <ns0:c r="I353" s="3"/>
      <ns0:c r="J353" s="3"/>
      <ns0:c r="K353" s="3"/>
      <ns0:c r="L353" s="3"/>
      <ns0:c r="M353" s="3"/>
      <ns0:c r="N353" s="3"/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mergeCells>
    <ns0:mergeCell ref="A1:H1"/>
  </ns0:mergeCells>
  <ns0:pageMargins left="0.7" right="0.7" top="0.75" bottom="0.75" header="0.3" footer="0.3"/>
</ns0:worksheet>
</file>

<file path=xl/worksheets/sheet3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44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20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 t="inlineStr">
        <ns0:is>
          <ns0:t>现金流量表</ns0:t>
        </ns0:is>
      </ns0:c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 t="inlineStr">
        <ns0:is>
          <ns0:t>项      目</ns0:t>
        </ns0:is>
      </ns0:c>
      <ns0:c r="B2" s="2" t="inlineStr">
        <ns0:is>
          <ns0:t>行次</ns0:t>
        </ns0:is>
      </ns0:c>
      <ns0:c r="C2" s="3"/>
      <ns0:c r="D2" s="3"/>
      <ns0:c r="E2" s="3"/>
      <ns0:c r="F2" s="3"/>
      <ns0:c r="G2" s="3"/>
      <ns0:c r="H2" s="3"/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E-5f17fa2948</ns0:t>
        </ns0:is>
      </ns0:c>
    </ns0:row>
    <ns0:row r="3" ht="20" customHeight="1">
      <ns0:c r="A3" s="2" t="inlineStr">
        <ns0:is>
          <ns0:t>一、经营活动产生的现金流量：</ns0:t>
        </ns0:is>
      </ns0:c>
      <ns0:c r="B3" s="2"/>
      <ns0:c r="C3" s="6" t="inlineStr">
        <ns0:is>
          <ns0:t>全年预算基础</ns0:t>
        </ns0:is>
      </ns0:c>
      <ns0:c r="D3" s="6" t="inlineStr">
        <ns0:is>
          <ns0:t>非本次输入</ns0:t>
        </ns0:is>
      </ns0:c>
      <ns0:c r="E3" s="6"/>
      <ns0:c r="F3" s="6"/>
      <ns0:c r="G3" s="6"/>
      <ns0:c r="H3" s="6"/>
      <ns0:c r="I3" s="6"/>
      <ns0:c r="J3" s="6"/>
      <ns0:c r="K3" s="6"/>
      <ns0:c r="L3" s="6"/>
      <ns0:c r="M3" s="6"/>
      <ns0:c r="N3" s="6"/>
      <ns0:c r="O3" s="6"/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主体乙</ns0:t>
        </ns0:is>
      </ns0:c>
    </ns0:row>
    <ns0:row r="4" ht="20" customHeight="1">
      <ns0:c r="A4" s="2" t="inlineStr">
        <ns0:is>
          <ns0:t>销售商品、提供劳务收到的现金</ns0:t>
        </ns0:is>
      </ns0:c>
      <ns0:c r="B4" s="2"/>
      <ns0:c r="C4" s="3"/>
      <ns0:c r="D4" s="3"/>
      <ns0:c r="E4" s="3"/>
      <ns0:c r="F4" s="3"/>
      <ns0:c r="G4" s="3"/>
      <ns0:c r="H4" s="3"/>
      <ns0:c r="I4" s="3"/>
      <ns0:c r="J4" s="3"/>
      <ns0:c r="K4" s="3"/>
      <ns0:c r="L4" s="3"/>
      <ns0:c r="M4" s="3"/>
      <ns0:c r="N4" s="3"/>
      <ns0:c r="O4" s="3"/>
      <ns0:c r="P4" s="2"/>
      <ns0:c r="Q4" s="2"/>
      <ns0:c r="R4" s="2"/>
      <ns0:c r="S4" s="2"/>
      <ns0:c r="T4" s="2"/>
      <ns0:c r="U4" s="2"/>
      <ns0:c r="V4" s="2"/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S-03e3bfa6bf</ns0:t>
        </ns0:is>
      </ns0:c>
    </ns0:row>
    <ns0:row r="5" ht="20" customHeight="1">
      <ns0:c r="A5" s="2" t="inlineStr">
        <ns0:is>
          <ns0:t>收到的税费返还</ns0:t>
        </ns0:is>
      </ns0:c>
      <ns0:c r="B5" s="2"/>
      <ns0:c r="C5" s="3"/>
      <ns0:c r="D5" s="3"/>
      <ns0:c r="E5" s="3"/>
      <ns0:c r="F5" s="3"/>
      <ns0:c r="G5" s="3"/>
      <ns0:c r="H5" s="3"/>
      <ns0:c r="I5" s="3"/>
      <ns0:c r="J5" s="3"/>
      <ns0:c r="K5" s="3"/>
      <ns0:c r="L5" s="3"/>
      <ns0:c r="M5" s="3"/>
      <ns0:c r="N5" s="3"/>
      <ns0:c r="O5" s="3"/>
      <ns0:c r="P5" s="2"/>
      <ns0:c r="Q5" s="2"/>
      <ns0:c r="R5" s="2"/>
      <ns0:c r="S5" s="2"/>
      <ns0:c r="T5" s="2"/>
      <ns0:c r="U5" s="2"/>
      <ns0:c r="V5" s="2"/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扩展情景</ns0:t>
        </ns0:is>
      </ns0:c>
    </ns0:row>
    <ns0:row r="6" ht="20" customHeight="1">
      <ns0:c r="A6" s="2" t="inlineStr">
        <ns0:is>
          <ns0:t>收到其他与经营活动有关的现金</ns0:t>
        </ns0:is>
      </ns0:c>
      <ns0:c r="B6" s="2"/>
      <ns0:c r="C6" s="3"/>
      <ns0:c r="D6" s="3"/>
      <ns0:c r="E6" s="3"/>
      <ns0:c r="F6" s="3"/>
      <ns0:c r="G6" s="3"/>
      <ns0:c r="H6" s="3"/>
      <ns0:c r="I6" s="3"/>
      <ns0:c r="J6" s="3"/>
      <ns0:c r="K6" s="3"/>
      <ns0:c r="L6" s="3"/>
      <ns0:c r="M6" s="3"/>
      <ns0:c r="N6" s="3"/>
      <ns0:c r="O6" s="3"/>
      <ns0:c r="P6" s="2"/>
      <ns0:c r="Q6" s="2"/>
      <ns0:c r="R6" s="2"/>
      <ns0:c r="S6" s="2"/>
      <ns0:c r="T6" s="2"/>
      <ns0:c r="U6" s="2"/>
      <ns0:c r="V6" s="2"/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 t="inlineStr">
        <ns0:is>
          <ns0:t>经营活动现金流入小计</ns0:t>
        </ns0:is>
      </ns0:c>
      <ns0:c r="B7" s="2"/>
      <ns0:c r="C7" s="3"/>
      <ns0:c r="D7" s="3"/>
      <ns0:c r="E7" s="3"/>
      <ns0:c r="F7" s="3"/>
      <ns0:c r="G7" s="3"/>
      <ns0:c r="H7" s="3"/>
      <ns0:c r="I7" s="3"/>
      <ns0:c r="J7" s="3"/>
      <ns0:c r="K7" s="3"/>
      <ns0:c r="L7" s="3"/>
      <ns0:c r="M7" s="3"/>
      <ns0:c r="N7" s="3"/>
      <ns0:c r="O7" s="3"/>
      <ns0:c r="P7" s="2"/>
      <ns0:c r="Q7" s="2"/>
      <ns0:c r="R7" s="2"/>
      <ns0:c r="S7" s="2"/>
      <ns0:c r="T7" s="2"/>
      <ns0:c r="U7" s="2"/>
      <ns0:c r="V7" s="2"/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季度</ns0:t>
        </ns0:is>
      </ns0:c>
    </ns0:row>
    <ns0:row r="8" ht="20" customHeight="1">
      <ns0:c r="A8" s="2" t="inlineStr">
        <ns0:is>
          <ns0:t>购买商品、接受劳务支付的现金（04）</ns0:t>
        </ns0:is>
      </ns0:c>
      <ns0:c r="B8" s="2"/>
      <ns0:c r="C8" s="3"/>
      <ns0:c r="D8" s="3"/>
      <ns0:c r="E8" s="3"/>
      <ns0:c r="F8" s="3"/>
      <ns0:c r="G8" s="3"/>
      <ns0:c r="H8" s="3"/>
      <ns0:c r="I8" s="3"/>
      <ns0:c r="J8" s="3"/>
      <ns0:c r="K8" s="3"/>
      <ns0:c r="L8" s="3"/>
      <ns0:c r="M8" s="3"/>
      <ns0:c r="N8" s="3"/>
      <ns0:c r="O8" s="3"/>
      <ns0:c r="P8" s="2"/>
      <ns0:c r="Q8" s="2"/>
      <ns0:c r="R8" s="2"/>
      <ns0:c r="S8" s="2"/>
      <ns0:c r="T8" s="2"/>
      <ns0:c r="U8" s="2"/>
      <ns0:c r="V8" s="2"/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 t="inlineStr">
        <ns0:is>
          <ns0:t>支付给职工以及为职工支付的现金（05）</ns0:t>
        </ns0:is>
      </ns0:c>
      <ns0:c r="B9" s="2"/>
      <ns0:c r="C9" s="3"/>
      <ns0:c r="D9" s="3"/>
      <ns0:c r="E9" s="3"/>
      <ns0:c r="F9" s="3"/>
      <ns0:c r="G9" s="3"/>
      <ns0:c r="H9" s="3"/>
      <ns0:c r="I9" s="3"/>
      <ns0:c r="J9" s="3"/>
      <ns0:c r="K9" s="3"/>
      <ns0:c r="L9" s="3"/>
      <ns0:c r="M9" s="3"/>
      <ns0:c r="N9" s="3"/>
      <ns0:c r="O9" s="3"/>
      <ns0:c r="P9" s="2"/>
      <ns0:c r="Q9" s="2"/>
      <ns0:c r="R9" s="2"/>
      <ns0:c r="S9" s="2"/>
      <ns0:c r="T9" s="2"/>
      <ns0:c r="U9" s="2"/>
      <ns0:c r="V9" s="2"/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 t="inlineStr">
        <ns0:is>
          <ns0:t>支付的各项税费（06）</ns0:t>
        </ns0:is>
      </ns0:c>
      <ns0:c r="B10" s="2"/>
      <ns0:c r="C10" s="3"/>
      <ns0:c r="D10" s="3"/>
      <ns0:c r="E10" s="3"/>
      <ns0:c r="F10" s="3"/>
      <ns0:c r="G10" s="3"/>
      <ns0:c r="H10" s="3"/>
      <ns0:c r="I10" s="3"/>
      <ns0:c r="J10" s="3"/>
      <ns0:c r="K10" s="3"/>
      <ns0:c r="L10" s="3"/>
      <ns0:c r="M10" s="3"/>
      <ns0:c r="N10" s="3"/>
      <ns0:c r="O10" s="3"/>
      <ns0:c r="P10" s="2"/>
      <ns0:c r="Q10" s="2"/>
      <ns0:c r="R10" s="2"/>
      <ns0:c r="S10" s="2"/>
      <ns0:c r="T10" s="2"/>
      <ns0:c r="U10" s="2"/>
      <ns0:c r="V10" s="2"/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 t="inlineStr">
        <ns0:is>
          <ns0:t>支付其他与经营活动有关的现金（07）</ns0:t>
        </ns0:is>
      </ns0:c>
      <ns0:c r="B11" s="2"/>
      <ns0:c r="C11" s="3"/>
      <ns0:c r="D11" s="3"/>
      <ns0:c r="E11" s="3"/>
      <ns0:c r="F11" s="3"/>
      <ns0:c r="G11" s="3"/>
      <ns0:c r="H11" s="3"/>
      <ns0:c r="I11" s="3"/>
      <ns0:c r="J11" s="3"/>
      <ns0:c r="K11" s="3"/>
      <ns0:c r="L11" s="3"/>
      <ns0:c r="M11" s="3"/>
      <ns0:c r="N11" s="3"/>
      <ns0:c r="O11" s="3"/>
      <ns0:c r="P11" s="2"/>
      <ns0:c r="Q11" s="2"/>
      <ns0:c r="R11" s="2"/>
      <ns0:c r="S11" s="2"/>
      <ns0:c r="T11" s="2"/>
      <ns0:c r="U11" s="2"/>
      <ns0:c r="V11" s="2"/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 t="inlineStr">
        <ns0:is>
          <ns0:t>经营活动现金流出小计</ns0:t>
        </ns0:is>
      </ns0:c>
      <ns0:c r="B12" s="2"/>
      <ns0:c r="C12" s="3"/>
      <ns0:c r="D12" s="3"/>
      <ns0:c r="E12" s="3"/>
      <ns0:c r="F12" s="3"/>
      <ns0:c r="G12" s="3"/>
      <ns0:c r="H12" s="3"/>
      <ns0:c r="I12" s="3"/>
      <ns0:c r="J12" s="3"/>
      <ns0:c r="K12" s="3"/>
      <ns0:c r="L12" s="3"/>
      <ns0:c r="M12" s="3"/>
      <ns0:c r="N12" s="3"/>
      <ns0:c r="O12" s="3"/>
      <ns0:c r="P12" s="2"/>
      <ns0:c r="Q12" s="2"/>
      <ns0:c r="R12" s="2"/>
      <ns0:c r="S12" s="2"/>
      <ns0:c r="T12" s="2"/>
      <ns0:c r="U12" s="2"/>
      <ns0:c r="V12" s="2"/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 t="inlineStr">
        <ns0:is>
          <ns0:t>经营活动产生的现金流量净额</ns0:t>
        </ns0:is>
      </ns0:c>
      <ns0:c r="B13" s="2"/>
      <ns0:c r="C13" s="3">
        <ns0:f>SUM(C63:N63)</ns0:f>
        <ns0:v>2497335.38</ns0:v>
      </ns0:c>
      <ns0:c r="D13" s="3"/>
      <ns0:c r="E13" s="3"/>
      <ns0:c r="F13" s="3"/>
      <ns0:c r="G13" s="3"/>
      <ns0:c r="H13" s="3"/>
      <ns0:c r="I13" s="3"/>
      <ns0:c r="J13" s="3"/>
      <ns0:c r="K13" s="3"/>
      <ns0:c r="L13" s="3"/>
      <ns0:c r="M13" s="3"/>
      <ns0:c r="N13" s="3"/>
      <ns0:c r="O13" s="3"/>
      <ns0:c r="P13" s="2"/>
      <ns0:c r="Q13" s="2"/>
      <ns0:c r="R13" s="2"/>
      <ns0:c r="S13" s="2"/>
      <ns0:c r="T13" s="2"/>
      <ns0:c r="U13" s="2"/>
      <ns0:c r="V13" s="2"/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 t="inlineStr">
        <ns0:is>
          <ns0:t>二、投资活动产生的现金流量：</ns0:t>
        </ns0:is>
      </ns0:c>
      <ns0:c r="B14" s="2"/>
      <ns0:c r="C14" s="3"/>
      <ns0:c r="D14" s="3"/>
      <ns0:c r="E14" s="3"/>
      <ns0:c r="F14" s="3"/>
      <ns0:c r="G14" s="3"/>
      <ns0:c r="H14" s="3"/>
      <ns0:c r="I14" s="3"/>
      <ns0:c r="J14" s="3"/>
      <ns0:c r="K14" s="3"/>
      <ns0:c r="L14" s="3"/>
      <ns0:c r="M14" s="3"/>
      <ns0:c r="N14" s="3"/>
      <ns0:c r="O14" s="3"/>
      <ns0:c r="P14" s="2"/>
      <ns0:c r="Q14" s="2"/>
      <ns0:c r="R14" s="2"/>
      <ns0:c r="S14" s="2"/>
      <ns0:c r="T14" s="2"/>
      <ns0:c r="U14" s="2"/>
      <ns0:c r="V14" s="2"/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 t="inlineStr">
        <ns0:is>
          <ns0:t>收回投资收到的现金</ns0:t>
        </ns0:is>
      </ns0:c>
      <ns0:c r="B15" s="2"/>
      <ns0:c r="C15" s="3"/>
      <ns0:c r="D15" s="3"/>
      <ns0:c r="E15" s="3"/>
      <ns0:c r="F15" s="3"/>
      <ns0:c r="G15" s="3"/>
      <ns0:c r="H15" s="3"/>
      <ns0:c r="I15" s="3"/>
      <ns0:c r="J15" s="3"/>
      <ns0:c r="K15" s="3"/>
      <ns0:c r="L15" s="3"/>
      <ns0:c r="M15" s="3"/>
      <ns0:c r="N15" s="3"/>
      <ns0:c r="O15" s="3"/>
      <ns0:c r="P15" s="2"/>
      <ns0:c r="Q15" s="2"/>
      <ns0:c r="R15" s="2"/>
      <ns0:c r="S15" s="2"/>
      <ns0:c r="T15" s="2"/>
      <ns0:c r="U15" s="2"/>
      <ns0:c r="V15" s="2"/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 t="inlineStr">
        <ns0:is>
          <ns0:t>取得投资收益收到的现金</ns0:t>
        </ns0:is>
      </ns0:c>
      <ns0:c r="B16" s="2"/>
      <ns0:c r="C16" s="3"/>
      <ns0:c r="D16" s="3"/>
      <ns0:c r="E16" s="3"/>
      <ns0:c r="F16" s="3"/>
      <ns0:c r="G16" s="3"/>
      <ns0:c r="H16" s="3"/>
      <ns0:c r="I16" s="3"/>
      <ns0:c r="J16" s="3"/>
      <ns0:c r="K16" s="3"/>
      <ns0:c r="L16" s="3"/>
      <ns0:c r="M16" s="3"/>
      <ns0:c r="N16" s="3"/>
      <ns0:c r="O16" s="3"/>
      <ns0:c r="P16" s="2"/>
      <ns0:c r="Q16" s="2"/>
      <ns0:c r="R16" s="2"/>
      <ns0:c r="S16" s="2"/>
      <ns0:c r="T16" s="2"/>
      <ns0:c r="U16" s="2"/>
      <ns0:c r="V16" s="2"/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预算基础</ns0:t>
        </ns0:is>
      </ns0:c>
    </ns0:row>
    <ns0:row r="17" ht="20" customHeight="1">
      <ns0:c r="A17" s="2" t="inlineStr">
        <ns0:is>
          <ns0:t>处置固定资产、无形资产和其他长期资产收回的现金净额</ns0:t>
        </ns0:is>
      </ns0:c>
      <ns0:c r="B17" s="2"/>
      <ns0:c r="C17" s="3"/>
      <ns0:c r="D17" s="3"/>
      <ns0:c r="E17" s="3"/>
      <ns0:c r="F17" s="3"/>
      <ns0:c r="G17" s="3"/>
      <ns0:c r="H17" s="3"/>
      <ns0:c r="I17" s="3"/>
      <ns0:c r="J17" s="3"/>
      <ns0:c r="K17" s="3"/>
      <ns0:c r="L17" s="3"/>
      <ns0:c r="M17" s="3"/>
      <ns0:c r="N17" s="3"/>
      <ns0:c r="O17" s="3"/>
      <ns0:c r="P17" s="2"/>
      <ns0:c r="Q17" s="2"/>
      <ns0:c r="R17" s="2"/>
      <ns0:c r="S17" s="2"/>
      <ns0:c r="T17" s="2"/>
      <ns0:c r="U17" s="2"/>
      <ns0:c r="V17" s="2"/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蓝色为预算基础输入参数；示例数值为占位；金额单位：元</ns0:t>
        </ns0:is>
      </ns0:c>
    </ns0:row>
    <ns0:row r="18" ht="20" customHeight="1">
      <ns0:c r="A18" s="2" t="inlineStr">
        <ns0:is>
          <ns0:t>处置子公司及其他营业单位收到的现金净额</ns0:t>
        </ns0:is>
      </ns0:c>
      <ns0:c r="B18" s="2"/>
      <ns0:c r="C18" s="3"/>
      <ns0:c r="D18" s="3"/>
      <ns0:c r="E18" s="3"/>
      <ns0:c r="F18" s="3"/>
      <ns0:c r="G18" s="3"/>
      <ns0:c r="H18" s="3"/>
      <ns0:c r="I18" s="3"/>
      <ns0:c r="J18" s="3"/>
      <ns0:c r="K18" s="3"/>
      <ns0:c r="L18" s="3"/>
      <ns0:c r="M18" s="3"/>
      <ns0:c r="N18" s="3"/>
      <ns0:c r="O18" s="3"/>
      <ns0:c r="P18" s="2"/>
      <ns0:c r="Q18" s="2"/>
      <ns0:c r="R18" s="2"/>
      <ns0:c r="S18" s="2"/>
      <ns0:c r="T18" s="2"/>
      <ns0:c r="U18" s="2"/>
      <ns0:c r="V18" s="2"/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 t="inlineStr">
        <ns0:is>
          <ns0:t>收到其他与投资活动有关的现金</ns0:t>
        </ns0:is>
      </ns0:c>
      <ns0:c r="B19" s="2"/>
      <ns0:c r="C19" s="3"/>
      <ns0:c r="D19" s="3"/>
      <ns0:c r="E19" s="3"/>
      <ns0:c r="F19" s="3"/>
      <ns0:c r="G19" s="3"/>
      <ns0:c r="H19" s="3"/>
      <ns0:c r="I19" s="3"/>
      <ns0:c r="J19" s="3"/>
      <ns0:c r="K19" s="3"/>
      <ns0:c r="L19" s="3"/>
      <ns0:c r="M19" s="3"/>
      <ns0:c r="N19" s="3"/>
      <ns0:c r="O19" s="3"/>
      <ns0:c r="P19" s="2"/>
      <ns0:c r="Q19" s="2"/>
      <ns0:c r="R19" s="2"/>
      <ns0:c r="S19" s="2"/>
      <ns0:c r="T19" s="2"/>
      <ns0:c r="U19" s="2"/>
      <ns0:c r="V19" s="2"/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 t="inlineStr">
        <ns0:is>
          <ns0:t>投资活动现金流入小计</ns0:t>
        </ns0:is>
      </ns0:c>
      <ns0:c r="B20" s="2"/>
      <ns0:c r="C20" s="3"/>
      <ns0:c r="D20" s="3"/>
      <ns0:c r="E20" s="3"/>
      <ns0:c r="F20" s="3"/>
      <ns0:c r="G20" s="3"/>
      <ns0:c r="H20" s="3"/>
      <ns0:c r="I20" s="3"/>
      <ns0:c r="J20" s="3"/>
      <ns0:c r="K20" s="3"/>
      <ns0:c r="L20" s="3"/>
      <ns0:c r="M20" s="3"/>
      <ns0:c r="N20" s="3"/>
      <ns0:c r="O20" s="3"/>
      <ns0:c r="P20" s="2"/>
      <ns0:c r="Q20" s="2"/>
      <ns0:c r="R20" s="2"/>
      <ns0:c r="S20" s="2"/>
      <ns0:c r="T20" s="2"/>
      <ns0:c r="U20" s="2"/>
      <ns0:c r="V20" s="2"/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 t="inlineStr">
        <ns0:is>
          <ns0:t>购建固定资产、无形资产和其他长期资产支付的现金（13）</ns0:t>
        </ns0:is>
      </ns0:c>
      <ns0:c r="B21" s="2"/>
      <ns0:c r="C21" s="3"/>
      <ns0:c r="D21" s="3"/>
      <ns0:c r="E21" s="3"/>
      <ns0:c r="F21" s="3"/>
      <ns0:c r="G21" s="3"/>
      <ns0:c r="H21" s="3"/>
      <ns0:c r="I21" s="3"/>
      <ns0:c r="J21" s="3"/>
      <ns0:c r="K21" s="3"/>
      <ns0:c r="L21" s="3"/>
      <ns0:c r="M21" s="3"/>
      <ns0:c r="N21" s="3"/>
      <ns0:c r="O21" s="3"/>
      <ns0:c r="P21" s="2"/>
      <ns0:c r="Q21" s="2"/>
      <ns0:c r="R21" s="2"/>
      <ns0:c r="S21" s="2"/>
      <ns0:c r="T21" s="2"/>
      <ns0:c r="U21" s="2"/>
      <ns0:c r="V21" s="2"/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 t="inlineStr">
        <ns0:is>
          <ns0:t>投资支付的现金（14）</ns0:t>
        </ns0:is>
      </ns0:c>
      <ns0:c r="B22" s="2"/>
      <ns0:c r="C22" s="3"/>
      <ns0:c r="D22" s="3"/>
      <ns0:c r="E22" s="3"/>
      <ns0:c r="F22" s="3"/>
      <ns0:c r="G22" s="3"/>
      <ns0:c r="H22" s="3"/>
      <ns0:c r="I22" s="3"/>
      <ns0:c r="J22" s="3"/>
      <ns0:c r="K22" s="3"/>
      <ns0:c r="L22" s="3"/>
      <ns0:c r="M22" s="3"/>
      <ns0:c r="N22" s="3"/>
      <ns0:c r="O22" s="3"/>
      <ns0:c r="P22" s="2"/>
      <ns0:c r="Q22" s="2"/>
      <ns0:c r="R22" s="2"/>
      <ns0:c r="S22" s="2"/>
      <ns0:c r="T22" s="2"/>
      <ns0:c r="U22" s="2"/>
      <ns0:c r="V22" s="2"/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 t="inlineStr">
        <ns0:is>
          <ns0:t>取得子公司及其他营业单位支付的现金净额</ns0:t>
        </ns0:is>
      </ns0:c>
      <ns0:c r="B23" s="2"/>
      <ns0:c r="C23" s="3"/>
      <ns0:c r="D23" s="3"/>
      <ns0:c r="E23" s="3"/>
      <ns0:c r="F23" s="3"/>
      <ns0:c r="G23" s="3"/>
      <ns0:c r="H23" s="3"/>
      <ns0:c r="I23" s="3"/>
      <ns0:c r="J23" s="3"/>
      <ns0:c r="K23" s="3"/>
      <ns0:c r="L23" s="3"/>
      <ns0:c r="M23" s="3"/>
      <ns0:c r="N23" s="3"/>
      <ns0:c r="O23" s="3"/>
      <ns0:c r="P23" s="2"/>
      <ns0:c r="Q23" s="2"/>
      <ns0:c r="R23" s="2"/>
      <ns0:c r="S23" s="2"/>
      <ns0:c r="T23" s="2"/>
      <ns0:c r="U23" s="2"/>
      <ns0:c r="V23" s="2"/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 t="inlineStr">
        <ns0:is>
          <ns0:t>支付其他与投资活动有关的现金</ns0:t>
        </ns0:is>
      </ns0:c>
      <ns0:c r="B24" s="2"/>
      <ns0:c r="C24" s="3"/>
      <ns0:c r="D24" s="3"/>
      <ns0:c r="E24" s="3"/>
      <ns0:c r="F24" s="3"/>
      <ns0:c r="G24" s="3"/>
      <ns0:c r="H24" s="3"/>
      <ns0:c r="I24" s="3"/>
      <ns0:c r="J24" s="3"/>
      <ns0:c r="K24" s="3"/>
      <ns0:c r="L24" s="3"/>
      <ns0:c r="M24" s="3"/>
      <ns0:c r="N24" s="3"/>
      <ns0:c r="O24" s="3"/>
      <ns0:c r="P24" s="2"/>
      <ns0:c r="Q24" s="2"/>
      <ns0:c r="R24" s="2"/>
      <ns0:c r="S24" s="2"/>
      <ns0:c r="T24" s="2"/>
      <ns0:c r="U24" s="2"/>
      <ns0:c r="V24" s="2"/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 t="inlineStr">
        <ns0:is>
          <ns0:t>投资活动现金流出小计</ns0:t>
        </ns0:is>
      </ns0:c>
      <ns0:c r="B25" s="2"/>
      <ns0:c r="C25" s="3"/>
      <ns0:c r="D25" s="3"/>
      <ns0:c r="E25" s="3"/>
      <ns0:c r="F25" s="3"/>
      <ns0:c r="G25" s="3"/>
      <ns0:c r="H25" s="3"/>
      <ns0:c r="I25" s="3"/>
      <ns0:c r="J25" s="3"/>
      <ns0:c r="K25" s="3"/>
      <ns0:c r="L25" s="3"/>
      <ns0:c r="M25" s="3"/>
      <ns0:c r="N25" s="3"/>
      <ns0:c r="O25" s="3"/>
      <ns0:c r="P25" s="2"/>
      <ns0:c r="Q25" s="2"/>
      <ns0:c r="R25" s="2"/>
      <ns0:c r="S25" s="2"/>
      <ns0:c r="T25" s="2"/>
      <ns0:c r="U25" s="2"/>
      <ns0:c r="V25" s="2"/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 t="inlineStr">
        <ns0:is>
          <ns0:t>投资活动产生的现金流量净额</ns0:t>
        </ns0:is>
      </ns0:c>
      <ns0:c r="B26" s="2"/>
      <ns0:c r="C26" s="3">
        <ns0:f>SUM(C64:N64)</ns0:f>
        <ns0:v>0</ns0:v>
      </ns0:c>
      <ns0:c r="D26" s="3"/>
      <ns0:c r="E26" s="3"/>
      <ns0:c r="F26" s="3"/>
      <ns0:c r="G26" s="3"/>
      <ns0:c r="H26" s="3"/>
      <ns0:c r="I26" s="3"/>
      <ns0:c r="J26" s="3"/>
      <ns0:c r="K26" s="3"/>
      <ns0:c r="L26" s="3"/>
      <ns0:c r="M26" s="3"/>
      <ns0:c r="N26" s="3"/>
      <ns0:c r="O26" s="3"/>
      <ns0:c r="P26" s="2"/>
      <ns0:c r="Q26" s="2"/>
      <ns0:c r="R26" s="2"/>
      <ns0:c r="S26" s="2"/>
      <ns0:c r="T26" s="2"/>
      <ns0:c r="U26" s="2"/>
      <ns0:c r="V26" s="2"/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 t="inlineStr">
        <ns0:is>
          <ns0:t>三、筹资活动产生的现金流量：</ns0:t>
        </ns0:is>
      </ns0:c>
      <ns0:c r="B27" s="2"/>
      <ns0:c r="C27" s="3"/>
      <ns0:c r="D27" s="3"/>
      <ns0:c r="E27" s="3"/>
      <ns0:c r="F27" s="3"/>
      <ns0:c r="G27" s="3"/>
      <ns0:c r="H27" s="3"/>
      <ns0:c r="I27" s="3"/>
      <ns0:c r="J27" s="3"/>
      <ns0:c r="K27" s="3"/>
      <ns0:c r="L27" s="3"/>
      <ns0:c r="M27" s="3"/>
      <ns0:c r="N27" s="3"/>
      <ns0:c r="O27" s="3"/>
      <ns0:c r="P27" s="2"/>
      <ns0:c r="Q27" s="2"/>
      <ns0:c r="R27" s="2"/>
      <ns0:c r="S27" s="2"/>
      <ns0:c r="T27" s="2"/>
      <ns0:c r="U27" s="2"/>
      <ns0:c r="V27" s="2"/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 t="inlineStr">
        <ns0:is>
          <ns0:t>吸收投资收到的现金</ns0:t>
        </ns0:is>
      </ns0:c>
      <ns0:c r="B28" s="2"/>
      <ns0:c r="C28" s="3"/>
      <ns0:c r="D28" s="3"/>
      <ns0:c r="E28" s="3"/>
      <ns0:c r="F28" s="3"/>
      <ns0:c r="G28" s="3"/>
      <ns0:c r="H28" s="3"/>
      <ns0:c r="I28" s="3"/>
      <ns0:c r="J28" s="3"/>
      <ns0:c r="K28" s="3"/>
      <ns0:c r="L28" s="3"/>
      <ns0:c r="M28" s="3"/>
      <ns0:c r="N28" s="3"/>
      <ns0:c r="O28" s="3"/>
      <ns0:c r="P28" s="2"/>
      <ns0:c r="Q28" s="2"/>
      <ns0:c r="R28" s="2"/>
      <ns0:c r="S28" s="2"/>
      <ns0:c r="T28" s="2"/>
      <ns0:c r="U28" s="2"/>
      <ns0:c r="V28" s="2"/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 t="inlineStr">
        <ns0:is>
          <ns0:t>取得借款收到的现金</ns0:t>
        </ns0:is>
      </ns0:c>
      <ns0:c r="B29" s="2"/>
      <ns0:c r="C29" s="3"/>
      <ns0:c r="D29" s="3"/>
      <ns0:c r="E29" s="3"/>
      <ns0:c r="F29" s="3"/>
      <ns0:c r="G29" s="3"/>
      <ns0:c r="H29" s="3"/>
      <ns0:c r="I29" s="3"/>
      <ns0:c r="J29" s="3"/>
      <ns0:c r="K29" s="3"/>
      <ns0:c r="L29" s="3"/>
      <ns0:c r="M29" s="3"/>
      <ns0:c r="N29" s="3"/>
      <ns0:c r="O29" s="3"/>
      <ns0:c r="P29" s="2"/>
      <ns0:c r="Q29" s="2"/>
      <ns0:c r="R29" s="2"/>
      <ns0:c r="S29" s="2"/>
      <ns0:c r="T29" s="2"/>
      <ns0:c r="U29" s="2"/>
      <ns0:c r="V29" s="2"/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 t="inlineStr">
        <ns0:is>
          <ns0:t>收到其他与筹资活动有关的现金</ns0:t>
        </ns0:is>
      </ns0:c>
      <ns0:c r="B30" s="5"/>
      <ns0:c r="C30" s="6"/>
      <ns0:c r="D30" s="6"/>
      <ns0:c r="E30" s="6"/>
      <ns0:c r="F30" s="6"/>
      <ns0:c r="G30" s="6"/>
      <ns0:c r="H30" s="6"/>
      <ns0:c r="I30" s="6"/>
      <ns0:c r="J30" s="6"/>
      <ns0:c r="K30" s="6"/>
      <ns0:c r="L30" s="6"/>
      <ns0:c r="M30" s="6"/>
      <ns0:c r="N30" s="6"/>
      <ns0:c r="O30" s="6"/>
      <ns0:c r="P30" s="2"/>
      <ns0:c r="Q30" s="2"/>
      <ns0:c r="R30" s="2"/>
      <ns0:c r="S30" s="2"/>
      <ns0:c r="T30" s="2"/>
      <ns0:c r="U30" s="2"/>
      <ns0:c r="V30" s="2"/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 t="inlineStr">
        <ns0:is>
          <ns0:t>筹资活动现金流入小计</ns0:t>
        </ns0:is>
      </ns0:c>
      <ns0:c r="B31" s="2"/>
      <ns0:c r="C31" s="3"/>
      <ns0:c r="D31" s="3"/>
      <ns0:c r="E31" s="3"/>
      <ns0:c r="F31" s="3"/>
      <ns0:c r="G31" s="3"/>
      <ns0:c r="H31" s="3"/>
      <ns0:c r="I31" s="3"/>
      <ns0:c r="J31" s="3"/>
      <ns0:c r="K31" s="3"/>
      <ns0:c r="L31" s="3"/>
      <ns0:c r="M31" s="3"/>
      <ns0:c r="N31" s="3"/>
      <ns0:c r="O31" s="3"/>
      <ns0:c r="P31" s="2"/>
      <ns0:c r="Q31" s="2"/>
      <ns0:c r="R31" s="2"/>
      <ns0:c r="S31" s="2"/>
      <ns0:c r="T31" s="2"/>
      <ns0:c r="U31" s="2"/>
      <ns0:c r="V31" s="2"/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 t="inlineStr">
        <ns0:is>
          <ns0:t>偿还债务支付的现金</ns0:t>
        </ns0:is>
      </ns0:c>
      <ns0:c r="B32" s="2"/>
      <ns0:c r="C32" s="3"/>
      <ns0:c r="D32" s="3"/>
      <ns0:c r="E32" s="3"/>
      <ns0:c r="F32" s="3"/>
      <ns0:c r="G32" s="3"/>
      <ns0:c r="H32" s="3"/>
      <ns0:c r="I32" s="3"/>
      <ns0:c r="J32" s="3"/>
      <ns0:c r="K32" s="3"/>
      <ns0:c r="L32" s="3"/>
      <ns0:c r="M32" s="3"/>
      <ns0:c r="N32" s="3"/>
      <ns0:c r="O32" s="3"/>
      <ns0:c r="P32" s="2"/>
      <ns0:c r="Q32" s="2"/>
      <ns0:c r="R32" s="2"/>
      <ns0:c r="S32" s="2"/>
      <ns0:c r="T32" s="2"/>
      <ns0:c r="U32" s="2"/>
      <ns0:c r="V32" s="2"/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 t="inlineStr">
        <ns0:is>
          <ns0:t>分配股利、利润或偿付利息支付的现金</ns0:t>
        </ns0:is>
      </ns0:c>
      <ns0:c r="B33" s="2"/>
      <ns0:c r="C33" s="3"/>
      <ns0:c r="D33" s="3"/>
      <ns0:c r="E33" s="3"/>
      <ns0:c r="F33" s="3"/>
      <ns0:c r="G33" s="3"/>
      <ns0:c r="H33" s="3"/>
      <ns0:c r="I33" s="3"/>
      <ns0:c r="J33" s="3"/>
      <ns0:c r="K33" s="3"/>
      <ns0:c r="L33" s="3"/>
      <ns0:c r="M33" s="3"/>
      <ns0:c r="N33" s="3"/>
      <ns0:c r="O33" s="3"/>
      <ns0:c r="P33" s="2"/>
      <ns0:c r="Q33" s="2"/>
      <ns0:c r="R33" s="2"/>
      <ns0:c r="S33" s="2"/>
      <ns0:c r="T33" s="2"/>
      <ns0:c r="U33" s="2"/>
      <ns0:c r="V33" s="2"/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 t="inlineStr">
        <ns0:is>
          <ns0:t>支付其他与筹资活动有关的现金</ns0:t>
        </ns0:is>
      </ns0:c>
      <ns0:c r="B34" s="2"/>
      <ns0:c r="C34" s="3"/>
      <ns0:c r="D34" s="3"/>
      <ns0:c r="E34" s="3"/>
      <ns0:c r="F34" s="3"/>
      <ns0:c r="G34" s="3"/>
      <ns0:c r="H34" s="3"/>
      <ns0:c r="I34" s="3"/>
      <ns0:c r="J34" s="3"/>
      <ns0:c r="K34" s="3"/>
      <ns0:c r="L34" s="3"/>
      <ns0:c r="M34" s="3"/>
      <ns0:c r="N34" s="3"/>
      <ns0:c r="O34" s="3"/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 t="inlineStr">
        <ns0:is>
          <ns0:t>筹资活动现金流出小计</ns0:t>
        </ns0:is>
      </ns0:c>
      <ns0:c r="B35" s="2"/>
      <ns0:c r="C35" s="3"/>
      <ns0:c r="D35" s="3"/>
      <ns0:c r="E35" s="3"/>
      <ns0:c r="F35" s="3"/>
      <ns0:c r="G35" s="3"/>
      <ns0:c r="H35" s="3"/>
      <ns0:c r="I35" s="3"/>
      <ns0:c r="J35" s="3"/>
      <ns0:c r="K35" s="3"/>
      <ns0:c r="L35" s="3"/>
      <ns0:c r="M35" s="3"/>
      <ns0:c r="N35" s="3"/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 t="inlineStr">
        <ns0:is>
          <ns0:t>筹资活动产生的现金流量净额</ns0:t>
        </ns0:is>
      </ns0:c>
      <ns0:c r="B36" s="2"/>
      <ns0:c r="C36" s="3">
        <ns0:f>SUM(C65:N65)</ns0:f>
        <ns0:v>0</ns0:v>
      </ns0:c>
      <ns0:c r="D36" s="3"/>
      <ns0:c r="E36" s="3"/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 t="inlineStr">
        <ns0:is>
          <ns0:t>四、汇率变动对现金及现金等价物的影响</ns0:t>
        </ns0:is>
      </ns0:c>
      <ns0:c r="B37" s="2"/>
      <ns0:c r="C37" s="3"/>
      <ns0:c r="D37" s="3"/>
      <ns0:c r="E37" s="3"/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 t="inlineStr">
        <ns0:is>
          <ns0:t>五、现金及现金等价物净增加额</ns0:t>
        </ns0:is>
      </ns0:c>
      <ns0:c r="B38" s="2"/>
      <ns0:c r="C38" s="3">
        <ns0:f>SUM(C66:N66)</ns0:f>
        <ns0:v>2497335.38</ns0:v>
      </ns0:c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 t="inlineStr">
        <ns0:is>
          <ns0:t>加：期初现金及现金等价物余额</ns0:t>
        </ns0:is>
      </ns0:c>
      <ns0:c r="B39" s="2"/>
      <ns0:c r="C39" s="3">
        <ns0:f>C67</ns0:f>
        <ns0:v>154008.06</ns0:v>
      </ns0:c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 t="inlineStr">
        <ns0:is>
          <ns0:t>六、期末现金及现金等价物余额</ns0:t>
        </ns0:is>
      </ns0:c>
      <ns0:c r="B40" s="2"/>
      <ns0:c r="C40" s="3">
        <ns0:f>N68</ns0:f>
        <ns0:v>2651343.44</ns0:v>
      </ns0:c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 t="inlineStr">
        <ns0:is>
          <ns0:t>预算基础月度勾稽</ns0:t>
        </ns0:is>
      </ns0:c>
      <ns0:c r="C60" s="6" t="inlineStr">
        <ns0:is>
          <ns0:t>2027-01</ns0:t>
        </ns0:is>
      </ns0:c>
      <ns0:c r="D60" s="6" t="inlineStr">
        <ns0:is>
          <ns0:t>2027-02</ns0:t>
        </ns0:is>
      </ns0:c>
      <ns0:c r="E60" s="6" t="inlineStr">
        <ns0:is>
          <ns0:t>2027-03</ns0:t>
        </ns0:is>
      </ns0:c>
      <ns0:c r="F60" s="6" t="inlineStr">
        <ns0:is>
          <ns0:t>2027-04</ns0:t>
        </ns0:is>
      </ns0:c>
      <ns0:c r="G60" s="6" t="inlineStr">
        <ns0:is>
          <ns0:t>2027-05</ns0:t>
        </ns0:is>
      </ns0:c>
      <ns0:c r="H60" s="6" t="inlineStr">
        <ns0:is>
          <ns0:t>2027-06</ns0:t>
        </ns0:is>
      </ns0:c>
      <ns0:c r="I60" s="6" t="inlineStr">
        <ns0:is>
          <ns0:t>2027-07</ns0:t>
        </ns0:is>
      </ns0:c>
      <ns0:c r="J60" s="6" t="inlineStr">
        <ns0:is>
          <ns0:t>2027-08</ns0:t>
        </ns0:is>
      </ns0:c>
      <ns0:c r="K60" s="6" t="inlineStr">
        <ns0:is>
          <ns0:t>2027-09</ns0:t>
        </ns0:is>
      </ns0:c>
      <ns0:c r="L60" s="6" t="inlineStr">
        <ns0:is>
          <ns0:t>2027-10</ns0:t>
        </ns0:is>
      </ns0:c>
      <ns0:c r="M60" s="6" t="inlineStr">
        <ns0:is>
          <ns0:t>2027-11</ns0:t>
        </ns0:is>
      </ns0:c>
      <ns0:c r="N60" s="6" t="inlineStr">
        <ns0:is>
          <ns0:t>2027-12</ns0:t>
        </ns0:is>
      </ns0:c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 t="inlineStr">
        <ns0:is>
          <ns0:t>净利润</ns0:t>
        </ns0:is>
      </ns0:c>
      <ns0:c r="C61" s="3">
        <ns0:f>'利润表'!C69</ns0:f>
        <ns0:v>228853.09</ns0:v>
      </ns0:c>
      <ns0:c r="D61" s="3">
        <ns0:f>'利润表'!D69</ns0:f>
        <ns0:v>159740.60</ns0:v>
      </ns0:c>
      <ns0:c r="E61" s="3">
        <ns0:f>'利润表'!E69</ns0:f>
        <ns0:v>248565.57</ns0:v>
      </ns0:c>
      <ns0:c r="F61" s="3">
        <ns0:f>'利润表'!F69</ns0:f>
        <ns0:v>143931.10</ns0:v>
      </ns0:c>
      <ns0:c r="G61" s="3">
        <ns0:f>'利润表'!G69</ns0:f>
        <ns0:v>324342.55</ns0:v>
      </ns0:c>
      <ns0:c r="H61" s="3">
        <ns0:f>'利润表'!H69</ns0:f>
        <ns0:v>195287.49</ns0:v>
      </ns0:c>
      <ns0:c r="I61" s="3">
        <ns0:f>'利润表'!I69</ns0:f>
        <ns0:v>179528.85</ns0:v>
      </ns0:c>
      <ns0:c r="J61" s="3">
        <ns0:f>'利润表'!J69</ns0:f>
        <ns0:v>280416.66</ns0:v>
      </ns0:c>
      <ns0:c r="K61" s="3">
        <ns0:f>'利润表'!K69</ns0:f>
        <ns0:v>178340.18</ns0:v>
      </ns0:c>
      <ns0:c r="L61" s="3">
        <ns0:f>'利润表'!L69</ns0:f>
        <ns0:v>205370.76</ns0:v>
      </ns0:c>
      <ns0:c r="M61" s="3">
        <ns0:f>'利润表'!M69</ns0:f>
        <ns0:v>141138.42</ns0:v>
      </ns0:c>
      <ns0:c r="N61" s="3">
        <ns0:f>'利润表'!N69</ns0:f>
        <ns0:v>190353.67</ns0:v>
      </ns0:c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 t="inlineStr">
        <ns0:is>
          <ns0:t>折旧摊销加回</ns0:t>
        </ns0:is>
      </ns0:c>
      <ns0:c r="C62" s="3">
        <ns0:f>'销售费用'!C20+'管理费用'!C20+'蓝恐龙费用'!C20</ns0:f>
        <ns0:v>1788.87</ns0:v>
      </ns0:c>
      <ns0:c r="D62" s="3">
        <ns0:f>'销售费用'!D20+'管理费用'!D20+'蓝恐龙费用'!D20</ns0:f>
        <ns0:v>1788.87</ns0:v>
      </ns0:c>
      <ns0:c r="E62" s="3">
        <ns0:f>'销售费用'!E20+'管理费用'!E20+'蓝恐龙费用'!E20</ns0:f>
        <ns0:v>1788.87</ns0:v>
      </ns0:c>
      <ns0:c r="F62" s="3">
        <ns0:f>'销售费用'!F20+'管理费用'!F20+'蓝恐龙费用'!F20</ns0:f>
        <ns0:v>1788.87</ns0:v>
      </ns0:c>
      <ns0:c r="G62" s="3">
        <ns0:f>'销售费用'!G20+'管理费用'!G20+'蓝恐龙费用'!G20</ns0:f>
        <ns0:v>1788.87</ns0:v>
      </ns0:c>
      <ns0:c r="H62" s="3">
        <ns0:f>'销售费用'!H20+'管理费用'!H20+'蓝恐龙费用'!H20</ns0:f>
        <ns0:v>1788.87</ns0:v>
      </ns0:c>
      <ns0:c r="I62" s="3">
        <ns0:f>'销售费用'!I20+'管理费用'!I20+'蓝恐龙费用'!I20</ns0:f>
        <ns0:v>1788.87</ns0:v>
      </ns0:c>
      <ns0:c r="J62" s="3">
        <ns0:f>'销售费用'!J20+'管理费用'!J20+'蓝恐龙费用'!J20</ns0:f>
        <ns0:v>1788.87</ns0:v>
      </ns0:c>
      <ns0:c r="K62" s="3">
        <ns0:f>'销售费用'!K20+'管理费用'!K20+'蓝恐龙费用'!K20</ns0:f>
        <ns0:v>1788.87</ns0:v>
      </ns0:c>
      <ns0:c r="L62" s="3">
        <ns0:f>'销售费用'!L20+'管理费用'!L20+'蓝恐龙费用'!L20</ns0:f>
        <ns0:v>1788.87</ns0:v>
      </ns0:c>
      <ns0:c r="M62" s="3">
        <ns0:f>'销售费用'!M20+'管理费用'!M20+'蓝恐龙费用'!M20</ns0:f>
        <ns0:v>1788.87</ns0:v>
      </ns0:c>
      <ns0:c r="N62" s="3">
        <ns0:f>'销售费用'!N20+'管理费用'!N20+'蓝恐龙费用'!N20</ns0:f>
        <ns0:v>1788.87</ns0:v>
      </ns0:c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 t="inlineStr">
        <ns0:is>
          <ns0:t>经营现金净流量</ns0:t>
        </ns0:is>
      </ns0:c>
      <ns0:c r="C63" s="3">
        <ns0:f>SUM(C61:C62)</ns0:f>
        <ns0:v>230641.96</ns0:v>
      </ns0:c>
      <ns0:c r="D63" s="3">
        <ns0:f>SUM(D61:D62)</ns0:f>
        <ns0:v>161529.47</ns0:v>
      </ns0:c>
      <ns0:c r="E63" s="3">
        <ns0:f>SUM(E61:E62)</ns0:f>
        <ns0:v>250354.44</ns0:v>
      </ns0:c>
      <ns0:c r="F63" s="3">
        <ns0:f>SUM(F61:F62)</ns0:f>
        <ns0:v>145719.97</ns0:v>
      </ns0:c>
      <ns0:c r="G63" s="3">
        <ns0:f>SUM(G61:G62)</ns0:f>
        <ns0:v>326131.42</ns0:v>
      </ns0:c>
      <ns0:c r="H63" s="3">
        <ns0:f>SUM(H61:H62)</ns0:f>
        <ns0:v>197076.36</ns0:v>
      </ns0:c>
      <ns0:c r="I63" s="3">
        <ns0:f>SUM(I61:I62)</ns0:f>
        <ns0:v>181317.72</ns0:v>
      </ns0:c>
      <ns0:c r="J63" s="3">
        <ns0:f>SUM(J61:J62)</ns0:f>
        <ns0:v>282205.53</ns0:v>
      </ns0:c>
      <ns0:c r="K63" s="3">
        <ns0:f>SUM(K61:K62)</ns0:f>
        <ns0:v>180129.05</ns0:v>
      </ns0:c>
      <ns0:c r="L63" s="3">
        <ns0:f>SUM(L61:L62)</ns0:f>
        <ns0:v>207159.63</ns0:v>
      </ns0:c>
      <ns0:c r="M63" s="3">
        <ns0:f>SUM(M61:M62)</ns0:f>
        <ns0:v>142927.29</ns0:v>
      </ns0:c>
      <ns0:c r="N63" s="3">
        <ns0:f>SUM(N61:N62)</ns0:f>
        <ns0:v>192142.54</ns0:v>
      </ns0:c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 t="inlineStr">
        <ns0:is>
          <ns0:t>投资现金净流量</ns0:t>
        </ns0:is>
      </ns0:c>
      <ns0:c r="C64" s="3">
        <ns0:f>0</ns0:f>
        <ns0:v>0</ns0:v>
      </ns0:c>
      <ns0:c r="D64" s="3">
        <ns0:f>0</ns0:f>
        <ns0:v>0</ns0:v>
      </ns0:c>
      <ns0:c r="E64" s="3">
        <ns0:f>0</ns0:f>
        <ns0:v>0</ns0:v>
      </ns0:c>
      <ns0:c r="F64" s="3">
        <ns0:f>0</ns0:f>
        <ns0:v>0</ns0:v>
      </ns0:c>
      <ns0:c r="G64" s="3">
        <ns0:f>0</ns0:f>
        <ns0:v>0</ns0:v>
      </ns0:c>
      <ns0:c r="H64" s="3">
        <ns0:f>0</ns0:f>
        <ns0:v>0</ns0:v>
      </ns0:c>
      <ns0:c r="I64" s="3">
        <ns0:f>0</ns0:f>
        <ns0:v>0</ns0:v>
      </ns0:c>
      <ns0:c r="J64" s="3">
        <ns0:f>0</ns0:f>
        <ns0:v>0</ns0:v>
      </ns0:c>
      <ns0:c r="K64" s="3">
        <ns0:f>0</ns0:f>
        <ns0:v>0</ns0:v>
      </ns0:c>
      <ns0:c r="L64" s="3">
        <ns0:f>0</ns0:f>
        <ns0:v>0</ns0:v>
      </ns0:c>
      <ns0:c r="M64" s="3">
        <ns0:f>0</ns0:f>
        <ns0:v>0</ns0:v>
      </ns0:c>
      <ns0:c r="N64" s="3">
        <ns0:f>0</ns0:f>
        <ns0:v>0</ns0:v>
      </ns0:c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 t="inlineStr">
        <ns0:is>
          <ns0:t>筹资现金净流量</ns0:t>
        </ns0:is>
      </ns0:c>
      <ns0:c r="C65" s="3">
        <ns0:f>0</ns0:f>
        <ns0:v>0</ns0:v>
      </ns0:c>
      <ns0:c r="D65" s="3">
        <ns0:f>0</ns0:f>
        <ns0:v>0</ns0:v>
      </ns0:c>
      <ns0:c r="E65" s="3">
        <ns0:f>0</ns0:f>
        <ns0:v>0</ns0:v>
      </ns0:c>
      <ns0:c r="F65" s="3">
        <ns0:f>0</ns0:f>
        <ns0:v>0</ns0:v>
      </ns0:c>
      <ns0:c r="G65" s="3">
        <ns0:f>0</ns0:f>
        <ns0:v>0</ns0:v>
      </ns0:c>
      <ns0:c r="H65" s="3">
        <ns0:f>0</ns0:f>
        <ns0:v>0</ns0:v>
      </ns0:c>
      <ns0:c r="I65" s="3">
        <ns0:f>0</ns0:f>
        <ns0:v>0</ns0:v>
      </ns0:c>
      <ns0:c r="J65" s="3">
        <ns0:f>0</ns0:f>
        <ns0:v>0</ns0:v>
      </ns0:c>
      <ns0:c r="K65" s="3">
        <ns0:f>0</ns0:f>
        <ns0:v>0</ns0:v>
      </ns0:c>
      <ns0:c r="L65" s="3">
        <ns0:f>0</ns0:f>
        <ns0:v>0</ns0:v>
      </ns0:c>
      <ns0:c r="M65" s="3">
        <ns0:f>0</ns0:f>
        <ns0:v>0</ns0:v>
      </ns0:c>
      <ns0:c r="N65" s="3">
        <ns0:f>0</ns0:f>
        <ns0:v>0</ns0:v>
      </ns0:c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 t="inlineStr">
        <ns0:is>
          <ns0:t>现金净增加</ns0:t>
        </ns0:is>
      </ns0:c>
      <ns0:c r="C66" s="3">
        <ns0:f>SUM(C63:C65)</ns0:f>
        <ns0:v>230641.96</ns0:v>
      </ns0:c>
      <ns0:c r="D66" s="3">
        <ns0:f>SUM(D63:D65)</ns0:f>
        <ns0:v>161529.47</ns0:v>
      </ns0:c>
      <ns0:c r="E66" s="3">
        <ns0:f>SUM(E63:E65)</ns0:f>
        <ns0:v>250354.44</ns0:v>
      </ns0:c>
      <ns0:c r="F66" s="3">
        <ns0:f>SUM(F63:F65)</ns0:f>
        <ns0:v>145719.97</ns0:v>
      </ns0:c>
      <ns0:c r="G66" s="3">
        <ns0:f>SUM(G63:G65)</ns0:f>
        <ns0:v>326131.42</ns0:v>
      </ns0:c>
      <ns0:c r="H66" s="3">
        <ns0:f>SUM(H63:H65)</ns0:f>
        <ns0:v>197076.36</ns0:v>
      </ns0:c>
      <ns0:c r="I66" s="3">
        <ns0:f>SUM(I63:I65)</ns0:f>
        <ns0:v>181317.72</ns0:v>
      </ns0:c>
      <ns0:c r="J66" s="3">
        <ns0:f>SUM(J63:J65)</ns0:f>
        <ns0:v>282205.53</ns0:v>
      </ns0:c>
      <ns0:c r="K66" s="3">
        <ns0:f>SUM(K63:K65)</ns0:f>
        <ns0:v>180129.05</ns0:v>
      </ns0:c>
      <ns0:c r="L66" s="3">
        <ns0:f>SUM(L63:L65)</ns0:f>
        <ns0:v>207159.63</ns0:v>
      </ns0:c>
      <ns0:c r="M66" s="3">
        <ns0:f>SUM(M63:M65)</ns0:f>
        <ns0:v>142927.29</ns0:v>
      </ns0:c>
      <ns0:c r="N66" s="3">
        <ns0:f>SUM(N63:N65)</ns0:f>
        <ns0:v>192142.54</ns0:v>
      </ns0:c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 t="inlineStr">
        <ns0:is>
          <ns0:t>期初现金</ns0:t>
        </ns0:is>
      </ns0:c>
      <ns0:c r="C67" s="3">
        <ns0:f>'资产负债表'!$C$200</ns0:f>
        <ns0:v>154008.06</ns0:v>
      </ns0:c>
      <ns0:c r="D67" s="3">
        <ns0:f>C68</ns0:f>
        <ns0:v>384650.02</ns0:v>
      </ns0:c>
      <ns0:c r="E67" s="3">
        <ns0:f>D68</ns0:f>
        <ns0:v>546179.49</ns0:v>
      </ns0:c>
      <ns0:c r="F67" s="3">
        <ns0:f>E68</ns0:f>
        <ns0:v>796533.93</ns0:v>
      </ns0:c>
      <ns0:c r="G67" s="3">
        <ns0:f>F68</ns0:f>
        <ns0:v>942253.90</ns0:v>
      </ns0:c>
      <ns0:c r="H67" s="3">
        <ns0:f>G68</ns0:f>
        <ns0:v>1268385.32</ns0:v>
      </ns0:c>
      <ns0:c r="I67" s="3">
        <ns0:f>H68</ns0:f>
        <ns0:v>1465461.68</ns0:v>
      </ns0:c>
      <ns0:c r="J67" s="3">
        <ns0:f>I68</ns0:f>
        <ns0:v>1646779.40</ns0:v>
      </ns0:c>
      <ns0:c r="K67" s="3">
        <ns0:f>J68</ns0:f>
        <ns0:v>1928984.93</ns0:v>
      </ns0:c>
      <ns0:c r="L67" s="3">
        <ns0:f>K68</ns0:f>
        <ns0:v>2109113.98</ns0:v>
      </ns0:c>
      <ns0:c r="M67" s="3">
        <ns0:f>L68</ns0:f>
        <ns0:v>2316273.61</ns0:v>
      </ns0:c>
      <ns0:c r="N67" s="3">
        <ns0:f>M68</ns0:f>
        <ns0:v>2459200.90</ns0:v>
      </ns0:c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 t="inlineStr">
        <ns0:is>
          <ns0:t>期末现金</ns0:t>
        </ns0:is>
      </ns0:c>
      <ns0:c r="C68" s="3">
        <ns0:f>SUM(C66:C67)</ns0:f>
        <ns0:v>384650.02</ns0:v>
      </ns0:c>
      <ns0:c r="D68" s="3">
        <ns0:f>SUM(D66:D67)</ns0:f>
        <ns0:v>546179.49</ns0:v>
      </ns0:c>
      <ns0:c r="E68" s="3">
        <ns0:f>SUM(E66:E67)</ns0:f>
        <ns0:v>796533.93</ns0:v>
      </ns0:c>
      <ns0:c r="F68" s="3">
        <ns0:f>SUM(F66:F67)</ns0:f>
        <ns0:v>942253.90</ns0:v>
      </ns0:c>
      <ns0:c r="G68" s="3">
        <ns0:f>SUM(G66:G67)</ns0:f>
        <ns0:v>1268385.32</ns0:v>
      </ns0:c>
      <ns0:c r="H68" s="3">
        <ns0:f>SUM(H66:H67)</ns0:f>
        <ns0:v>1465461.68</ns0:v>
      </ns0:c>
      <ns0:c r="I68" s="3">
        <ns0:f>SUM(I66:I67)</ns0:f>
        <ns0:v>1646779.40</ns0:v>
      </ns0:c>
      <ns0:c r="J68" s="3">
        <ns0:f>SUM(J66:J67)</ns0:f>
        <ns0:v>1928984.93</ns0:v>
      </ns0:c>
      <ns0:c r="K68" s="3">
        <ns0:f>SUM(K66:K67)</ns0:f>
        <ns0:v>2109113.98</ns0:v>
      </ns0:c>
      <ns0:c r="L68" s="3">
        <ns0:f>SUM(L66:L67)</ns0:f>
        <ns0:v>2316273.61</ns0:v>
      </ns0:c>
      <ns0:c r="M68" s="3">
        <ns0:f>SUM(M66:M67)</ns0:f>
        <ns0:v>2459200.90</ns0:v>
      </ns0:c>
      <ns0:c r="N68" s="3">
        <ns0:f>SUM(N66:N67)</ns0:f>
        <ns0:v>2651343.44</ns0:v>
      </ns0:c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/>
      <ns0:c r="C204" s="3"/>
      <ns0:c r="D204" s="3"/>
      <ns0:c r="E204" s="3"/>
      <ns0:c r="F204" s="3"/>
      <ns0:c r="G204" s="3"/>
      <ns0:c r="H204" s="3"/>
      <ns0:c r="I204" s="3"/>
      <ns0:c r="J204" s="3"/>
      <ns0:c r="K204" s="3"/>
      <ns0:c r="L204" s="3"/>
      <ns0:c r="M204" s="3"/>
      <ns0:c r="N204" s="3"/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/>
      <ns0:c r="C205" s="3"/>
      <ns0:c r="D205" s="3"/>
      <ns0:c r="E205" s="3"/>
      <ns0:c r="F205" s="3"/>
      <ns0:c r="G205" s="3"/>
      <ns0:c r="H205" s="3"/>
      <ns0:c r="I205" s="3"/>
      <ns0:c r="J205" s="3"/>
      <ns0:c r="K205" s="3"/>
      <ns0:c r="L205" s="3"/>
      <ns0:c r="M205" s="3"/>
      <ns0:c r="N205" s="3"/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/>
      <ns0:c r="C206" s="3"/>
      <ns0:c r="D206" s="3"/>
      <ns0:c r="E206" s="3"/>
      <ns0:c r="F206" s="3"/>
      <ns0:c r="G206" s="3"/>
      <ns0:c r="H206" s="3"/>
      <ns0:c r="I206" s="3"/>
      <ns0:c r="J206" s="3"/>
      <ns0:c r="K206" s="3"/>
      <ns0:c r="L206" s="3"/>
      <ns0:c r="M206" s="3"/>
      <ns0:c r="N206" s="3"/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/>
      <ns0:c r="C207" s="3"/>
      <ns0:c r="D207" s="3"/>
      <ns0:c r="E207" s="3"/>
      <ns0:c r="F207" s="3"/>
      <ns0:c r="G207" s="3"/>
      <ns0:c r="H207" s="3"/>
      <ns0:c r="I207" s="3"/>
      <ns0:c r="J207" s="3"/>
      <ns0:c r="K207" s="3"/>
      <ns0:c r="L207" s="3"/>
      <ns0:c r="M207" s="3"/>
      <ns0:c r="N207" s="3"/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/>
      <ns0:c r="C208" s="3"/>
      <ns0:c r="D208" s="3"/>
      <ns0:c r="E208" s="3"/>
      <ns0:c r="F208" s="3"/>
      <ns0:c r="G208" s="3"/>
      <ns0:c r="H208" s="3"/>
      <ns0:c r="I208" s="3"/>
      <ns0:c r="J208" s="3"/>
      <ns0:c r="K208" s="3"/>
      <ns0:c r="L208" s="3"/>
      <ns0:c r="M208" s="3"/>
      <ns0:c r="N208" s="3"/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/>
      <ns0:c r="C209" s="3"/>
      <ns0:c r="D209" s="3"/>
      <ns0:c r="E209" s="3"/>
      <ns0:c r="F209" s="3"/>
      <ns0:c r="G209" s="3"/>
      <ns0:c r="H209" s="3"/>
      <ns0:c r="I209" s="3"/>
      <ns0:c r="J209" s="3"/>
      <ns0:c r="K209" s="3"/>
      <ns0:c r="L209" s="3"/>
      <ns0:c r="M209" s="3"/>
      <ns0:c r="N209" s="3"/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/>
      <ns0:c r="C210" s="3"/>
      <ns0:c r="D210" s="3"/>
      <ns0:c r="E210" s="3"/>
      <ns0:c r="F210" s="3"/>
      <ns0:c r="G210" s="3"/>
      <ns0:c r="H210" s="3"/>
      <ns0:c r="I210" s="3"/>
      <ns0:c r="J210" s="3"/>
      <ns0:c r="K210" s="3"/>
      <ns0:c r="L210" s="3"/>
      <ns0:c r="M210" s="3"/>
      <ns0:c r="N210" s="3"/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/>
      <ns0:c r="C211" s="3"/>
      <ns0:c r="D211" s="3"/>
      <ns0:c r="E211" s="3"/>
      <ns0:c r="F211" s="3"/>
      <ns0:c r="G211" s="3"/>
      <ns0:c r="H211" s="3"/>
      <ns0:c r="I211" s="3"/>
      <ns0:c r="J211" s="3"/>
      <ns0:c r="K211" s="3"/>
      <ns0:c r="L211" s="3"/>
      <ns0:c r="M211" s="3"/>
      <ns0:c r="N211" s="3"/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/>
      <ns0:c r="C212" s="3"/>
      <ns0:c r="D212" s="3"/>
      <ns0:c r="E212" s="3"/>
      <ns0:c r="F212" s="3"/>
      <ns0:c r="G212" s="3"/>
      <ns0:c r="H212" s="3"/>
      <ns0:c r="I212" s="3"/>
      <ns0:c r="J212" s="3"/>
      <ns0:c r="K212" s="3"/>
      <ns0:c r="L212" s="3"/>
      <ns0:c r="M212" s="3"/>
      <ns0:c r="N212" s="3"/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/>
      <ns0:c r="C213" s="3"/>
      <ns0:c r="D213" s="3"/>
      <ns0:c r="E213" s="3"/>
      <ns0:c r="F213" s="3"/>
      <ns0:c r="G213" s="3"/>
      <ns0:c r="H213" s="3"/>
      <ns0:c r="I213" s="3"/>
      <ns0:c r="J213" s="3"/>
      <ns0:c r="K213" s="3"/>
      <ns0:c r="L213" s="3"/>
      <ns0:c r="M213" s="3"/>
      <ns0:c r="N213" s="3"/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/>
      <ns0:c r="C214" s="3"/>
      <ns0:c r="D214" s="3"/>
      <ns0:c r="E214" s="3"/>
      <ns0:c r="F214" s="3"/>
      <ns0:c r="G214" s="3"/>
      <ns0:c r="H214" s="3"/>
      <ns0:c r="I214" s="3"/>
      <ns0:c r="J214" s="3"/>
      <ns0:c r="K214" s="3"/>
      <ns0:c r="L214" s="3"/>
      <ns0:c r="M214" s="3"/>
      <ns0:c r="N214" s="3"/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/>
      <ns0:c r="C215" s="3"/>
      <ns0:c r="D215" s="3"/>
      <ns0:c r="E215" s="3"/>
      <ns0:c r="F215" s="3"/>
      <ns0:c r="G215" s="3"/>
      <ns0:c r="H215" s="3"/>
      <ns0:c r="I215" s="3"/>
      <ns0:c r="J215" s="3"/>
      <ns0:c r="K215" s="3"/>
      <ns0:c r="L215" s="3"/>
      <ns0:c r="M215" s="3"/>
      <ns0:c r="N215" s="3"/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/>
      <ns0:c r="C216" s="3"/>
      <ns0:c r="D216" s="3"/>
      <ns0:c r="E216" s="3"/>
      <ns0:c r="F216" s="3"/>
      <ns0:c r="G216" s="3"/>
      <ns0:c r="H216" s="3"/>
      <ns0:c r="I216" s="3"/>
      <ns0:c r="J216" s="3"/>
      <ns0:c r="K216" s="3"/>
      <ns0:c r="L216" s="3"/>
      <ns0:c r="M216" s="3"/>
      <ns0:c r="N216" s="3"/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/>
      <ns0:c r="C217" s="3"/>
      <ns0:c r="D217" s="3"/>
      <ns0:c r="E217" s="3"/>
      <ns0:c r="F217" s="3"/>
      <ns0:c r="G217" s="3"/>
      <ns0:c r="H217" s="3"/>
      <ns0:c r="I217" s="3"/>
      <ns0:c r="J217" s="3"/>
      <ns0:c r="K217" s="3"/>
      <ns0:c r="L217" s="3"/>
      <ns0:c r="M217" s="3"/>
      <ns0:c r="N217" s="3"/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/>
      <ns0:c r="C218" s="3"/>
      <ns0:c r="D218" s="3"/>
      <ns0:c r="E218" s="3"/>
      <ns0:c r="F218" s="3"/>
      <ns0:c r="G218" s="3"/>
      <ns0:c r="H218" s="3"/>
      <ns0:c r="I218" s="3"/>
      <ns0:c r="J218" s="3"/>
      <ns0:c r="K218" s="3"/>
      <ns0:c r="L218" s="3"/>
      <ns0:c r="M218" s="3"/>
      <ns0:c r="N218" s="3"/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/>
      <ns0:c r="C219" s="3"/>
      <ns0:c r="D219" s="3"/>
      <ns0:c r="E219" s="3"/>
      <ns0:c r="F219" s="3"/>
      <ns0:c r="G219" s="3"/>
      <ns0:c r="H219" s="3"/>
      <ns0:c r="I219" s="3"/>
      <ns0:c r="J219" s="3"/>
      <ns0:c r="K219" s="3"/>
      <ns0:c r="L219" s="3"/>
      <ns0:c r="M219" s="3"/>
      <ns0:c r="N219" s="3"/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/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/>
      <ns0:c r="C221" s="3"/>
      <ns0:c r="D221" s="3"/>
      <ns0:c r="E221" s="3"/>
      <ns0:c r="F221" s="3"/>
      <ns0:c r="G221" s="3"/>
      <ns0:c r="H221" s="3"/>
      <ns0:c r="I221" s="3"/>
      <ns0:c r="J221" s="3"/>
      <ns0:c r="K221" s="3"/>
      <ns0:c r="L221" s="3"/>
      <ns0:c r="M221" s="3"/>
      <ns0:c r="N221" s="3"/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/>
      <ns0:c r="C222" s="3"/>
      <ns0:c r="D222" s="3"/>
      <ns0:c r="E222" s="3"/>
      <ns0:c r="F222" s="3"/>
      <ns0:c r="G222" s="3"/>
      <ns0:c r="H222" s="3"/>
      <ns0:c r="I222" s="3"/>
      <ns0:c r="J222" s="3"/>
      <ns0:c r="K222" s="3"/>
      <ns0:c r="L222" s="3"/>
      <ns0:c r="M222" s="3"/>
      <ns0:c r="N222" s="3"/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/>
      <ns0:c r="C223" s="3"/>
      <ns0:c r="D223" s="3"/>
      <ns0:c r="E223" s="3"/>
      <ns0:c r="F223" s="3"/>
      <ns0:c r="G223" s="3"/>
      <ns0:c r="H223" s="3"/>
      <ns0:c r="I223" s="3"/>
      <ns0:c r="J223" s="3"/>
      <ns0:c r="K223" s="3"/>
      <ns0:c r="L223" s="3"/>
      <ns0:c r="M223" s="3"/>
      <ns0:c r="N223" s="3"/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/>
      <ns0:c r="C224" s="3"/>
      <ns0:c r="D224" s="3"/>
      <ns0:c r="E224" s="3"/>
      <ns0:c r="F224" s="3"/>
      <ns0:c r="G224" s="3"/>
      <ns0:c r="H224" s="3"/>
      <ns0:c r="I224" s="3"/>
      <ns0:c r="J224" s="3"/>
      <ns0:c r="K224" s="3"/>
      <ns0:c r="L224" s="3"/>
      <ns0:c r="M224" s="3"/>
      <ns0:c r="N224" s="3"/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/>
      <ns0:c r="C225" s="3"/>
      <ns0:c r="D225" s="3"/>
      <ns0:c r="E225" s="3"/>
      <ns0:c r="F225" s="3"/>
      <ns0:c r="G225" s="3"/>
      <ns0:c r="H225" s="3"/>
      <ns0:c r="I225" s="3"/>
      <ns0:c r="J225" s="3"/>
      <ns0:c r="K225" s="3"/>
      <ns0:c r="L225" s="3"/>
      <ns0:c r="M225" s="3"/>
      <ns0:c r="N225" s="3"/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/>
      <ns0:c r="C226" s="3"/>
      <ns0:c r="D226" s="3"/>
      <ns0:c r="E226" s="3"/>
      <ns0:c r="F226" s="3"/>
      <ns0:c r="G226" s="3"/>
      <ns0:c r="H226" s="3"/>
      <ns0:c r="I226" s="3"/>
      <ns0:c r="J226" s="3"/>
      <ns0:c r="K226" s="3"/>
      <ns0:c r="L226" s="3"/>
      <ns0:c r="M226" s="3"/>
      <ns0:c r="N226" s="3"/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/>
      <ns0:c r="C227" s="3"/>
      <ns0:c r="D227" s="3"/>
      <ns0:c r="E227" s="3"/>
      <ns0:c r="F227" s="3"/>
      <ns0:c r="G227" s="3"/>
      <ns0:c r="H227" s="3"/>
      <ns0:c r="I227" s="3"/>
      <ns0:c r="J227" s="3"/>
      <ns0:c r="K227" s="3"/>
      <ns0:c r="L227" s="3"/>
      <ns0:c r="M227" s="3"/>
      <ns0:c r="N227" s="3"/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/>
      <ns0:c r="C228" s="3"/>
      <ns0:c r="D228" s="3"/>
      <ns0:c r="E228" s="3"/>
      <ns0:c r="F228" s="3"/>
      <ns0:c r="G228" s="3"/>
      <ns0:c r="H228" s="3"/>
      <ns0:c r="I228" s="3"/>
      <ns0:c r="J228" s="3"/>
      <ns0:c r="K228" s="3"/>
      <ns0:c r="L228" s="3"/>
      <ns0:c r="M228" s="3"/>
      <ns0:c r="N228" s="3"/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/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/>
      <ns0:c r="C230" s="3"/>
      <ns0:c r="D230" s="3"/>
      <ns0:c r="E230" s="3"/>
      <ns0:c r="F230" s="3"/>
      <ns0:c r="G230" s="3"/>
      <ns0:c r="H230" s="3"/>
      <ns0:c r="I230" s="3"/>
      <ns0:c r="J230" s="3"/>
      <ns0:c r="K230" s="3"/>
      <ns0:c r="L230" s="3"/>
      <ns0:c r="M230" s="3"/>
      <ns0:c r="N230" s="3"/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/>
      <ns0:c r="C231" s="3"/>
      <ns0:c r="D231" s="3"/>
      <ns0:c r="E231" s="3"/>
      <ns0:c r="F231" s="3"/>
      <ns0:c r="G231" s="3"/>
      <ns0:c r="H231" s="3"/>
      <ns0:c r="I231" s="3"/>
      <ns0:c r="J231" s="3"/>
      <ns0:c r="K231" s="3"/>
      <ns0:c r="L231" s="3"/>
      <ns0:c r="M231" s="3"/>
      <ns0:c r="N231" s="3"/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/>
      <ns0:c r="C232" s="3"/>
      <ns0:c r="D232" s="3"/>
      <ns0:c r="E232" s="3"/>
      <ns0:c r="F232" s="3"/>
      <ns0:c r="G232" s="3"/>
      <ns0:c r="H232" s="3"/>
      <ns0:c r="I232" s="3"/>
      <ns0:c r="J232" s="3"/>
      <ns0:c r="K232" s="3"/>
      <ns0:c r="L232" s="3"/>
      <ns0:c r="M232" s="3"/>
      <ns0:c r="N232" s="3"/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/>
      <ns0:c r="C233" s="3"/>
      <ns0:c r="D233" s="3"/>
      <ns0:c r="E233" s="3"/>
      <ns0:c r="F233" s="3"/>
      <ns0:c r="G233" s="3"/>
      <ns0:c r="H233" s="3"/>
      <ns0:c r="I233" s="3"/>
      <ns0:c r="J233" s="3"/>
      <ns0:c r="K233" s="3"/>
      <ns0:c r="L233" s="3"/>
      <ns0:c r="M233" s="3"/>
      <ns0:c r="N233" s="3"/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/>
      <ns0:c r="C324" s="3"/>
      <ns0:c r="D324" s="3"/>
      <ns0:c r="E324" s="3"/>
      <ns0:c r="F324" s="3"/>
      <ns0:c r="G324" s="3"/>
      <ns0:c r="H324" s="3"/>
      <ns0:c r="I324" s="3"/>
      <ns0:c r="J324" s="3"/>
      <ns0:c r="K324" s="3"/>
      <ns0:c r="L324" s="3"/>
      <ns0:c r="M324" s="3"/>
      <ns0:c r="N324" s="3"/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/>
      <ns0:c r="C325" s="3"/>
      <ns0:c r="D325" s="3"/>
      <ns0:c r="E325" s="3"/>
      <ns0:c r="F325" s="3"/>
      <ns0:c r="G325" s="3"/>
      <ns0:c r="H325" s="3"/>
      <ns0:c r="I325" s="3"/>
      <ns0:c r="J325" s="3"/>
      <ns0:c r="K325" s="3"/>
      <ns0:c r="L325" s="3"/>
      <ns0:c r="M325" s="3"/>
      <ns0:c r="N325" s="3"/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/>
      <ns0:c r="C326" s="3"/>
      <ns0:c r="D326" s="3"/>
      <ns0:c r="E326" s="3"/>
      <ns0:c r="F326" s="3"/>
      <ns0:c r="G326" s="3"/>
      <ns0:c r="H326" s="3"/>
      <ns0:c r="I326" s="3"/>
      <ns0:c r="J326" s="3"/>
      <ns0:c r="K326" s="3"/>
      <ns0:c r="L326" s="3"/>
      <ns0:c r="M326" s="3"/>
      <ns0:c r="N326" s="3"/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/>
      <ns0:c r="C327" s="3"/>
      <ns0:c r="D327" s="3"/>
      <ns0:c r="E327" s="3"/>
      <ns0:c r="F327" s="3"/>
      <ns0:c r="G327" s="3"/>
      <ns0:c r="H327" s="3"/>
      <ns0:c r="I327" s="3"/>
      <ns0:c r="J327" s="3"/>
      <ns0:c r="K327" s="3"/>
      <ns0:c r="L327" s="3"/>
      <ns0:c r="M327" s="3"/>
      <ns0:c r="N327" s="3"/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/>
      <ns0:c r="C328" s="3"/>
      <ns0:c r="D328" s="3"/>
      <ns0:c r="E328" s="3"/>
      <ns0:c r="F328" s="3"/>
      <ns0:c r="G328" s="3"/>
      <ns0:c r="H328" s="3"/>
      <ns0:c r="I328" s="3"/>
      <ns0:c r="J328" s="3"/>
      <ns0:c r="K328" s="3"/>
      <ns0:c r="L328" s="3"/>
      <ns0:c r="M328" s="3"/>
      <ns0:c r="N328" s="3"/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/>
      <ns0:c r="C329" s="3"/>
      <ns0:c r="D329" s="3"/>
      <ns0:c r="E329" s="3"/>
      <ns0:c r="F329" s="3"/>
      <ns0:c r="G329" s="3"/>
      <ns0:c r="H329" s="3"/>
      <ns0:c r="I329" s="3"/>
      <ns0:c r="J329" s="3"/>
      <ns0:c r="K329" s="3"/>
      <ns0:c r="L329" s="3"/>
      <ns0:c r="M329" s="3"/>
      <ns0:c r="N329" s="3"/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/>
      <ns0:c r="C330" s="3"/>
      <ns0:c r="D330" s="3"/>
      <ns0:c r="E330" s="3"/>
      <ns0:c r="F330" s="3"/>
      <ns0:c r="G330" s="3"/>
      <ns0:c r="H330" s="3"/>
      <ns0:c r="I330" s="3"/>
      <ns0:c r="J330" s="3"/>
      <ns0:c r="K330" s="3"/>
      <ns0:c r="L330" s="3"/>
      <ns0:c r="M330" s="3"/>
      <ns0:c r="N330" s="3"/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/>
      <ns0:c r="C331" s="3"/>
      <ns0:c r="D331" s="3"/>
      <ns0:c r="E331" s="3"/>
      <ns0:c r="F331" s="3"/>
      <ns0:c r="G331" s="3"/>
      <ns0:c r="H331" s="3"/>
      <ns0:c r="I331" s="3"/>
      <ns0:c r="J331" s="3"/>
      <ns0:c r="K331" s="3"/>
      <ns0:c r="L331" s="3"/>
      <ns0:c r="M331" s="3"/>
      <ns0:c r="N331" s="3"/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/>
      <ns0:c r="C332" s="3"/>
      <ns0:c r="D332" s="3"/>
      <ns0:c r="E332" s="3"/>
      <ns0:c r="F332" s="3"/>
      <ns0:c r="G332" s="3"/>
      <ns0:c r="H332" s="3"/>
      <ns0:c r="I332" s="3"/>
      <ns0:c r="J332" s="3"/>
      <ns0:c r="K332" s="3"/>
      <ns0:c r="L332" s="3"/>
      <ns0:c r="M332" s="3"/>
      <ns0:c r="N332" s="3"/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/>
      <ns0:c r="C333" s="3"/>
      <ns0:c r="D333" s="3"/>
      <ns0:c r="E333" s="3"/>
      <ns0:c r="F333" s="3"/>
      <ns0:c r="G333" s="3"/>
      <ns0:c r="H333" s="3"/>
      <ns0:c r="I333" s="3"/>
      <ns0:c r="J333" s="3"/>
      <ns0:c r="K333" s="3"/>
      <ns0:c r="L333" s="3"/>
      <ns0:c r="M333" s="3"/>
      <ns0:c r="N333" s="3"/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/>
      <ns0:c r="C334" s="3"/>
      <ns0:c r="D334" s="3"/>
      <ns0:c r="E334" s="3"/>
      <ns0:c r="F334" s="3"/>
      <ns0:c r="G334" s="3"/>
      <ns0:c r="H334" s="3"/>
      <ns0:c r="I334" s="3"/>
      <ns0:c r="J334" s="3"/>
      <ns0:c r="K334" s="3"/>
      <ns0:c r="L334" s="3"/>
      <ns0:c r="M334" s="3"/>
      <ns0:c r="N334" s="3"/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/>
      <ns0:c r="C335" s="3"/>
      <ns0:c r="D335" s="3"/>
      <ns0:c r="E335" s="3"/>
      <ns0:c r="F335" s="3"/>
      <ns0:c r="G335" s="3"/>
      <ns0:c r="H335" s="3"/>
      <ns0:c r="I335" s="3"/>
      <ns0:c r="J335" s="3"/>
      <ns0:c r="K335" s="3"/>
      <ns0:c r="L335" s="3"/>
      <ns0:c r="M335" s="3"/>
      <ns0:c r="N335" s="3"/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/>
      <ns0:c r="C336" s="3"/>
      <ns0:c r="D336" s="3"/>
      <ns0:c r="E336" s="3"/>
      <ns0:c r="F336" s="3"/>
      <ns0:c r="G336" s="3"/>
      <ns0:c r="H336" s="3"/>
      <ns0:c r="I336" s="3"/>
      <ns0:c r="J336" s="3"/>
      <ns0:c r="K336" s="3"/>
      <ns0:c r="L336" s="3"/>
      <ns0:c r="M336" s="3"/>
      <ns0:c r="N336" s="3"/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/>
      <ns0:c r="C337" s="3"/>
      <ns0:c r="D337" s="3"/>
      <ns0:c r="E337" s="3"/>
      <ns0:c r="F337" s="3"/>
      <ns0:c r="G337" s="3"/>
      <ns0:c r="H337" s="3"/>
      <ns0:c r="I337" s="3"/>
      <ns0:c r="J337" s="3"/>
      <ns0:c r="K337" s="3"/>
      <ns0:c r="L337" s="3"/>
      <ns0:c r="M337" s="3"/>
      <ns0:c r="N337" s="3"/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/>
      <ns0:c r="C338" s="3"/>
      <ns0:c r="D338" s="3"/>
      <ns0:c r="E338" s="3"/>
      <ns0:c r="F338" s="3"/>
      <ns0:c r="G338" s="3"/>
      <ns0:c r="H338" s="3"/>
      <ns0:c r="I338" s="3"/>
      <ns0:c r="J338" s="3"/>
      <ns0:c r="K338" s="3"/>
      <ns0:c r="L338" s="3"/>
      <ns0:c r="M338" s="3"/>
      <ns0:c r="N338" s="3"/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/>
      <ns0:c r="C339" s="3"/>
      <ns0:c r="D339" s="3"/>
      <ns0:c r="E339" s="3"/>
      <ns0:c r="F339" s="3"/>
      <ns0:c r="G339" s="3"/>
      <ns0:c r="H339" s="3"/>
      <ns0:c r="I339" s="3"/>
      <ns0:c r="J339" s="3"/>
      <ns0:c r="K339" s="3"/>
      <ns0:c r="L339" s="3"/>
      <ns0:c r="M339" s="3"/>
      <ns0:c r="N339" s="3"/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/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/>
      <ns0:c r="C341" s="3"/>
      <ns0:c r="D341" s="3"/>
      <ns0:c r="E341" s="3"/>
      <ns0:c r="F341" s="3"/>
      <ns0:c r="G341" s="3"/>
      <ns0:c r="H341" s="3"/>
      <ns0:c r="I341" s="3"/>
      <ns0:c r="J341" s="3"/>
      <ns0:c r="K341" s="3"/>
      <ns0:c r="L341" s="3"/>
      <ns0:c r="M341" s="3"/>
      <ns0:c r="N341" s="3"/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/>
      <ns0:c r="C342" s="3"/>
      <ns0:c r="D342" s="3"/>
      <ns0:c r="E342" s="3"/>
      <ns0:c r="F342" s="3"/>
      <ns0:c r="G342" s="3"/>
      <ns0:c r="H342" s="3"/>
      <ns0:c r="I342" s="3"/>
      <ns0:c r="J342" s="3"/>
      <ns0:c r="K342" s="3"/>
      <ns0:c r="L342" s="3"/>
      <ns0:c r="M342" s="3"/>
      <ns0:c r="N342" s="3"/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/>
      <ns0:c r="C343" s="3"/>
      <ns0:c r="D343" s="3"/>
      <ns0:c r="E343" s="3"/>
      <ns0:c r="F343" s="3"/>
      <ns0:c r="G343" s="3"/>
      <ns0:c r="H343" s="3"/>
      <ns0:c r="I343" s="3"/>
      <ns0:c r="J343" s="3"/>
      <ns0:c r="K343" s="3"/>
      <ns0:c r="L343" s="3"/>
      <ns0:c r="M343" s="3"/>
      <ns0:c r="N343" s="3"/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/>
      <ns0:c r="C344" s="3"/>
      <ns0:c r="D344" s="3"/>
      <ns0:c r="E344" s="3"/>
      <ns0:c r="F344" s="3"/>
      <ns0:c r="G344" s="3"/>
      <ns0:c r="H344" s="3"/>
      <ns0:c r="I344" s="3"/>
      <ns0:c r="J344" s="3"/>
      <ns0:c r="K344" s="3"/>
      <ns0:c r="L344" s="3"/>
      <ns0:c r="M344" s="3"/>
      <ns0:c r="N344" s="3"/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/>
      <ns0:c r="C345" s="3"/>
      <ns0:c r="D345" s="3"/>
      <ns0:c r="E345" s="3"/>
      <ns0:c r="F345" s="3"/>
      <ns0:c r="G345" s="3"/>
      <ns0:c r="H345" s="3"/>
      <ns0:c r="I345" s="3"/>
      <ns0:c r="J345" s="3"/>
      <ns0:c r="K345" s="3"/>
      <ns0:c r="L345" s="3"/>
      <ns0:c r="M345" s="3"/>
      <ns0:c r="N345" s="3"/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/>
      <ns0:c r="C346" s="3"/>
      <ns0:c r="D346" s="3"/>
      <ns0:c r="E346" s="3"/>
      <ns0:c r="F346" s="3"/>
      <ns0:c r="G346" s="3"/>
      <ns0:c r="H346" s="3"/>
      <ns0:c r="I346" s="3"/>
      <ns0:c r="J346" s="3"/>
      <ns0:c r="K346" s="3"/>
      <ns0:c r="L346" s="3"/>
      <ns0:c r="M346" s="3"/>
      <ns0:c r="N346" s="3"/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/>
      <ns0:c r="C347" s="3"/>
      <ns0:c r="D347" s="3"/>
      <ns0:c r="E347" s="3"/>
      <ns0:c r="F347" s="3"/>
      <ns0:c r="G347" s="3"/>
      <ns0:c r="H347" s="3"/>
      <ns0:c r="I347" s="3"/>
      <ns0:c r="J347" s="3"/>
      <ns0:c r="K347" s="3"/>
      <ns0:c r="L347" s="3"/>
      <ns0:c r="M347" s="3"/>
      <ns0:c r="N347" s="3"/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/>
      <ns0:c r="C348" s="3"/>
      <ns0:c r="D348" s="3"/>
      <ns0:c r="E348" s="3"/>
      <ns0:c r="F348" s="3"/>
      <ns0:c r="G348" s="3"/>
      <ns0:c r="H348" s="3"/>
      <ns0:c r="I348" s="3"/>
      <ns0:c r="J348" s="3"/>
      <ns0:c r="K348" s="3"/>
      <ns0:c r="L348" s="3"/>
      <ns0:c r="M348" s="3"/>
      <ns0:c r="N348" s="3"/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/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/>
      <ns0:c r="C350" s="3"/>
      <ns0:c r="D350" s="3"/>
      <ns0:c r="E350" s="3"/>
      <ns0:c r="F350" s="3"/>
      <ns0:c r="G350" s="3"/>
      <ns0:c r="H350" s="3"/>
      <ns0:c r="I350" s="3"/>
      <ns0:c r="J350" s="3"/>
      <ns0:c r="K350" s="3"/>
      <ns0:c r="L350" s="3"/>
      <ns0:c r="M350" s="3"/>
      <ns0:c r="N350" s="3"/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/>
      <ns0:c r="C351" s="3"/>
      <ns0:c r="D351" s="3"/>
      <ns0:c r="E351" s="3"/>
      <ns0:c r="F351" s="3"/>
      <ns0:c r="G351" s="3"/>
      <ns0:c r="H351" s="3"/>
      <ns0:c r="I351" s="3"/>
      <ns0:c r="J351" s="3"/>
      <ns0:c r="K351" s="3"/>
      <ns0:c r="L351" s="3"/>
      <ns0:c r="M351" s="3"/>
      <ns0:c r="N351" s="3"/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/>
      <ns0:c r="C352" s="3"/>
      <ns0:c r="D352" s="3"/>
      <ns0:c r="E352" s="3"/>
      <ns0:c r="F352" s="3"/>
      <ns0:c r="G352" s="3"/>
      <ns0:c r="H352" s="3"/>
      <ns0:c r="I352" s="3"/>
      <ns0:c r="J352" s="3"/>
      <ns0:c r="K352" s="3"/>
      <ns0:c r="L352" s="3"/>
      <ns0:c r="M352" s="3"/>
      <ns0:c r="N352" s="3"/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/>
      <ns0:c r="C353" s="3"/>
      <ns0:c r="D353" s="3"/>
      <ns0:c r="E353" s="3"/>
      <ns0:c r="F353" s="3"/>
      <ns0:c r="G353" s="3"/>
      <ns0:c r="H353" s="3"/>
      <ns0:c r="I353" s="3"/>
      <ns0:c r="J353" s="3"/>
      <ns0:c r="K353" s="3"/>
      <ns0:c r="L353" s="3"/>
      <ns0:c r="M353" s="3"/>
      <ns0:c r="N353" s="3"/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mergeCells>
    <ns0:mergeCell ref="A1:D1"/>
  </ns0:mergeCells>
  <ns0:pageMargins left="0.7" right="0.7" top="0.75" bottom="0.75" header="0.3" footer="0.3"/>
</ns0:worksheet>
</file>

<file path=xl/worksheets/sheet4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2.5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15.75" hidden="0" customWidth="1"/>
    <ns0:col min="17" max="17" width="14.875" hidden="0" customWidth="1"/>
    <ns0:col min="18" max="18" width="9" hidden="0" customWidth="1"/>
    <ns0:col min="19" max="19" width="12.875" hidden="0" customWidth="1"/>
    <ns0:col min="20" max="20" width="15.75" hidden="0" customWidth="1"/>
    <ns0:col min="21" max="21" width="15.75" hidden="0" customWidth="1"/>
    <ns0:col min="22" max="22" width="18.25" hidden="0" customWidth="1"/>
    <ns0:col min="50" max="50" width="20" hidden="0" customWidth="1"/>
    <ns0:col min="51" max="51" width="65" hidden="0" customWidth="1"/>
    <ns0:col min="23" max="23" width="18.875" hidden="0" customWidth="1"/>
    <ns0:col min="24" max="24" width="11.625" hidden="0" customWidth="1"/>
    <ns0:col min="25" max="25" width="18.25" hidden="0" customWidth="1"/>
    <ns0:col min="26" max="26" width="18.25" hidden="0" customWidth="1"/>
    <ns0:col min="27" max="27" width="13" hidden="0" customWidth="1"/>
    <ns0:col min="28" max="28" width="13" hidden="0" customWidth="1"/>
    <ns0:col min="29" max="29" width="13.125" hidden="0" customWidth="1"/>
    <ns0:col min="30" max="30" width="13.125" hidden="0" customWidth="1"/>
    <ns0:col min="31" max="31" width="11.625" hidden="0" customWidth="1"/>
    <ns0:col min="32" max="32" width="11.625" hidden="0" customWidth="1"/>
    <ns0:col min="33" max="33" width="11.125" hidden="0" customWidth="1"/>
    <ns0:col min="34" max="34" width="14.625" hidden="0" customWidth="1"/>
  </ns0:cols>
  <ns0:sheetData>
    <ns0:row r="1" ht="20" customHeight="1">
      <ns0:c r="A1" s="2"/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/>
      <ns0:c r="B2" s="2"/>
      <ns0:c r="C2" s="3"/>
      <ns0:c r="D2" s="3"/>
      <ns0:c r="E2" s="3"/>
      <ns0:c r="F2" s="3"/>
      <ns0:c r="G2" s="3"/>
      <ns0:c r="H2" s="3"/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E-5f17fa2948</ns0:t>
        </ns0:is>
      </ns0:c>
    </ns0:row>
    <ns0:row r="3" ht="20" customHeight="1">
      <ns0:c r="A3" s="2"/>
      <ns0:c r="B3" s="2" t="inlineStr">
        <ns0:is>
          <ns0:t>电视剧</ns0:t>
        </ns0:is>
      </ns0:c>
      <ns0:c r="C3" s="6"/>
      <ns0:c r="D3" s="6" t="inlineStr">
        <ns0:is>
          <ns0:t>项目名称</ns0:t>
        </ns0:is>
      </ns0:c>
      <ns0:c r="E3" s="6"/>
      <ns0:c r="F3" s="6"/>
      <ns0:c r="G3" s="6"/>
      <ns0:c r="H3" s="6"/>
      <ns0:c r="I3" s="6"/>
      <ns0:c r="J3" s="6"/>
      <ns0:c r="K3" s="6"/>
      <ns0:c r="L3" s="6"/>
      <ns0:c r="M3" s="6"/>
      <ns0:c r="N3" s="6"/>
      <ns0:c r="O3" s="6"/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主体乙</ns0:t>
        </ns0:is>
      </ns0:c>
    </ns0:row>
    <ns0:row r="4" ht="20" customHeight="1">
      <ns0:c r="A4" s="2"/>
      <ns0:c r="B4" s="2"/>
      <ns0:c r="C4" s="3"/>
      <ns0:c r="D4" s="3"/>
      <ns0:c r="E4" s="3"/>
      <ns0:c r="F4" s="3"/>
      <ns0:c r="G4" s="3"/>
      <ns0:c r="H4" s="3"/>
      <ns0:c r="I4" s="3"/>
      <ns0:c r="J4" s="3"/>
      <ns0:c r="K4" s="3"/>
      <ns0:c r="L4" s="3"/>
      <ns0:c r="M4" s="3"/>
      <ns0:c r="N4" s="3"/>
      <ns0:c r="O4" s="3"/>
      <ns0:c r="P4" s="2"/>
      <ns0:c r="Q4" s="2"/>
      <ns0:c r="R4" s="2"/>
      <ns0:c r="S4" s="2"/>
      <ns0:c r="T4" s="2"/>
      <ns0:c r="U4" s="2"/>
      <ns0:c r="V4" s="2"/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S-03e3bfa6bf</ns0:t>
        </ns0:is>
      </ns0:c>
    </ns0:row>
    <ns0:row r="5" ht="20" customHeight="1">
      <ns0:c r="A5" s="2"/>
      <ns0:c r="B5" s="2"/>
      <ns0:c r="C5" s="3"/>
      <ns0:c r="D5" s="3"/>
      <ns0:c r="E5" s="3"/>
      <ns0:c r="F5" s="3"/>
      <ns0:c r="G5" s="3"/>
      <ns0:c r="H5" s="3"/>
      <ns0:c r="I5" s="3"/>
      <ns0:c r="J5" s="3"/>
      <ns0:c r="K5" s="3"/>
      <ns0:c r="L5" s="3"/>
      <ns0:c r="M5" s="3"/>
      <ns0:c r="N5" s="3"/>
      <ns0:c r="O5" s="3"/>
      <ns0:c r="P5" s="2"/>
      <ns0:c r="Q5" s="2"/>
      <ns0:c r="R5" s="2"/>
      <ns0:c r="S5" s="2"/>
      <ns0:c r="T5" s="2"/>
      <ns0:c r="U5" s="2"/>
      <ns0:c r="V5" s="2"/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扩展情景</ns0:t>
        </ns0:is>
      </ns0:c>
    </ns0:row>
    <ns0:row r="6" ht="20" customHeight="1">
      <ns0:c r="A6" s="2"/>
      <ns0:c r="B6" s="2"/>
      <ns0:c r="C6" s="3"/>
      <ns0:c r="D6" s="3"/>
      <ns0:c r="E6" s="3"/>
      <ns0:c r="F6" s="3"/>
      <ns0:c r="G6" s="3"/>
      <ns0:c r="H6" s="3"/>
      <ns0:c r="I6" s="3"/>
      <ns0:c r="J6" s="3"/>
      <ns0:c r="K6" s="3"/>
      <ns0:c r="L6" s="3"/>
      <ns0:c r="M6" s="3"/>
      <ns0:c r="N6" s="3"/>
      <ns0:c r="O6" s="3"/>
      <ns0:c r="P6" s="2"/>
      <ns0:c r="Q6" s="2"/>
      <ns0:c r="R6" s="2"/>
      <ns0:c r="S6" s="2"/>
      <ns0:c r="T6" s="2"/>
      <ns0:c r="U6" s="2"/>
      <ns0:c r="V6" s="2"/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/>
      <ns0:c r="B7" s="2"/>
      <ns0:c r="C7" s="3"/>
      <ns0:c r="D7" s="3"/>
      <ns0:c r="E7" s="3"/>
      <ns0:c r="F7" s="3"/>
      <ns0:c r="G7" s="3"/>
      <ns0:c r="H7" s="3"/>
      <ns0:c r="I7" s="3"/>
      <ns0:c r="J7" s="3"/>
      <ns0:c r="K7" s="3"/>
      <ns0:c r="L7" s="3"/>
      <ns0:c r="M7" s="3"/>
      <ns0:c r="N7" s="3"/>
      <ns0:c r="O7" s="3"/>
      <ns0:c r="P7" s="2"/>
      <ns0:c r="Q7" s="2"/>
      <ns0:c r="R7" s="2"/>
      <ns0:c r="S7" s="2"/>
      <ns0:c r="T7" s="2"/>
      <ns0:c r="U7" s="2"/>
      <ns0:c r="V7" s="2"/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季度</ns0:t>
        </ns0:is>
      </ns0:c>
    </ns0:row>
    <ns0:row r="8" ht="20" customHeight="1">
      <ns0:c r="A8" s="2"/>
      <ns0:c r="B8" s="2"/>
      <ns0:c r="C8" s="3"/>
      <ns0:c r="D8" s="3"/>
      <ns0:c r="E8" s="3"/>
      <ns0:c r="F8" s="3"/>
      <ns0:c r="G8" s="3"/>
      <ns0:c r="H8" s="3"/>
      <ns0:c r="I8" s="3"/>
      <ns0:c r="J8" s="3"/>
      <ns0:c r="K8" s="3"/>
      <ns0:c r="L8" s="3"/>
      <ns0:c r="M8" s="3"/>
      <ns0:c r="N8" s="3"/>
      <ns0:c r="O8" s="3"/>
      <ns0:c r="P8" s="2"/>
      <ns0:c r="Q8" s="2"/>
      <ns0:c r="R8" s="2"/>
      <ns0:c r="S8" s="2"/>
      <ns0:c r="T8" s="2"/>
      <ns0:c r="U8" s="2"/>
      <ns0:c r="V8" s="2"/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/>
      <ns0:c r="B9" s="2"/>
      <ns0:c r="C9" s="3"/>
      <ns0:c r="D9" s="3"/>
      <ns0:c r="E9" s="3"/>
      <ns0:c r="F9" s="3"/>
      <ns0:c r="G9" s="3"/>
      <ns0:c r="H9" s="3"/>
      <ns0:c r="I9" s="3"/>
      <ns0:c r="J9" s="3"/>
      <ns0:c r="K9" s="3"/>
      <ns0:c r="L9" s="3"/>
      <ns0:c r="M9" s="3"/>
      <ns0:c r="N9" s="3"/>
      <ns0:c r="O9" s="3"/>
      <ns0:c r="P9" s="2"/>
      <ns0:c r="Q9" s="2"/>
      <ns0:c r="R9" s="2"/>
      <ns0:c r="S9" s="2"/>
      <ns0:c r="T9" s="2"/>
      <ns0:c r="U9" s="2"/>
      <ns0:c r="V9" s="2"/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/>
      <ns0:c r="B10" s="2"/>
      <ns0:c r="C10" s="3"/>
      <ns0:c r="D10" s="3"/>
      <ns0:c r="E10" s="3"/>
      <ns0:c r="F10" s="3"/>
      <ns0:c r="G10" s="3"/>
      <ns0:c r="H10" s="3"/>
      <ns0:c r="I10" s="3"/>
      <ns0:c r="J10" s="3"/>
      <ns0:c r="K10" s="3"/>
      <ns0:c r="L10" s="3"/>
      <ns0:c r="M10" s="3"/>
      <ns0:c r="N10" s="3"/>
      <ns0:c r="O10" s="3"/>
      <ns0:c r="P10" s="2"/>
      <ns0:c r="Q10" s="2"/>
      <ns0:c r="R10" s="2"/>
      <ns0:c r="S10" s="2"/>
      <ns0:c r="T10" s="2"/>
      <ns0:c r="U10" s="2"/>
      <ns0:c r="V10" s="2"/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/>
      <ns0:c r="B11" s="2"/>
      <ns0:c r="C11" s="3"/>
      <ns0:c r="D11" s="3"/>
      <ns0:c r="E11" s="3"/>
      <ns0:c r="F11" s="3"/>
      <ns0:c r="G11" s="3"/>
      <ns0:c r="H11" s="3"/>
      <ns0:c r="I11" s="3"/>
      <ns0:c r="J11" s="3"/>
      <ns0:c r="K11" s="3"/>
      <ns0:c r="L11" s="3"/>
      <ns0:c r="M11" s="3"/>
      <ns0:c r="N11" s="3"/>
      <ns0:c r="O11" s="3"/>
      <ns0:c r="P11" s="2"/>
      <ns0:c r="Q11" s="2"/>
      <ns0:c r="R11" s="2"/>
      <ns0:c r="S11" s="2"/>
      <ns0:c r="T11" s="2"/>
      <ns0:c r="U11" s="2"/>
      <ns0:c r="V11" s="2"/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/>
      <ns0:c r="B12" s="2"/>
      <ns0:c r="C12" s="3"/>
      <ns0:c r="D12" s="3"/>
      <ns0:c r="E12" s="3"/>
      <ns0:c r="F12" s="3"/>
      <ns0:c r="G12" s="3"/>
      <ns0:c r="H12" s="3"/>
      <ns0:c r="I12" s="3"/>
      <ns0:c r="J12" s="3"/>
      <ns0:c r="K12" s="3"/>
      <ns0:c r="L12" s="3"/>
      <ns0:c r="M12" s="3"/>
      <ns0:c r="N12" s="3"/>
      <ns0:c r="O12" s="3"/>
      <ns0:c r="P12" s="2"/>
      <ns0:c r="Q12" s="2"/>
      <ns0:c r="R12" s="2"/>
      <ns0:c r="S12" s="2"/>
      <ns0:c r="T12" s="2"/>
      <ns0:c r="U12" s="2"/>
      <ns0:c r="V12" s="2"/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/>
      <ns0:c r="B13" s="2"/>
      <ns0:c r="C13" s="3"/>
      <ns0:c r="D13" s="3"/>
      <ns0:c r="E13" s="3"/>
      <ns0:c r="F13" s="3"/>
      <ns0:c r="G13" s="3"/>
      <ns0:c r="H13" s="3"/>
      <ns0:c r="I13" s="3"/>
      <ns0:c r="J13" s="3"/>
      <ns0:c r="K13" s="3"/>
      <ns0:c r="L13" s="3"/>
      <ns0:c r="M13" s="3"/>
      <ns0:c r="N13" s="3"/>
      <ns0:c r="O13" s="3"/>
      <ns0:c r="P13" s="2"/>
      <ns0:c r="Q13" s="2"/>
      <ns0:c r="R13" s="2"/>
      <ns0:c r="S13" s="2"/>
      <ns0:c r="T13" s="2"/>
      <ns0:c r="U13" s="2"/>
      <ns0:c r="V13" s="2"/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/>
      <ns0:c r="B14" s="2"/>
      <ns0:c r="C14" s="3"/>
      <ns0:c r="D14" s="3"/>
      <ns0:c r="E14" s="3"/>
      <ns0:c r="F14" s="3"/>
      <ns0:c r="G14" s="3"/>
      <ns0:c r="H14" s="3"/>
      <ns0:c r="I14" s="3"/>
      <ns0:c r="J14" s="3"/>
      <ns0:c r="K14" s="3"/>
      <ns0:c r="L14" s="3"/>
      <ns0:c r="M14" s="3"/>
      <ns0:c r="N14" s="3"/>
      <ns0:c r="O14" s="3"/>
      <ns0:c r="P14" s="2"/>
      <ns0:c r="Q14" s="2"/>
      <ns0:c r="R14" s="2"/>
      <ns0:c r="S14" s="2"/>
      <ns0:c r="T14" s="2"/>
      <ns0:c r="U14" s="2"/>
      <ns0:c r="V14" s="2"/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/>
      <ns0:c r="B15" s="2"/>
      <ns0:c r="C15" s="3"/>
      <ns0:c r="D15" s="3"/>
      <ns0:c r="E15" s="3"/>
      <ns0:c r="F15" s="3"/>
      <ns0:c r="G15" s="3"/>
      <ns0:c r="H15" s="3"/>
      <ns0:c r="I15" s="3"/>
      <ns0:c r="J15" s="3"/>
      <ns0:c r="K15" s="3"/>
      <ns0:c r="L15" s="3"/>
      <ns0:c r="M15" s="3"/>
      <ns0:c r="N15" s="3"/>
      <ns0:c r="O15" s="3"/>
      <ns0:c r="P15" s="2"/>
      <ns0:c r="Q15" s="2"/>
      <ns0:c r="R15" s="2"/>
      <ns0:c r="S15" s="2"/>
      <ns0:c r="T15" s="2"/>
      <ns0:c r="U15" s="2"/>
      <ns0:c r="V15" s="2"/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/>
      <ns0:c r="B16" s="2"/>
      <ns0:c r="C16" s="3"/>
      <ns0:c r="D16" s="3"/>
      <ns0:c r="E16" s="3"/>
      <ns0:c r="F16" s="3"/>
      <ns0:c r="G16" s="3"/>
      <ns0:c r="H16" s="3"/>
      <ns0:c r="I16" s="3"/>
      <ns0:c r="J16" s="3"/>
      <ns0:c r="K16" s="3"/>
      <ns0:c r="L16" s="3"/>
      <ns0:c r="M16" s="3"/>
      <ns0:c r="N16" s="3"/>
      <ns0:c r="O16" s="3"/>
      <ns0:c r="P16" s="2"/>
      <ns0:c r="Q16" s="2"/>
      <ns0:c r="R16" s="2"/>
      <ns0:c r="S16" s="2"/>
      <ns0:c r="T16" s="2"/>
      <ns0:c r="U16" s="2"/>
      <ns0:c r="V16" s="2"/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预算基础</ns0:t>
        </ns0:is>
      </ns0:c>
    </ns0:row>
    <ns0:row r="17" ht="20" customHeight="1">
      <ns0:c r="A17" s="2"/>
      <ns0:c r="B17" s="2"/>
      <ns0:c r="C17" s="3"/>
      <ns0:c r="D17" s="3"/>
      <ns0:c r="E17" s="3"/>
      <ns0:c r="F17" s="3"/>
      <ns0:c r="G17" s="3"/>
      <ns0:c r="H17" s="3"/>
      <ns0:c r="I17" s="3"/>
      <ns0:c r="J17" s="3"/>
      <ns0:c r="K17" s="3"/>
      <ns0:c r="L17" s="3"/>
      <ns0:c r="M17" s="3"/>
      <ns0:c r="N17" s="3"/>
      <ns0:c r="O17" s="3"/>
      <ns0:c r="P17" s="2"/>
      <ns0:c r="Q17" s="2"/>
      <ns0:c r="R17" s="2"/>
      <ns0:c r="S17" s="2"/>
      <ns0:c r="T17" s="2"/>
      <ns0:c r="U17" s="2"/>
      <ns0:c r="V17" s="2"/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蓝色为预算基础输入参数；示例数值为占位；金额单位：元</ns0:t>
        </ns0:is>
      </ns0:c>
    </ns0:row>
    <ns0:row r="18" ht="20" customHeight="1">
      <ns0:c r="A18" s="2"/>
      <ns0:c r="B18" s="2"/>
      <ns0:c r="C18" s="3"/>
      <ns0:c r="D18" s="3"/>
      <ns0:c r="E18" s="3"/>
      <ns0:c r="F18" s="3"/>
      <ns0:c r="G18" s="3"/>
      <ns0:c r="H18" s="3"/>
      <ns0:c r="I18" s="3"/>
      <ns0:c r="J18" s="3"/>
      <ns0:c r="K18" s="3"/>
      <ns0:c r="L18" s="3"/>
      <ns0:c r="M18" s="3"/>
      <ns0:c r="N18" s="3"/>
      <ns0:c r="O18" s="3"/>
      <ns0:c r="P18" s="2"/>
      <ns0:c r="Q18" s="2"/>
      <ns0:c r="R18" s="2"/>
      <ns0:c r="S18" s="2"/>
      <ns0:c r="T18" s="2"/>
      <ns0:c r="U18" s="2"/>
      <ns0:c r="V18" s="2"/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/>
      <ns0:c r="B19" s="2"/>
      <ns0:c r="C19" s="3"/>
      <ns0:c r="D19" s="3"/>
      <ns0:c r="E19" s="3"/>
      <ns0:c r="F19" s="3"/>
      <ns0:c r="G19" s="3"/>
      <ns0:c r="H19" s="3"/>
      <ns0:c r="I19" s="3"/>
      <ns0:c r="J19" s="3"/>
      <ns0:c r="K19" s="3"/>
      <ns0:c r="L19" s="3"/>
      <ns0:c r="M19" s="3"/>
      <ns0:c r="N19" s="3"/>
      <ns0:c r="O19" s="3"/>
      <ns0:c r="P19" s="2"/>
      <ns0:c r="Q19" s="2"/>
      <ns0:c r="R19" s="2"/>
      <ns0:c r="S19" s="2"/>
      <ns0:c r="T19" s="2"/>
      <ns0:c r="U19" s="2"/>
      <ns0:c r="V19" s="2"/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/>
      <ns0:c r="B20" s="2"/>
      <ns0:c r="C20" s="3"/>
      <ns0:c r="D20" s="3"/>
      <ns0:c r="E20" s="3"/>
      <ns0:c r="F20" s="3"/>
      <ns0:c r="G20" s="3"/>
      <ns0:c r="H20" s="3"/>
      <ns0:c r="I20" s="3"/>
      <ns0:c r="J20" s="3"/>
      <ns0:c r="K20" s="3"/>
      <ns0:c r="L20" s="3"/>
      <ns0:c r="M20" s="3"/>
      <ns0:c r="N20" s="3"/>
      <ns0:c r="O20" s="3"/>
      <ns0:c r="P20" s="2"/>
      <ns0:c r="Q20" s="2"/>
      <ns0:c r="R20" s="2"/>
      <ns0:c r="S20" s="2"/>
      <ns0:c r="T20" s="2"/>
      <ns0:c r="U20" s="2"/>
      <ns0:c r="V20" s="2"/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/>
      <ns0:c r="B21" s="2"/>
      <ns0:c r="C21" s="3"/>
      <ns0:c r="D21" s="3"/>
      <ns0:c r="E21" s="3"/>
      <ns0:c r="F21" s="3"/>
      <ns0:c r="G21" s="3"/>
      <ns0:c r="H21" s="3"/>
      <ns0:c r="I21" s="3"/>
      <ns0:c r="J21" s="3"/>
      <ns0:c r="K21" s="3"/>
      <ns0:c r="L21" s="3"/>
      <ns0:c r="M21" s="3"/>
      <ns0:c r="N21" s="3"/>
      <ns0:c r="O21" s="3"/>
      <ns0:c r="P21" s="2"/>
      <ns0:c r="Q21" s="2"/>
      <ns0:c r="R21" s="2"/>
      <ns0:c r="S21" s="2"/>
      <ns0:c r="T21" s="2"/>
      <ns0:c r="U21" s="2"/>
      <ns0:c r="V21" s="2"/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/>
      <ns0:c r="B22" s="2"/>
      <ns0:c r="C22" s="3"/>
      <ns0:c r="D22" s="3"/>
      <ns0:c r="E22" s="3"/>
      <ns0:c r="F22" s="3"/>
      <ns0:c r="G22" s="3"/>
      <ns0:c r="H22" s="3"/>
      <ns0:c r="I22" s="3"/>
      <ns0:c r="J22" s="3"/>
      <ns0:c r="K22" s="3"/>
      <ns0:c r="L22" s="3"/>
      <ns0:c r="M22" s="3"/>
      <ns0:c r="N22" s="3"/>
      <ns0:c r="O22" s="3"/>
      <ns0:c r="P22" s="2"/>
      <ns0:c r="Q22" s="2"/>
      <ns0:c r="R22" s="2"/>
      <ns0:c r="S22" s="2"/>
      <ns0:c r="T22" s="2"/>
      <ns0:c r="U22" s="2"/>
      <ns0:c r="V22" s="2"/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/>
      <ns0:c r="B23" s="2"/>
      <ns0:c r="C23" s="3"/>
      <ns0:c r="D23" s="3"/>
      <ns0:c r="E23" s="3"/>
      <ns0:c r="F23" s="3"/>
      <ns0:c r="G23" s="3"/>
      <ns0:c r="H23" s="3"/>
      <ns0:c r="I23" s="3"/>
      <ns0:c r="J23" s="3"/>
      <ns0:c r="K23" s="3"/>
      <ns0:c r="L23" s="3"/>
      <ns0:c r="M23" s="3"/>
      <ns0:c r="N23" s="3"/>
      <ns0:c r="O23" s="3"/>
      <ns0:c r="P23" s="2"/>
      <ns0:c r="Q23" s="2"/>
      <ns0:c r="R23" s="2"/>
      <ns0:c r="S23" s="2"/>
      <ns0:c r="T23" s="2"/>
      <ns0:c r="U23" s="2"/>
      <ns0:c r="V23" s="2"/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/>
      <ns0:c r="C24" s="3"/>
      <ns0:c r="D24" s="3"/>
      <ns0:c r="E24" s="3"/>
      <ns0:c r="F24" s="3"/>
      <ns0:c r="G24" s="3"/>
      <ns0:c r="H24" s="3"/>
      <ns0:c r="I24" s="3"/>
      <ns0:c r="J24" s="3"/>
      <ns0:c r="K24" s="3"/>
      <ns0:c r="L24" s="3"/>
      <ns0:c r="M24" s="3"/>
      <ns0:c r="N24" s="3"/>
      <ns0:c r="O24" s="3"/>
      <ns0:c r="P24" s="2"/>
      <ns0:c r="Q24" s="2"/>
      <ns0:c r="R24" s="2"/>
      <ns0:c r="S24" s="2"/>
      <ns0:c r="T24" s="2"/>
      <ns0:c r="U24" s="2"/>
      <ns0:c r="V24" s="2"/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/>
      <ns0:c r="B25" s="2"/>
      <ns0:c r="C25" s="3"/>
      <ns0:c r="D25" s="3"/>
      <ns0:c r="E25" s="3"/>
      <ns0:c r="F25" s="3"/>
      <ns0:c r="G25" s="3"/>
      <ns0:c r="H25" s="3"/>
      <ns0:c r="I25" s="3"/>
      <ns0:c r="J25" s="3"/>
      <ns0:c r="K25" s="3"/>
      <ns0:c r="L25" s="3"/>
      <ns0:c r="M25" s="3"/>
      <ns0:c r="N25" s="3"/>
      <ns0:c r="O25" s="3"/>
      <ns0:c r="P25" s="2"/>
      <ns0:c r="Q25" s="2"/>
      <ns0:c r="R25" s="2"/>
      <ns0:c r="S25" s="2"/>
      <ns0:c r="T25" s="2"/>
      <ns0:c r="U25" s="2"/>
      <ns0:c r="V25" s="2"/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/>
      <ns0:c r="B26" s="2"/>
      <ns0:c r="C26" s="3"/>
      <ns0:c r="D26" s="3"/>
      <ns0:c r="E26" s="3"/>
      <ns0:c r="F26" s="3"/>
      <ns0:c r="G26" s="3"/>
      <ns0:c r="H26" s="3"/>
      <ns0:c r="I26" s="3"/>
      <ns0:c r="J26" s="3"/>
      <ns0:c r="K26" s="3"/>
      <ns0:c r="L26" s="3"/>
      <ns0:c r="M26" s="3"/>
      <ns0:c r="N26" s="3"/>
      <ns0:c r="O26" s="3"/>
      <ns0:c r="P26" s="2"/>
      <ns0:c r="Q26" s="2"/>
      <ns0:c r="R26" s="2"/>
      <ns0:c r="S26" s="2"/>
      <ns0:c r="T26" s="2"/>
      <ns0:c r="U26" s="2"/>
      <ns0:c r="V26" s="2"/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/>
      <ns0:c r="B27" s="2"/>
      <ns0:c r="C27" s="3"/>
      <ns0:c r="D27" s="3"/>
      <ns0:c r="E27" s="3"/>
      <ns0:c r="F27" s="3"/>
      <ns0:c r="G27" s="3"/>
      <ns0:c r="H27" s="3"/>
      <ns0:c r="I27" s="3"/>
      <ns0:c r="J27" s="3"/>
      <ns0:c r="K27" s="3"/>
      <ns0:c r="L27" s="3"/>
      <ns0:c r="M27" s="3"/>
      <ns0:c r="N27" s="3"/>
      <ns0:c r="O27" s="3"/>
      <ns0:c r="P27" s="2"/>
      <ns0:c r="Q27" s="2"/>
      <ns0:c r="R27" s="2"/>
      <ns0:c r="S27" s="2"/>
      <ns0:c r="T27" s="2"/>
      <ns0:c r="U27" s="2"/>
      <ns0:c r="V27" s="2"/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/>
      <ns0:c r="B28" s="2"/>
      <ns0:c r="C28" s="3"/>
      <ns0:c r="D28" s="3"/>
      <ns0:c r="E28" s="3"/>
      <ns0:c r="F28" s="3"/>
      <ns0:c r="G28" s="3"/>
      <ns0:c r="H28" s="3"/>
      <ns0:c r="I28" s="3"/>
      <ns0:c r="J28" s="3"/>
      <ns0:c r="K28" s="3"/>
      <ns0:c r="L28" s="3"/>
      <ns0:c r="M28" s="3"/>
      <ns0:c r="N28" s="3"/>
      <ns0:c r="O28" s="3"/>
      <ns0:c r="P28" s="2"/>
      <ns0:c r="Q28" s="2"/>
      <ns0:c r="R28" s="2"/>
      <ns0:c r="S28" s="2"/>
      <ns0:c r="T28" s="2"/>
      <ns0:c r="U28" s="2"/>
      <ns0:c r="V28" s="2"/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/>
      <ns0:c r="C29" s="3"/>
      <ns0:c r="D29" s="3"/>
      <ns0:c r="E29" s="3"/>
      <ns0:c r="F29" s="3"/>
      <ns0:c r="G29" s="3"/>
      <ns0:c r="H29" s="3"/>
      <ns0:c r="I29" s="3"/>
      <ns0:c r="J29" s="3"/>
      <ns0:c r="K29" s="3"/>
      <ns0:c r="L29" s="3"/>
      <ns0:c r="M29" s="3"/>
      <ns0:c r="N29" s="3"/>
      <ns0:c r="O29" s="3"/>
      <ns0:c r="P29" s="2"/>
      <ns0:c r="Q29" s="2"/>
      <ns0:c r="R29" s="2"/>
      <ns0:c r="S29" s="2"/>
      <ns0:c r="T29" s="2"/>
      <ns0:c r="U29" s="2"/>
      <ns0:c r="V29" s="2"/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 t="inlineStr">
        <ns0:is>
          <ns0:t>预算基础（月度，元）</ns0:t>
        </ns0:is>
      </ns0:c>
      <ns0:c r="C30" s="6" t="inlineStr">
        <ns0:is>
          <ns0:t>2027-01</ns0:t>
        </ns0:is>
      </ns0:c>
      <ns0:c r="D30" s="6" t="inlineStr">
        <ns0:is>
          <ns0:t>2027-02</ns0:t>
        </ns0:is>
      </ns0:c>
      <ns0:c r="E30" s="6" t="inlineStr">
        <ns0:is>
          <ns0:t>2027-03</ns0:t>
        </ns0:is>
      </ns0:c>
      <ns0:c r="F30" s="6" t="inlineStr">
        <ns0:is>
          <ns0:t>2027-04</ns0:t>
        </ns0:is>
      </ns0:c>
      <ns0:c r="G30" s="6" t="inlineStr">
        <ns0:is>
          <ns0:t>2027-05</ns0:t>
        </ns0:is>
      </ns0:c>
      <ns0:c r="H30" s="6" t="inlineStr">
        <ns0:is>
          <ns0:t>2027-06</ns0:t>
        </ns0:is>
      </ns0:c>
      <ns0:c r="I30" s="6" t="inlineStr">
        <ns0:is>
          <ns0:t>2027-07</ns0:t>
        </ns0:is>
      </ns0:c>
      <ns0:c r="J30" s="6" t="inlineStr">
        <ns0:is>
          <ns0:t>2027-08</ns0:t>
        </ns0:is>
      </ns0:c>
      <ns0:c r="K30" s="6" t="inlineStr">
        <ns0:is>
          <ns0:t>2027-09</ns0:t>
        </ns0:is>
      </ns0:c>
      <ns0:c r="L30" s="6" t="inlineStr">
        <ns0:is>
          <ns0:t>2027-10</ns0:t>
        </ns0:is>
      </ns0:c>
      <ns0:c r="M30" s="6" t="inlineStr">
        <ns0:is>
          <ns0:t>2027-11</ns0:t>
        </ns0:is>
      </ns0:c>
      <ns0:c r="N30" s="6" t="inlineStr">
        <ns0:is>
          <ns0:t>2027-12</ns0:t>
        </ns0:is>
      </ns0:c>
      <ns0:c r="O30" s="6"/>
      <ns0:c r="P30" s="2"/>
      <ns0:c r="Q30" s="2"/>
      <ns0:c r="R30" s="2"/>
      <ns0:c r="S30" s="2"/>
      <ns0:c r="T30" s="2"/>
      <ns0:c r="U30" s="2"/>
      <ns0:c r="V30" s="2"/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/>
      <ns0:c r="B31" s="2" t="inlineStr">
        <ns0:is>
          <ns0:t>授权单价</ns0:t>
        </ns0:is>
      </ns0:c>
      <ns0:c r="C31" s="4">
        <ns0:v>2534.00</ns0:v>
      </ns0:c>
      <ns0:c r="D31" s="4">
        <ns0:v>1862.10</ns0:v>
      </ns0:c>
      <ns0:c r="E31" s="4">
        <ns0:v>2227.84</ns0:v>
      </ns0:c>
      <ns0:c r="F31" s="4">
        <ns0:v>1460.45</ns0:v>
      </ns0:c>
      <ns0:c r="G31" s="4">
        <ns0:v>2448.38</ns0:v>
      </ns0:c>
      <ns0:c r="H31" s="4">
        <ns0:v>2049.97</ns0:v>
      </ns0:c>
      <ns0:c r="I31" s="4">
        <ns0:v>1905.95</ns0:v>
      </ns0:c>
      <ns0:c r="J31" s="4">
        <ns0:v>2716.88</ns0:v>
      </ns0:c>
      <ns0:c r="K31" s="4">
        <ns0:v>2402.86</ns0:v>
      </ns0:c>
      <ns0:c r="L31" s="4">
        <ns0:v>1807.95</ns0:v>
      </ns0:c>
      <ns0:c r="M31" s="4">
        <ns0:v>1564.33</ns0:v>
      </ns0:c>
      <ns0:c r="N31" s="4">
        <ns0:v>1666.57</ns0:v>
      </ns0:c>
      <ns0:c r="O31" s="3"/>
      <ns0:c r="P31" s="2"/>
      <ns0:c r="Q31" s="2"/>
      <ns0:c r="R31" s="2"/>
      <ns0:c r="S31" s="2"/>
      <ns0:c r="T31" s="2"/>
      <ns0:c r="U31" s="2"/>
      <ns0:c r="V31" s="2"/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 t="inlineStr">
        <ns0:is>
          <ns0:t>授权数量</ns0:t>
        </ns0:is>
      </ns0:c>
      <ns0:c r="C32" s="4">
        <ns0:v>134.28</ns0:v>
      </ns0:c>
      <ns0:c r="D32" s="4">
        <ns0:v>113.24</ns0:v>
      </ns0:c>
      <ns0:c r="E32" s="4">
        <ns0:v>90.20</ns0:v>
      </ns0:c>
      <ns0:c r="F32" s="4">
        <ns0:v>80.95</ns0:v>
      </ns0:c>
      <ns0:c r="G32" s="4">
        <ns0:v>97.47</ns0:v>
      </ns0:c>
      <ns0:c r="H32" s="4">
        <ns0:v>99.87</ns0:v>
      </ns0:c>
      <ns0:c r="I32" s="4">
        <ns0:v>90.68</ns0:v>
      </ns0:c>
      <ns0:c r="J32" s="4">
        <ns0:v>120.49</ns0:v>
      </ns0:c>
      <ns0:c r="K32" s="4">
        <ns0:v>80.69</ns0:v>
      </ns0:c>
      <ns0:c r="L32" s="4">
        <ns0:v>82.25</ns0:v>
      </ns0:c>
      <ns0:c r="M32" s="4">
        <ns0:v>107.26</ns0:v>
      </ns0:c>
      <ns0:c r="N32" s="4">
        <ns0:v>123.83</ns0:v>
      </ns0:c>
      <ns0:c r="O32" s="3"/>
      <ns0:c r="P32" s="2"/>
      <ns0:c r="Q32" s="2"/>
      <ns0:c r="R32" s="2"/>
      <ns0:c r="S32" s="2"/>
      <ns0:c r="T32" s="2"/>
      <ns0:c r="U32" s="2"/>
      <ns0:c r="V32" s="2"/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/>
      <ns0:c r="B33" s="2" t="inlineStr">
        <ns0:is>
          <ns0:t>营业收入</ns0:t>
        </ns0:is>
      </ns0:c>
      <ns0:c r="C33" s="3">
        <ns0:f>ROUND(C31*C32,2)</ns0:f>
        <ns0:v>340265.52</ns0:v>
      </ns0:c>
      <ns0:c r="D33" s="3">
        <ns0:f>ROUND(D31*D32,2)</ns0:f>
        <ns0:v>210864.20</ns0:v>
      </ns0:c>
      <ns0:c r="E33" s="3">
        <ns0:f>ROUND(E31*E32,2)</ns0:f>
        <ns0:v>200951.17</ns0:v>
      </ns0:c>
      <ns0:c r="F33" s="3">
        <ns0:f>ROUND(F31*F32,2)</ns0:f>
        <ns0:v>118223.43</ns0:v>
      </ns0:c>
      <ns0:c r="G33" s="3">
        <ns0:f>ROUND(G31*G32,2)</ns0:f>
        <ns0:v>238643.60</ns0:v>
      </ns0:c>
      <ns0:c r="H33" s="3">
        <ns0:f>ROUND(H31*H32,2)</ns0:f>
        <ns0:v>204730.50</ns0:v>
      </ns0:c>
      <ns0:c r="I33" s="3">
        <ns0:f>ROUND(I31*I32,2)</ns0:f>
        <ns0:v>172831.55</ns0:v>
      </ns0:c>
      <ns0:c r="J33" s="3">
        <ns0:f>ROUND(J31*J32,2)</ns0:f>
        <ns0:v>327356.87</ns0:v>
      </ns0:c>
      <ns0:c r="K33" s="3">
        <ns0:f>ROUND(K31*K32,2)</ns0:f>
        <ns0:v>193886.77</ns0:v>
      </ns0:c>
      <ns0:c r="L33" s="3">
        <ns0:f>ROUND(L31*L32,2)</ns0:f>
        <ns0:v>148703.89</ns0:v>
      </ns0:c>
      <ns0:c r="M33" s="3">
        <ns0:f>ROUND(M31*M32,2)</ns0:f>
        <ns0:v>167790.04</ns0:v>
      </ns0:c>
      <ns0:c r="N33" s="3">
        <ns0:f>ROUND(N31*N32,2)</ns0:f>
        <ns0:v>206371.36</ns0:v>
      </ns0:c>
      <ns0:c r="O33" s="3">
        <ns0:f>SUM(C33:N33)</ns0:f>
        <ns0:v>2530618.90</ns0:v>
      </ns0:c>
      <ns0:c r="P33" s="2" t="inlineStr">
        <ns0:is>
          <ns0:t>REV1</ns0:t>
        </ns0:is>
      </ns0:c>
      <ns0:c r="Q33" s="2" t="inlineStr">
        <ns0:is>
          <ns0:t>演示占位-v1</ns0:t>
        </ns0:is>
      </ns0:c>
      <ns0:c r="R33" s="2" t="inlineStr">
        <ns0:is>
          <ns0:t>模拟权责发生制</ns0:t>
        </ns0:is>
      </ns0:c>
      <ns0:c r="S33" s="2" t="inlineStr">
        <ns0:is>
          <ns0:t>2027-01</ns0:t>
        </ns0:is>
      </ns0:c>
      <ns0:c r="T33" s="2" t="inlineStr">
        <ns0:is>
          <ns0:t>2027-06</ns0:t>
        </ns0:is>
      </ns0:c>
      <ns0:c r="U33" s="2" t="inlineStr">
        <ns0:is>
          <ns0:t>无</ns0:t>
        </ns0:is>
      </ns0:c>
      <ns0:c r="V33" s="2" t="inlineStr">
        <ns0:is>
          <ns0:t>无</ns0:t>
        </ns0:is>
      </ns0:c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/>
      <ns0:c r="B34" s="2" t="inlineStr">
        <ns0:is>
          <ns0:t>单位采购成本</ns0:t>
        </ns0:is>
      </ns0:c>
      <ns0:c r="C34" s="4">
        <ns0:v>884.12</ns0:v>
      </ns0:c>
      <ns0:c r="D34" s="4">
        <ns0:v>818.67</ns0:v>
      </ns0:c>
      <ns0:c r="E34" s="4">
        <ns0:v>906.78</ns0:v>
      </ns0:c>
      <ns0:c r="F34" s="4">
        <ns0:v>714.65</ns0:v>
      </ns0:c>
      <ns0:c r="G34" s="4">
        <ns0:v>661.21</ns0:v>
      </ns0:c>
      <ns0:c r="H34" s="4">
        <ns0:v>765.99</ns0:v>
      </ns0:c>
      <ns0:c r="I34" s="4">
        <ns0:v>745.55</ns0:v>
      </ns0:c>
      <ns0:c r="J34" s="4">
        <ns0:v>670.30</ns0:v>
      </ns0:c>
      <ns0:c r="K34" s="4">
        <ns0:v>844.07</ns0:v>
      </ns0:c>
      <ns0:c r="L34" s="4">
        <ns0:v>555.85</ns0:v>
      </ns0:c>
      <ns0:c r="M34" s="4">
        <ns0:v>631.00</ns0:v>
      </ns0:c>
      <ns0:c r="N34" s="4">
        <ns0:v>761.33</ns0:v>
      </ns0:c>
      <ns0:c r="O34" s="3"/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/>
      <ns0:c r="B35" s="2" t="inlineStr">
        <ns0:is>
          <ns0:t>采购数量</ns0:t>
        </ns0:is>
      </ns0:c>
      <ns0:c r="C35" s="3">
        <ns0:f>C32</ns0:f>
        <ns0:v>134.28</ns0:v>
      </ns0:c>
      <ns0:c r="D35" s="3">
        <ns0:f>D32</ns0:f>
        <ns0:v>113.24</ns0:v>
      </ns0:c>
      <ns0:c r="E35" s="3">
        <ns0:f>E32</ns0:f>
        <ns0:v>90.20</ns0:v>
      </ns0:c>
      <ns0:c r="F35" s="3">
        <ns0:f>F32</ns0:f>
        <ns0:v>80.95</ns0:v>
      </ns0:c>
      <ns0:c r="G35" s="3">
        <ns0:f>G32</ns0:f>
        <ns0:v>97.47</ns0:v>
      </ns0:c>
      <ns0:c r="H35" s="3">
        <ns0:f>H32</ns0:f>
        <ns0:v>99.87</ns0:v>
      </ns0:c>
      <ns0:c r="I35" s="3">
        <ns0:f>I32</ns0:f>
        <ns0:v>90.68</ns0:v>
      </ns0:c>
      <ns0:c r="J35" s="3">
        <ns0:f>J32</ns0:f>
        <ns0:v>120.49</ns0:v>
      </ns0:c>
      <ns0:c r="K35" s="3">
        <ns0:f>K32</ns0:f>
        <ns0:v>80.69</ns0:v>
      </ns0:c>
      <ns0:c r="L35" s="3">
        <ns0:f>L32</ns0:f>
        <ns0:v>82.25</ns0:v>
      </ns0:c>
      <ns0:c r="M35" s="3">
        <ns0:f>M32</ns0:f>
        <ns0:v>107.26</ns0:v>
      </ns0:c>
      <ns0:c r="N35" s="3">
        <ns0:f>N32</ns0:f>
        <ns0:v>123.83</ns0:v>
      </ns0:c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/>
      <ns0:c r="B36" s="2" t="inlineStr">
        <ns0:is>
          <ns0:t>营业成本</ns0:t>
        </ns0:is>
      </ns0:c>
      <ns0:c r="C36" s="3">
        <ns0:f>ROUND(C34*C35,2)</ns0:f>
        <ns0:v>118719.63</ns0:v>
      </ns0:c>
      <ns0:c r="D36" s="3">
        <ns0:f>ROUND(D34*D35,2)</ns0:f>
        <ns0:v>92706.19</ns0:v>
      </ns0:c>
      <ns0:c r="E36" s="3">
        <ns0:f>ROUND(E34*E35,2)</ns0:f>
        <ns0:v>81791.56</ns0:v>
      </ns0:c>
      <ns0:c r="F36" s="3">
        <ns0:f>ROUND(F34*F35,2)</ns0:f>
        <ns0:v>57850.92</ns0:v>
      </ns0:c>
      <ns0:c r="G36" s="3">
        <ns0:f>ROUND(G34*G35,2)</ns0:f>
        <ns0:v>64448.14</ns0:v>
      </ns0:c>
      <ns0:c r="H36" s="3">
        <ns0:f>ROUND(H34*H35,2)</ns0:f>
        <ns0:v>76499.42</ns0:v>
      </ns0:c>
      <ns0:c r="I36" s="3">
        <ns0:f>ROUND(I34*I35,2)</ns0:f>
        <ns0:v>67606.47</ns0:v>
      </ns0:c>
      <ns0:c r="J36" s="3">
        <ns0:f>ROUND(J34*J35,2)</ns0:f>
        <ns0:v>80764.45</ns0:v>
      </ns0:c>
      <ns0:c r="K36" s="3">
        <ns0:f>ROUND(K34*K35,2)</ns0:f>
        <ns0:v>68108.01</ns0:v>
      </ns0:c>
      <ns0:c r="L36" s="3">
        <ns0:f>ROUND(L34*L35,2)</ns0:f>
        <ns0:v>45718.66</ns0:v>
      </ns0:c>
      <ns0:c r="M36" s="3">
        <ns0:f>ROUND(M34*M35,2)</ns0:f>
        <ns0:v>67681.06</ns0:v>
      </ns0:c>
      <ns0:c r="N36" s="3">
        <ns0:f>ROUND(N34*N35,2)</ns0:f>
        <ns0:v>94275.49</ns0:v>
      </ns0:c>
      <ns0:c r="O36" s="3">
        <ns0:f>SUM(C36:N36)</ns0:f>
        <ns0:v>916170.00</ns0:v>
      </ns0:c>
      <ns0:c r="P36" s="2" t="inlineStr">
        <ns0:is>
          <ns0:t>COGS1</ns0:t>
        </ns0:is>
      </ns0:c>
      <ns0:c r="Q36" s="2" t="inlineStr">
        <ns0:is>
          <ns0:t>演示占位-v1</ns0:t>
        </ns0:is>
      </ns0:c>
      <ns0:c r="R36" s="2" t="inlineStr">
        <ns0:is>
          <ns0:t>模拟权责发生制</ns0:t>
        </ns0:is>
      </ns0:c>
      <ns0:c r="S36" s="2" t="inlineStr">
        <ns0:is>
          <ns0:t>2027-01</ns0:t>
        </ns0:is>
      </ns0:c>
      <ns0:c r="T36" s="2" t="inlineStr">
        <ns0:is>
          <ns0:t>2027-06</ns0:t>
        </ns0:is>
      </ns0:c>
      <ns0:c r="U36" s="2" t="inlineStr">
        <ns0:is>
          <ns0:t>无</ns0:t>
        </ns0:is>
      </ns0:c>
      <ns0:c r="V36" s="2" t="inlineStr">
        <ns0:is>
          <ns0:t>无</ns0:t>
        </ns0:is>
      </ns0:c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 t="inlineStr">
        <ns0:is>
          <ns0:t>采购金额（占位）</ns0:t>
        </ns0:is>
      </ns0:c>
      <ns0:c r="C37" s="3">
        <ns0:f>C36</ns0:f>
        <ns0:v>118719.63</ns0:v>
      </ns0:c>
      <ns0:c r="D37" s="3">
        <ns0:f>D36</ns0:f>
        <ns0:v>92706.19</ns0:v>
      </ns0:c>
      <ns0:c r="E37" s="3">
        <ns0:f>E36</ns0:f>
        <ns0:v>81791.56</ns0:v>
      </ns0:c>
      <ns0:c r="F37" s="3">
        <ns0:f>F36</ns0:f>
        <ns0:v>57850.92</ns0:v>
      </ns0:c>
      <ns0:c r="G37" s="3">
        <ns0:f>G36</ns0:f>
        <ns0:v>64448.14</ns0:v>
      </ns0:c>
      <ns0:c r="H37" s="3">
        <ns0:f>H36</ns0:f>
        <ns0:v>76499.42</ns0:v>
      </ns0:c>
      <ns0:c r="I37" s="3">
        <ns0:f>I36</ns0:f>
        <ns0:v>67606.47</ns0:v>
      </ns0:c>
      <ns0:c r="J37" s="3">
        <ns0:f>J36</ns0:f>
        <ns0:v>80764.45</ns0:v>
      </ns0:c>
      <ns0:c r="K37" s="3">
        <ns0:f>K36</ns0:f>
        <ns0:v>68108.01</ns0:v>
      </ns0:c>
      <ns0:c r="L37" s="3">
        <ns0:f>L36</ns0:f>
        <ns0:v>45718.66</ns0:v>
      </ns0:c>
      <ns0:c r="M37" s="3">
        <ns0:f>M36</ns0:f>
        <ns0:v>67681.06</ns0:v>
      </ns0:c>
      <ns0:c r="N37" s="3">
        <ns0:f>N36</ns0:f>
        <ns0:v>94275.49</ns0:v>
      </ns0:c>
      <ns0:c r="O37" s="3">
        <ns0:f>SUM(C37:N37)</ns0:f>
        <ns0:v>916170.00</ns0:v>
      </ns0:c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/>
      <ns0:c r="C60" s="6"/>
      <ns0:c r="D60" s="6"/>
      <ns0:c r="E60" s="6"/>
      <ns0:c r="F60" s="6"/>
      <ns0:c r="G60" s="6"/>
      <ns0:c r="H60" s="6"/>
      <ns0:c r="I60" s="6"/>
      <ns0:c r="J60" s="6"/>
      <ns0:c r="K60" s="6"/>
      <ns0:c r="L60" s="6"/>
      <ns0:c r="M60" s="6"/>
      <ns0:c r="N60" s="6"/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/>
      <ns0:c r="C61" s="3"/>
      <ns0:c r="D61" s="3"/>
      <ns0:c r="E61" s="3"/>
      <ns0:c r="F61" s="3"/>
      <ns0:c r="G61" s="3"/>
      <ns0:c r="H61" s="3"/>
      <ns0:c r="I61" s="3"/>
      <ns0:c r="J61" s="3"/>
      <ns0:c r="K61" s="3"/>
      <ns0:c r="L61" s="3"/>
      <ns0:c r="M61" s="3"/>
      <ns0:c r="N61" s="3"/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/>
      <ns0:c r="C62" s="3"/>
      <ns0:c r="D62" s="3"/>
      <ns0:c r="E62" s="3"/>
      <ns0:c r="F62" s="3"/>
      <ns0:c r="G62" s="3"/>
      <ns0:c r="H62" s="3"/>
      <ns0:c r="I62" s="3"/>
      <ns0:c r="J62" s="3"/>
      <ns0:c r="K62" s="3"/>
      <ns0:c r="L62" s="3"/>
      <ns0:c r="M62" s="3"/>
      <ns0:c r="N62" s="3"/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/>
      <ns0:c r="C63" s="3"/>
      <ns0:c r="D63" s="3"/>
      <ns0:c r="E63" s="3"/>
      <ns0:c r="F63" s="3"/>
      <ns0:c r="G63" s="3"/>
      <ns0:c r="H63" s="3"/>
      <ns0:c r="I63" s="3"/>
      <ns0:c r="J63" s="3"/>
      <ns0:c r="K63" s="3"/>
      <ns0:c r="L63" s="3"/>
      <ns0:c r="M63" s="3"/>
      <ns0:c r="N63" s="3"/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/>
      <ns0:c r="C64" s="3"/>
      <ns0:c r="D64" s="3"/>
      <ns0:c r="E64" s="3"/>
      <ns0:c r="F64" s="3"/>
      <ns0:c r="G64" s="3"/>
      <ns0:c r="H64" s="3"/>
      <ns0:c r="I64" s="3"/>
      <ns0:c r="J64" s="3"/>
      <ns0:c r="K64" s="3"/>
      <ns0:c r="L64" s="3"/>
      <ns0:c r="M64" s="3"/>
      <ns0:c r="N64" s="3"/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/>
      <ns0:c r="C65" s="3"/>
      <ns0:c r="D65" s="3"/>
      <ns0:c r="E65" s="3"/>
      <ns0:c r="F65" s="3"/>
      <ns0:c r="G65" s="3"/>
      <ns0:c r="H65" s="3"/>
      <ns0:c r="I65" s="3"/>
      <ns0:c r="J65" s="3"/>
      <ns0:c r="K65" s="3"/>
      <ns0:c r="L65" s="3"/>
      <ns0:c r="M65" s="3"/>
      <ns0:c r="N65" s="3"/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/>
      <ns0:c r="C66" s="3"/>
      <ns0:c r="D66" s="3"/>
      <ns0:c r="E66" s="3"/>
      <ns0:c r="F66" s="3"/>
      <ns0:c r="G66" s="3"/>
      <ns0:c r="H66" s="3"/>
      <ns0:c r="I66" s="3"/>
      <ns0:c r="J66" s="3"/>
      <ns0:c r="K66" s="3"/>
      <ns0:c r="L66" s="3"/>
      <ns0:c r="M66" s="3"/>
      <ns0:c r="N66" s="3"/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/>
      <ns0:c r="C67" s="3"/>
      <ns0:c r="D67" s="3"/>
      <ns0:c r="E67" s="3"/>
      <ns0:c r="F67" s="3"/>
      <ns0:c r="G67" s="3"/>
      <ns0:c r="H67" s="3"/>
      <ns0:c r="I67" s="3"/>
      <ns0:c r="J67" s="3"/>
      <ns0:c r="K67" s="3"/>
      <ns0:c r="L67" s="3"/>
      <ns0:c r="M67" s="3"/>
      <ns0:c r="N67" s="3"/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/>
      <ns0:c r="C68" s="3"/>
      <ns0:c r="D68" s="3"/>
      <ns0:c r="E68" s="3"/>
      <ns0:c r="F68" s="3"/>
      <ns0:c r="G68" s="3"/>
      <ns0:c r="H68" s="3"/>
      <ns0:c r="I68" s="3"/>
      <ns0:c r="J68" s="3"/>
      <ns0:c r="K68" s="3"/>
      <ns0:c r="L68" s="3"/>
      <ns0:c r="M68" s="3"/>
      <ns0:c r="N68" s="3"/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/>
      <ns0:c r="C204" s="3"/>
      <ns0:c r="D204" s="3"/>
      <ns0:c r="E204" s="3"/>
      <ns0:c r="F204" s="3"/>
      <ns0:c r="G204" s="3"/>
      <ns0:c r="H204" s="3"/>
      <ns0:c r="I204" s="3"/>
      <ns0:c r="J204" s="3"/>
      <ns0:c r="K204" s="3"/>
      <ns0:c r="L204" s="3"/>
      <ns0:c r="M204" s="3"/>
      <ns0:c r="N204" s="3"/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/>
      <ns0:c r="C205" s="3"/>
      <ns0:c r="D205" s="3"/>
      <ns0:c r="E205" s="3"/>
      <ns0:c r="F205" s="3"/>
      <ns0:c r="G205" s="3"/>
      <ns0:c r="H205" s="3"/>
      <ns0:c r="I205" s="3"/>
      <ns0:c r="J205" s="3"/>
      <ns0:c r="K205" s="3"/>
      <ns0:c r="L205" s="3"/>
      <ns0:c r="M205" s="3"/>
      <ns0:c r="N205" s="3"/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/>
      <ns0:c r="C206" s="3"/>
      <ns0:c r="D206" s="3"/>
      <ns0:c r="E206" s="3"/>
      <ns0:c r="F206" s="3"/>
      <ns0:c r="G206" s="3"/>
      <ns0:c r="H206" s="3"/>
      <ns0:c r="I206" s="3"/>
      <ns0:c r="J206" s="3"/>
      <ns0:c r="K206" s="3"/>
      <ns0:c r="L206" s="3"/>
      <ns0:c r="M206" s="3"/>
      <ns0:c r="N206" s="3"/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/>
      <ns0:c r="C207" s="3"/>
      <ns0:c r="D207" s="3"/>
      <ns0:c r="E207" s="3"/>
      <ns0:c r="F207" s="3"/>
      <ns0:c r="G207" s="3"/>
      <ns0:c r="H207" s="3"/>
      <ns0:c r="I207" s="3"/>
      <ns0:c r="J207" s="3"/>
      <ns0:c r="K207" s="3"/>
      <ns0:c r="L207" s="3"/>
      <ns0:c r="M207" s="3"/>
      <ns0:c r="N207" s="3"/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/>
      <ns0:c r="C208" s="3"/>
      <ns0:c r="D208" s="3"/>
      <ns0:c r="E208" s="3"/>
      <ns0:c r="F208" s="3"/>
      <ns0:c r="G208" s="3"/>
      <ns0:c r="H208" s="3"/>
      <ns0:c r="I208" s="3"/>
      <ns0:c r="J208" s="3"/>
      <ns0:c r="K208" s="3"/>
      <ns0:c r="L208" s="3"/>
      <ns0:c r="M208" s="3"/>
      <ns0:c r="N208" s="3"/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/>
      <ns0:c r="C209" s="3"/>
      <ns0:c r="D209" s="3"/>
      <ns0:c r="E209" s="3"/>
      <ns0:c r="F209" s="3"/>
      <ns0:c r="G209" s="3"/>
      <ns0:c r="H209" s="3"/>
      <ns0:c r="I209" s="3"/>
      <ns0:c r="J209" s="3"/>
      <ns0:c r="K209" s="3"/>
      <ns0:c r="L209" s="3"/>
      <ns0:c r="M209" s="3"/>
      <ns0:c r="N209" s="3"/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/>
      <ns0:c r="C210" s="3"/>
      <ns0:c r="D210" s="3"/>
      <ns0:c r="E210" s="3"/>
      <ns0:c r="F210" s="3"/>
      <ns0:c r="G210" s="3"/>
      <ns0:c r="H210" s="3"/>
      <ns0:c r="I210" s="3"/>
      <ns0:c r="J210" s="3"/>
      <ns0:c r="K210" s="3"/>
      <ns0:c r="L210" s="3"/>
      <ns0:c r="M210" s="3"/>
      <ns0:c r="N210" s="3"/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/>
      <ns0:c r="C211" s="3"/>
      <ns0:c r="D211" s="3"/>
      <ns0:c r="E211" s="3"/>
      <ns0:c r="F211" s="3"/>
      <ns0:c r="G211" s="3"/>
      <ns0:c r="H211" s="3"/>
      <ns0:c r="I211" s="3"/>
      <ns0:c r="J211" s="3"/>
      <ns0:c r="K211" s="3"/>
      <ns0:c r="L211" s="3"/>
      <ns0:c r="M211" s="3"/>
      <ns0:c r="N211" s="3"/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/>
      <ns0:c r="C212" s="3"/>
      <ns0:c r="D212" s="3"/>
      <ns0:c r="E212" s="3"/>
      <ns0:c r="F212" s="3"/>
      <ns0:c r="G212" s="3"/>
      <ns0:c r="H212" s="3"/>
      <ns0:c r="I212" s="3"/>
      <ns0:c r="J212" s="3"/>
      <ns0:c r="K212" s="3"/>
      <ns0:c r="L212" s="3"/>
      <ns0:c r="M212" s="3"/>
      <ns0:c r="N212" s="3"/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/>
      <ns0:c r="C213" s="3"/>
      <ns0:c r="D213" s="3"/>
      <ns0:c r="E213" s="3"/>
      <ns0:c r="F213" s="3"/>
      <ns0:c r="G213" s="3"/>
      <ns0:c r="H213" s="3"/>
      <ns0:c r="I213" s="3"/>
      <ns0:c r="J213" s="3"/>
      <ns0:c r="K213" s="3"/>
      <ns0:c r="L213" s="3"/>
      <ns0:c r="M213" s="3"/>
      <ns0:c r="N213" s="3"/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/>
      <ns0:c r="C214" s="3"/>
      <ns0:c r="D214" s="3"/>
      <ns0:c r="E214" s="3"/>
      <ns0:c r="F214" s="3"/>
      <ns0:c r="G214" s="3"/>
      <ns0:c r="H214" s="3"/>
      <ns0:c r="I214" s="3"/>
      <ns0:c r="J214" s="3"/>
      <ns0:c r="K214" s="3"/>
      <ns0:c r="L214" s="3"/>
      <ns0:c r="M214" s="3"/>
      <ns0:c r="N214" s="3"/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/>
      <ns0:c r="C215" s="3"/>
      <ns0:c r="D215" s="3"/>
      <ns0:c r="E215" s="3"/>
      <ns0:c r="F215" s="3"/>
      <ns0:c r="G215" s="3"/>
      <ns0:c r="H215" s="3"/>
      <ns0:c r="I215" s="3"/>
      <ns0:c r="J215" s="3"/>
      <ns0:c r="K215" s="3"/>
      <ns0:c r="L215" s="3"/>
      <ns0:c r="M215" s="3"/>
      <ns0:c r="N215" s="3"/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/>
      <ns0:c r="C216" s="3"/>
      <ns0:c r="D216" s="3"/>
      <ns0:c r="E216" s="3"/>
      <ns0:c r="F216" s="3"/>
      <ns0:c r="G216" s="3"/>
      <ns0:c r="H216" s="3"/>
      <ns0:c r="I216" s="3"/>
      <ns0:c r="J216" s="3"/>
      <ns0:c r="K216" s="3"/>
      <ns0:c r="L216" s="3"/>
      <ns0:c r="M216" s="3"/>
      <ns0:c r="N216" s="3"/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/>
      <ns0:c r="C217" s="3"/>
      <ns0:c r="D217" s="3"/>
      <ns0:c r="E217" s="3"/>
      <ns0:c r="F217" s="3"/>
      <ns0:c r="G217" s="3"/>
      <ns0:c r="H217" s="3"/>
      <ns0:c r="I217" s="3"/>
      <ns0:c r="J217" s="3"/>
      <ns0:c r="K217" s="3"/>
      <ns0:c r="L217" s="3"/>
      <ns0:c r="M217" s="3"/>
      <ns0:c r="N217" s="3"/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/>
      <ns0:c r="C218" s="3"/>
      <ns0:c r="D218" s="3"/>
      <ns0:c r="E218" s="3"/>
      <ns0:c r="F218" s="3"/>
      <ns0:c r="G218" s="3"/>
      <ns0:c r="H218" s="3"/>
      <ns0:c r="I218" s="3"/>
      <ns0:c r="J218" s="3"/>
      <ns0:c r="K218" s="3"/>
      <ns0:c r="L218" s="3"/>
      <ns0:c r="M218" s="3"/>
      <ns0:c r="N218" s="3"/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/>
      <ns0:c r="C219" s="3"/>
      <ns0:c r="D219" s="3"/>
      <ns0:c r="E219" s="3"/>
      <ns0:c r="F219" s="3"/>
      <ns0:c r="G219" s="3"/>
      <ns0:c r="H219" s="3"/>
      <ns0:c r="I219" s="3"/>
      <ns0:c r="J219" s="3"/>
      <ns0:c r="K219" s="3"/>
      <ns0:c r="L219" s="3"/>
      <ns0:c r="M219" s="3"/>
      <ns0:c r="N219" s="3"/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/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/>
      <ns0:c r="C221" s="3"/>
      <ns0:c r="D221" s="3"/>
      <ns0:c r="E221" s="3"/>
      <ns0:c r="F221" s="3"/>
      <ns0:c r="G221" s="3"/>
      <ns0:c r="H221" s="3"/>
      <ns0:c r="I221" s="3"/>
      <ns0:c r="J221" s="3"/>
      <ns0:c r="K221" s="3"/>
      <ns0:c r="L221" s="3"/>
      <ns0:c r="M221" s="3"/>
      <ns0:c r="N221" s="3"/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/>
      <ns0:c r="C222" s="3"/>
      <ns0:c r="D222" s="3"/>
      <ns0:c r="E222" s="3"/>
      <ns0:c r="F222" s="3"/>
      <ns0:c r="G222" s="3"/>
      <ns0:c r="H222" s="3"/>
      <ns0:c r="I222" s="3"/>
      <ns0:c r="J222" s="3"/>
      <ns0:c r="K222" s="3"/>
      <ns0:c r="L222" s="3"/>
      <ns0:c r="M222" s="3"/>
      <ns0:c r="N222" s="3"/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/>
      <ns0:c r="C223" s="3"/>
      <ns0:c r="D223" s="3"/>
      <ns0:c r="E223" s="3"/>
      <ns0:c r="F223" s="3"/>
      <ns0:c r="G223" s="3"/>
      <ns0:c r="H223" s="3"/>
      <ns0:c r="I223" s="3"/>
      <ns0:c r="J223" s="3"/>
      <ns0:c r="K223" s="3"/>
      <ns0:c r="L223" s="3"/>
      <ns0:c r="M223" s="3"/>
      <ns0:c r="N223" s="3"/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/>
      <ns0:c r="C224" s="3"/>
      <ns0:c r="D224" s="3"/>
      <ns0:c r="E224" s="3"/>
      <ns0:c r="F224" s="3"/>
      <ns0:c r="G224" s="3"/>
      <ns0:c r="H224" s="3"/>
      <ns0:c r="I224" s="3"/>
      <ns0:c r="J224" s="3"/>
      <ns0:c r="K224" s="3"/>
      <ns0:c r="L224" s="3"/>
      <ns0:c r="M224" s="3"/>
      <ns0:c r="N224" s="3"/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/>
      <ns0:c r="C225" s="3"/>
      <ns0:c r="D225" s="3"/>
      <ns0:c r="E225" s="3"/>
      <ns0:c r="F225" s="3"/>
      <ns0:c r="G225" s="3"/>
      <ns0:c r="H225" s="3"/>
      <ns0:c r="I225" s="3"/>
      <ns0:c r="J225" s="3"/>
      <ns0:c r="K225" s="3"/>
      <ns0:c r="L225" s="3"/>
      <ns0:c r="M225" s="3"/>
      <ns0:c r="N225" s="3"/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/>
      <ns0:c r="C226" s="3"/>
      <ns0:c r="D226" s="3"/>
      <ns0:c r="E226" s="3"/>
      <ns0:c r="F226" s="3"/>
      <ns0:c r="G226" s="3"/>
      <ns0:c r="H226" s="3"/>
      <ns0:c r="I226" s="3"/>
      <ns0:c r="J226" s="3"/>
      <ns0:c r="K226" s="3"/>
      <ns0:c r="L226" s="3"/>
      <ns0:c r="M226" s="3"/>
      <ns0:c r="N226" s="3"/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/>
      <ns0:c r="C227" s="3"/>
      <ns0:c r="D227" s="3"/>
      <ns0:c r="E227" s="3"/>
      <ns0:c r="F227" s="3"/>
      <ns0:c r="G227" s="3"/>
      <ns0:c r="H227" s="3"/>
      <ns0:c r="I227" s="3"/>
      <ns0:c r="J227" s="3"/>
      <ns0:c r="K227" s="3"/>
      <ns0:c r="L227" s="3"/>
      <ns0:c r="M227" s="3"/>
      <ns0:c r="N227" s="3"/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/>
      <ns0:c r="C228" s="3"/>
      <ns0:c r="D228" s="3"/>
      <ns0:c r="E228" s="3"/>
      <ns0:c r="F228" s="3"/>
      <ns0:c r="G228" s="3"/>
      <ns0:c r="H228" s="3"/>
      <ns0:c r="I228" s="3"/>
      <ns0:c r="J228" s="3"/>
      <ns0:c r="K228" s="3"/>
      <ns0:c r="L228" s="3"/>
      <ns0:c r="M228" s="3"/>
      <ns0:c r="N228" s="3"/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/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/>
      <ns0:c r="C230" s="3"/>
      <ns0:c r="D230" s="3"/>
      <ns0:c r="E230" s="3"/>
      <ns0:c r="F230" s="3"/>
      <ns0:c r="G230" s="3"/>
      <ns0:c r="H230" s="3"/>
      <ns0:c r="I230" s="3"/>
      <ns0:c r="J230" s="3"/>
      <ns0:c r="K230" s="3"/>
      <ns0:c r="L230" s="3"/>
      <ns0:c r="M230" s="3"/>
      <ns0:c r="N230" s="3"/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/>
      <ns0:c r="C231" s="3"/>
      <ns0:c r="D231" s="3"/>
      <ns0:c r="E231" s="3"/>
      <ns0:c r="F231" s="3"/>
      <ns0:c r="G231" s="3"/>
      <ns0:c r="H231" s="3"/>
      <ns0:c r="I231" s="3"/>
      <ns0:c r="J231" s="3"/>
      <ns0:c r="K231" s="3"/>
      <ns0:c r="L231" s="3"/>
      <ns0:c r="M231" s="3"/>
      <ns0:c r="N231" s="3"/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/>
      <ns0:c r="C232" s="3"/>
      <ns0:c r="D232" s="3"/>
      <ns0:c r="E232" s="3"/>
      <ns0:c r="F232" s="3"/>
      <ns0:c r="G232" s="3"/>
      <ns0:c r="H232" s="3"/>
      <ns0:c r="I232" s="3"/>
      <ns0:c r="J232" s="3"/>
      <ns0:c r="K232" s="3"/>
      <ns0:c r="L232" s="3"/>
      <ns0:c r="M232" s="3"/>
      <ns0:c r="N232" s="3"/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/>
      <ns0:c r="C233" s="3"/>
      <ns0:c r="D233" s="3"/>
      <ns0:c r="E233" s="3"/>
      <ns0:c r="F233" s="3"/>
      <ns0:c r="G233" s="3"/>
      <ns0:c r="H233" s="3"/>
      <ns0:c r="I233" s="3"/>
      <ns0:c r="J233" s="3"/>
      <ns0:c r="K233" s="3"/>
      <ns0:c r="L233" s="3"/>
      <ns0:c r="M233" s="3"/>
      <ns0:c r="N233" s="3"/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/>
      <ns0:c r="C324" s="3"/>
      <ns0:c r="D324" s="3"/>
      <ns0:c r="E324" s="3"/>
      <ns0:c r="F324" s="3"/>
      <ns0:c r="G324" s="3"/>
      <ns0:c r="H324" s="3"/>
      <ns0:c r="I324" s="3"/>
      <ns0:c r="J324" s="3"/>
      <ns0:c r="K324" s="3"/>
      <ns0:c r="L324" s="3"/>
      <ns0:c r="M324" s="3"/>
      <ns0:c r="N324" s="3"/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/>
      <ns0:c r="C325" s="3"/>
      <ns0:c r="D325" s="3"/>
      <ns0:c r="E325" s="3"/>
      <ns0:c r="F325" s="3"/>
      <ns0:c r="G325" s="3"/>
      <ns0:c r="H325" s="3"/>
      <ns0:c r="I325" s="3"/>
      <ns0:c r="J325" s="3"/>
      <ns0:c r="K325" s="3"/>
      <ns0:c r="L325" s="3"/>
      <ns0:c r="M325" s="3"/>
      <ns0:c r="N325" s="3"/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/>
      <ns0:c r="C326" s="3"/>
      <ns0:c r="D326" s="3"/>
      <ns0:c r="E326" s="3"/>
      <ns0:c r="F326" s="3"/>
      <ns0:c r="G326" s="3"/>
      <ns0:c r="H326" s="3"/>
      <ns0:c r="I326" s="3"/>
      <ns0:c r="J326" s="3"/>
      <ns0:c r="K326" s="3"/>
      <ns0:c r="L326" s="3"/>
      <ns0:c r="M326" s="3"/>
      <ns0:c r="N326" s="3"/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/>
      <ns0:c r="C327" s="3"/>
      <ns0:c r="D327" s="3"/>
      <ns0:c r="E327" s="3"/>
      <ns0:c r="F327" s="3"/>
      <ns0:c r="G327" s="3"/>
      <ns0:c r="H327" s="3"/>
      <ns0:c r="I327" s="3"/>
      <ns0:c r="J327" s="3"/>
      <ns0:c r="K327" s="3"/>
      <ns0:c r="L327" s="3"/>
      <ns0:c r="M327" s="3"/>
      <ns0:c r="N327" s="3"/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/>
      <ns0:c r="C328" s="3"/>
      <ns0:c r="D328" s="3"/>
      <ns0:c r="E328" s="3"/>
      <ns0:c r="F328" s="3"/>
      <ns0:c r="G328" s="3"/>
      <ns0:c r="H328" s="3"/>
      <ns0:c r="I328" s="3"/>
      <ns0:c r="J328" s="3"/>
      <ns0:c r="K328" s="3"/>
      <ns0:c r="L328" s="3"/>
      <ns0:c r="M328" s="3"/>
      <ns0:c r="N328" s="3"/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/>
      <ns0:c r="C329" s="3"/>
      <ns0:c r="D329" s="3"/>
      <ns0:c r="E329" s="3"/>
      <ns0:c r="F329" s="3"/>
      <ns0:c r="G329" s="3"/>
      <ns0:c r="H329" s="3"/>
      <ns0:c r="I329" s="3"/>
      <ns0:c r="J329" s="3"/>
      <ns0:c r="K329" s="3"/>
      <ns0:c r="L329" s="3"/>
      <ns0:c r="M329" s="3"/>
      <ns0:c r="N329" s="3"/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/>
      <ns0:c r="C330" s="3"/>
      <ns0:c r="D330" s="3"/>
      <ns0:c r="E330" s="3"/>
      <ns0:c r="F330" s="3"/>
      <ns0:c r="G330" s="3"/>
      <ns0:c r="H330" s="3"/>
      <ns0:c r="I330" s="3"/>
      <ns0:c r="J330" s="3"/>
      <ns0:c r="K330" s="3"/>
      <ns0:c r="L330" s="3"/>
      <ns0:c r="M330" s="3"/>
      <ns0:c r="N330" s="3"/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/>
      <ns0:c r="C331" s="3"/>
      <ns0:c r="D331" s="3"/>
      <ns0:c r="E331" s="3"/>
      <ns0:c r="F331" s="3"/>
      <ns0:c r="G331" s="3"/>
      <ns0:c r="H331" s="3"/>
      <ns0:c r="I331" s="3"/>
      <ns0:c r="J331" s="3"/>
      <ns0:c r="K331" s="3"/>
      <ns0:c r="L331" s="3"/>
      <ns0:c r="M331" s="3"/>
      <ns0:c r="N331" s="3"/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/>
      <ns0:c r="C332" s="3"/>
      <ns0:c r="D332" s="3"/>
      <ns0:c r="E332" s="3"/>
      <ns0:c r="F332" s="3"/>
      <ns0:c r="G332" s="3"/>
      <ns0:c r="H332" s="3"/>
      <ns0:c r="I332" s="3"/>
      <ns0:c r="J332" s="3"/>
      <ns0:c r="K332" s="3"/>
      <ns0:c r="L332" s="3"/>
      <ns0:c r="M332" s="3"/>
      <ns0:c r="N332" s="3"/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/>
      <ns0:c r="C333" s="3"/>
      <ns0:c r="D333" s="3"/>
      <ns0:c r="E333" s="3"/>
      <ns0:c r="F333" s="3"/>
      <ns0:c r="G333" s="3"/>
      <ns0:c r="H333" s="3"/>
      <ns0:c r="I333" s="3"/>
      <ns0:c r="J333" s="3"/>
      <ns0:c r="K333" s="3"/>
      <ns0:c r="L333" s="3"/>
      <ns0:c r="M333" s="3"/>
      <ns0:c r="N333" s="3"/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/>
      <ns0:c r="C334" s="3"/>
      <ns0:c r="D334" s="3"/>
      <ns0:c r="E334" s="3"/>
      <ns0:c r="F334" s="3"/>
      <ns0:c r="G334" s="3"/>
      <ns0:c r="H334" s="3"/>
      <ns0:c r="I334" s="3"/>
      <ns0:c r="J334" s="3"/>
      <ns0:c r="K334" s="3"/>
      <ns0:c r="L334" s="3"/>
      <ns0:c r="M334" s="3"/>
      <ns0:c r="N334" s="3"/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/>
      <ns0:c r="C335" s="3"/>
      <ns0:c r="D335" s="3"/>
      <ns0:c r="E335" s="3"/>
      <ns0:c r="F335" s="3"/>
      <ns0:c r="G335" s="3"/>
      <ns0:c r="H335" s="3"/>
      <ns0:c r="I335" s="3"/>
      <ns0:c r="J335" s="3"/>
      <ns0:c r="K335" s="3"/>
      <ns0:c r="L335" s="3"/>
      <ns0:c r="M335" s="3"/>
      <ns0:c r="N335" s="3"/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/>
      <ns0:c r="C336" s="3"/>
      <ns0:c r="D336" s="3"/>
      <ns0:c r="E336" s="3"/>
      <ns0:c r="F336" s="3"/>
      <ns0:c r="G336" s="3"/>
      <ns0:c r="H336" s="3"/>
      <ns0:c r="I336" s="3"/>
      <ns0:c r="J336" s="3"/>
      <ns0:c r="K336" s="3"/>
      <ns0:c r="L336" s="3"/>
      <ns0:c r="M336" s="3"/>
      <ns0:c r="N336" s="3"/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/>
      <ns0:c r="C337" s="3"/>
      <ns0:c r="D337" s="3"/>
      <ns0:c r="E337" s="3"/>
      <ns0:c r="F337" s="3"/>
      <ns0:c r="G337" s="3"/>
      <ns0:c r="H337" s="3"/>
      <ns0:c r="I337" s="3"/>
      <ns0:c r="J337" s="3"/>
      <ns0:c r="K337" s="3"/>
      <ns0:c r="L337" s="3"/>
      <ns0:c r="M337" s="3"/>
      <ns0:c r="N337" s="3"/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/>
      <ns0:c r="C338" s="3"/>
      <ns0:c r="D338" s="3"/>
      <ns0:c r="E338" s="3"/>
      <ns0:c r="F338" s="3"/>
      <ns0:c r="G338" s="3"/>
      <ns0:c r="H338" s="3"/>
      <ns0:c r="I338" s="3"/>
      <ns0:c r="J338" s="3"/>
      <ns0:c r="K338" s="3"/>
      <ns0:c r="L338" s="3"/>
      <ns0:c r="M338" s="3"/>
      <ns0:c r="N338" s="3"/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/>
      <ns0:c r="C339" s="3"/>
      <ns0:c r="D339" s="3"/>
      <ns0:c r="E339" s="3"/>
      <ns0:c r="F339" s="3"/>
      <ns0:c r="G339" s="3"/>
      <ns0:c r="H339" s="3"/>
      <ns0:c r="I339" s="3"/>
      <ns0:c r="J339" s="3"/>
      <ns0:c r="K339" s="3"/>
      <ns0:c r="L339" s="3"/>
      <ns0:c r="M339" s="3"/>
      <ns0:c r="N339" s="3"/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/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/>
      <ns0:c r="C341" s="3"/>
      <ns0:c r="D341" s="3"/>
      <ns0:c r="E341" s="3"/>
      <ns0:c r="F341" s="3"/>
      <ns0:c r="G341" s="3"/>
      <ns0:c r="H341" s="3"/>
      <ns0:c r="I341" s="3"/>
      <ns0:c r="J341" s="3"/>
      <ns0:c r="K341" s="3"/>
      <ns0:c r="L341" s="3"/>
      <ns0:c r="M341" s="3"/>
      <ns0:c r="N341" s="3"/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/>
      <ns0:c r="C342" s="3"/>
      <ns0:c r="D342" s="3"/>
      <ns0:c r="E342" s="3"/>
      <ns0:c r="F342" s="3"/>
      <ns0:c r="G342" s="3"/>
      <ns0:c r="H342" s="3"/>
      <ns0:c r="I342" s="3"/>
      <ns0:c r="J342" s="3"/>
      <ns0:c r="K342" s="3"/>
      <ns0:c r="L342" s="3"/>
      <ns0:c r="M342" s="3"/>
      <ns0:c r="N342" s="3"/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/>
      <ns0:c r="C343" s="3"/>
      <ns0:c r="D343" s="3"/>
      <ns0:c r="E343" s="3"/>
      <ns0:c r="F343" s="3"/>
      <ns0:c r="G343" s="3"/>
      <ns0:c r="H343" s="3"/>
      <ns0:c r="I343" s="3"/>
      <ns0:c r="J343" s="3"/>
      <ns0:c r="K343" s="3"/>
      <ns0:c r="L343" s="3"/>
      <ns0:c r="M343" s="3"/>
      <ns0:c r="N343" s="3"/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/>
      <ns0:c r="C344" s="3"/>
      <ns0:c r="D344" s="3"/>
      <ns0:c r="E344" s="3"/>
      <ns0:c r="F344" s="3"/>
      <ns0:c r="G344" s="3"/>
      <ns0:c r="H344" s="3"/>
      <ns0:c r="I344" s="3"/>
      <ns0:c r="J344" s="3"/>
      <ns0:c r="K344" s="3"/>
      <ns0:c r="L344" s="3"/>
      <ns0:c r="M344" s="3"/>
      <ns0:c r="N344" s="3"/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/>
      <ns0:c r="C345" s="3"/>
      <ns0:c r="D345" s="3"/>
      <ns0:c r="E345" s="3"/>
      <ns0:c r="F345" s="3"/>
      <ns0:c r="G345" s="3"/>
      <ns0:c r="H345" s="3"/>
      <ns0:c r="I345" s="3"/>
      <ns0:c r="J345" s="3"/>
      <ns0:c r="K345" s="3"/>
      <ns0:c r="L345" s="3"/>
      <ns0:c r="M345" s="3"/>
      <ns0:c r="N345" s="3"/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/>
      <ns0:c r="C346" s="3"/>
      <ns0:c r="D346" s="3"/>
      <ns0:c r="E346" s="3"/>
      <ns0:c r="F346" s="3"/>
      <ns0:c r="G346" s="3"/>
      <ns0:c r="H346" s="3"/>
      <ns0:c r="I346" s="3"/>
      <ns0:c r="J346" s="3"/>
      <ns0:c r="K346" s="3"/>
      <ns0:c r="L346" s="3"/>
      <ns0:c r="M346" s="3"/>
      <ns0:c r="N346" s="3"/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/>
      <ns0:c r="C347" s="3"/>
      <ns0:c r="D347" s="3"/>
      <ns0:c r="E347" s="3"/>
      <ns0:c r="F347" s="3"/>
      <ns0:c r="G347" s="3"/>
      <ns0:c r="H347" s="3"/>
      <ns0:c r="I347" s="3"/>
      <ns0:c r="J347" s="3"/>
      <ns0:c r="K347" s="3"/>
      <ns0:c r="L347" s="3"/>
      <ns0:c r="M347" s="3"/>
      <ns0:c r="N347" s="3"/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/>
      <ns0:c r="C348" s="3"/>
      <ns0:c r="D348" s="3"/>
      <ns0:c r="E348" s="3"/>
      <ns0:c r="F348" s="3"/>
      <ns0:c r="G348" s="3"/>
      <ns0:c r="H348" s="3"/>
      <ns0:c r="I348" s="3"/>
      <ns0:c r="J348" s="3"/>
      <ns0:c r="K348" s="3"/>
      <ns0:c r="L348" s="3"/>
      <ns0:c r="M348" s="3"/>
      <ns0:c r="N348" s="3"/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/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/>
      <ns0:c r="C350" s="3"/>
      <ns0:c r="D350" s="3"/>
      <ns0:c r="E350" s="3"/>
      <ns0:c r="F350" s="3"/>
      <ns0:c r="G350" s="3"/>
      <ns0:c r="H350" s="3"/>
      <ns0:c r="I350" s="3"/>
      <ns0:c r="J350" s="3"/>
      <ns0:c r="K350" s="3"/>
      <ns0:c r="L350" s="3"/>
      <ns0:c r="M350" s="3"/>
      <ns0:c r="N350" s="3"/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/>
      <ns0:c r="C351" s="3"/>
      <ns0:c r="D351" s="3"/>
      <ns0:c r="E351" s="3"/>
      <ns0:c r="F351" s="3"/>
      <ns0:c r="G351" s="3"/>
      <ns0:c r="H351" s="3"/>
      <ns0:c r="I351" s="3"/>
      <ns0:c r="J351" s="3"/>
      <ns0:c r="K351" s="3"/>
      <ns0:c r="L351" s="3"/>
      <ns0:c r="M351" s="3"/>
      <ns0:c r="N351" s="3"/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/>
      <ns0:c r="C352" s="3"/>
      <ns0:c r="D352" s="3"/>
      <ns0:c r="E352" s="3"/>
      <ns0:c r="F352" s="3"/>
      <ns0:c r="G352" s="3"/>
      <ns0:c r="H352" s="3"/>
      <ns0:c r="I352" s="3"/>
      <ns0:c r="J352" s="3"/>
      <ns0:c r="K352" s="3"/>
      <ns0:c r="L352" s="3"/>
      <ns0:c r="M352" s="3"/>
      <ns0:c r="N352" s="3"/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/>
      <ns0:c r="C353" s="3"/>
      <ns0:c r="D353" s="3"/>
      <ns0:c r="E353" s="3"/>
      <ns0:c r="F353" s="3"/>
      <ns0:c r="G353" s="3"/>
      <ns0:c r="H353" s="3"/>
      <ns0:c r="I353" s="3"/>
      <ns0:c r="J353" s="3"/>
      <ns0:c r="K353" s="3"/>
      <ns0:c r="L353" s="3"/>
      <ns0:c r="M353" s="3"/>
      <ns0:c r="N353" s="3"/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mergeCells>
    <ns0:mergeCell ref="N3:O3"/>
    <ns0:mergeCell ref="R3:S3"/>
  </ns0:mergeCells>
  <ns0:pageMargins left="0.7" right="0.7" top="0.75" bottom="0.75" header="0.3" footer="0.3"/>
</ns0:worksheet>
</file>

<file path=xl/worksheets/sheet5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20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11.125" hidden="0" customWidth="1"/>
    <ns0:col min="18" max="18" width="11.125" hidden="0" customWidth="1"/>
    <ns0:col min="19" max="19" width="14.625" hidden="0" customWidth="1"/>
    <ns0:col min="20" max="20" width="17.25" hidden="0" customWidth="1"/>
    <ns0:col min="21" max="21" width="20" hidden="0" customWidth="1"/>
    <ns0:col min="22" max="22" width="17.25" hidden="0" customWidth="1"/>
    <ns0:col min="50" max="50" width="20" hidden="0" customWidth="1"/>
    <ns0:col min="51" max="51" width="65" hidden="0" customWidth="1"/>
    <ns0:col min="23" max="23" width="13" hidden="0" customWidth="1"/>
    <ns0:col min="24" max="24" width="13" hidden="0" customWidth="1"/>
    <ns0:col min="25" max="25" width="13" hidden="0" customWidth="1"/>
    <ns0:col min="26" max="26" width="17.25" hidden="0" customWidth="1"/>
    <ns0:col min="27" max="27" width="17.25" hidden="0" customWidth="1"/>
    <ns0:col min="28" max="28" width="17.25" hidden="0" customWidth="1"/>
    <ns0:col min="29" max="29" width="17.25" hidden="0" customWidth="1"/>
    <ns0:col min="30" max="30" width="17.25" hidden="0" customWidth="1"/>
    <ns0:col min="31" max="31" width="17.25" hidden="0" customWidth="1"/>
    <ns0:col min="32" max="32" width="16.125" hidden="0" customWidth="1"/>
  </ns0:cols>
  <ns0:sheetData>
    <ns0:row r="1" ht="20" customHeight="1">
      <ns0:c r="A1" s="2"/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/>
      <ns0:c r="B2" s="2" t="inlineStr">
        <ns0:is>
          <ns0:t>项目名称</ns0:t>
        </ns0:is>
      </ns0:c>
      <ns0:c r="C2" s="3"/>
      <ns0:c r="D2" s="3" t="inlineStr">
        <ns0:is>
          <ns0:t>投资比例</ns0:t>
        </ns0:is>
      </ns0:c>
      <ns0:c r="E2" s="3"/>
      <ns0:c r="F2" s="3"/>
      <ns0:c r="G2" s="3"/>
      <ns0:c r="H2" s="3"/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 t="inlineStr">
        <ns0:is>
          <ns0:t>成本</ns0:t>
        </ns0:is>
      </ns0:c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E-5f17fa2948</ns0:t>
        </ns0:is>
      </ns0:c>
    </ns0:row>
    <ns0:row r="3" ht="20" customHeight="1">
      <ns0:c r="A3" s="2"/>
      <ns0:c r="B3" s="2"/>
      <ns0:c r="C3" s="6"/>
      <ns0:c r="D3" s="6"/>
      <ns0:c r="E3" s="6"/>
      <ns0:c r="F3" s="6"/>
      <ns0:c r="G3" s="6"/>
      <ns0:c r="H3" s="6"/>
      <ns0:c r="I3" s="6"/>
      <ns0:c r="J3" s="6"/>
      <ns0:c r="K3" s="6"/>
      <ns0:c r="L3" s="6"/>
      <ns0:c r="M3" s="6"/>
      <ns0:c r="N3" s="6"/>
      <ns0:c r="O3" s="6"/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主体乙</ns0:t>
        </ns0:is>
      </ns0:c>
    </ns0:row>
    <ns0:row r="4" ht="20" customHeight="1">
      <ns0:c r="A4" s="2"/>
      <ns0:c r="B4" s="2"/>
      <ns0:c r="C4" s="3"/>
      <ns0:c r="D4" s="3"/>
      <ns0:c r="E4" s="3"/>
      <ns0:c r="F4" s="3"/>
      <ns0:c r="G4" s="3"/>
      <ns0:c r="H4" s="3"/>
      <ns0:c r="I4" s="3"/>
      <ns0:c r="J4" s="3"/>
      <ns0:c r="K4" s="3"/>
      <ns0:c r="L4" s="3"/>
      <ns0:c r="M4" s="3"/>
      <ns0:c r="N4" s="3"/>
      <ns0:c r="O4" s="3"/>
      <ns0:c r="P4" s="2"/>
      <ns0:c r="Q4" s="2"/>
      <ns0:c r="R4" s="2"/>
      <ns0:c r="S4" s="2"/>
      <ns0:c r="T4" s="2"/>
      <ns0:c r="U4" s="2"/>
      <ns0:c r="V4" s="2"/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S-03e3bfa6bf</ns0:t>
        </ns0:is>
      </ns0:c>
    </ns0:row>
    <ns0:row r="5" ht="20" customHeight="1">
      <ns0:c r="A5" s="2"/>
      <ns0:c r="B5" s="2"/>
      <ns0:c r="C5" s="3"/>
      <ns0:c r="D5" s="3"/>
      <ns0:c r="E5" s="3"/>
      <ns0:c r="F5" s="3"/>
      <ns0:c r="G5" s="3"/>
      <ns0:c r="H5" s="3"/>
      <ns0:c r="I5" s="3"/>
      <ns0:c r="J5" s="3"/>
      <ns0:c r="K5" s="3"/>
      <ns0:c r="L5" s="3"/>
      <ns0:c r="M5" s="3"/>
      <ns0:c r="N5" s="3"/>
      <ns0:c r="O5" s="3"/>
      <ns0:c r="P5" s="2"/>
      <ns0:c r="Q5" s="2"/>
      <ns0:c r="R5" s="2"/>
      <ns0:c r="S5" s="2"/>
      <ns0:c r="T5" s="2"/>
      <ns0:c r="U5" s="2"/>
      <ns0:c r="V5" s="2"/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扩展情景</ns0:t>
        </ns0:is>
      </ns0:c>
    </ns0:row>
    <ns0:row r="6" ht="20" customHeight="1">
      <ns0:c r="A6" s="2"/>
      <ns0:c r="B6" s="2"/>
      <ns0:c r="C6" s="3"/>
      <ns0:c r="D6" s="3"/>
      <ns0:c r="E6" s="3"/>
      <ns0:c r="F6" s="3"/>
      <ns0:c r="G6" s="3"/>
      <ns0:c r="H6" s="3"/>
      <ns0:c r="I6" s="3"/>
      <ns0:c r="J6" s="3"/>
      <ns0:c r="K6" s="3"/>
      <ns0:c r="L6" s="3"/>
      <ns0:c r="M6" s="3"/>
      <ns0:c r="N6" s="3"/>
      <ns0:c r="O6" s="3"/>
      <ns0:c r="P6" s="2"/>
      <ns0:c r="Q6" s="2"/>
      <ns0:c r="R6" s="2"/>
      <ns0:c r="S6" s="2"/>
      <ns0:c r="T6" s="2"/>
      <ns0:c r="U6" s="2"/>
      <ns0:c r="V6" s="2"/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/>
      <ns0:c r="B7" s="2"/>
      <ns0:c r="C7" s="3"/>
      <ns0:c r="D7" s="3"/>
      <ns0:c r="E7" s="3"/>
      <ns0:c r="F7" s="3"/>
      <ns0:c r="G7" s="3"/>
      <ns0:c r="H7" s="3"/>
      <ns0:c r="I7" s="3"/>
      <ns0:c r="J7" s="3"/>
      <ns0:c r="K7" s="3"/>
      <ns0:c r="L7" s="3"/>
      <ns0:c r="M7" s="3"/>
      <ns0:c r="N7" s="3"/>
      <ns0:c r="O7" s="3"/>
      <ns0:c r="P7" s="2"/>
      <ns0:c r="Q7" s="2"/>
      <ns0:c r="R7" s="2"/>
      <ns0:c r="S7" s="2"/>
      <ns0:c r="T7" s="2"/>
      <ns0:c r="U7" s="2"/>
      <ns0:c r="V7" s="2"/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季度</ns0:t>
        </ns0:is>
      </ns0:c>
    </ns0:row>
    <ns0:row r="8" ht="20" customHeight="1">
      <ns0:c r="A8" s="2"/>
      <ns0:c r="B8" s="2"/>
      <ns0:c r="C8" s="3"/>
      <ns0:c r="D8" s="3"/>
      <ns0:c r="E8" s="3"/>
      <ns0:c r="F8" s="3"/>
      <ns0:c r="G8" s="3"/>
      <ns0:c r="H8" s="3"/>
      <ns0:c r="I8" s="3"/>
      <ns0:c r="J8" s="3"/>
      <ns0:c r="K8" s="3"/>
      <ns0:c r="L8" s="3"/>
      <ns0:c r="M8" s="3"/>
      <ns0:c r="N8" s="3"/>
      <ns0:c r="O8" s="3"/>
      <ns0:c r="P8" s="2"/>
      <ns0:c r="Q8" s="2"/>
      <ns0:c r="R8" s="2"/>
      <ns0:c r="S8" s="2"/>
      <ns0:c r="T8" s="2"/>
      <ns0:c r="U8" s="2"/>
      <ns0:c r="V8" s="2"/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/>
      <ns0:c r="B9" s="2"/>
      <ns0:c r="C9" s="3"/>
      <ns0:c r="D9" s="3"/>
      <ns0:c r="E9" s="3"/>
      <ns0:c r="F9" s="3"/>
      <ns0:c r="G9" s="3"/>
      <ns0:c r="H9" s="3"/>
      <ns0:c r="I9" s="3"/>
      <ns0:c r="J9" s="3"/>
      <ns0:c r="K9" s="3"/>
      <ns0:c r="L9" s="3"/>
      <ns0:c r="M9" s="3"/>
      <ns0:c r="N9" s="3"/>
      <ns0:c r="O9" s="3"/>
      <ns0:c r="P9" s="2"/>
      <ns0:c r="Q9" s="2"/>
      <ns0:c r="R9" s="2"/>
      <ns0:c r="S9" s="2"/>
      <ns0:c r="T9" s="2"/>
      <ns0:c r="U9" s="2"/>
      <ns0:c r="V9" s="2"/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/>
      <ns0:c r="B10" s="2"/>
      <ns0:c r="C10" s="3"/>
      <ns0:c r="D10" s="3"/>
      <ns0:c r="E10" s="3"/>
      <ns0:c r="F10" s="3"/>
      <ns0:c r="G10" s="3"/>
      <ns0:c r="H10" s="3"/>
      <ns0:c r="I10" s="3"/>
      <ns0:c r="J10" s="3"/>
      <ns0:c r="K10" s="3"/>
      <ns0:c r="L10" s="3"/>
      <ns0:c r="M10" s="3"/>
      <ns0:c r="N10" s="3"/>
      <ns0:c r="O10" s="3"/>
      <ns0:c r="P10" s="2"/>
      <ns0:c r="Q10" s="2"/>
      <ns0:c r="R10" s="2"/>
      <ns0:c r="S10" s="2"/>
      <ns0:c r="T10" s="2"/>
      <ns0:c r="U10" s="2"/>
      <ns0:c r="V10" s="2"/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/>
      <ns0:c r="B11" s="2"/>
      <ns0:c r="C11" s="3"/>
      <ns0:c r="D11" s="3"/>
      <ns0:c r="E11" s="3"/>
      <ns0:c r="F11" s="3"/>
      <ns0:c r="G11" s="3"/>
      <ns0:c r="H11" s="3"/>
      <ns0:c r="I11" s="3"/>
      <ns0:c r="J11" s="3"/>
      <ns0:c r="K11" s="3"/>
      <ns0:c r="L11" s="3"/>
      <ns0:c r="M11" s="3"/>
      <ns0:c r="N11" s="3"/>
      <ns0:c r="O11" s="3"/>
      <ns0:c r="P11" s="2"/>
      <ns0:c r="Q11" s="2"/>
      <ns0:c r="R11" s="2"/>
      <ns0:c r="S11" s="2"/>
      <ns0:c r="T11" s="2"/>
      <ns0:c r="U11" s="2"/>
      <ns0:c r="V11" s="2"/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/>
      <ns0:c r="B12" s="2"/>
      <ns0:c r="C12" s="3"/>
      <ns0:c r="D12" s="3"/>
      <ns0:c r="E12" s="3"/>
      <ns0:c r="F12" s="3"/>
      <ns0:c r="G12" s="3"/>
      <ns0:c r="H12" s="3"/>
      <ns0:c r="I12" s="3"/>
      <ns0:c r="J12" s="3"/>
      <ns0:c r="K12" s="3"/>
      <ns0:c r="L12" s="3"/>
      <ns0:c r="M12" s="3"/>
      <ns0:c r="N12" s="3"/>
      <ns0:c r="O12" s="3"/>
      <ns0:c r="P12" s="2"/>
      <ns0:c r="Q12" s="2"/>
      <ns0:c r="R12" s="2"/>
      <ns0:c r="S12" s="2"/>
      <ns0:c r="T12" s="2"/>
      <ns0:c r="U12" s="2"/>
      <ns0:c r="V12" s="2"/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/>
      <ns0:c r="B13" s="2"/>
      <ns0:c r="C13" s="3"/>
      <ns0:c r="D13" s="3"/>
      <ns0:c r="E13" s="3"/>
      <ns0:c r="F13" s="3"/>
      <ns0:c r="G13" s="3"/>
      <ns0:c r="H13" s="3"/>
      <ns0:c r="I13" s="3"/>
      <ns0:c r="J13" s="3"/>
      <ns0:c r="K13" s="3"/>
      <ns0:c r="L13" s="3"/>
      <ns0:c r="M13" s="3"/>
      <ns0:c r="N13" s="3"/>
      <ns0:c r="O13" s="3"/>
      <ns0:c r="P13" s="2"/>
      <ns0:c r="Q13" s="2"/>
      <ns0:c r="R13" s="2"/>
      <ns0:c r="S13" s="2"/>
      <ns0:c r="T13" s="2"/>
      <ns0:c r="U13" s="2"/>
      <ns0:c r="V13" s="2"/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/>
      <ns0:c r="B14" s="2"/>
      <ns0:c r="C14" s="3"/>
      <ns0:c r="D14" s="3"/>
      <ns0:c r="E14" s="3"/>
      <ns0:c r="F14" s="3"/>
      <ns0:c r="G14" s="3"/>
      <ns0:c r="H14" s="3"/>
      <ns0:c r="I14" s="3"/>
      <ns0:c r="J14" s="3"/>
      <ns0:c r="K14" s="3"/>
      <ns0:c r="L14" s="3"/>
      <ns0:c r="M14" s="3"/>
      <ns0:c r="N14" s="3"/>
      <ns0:c r="O14" s="3"/>
      <ns0:c r="P14" s="2"/>
      <ns0:c r="Q14" s="2"/>
      <ns0:c r="R14" s="2"/>
      <ns0:c r="S14" s="2"/>
      <ns0:c r="T14" s="2"/>
      <ns0:c r="U14" s="2"/>
      <ns0:c r="V14" s="2"/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/>
      <ns0:c r="B15" s="2"/>
      <ns0:c r="C15" s="3"/>
      <ns0:c r="D15" s="3"/>
      <ns0:c r="E15" s="3"/>
      <ns0:c r="F15" s="3"/>
      <ns0:c r="G15" s="3"/>
      <ns0:c r="H15" s="3"/>
      <ns0:c r="I15" s="3"/>
      <ns0:c r="J15" s="3"/>
      <ns0:c r="K15" s="3"/>
      <ns0:c r="L15" s="3"/>
      <ns0:c r="M15" s="3"/>
      <ns0:c r="N15" s="3"/>
      <ns0:c r="O15" s="3"/>
      <ns0:c r="P15" s="2"/>
      <ns0:c r="Q15" s="2"/>
      <ns0:c r="R15" s="2"/>
      <ns0:c r="S15" s="2"/>
      <ns0:c r="T15" s="2"/>
      <ns0:c r="U15" s="2"/>
      <ns0:c r="V15" s="2"/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/>
      <ns0:c r="B16" s="2"/>
      <ns0:c r="C16" s="3"/>
      <ns0:c r="D16" s="3"/>
      <ns0:c r="E16" s="3"/>
      <ns0:c r="F16" s="3"/>
      <ns0:c r="G16" s="3"/>
      <ns0:c r="H16" s="3"/>
      <ns0:c r="I16" s="3"/>
      <ns0:c r="J16" s="3"/>
      <ns0:c r="K16" s="3"/>
      <ns0:c r="L16" s="3"/>
      <ns0:c r="M16" s="3"/>
      <ns0:c r="N16" s="3"/>
      <ns0:c r="O16" s="3"/>
      <ns0:c r="P16" s="2"/>
      <ns0:c r="Q16" s="2"/>
      <ns0:c r="R16" s="2"/>
      <ns0:c r="S16" s="2"/>
      <ns0:c r="T16" s="2"/>
      <ns0:c r="U16" s="2"/>
      <ns0:c r="V16" s="2"/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预算基础</ns0:t>
        </ns0:is>
      </ns0:c>
    </ns0:row>
    <ns0:row r="17" ht="20" customHeight="1">
      <ns0:c r="A17" s="2"/>
      <ns0:c r="B17" s="2"/>
      <ns0:c r="C17" s="3"/>
      <ns0:c r="D17" s="3"/>
      <ns0:c r="E17" s="3"/>
      <ns0:c r="F17" s="3"/>
      <ns0:c r="G17" s="3"/>
      <ns0:c r="H17" s="3"/>
      <ns0:c r="I17" s="3"/>
      <ns0:c r="J17" s="3"/>
      <ns0:c r="K17" s="3"/>
      <ns0:c r="L17" s="3"/>
      <ns0:c r="M17" s="3"/>
      <ns0:c r="N17" s="3"/>
      <ns0:c r="O17" s="3"/>
      <ns0:c r="P17" s="2"/>
      <ns0:c r="Q17" s="2"/>
      <ns0:c r="R17" s="2"/>
      <ns0:c r="S17" s="2"/>
      <ns0:c r="T17" s="2"/>
      <ns0:c r="U17" s="2"/>
      <ns0:c r="V17" s="2"/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蓝色为预算基础输入参数；示例数值为占位；金额单位：元</ns0:t>
        </ns0:is>
      </ns0:c>
    </ns0:row>
    <ns0:row r="18" ht="20" customHeight="1">
      <ns0:c r="A18" s="2"/>
      <ns0:c r="B18" s="2"/>
      <ns0:c r="C18" s="3"/>
      <ns0:c r="D18" s="3"/>
      <ns0:c r="E18" s="3"/>
      <ns0:c r="F18" s="3"/>
      <ns0:c r="G18" s="3"/>
      <ns0:c r="H18" s="3"/>
      <ns0:c r="I18" s="3"/>
      <ns0:c r="J18" s="3"/>
      <ns0:c r="K18" s="3"/>
      <ns0:c r="L18" s="3"/>
      <ns0:c r="M18" s="3"/>
      <ns0:c r="N18" s="3"/>
      <ns0:c r="O18" s="3"/>
      <ns0:c r="P18" s="2"/>
      <ns0:c r="Q18" s="2"/>
      <ns0:c r="R18" s="2"/>
      <ns0:c r="S18" s="2"/>
      <ns0:c r="T18" s="2"/>
      <ns0:c r="U18" s="2"/>
      <ns0:c r="V18" s="2"/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/>
      <ns0:c r="B19" s="2"/>
      <ns0:c r="C19" s="3"/>
      <ns0:c r="D19" s="3"/>
      <ns0:c r="E19" s="3"/>
      <ns0:c r="F19" s="3"/>
      <ns0:c r="G19" s="3"/>
      <ns0:c r="H19" s="3"/>
      <ns0:c r="I19" s="3"/>
      <ns0:c r="J19" s="3"/>
      <ns0:c r="K19" s="3"/>
      <ns0:c r="L19" s="3"/>
      <ns0:c r="M19" s="3"/>
      <ns0:c r="N19" s="3"/>
      <ns0:c r="O19" s="3"/>
      <ns0:c r="P19" s="2"/>
      <ns0:c r="Q19" s="2"/>
      <ns0:c r="R19" s="2"/>
      <ns0:c r="S19" s="2"/>
      <ns0:c r="T19" s="2"/>
      <ns0:c r="U19" s="2"/>
      <ns0:c r="V19" s="2"/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/>
      <ns0:c r="B20" s="2"/>
      <ns0:c r="C20" s="3"/>
      <ns0:c r="D20" s="3"/>
      <ns0:c r="E20" s="3"/>
      <ns0:c r="F20" s="3"/>
      <ns0:c r="G20" s="3"/>
      <ns0:c r="H20" s="3"/>
      <ns0:c r="I20" s="3"/>
      <ns0:c r="J20" s="3"/>
      <ns0:c r="K20" s="3"/>
      <ns0:c r="L20" s="3"/>
      <ns0:c r="M20" s="3"/>
      <ns0:c r="N20" s="3"/>
      <ns0:c r="O20" s="3"/>
      <ns0:c r="P20" s="2"/>
      <ns0:c r="Q20" s="2"/>
      <ns0:c r="R20" s="2"/>
      <ns0:c r="S20" s="2"/>
      <ns0:c r="T20" s="2"/>
      <ns0:c r="U20" s="2"/>
      <ns0:c r="V20" s="2"/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/>
      <ns0:c r="B21" s="2"/>
      <ns0:c r="C21" s="3"/>
      <ns0:c r="D21" s="3"/>
      <ns0:c r="E21" s="3"/>
      <ns0:c r="F21" s="3"/>
      <ns0:c r="G21" s="3"/>
      <ns0:c r="H21" s="3"/>
      <ns0:c r="I21" s="3"/>
      <ns0:c r="J21" s="3"/>
      <ns0:c r="K21" s="3"/>
      <ns0:c r="L21" s="3"/>
      <ns0:c r="M21" s="3"/>
      <ns0:c r="N21" s="3"/>
      <ns0:c r="O21" s="3"/>
      <ns0:c r="P21" s="2"/>
      <ns0:c r="Q21" s="2"/>
      <ns0:c r="R21" s="2"/>
      <ns0:c r="S21" s="2"/>
      <ns0:c r="T21" s="2"/>
      <ns0:c r="U21" s="2"/>
      <ns0:c r="V21" s="2"/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/>
      <ns0:c r="B22" s="2"/>
      <ns0:c r="C22" s="3"/>
      <ns0:c r="D22" s="3"/>
      <ns0:c r="E22" s="3"/>
      <ns0:c r="F22" s="3"/>
      <ns0:c r="G22" s="3"/>
      <ns0:c r="H22" s="3"/>
      <ns0:c r="I22" s="3"/>
      <ns0:c r="J22" s="3"/>
      <ns0:c r="K22" s="3"/>
      <ns0:c r="L22" s="3"/>
      <ns0:c r="M22" s="3"/>
      <ns0:c r="N22" s="3"/>
      <ns0:c r="O22" s="3"/>
      <ns0:c r="P22" s="2"/>
      <ns0:c r="Q22" s="2"/>
      <ns0:c r="R22" s="2"/>
      <ns0:c r="S22" s="2"/>
      <ns0:c r="T22" s="2"/>
      <ns0:c r="U22" s="2"/>
      <ns0:c r="V22" s="2"/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/>
      <ns0:c r="B23" s="2"/>
      <ns0:c r="C23" s="3"/>
      <ns0:c r="D23" s="3"/>
      <ns0:c r="E23" s="3"/>
      <ns0:c r="F23" s="3"/>
      <ns0:c r="G23" s="3"/>
      <ns0:c r="H23" s="3"/>
      <ns0:c r="I23" s="3"/>
      <ns0:c r="J23" s="3"/>
      <ns0:c r="K23" s="3"/>
      <ns0:c r="L23" s="3"/>
      <ns0:c r="M23" s="3"/>
      <ns0:c r="N23" s="3"/>
      <ns0:c r="O23" s="3"/>
      <ns0:c r="P23" s="2"/>
      <ns0:c r="Q23" s="2"/>
      <ns0:c r="R23" s="2"/>
      <ns0:c r="S23" s="2"/>
      <ns0:c r="T23" s="2"/>
      <ns0:c r="U23" s="2"/>
      <ns0:c r="V23" s="2"/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/>
      <ns0:c r="C24" s="3"/>
      <ns0:c r="D24" s="3"/>
      <ns0:c r="E24" s="3"/>
      <ns0:c r="F24" s="3"/>
      <ns0:c r="G24" s="3"/>
      <ns0:c r="H24" s="3"/>
      <ns0:c r="I24" s="3"/>
      <ns0:c r="J24" s="3"/>
      <ns0:c r="K24" s="3"/>
      <ns0:c r="L24" s="3"/>
      <ns0:c r="M24" s="3"/>
      <ns0:c r="N24" s="3"/>
      <ns0:c r="O24" s="3"/>
      <ns0:c r="P24" s="2"/>
      <ns0:c r="Q24" s="2"/>
      <ns0:c r="R24" s="2"/>
      <ns0:c r="S24" s="2"/>
      <ns0:c r="T24" s="2"/>
      <ns0:c r="U24" s="2"/>
      <ns0:c r="V24" s="2"/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/>
      <ns0:c r="B25" s="2"/>
      <ns0:c r="C25" s="3"/>
      <ns0:c r="D25" s="3"/>
      <ns0:c r="E25" s="3"/>
      <ns0:c r="F25" s="3"/>
      <ns0:c r="G25" s="3"/>
      <ns0:c r="H25" s="3"/>
      <ns0:c r="I25" s="3"/>
      <ns0:c r="J25" s="3"/>
      <ns0:c r="K25" s="3"/>
      <ns0:c r="L25" s="3"/>
      <ns0:c r="M25" s="3"/>
      <ns0:c r="N25" s="3"/>
      <ns0:c r="O25" s="3"/>
      <ns0:c r="P25" s="2"/>
      <ns0:c r="Q25" s="2"/>
      <ns0:c r="R25" s="2"/>
      <ns0:c r="S25" s="2"/>
      <ns0:c r="T25" s="2"/>
      <ns0:c r="U25" s="2"/>
      <ns0:c r="V25" s="2"/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/>
      <ns0:c r="B26" s="2"/>
      <ns0:c r="C26" s="3"/>
      <ns0:c r="D26" s="3"/>
      <ns0:c r="E26" s="3"/>
      <ns0:c r="F26" s="3"/>
      <ns0:c r="G26" s="3"/>
      <ns0:c r="H26" s="3"/>
      <ns0:c r="I26" s="3"/>
      <ns0:c r="J26" s="3"/>
      <ns0:c r="K26" s="3"/>
      <ns0:c r="L26" s="3"/>
      <ns0:c r="M26" s="3"/>
      <ns0:c r="N26" s="3"/>
      <ns0:c r="O26" s="3"/>
      <ns0:c r="P26" s="2"/>
      <ns0:c r="Q26" s="2"/>
      <ns0:c r="R26" s="2"/>
      <ns0:c r="S26" s="2"/>
      <ns0:c r="T26" s="2"/>
      <ns0:c r="U26" s="2"/>
      <ns0:c r="V26" s="2"/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/>
      <ns0:c r="B27" s="2"/>
      <ns0:c r="C27" s="3"/>
      <ns0:c r="D27" s="3"/>
      <ns0:c r="E27" s="3"/>
      <ns0:c r="F27" s="3"/>
      <ns0:c r="G27" s="3"/>
      <ns0:c r="H27" s="3"/>
      <ns0:c r="I27" s="3"/>
      <ns0:c r="J27" s="3"/>
      <ns0:c r="K27" s="3"/>
      <ns0:c r="L27" s="3"/>
      <ns0:c r="M27" s="3"/>
      <ns0:c r="N27" s="3"/>
      <ns0:c r="O27" s="3"/>
      <ns0:c r="P27" s="2"/>
      <ns0:c r="Q27" s="2"/>
      <ns0:c r="R27" s="2"/>
      <ns0:c r="S27" s="2"/>
      <ns0:c r="T27" s="2"/>
      <ns0:c r="U27" s="2"/>
      <ns0:c r="V27" s="2"/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/>
      <ns0:c r="B28" s="2"/>
      <ns0:c r="C28" s="3"/>
      <ns0:c r="D28" s="3"/>
      <ns0:c r="E28" s="3"/>
      <ns0:c r="F28" s="3"/>
      <ns0:c r="G28" s="3"/>
      <ns0:c r="H28" s="3"/>
      <ns0:c r="I28" s="3"/>
      <ns0:c r="J28" s="3"/>
      <ns0:c r="K28" s="3"/>
      <ns0:c r="L28" s="3"/>
      <ns0:c r="M28" s="3"/>
      <ns0:c r="N28" s="3"/>
      <ns0:c r="O28" s="3"/>
      <ns0:c r="P28" s="2"/>
      <ns0:c r="Q28" s="2"/>
      <ns0:c r="R28" s="2"/>
      <ns0:c r="S28" s="2"/>
      <ns0:c r="T28" s="2"/>
      <ns0:c r="U28" s="2"/>
      <ns0:c r="V28" s="2"/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/>
      <ns0:c r="C29" s="3"/>
      <ns0:c r="D29" s="3"/>
      <ns0:c r="E29" s="3"/>
      <ns0:c r="F29" s="3"/>
      <ns0:c r="G29" s="3"/>
      <ns0:c r="H29" s="3"/>
      <ns0:c r="I29" s="3"/>
      <ns0:c r="J29" s="3"/>
      <ns0:c r="K29" s="3"/>
      <ns0:c r="L29" s="3"/>
      <ns0:c r="M29" s="3"/>
      <ns0:c r="N29" s="3"/>
      <ns0:c r="O29" s="3"/>
      <ns0:c r="P29" s="2"/>
      <ns0:c r="Q29" s="2"/>
      <ns0:c r="R29" s="2"/>
      <ns0:c r="S29" s="2"/>
      <ns0:c r="T29" s="2"/>
      <ns0:c r="U29" s="2"/>
      <ns0:c r="V29" s="2"/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 t="inlineStr">
        <ns0:is>
          <ns0:t>预算基础（月度，元）</ns0:t>
        </ns0:is>
      </ns0:c>
      <ns0:c r="C30" s="6" t="inlineStr">
        <ns0:is>
          <ns0:t>2027-01</ns0:t>
        </ns0:is>
      </ns0:c>
      <ns0:c r="D30" s="6" t="inlineStr">
        <ns0:is>
          <ns0:t>2027-02</ns0:t>
        </ns0:is>
      </ns0:c>
      <ns0:c r="E30" s="6" t="inlineStr">
        <ns0:is>
          <ns0:t>2027-03</ns0:t>
        </ns0:is>
      </ns0:c>
      <ns0:c r="F30" s="6" t="inlineStr">
        <ns0:is>
          <ns0:t>2027-04</ns0:t>
        </ns0:is>
      </ns0:c>
      <ns0:c r="G30" s="6" t="inlineStr">
        <ns0:is>
          <ns0:t>2027-05</ns0:t>
        </ns0:is>
      </ns0:c>
      <ns0:c r="H30" s="6" t="inlineStr">
        <ns0:is>
          <ns0:t>2027-06</ns0:t>
        </ns0:is>
      </ns0:c>
      <ns0:c r="I30" s="6" t="inlineStr">
        <ns0:is>
          <ns0:t>2027-07</ns0:t>
        </ns0:is>
      </ns0:c>
      <ns0:c r="J30" s="6" t="inlineStr">
        <ns0:is>
          <ns0:t>2027-08</ns0:t>
        </ns0:is>
      </ns0:c>
      <ns0:c r="K30" s="6" t="inlineStr">
        <ns0:is>
          <ns0:t>2027-09</ns0:t>
        </ns0:is>
      </ns0:c>
      <ns0:c r="L30" s="6" t="inlineStr">
        <ns0:is>
          <ns0:t>2027-10</ns0:t>
        </ns0:is>
      </ns0:c>
      <ns0:c r="M30" s="6" t="inlineStr">
        <ns0:is>
          <ns0:t>2027-11</ns0:t>
        </ns0:is>
      </ns0:c>
      <ns0:c r="N30" s="6" t="inlineStr">
        <ns0:is>
          <ns0:t>2027-12</ns0:t>
        </ns0:is>
      </ns0:c>
      <ns0:c r="O30" s="6"/>
      <ns0:c r="P30" s="2"/>
      <ns0:c r="Q30" s="2"/>
      <ns0:c r="R30" s="2"/>
      <ns0:c r="S30" s="2"/>
      <ns0:c r="T30" s="2"/>
      <ns0:c r="U30" s="2"/>
      <ns0:c r="V30" s="2"/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/>
      <ns0:c r="B31" s="2" t="inlineStr">
        <ns0:is>
          <ns0:t>授权单价</ns0:t>
        </ns0:is>
      </ns0:c>
      <ns0:c r="C31" s="4">
        <ns0:v>1663.56</ns0:v>
      </ns0:c>
      <ns0:c r="D31" s="4">
        <ns0:v>1589.55</ns0:v>
      </ns0:c>
      <ns0:c r="E31" s="4">
        <ns0:v>2291.69</ns0:v>
      </ns0:c>
      <ns0:c r="F31" s="4">
        <ns0:v>2014.53</ns0:v>
      </ns0:c>
      <ns0:c r="G31" s="4">
        <ns0:v>2506.36</ns0:v>
      </ns0:c>
      <ns0:c r="H31" s="4">
        <ns0:v>2118.77</ns0:v>
      </ns0:c>
      <ns0:c r="I31" s="4">
        <ns0:v>1945.22</ns0:v>
      </ns0:c>
      <ns0:c r="J31" s="4">
        <ns0:v>1837.68</ns0:v>
      </ns0:c>
      <ns0:c r="K31" s="4">
        <ns0:v>2048.56</ns0:v>
      </ns0:c>
      <ns0:c r="L31" s="4">
        <ns0:v>2307.27</ns0:v>
      </ns0:c>
      <ns0:c r="M31" s="4">
        <ns0:v>1763.97</ns0:v>
      </ns0:c>
      <ns0:c r="N31" s="4">
        <ns0:v>1735.98</ns0:v>
      </ns0:c>
      <ns0:c r="O31" s="3"/>
      <ns0:c r="P31" s="2"/>
      <ns0:c r="Q31" s="2"/>
      <ns0:c r="R31" s="2"/>
      <ns0:c r="S31" s="2"/>
      <ns0:c r="T31" s="2"/>
      <ns0:c r="U31" s="2"/>
      <ns0:c r="V31" s="2"/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 t="inlineStr">
        <ns0:is>
          <ns0:t>授权数量</ns0:t>
        </ns0:is>
      </ns0:c>
      <ns0:c r="C32" s="4">
        <ns0:v>76.40</ns0:v>
      </ns0:c>
      <ns0:c r="D32" s="4">
        <ns0:v>103.58</ns0:v>
      </ns0:c>
      <ns0:c r="E32" s="4">
        <ns0:v>141.83</ns0:v>
      </ns0:c>
      <ns0:c r="F32" s="4">
        <ns0:v>100.61</ns0:v>
      </ns0:c>
      <ns0:c r="G32" s="4">
        <ns0:v>124.95</ns0:v>
      </ns0:c>
      <ns0:c r="H32" s="4">
        <ns0:v>92.52</ns0:v>
      </ns0:c>
      <ns0:c r="I32" s="4">
        <ns0:v>108.46</ns0:v>
      </ns0:c>
      <ns0:c r="J32" s="4">
        <ns0:v>95.08</ns0:v>
      </ns0:c>
      <ns0:c r="K32" s="4">
        <ns0:v>84.48</ns0:v>
      </ns0:c>
      <ns0:c r="L32" s="4">
        <ns0:v>100.35</ns0:v>
      </ns0:c>
      <ns0:c r="M32" s="4">
        <ns0:v>92.70</ns0:v>
      </ns0:c>
      <ns0:c r="N32" s="4">
        <ns0:v>133.39</ns0:v>
      </ns0:c>
      <ns0:c r="O32" s="3"/>
      <ns0:c r="P32" s="2"/>
      <ns0:c r="Q32" s="2"/>
      <ns0:c r="R32" s="2"/>
      <ns0:c r="S32" s="2"/>
      <ns0:c r="T32" s="2"/>
      <ns0:c r="U32" s="2"/>
      <ns0:c r="V32" s="2"/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/>
      <ns0:c r="B33" s="2" t="inlineStr">
        <ns0:is>
          <ns0:t>营业收入</ns0:t>
        </ns0:is>
      </ns0:c>
      <ns0:c r="C33" s="3">
        <ns0:f>ROUND(C31*C32,2)</ns0:f>
        <ns0:v>127095.98</ns0:v>
      </ns0:c>
      <ns0:c r="D33" s="3">
        <ns0:f>ROUND(D31*D32,2)</ns0:f>
        <ns0:v>164645.59</ns0:v>
      </ns0:c>
      <ns0:c r="E33" s="3">
        <ns0:f>ROUND(E31*E32,2)</ns0:f>
        <ns0:v>325030.39</ns0:v>
      </ns0:c>
      <ns0:c r="F33" s="3">
        <ns0:f>ROUND(F31*F32,2)</ns0:f>
        <ns0:v>202681.86</ns0:v>
      </ns0:c>
      <ns0:c r="G33" s="3">
        <ns0:f>ROUND(G31*G32,2)</ns0:f>
        <ns0:v>313169.68</ns0:v>
      </ns0:c>
      <ns0:c r="H33" s="3">
        <ns0:f>ROUND(H31*H32,2)</ns0:f>
        <ns0:v>196028.60</ns0:v>
      </ns0:c>
      <ns0:c r="I33" s="3">
        <ns0:f>ROUND(I31*I32,2)</ns0:f>
        <ns0:v>210978.56</ns0:v>
      </ns0:c>
      <ns0:c r="J33" s="3">
        <ns0:f>ROUND(J31*J32,2)</ns0:f>
        <ns0:v>174726.61</ns0:v>
      </ns0:c>
      <ns0:c r="K33" s="3">
        <ns0:f>ROUND(K31*K32,2)</ns0:f>
        <ns0:v>173062.35</ns0:v>
      </ns0:c>
      <ns0:c r="L33" s="3">
        <ns0:f>ROUND(L31*L32,2)</ns0:f>
        <ns0:v>231534.54</ns0:v>
      </ns0:c>
      <ns0:c r="M33" s="3">
        <ns0:f>ROUND(M31*M32,2)</ns0:f>
        <ns0:v>163520.02</ns0:v>
      </ns0:c>
      <ns0:c r="N33" s="3">
        <ns0:f>ROUND(N31*N32,2)</ns0:f>
        <ns0:v>231562.37</ns0:v>
      </ns0:c>
      <ns0:c r="O33" s="3">
        <ns0:f>SUM(C33:N33)</ns0:f>
        <ns0:v>2514036.55</ns0:v>
      </ns0:c>
      <ns0:c r="P33" s="2" t="inlineStr">
        <ns0:is>
          <ns0:t>REV2</ns0:t>
        </ns0:is>
      </ns0:c>
      <ns0:c r="Q33" s="2" t="inlineStr">
        <ns0:is>
          <ns0:t>演示占位-v1</ns0:t>
        </ns0:is>
      </ns0:c>
      <ns0:c r="R33" s="2" t="inlineStr">
        <ns0:is>
          <ns0:t>模拟权责发生制</ns0:t>
        </ns0:is>
      </ns0:c>
      <ns0:c r="S33" s="2" t="inlineStr">
        <ns0:is>
          <ns0:t>2027-01</ns0:t>
        </ns0:is>
      </ns0:c>
      <ns0:c r="T33" s="2" t="inlineStr">
        <ns0:is>
          <ns0:t>2027-06</ns0:t>
        </ns0:is>
      </ns0:c>
      <ns0:c r="U33" s="2" t="inlineStr">
        <ns0:is>
          <ns0:t>无</ns0:t>
        </ns0:is>
      </ns0:c>
      <ns0:c r="V33" s="2" t="inlineStr">
        <ns0:is>
          <ns0:t>无</ns0:t>
        </ns0:is>
      </ns0:c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/>
      <ns0:c r="B34" s="2" t="inlineStr">
        <ns0:is>
          <ns0:t>单位采购成本</ns0:t>
        </ns0:is>
      </ns0:c>
      <ns0:c r="C34" s="4">
        <ns0:v>620.03</ns0:v>
      </ns0:c>
      <ns0:c r="D34" s="4">
        <ns0:v>627.07</ns0:v>
      </ns0:c>
      <ns0:c r="E34" s="4">
        <ns0:v>824.27</ns0:v>
      </ns0:c>
      <ns0:c r="F34" s="4">
        <ns0:v>645.82</ns0:v>
      </ns0:c>
      <ns0:c r="G34" s="4">
        <ns0:v>542.27</ns0:v>
      </ns0:c>
      <ns0:c r="H34" s="4">
        <ns0:v>702.06</ns0:v>
      </ns0:c>
      <ns0:c r="I34" s="4">
        <ns0:v>662.08</ns0:v>
      </ns0:c>
      <ns0:c r="J34" s="4">
        <ns0:v>603.35</ns0:v>
      </ns0:c>
      <ns0:c r="K34" s="4">
        <ns0:v>690.49</ns0:v>
      </ns0:c>
      <ns0:c r="L34" s="4">
        <ns0:v>607.62</ns0:v>
      </ns0:c>
      <ns0:c r="M34" s="4">
        <ns0:v>740.89</ns0:v>
      </ns0:c>
      <ns0:c r="N34" s="4">
        <ns0:v>641.07</ns0:v>
      </ns0:c>
      <ns0:c r="O34" s="3"/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/>
      <ns0:c r="B35" s="2" t="inlineStr">
        <ns0:is>
          <ns0:t>采购数量</ns0:t>
        </ns0:is>
      </ns0:c>
      <ns0:c r="C35" s="3">
        <ns0:f>C32</ns0:f>
        <ns0:v>76.40</ns0:v>
      </ns0:c>
      <ns0:c r="D35" s="3">
        <ns0:f>D32</ns0:f>
        <ns0:v>103.58</ns0:v>
      </ns0:c>
      <ns0:c r="E35" s="3">
        <ns0:f>E32</ns0:f>
        <ns0:v>141.83</ns0:v>
      </ns0:c>
      <ns0:c r="F35" s="3">
        <ns0:f>F32</ns0:f>
        <ns0:v>100.61</ns0:v>
      </ns0:c>
      <ns0:c r="G35" s="3">
        <ns0:f>G32</ns0:f>
        <ns0:v>124.95</ns0:v>
      </ns0:c>
      <ns0:c r="H35" s="3">
        <ns0:f>H32</ns0:f>
        <ns0:v>92.52</ns0:v>
      </ns0:c>
      <ns0:c r="I35" s="3">
        <ns0:f>I32</ns0:f>
        <ns0:v>108.46</ns0:v>
      </ns0:c>
      <ns0:c r="J35" s="3">
        <ns0:f>J32</ns0:f>
        <ns0:v>95.08</ns0:v>
      </ns0:c>
      <ns0:c r="K35" s="3">
        <ns0:f>K32</ns0:f>
        <ns0:v>84.48</ns0:v>
      </ns0:c>
      <ns0:c r="L35" s="3">
        <ns0:f>L32</ns0:f>
        <ns0:v>100.35</ns0:v>
      </ns0:c>
      <ns0:c r="M35" s="3">
        <ns0:f>M32</ns0:f>
        <ns0:v>92.70</ns0:v>
      </ns0:c>
      <ns0:c r="N35" s="3">
        <ns0:f>N32</ns0:f>
        <ns0:v>133.39</ns0:v>
      </ns0:c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/>
      <ns0:c r="B36" s="2" t="inlineStr">
        <ns0:is>
          <ns0:t>营业成本</ns0:t>
        </ns0:is>
      </ns0:c>
      <ns0:c r="C36" s="3">
        <ns0:f>ROUND(C34*C35,2)</ns0:f>
        <ns0:v>47370.29</ns0:v>
      </ns0:c>
      <ns0:c r="D36" s="3">
        <ns0:f>ROUND(D34*D35,2)</ns0:f>
        <ns0:v>64951.91</ns0:v>
      </ns0:c>
      <ns0:c r="E36" s="3">
        <ns0:f>ROUND(E34*E35,2)</ns0:f>
        <ns0:v>116906.21</ns0:v>
      </ns0:c>
      <ns0:c r="F36" s="3">
        <ns0:f>ROUND(F34*F35,2)</ns0:f>
        <ns0:v>64975.95</ns0:v>
      </ns0:c>
      <ns0:c r="G36" s="3">
        <ns0:f>ROUND(G34*G35,2)</ns0:f>
        <ns0:v>67756.64</ns0:v>
      </ns0:c>
      <ns0:c r="H36" s="3">
        <ns0:f>ROUND(H34*H35,2)</ns0:f>
        <ns0:v>64954.59</ns0:v>
      </ns0:c>
      <ns0:c r="I36" s="3">
        <ns0:f>ROUND(I34*I35,2)</ns0:f>
        <ns0:v>71809.20</ns0:v>
      </ns0:c>
      <ns0:c r="J36" s="3">
        <ns0:f>ROUND(J34*J35,2)</ns0:f>
        <ns0:v>57366.52</ns0:v>
      </ns0:c>
      <ns0:c r="K36" s="3">
        <ns0:f>ROUND(K34*K35,2)</ns0:f>
        <ns0:v>58332.60</ns0:v>
      </ns0:c>
      <ns0:c r="L36" s="3">
        <ns0:f>ROUND(L34*L35,2)</ns0:f>
        <ns0:v>60974.67</ns0:v>
      </ns0:c>
      <ns0:c r="M36" s="3">
        <ns0:f>ROUND(M34*M35,2)</ns0:f>
        <ns0:v>68680.50</ns0:v>
      </ns0:c>
      <ns0:c r="N36" s="3">
        <ns0:f>ROUND(N34*N35,2)</ns0:f>
        <ns0:v>85512.33</ns0:v>
      </ns0:c>
      <ns0:c r="O36" s="3">
        <ns0:f>SUM(C36:N36)</ns0:f>
        <ns0:v>829591.41</ns0:v>
      </ns0:c>
      <ns0:c r="P36" s="2" t="inlineStr">
        <ns0:is>
          <ns0:t>COGS2</ns0:t>
        </ns0:is>
      </ns0:c>
      <ns0:c r="Q36" s="2" t="inlineStr">
        <ns0:is>
          <ns0:t>演示占位-v1</ns0:t>
        </ns0:is>
      </ns0:c>
      <ns0:c r="R36" s="2" t="inlineStr">
        <ns0:is>
          <ns0:t>模拟权责发生制</ns0:t>
        </ns0:is>
      </ns0:c>
      <ns0:c r="S36" s="2" t="inlineStr">
        <ns0:is>
          <ns0:t>2027-01</ns0:t>
        </ns0:is>
      </ns0:c>
      <ns0:c r="T36" s="2" t="inlineStr">
        <ns0:is>
          <ns0:t>2027-06</ns0:t>
        </ns0:is>
      </ns0:c>
      <ns0:c r="U36" s="2" t="inlineStr">
        <ns0:is>
          <ns0:t>无</ns0:t>
        </ns0:is>
      </ns0:c>
      <ns0:c r="V36" s="2" t="inlineStr">
        <ns0:is>
          <ns0:t>无</ns0:t>
        </ns0:is>
      </ns0:c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 t="inlineStr">
        <ns0:is>
          <ns0:t>采购金额（占位）</ns0:t>
        </ns0:is>
      </ns0:c>
      <ns0:c r="C37" s="3">
        <ns0:f>C36</ns0:f>
        <ns0:v>47370.29</ns0:v>
      </ns0:c>
      <ns0:c r="D37" s="3">
        <ns0:f>D36</ns0:f>
        <ns0:v>64951.91</ns0:v>
      </ns0:c>
      <ns0:c r="E37" s="3">
        <ns0:f>E36</ns0:f>
        <ns0:v>116906.21</ns0:v>
      </ns0:c>
      <ns0:c r="F37" s="3">
        <ns0:f>F36</ns0:f>
        <ns0:v>64975.95</ns0:v>
      </ns0:c>
      <ns0:c r="G37" s="3">
        <ns0:f>G36</ns0:f>
        <ns0:v>67756.64</ns0:v>
      </ns0:c>
      <ns0:c r="H37" s="3">
        <ns0:f>H36</ns0:f>
        <ns0:v>64954.59</ns0:v>
      </ns0:c>
      <ns0:c r="I37" s="3">
        <ns0:f>I36</ns0:f>
        <ns0:v>71809.20</ns0:v>
      </ns0:c>
      <ns0:c r="J37" s="3">
        <ns0:f>J36</ns0:f>
        <ns0:v>57366.52</ns0:v>
      </ns0:c>
      <ns0:c r="K37" s="3">
        <ns0:f>K36</ns0:f>
        <ns0:v>58332.60</ns0:v>
      </ns0:c>
      <ns0:c r="L37" s="3">
        <ns0:f>L36</ns0:f>
        <ns0:v>60974.67</ns0:v>
      </ns0:c>
      <ns0:c r="M37" s="3">
        <ns0:f>M36</ns0:f>
        <ns0:v>68680.50</ns0:v>
      </ns0:c>
      <ns0:c r="N37" s="3">
        <ns0:f>N36</ns0:f>
        <ns0:v>85512.33</ns0:v>
      </ns0:c>
      <ns0:c r="O37" s="3">
        <ns0:f>SUM(C37:N37)</ns0:f>
        <ns0:v>829591.41</ns0:v>
      </ns0:c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/>
      <ns0:c r="C60" s="6"/>
      <ns0:c r="D60" s="6"/>
      <ns0:c r="E60" s="6"/>
      <ns0:c r="F60" s="6"/>
      <ns0:c r="G60" s="6"/>
      <ns0:c r="H60" s="6"/>
      <ns0:c r="I60" s="6"/>
      <ns0:c r="J60" s="6"/>
      <ns0:c r="K60" s="6"/>
      <ns0:c r="L60" s="6"/>
      <ns0:c r="M60" s="6"/>
      <ns0:c r="N60" s="6"/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/>
      <ns0:c r="C61" s="3"/>
      <ns0:c r="D61" s="3"/>
      <ns0:c r="E61" s="3"/>
      <ns0:c r="F61" s="3"/>
      <ns0:c r="G61" s="3"/>
      <ns0:c r="H61" s="3"/>
      <ns0:c r="I61" s="3"/>
      <ns0:c r="J61" s="3"/>
      <ns0:c r="K61" s="3"/>
      <ns0:c r="L61" s="3"/>
      <ns0:c r="M61" s="3"/>
      <ns0:c r="N61" s="3"/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/>
      <ns0:c r="C62" s="3"/>
      <ns0:c r="D62" s="3"/>
      <ns0:c r="E62" s="3"/>
      <ns0:c r="F62" s="3"/>
      <ns0:c r="G62" s="3"/>
      <ns0:c r="H62" s="3"/>
      <ns0:c r="I62" s="3"/>
      <ns0:c r="J62" s="3"/>
      <ns0:c r="K62" s="3"/>
      <ns0:c r="L62" s="3"/>
      <ns0:c r="M62" s="3"/>
      <ns0:c r="N62" s="3"/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/>
      <ns0:c r="C63" s="3"/>
      <ns0:c r="D63" s="3"/>
      <ns0:c r="E63" s="3"/>
      <ns0:c r="F63" s="3"/>
      <ns0:c r="G63" s="3"/>
      <ns0:c r="H63" s="3"/>
      <ns0:c r="I63" s="3"/>
      <ns0:c r="J63" s="3"/>
      <ns0:c r="K63" s="3"/>
      <ns0:c r="L63" s="3"/>
      <ns0:c r="M63" s="3"/>
      <ns0:c r="N63" s="3"/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/>
      <ns0:c r="C64" s="3"/>
      <ns0:c r="D64" s="3"/>
      <ns0:c r="E64" s="3"/>
      <ns0:c r="F64" s="3"/>
      <ns0:c r="G64" s="3"/>
      <ns0:c r="H64" s="3"/>
      <ns0:c r="I64" s="3"/>
      <ns0:c r="J64" s="3"/>
      <ns0:c r="K64" s="3"/>
      <ns0:c r="L64" s="3"/>
      <ns0:c r="M64" s="3"/>
      <ns0:c r="N64" s="3"/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/>
      <ns0:c r="C65" s="3"/>
      <ns0:c r="D65" s="3"/>
      <ns0:c r="E65" s="3"/>
      <ns0:c r="F65" s="3"/>
      <ns0:c r="G65" s="3"/>
      <ns0:c r="H65" s="3"/>
      <ns0:c r="I65" s="3"/>
      <ns0:c r="J65" s="3"/>
      <ns0:c r="K65" s="3"/>
      <ns0:c r="L65" s="3"/>
      <ns0:c r="M65" s="3"/>
      <ns0:c r="N65" s="3"/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/>
      <ns0:c r="C66" s="3"/>
      <ns0:c r="D66" s="3"/>
      <ns0:c r="E66" s="3"/>
      <ns0:c r="F66" s="3"/>
      <ns0:c r="G66" s="3"/>
      <ns0:c r="H66" s="3"/>
      <ns0:c r="I66" s="3"/>
      <ns0:c r="J66" s="3"/>
      <ns0:c r="K66" s="3"/>
      <ns0:c r="L66" s="3"/>
      <ns0:c r="M66" s="3"/>
      <ns0:c r="N66" s="3"/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/>
      <ns0:c r="C67" s="3"/>
      <ns0:c r="D67" s="3"/>
      <ns0:c r="E67" s="3"/>
      <ns0:c r="F67" s="3"/>
      <ns0:c r="G67" s="3"/>
      <ns0:c r="H67" s="3"/>
      <ns0:c r="I67" s="3"/>
      <ns0:c r="J67" s="3"/>
      <ns0:c r="K67" s="3"/>
      <ns0:c r="L67" s="3"/>
      <ns0:c r="M67" s="3"/>
      <ns0:c r="N67" s="3"/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/>
      <ns0:c r="C68" s="3"/>
      <ns0:c r="D68" s="3"/>
      <ns0:c r="E68" s="3"/>
      <ns0:c r="F68" s="3"/>
      <ns0:c r="G68" s="3"/>
      <ns0:c r="H68" s="3"/>
      <ns0:c r="I68" s="3"/>
      <ns0:c r="J68" s="3"/>
      <ns0:c r="K68" s="3"/>
      <ns0:c r="L68" s="3"/>
      <ns0:c r="M68" s="3"/>
      <ns0:c r="N68" s="3"/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/>
      <ns0:c r="C204" s="3"/>
      <ns0:c r="D204" s="3"/>
      <ns0:c r="E204" s="3"/>
      <ns0:c r="F204" s="3"/>
      <ns0:c r="G204" s="3"/>
      <ns0:c r="H204" s="3"/>
      <ns0:c r="I204" s="3"/>
      <ns0:c r="J204" s="3"/>
      <ns0:c r="K204" s="3"/>
      <ns0:c r="L204" s="3"/>
      <ns0:c r="M204" s="3"/>
      <ns0:c r="N204" s="3"/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/>
      <ns0:c r="C205" s="3"/>
      <ns0:c r="D205" s="3"/>
      <ns0:c r="E205" s="3"/>
      <ns0:c r="F205" s="3"/>
      <ns0:c r="G205" s="3"/>
      <ns0:c r="H205" s="3"/>
      <ns0:c r="I205" s="3"/>
      <ns0:c r="J205" s="3"/>
      <ns0:c r="K205" s="3"/>
      <ns0:c r="L205" s="3"/>
      <ns0:c r="M205" s="3"/>
      <ns0:c r="N205" s="3"/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/>
      <ns0:c r="C206" s="3"/>
      <ns0:c r="D206" s="3"/>
      <ns0:c r="E206" s="3"/>
      <ns0:c r="F206" s="3"/>
      <ns0:c r="G206" s="3"/>
      <ns0:c r="H206" s="3"/>
      <ns0:c r="I206" s="3"/>
      <ns0:c r="J206" s="3"/>
      <ns0:c r="K206" s="3"/>
      <ns0:c r="L206" s="3"/>
      <ns0:c r="M206" s="3"/>
      <ns0:c r="N206" s="3"/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/>
      <ns0:c r="C207" s="3"/>
      <ns0:c r="D207" s="3"/>
      <ns0:c r="E207" s="3"/>
      <ns0:c r="F207" s="3"/>
      <ns0:c r="G207" s="3"/>
      <ns0:c r="H207" s="3"/>
      <ns0:c r="I207" s="3"/>
      <ns0:c r="J207" s="3"/>
      <ns0:c r="K207" s="3"/>
      <ns0:c r="L207" s="3"/>
      <ns0:c r="M207" s="3"/>
      <ns0:c r="N207" s="3"/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/>
      <ns0:c r="C208" s="3"/>
      <ns0:c r="D208" s="3"/>
      <ns0:c r="E208" s="3"/>
      <ns0:c r="F208" s="3"/>
      <ns0:c r="G208" s="3"/>
      <ns0:c r="H208" s="3"/>
      <ns0:c r="I208" s="3"/>
      <ns0:c r="J208" s="3"/>
      <ns0:c r="K208" s="3"/>
      <ns0:c r="L208" s="3"/>
      <ns0:c r="M208" s="3"/>
      <ns0:c r="N208" s="3"/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/>
      <ns0:c r="C209" s="3"/>
      <ns0:c r="D209" s="3"/>
      <ns0:c r="E209" s="3"/>
      <ns0:c r="F209" s="3"/>
      <ns0:c r="G209" s="3"/>
      <ns0:c r="H209" s="3"/>
      <ns0:c r="I209" s="3"/>
      <ns0:c r="J209" s="3"/>
      <ns0:c r="K209" s="3"/>
      <ns0:c r="L209" s="3"/>
      <ns0:c r="M209" s="3"/>
      <ns0:c r="N209" s="3"/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/>
      <ns0:c r="C210" s="3"/>
      <ns0:c r="D210" s="3"/>
      <ns0:c r="E210" s="3"/>
      <ns0:c r="F210" s="3"/>
      <ns0:c r="G210" s="3"/>
      <ns0:c r="H210" s="3"/>
      <ns0:c r="I210" s="3"/>
      <ns0:c r="J210" s="3"/>
      <ns0:c r="K210" s="3"/>
      <ns0:c r="L210" s="3"/>
      <ns0:c r="M210" s="3"/>
      <ns0:c r="N210" s="3"/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/>
      <ns0:c r="C211" s="3"/>
      <ns0:c r="D211" s="3"/>
      <ns0:c r="E211" s="3"/>
      <ns0:c r="F211" s="3"/>
      <ns0:c r="G211" s="3"/>
      <ns0:c r="H211" s="3"/>
      <ns0:c r="I211" s="3"/>
      <ns0:c r="J211" s="3"/>
      <ns0:c r="K211" s="3"/>
      <ns0:c r="L211" s="3"/>
      <ns0:c r="M211" s="3"/>
      <ns0:c r="N211" s="3"/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/>
      <ns0:c r="C212" s="3"/>
      <ns0:c r="D212" s="3"/>
      <ns0:c r="E212" s="3"/>
      <ns0:c r="F212" s="3"/>
      <ns0:c r="G212" s="3"/>
      <ns0:c r="H212" s="3"/>
      <ns0:c r="I212" s="3"/>
      <ns0:c r="J212" s="3"/>
      <ns0:c r="K212" s="3"/>
      <ns0:c r="L212" s="3"/>
      <ns0:c r="M212" s="3"/>
      <ns0:c r="N212" s="3"/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/>
      <ns0:c r="C213" s="3"/>
      <ns0:c r="D213" s="3"/>
      <ns0:c r="E213" s="3"/>
      <ns0:c r="F213" s="3"/>
      <ns0:c r="G213" s="3"/>
      <ns0:c r="H213" s="3"/>
      <ns0:c r="I213" s="3"/>
      <ns0:c r="J213" s="3"/>
      <ns0:c r="K213" s="3"/>
      <ns0:c r="L213" s="3"/>
      <ns0:c r="M213" s="3"/>
      <ns0:c r="N213" s="3"/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/>
      <ns0:c r="C214" s="3"/>
      <ns0:c r="D214" s="3"/>
      <ns0:c r="E214" s="3"/>
      <ns0:c r="F214" s="3"/>
      <ns0:c r="G214" s="3"/>
      <ns0:c r="H214" s="3"/>
      <ns0:c r="I214" s="3"/>
      <ns0:c r="J214" s="3"/>
      <ns0:c r="K214" s="3"/>
      <ns0:c r="L214" s="3"/>
      <ns0:c r="M214" s="3"/>
      <ns0:c r="N214" s="3"/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/>
      <ns0:c r="C215" s="3"/>
      <ns0:c r="D215" s="3"/>
      <ns0:c r="E215" s="3"/>
      <ns0:c r="F215" s="3"/>
      <ns0:c r="G215" s="3"/>
      <ns0:c r="H215" s="3"/>
      <ns0:c r="I215" s="3"/>
      <ns0:c r="J215" s="3"/>
      <ns0:c r="K215" s="3"/>
      <ns0:c r="L215" s="3"/>
      <ns0:c r="M215" s="3"/>
      <ns0:c r="N215" s="3"/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/>
      <ns0:c r="C216" s="3"/>
      <ns0:c r="D216" s="3"/>
      <ns0:c r="E216" s="3"/>
      <ns0:c r="F216" s="3"/>
      <ns0:c r="G216" s="3"/>
      <ns0:c r="H216" s="3"/>
      <ns0:c r="I216" s="3"/>
      <ns0:c r="J216" s="3"/>
      <ns0:c r="K216" s="3"/>
      <ns0:c r="L216" s="3"/>
      <ns0:c r="M216" s="3"/>
      <ns0:c r="N216" s="3"/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/>
      <ns0:c r="C217" s="3"/>
      <ns0:c r="D217" s="3"/>
      <ns0:c r="E217" s="3"/>
      <ns0:c r="F217" s="3"/>
      <ns0:c r="G217" s="3"/>
      <ns0:c r="H217" s="3"/>
      <ns0:c r="I217" s="3"/>
      <ns0:c r="J217" s="3"/>
      <ns0:c r="K217" s="3"/>
      <ns0:c r="L217" s="3"/>
      <ns0:c r="M217" s="3"/>
      <ns0:c r="N217" s="3"/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/>
      <ns0:c r="C218" s="3"/>
      <ns0:c r="D218" s="3"/>
      <ns0:c r="E218" s="3"/>
      <ns0:c r="F218" s="3"/>
      <ns0:c r="G218" s="3"/>
      <ns0:c r="H218" s="3"/>
      <ns0:c r="I218" s="3"/>
      <ns0:c r="J218" s="3"/>
      <ns0:c r="K218" s="3"/>
      <ns0:c r="L218" s="3"/>
      <ns0:c r="M218" s="3"/>
      <ns0:c r="N218" s="3"/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/>
      <ns0:c r="C219" s="3"/>
      <ns0:c r="D219" s="3"/>
      <ns0:c r="E219" s="3"/>
      <ns0:c r="F219" s="3"/>
      <ns0:c r="G219" s="3"/>
      <ns0:c r="H219" s="3"/>
      <ns0:c r="I219" s="3"/>
      <ns0:c r="J219" s="3"/>
      <ns0:c r="K219" s="3"/>
      <ns0:c r="L219" s="3"/>
      <ns0:c r="M219" s="3"/>
      <ns0:c r="N219" s="3"/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/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/>
      <ns0:c r="C221" s="3"/>
      <ns0:c r="D221" s="3"/>
      <ns0:c r="E221" s="3"/>
      <ns0:c r="F221" s="3"/>
      <ns0:c r="G221" s="3"/>
      <ns0:c r="H221" s="3"/>
      <ns0:c r="I221" s="3"/>
      <ns0:c r="J221" s="3"/>
      <ns0:c r="K221" s="3"/>
      <ns0:c r="L221" s="3"/>
      <ns0:c r="M221" s="3"/>
      <ns0:c r="N221" s="3"/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/>
      <ns0:c r="C222" s="3"/>
      <ns0:c r="D222" s="3"/>
      <ns0:c r="E222" s="3"/>
      <ns0:c r="F222" s="3"/>
      <ns0:c r="G222" s="3"/>
      <ns0:c r="H222" s="3"/>
      <ns0:c r="I222" s="3"/>
      <ns0:c r="J222" s="3"/>
      <ns0:c r="K222" s="3"/>
      <ns0:c r="L222" s="3"/>
      <ns0:c r="M222" s="3"/>
      <ns0:c r="N222" s="3"/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/>
      <ns0:c r="C223" s="3"/>
      <ns0:c r="D223" s="3"/>
      <ns0:c r="E223" s="3"/>
      <ns0:c r="F223" s="3"/>
      <ns0:c r="G223" s="3"/>
      <ns0:c r="H223" s="3"/>
      <ns0:c r="I223" s="3"/>
      <ns0:c r="J223" s="3"/>
      <ns0:c r="K223" s="3"/>
      <ns0:c r="L223" s="3"/>
      <ns0:c r="M223" s="3"/>
      <ns0:c r="N223" s="3"/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/>
      <ns0:c r="C224" s="3"/>
      <ns0:c r="D224" s="3"/>
      <ns0:c r="E224" s="3"/>
      <ns0:c r="F224" s="3"/>
      <ns0:c r="G224" s="3"/>
      <ns0:c r="H224" s="3"/>
      <ns0:c r="I224" s="3"/>
      <ns0:c r="J224" s="3"/>
      <ns0:c r="K224" s="3"/>
      <ns0:c r="L224" s="3"/>
      <ns0:c r="M224" s="3"/>
      <ns0:c r="N224" s="3"/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/>
      <ns0:c r="C225" s="3"/>
      <ns0:c r="D225" s="3"/>
      <ns0:c r="E225" s="3"/>
      <ns0:c r="F225" s="3"/>
      <ns0:c r="G225" s="3"/>
      <ns0:c r="H225" s="3"/>
      <ns0:c r="I225" s="3"/>
      <ns0:c r="J225" s="3"/>
      <ns0:c r="K225" s="3"/>
      <ns0:c r="L225" s="3"/>
      <ns0:c r="M225" s="3"/>
      <ns0:c r="N225" s="3"/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/>
      <ns0:c r="C226" s="3"/>
      <ns0:c r="D226" s="3"/>
      <ns0:c r="E226" s="3"/>
      <ns0:c r="F226" s="3"/>
      <ns0:c r="G226" s="3"/>
      <ns0:c r="H226" s="3"/>
      <ns0:c r="I226" s="3"/>
      <ns0:c r="J226" s="3"/>
      <ns0:c r="K226" s="3"/>
      <ns0:c r="L226" s="3"/>
      <ns0:c r="M226" s="3"/>
      <ns0:c r="N226" s="3"/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/>
      <ns0:c r="C227" s="3"/>
      <ns0:c r="D227" s="3"/>
      <ns0:c r="E227" s="3"/>
      <ns0:c r="F227" s="3"/>
      <ns0:c r="G227" s="3"/>
      <ns0:c r="H227" s="3"/>
      <ns0:c r="I227" s="3"/>
      <ns0:c r="J227" s="3"/>
      <ns0:c r="K227" s="3"/>
      <ns0:c r="L227" s="3"/>
      <ns0:c r="M227" s="3"/>
      <ns0:c r="N227" s="3"/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/>
      <ns0:c r="C228" s="3"/>
      <ns0:c r="D228" s="3"/>
      <ns0:c r="E228" s="3"/>
      <ns0:c r="F228" s="3"/>
      <ns0:c r="G228" s="3"/>
      <ns0:c r="H228" s="3"/>
      <ns0:c r="I228" s="3"/>
      <ns0:c r="J228" s="3"/>
      <ns0:c r="K228" s="3"/>
      <ns0:c r="L228" s="3"/>
      <ns0:c r="M228" s="3"/>
      <ns0:c r="N228" s="3"/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/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/>
      <ns0:c r="C230" s="3"/>
      <ns0:c r="D230" s="3"/>
      <ns0:c r="E230" s="3"/>
      <ns0:c r="F230" s="3"/>
      <ns0:c r="G230" s="3"/>
      <ns0:c r="H230" s="3"/>
      <ns0:c r="I230" s="3"/>
      <ns0:c r="J230" s="3"/>
      <ns0:c r="K230" s="3"/>
      <ns0:c r="L230" s="3"/>
      <ns0:c r="M230" s="3"/>
      <ns0:c r="N230" s="3"/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/>
      <ns0:c r="C231" s="3"/>
      <ns0:c r="D231" s="3"/>
      <ns0:c r="E231" s="3"/>
      <ns0:c r="F231" s="3"/>
      <ns0:c r="G231" s="3"/>
      <ns0:c r="H231" s="3"/>
      <ns0:c r="I231" s="3"/>
      <ns0:c r="J231" s="3"/>
      <ns0:c r="K231" s="3"/>
      <ns0:c r="L231" s="3"/>
      <ns0:c r="M231" s="3"/>
      <ns0:c r="N231" s="3"/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/>
      <ns0:c r="C232" s="3"/>
      <ns0:c r="D232" s="3"/>
      <ns0:c r="E232" s="3"/>
      <ns0:c r="F232" s="3"/>
      <ns0:c r="G232" s="3"/>
      <ns0:c r="H232" s="3"/>
      <ns0:c r="I232" s="3"/>
      <ns0:c r="J232" s="3"/>
      <ns0:c r="K232" s="3"/>
      <ns0:c r="L232" s="3"/>
      <ns0:c r="M232" s="3"/>
      <ns0:c r="N232" s="3"/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/>
      <ns0:c r="C233" s="3"/>
      <ns0:c r="D233" s="3"/>
      <ns0:c r="E233" s="3"/>
      <ns0:c r="F233" s="3"/>
      <ns0:c r="G233" s="3"/>
      <ns0:c r="H233" s="3"/>
      <ns0:c r="I233" s="3"/>
      <ns0:c r="J233" s="3"/>
      <ns0:c r="K233" s="3"/>
      <ns0:c r="L233" s="3"/>
      <ns0:c r="M233" s="3"/>
      <ns0:c r="N233" s="3"/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/>
      <ns0:c r="C324" s="3"/>
      <ns0:c r="D324" s="3"/>
      <ns0:c r="E324" s="3"/>
      <ns0:c r="F324" s="3"/>
      <ns0:c r="G324" s="3"/>
      <ns0:c r="H324" s="3"/>
      <ns0:c r="I324" s="3"/>
      <ns0:c r="J324" s="3"/>
      <ns0:c r="K324" s="3"/>
      <ns0:c r="L324" s="3"/>
      <ns0:c r="M324" s="3"/>
      <ns0:c r="N324" s="3"/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/>
      <ns0:c r="C325" s="3"/>
      <ns0:c r="D325" s="3"/>
      <ns0:c r="E325" s="3"/>
      <ns0:c r="F325" s="3"/>
      <ns0:c r="G325" s="3"/>
      <ns0:c r="H325" s="3"/>
      <ns0:c r="I325" s="3"/>
      <ns0:c r="J325" s="3"/>
      <ns0:c r="K325" s="3"/>
      <ns0:c r="L325" s="3"/>
      <ns0:c r="M325" s="3"/>
      <ns0:c r="N325" s="3"/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/>
      <ns0:c r="C326" s="3"/>
      <ns0:c r="D326" s="3"/>
      <ns0:c r="E326" s="3"/>
      <ns0:c r="F326" s="3"/>
      <ns0:c r="G326" s="3"/>
      <ns0:c r="H326" s="3"/>
      <ns0:c r="I326" s="3"/>
      <ns0:c r="J326" s="3"/>
      <ns0:c r="K326" s="3"/>
      <ns0:c r="L326" s="3"/>
      <ns0:c r="M326" s="3"/>
      <ns0:c r="N326" s="3"/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/>
      <ns0:c r="C327" s="3"/>
      <ns0:c r="D327" s="3"/>
      <ns0:c r="E327" s="3"/>
      <ns0:c r="F327" s="3"/>
      <ns0:c r="G327" s="3"/>
      <ns0:c r="H327" s="3"/>
      <ns0:c r="I327" s="3"/>
      <ns0:c r="J327" s="3"/>
      <ns0:c r="K327" s="3"/>
      <ns0:c r="L327" s="3"/>
      <ns0:c r="M327" s="3"/>
      <ns0:c r="N327" s="3"/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/>
      <ns0:c r="C328" s="3"/>
      <ns0:c r="D328" s="3"/>
      <ns0:c r="E328" s="3"/>
      <ns0:c r="F328" s="3"/>
      <ns0:c r="G328" s="3"/>
      <ns0:c r="H328" s="3"/>
      <ns0:c r="I328" s="3"/>
      <ns0:c r="J328" s="3"/>
      <ns0:c r="K328" s="3"/>
      <ns0:c r="L328" s="3"/>
      <ns0:c r="M328" s="3"/>
      <ns0:c r="N328" s="3"/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/>
      <ns0:c r="C329" s="3"/>
      <ns0:c r="D329" s="3"/>
      <ns0:c r="E329" s="3"/>
      <ns0:c r="F329" s="3"/>
      <ns0:c r="G329" s="3"/>
      <ns0:c r="H329" s="3"/>
      <ns0:c r="I329" s="3"/>
      <ns0:c r="J329" s="3"/>
      <ns0:c r="K329" s="3"/>
      <ns0:c r="L329" s="3"/>
      <ns0:c r="M329" s="3"/>
      <ns0:c r="N329" s="3"/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/>
      <ns0:c r="C330" s="3"/>
      <ns0:c r="D330" s="3"/>
      <ns0:c r="E330" s="3"/>
      <ns0:c r="F330" s="3"/>
      <ns0:c r="G330" s="3"/>
      <ns0:c r="H330" s="3"/>
      <ns0:c r="I330" s="3"/>
      <ns0:c r="J330" s="3"/>
      <ns0:c r="K330" s="3"/>
      <ns0:c r="L330" s="3"/>
      <ns0:c r="M330" s="3"/>
      <ns0:c r="N330" s="3"/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/>
      <ns0:c r="C331" s="3"/>
      <ns0:c r="D331" s="3"/>
      <ns0:c r="E331" s="3"/>
      <ns0:c r="F331" s="3"/>
      <ns0:c r="G331" s="3"/>
      <ns0:c r="H331" s="3"/>
      <ns0:c r="I331" s="3"/>
      <ns0:c r="J331" s="3"/>
      <ns0:c r="K331" s="3"/>
      <ns0:c r="L331" s="3"/>
      <ns0:c r="M331" s="3"/>
      <ns0:c r="N331" s="3"/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/>
      <ns0:c r="C332" s="3"/>
      <ns0:c r="D332" s="3"/>
      <ns0:c r="E332" s="3"/>
      <ns0:c r="F332" s="3"/>
      <ns0:c r="G332" s="3"/>
      <ns0:c r="H332" s="3"/>
      <ns0:c r="I332" s="3"/>
      <ns0:c r="J332" s="3"/>
      <ns0:c r="K332" s="3"/>
      <ns0:c r="L332" s="3"/>
      <ns0:c r="M332" s="3"/>
      <ns0:c r="N332" s="3"/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/>
      <ns0:c r="C333" s="3"/>
      <ns0:c r="D333" s="3"/>
      <ns0:c r="E333" s="3"/>
      <ns0:c r="F333" s="3"/>
      <ns0:c r="G333" s="3"/>
      <ns0:c r="H333" s="3"/>
      <ns0:c r="I333" s="3"/>
      <ns0:c r="J333" s="3"/>
      <ns0:c r="K333" s="3"/>
      <ns0:c r="L333" s="3"/>
      <ns0:c r="M333" s="3"/>
      <ns0:c r="N333" s="3"/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/>
      <ns0:c r="C334" s="3"/>
      <ns0:c r="D334" s="3"/>
      <ns0:c r="E334" s="3"/>
      <ns0:c r="F334" s="3"/>
      <ns0:c r="G334" s="3"/>
      <ns0:c r="H334" s="3"/>
      <ns0:c r="I334" s="3"/>
      <ns0:c r="J334" s="3"/>
      <ns0:c r="K334" s="3"/>
      <ns0:c r="L334" s="3"/>
      <ns0:c r="M334" s="3"/>
      <ns0:c r="N334" s="3"/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/>
      <ns0:c r="C335" s="3"/>
      <ns0:c r="D335" s="3"/>
      <ns0:c r="E335" s="3"/>
      <ns0:c r="F335" s="3"/>
      <ns0:c r="G335" s="3"/>
      <ns0:c r="H335" s="3"/>
      <ns0:c r="I335" s="3"/>
      <ns0:c r="J335" s="3"/>
      <ns0:c r="K335" s="3"/>
      <ns0:c r="L335" s="3"/>
      <ns0:c r="M335" s="3"/>
      <ns0:c r="N335" s="3"/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/>
      <ns0:c r="C336" s="3"/>
      <ns0:c r="D336" s="3"/>
      <ns0:c r="E336" s="3"/>
      <ns0:c r="F336" s="3"/>
      <ns0:c r="G336" s="3"/>
      <ns0:c r="H336" s="3"/>
      <ns0:c r="I336" s="3"/>
      <ns0:c r="J336" s="3"/>
      <ns0:c r="K336" s="3"/>
      <ns0:c r="L336" s="3"/>
      <ns0:c r="M336" s="3"/>
      <ns0:c r="N336" s="3"/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/>
      <ns0:c r="C337" s="3"/>
      <ns0:c r="D337" s="3"/>
      <ns0:c r="E337" s="3"/>
      <ns0:c r="F337" s="3"/>
      <ns0:c r="G337" s="3"/>
      <ns0:c r="H337" s="3"/>
      <ns0:c r="I337" s="3"/>
      <ns0:c r="J337" s="3"/>
      <ns0:c r="K337" s="3"/>
      <ns0:c r="L337" s="3"/>
      <ns0:c r="M337" s="3"/>
      <ns0:c r="N337" s="3"/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/>
      <ns0:c r="C338" s="3"/>
      <ns0:c r="D338" s="3"/>
      <ns0:c r="E338" s="3"/>
      <ns0:c r="F338" s="3"/>
      <ns0:c r="G338" s="3"/>
      <ns0:c r="H338" s="3"/>
      <ns0:c r="I338" s="3"/>
      <ns0:c r="J338" s="3"/>
      <ns0:c r="K338" s="3"/>
      <ns0:c r="L338" s="3"/>
      <ns0:c r="M338" s="3"/>
      <ns0:c r="N338" s="3"/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/>
      <ns0:c r="C339" s="3"/>
      <ns0:c r="D339" s="3"/>
      <ns0:c r="E339" s="3"/>
      <ns0:c r="F339" s="3"/>
      <ns0:c r="G339" s="3"/>
      <ns0:c r="H339" s="3"/>
      <ns0:c r="I339" s="3"/>
      <ns0:c r="J339" s="3"/>
      <ns0:c r="K339" s="3"/>
      <ns0:c r="L339" s="3"/>
      <ns0:c r="M339" s="3"/>
      <ns0:c r="N339" s="3"/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/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/>
      <ns0:c r="C341" s="3"/>
      <ns0:c r="D341" s="3"/>
      <ns0:c r="E341" s="3"/>
      <ns0:c r="F341" s="3"/>
      <ns0:c r="G341" s="3"/>
      <ns0:c r="H341" s="3"/>
      <ns0:c r="I341" s="3"/>
      <ns0:c r="J341" s="3"/>
      <ns0:c r="K341" s="3"/>
      <ns0:c r="L341" s="3"/>
      <ns0:c r="M341" s="3"/>
      <ns0:c r="N341" s="3"/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/>
      <ns0:c r="C342" s="3"/>
      <ns0:c r="D342" s="3"/>
      <ns0:c r="E342" s="3"/>
      <ns0:c r="F342" s="3"/>
      <ns0:c r="G342" s="3"/>
      <ns0:c r="H342" s="3"/>
      <ns0:c r="I342" s="3"/>
      <ns0:c r="J342" s="3"/>
      <ns0:c r="K342" s="3"/>
      <ns0:c r="L342" s="3"/>
      <ns0:c r="M342" s="3"/>
      <ns0:c r="N342" s="3"/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/>
      <ns0:c r="C343" s="3"/>
      <ns0:c r="D343" s="3"/>
      <ns0:c r="E343" s="3"/>
      <ns0:c r="F343" s="3"/>
      <ns0:c r="G343" s="3"/>
      <ns0:c r="H343" s="3"/>
      <ns0:c r="I343" s="3"/>
      <ns0:c r="J343" s="3"/>
      <ns0:c r="K343" s="3"/>
      <ns0:c r="L343" s="3"/>
      <ns0:c r="M343" s="3"/>
      <ns0:c r="N343" s="3"/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/>
      <ns0:c r="C344" s="3"/>
      <ns0:c r="D344" s="3"/>
      <ns0:c r="E344" s="3"/>
      <ns0:c r="F344" s="3"/>
      <ns0:c r="G344" s="3"/>
      <ns0:c r="H344" s="3"/>
      <ns0:c r="I344" s="3"/>
      <ns0:c r="J344" s="3"/>
      <ns0:c r="K344" s="3"/>
      <ns0:c r="L344" s="3"/>
      <ns0:c r="M344" s="3"/>
      <ns0:c r="N344" s="3"/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/>
      <ns0:c r="C345" s="3"/>
      <ns0:c r="D345" s="3"/>
      <ns0:c r="E345" s="3"/>
      <ns0:c r="F345" s="3"/>
      <ns0:c r="G345" s="3"/>
      <ns0:c r="H345" s="3"/>
      <ns0:c r="I345" s="3"/>
      <ns0:c r="J345" s="3"/>
      <ns0:c r="K345" s="3"/>
      <ns0:c r="L345" s="3"/>
      <ns0:c r="M345" s="3"/>
      <ns0:c r="N345" s="3"/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/>
      <ns0:c r="C346" s="3"/>
      <ns0:c r="D346" s="3"/>
      <ns0:c r="E346" s="3"/>
      <ns0:c r="F346" s="3"/>
      <ns0:c r="G346" s="3"/>
      <ns0:c r="H346" s="3"/>
      <ns0:c r="I346" s="3"/>
      <ns0:c r="J346" s="3"/>
      <ns0:c r="K346" s="3"/>
      <ns0:c r="L346" s="3"/>
      <ns0:c r="M346" s="3"/>
      <ns0:c r="N346" s="3"/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/>
      <ns0:c r="C347" s="3"/>
      <ns0:c r="D347" s="3"/>
      <ns0:c r="E347" s="3"/>
      <ns0:c r="F347" s="3"/>
      <ns0:c r="G347" s="3"/>
      <ns0:c r="H347" s="3"/>
      <ns0:c r="I347" s="3"/>
      <ns0:c r="J347" s="3"/>
      <ns0:c r="K347" s="3"/>
      <ns0:c r="L347" s="3"/>
      <ns0:c r="M347" s="3"/>
      <ns0:c r="N347" s="3"/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/>
      <ns0:c r="C348" s="3"/>
      <ns0:c r="D348" s="3"/>
      <ns0:c r="E348" s="3"/>
      <ns0:c r="F348" s="3"/>
      <ns0:c r="G348" s="3"/>
      <ns0:c r="H348" s="3"/>
      <ns0:c r="I348" s="3"/>
      <ns0:c r="J348" s="3"/>
      <ns0:c r="K348" s="3"/>
      <ns0:c r="L348" s="3"/>
      <ns0:c r="M348" s="3"/>
      <ns0:c r="N348" s="3"/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/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/>
      <ns0:c r="C350" s="3"/>
      <ns0:c r="D350" s="3"/>
      <ns0:c r="E350" s="3"/>
      <ns0:c r="F350" s="3"/>
      <ns0:c r="G350" s="3"/>
      <ns0:c r="H350" s="3"/>
      <ns0:c r="I350" s="3"/>
      <ns0:c r="J350" s="3"/>
      <ns0:c r="K350" s="3"/>
      <ns0:c r="L350" s="3"/>
      <ns0:c r="M350" s="3"/>
      <ns0:c r="N350" s="3"/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/>
      <ns0:c r="C351" s="3"/>
      <ns0:c r="D351" s="3"/>
      <ns0:c r="E351" s="3"/>
      <ns0:c r="F351" s="3"/>
      <ns0:c r="G351" s="3"/>
      <ns0:c r="H351" s="3"/>
      <ns0:c r="I351" s="3"/>
      <ns0:c r="J351" s="3"/>
      <ns0:c r="K351" s="3"/>
      <ns0:c r="L351" s="3"/>
      <ns0:c r="M351" s="3"/>
      <ns0:c r="N351" s="3"/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/>
      <ns0:c r="C352" s="3"/>
      <ns0:c r="D352" s="3"/>
      <ns0:c r="E352" s="3"/>
      <ns0:c r="F352" s="3"/>
      <ns0:c r="G352" s="3"/>
      <ns0:c r="H352" s="3"/>
      <ns0:c r="I352" s="3"/>
      <ns0:c r="J352" s="3"/>
      <ns0:c r="K352" s="3"/>
      <ns0:c r="L352" s="3"/>
      <ns0:c r="M352" s="3"/>
      <ns0:c r="N352" s="3"/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/>
      <ns0:c r="C353" s="3"/>
      <ns0:c r="D353" s="3"/>
      <ns0:c r="E353" s="3"/>
      <ns0:c r="F353" s="3"/>
      <ns0:c r="G353" s="3"/>
      <ns0:c r="H353" s="3"/>
      <ns0:c r="I353" s="3"/>
      <ns0:c r="J353" s="3"/>
      <ns0:c r="K353" s="3"/>
      <ns0:c r="L353" s="3"/>
      <ns0:c r="M353" s="3"/>
      <ns0:c r="N353" s="3"/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mergeCells>
    <ns0:mergeCell ref="L2:M2"/>
    <ns0:mergeCell ref="P2:Q2"/>
  </ns0:mergeCells>
  <ns0:pageMargins left="0.7" right="0.7" top="0.75" bottom="0.75" header="0.3" footer="0.3"/>
</ns0:worksheet>
</file>

<file path=xl/worksheets/sheet6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9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20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/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/>
      <ns0:c r="B2" s="2"/>
      <ns0:c r="C2" s="3"/>
      <ns0:c r="D2" s="3"/>
      <ns0:c r="E2" s="3"/>
      <ns0:c r="F2" s="3"/>
      <ns0:c r="G2" s="3"/>
      <ns0:c r="H2" s="3"/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E-5f17fa2948</ns0:t>
        </ns0:is>
      </ns0:c>
    </ns0:row>
    <ns0:row r="3" ht="20" customHeight="1">
      <ns0:c r="A3" s="2"/>
      <ns0:c r="B3" s="2"/>
      <ns0:c r="C3" s="6"/>
      <ns0:c r="D3" s="6"/>
      <ns0:c r="E3" s="6"/>
      <ns0:c r="F3" s="6"/>
      <ns0:c r="G3" s="6"/>
      <ns0:c r="H3" s="6"/>
      <ns0:c r="I3" s="6"/>
      <ns0:c r="J3" s="6"/>
      <ns0:c r="K3" s="6"/>
      <ns0:c r="L3" s="6"/>
      <ns0:c r="M3" s="6"/>
      <ns0:c r="N3" s="6"/>
      <ns0:c r="O3" s="6"/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主体乙</ns0:t>
        </ns0:is>
      </ns0:c>
    </ns0:row>
    <ns0:row r="4" ht="20" customHeight="1">
      <ns0:c r="A4" s="2"/>
      <ns0:c r="B4" s="2"/>
      <ns0:c r="C4" s="3"/>
      <ns0:c r="D4" s="3"/>
      <ns0:c r="E4" s="3"/>
      <ns0:c r="F4" s="3"/>
      <ns0:c r="G4" s="3"/>
      <ns0:c r="H4" s="3"/>
      <ns0:c r="I4" s="3"/>
      <ns0:c r="J4" s="3"/>
      <ns0:c r="K4" s="3"/>
      <ns0:c r="L4" s="3"/>
      <ns0:c r="M4" s="3"/>
      <ns0:c r="N4" s="3"/>
      <ns0:c r="O4" s="3"/>
      <ns0:c r="P4" s="2"/>
      <ns0:c r="Q4" s="2"/>
      <ns0:c r="R4" s="2"/>
      <ns0:c r="S4" s="2"/>
      <ns0:c r="T4" s="2"/>
      <ns0:c r="U4" s="2"/>
      <ns0:c r="V4" s="2"/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S-03e3bfa6bf</ns0:t>
        </ns0:is>
      </ns0:c>
    </ns0:row>
    <ns0:row r="5" ht="20" customHeight="1">
      <ns0:c r="A5" s="2"/>
      <ns0:c r="B5" s="2"/>
      <ns0:c r="C5" s="3"/>
      <ns0:c r="D5" s="3"/>
      <ns0:c r="E5" s="3"/>
      <ns0:c r="F5" s="3"/>
      <ns0:c r="G5" s="3"/>
      <ns0:c r="H5" s="3"/>
      <ns0:c r="I5" s="3"/>
      <ns0:c r="J5" s="3"/>
      <ns0:c r="K5" s="3"/>
      <ns0:c r="L5" s="3"/>
      <ns0:c r="M5" s="3"/>
      <ns0:c r="N5" s="3"/>
      <ns0:c r="O5" s="3"/>
      <ns0:c r="P5" s="2"/>
      <ns0:c r="Q5" s="2"/>
      <ns0:c r="R5" s="2"/>
      <ns0:c r="S5" s="2"/>
      <ns0:c r="T5" s="2"/>
      <ns0:c r="U5" s="2"/>
      <ns0:c r="V5" s="2"/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扩展情景</ns0:t>
        </ns0:is>
      </ns0:c>
    </ns0:row>
    <ns0:row r="6" ht="20" customHeight="1">
      <ns0:c r="A6" s="2"/>
      <ns0:c r="B6" s="2" t="inlineStr">
        <ns0:is>
          <ns0:t>税金及附加</ns0:t>
        </ns0:is>
      </ns0:c>
      <ns0:c r="C6" s="3"/>
      <ns0:c r="D6" s="3"/>
      <ns0:c r="E6" s="3"/>
      <ns0:c r="F6" s="3"/>
      <ns0:c r="G6" s="3"/>
      <ns0:c r="H6" s="3"/>
      <ns0:c r="I6" s="3"/>
      <ns0:c r="J6" s="3"/>
      <ns0:c r="K6" s="3"/>
      <ns0:c r="L6" s="3"/>
      <ns0:c r="M6" s="3"/>
      <ns0:c r="N6" s="3"/>
      <ns0:c r="O6" s="3"/>
      <ns0:c r="P6" s="2"/>
      <ns0:c r="Q6" s="2"/>
      <ns0:c r="R6" s="2"/>
      <ns0:c r="S6" s="2"/>
      <ns0:c r="T6" s="2"/>
      <ns0:c r="U6" s="2"/>
      <ns0:c r="V6" s="2"/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/>
      <ns0:c r="B7" s="2"/>
      <ns0:c r="C7" s="3"/>
      <ns0:c r="D7" s="3"/>
      <ns0:c r="E7" s="3"/>
      <ns0:c r="F7" s="3"/>
      <ns0:c r="G7" s="3"/>
      <ns0:c r="H7" s="3"/>
      <ns0:c r="I7" s="3"/>
      <ns0:c r="J7" s="3"/>
      <ns0:c r="K7" s="3"/>
      <ns0:c r="L7" s="3"/>
      <ns0:c r="M7" s="3"/>
      <ns0:c r="N7" s="3"/>
      <ns0:c r="O7" s="3"/>
      <ns0:c r="P7" s="2"/>
      <ns0:c r="Q7" s="2"/>
      <ns0:c r="R7" s="2"/>
      <ns0:c r="S7" s="2"/>
      <ns0:c r="T7" s="2"/>
      <ns0:c r="U7" s="2"/>
      <ns0:c r="V7" s="2"/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季度</ns0:t>
        </ns0:is>
      </ns0:c>
    </ns0:row>
    <ns0:row r="8" ht="20" customHeight="1">
      <ns0:c r="A8" s="2"/>
      <ns0:c r="B8" s="2"/>
      <ns0:c r="C8" s="3"/>
      <ns0:c r="D8" s="3"/>
      <ns0:c r="E8" s="3"/>
      <ns0:c r="F8" s="3"/>
      <ns0:c r="G8" s="3"/>
      <ns0:c r="H8" s="3"/>
      <ns0:c r="I8" s="3"/>
      <ns0:c r="J8" s="3"/>
      <ns0:c r="K8" s="3"/>
      <ns0:c r="L8" s="3"/>
      <ns0:c r="M8" s="3"/>
      <ns0:c r="N8" s="3"/>
      <ns0:c r="O8" s="3"/>
      <ns0:c r="P8" s="2"/>
      <ns0:c r="Q8" s="2"/>
      <ns0:c r="R8" s="2"/>
      <ns0:c r="S8" s="2"/>
      <ns0:c r="T8" s="2"/>
      <ns0:c r="U8" s="2"/>
      <ns0:c r="V8" s="2"/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/>
      <ns0:c r="B9" s="2"/>
      <ns0:c r="C9" s="3"/>
      <ns0:c r="D9" s="3"/>
      <ns0:c r="E9" s="3"/>
      <ns0:c r="F9" s="3"/>
      <ns0:c r="G9" s="3"/>
      <ns0:c r="H9" s="3"/>
      <ns0:c r="I9" s="3"/>
      <ns0:c r="J9" s="3"/>
      <ns0:c r="K9" s="3"/>
      <ns0:c r="L9" s="3"/>
      <ns0:c r="M9" s="3"/>
      <ns0:c r="N9" s="3"/>
      <ns0:c r="O9" s="3"/>
      <ns0:c r="P9" s="2"/>
      <ns0:c r="Q9" s="2"/>
      <ns0:c r="R9" s="2"/>
      <ns0:c r="S9" s="2"/>
      <ns0:c r="T9" s="2"/>
      <ns0:c r="U9" s="2"/>
      <ns0:c r="V9" s="2"/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/>
      <ns0:c r="B10" s="2"/>
      <ns0:c r="C10" s="3"/>
      <ns0:c r="D10" s="3"/>
      <ns0:c r="E10" s="3"/>
      <ns0:c r="F10" s="3"/>
      <ns0:c r="G10" s="3"/>
      <ns0:c r="H10" s="3"/>
      <ns0:c r="I10" s="3"/>
      <ns0:c r="J10" s="3"/>
      <ns0:c r="K10" s="3"/>
      <ns0:c r="L10" s="3"/>
      <ns0:c r="M10" s="3"/>
      <ns0:c r="N10" s="3"/>
      <ns0:c r="O10" s="3"/>
      <ns0:c r="P10" s="2"/>
      <ns0:c r="Q10" s="2"/>
      <ns0:c r="R10" s="2"/>
      <ns0:c r="S10" s="2"/>
      <ns0:c r="T10" s="2"/>
      <ns0:c r="U10" s="2"/>
      <ns0:c r="V10" s="2"/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/>
      <ns0:c r="B11" s="2"/>
      <ns0:c r="C11" s="3"/>
      <ns0:c r="D11" s="3"/>
      <ns0:c r="E11" s="3"/>
      <ns0:c r="F11" s="3"/>
      <ns0:c r="G11" s="3"/>
      <ns0:c r="H11" s="3"/>
      <ns0:c r="I11" s="3"/>
      <ns0:c r="J11" s="3"/>
      <ns0:c r="K11" s="3"/>
      <ns0:c r="L11" s="3"/>
      <ns0:c r="M11" s="3"/>
      <ns0:c r="N11" s="3"/>
      <ns0:c r="O11" s="3"/>
      <ns0:c r="P11" s="2"/>
      <ns0:c r="Q11" s="2"/>
      <ns0:c r="R11" s="2"/>
      <ns0:c r="S11" s="2"/>
      <ns0:c r="T11" s="2"/>
      <ns0:c r="U11" s="2"/>
      <ns0:c r="V11" s="2"/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/>
      <ns0:c r="B12" s="2"/>
      <ns0:c r="C12" s="3"/>
      <ns0:c r="D12" s="3"/>
      <ns0:c r="E12" s="3"/>
      <ns0:c r="F12" s="3"/>
      <ns0:c r="G12" s="3"/>
      <ns0:c r="H12" s="3"/>
      <ns0:c r="I12" s="3"/>
      <ns0:c r="J12" s="3"/>
      <ns0:c r="K12" s="3"/>
      <ns0:c r="L12" s="3"/>
      <ns0:c r="M12" s="3"/>
      <ns0:c r="N12" s="3"/>
      <ns0:c r="O12" s="3"/>
      <ns0:c r="P12" s="2"/>
      <ns0:c r="Q12" s="2"/>
      <ns0:c r="R12" s="2"/>
      <ns0:c r="S12" s="2"/>
      <ns0:c r="T12" s="2"/>
      <ns0:c r="U12" s="2"/>
      <ns0:c r="V12" s="2"/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/>
      <ns0:c r="B13" s="2"/>
      <ns0:c r="C13" s="3"/>
      <ns0:c r="D13" s="3"/>
      <ns0:c r="E13" s="3"/>
      <ns0:c r="F13" s="3"/>
      <ns0:c r="G13" s="3"/>
      <ns0:c r="H13" s="3"/>
      <ns0:c r="I13" s="3"/>
      <ns0:c r="J13" s="3"/>
      <ns0:c r="K13" s="3"/>
      <ns0:c r="L13" s="3"/>
      <ns0:c r="M13" s="3"/>
      <ns0:c r="N13" s="3"/>
      <ns0:c r="O13" s="3"/>
      <ns0:c r="P13" s="2"/>
      <ns0:c r="Q13" s="2"/>
      <ns0:c r="R13" s="2"/>
      <ns0:c r="S13" s="2"/>
      <ns0:c r="T13" s="2"/>
      <ns0:c r="U13" s="2"/>
      <ns0:c r="V13" s="2"/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/>
      <ns0:c r="B14" s="2"/>
      <ns0:c r="C14" s="3"/>
      <ns0:c r="D14" s="3"/>
      <ns0:c r="E14" s="3"/>
      <ns0:c r="F14" s="3"/>
      <ns0:c r="G14" s="3"/>
      <ns0:c r="H14" s="3"/>
      <ns0:c r="I14" s="3"/>
      <ns0:c r="J14" s="3"/>
      <ns0:c r="K14" s="3"/>
      <ns0:c r="L14" s="3"/>
      <ns0:c r="M14" s="3"/>
      <ns0:c r="N14" s="3"/>
      <ns0:c r="O14" s="3"/>
      <ns0:c r="P14" s="2"/>
      <ns0:c r="Q14" s="2"/>
      <ns0:c r="R14" s="2"/>
      <ns0:c r="S14" s="2"/>
      <ns0:c r="T14" s="2"/>
      <ns0:c r="U14" s="2"/>
      <ns0:c r="V14" s="2"/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/>
      <ns0:c r="B15" s="2"/>
      <ns0:c r="C15" s="3"/>
      <ns0:c r="D15" s="3"/>
      <ns0:c r="E15" s="3"/>
      <ns0:c r="F15" s="3"/>
      <ns0:c r="G15" s="3"/>
      <ns0:c r="H15" s="3"/>
      <ns0:c r="I15" s="3"/>
      <ns0:c r="J15" s="3"/>
      <ns0:c r="K15" s="3"/>
      <ns0:c r="L15" s="3"/>
      <ns0:c r="M15" s="3"/>
      <ns0:c r="N15" s="3"/>
      <ns0:c r="O15" s="3"/>
      <ns0:c r="P15" s="2"/>
      <ns0:c r="Q15" s="2"/>
      <ns0:c r="R15" s="2"/>
      <ns0:c r="S15" s="2"/>
      <ns0:c r="T15" s="2"/>
      <ns0:c r="U15" s="2"/>
      <ns0:c r="V15" s="2"/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/>
      <ns0:c r="B16" s="2"/>
      <ns0:c r="C16" s="3"/>
      <ns0:c r="D16" s="3"/>
      <ns0:c r="E16" s="3"/>
      <ns0:c r="F16" s="3"/>
      <ns0:c r="G16" s="3"/>
      <ns0:c r="H16" s="3"/>
      <ns0:c r="I16" s="3"/>
      <ns0:c r="J16" s="3"/>
      <ns0:c r="K16" s="3"/>
      <ns0:c r="L16" s="3"/>
      <ns0:c r="M16" s="3"/>
      <ns0:c r="N16" s="3"/>
      <ns0:c r="O16" s="3"/>
      <ns0:c r="P16" s="2"/>
      <ns0:c r="Q16" s="2"/>
      <ns0:c r="R16" s="2"/>
      <ns0:c r="S16" s="2"/>
      <ns0:c r="T16" s="2"/>
      <ns0:c r="U16" s="2"/>
      <ns0:c r="V16" s="2"/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预算基础</ns0:t>
        </ns0:is>
      </ns0:c>
    </ns0:row>
    <ns0:row r="17" ht="20" customHeight="1">
      <ns0:c r="A17" s="2"/>
      <ns0:c r="B17" s="2"/>
      <ns0:c r="C17" s="3"/>
      <ns0:c r="D17" s="3"/>
      <ns0:c r="E17" s="3"/>
      <ns0:c r="F17" s="3"/>
      <ns0:c r="G17" s="3"/>
      <ns0:c r="H17" s="3"/>
      <ns0:c r="I17" s="3"/>
      <ns0:c r="J17" s="3"/>
      <ns0:c r="K17" s="3"/>
      <ns0:c r="L17" s="3"/>
      <ns0:c r="M17" s="3"/>
      <ns0:c r="N17" s="3"/>
      <ns0:c r="O17" s="3"/>
      <ns0:c r="P17" s="2"/>
      <ns0:c r="Q17" s="2"/>
      <ns0:c r="R17" s="2"/>
      <ns0:c r="S17" s="2"/>
      <ns0:c r="T17" s="2"/>
      <ns0:c r="U17" s="2"/>
      <ns0:c r="V17" s="2"/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蓝色为预算基础输入参数；示例数值为占位；金额单位：元</ns0:t>
        </ns0:is>
      </ns0:c>
    </ns0:row>
    <ns0:row r="18" ht="20" customHeight="1">
      <ns0:c r="A18" s="2"/>
      <ns0:c r="B18" s="2"/>
      <ns0:c r="C18" s="3"/>
      <ns0:c r="D18" s="3"/>
      <ns0:c r="E18" s="3"/>
      <ns0:c r="F18" s="3"/>
      <ns0:c r="G18" s="3"/>
      <ns0:c r="H18" s="3"/>
      <ns0:c r="I18" s="3"/>
      <ns0:c r="J18" s="3"/>
      <ns0:c r="K18" s="3"/>
      <ns0:c r="L18" s="3"/>
      <ns0:c r="M18" s="3"/>
      <ns0:c r="N18" s="3"/>
      <ns0:c r="O18" s="3"/>
      <ns0:c r="P18" s="2"/>
      <ns0:c r="Q18" s="2"/>
      <ns0:c r="R18" s="2"/>
      <ns0:c r="S18" s="2"/>
      <ns0:c r="T18" s="2"/>
      <ns0:c r="U18" s="2"/>
      <ns0:c r="V18" s="2"/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/>
      <ns0:c r="B19" s="2"/>
      <ns0:c r="C19" s="3"/>
      <ns0:c r="D19" s="3"/>
      <ns0:c r="E19" s="3"/>
      <ns0:c r="F19" s="3"/>
      <ns0:c r="G19" s="3"/>
      <ns0:c r="H19" s="3"/>
      <ns0:c r="I19" s="3"/>
      <ns0:c r="J19" s="3"/>
      <ns0:c r="K19" s="3"/>
      <ns0:c r="L19" s="3"/>
      <ns0:c r="M19" s="3"/>
      <ns0:c r="N19" s="3"/>
      <ns0:c r="O19" s="3"/>
      <ns0:c r="P19" s="2"/>
      <ns0:c r="Q19" s="2"/>
      <ns0:c r="R19" s="2"/>
      <ns0:c r="S19" s="2"/>
      <ns0:c r="T19" s="2"/>
      <ns0:c r="U19" s="2"/>
      <ns0:c r="V19" s="2"/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/>
      <ns0:c r="B20" s="2"/>
      <ns0:c r="C20" s="3"/>
      <ns0:c r="D20" s="3"/>
      <ns0:c r="E20" s="3"/>
      <ns0:c r="F20" s="3"/>
      <ns0:c r="G20" s="3"/>
      <ns0:c r="H20" s="3"/>
      <ns0:c r="I20" s="3"/>
      <ns0:c r="J20" s="3"/>
      <ns0:c r="K20" s="3"/>
      <ns0:c r="L20" s="3"/>
      <ns0:c r="M20" s="3"/>
      <ns0:c r="N20" s="3"/>
      <ns0:c r="O20" s="3"/>
      <ns0:c r="P20" s="2"/>
      <ns0:c r="Q20" s="2"/>
      <ns0:c r="R20" s="2"/>
      <ns0:c r="S20" s="2"/>
      <ns0:c r="T20" s="2"/>
      <ns0:c r="U20" s="2"/>
      <ns0:c r="V20" s="2"/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/>
      <ns0:c r="B21" s="2"/>
      <ns0:c r="C21" s="3"/>
      <ns0:c r="D21" s="3"/>
      <ns0:c r="E21" s="3"/>
      <ns0:c r="F21" s="3"/>
      <ns0:c r="G21" s="3"/>
      <ns0:c r="H21" s="3"/>
      <ns0:c r="I21" s="3"/>
      <ns0:c r="J21" s="3"/>
      <ns0:c r="K21" s="3"/>
      <ns0:c r="L21" s="3"/>
      <ns0:c r="M21" s="3"/>
      <ns0:c r="N21" s="3"/>
      <ns0:c r="O21" s="3"/>
      <ns0:c r="P21" s="2"/>
      <ns0:c r="Q21" s="2"/>
      <ns0:c r="R21" s="2"/>
      <ns0:c r="S21" s="2"/>
      <ns0:c r="T21" s="2"/>
      <ns0:c r="U21" s="2"/>
      <ns0:c r="V21" s="2"/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/>
      <ns0:c r="B22" s="2"/>
      <ns0:c r="C22" s="3"/>
      <ns0:c r="D22" s="3"/>
      <ns0:c r="E22" s="3"/>
      <ns0:c r="F22" s="3"/>
      <ns0:c r="G22" s="3"/>
      <ns0:c r="H22" s="3"/>
      <ns0:c r="I22" s="3"/>
      <ns0:c r="J22" s="3"/>
      <ns0:c r="K22" s="3"/>
      <ns0:c r="L22" s="3"/>
      <ns0:c r="M22" s="3"/>
      <ns0:c r="N22" s="3"/>
      <ns0:c r="O22" s="3"/>
      <ns0:c r="P22" s="2"/>
      <ns0:c r="Q22" s="2"/>
      <ns0:c r="R22" s="2"/>
      <ns0:c r="S22" s="2"/>
      <ns0:c r="T22" s="2"/>
      <ns0:c r="U22" s="2"/>
      <ns0:c r="V22" s="2"/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/>
      <ns0:c r="B23" s="2"/>
      <ns0:c r="C23" s="3"/>
      <ns0:c r="D23" s="3"/>
      <ns0:c r="E23" s="3"/>
      <ns0:c r="F23" s="3"/>
      <ns0:c r="G23" s="3"/>
      <ns0:c r="H23" s="3"/>
      <ns0:c r="I23" s="3"/>
      <ns0:c r="J23" s="3"/>
      <ns0:c r="K23" s="3"/>
      <ns0:c r="L23" s="3"/>
      <ns0:c r="M23" s="3"/>
      <ns0:c r="N23" s="3"/>
      <ns0:c r="O23" s="3"/>
      <ns0:c r="P23" s="2"/>
      <ns0:c r="Q23" s="2"/>
      <ns0:c r="R23" s="2"/>
      <ns0:c r="S23" s="2"/>
      <ns0:c r="T23" s="2"/>
      <ns0:c r="U23" s="2"/>
      <ns0:c r="V23" s="2"/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/>
      <ns0:c r="C24" s="3"/>
      <ns0:c r="D24" s="3"/>
      <ns0:c r="E24" s="3"/>
      <ns0:c r="F24" s="3"/>
      <ns0:c r="G24" s="3"/>
      <ns0:c r="H24" s="3"/>
      <ns0:c r="I24" s="3"/>
      <ns0:c r="J24" s="3"/>
      <ns0:c r="K24" s="3"/>
      <ns0:c r="L24" s="3"/>
      <ns0:c r="M24" s="3"/>
      <ns0:c r="N24" s="3"/>
      <ns0:c r="O24" s="3"/>
      <ns0:c r="P24" s="2"/>
      <ns0:c r="Q24" s="2"/>
      <ns0:c r="R24" s="2"/>
      <ns0:c r="S24" s="2"/>
      <ns0:c r="T24" s="2"/>
      <ns0:c r="U24" s="2"/>
      <ns0:c r="V24" s="2"/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/>
      <ns0:c r="B25" s="2"/>
      <ns0:c r="C25" s="3"/>
      <ns0:c r="D25" s="3"/>
      <ns0:c r="E25" s="3"/>
      <ns0:c r="F25" s="3"/>
      <ns0:c r="G25" s="3"/>
      <ns0:c r="H25" s="3"/>
      <ns0:c r="I25" s="3"/>
      <ns0:c r="J25" s="3"/>
      <ns0:c r="K25" s="3"/>
      <ns0:c r="L25" s="3"/>
      <ns0:c r="M25" s="3"/>
      <ns0:c r="N25" s="3"/>
      <ns0:c r="O25" s="3"/>
      <ns0:c r="P25" s="2"/>
      <ns0:c r="Q25" s="2"/>
      <ns0:c r="R25" s="2"/>
      <ns0:c r="S25" s="2"/>
      <ns0:c r="T25" s="2"/>
      <ns0:c r="U25" s="2"/>
      <ns0:c r="V25" s="2"/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/>
      <ns0:c r="B26" s="2"/>
      <ns0:c r="C26" s="3"/>
      <ns0:c r="D26" s="3"/>
      <ns0:c r="E26" s="3"/>
      <ns0:c r="F26" s="3"/>
      <ns0:c r="G26" s="3"/>
      <ns0:c r="H26" s="3"/>
      <ns0:c r="I26" s="3"/>
      <ns0:c r="J26" s="3"/>
      <ns0:c r="K26" s="3"/>
      <ns0:c r="L26" s="3"/>
      <ns0:c r="M26" s="3"/>
      <ns0:c r="N26" s="3"/>
      <ns0:c r="O26" s="3"/>
      <ns0:c r="P26" s="2"/>
      <ns0:c r="Q26" s="2"/>
      <ns0:c r="R26" s="2"/>
      <ns0:c r="S26" s="2"/>
      <ns0:c r="T26" s="2"/>
      <ns0:c r="U26" s="2"/>
      <ns0:c r="V26" s="2"/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/>
      <ns0:c r="B27" s="2"/>
      <ns0:c r="C27" s="3"/>
      <ns0:c r="D27" s="3"/>
      <ns0:c r="E27" s="3"/>
      <ns0:c r="F27" s="3"/>
      <ns0:c r="G27" s="3"/>
      <ns0:c r="H27" s="3"/>
      <ns0:c r="I27" s="3"/>
      <ns0:c r="J27" s="3"/>
      <ns0:c r="K27" s="3"/>
      <ns0:c r="L27" s="3"/>
      <ns0:c r="M27" s="3"/>
      <ns0:c r="N27" s="3"/>
      <ns0:c r="O27" s="3"/>
      <ns0:c r="P27" s="2"/>
      <ns0:c r="Q27" s="2"/>
      <ns0:c r="R27" s="2"/>
      <ns0:c r="S27" s="2"/>
      <ns0:c r="T27" s="2"/>
      <ns0:c r="U27" s="2"/>
      <ns0:c r="V27" s="2"/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/>
      <ns0:c r="B28" s="2"/>
      <ns0:c r="C28" s="3"/>
      <ns0:c r="D28" s="3"/>
      <ns0:c r="E28" s="3"/>
      <ns0:c r="F28" s="3"/>
      <ns0:c r="G28" s="3"/>
      <ns0:c r="H28" s="3"/>
      <ns0:c r="I28" s="3"/>
      <ns0:c r="J28" s="3"/>
      <ns0:c r="K28" s="3"/>
      <ns0:c r="L28" s="3"/>
      <ns0:c r="M28" s="3"/>
      <ns0:c r="N28" s="3"/>
      <ns0:c r="O28" s="3"/>
      <ns0:c r="P28" s="2"/>
      <ns0:c r="Q28" s="2"/>
      <ns0:c r="R28" s="2"/>
      <ns0:c r="S28" s="2"/>
      <ns0:c r="T28" s="2"/>
      <ns0:c r="U28" s="2"/>
      <ns0:c r="V28" s="2"/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/>
      <ns0:c r="C29" s="3"/>
      <ns0:c r="D29" s="3"/>
      <ns0:c r="E29" s="3"/>
      <ns0:c r="F29" s="3"/>
      <ns0:c r="G29" s="3"/>
      <ns0:c r="H29" s="3"/>
      <ns0:c r="I29" s="3"/>
      <ns0:c r="J29" s="3"/>
      <ns0:c r="K29" s="3"/>
      <ns0:c r="L29" s="3"/>
      <ns0:c r="M29" s="3"/>
      <ns0:c r="N29" s="3"/>
      <ns0:c r="O29" s="3"/>
      <ns0:c r="P29" s="2"/>
      <ns0:c r="Q29" s="2"/>
      <ns0:c r="R29" s="2"/>
      <ns0:c r="S29" s="2"/>
      <ns0:c r="T29" s="2"/>
      <ns0:c r="U29" s="2"/>
      <ns0:c r="V29" s="2"/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 t="inlineStr">
        <ns0:is>
          <ns0:t>预算基础（月度，元）</ns0:t>
        </ns0:is>
      </ns0:c>
      <ns0:c r="C30" s="6"/>
      <ns0:c r="D30" s="6"/>
      <ns0:c r="E30" s="6"/>
      <ns0:c r="F30" s="6"/>
      <ns0:c r="G30" s="6"/>
      <ns0:c r="H30" s="6"/>
      <ns0:c r="I30" s="6"/>
      <ns0:c r="J30" s="6"/>
      <ns0:c r="K30" s="6"/>
      <ns0:c r="L30" s="6"/>
      <ns0:c r="M30" s="6"/>
      <ns0:c r="N30" s="6"/>
      <ns0:c r="O30" s="6"/>
      <ns0:c r="P30" s="2"/>
      <ns0:c r="Q30" s="2"/>
      <ns0:c r="R30" s="2"/>
      <ns0:c r="S30" s="2"/>
      <ns0:c r="T30" s="2"/>
      <ns0:c r="U30" s="2"/>
      <ns0:c r="V30" s="2"/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/>
      <ns0:c r="B31" s="2" t="inlineStr">
        <ns0:is>
          <ns0:t>综合附加率（演示假设）</ns0:t>
        </ns0:is>
      </ns0:c>
      <ns0:c r="C31" s="4">
        <ns0:v>0.00735</ns0:v>
      </ns0:c>
      <ns0:c r="D31" s="3"/>
      <ns0:c r="E31" s="3"/>
      <ns0:c r="F31" s="3"/>
      <ns0:c r="G31" s="3"/>
      <ns0:c r="H31" s="3"/>
      <ns0:c r="I31" s="3"/>
      <ns0:c r="J31" s="3"/>
      <ns0:c r="K31" s="3"/>
      <ns0:c r="L31" s="3"/>
      <ns0:c r="M31" s="3"/>
      <ns0:c r="N31" s="3"/>
      <ns0:c r="O31" s="3"/>
      <ns0:c r="P31" s="2"/>
      <ns0:c r="Q31" s="2"/>
      <ns0:c r="R31" s="2"/>
      <ns0:c r="S31" s="2"/>
      <ns0:c r="T31" s="2"/>
      <ns0:c r="U31" s="2"/>
      <ns0:c r="V31" s="2"/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 t="inlineStr">
        <ns0:is>
          <ns0:t>计税收入</ns0:t>
        </ns0:is>
      </ns0:c>
      <ns0:c r="C32" s="3">
        <ns0:f>'收入非主控'!C33+'收入主控'!C33</ns0:f>
        <ns0:v>467361.50</ns0:v>
      </ns0:c>
      <ns0:c r="D32" s="3">
        <ns0:f>'收入非主控'!D33+'收入主控'!D33</ns0:f>
        <ns0:v>375509.79</ns0:v>
      </ns0:c>
      <ns0:c r="E32" s="3">
        <ns0:f>'收入非主控'!E33+'收入主控'!E33</ns0:f>
        <ns0:v>525981.56</ns0:v>
      </ns0:c>
      <ns0:c r="F32" s="3">
        <ns0:f>'收入非主控'!F33+'收入主控'!F33</ns0:f>
        <ns0:v>320905.29</ns0:v>
      </ns0:c>
      <ns0:c r="G32" s="3">
        <ns0:f>'收入非主控'!G33+'收入主控'!G33</ns0:f>
        <ns0:v>551813.28</ns0:v>
      </ns0:c>
      <ns0:c r="H32" s="3">
        <ns0:f>'收入非主控'!H33+'收入主控'!H33</ns0:f>
        <ns0:v>400759.10</ns0:v>
      </ns0:c>
      <ns0:c r="I32" s="3">
        <ns0:f>'收入非主控'!I33+'收入主控'!I33</ns0:f>
        <ns0:v>383810.11</ns0:v>
      </ns0:c>
      <ns0:c r="J32" s="3">
        <ns0:f>'收入非主控'!J33+'收入主控'!J33</ns0:f>
        <ns0:v>502083.48</ns0:v>
      </ns0:c>
      <ns0:c r="K32" s="3">
        <ns0:f>'收入非主控'!K33+'收入主控'!K33</ns0:f>
        <ns0:v>366949.12</ns0:v>
      </ns0:c>
      <ns0:c r="L32" s="3">
        <ns0:f>'收入非主控'!L33+'收入主控'!L33</ns0:f>
        <ns0:v>380238.43</ns0:v>
      </ns0:c>
      <ns0:c r="M32" s="3">
        <ns0:f>'收入非主控'!M33+'收入主控'!M33</ns0:f>
        <ns0:v>331310.06</ns0:v>
      </ns0:c>
      <ns0:c r="N32" s="3">
        <ns0:f>'收入非主控'!N33+'收入主控'!N33</ns0:f>
        <ns0:v>437933.73</ns0:v>
      </ns0:c>
      <ns0:c r="O32" s="3"/>
      <ns0:c r="P32" s="2"/>
      <ns0:c r="Q32" s="2"/>
      <ns0:c r="R32" s="2"/>
      <ns0:c r="S32" s="2"/>
      <ns0:c r="T32" s="2"/>
      <ns0:c r="U32" s="2"/>
      <ns0:c r="V32" s="2"/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/>
      <ns0:c r="B33" s="2" t="inlineStr">
        <ns0:is>
          <ns0:t>税金及附加</ns0:t>
        </ns0:is>
      </ns0:c>
      <ns0:c r="C33" s="3">
        <ns0:f>ROUND(C32*$C$31,2)</ns0:f>
        <ns0:v>3435.11</ns0:v>
      </ns0:c>
      <ns0:c r="D33" s="3">
        <ns0:f>ROUND(D32*$C$31,2)</ns0:f>
        <ns0:v>2760.00</ns0:v>
      </ns0:c>
      <ns0:c r="E33" s="3">
        <ns0:f>ROUND(E32*$C$31,2)</ns0:f>
        <ns0:v>3865.96</ns0:v>
      </ns0:c>
      <ns0:c r="F33" s="3">
        <ns0:f>ROUND(F32*$C$31,2)</ns0:f>
        <ns0:v>2358.65</ns0:v>
      </ns0:c>
      <ns0:c r="G33" s="3">
        <ns0:f>ROUND(G32*$C$31,2)</ns0:f>
        <ns0:v>4055.83</ns0:v>
      </ns0:c>
      <ns0:c r="H33" s="3">
        <ns0:f>ROUND(H32*$C$31,2)</ns0:f>
        <ns0:v>2945.58</ns0:v>
      </ns0:c>
      <ns0:c r="I33" s="3">
        <ns0:f>ROUND(I32*$C$31,2)</ns0:f>
        <ns0:v>2821.00</ns0:v>
      </ns0:c>
      <ns0:c r="J33" s="3">
        <ns0:f>ROUND(J32*$C$31,2)</ns0:f>
        <ns0:v>3690.31</ns0:v>
      </ns0:c>
      <ns0:c r="K33" s="3">
        <ns0:f>ROUND(K32*$C$31,2)</ns0:f>
        <ns0:v>2697.08</ns0:v>
      </ns0:c>
      <ns0:c r="L33" s="3">
        <ns0:f>ROUND(L32*$C$31,2)</ns0:f>
        <ns0:v>2794.75</ns0:v>
      </ns0:c>
      <ns0:c r="M33" s="3">
        <ns0:f>ROUND(M32*$C$31,2)</ns0:f>
        <ns0:v>2435.13</ns0:v>
      </ns0:c>
      <ns0:c r="N33" s="3">
        <ns0:f>ROUND(N32*$C$31,2)</ns0:f>
        <ns0:v>3218.81</ns0:v>
      </ns0:c>
      <ns0:c r="O33" s="3"/>
      <ns0:c r="P33" s="2" t="inlineStr">
        <ns0:is>
          <ns0:t>TAX</ns0:t>
        </ns0:is>
      </ns0:c>
      <ns0:c r="Q33" s="2" t="inlineStr">
        <ns0:is>
          <ns0:t>演示占位-v1</ns0:t>
        </ns0:is>
      </ns0:c>
      <ns0:c r="R33" s="2" t="inlineStr">
        <ns0:is>
          <ns0:t>模拟权责发生制</ns0:t>
        </ns0:is>
      </ns0:c>
      <ns0:c r="S33" s="2" t="inlineStr">
        <ns0:is>
          <ns0:t>2027-01</ns0:t>
        </ns0:is>
      </ns0:c>
      <ns0:c r="T33" s="2" t="inlineStr">
        <ns0:is>
          <ns0:t>2027-06</ns0:t>
        </ns0:is>
      </ns0:c>
      <ns0:c r="U33" s="2" t="inlineStr">
        <ns0:is>
          <ns0:t>无</ns0:t>
        </ns0:is>
      </ns0:c>
      <ns0:c r="V33" s="2" t="inlineStr">
        <ns0:is>
          <ns0:t>无</ns0:t>
        </ns0:is>
      </ns0:c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/>
      <ns0:c r="B34" s="2"/>
      <ns0:c r="C34" s="3"/>
      <ns0:c r="D34" s="3"/>
      <ns0:c r="E34" s="3"/>
      <ns0:c r="F34" s="3"/>
      <ns0:c r="G34" s="3"/>
      <ns0:c r="H34" s="3"/>
      <ns0:c r="I34" s="3"/>
      <ns0:c r="J34" s="3"/>
      <ns0:c r="K34" s="3"/>
      <ns0:c r="L34" s="3"/>
      <ns0:c r="M34" s="3"/>
      <ns0:c r="N34" s="3"/>
      <ns0:c r="O34" s="3"/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/>
      <ns0:c r="B35" s="2"/>
      <ns0:c r="C35" s="3"/>
      <ns0:c r="D35" s="3"/>
      <ns0:c r="E35" s="3"/>
      <ns0:c r="F35" s="3"/>
      <ns0:c r="G35" s="3"/>
      <ns0:c r="H35" s="3"/>
      <ns0:c r="I35" s="3"/>
      <ns0:c r="J35" s="3"/>
      <ns0:c r="K35" s="3"/>
      <ns0:c r="L35" s="3"/>
      <ns0:c r="M35" s="3"/>
      <ns0:c r="N35" s="3"/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/>
      <ns0:c r="B36" s="2"/>
      <ns0:c r="C36" s="3"/>
      <ns0:c r="D36" s="3"/>
      <ns0:c r="E36" s="3"/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/>
      <ns0:c r="C37" s="3"/>
      <ns0:c r="D37" s="3"/>
      <ns0:c r="E37" s="3"/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/>
      <ns0:c r="C60" s="6"/>
      <ns0:c r="D60" s="6"/>
      <ns0:c r="E60" s="6"/>
      <ns0:c r="F60" s="6"/>
      <ns0:c r="G60" s="6"/>
      <ns0:c r="H60" s="6"/>
      <ns0:c r="I60" s="6"/>
      <ns0:c r="J60" s="6"/>
      <ns0:c r="K60" s="6"/>
      <ns0:c r="L60" s="6"/>
      <ns0:c r="M60" s="6"/>
      <ns0:c r="N60" s="6"/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/>
      <ns0:c r="C61" s="3"/>
      <ns0:c r="D61" s="3"/>
      <ns0:c r="E61" s="3"/>
      <ns0:c r="F61" s="3"/>
      <ns0:c r="G61" s="3"/>
      <ns0:c r="H61" s="3"/>
      <ns0:c r="I61" s="3"/>
      <ns0:c r="J61" s="3"/>
      <ns0:c r="K61" s="3"/>
      <ns0:c r="L61" s="3"/>
      <ns0:c r="M61" s="3"/>
      <ns0:c r="N61" s="3"/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/>
      <ns0:c r="C62" s="3"/>
      <ns0:c r="D62" s="3"/>
      <ns0:c r="E62" s="3"/>
      <ns0:c r="F62" s="3"/>
      <ns0:c r="G62" s="3"/>
      <ns0:c r="H62" s="3"/>
      <ns0:c r="I62" s="3"/>
      <ns0:c r="J62" s="3"/>
      <ns0:c r="K62" s="3"/>
      <ns0:c r="L62" s="3"/>
      <ns0:c r="M62" s="3"/>
      <ns0:c r="N62" s="3"/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/>
      <ns0:c r="C63" s="3"/>
      <ns0:c r="D63" s="3"/>
      <ns0:c r="E63" s="3"/>
      <ns0:c r="F63" s="3"/>
      <ns0:c r="G63" s="3"/>
      <ns0:c r="H63" s="3"/>
      <ns0:c r="I63" s="3"/>
      <ns0:c r="J63" s="3"/>
      <ns0:c r="K63" s="3"/>
      <ns0:c r="L63" s="3"/>
      <ns0:c r="M63" s="3"/>
      <ns0:c r="N63" s="3"/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/>
      <ns0:c r="C64" s="3"/>
      <ns0:c r="D64" s="3"/>
      <ns0:c r="E64" s="3"/>
      <ns0:c r="F64" s="3"/>
      <ns0:c r="G64" s="3"/>
      <ns0:c r="H64" s="3"/>
      <ns0:c r="I64" s="3"/>
      <ns0:c r="J64" s="3"/>
      <ns0:c r="K64" s="3"/>
      <ns0:c r="L64" s="3"/>
      <ns0:c r="M64" s="3"/>
      <ns0:c r="N64" s="3"/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/>
      <ns0:c r="C65" s="3"/>
      <ns0:c r="D65" s="3"/>
      <ns0:c r="E65" s="3"/>
      <ns0:c r="F65" s="3"/>
      <ns0:c r="G65" s="3"/>
      <ns0:c r="H65" s="3"/>
      <ns0:c r="I65" s="3"/>
      <ns0:c r="J65" s="3"/>
      <ns0:c r="K65" s="3"/>
      <ns0:c r="L65" s="3"/>
      <ns0:c r="M65" s="3"/>
      <ns0:c r="N65" s="3"/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/>
      <ns0:c r="C66" s="3"/>
      <ns0:c r="D66" s="3"/>
      <ns0:c r="E66" s="3"/>
      <ns0:c r="F66" s="3"/>
      <ns0:c r="G66" s="3"/>
      <ns0:c r="H66" s="3"/>
      <ns0:c r="I66" s="3"/>
      <ns0:c r="J66" s="3"/>
      <ns0:c r="K66" s="3"/>
      <ns0:c r="L66" s="3"/>
      <ns0:c r="M66" s="3"/>
      <ns0:c r="N66" s="3"/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/>
      <ns0:c r="C67" s="3"/>
      <ns0:c r="D67" s="3"/>
      <ns0:c r="E67" s="3"/>
      <ns0:c r="F67" s="3"/>
      <ns0:c r="G67" s="3"/>
      <ns0:c r="H67" s="3"/>
      <ns0:c r="I67" s="3"/>
      <ns0:c r="J67" s="3"/>
      <ns0:c r="K67" s="3"/>
      <ns0:c r="L67" s="3"/>
      <ns0:c r="M67" s="3"/>
      <ns0:c r="N67" s="3"/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/>
      <ns0:c r="C68" s="3"/>
      <ns0:c r="D68" s="3"/>
      <ns0:c r="E68" s="3"/>
      <ns0:c r="F68" s="3"/>
      <ns0:c r="G68" s="3"/>
      <ns0:c r="H68" s="3"/>
      <ns0:c r="I68" s="3"/>
      <ns0:c r="J68" s="3"/>
      <ns0:c r="K68" s="3"/>
      <ns0:c r="L68" s="3"/>
      <ns0:c r="M68" s="3"/>
      <ns0:c r="N68" s="3"/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/>
      <ns0:c r="C204" s="3"/>
      <ns0:c r="D204" s="3"/>
      <ns0:c r="E204" s="3"/>
      <ns0:c r="F204" s="3"/>
      <ns0:c r="G204" s="3"/>
      <ns0:c r="H204" s="3"/>
      <ns0:c r="I204" s="3"/>
      <ns0:c r="J204" s="3"/>
      <ns0:c r="K204" s="3"/>
      <ns0:c r="L204" s="3"/>
      <ns0:c r="M204" s="3"/>
      <ns0:c r="N204" s="3"/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/>
      <ns0:c r="C205" s="3"/>
      <ns0:c r="D205" s="3"/>
      <ns0:c r="E205" s="3"/>
      <ns0:c r="F205" s="3"/>
      <ns0:c r="G205" s="3"/>
      <ns0:c r="H205" s="3"/>
      <ns0:c r="I205" s="3"/>
      <ns0:c r="J205" s="3"/>
      <ns0:c r="K205" s="3"/>
      <ns0:c r="L205" s="3"/>
      <ns0:c r="M205" s="3"/>
      <ns0:c r="N205" s="3"/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/>
      <ns0:c r="C206" s="3"/>
      <ns0:c r="D206" s="3"/>
      <ns0:c r="E206" s="3"/>
      <ns0:c r="F206" s="3"/>
      <ns0:c r="G206" s="3"/>
      <ns0:c r="H206" s="3"/>
      <ns0:c r="I206" s="3"/>
      <ns0:c r="J206" s="3"/>
      <ns0:c r="K206" s="3"/>
      <ns0:c r="L206" s="3"/>
      <ns0:c r="M206" s="3"/>
      <ns0:c r="N206" s="3"/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/>
      <ns0:c r="C207" s="3"/>
      <ns0:c r="D207" s="3"/>
      <ns0:c r="E207" s="3"/>
      <ns0:c r="F207" s="3"/>
      <ns0:c r="G207" s="3"/>
      <ns0:c r="H207" s="3"/>
      <ns0:c r="I207" s="3"/>
      <ns0:c r="J207" s="3"/>
      <ns0:c r="K207" s="3"/>
      <ns0:c r="L207" s="3"/>
      <ns0:c r="M207" s="3"/>
      <ns0:c r="N207" s="3"/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/>
      <ns0:c r="C208" s="3"/>
      <ns0:c r="D208" s="3"/>
      <ns0:c r="E208" s="3"/>
      <ns0:c r="F208" s="3"/>
      <ns0:c r="G208" s="3"/>
      <ns0:c r="H208" s="3"/>
      <ns0:c r="I208" s="3"/>
      <ns0:c r="J208" s="3"/>
      <ns0:c r="K208" s="3"/>
      <ns0:c r="L208" s="3"/>
      <ns0:c r="M208" s="3"/>
      <ns0:c r="N208" s="3"/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/>
      <ns0:c r="C209" s="3"/>
      <ns0:c r="D209" s="3"/>
      <ns0:c r="E209" s="3"/>
      <ns0:c r="F209" s="3"/>
      <ns0:c r="G209" s="3"/>
      <ns0:c r="H209" s="3"/>
      <ns0:c r="I209" s="3"/>
      <ns0:c r="J209" s="3"/>
      <ns0:c r="K209" s="3"/>
      <ns0:c r="L209" s="3"/>
      <ns0:c r="M209" s="3"/>
      <ns0:c r="N209" s="3"/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/>
      <ns0:c r="C210" s="3"/>
      <ns0:c r="D210" s="3"/>
      <ns0:c r="E210" s="3"/>
      <ns0:c r="F210" s="3"/>
      <ns0:c r="G210" s="3"/>
      <ns0:c r="H210" s="3"/>
      <ns0:c r="I210" s="3"/>
      <ns0:c r="J210" s="3"/>
      <ns0:c r="K210" s="3"/>
      <ns0:c r="L210" s="3"/>
      <ns0:c r="M210" s="3"/>
      <ns0:c r="N210" s="3"/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/>
      <ns0:c r="C211" s="3"/>
      <ns0:c r="D211" s="3"/>
      <ns0:c r="E211" s="3"/>
      <ns0:c r="F211" s="3"/>
      <ns0:c r="G211" s="3"/>
      <ns0:c r="H211" s="3"/>
      <ns0:c r="I211" s="3"/>
      <ns0:c r="J211" s="3"/>
      <ns0:c r="K211" s="3"/>
      <ns0:c r="L211" s="3"/>
      <ns0:c r="M211" s="3"/>
      <ns0:c r="N211" s="3"/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/>
      <ns0:c r="C212" s="3"/>
      <ns0:c r="D212" s="3"/>
      <ns0:c r="E212" s="3"/>
      <ns0:c r="F212" s="3"/>
      <ns0:c r="G212" s="3"/>
      <ns0:c r="H212" s="3"/>
      <ns0:c r="I212" s="3"/>
      <ns0:c r="J212" s="3"/>
      <ns0:c r="K212" s="3"/>
      <ns0:c r="L212" s="3"/>
      <ns0:c r="M212" s="3"/>
      <ns0:c r="N212" s="3"/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/>
      <ns0:c r="C213" s="3"/>
      <ns0:c r="D213" s="3"/>
      <ns0:c r="E213" s="3"/>
      <ns0:c r="F213" s="3"/>
      <ns0:c r="G213" s="3"/>
      <ns0:c r="H213" s="3"/>
      <ns0:c r="I213" s="3"/>
      <ns0:c r="J213" s="3"/>
      <ns0:c r="K213" s="3"/>
      <ns0:c r="L213" s="3"/>
      <ns0:c r="M213" s="3"/>
      <ns0:c r="N213" s="3"/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/>
      <ns0:c r="C214" s="3"/>
      <ns0:c r="D214" s="3"/>
      <ns0:c r="E214" s="3"/>
      <ns0:c r="F214" s="3"/>
      <ns0:c r="G214" s="3"/>
      <ns0:c r="H214" s="3"/>
      <ns0:c r="I214" s="3"/>
      <ns0:c r="J214" s="3"/>
      <ns0:c r="K214" s="3"/>
      <ns0:c r="L214" s="3"/>
      <ns0:c r="M214" s="3"/>
      <ns0:c r="N214" s="3"/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/>
      <ns0:c r="C215" s="3"/>
      <ns0:c r="D215" s="3"/>
      <ns0:c r="E215" s="3"/>
      <ns0:c r="F215" s="3"/>
      <ns0:c r="G215" s="3"/>
      <ns0:c r="H215" s="3"/>
      <ns0:c r="I215" s="3"/>
      <ns0:c r="J215" s="3"/>
      <ns0:c r="K215" s="3"/>
      <ns0:c r="L215" s="3"/>
      <ns0:c r="M215" s="3"/>
      <ns0:c r="N215" s="3"/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/>
      <ns0:c r="C216" s="3"/>
      <ns0:c r="D216" s="3"/>
      <ns0:c r="E216" s="3"/>
      <ns0:c r="F216" s="3"/>
      <ns0:c r="G216" s="3"/>
      <ns0:c r="H216" s="3"/>
      <ns0:c r="I216" s="3"/>
      <ns0:c r="J216" s="3"/>
      <ns0:c r="K216" s="3"/>
      <ns0:c r="L216" s="3"/>
      <ns0:c r="M216" s="3"/>
      <ns0:c r="N216" s="3"/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/>
      <ns0:c r="C217" s="3"/>
      <ns0:c r="D217" s="3"/>
      <ns0:c r="E217" s="3"/>
      <ns0:c r="F217" s="3"/>
      <ns0:c r="G217" s="3"/>
      <ns0:c r="H217" s="3"/>
      <ns0:c r="I217" s="3"/>
      <ns0:c r="J217" s="3"/>
      <ns0:c r="K217" s="3"/>
      <ns0:c r="L217" s="3"/>
      <ns0:c r="M217" s="3"/>
      <ns0:c r="N217" s="3"/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/>
      <ns0:c r="C218" s="3"/>
      <ns0:c r="D218" s="3"/>
      <ns0:c r="E218" s="3"/>
      <ns0:c r="F218" s="3"/>
      <ns0:c r="G218" s="3"/>
      <ns0:c r="H218" s="3"/>
      <ns0:c r="I218" s="3"/>
      <ns0:c r="J218" s="3"/>
      <ns0:c r="K218" s="3"/>
      <ns0:c r="L218" s="3"/>
      <ns0:c r="M218" s="3"/>
      <ns0:c r="N218" s="3"/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/>
      <ns0:c r="C219" s="3"/>
      <ns0:c r="D219" s="3"/>
      <ns0:c r="E219" s="3"/>
      <ns0:c r="F219" s="3"/>
      <ns0:c r="G219" s="3"/>
      <ns0:c r="H219" s="3"/>
      <ns0:c r="I219" s="3"/>
      <ns0:c r="J219" s="3"/>
      <ns0:c r="K219" s="3"/>
      <ns0:c r="L219" s="3"/>
      <ns0:c r="M219" s="3"/>
      <ns0:c r="N219" s="3"/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/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/>
      <ns0:c r="C221" s="3"/>
      <ns0:c r="D221" s="3"/>
      <ns0:c r="E221" s="3"/>
      <ns0:c r="F221" s="3"/>
      <ns0:c r="G221" s="3"/>
      <ns0:c r="H221" s="3"/>
      <ns0:c r="I221" s="3"/>
      <ns0:c r="J221" s="3"/>
      <ns0:c r="K221" s="3"/>
      <ns0:c r="L221" s="3"/>
      <ns0:c r="M221" s="3"/>
      <ns0:c r="N221" s="3"/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/>
      <ns0:c r="C222" s="3"/>
      <ns0:c r="D222" s="3"/>
      <ns0:c r="E222" s="3"/>
      <ns0:c r="F222" s="3"/>
      <ns0:c r="G222" s="3"/>
      <ns0:c r="H222" s="3"/>
      <ns0:c r="I222" s="3"/>
      <ns0:c r="J222" s="3"/>
      <ns0:c r="K222" s="3"/>
      <ns0:c r="L222" s="3"/>
      <ns0:c r="M222" s="3"/>
      <ns0:c r="N222" s="3"/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/>
      <ns0:c r="C223" s="3"/>
      <ns0:c r="D223" s="3"/>
      <ns0:c r="E223" s="3"/>
      <ns0:c r="F223" s="3"/>
      <ns0:c r="G223" s="3"/>
      <ns0:c r="H223" s="3"/>
      <ns0:c r="I223" s="3"/>
      <ns0:c r="J223" s="3"/>
      <ns0:c r="K223" s="3"/>
      <ns0:c r="L223" s="3"/>
      <ns0:c r="M223" s="3"/>
      <ns0:c r="N223" s="3"/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/>
      <ns0:c r="C224" s="3"/>
      <ns0:c r="D224" s="3"/>
      <ns0:c r="E224" s="3"/>
      <ns0:c r="F224" s="3"/>
      <ns0:c r="G224" s="3"/>
      <ns0:c r="H224" s="3"/>
      <ns0:c r="I224" s="3"/>
      <ns0:c r="J224" s="3"/>
      <ns0:c r="K224" s="3"/>
      <ns0:c r="L224" s="3"/>
      <ns0:c r="M224" s="3"/>
      <ns0:c r="N224" s="3"/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/>
      <ns0:c r="C225" s="3"/>
      <ns0:c r="D225" s="3"/>
      <ns0:c r="E225" s="3"/>
      <ns0:c r="F225" s="3"/>
      <ns0:c r="G225" s="3"/>
      <ns0:c r="H225" s="3"/>
      <ns0:c r="I225" s="3"/>
      <ns0:c r="J225" s="3"/>
      <ns0:c r="K225" s="3"/>
      <ns0:c r="L225" s="3"/>
      <ns0:c r="M225" s="3"/>
      <ns0:c r="N225" s="3"/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/>
      <ns0:c r="C226" s="3"/>
      <ns0:c r="D226" s="3"/>
      <ns0:c r="E226" s="3"/>
      <ns0:c r="F226" s="3"/>
      <ns0:c r="G226" s="3"/>
      <ns0:c r="H226" s="3"/>
      <ns0:c r="I226" s="3"/>
      <ns0:c r="J226" s="3"/>
      <ns0:c r="K226" s="3"/>
      <ns0:c r="L226" s="3"/>
      <ns0:c r="M226" s="3"/>
      <ns0:c r="N226" s="3"/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/>
      <ns0:c r="C227" s="3"/>
      <ns0:c r="D227" s="3"/>
      <ns0:c r="E227" s="3"/>
      <ns0:c r="F227" s="3"/>
      <ns0:c r="G227" s="3"/>
      <ns0:c r="H227" s="3"/>
      <ns0:c r="I227" s="3"/>
      <ns0:c r="J227" s="3"/>
      <ns0:c r="K227" s="3"/>
      <ns0:c r="L227" s="3"/>
      <ns0:c r="M227" s="3"/>
      <ns0:c r="N227" s="3"/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/>
      <ns0:c r="C228" s="3"/>
      <ns0:c r="D228" s="3"/>
      <ns0:c r="E228" s="3"/>
      <ns0:c r="F228" s="3"/>
      <ns0:c r="G228" s="3"/>
      <ns0:c r="H228" s="3"/>
      <ns0:c r="I228" s="3"/>
      <ns0:c r="J228" s="3"/>
      <ns0:c r="K228" s="3"/>
      <ns0:c r="L228" s="3"/>
      <ns0:c r="M228" s="3"/>
      <ns0:c r="N228" s="3"/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/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/>
      <ns0:c r="C230" s="3"/>
      <ns0:c r="D230" s="3"/>
      <ns0:c r="E230" s="3"/>
      <ns0:c r="F230" s="3"/>
      <ns0:c r="G230" s="3"/>
      <ns0:c r="H230" s="3"/>
      <ns0:c r="I230" s="3"/>
      <ns0:c r="J230" s="3"/>
      <ns0:c r="K230" s="3"/>
      <ns0:c r="L230" s="3"/>
      <ns0:c r="M230" s="3"/>
      <ns0:c r="N230" s="3"/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/>
      <ns0:c r="C231" s="3"/>
      <ns0:c r="D231" s="3"/>
      <ns0:c r="E231" s="3"/>
      <ns0:c r="F231" s="3"/>
      <ns0:c r="G231" s="3"/>
      <ns0:c r="H231" s="3"/>
      <ns0:c r="I231" s="3"/>
      <ns0:c r="J231" s="3"/>
      <ns0:c r="K231" s="3"/>
      <ns0:c r="L231" s="3"/>
      <ns0:c r="M231" s="3"/>
      <ns0:c r="N231" s="3"/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/>
      <ns0:c r="C232" s="3"/>
      <ns0:c r="D232" s="3"/>
      <ns0:c r="E232" s="3"/>
      <ns0:c r="F232" s="3"/>
      <ns0:c r="G232" s="3"/>
      <ns0:c r="H232" s="3"/>
      <ns0:c r="I232" s="3"/>
      <ns0:c r="J232" s="3"/>
      <ns0:c r="K232" s="3"/>
      <ns0:c r="L232" s="3"/>
      <ns0:c r="M232" s="3"/>
      <ns0:c r="N232" s="3"/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/>
      <ns0:c r="C233" s="3"/>
      <ns0:c r="D233" s="3"/>
      <ns0:c r="E233" s="3"/>
      <ns0:c r="F233" s="3"/>
      <ns0:c r="G233" s="3"/>
      <ns0:c r="H233" s="3"/>
      <ns0:c r="I233" s="3"/>
      <ns0:c r="J233" s="3"/>
      <ns0:c r="K233" s="3"/>
      <ns0:c r="L233" s="3"/>
      <ns0:c r="M233" s="3"/>
      <ns0:c r="N233" s="3"/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/>
      <ns0:c r="C324" s="3"/>
      <ns0:c r="D324" s="3"/>
      <ns0:c r="E324" s="3"/>
      <ns0:c r="F324" s="3"/>
      <ns0:c r="G324" s="3"/>
      <ns0:c r="H324" s="3"/>
      <ns0:c r="I324" s="3"/>
      <ns0:c r="J324" s="3"/>
      <ns0:c r="K324" s="3"/>
      <ns0:c r="L324" s="3"/>
      <ns0:c r="M324" s="3"/>
      <ns0:c r="N324" s="3"/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/>
      <ns0:c r="C325" s="3"/>
      <ns0:c r="D325" s="3"/>
      <ns0:c r="E325" s="3"/>
      <ns0:c r="F325" s="3"/>
      <ns0:c r="G325" s="3"/>
      <ns0:c r="H325" s="3"/>
      <ns0:c r="I325" s="3"/>
      <ns0:c r="J325" s="3"/>
      <ns0:c r="K325" s="3"/>
      <ns0:c r="L325" s="3"/>
      <ns0:c r="M325" s="3"/>
      <ns0:c r="N325" s="3"/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/>
      <ns0:c r="C326" s="3"/>
      <ns0:c r="D326" s="3"/>
      <ns0:c r="E326" s="3"/>
      <ns0:c r="F326" s="3"/>
      <ns0:c r="G326" s="3"/>
      <ns0:c r="H326" s="3"/>
      <ns0:c r="I326" s="3"/>
      <ns0:c r="J326" s="3"/>
      <ns0:c r="K326" s="3"/>
      <ns0:c r="L326" s="3"/>
      <ns0:c r="M326" s="3"/>
      <ns0:c r="N326" s="3"/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/>
      <ns0:c r="C327" s="3"/>
      <ns0:c r="D327" s="3"/>
      <ns0:c r="E327" s="3"/>
      <ns0:c r="F327" s="3"/>
      <ns0:c r="G327" s="3"/>
      <ns0:c r="H327" s="3"/>
      <ns0:c r="I327" s="3"/>
      <ns0:c r="J327" s="3"/>
      <ns0:c r="K327" s="3"/>
      <ns0:c r="L327" s="3"/>
      <ns0:c r="M327" s="3"/>
      <ns0:c r="N327" s="3"/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/>
      <ns0:c r="C328" s="3"/>
      <ns0:c r="D328" s="3"/>
      <ns0:c r="E328" s="3"/>
      <ns0:c r="F328" s="3"/>
      <ns0:c r="G328" s="3"/>
      <ns0:c r="H328" s="3"/>
      <ns0:c r="I328" s="3"/>
      <ns0:c r="J328" s="3"/>
      <ns0:c r="K328" s="3"/>
      <ns0:c r="L328" s="3"/>
      <ns0:c r="M328" s="3"/>
      <ns0:c r="N328" s="3"/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/>
      <ns0:c r="C329" s="3"/>
      <ns0:c r="D329" s="3"/>
      <ns0:c r="E329" s="3"/>
      <ns0:c r="F329" s="3"/>
      <ns0:c r="G329" s="3"/>
      <ns0:c r="H329" s="3"/>
      <ns0:c r="I329" s="3"/>
      <ns0:c r="J329" s="3"/>
      <ns0:c r="K329" s="3"/>
      <ns0:c r="L329" s="3"/>
      <ns0:c r="M329" s="3"/>
      <ns0:c r="N329" s="3"/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/>
      <ns0:c r="C330" s="3"/>
      <ns0:c r="D330" s="3"/>
      <ns0:c r="E330" s="3"/>
      <ns0:c r="F330" s="3"/>
      <ns0:c r="G330" s="3"/>
      <ns0:c r="H330" s="3"/>
      <ns0:c r="I330" s="3"/>
      <ns0:c r="J330" s="3"/>
      <ns0:c r="K330" s="3"/>
      <ns0:c r="L330" s="3"/>
      <ns0:c r="M330" s="3"/>
      <ns0:c r="N330" s="3"/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/>
      <ns0:c r="C331" s="3"/>
      <ns0:c r="D331" s="3"/>
      <ns0:c r="E331" s="3"/>
      <ns0:c r="F331" s="3"/>
      <ns0:c r="G331" s="3"/>
      <ns0:c r="H331" s="3"/>
      <ns0:c r="I331" s="3"/>
      <ns0:c r="J331" s="3"/>
      <ns0:c r="K331" s="3"/>
      <ns0:c r="L331" s="3"/>
      <ns0:c r="M331" s="3"/>
      <ns0:c r="N331" s="3"/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/>
      <ns0:c r="C332" s="3"/>
      <ns0:c r="D332" s="3"/>
      <ns0:c r="E332" s="3"/>
      <ns0:c r="F332" s="3"/>
      <ns0:c r="G332" s="3"/>
      <ns0:c r="H332" s="3"/>
      <ns0:c r="I332" s="3"/>
      <ns0:c r="J332" s="3"/>
      <ns0:c r="K332" s="3"/>
      <ns0:c r="L332" s="3"/>
      <ns0:c r="M332" s="3"/>
      <ns0:c r="N332" s="3"/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/>
      <ns0:c r="C333" s="3"/>
      <ns0:c r="D333" s="3"/>
      <ns0:c r="E333" s="3"/>
      <ns0:c r="F333" s="3"/>
      <ns0:c r="G333" s="3"/>
      <ns0:c r="H333" s="3"/>
      <ns0:c r="I333" s="3"/>
      <ns0:c r="J333" s="3"/>
      <ns0:c r="K333" s="3"/>
      <ns0:c r="L333" s="3"/>
      <ns0:c r="M333" s="3"/>
      <ns0:c r="N333" s="3"/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/>
      <ns0:c r="C334" s="3"/>
      <ns0:c r="D334" s="3"/>
      <ns0:c r="E334" s="3"/>
      <ns0:c r="F334" s="3"/>
      <ns0:c r="G334" s="3"/>
      <ns0:c r="H334" s="3"/>
      <ns0:c r="I334" s="3"/>
      <ns0:c r="J334" s="3"/>
      <ns0:c r="K334" s="3"/>
      <ns0:c r="L334" s="3"/>
      <ns0:c r="M334" s="3"/>
      <ns0:c r="N334" s="3"/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/>
      <ns0:c r="C335" s="3"/>
      <ns0:c r="D335" s="3"/>
      <ns0:c r="E335" s="3"/>
      <ns0:c r="F335" s="3"/>
      <ns0:c r="G335" s="3"/>
      <ns0:c r="H335" s="3"/>
      <ns0:c r="I335" s="3"/>
      <ns0:c r="J335" s="3"/>
      <ns0:c r="K335" s="3"/>
      <ns0:c r="L335" s="3"/>
      <ns0:c r="M335" s="3"/>
      <ns0:c r="N335" s="3"/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/>
      <ns0:c r="C336" s="3"/>
      <ns0:c r="D336" s="3"/>
      <ns0:c r="E336" s="3"/>
      <ns0:c r="F336" s="3"/>
      <ns0:c r="G336" s="3"/>
      <ns0:c r="H336" s="3"/>
      <ns0:c r="I336" s="3"/>
      <ns0:c r="J336" s="3"/>
      <ns0:c r="K336" s="3"/>
      <ns0:c r="L336" s="3"/>
      <ns0:c r="M336" s="3"/>
      <ns0:c r="N336" s="3"/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/>
      <ns0:c r="C337" s="3"/>
      <ns0:c r="D337" s="3"/>
      <ns0:c r="E337" s="3"/>
      <ns0:c r="F337" s="3"/>
      <ns0:c r="G337" s="3"/>
      <ns0:c r="H337" s="3"/>
      <ns0:c r="I337" s="3"/>
      <ns0:c r="J337" s="3"/>
      <ns0:c r="K337" s="3"/>
      <ns0:c r="L337" s="3"/>
      <ns0:c r="M337" s="3"/>
      <ns0:c r="N337" s="3"/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/>
      <ns0:c r="C338" s="3"/>
      <ns0:c r="D338" s="3"/>
      <ns0:c r="E338" s="3"/>
      <ns0:c r="F338" s="3"/>
      <ns0:c r="G338" s="3"/>
      <ns0:c r="H338" s="3"/>
      <ns0:c r="I338" s="3"/>
      <ns0:c r="J338" s="3"/>
      <ns0:c r="K338" s="3"/>
      <ns0:c r="L338" s="3"/>
      <ns0:c r="M338" s="3"/>
      <ns0:c r="N338" s="3"/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/>
      <ns0:c r="C339" s="3"/>
      <ns0:c r="D339" s="3"/>
      <ns0:c r="E339" s="3"/>
      <ns0:c r="F339" s="3"/>
      <ns0:c r="G339" s="3"/>
      <ns0:c r="H339" s="3"/>
      <ns0:c r="I339" s="3"/>
      <ns0:c r="J339" s="3"/>
      <ns0:c r="K339" s="3"/>
      <ns0:c r="L339" s="3"/>
      <ns0:c r="M339" s="3"/>
      <ns0:c r="N339" s="3"/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/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/>
      <ns0:c r="C341" s="3"/>
      <ns0:c r="D341" s="3"/>
      <ns0:c r="E341" s="3"/>
      <ns0:c r="F341" s="3"/>
      <ns0:c r="G341" s="3"/>
      <ns0:c r="H341" s="3"/>
      <ns0:c r="I341" s="3"/>
      <ns0:c r="J341" s="3"/>
      <ns0:c r="K341" s="3"/>
      <ns0:c r="L341" s="3"/>
      <ns0:c r="M341" s="3"/>
      <ns0:c r="N341" s="3"/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/>
      <ns0:c r="C342" s="3"/>
      <ns0:c r="D342" s="3"/>
      <ns0:c r="E342" s="3"/>
      <ns0:c r="F342" s="3"/>
      <ns0:c r="G342" s="3"/>
      <ns0:c r="H342" s="3"/>
      <ns0:c r="I342" s="3"/>
      <ns0:c r="J342" s="3"/>
      <ns0:c r="K342" s="3"/>
      <ns0:c r="L342" s="3"/>
      <ns0:c r="M342" s="3"/>
      <ns0:c r="N342" s="3"/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/>
      <ns0:c r="C343" s="3"/>
      <ns0:c r="D343" s="3"/>
      <ns0:c r="E343" s="3"/>
      <ns0:c r="F343" s="3"/>
      <ns0:c r="G343" s="3"/>
      <ns0:c r="H343" s="3"/>
      <ns0:c r="I343" s="3"/>
      <ns0:c r="J343" s="3"/>
      <ns0:c r="K343" s="3"/>
      <ns0:c r="L343" s="3"/>
      <ns0:c r="M343" s="3"/>
      <ns0:c r="N343" s="3"/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/>
      <ns0:c r="C344" s="3"/>
      <ns0:c r="D344" s="3"/>
      <ns0:c r="E344" s="3"/>
      <ns0:c r="F344" s="3"/>
      <ns0:c r="G344" s="3"/>
      <ns0:c r="H344" s="3"/>
      <ns0:c r="I344" s="3"/>
      <ns0:c r="J344" s="3"/>
      <ns0:c r="K344" s="3"/>
      <ns0:c r="L344" s="3"/>
      <ns0:c r="M344" s="3"/>
      <ns0:c r="N344" s="3"/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/>
      <ns0:c r="C345" s="3"/>
      <ns0:c r="D345" s="3"/>
      <ns0:c r="E345" s="3"/>
      <ns0:c r="F345" s="3"/>
      <ns0:c r="G345" s="3"/>
      <ns0:c r="H345" s="3"/>
      <ns0:c r="I345" s="3"/>
      <ns0:c r="J345" s="3"/>
      <ns0:c r="K345" s="3"/>
      <ns0:c r="L345" s="3"/>
      <ns0:c r="M345" s="3"/>
      <ns0:c r="N345" s="3"/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/>
      <ns0:c r="C346" s="3"/>
      <ns0:c r="D346" s="3"/>
      <ns0:c r="E346" s="3"/>
      <ns0:c r="F346" s="3"/>
      <ns0:c r="G346" s="3"/>
      <ns0:c r="H346" s="3"/>
      <ns0:c r="I346" s="3"/>
      <ns0:c r="J346" s="3"/>
      <ns0:c r="K346" s="3"/>
      <ns0:c r="L346" s="3"/>
      <ns0:c r="M346" s="3"/>
      <ns0:c r="N346" s="3"/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/>
      <ns0:c r="C347" s="3"/>
      <ns0:c r="D347" s="3"/>
      <ns0:c r="E347" s="3"/>
      <ns0:c r="F347" s="3"/>
      <ns0:c r="G347" s="3"/>
      <ns0:c r="H347" s="3"/>
      <ns0:c r="I347" s="3"/>
      <ns0:c r="J347" s="3"/>
      <ns0:c r="K347" s="3"/>
      <ns0:c r="L347" s="3"/>
      <ns0:c r="M347" s="3"/>
      <ns0:c r="N347" s="3"/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/>
      <ns0:c r="C348" s="3"/>
      <ns0:c r="D348" s="3"/>
      <ns0:c r="E348" s="3"/>
      <ns0:c r="F348" s="3"/>
      <ns0:c r="G348" s="3"/>
      <ns0:c r="H348" s="3"/>
      <ns0:c r="I348" s="3"/>
      <ns0:c r="J348" s="3"/>
      <ns0:c r="K348" s="3"/>
      <ns0:c r="L348" s="3"/>
      <ns0:c r="M348" s="3"/>
      <ns0:c r="N348" s="3"/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/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/>
      <ns0:c r="C350" s="3"/>
      <ns0:c r="D350" s="3"/>
      <ns0:c r="E350" s="3"/>
      <ns0:c r="F350" s="3"/>
      <ns0:c r="G350" s="3"/>
      <ns0:c r="H350" s="3"/>
      <ns0:c r="I350" s="3"/>
      <ns0:c r="J350" s="3"/>
      <ns0:c r="K350" s="3"/>
      <ns0:c r="L350" s="3"/>
      <ns0:c r="M350" s="3"/>
      <ns0:c r="N350" s="3"/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/>
      <ns0:c r="C351" s="3"/>
      <ns0:c r="D351" s="3"/>
      <ns0:c r="E351" s="3"/>
      <ns0:c r="F351" s="3"/>
      <ns0:c r="G351" s="3"/>
      <ns0:c r="H351" s="3"/>
      <ns0:c r="I351" s="3"/>
      <ns0:c r="J351" s="3"/>
      <ns0:c r="K351" s="3"/>
      <ns0:c r="L351" s="3"/>
      <ns0:c r="M351" s="3"/>
      <ns0:c r="N351" s="3"/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/>
      <ns0:c r="C352" s="3"/>
      <ns0:c r="D352" s="3"/>
      <ns0:c r="E352" s="3"/>
      <ns0:c r="F352" s="3"/>
      <ns0:c r="G352" s="3"/>
      <ns0:c r="H352" s="3"/>
      <ns0:c r="I352" s="3"/>
      <ns0:c r="J352" s="3"/>
      <ns0:c r="K352" s="3"/>
      <ns0:c r="L352" s="3"/>
      <ns0:c r="M352" s="3"/>
      <ns0:c r="N352" s="3"/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/>
      <ns0:c r="C353" s="3"/>
      <ns0:c r="D353" s="3"/>
      <ns0:c r="E353" s="3"/>
      <ns0:c r="F353" s="3"/>
      <ns0:c r="G353" s="3"/>
      <ns0:c r="H353" s="3"/>
      <ns0:c r="I353" s="3"/>
      <ns0:c r="J353" s="3"/>
      <ns0:c r="K353" s="3"/>
      <ns0:c r="L353" s="3"/>
      <ns0:c r="M353" s="3"/>
      <ns0:c r="N353" s="3"/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pageMargins left="0.7" right="0.7" top="0.75" bottom="0.75" header="0.3" footer="0.3"/>
</ns0:worksheet>
</file>

<file path=xl/worksheets/sheet7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12.625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14.875" hidden="0" customWidth="1"/>
    <ns0:col min="17" max="17" width="9" hidden="0" customWidth="1"/>
    <ns0:col min="18" max="18" width="9.625" hidden="0" customWidth="1"/>
    <ns0:col min="19" max="19" width="9" hidden="0" customWidth="1"/>
    <ns0:col min="20" max="20" width="9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 t="inlineStr">
        <ns0:is>
          <ns0:t>销售费用</ns0:t>
        </ns0:is>
      </ns0:c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 t="inlineStr">
        <ns0:is>
          <ns0:t>项目</ns0:t>
        </ns0:is>
      </ns0:c>
      <ns0:c r="B2" s="2"/>
      <ns0:c r="C2" s="3" t="inlineStr">
        <ns0:is>
          <ns0:t>预算基础（月度，元）</ns0:t>
        </ns0:is>
      </ns0:c>
      <ns0:c r="D2" s="3"/>
      <ns0:c r="E2" s="3"/>
      <ns0:c r="F2" s="3"/>
      <ns0:c r="G2" s="3"/>
      <ns0:c r="H2" s="3"/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E-5f17fa2948</ns0:t>
        </ns0:is>
      </ns0:c>
    </ns0:row>
    <ns0:row r="3" ht="20" customHeight="1">
      <ns0:c r="A3" s="2"/>
      <ns0:c r="B3" s="2"/>
      <ns0:c r="C3" s="6" t="inlineStr">
        <ns0:is>
          <ns0:t>2027-01</ns0:t>
        </ns0:is>
      </ns0:c>
      <ns0:c r="D3" s="6" t="inlineStr">
        <ns0:is>
          <ns0:t>2027-02</ns0:t>
        </ns0:is>
      </ns0:c>
      <ns0:c r="E3" s="6" t="inlineStr">
        <ns0:is>
          <ns0:t>2027-03</ns0:t>
        </ns0:is>
      </ns0:c>
      <ns0:c r="F3" s="6" t="inlineStr">
        <ns0:is>
          <ns0:t>2027-04</ns0:t>
        </ns0:is>
      </ns0:c>
      <ns0:c r="G3" s="6" t="inlineStr">
        <ns0:is>
          <ns0:t>2027-05</ns0:t>
        </ns0:is>
      </ns0:c>
      <ns0:c r="H3" s="6" t="inlineStr">
        <ns0:is>
          <ns0:t>2027-06</ns0:t>
        </ns0:is>
      </ns0:c>
      <ns0:c r="I3" s="6" t="inlineStr">
        <ns0:is>
          <ns0:t>2027-07</ns0:t>
        </ns0:is>
      </ns0:c>
      <ns0:c r="J3" s="6" t="inlineStr">
        <ns0:is>
          <ns0:t>2027-08</ns0:t>
        </ns0:is>
      </ns0:c>
      <ns0:c r="K3" s="6" t="inlineStr">
        <ns0:is>
          <ns0:t>2027-09</ns0:t>
        </ns0:is>
      </ns0:c>
      <ns0:c r="L3" s="6" t="inlineStr">
        <ns0:is>
          <ns0:t>2027-10</ns0:t>
        </ns0:is>
      </ns0:c>
      <ns0:c r="M3" s="6" t="inlineStr">
        <ns0:is>
          <ns0:t>2027-11</ns0:t>
        </ns0:is>
      </ns0:c>
      <ns0:c r="N3" s="6" t="inlineStr">
        <ns0:is>
          <ns0:t>2027-12</ns0:t>
        </ns0:is>
      </ns0:c>
      <ns0:c r="O3" s="6" t="inlineStr">
        <ns0:is>
          <ns0:t>小计</ns0:t>
        </ns0:is>
      </ns0:c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主体乙</ns0:t>
        </ns0:is>
      </ns0:c>
    </ns0:row>
    <ns0:row r="4" ht="20" customHeight="1">
      <ns0:c r="A4" s="2" t="inlineStr">
        <ns0:is>
          <ns0:t>员工费用</ns0:t>
        </ns0:is>
      </ns0:c>
      <ns0:c r="B4" s="2" t="inlineStr">
        <ns0:is>
          <ns0:t>工资</ns0:t>
        </ns0:is>
      </ns0:c>
      <ns0:c r="C4" s="3">
        <ns0:f>ROUND(C204*C324,2)</ns0:f>
        <ns0:v>65.90</ns0:v>
      </ns0:c>
      <ns0:c r="D4" s="3">
        <ns0:f>ROUND(D204*D324,2)</ns0:f>
        <ns0:v>128.05</ns0:v>
      </ns0:c>
      <ns0:c r="E4" s="3">
        <ns0:f>ROUND(E204*E324,2)</ns0:f>
        <ns0:v>387.77</ns0:v>
      </ns0:c>
      <ns0:c r="F4" s="3">
        <ns0:f>ROUND(F204*F324,2)</ns0:f>
        <ns0:v>46.76</ns0:v>
      </ns0:c>
      <ns0:c r="G4" s="3">
        <ns0:f>ROUND(G204*G324,2)</ns0:f>
        <ns0:v>280.74</ns0:v>
      </ns0:c>
      <ns0:c r="H4" s="3">
        <ns0:f>ROUND(H204*H324,2)</ns0:f>
        <ns0:v>134.56</ns0:v>
      </ns0:c>
      <ns0:c r="I4" s="3">
        <ns0:f>ROUND(I204*I324,2)</ns0:f>
        <ns0:v>342.68</ns0:v>
      </ns0:c>
      <ns0:c r="J4" s="3">
        <ns0:f>ROUND(J204*J324,2)</ns0:f>
        <ns0:v>405.28</ns0:v>
      </ns0:c>
      <ns0:c r="K4" s="3">
        <ns0:f>ROUND(K204*K324,2)</ns0:f>
        <ns0:v>276.50</ns0:v>
      </ns0:c>
      <ns0:c r="L4" s="3">
        <ns0:f>ROUND(L204*L324,2)</ns0:f>
        <ns0:v>295.53</ns0:v>
      </ns0:c>
      <ns0:c r="M4" s="3">
        <ns0:f>ROUND(M204*M324,2)</ns0:f>
        <ns0:v>129.78</ns0:v>
      </ns0:c>
      <ns0:c r="N4" s="3">
        <ns0:f>ROUND(N204*N324,2)</ns0:f>
        <ns0:v>106.47</ns0:v>
      </ns0:c>
      <ns0:c r="O4" s="3">
        <ns0:f>SUM(C4:N4)</ns0:f>
        <ns0:v>2600.02</ns0:v>
      </ns0:c>
      <ns0:c r="P4" s="2" t="inlineStr">
        <ns0:is>
          <ns0:t>EXP1.004</ns0:t>
        </ns0:is>
      </ns0:c>
      <ns0:c r="Q4" s="2" t="inlineStr">
        <ns0:is>
          <ns0:t>演示占位-v1</ns0:t>
        </ns0:is>
      </ns0:c>
      <ns0:c r="R4" s="2" t="inlineStr">
        <ns0:is>
          <ns0:t>模拟权责发生制</ns0:t>
        </ns0:is>
      </ns0:c>
      <ns0:c r="S4" s="2" t="inlineStr">
        <ns0:is>
          <ns0:t>2027-01</ns0:t>
        </ns0:is>
      </ns0:c>
      <ns0:c r="T4" s="2" t="inlineStr">
        <ns0:is>
          <ns0:t>2027-06</ns0:t>
        </ns0:is>
      </ns0:c>
      <ns0:c r="U4" s="2" t="inlineStr">
        <ns0:is>
          <ns0:t>无</ns0:t>
        </ns0:is>
      </ns0:c>
      <ns0:c r="V4" s="2" t="inlineStr">
        <ns0:is>
          <ns0:t>无</ns0:t>
        </ns0:is>
      </ns0:c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S-03e3bfa6bf</ns0:t>
        </ns0:is>
      </ns0:c>
    </ns0:row>
    <ns0:row r="5" ht="20" customHeight="1">
      <ns0:c r="A5" s="2"/>
      <ns0:c r="B5" s="2" t="inlineStr">
        <ns0:is>
          <ns0:t>十三薪</ns0:t>
        </ns0:is>
      </ns0:c>
      <ns0:c r="C5" s="3">
        <ns0:f>ROUND(C205*C325,2)</ns0:f>
        <ns0:v>321.97</ns0:v>
      </ns0:c>
      <ns0:c r="D5" s="3">
        <ns0:f>ROUND(D205*D325,2)</ns0:f>
        <ns0:v>77.40</ns0:v>
      </ns0:c>
      <ns0:c r="E5" s="3">
        <ns0:f>ROUND(E205*E325,2)</ns0:f>
        <ns0:v>363.13</ns0:v>
      </ns0:c>
      <ns0:c r="F5" s="3">
        <ns0:f>ROUND(F205*F325,2)</ns0:f>
        <ns0:v>228.15</ns0:v>
      </ns0:c>
      <ns0:c r="G5" s="3">
        <ns0:f>ROUND(G205*G325,2)</ns0:f>
        <ns0:v>528.98</ns0:v>
      </ns0:c>
      <ns0:c r="H5" s="3">
        <ns0:f>ROUND(H205*H325,2)</ns0:f>
        <ns0:v>186.20</ns0:v>
      </ns0:c>
      <ns0:c r="I5" s="3">
        <ns0:f>ROUND(I205*I325,2)</ns0:f>
        <ns0:v>288.34</ns0:v>
      </ns0:c>
      <ns0:c r="J5" s="3">
        <ns0:f>ROUND(J205*J325,2)</ns0:f>
        <ns0:v>74.79</ns0:v>
      </ns0:c>
      <ns0:c r="K5" s="3">
        <ns0:f>ROUND(K205*K325,2)</ns0:f>
        <ns0:v>339.82</ns0:v>
      </ns0:c>
      <ns0:c r="L5" s="3">
        <ns0:f>ROUND(L205*L325,2)</ns0:f>
        <ns0:v>105.48</ns0:v>
      </ns0:c>
      <ns0:c r="M5" s="3">
        <ns0:f>ROUND(M205*M325,2)</ns0:f>
        <ns0:v>99.83</ns0:v>
      </ns0:c>
      <ns0:c r="N5" s="3">
        <ns0:f>ROUND(N205*N325,2)</ns0:f>
        <ns0:v>124.54</ns0:v>
      </ns0:c>
      <ns0:c r="O5" s="3">
        <ns0:f>SUM(C5:N5)</ns0:f>
        <ns0:v>2738.63</ns0:v>
      </ns0:c>
      <ns0:c r="P5" s="2" t="inlineStr">
        <ns0:is>
          <ns0:t>EXP1.005</ns0:t>
        </ns0:is>
      </ns0:c>
      <ns0:c r="Q5" s="2" t="inlineStr">
        <ns0:is>
          <ns0:t>演示占位-v1</ns0:t>
        </ns0:is>
      </ns0:c>
      <ns0:c r="R5" s="2" t="inlineStr">
        <ns0:is>
          <ns0:t>模拟权责发生制</ns0:t>
        </ns0:is>
      </ns0:c>
      <ns0:c r="S5" s="2" t="inlineStr">
        <ns0:is>
          <ns0:t>2027-01</ns0:t>
        </ns0:is>
      </ns0:c>
      <ns0:c r="T5" s="2" t="inlineStr">
        <ns0:is>
          <ns0:t>2027-06</ns0:t>
        </ns0:is>
      </ns0:c>
      <ns0:c r="U5" s="2" t="inlineStr">
        <ns0:is>
          <ns0:t>无</ns0:t>
        </ns0:is>
      </ns0:c>
      <ns0:c r="V5" s="2" t="inlineStr">
        <ns0:is>
          <ns0:t>无</ns0:t>
        </ns0:is>
      </ns0:c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扩展情景</ns0:t>
        </ns0:is>
      </ns0:c>
    </ns0:row>
    <ns0:row r="6" ht="20" customHeight="1">
      <ns0:c r="A6" s="2"/>
      <ns0:c r="B6" s="2" t="inlineStr">
        <ns0:is>
          <ns0:t>离职补偿金</ns0:t>
        </ns0:is>
      </ns0:c>
      <ns0:c r="C6" s="3">
        <ns0:f>ROUND(C206*C326,2)</ns0:f>
        <ns0:v>181.93</ns0:v>
      </ns0:c>
      <ns0:c r="D6" s="3">
        <ns0:f>ROUND(D206*D326,2)</ns0:f>
        <ns0:v>156.96</ns0:v>
      </ns0:c>
      <ns0:c r="E6" s="3">
        <ns0:f>ROUND(E206*E326,2)</ns0:f>
        <ns0:v>149.50</ns0:v>
      </ns0:c>
      <ns0:c r="F6" s="3">
        <ns0:f>ROUND(F206*F326,2)</ns0:f>
        <ns0:v>110.35</ns0:v>
      </ns0:c>
      <ns0:c r="G6" s="3">
        <ns0:f>ROUND(G206*G326,2)</ns0:f>
        <ns0:v>384.86</ns0:v>
      </ns0:c>
      <ns0:c r="H6" s="3">
        <ns0:f>ROUND(H206*H326,2)</ns0:f>
        <ns0:v>168.50</ns0:v>
      </ns0:c>
      <ns0:c r="I6" s="3">
        <ns0:f>ROUND(I206*I326,2)</ns0:f>
        <ns0:v>223.17</ns0:v>
      </ns0:c>
      <ns0:c r="J6" s="3">
        <ns0:f>ROUND(J206*J326,2)</ns0:f>
        <ns0:v>418.38</ns0:v>
      </ns0:c>
      <ns0:c r="K6" s="3">
        <ns0:f>ROUND(K206*K326,2)</ns0:f>
        <ns0:v>221.72</ns0:v>
      </ns0:c>
      <ns0:c r="L6" s="3">
        <ns0:f>ROUND(L206*L326,2)</ns0:f>
        <ns0:v>170.12</ns0:v>
      </ns0:c>
      <ns0:c r="M6" s="3">
        <ns0:f>ROUND(M206*M326,2)</ns0:f>
        <ns0:v>260.62</ns0:v>
      </ns0:c>
      <ns0:c r="N6" s="3">
        <ns0:f>ROUND(N206*N326,2)</ns0:f>
        <ns0:v>198.38</ns0:v>
      </ns0:c>
      <ns0:c r="O6" s="3">
        <ns0:f>SUM(C6:N6)</ns0:f>
        <ns0:v>2644.49</ns0:v>
      </ns0:c>
      <ns0:c r="P6" s="2" t="inlineStr">
        <ns0:is>
          <ns0:t>EXP1.006</ns0:t>
        </ns0:is>
      </ns0:c>
      <ns0:c r="Q6" s="2" t="inlineStr">
        <ns0:is>
          <ns0:t>演示占位-v1</ns0:t>
        </ns0:is>
      </ns0:c>
      <ns0:c r="R6" s="2" t="inlineStr">
        <ns0:is>
          <ns0:t>模拟权责发生制</ns0:t>
        </ns0:is>
      </ns0:c>
      <ns0:c r="S6" s="2" t="inlineStr">
        <ns0:is>
          <ns0:t>2027-01</ns0:t>
        </ns0:is>
      </ns0:c>
      <ns0:c r="T6" s="2" t="inlineStr">
        <ns0:is>
          <ns0:t>2027-06</ns0:t>
        </ns0:is>
      </ns0:c>
      <ns0:c r="U6" s="2" t="inlineStr">
        <ns0:is>
          <ns0:t>无</ns0:t>
        </ns0:is>
      </ns0:c>
      <ns0:c r="V6" s="2" t="inlineStr">
        <ns0:is>
          <ns0:t>无</ns0:t>
        </ns0:is>
      </ns0:c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/>
      <ns0:c r="B7" s="2" t="inlineStr">
        <ns0:is>
          <ns0:t>五险一金</ns0:t>
        </ns0:is>
      </ns0:c>
      <ns0:c r="C7" s="3">
        <ns0:f>ROUND(C207*C327,2)</ns0:f>
        <ns0:v>187.21</ns0:v>
      </ns0:c>
      <ns0:c r="D7" s="3">
        <ns0:f>ROUND(D207*D327,2)</ns0:f>
        <ns0:v>228.33</ns0:v>
      </ns0:c>
      <ns0:c r="E7" s="3">
        <ns0:f>ROUND(E207*E327,2)</ns0:f>
        <ns0:v>120.98</ns0:v>
      </ns0:c>
      <ns0:c r="F7" s="3">
        <ns0:f>ROUND(F207*F327,2)</ns0:f>
        <ns0:v>324.76</ns0:v>
      </ns0:c>
      <ns0:c r="G7" s="3">
        <ns0:f>ROUND(G207*G327,2)</ns0:f>
        <ns0:v>429.58</ns0:v>
      </ns0:c>
      <ns0:c r="H7" s="3">
        <ns0:f>ROUND(H207*H327,2)</ns0:f>
        <ns0:v>103.40</ns0:v>
      </ns0:c>
      <ns0:c r="I7" s="3">
        <ns0:f>ROUND(I207*I327,2)</ns0:f>
        <ns0:v>547.36</ns0:v>
      </ns0:c>
      <ns0:c r="J7" s="3">
        <ns0:f>ROUND(J207*J327,2)</ns0:f>
        <ns0:v>318.30</ns0:v>
      </ns0:c>
      <ns0:c r="K7" s="3">
        <ns0:f>ROUND(K207*K327,2)</ns0:f>
        <ns0:v>144.93</ns0:v>
      </ns0:c>
      <ns0:c r="L7" s="3">
        <ns0:f>ROUND(L207*L327,2)</ns0:f>
        <ns0:v>84.49</ns0:v>
      </ns0:c>
      <ns0:c r="M7" s="3">
        <ns0:f>ROUND(M207*M327,2)</ns0:f>
        <ns0:v>383.30</ns0:v>
      </ns0:c>
      <ns0:c r="N7" s="3">
        <ns0:f>ROUND(N207*N327,2)</ns0:f>
        <ns0:v>324.78</ns0:v>
      </ns0:c>
      <ns0:c r="O7" s="3">
        <ns0:f>SUM(C7:N7)</ns0:f>
        <ns0:v>3197.42</ns0:v>
      </ns0:c>
      <ns0:c r="P7" s="2" t="inlineStr">
        <ns0:is>
          <ns0:t>EXP1.007</ns0:t>
        </ns0:is>
      </ns0:c>
      <ns0:c r="Q7" s="2" t="inlineStr">
        <ns0:is>
          <ns0:t>演示占位-v1</ns0:t>
        </ns0:is>
      </ns0:c>
      <ns0:c r="R7" s="2" t="inlineStr">
        <ns0:is>
          <ns0:t>模拟权责发生制</ns0:t>
        </ns0:is>
      </ns0:c>
      <ns0:c r="S7" s="2" t="inlineStr">
        <ns0:is>
          <ns0:t>2027-01</ns0:t>
        </ns0:is>
      </ns0:c>
      <ns0:c r="T7" s="2" t="inlineStr">
        <ns0:is>
          <ns0:t>2027-06</ns0:t>
        </ns0:is>
      </ns0:c>
      <ns0:c r="U7" s="2" t="inlineStr">
        <ns0:is>
          <ns0:t>无</ns0:t>
        </ns0:is>
      </ns0:c>
      <ns0:c r="V7" s="2" t="inlineStr">
        <ns0:is>
          <ns0:t>无</ns0:t>
        </ns0:is>
      </ns0:c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季度</ns0:t>
        </ns0:is>
      </ns0:c>
    </ns0:row>
    <ns0:row r="8" ht="20" customHeight="1">
      <ns0:c r="A8" s="2"/>
      <ns0:c r="B8" s="2" t="inlineStr">
        <ns0:is>
          <ns0:t>福利费</ns0:t>
        </ns0:is>
      </ns0:c>
      <ns0:c r="C8" s="3">
        <ns0:f>ROUND(C208*C328,2)</ns0:f>
        <ns0:v>409.15</ns0:v>
      </ns0:c>
      <ns0:c r="D8" s="3">
        <ns0:f>ROUND(D208*D328,2)</ns0:f>
        <ns0:v>358.32</ns0:v>
      </ns0:c>
      <ns0:c r="E8" s="3">
        <ns0:f>ROUND(E208*E328,2)</ns0:f>
        <ns0:v>172.34</ns0:v>
      </ns0:c>
      <ns0:c r="F8" s="3">
        <ns0:f>ROUND(F208*F328,2)</ns0:f>
        <ns0:v>83.82</ns0:v>
      </ns0:c>
      <ns0:c r="G8" s="3">
        <ns0:f>ROUND(G208*G328,2)</ns0:f>
        <ns0:v>221.57</ns0:v>
      </ns0:c>
      <ns0:c r="H8" s="3">
        <ns0:f>ROUND(H208*H328,2)</ns0:f>
        <ns0:v>278.89</ns0:v>
      </ns0:c>
      <ns0:c r="I8" s="3">
        <ns0:f>ROUND(I208*I328,2)</ns0:f>
        <ns0:v>148.89</ns0:v>
      </ns0:c>
      <ns0:c r="J8" s="3">
        <ns0:f>ROUND(J208*J328,2)</ns0:f>
        <ns0:v>98.34</ns0:v>
      </ns0:c>
      <ns0:c r="K8" s="3">
        <ns0:f>ROUND(K208*K328,2)</ns0:f>
        <ns0:v>273.82</ns0:v>
      </ns0:c>
      <ns0:c r="L8" s="3">
        <ns0:f>ROUND(L208*L328,2)</ns0:f>
        <ns0:v>193.40</ns0:v>
      </ns0:c>
      <ns0:c r="M8" s="3">
        <ns0:f>ROUND(M208*M328,2)</ns0:f>
        <ns0:v>199.67</ns0:v>
      </ns0:c>
      <ns0:c r="N8" s="3">
        <ns0:f>ROUND(N208*N328,2)</ns0:f>
        <ns0:v>175.21</ns0:v>
      </ns0:c>
      <ns0:c r="O8" s="3">
        <ns0:f>SUM(C8:N8)</ns0:f>
        <ns0:v>2613.42</ns0:v>
      </ns0:c>
      <ns0:c r="P8" s="2" t="inlineStr">
        <ns0:is>
          <ns0:t>EXP1.008</ns0:t>
        </ns0:is>
      </ns0:c>
      <ns0:c r="Q8" s="2" t="inlineStr">
        <ns0:is>
          <ns0:t>演示占位-v1</ns0:t>
        </ns0:is>
      </ns0:c>
      <ns0:c r="R8" s="2" t="inlineStr">
        <ns0:is>
          <ns0:t>模拟权责发生制</ns0:t>
        </ns0:is>
      </ns0:c>
      <ns0:c r="S8" s="2" t="inlineStr">
        <ns0:is>
          <ns0:t>2027-01</ns0:t>
        </ns0:is>
      </ns0:c>
      <ns0:c r="T8" s="2" t="inlineStr">
        <ns0:is>
          <ns0:t>2027-06</ns0:t>
        </ns0:is>
      </ns0:c>
      <ns0:c r="U8" s="2" t="inlineStr">
        <ns0:is>
          <ns0:t>无</ns0:t>
        </ns0:is>
      </ns0:c>
      <ns0:c r="V8" s="2" t="inlineStr">
        <ns0:is>
          <ns0:t>无</ns0:t>
        </ns0:is>
      </ns0:c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/>
      <ns0:c r="B9" s="2" t="inlineStr">
        <ns0:is>
          <ns0:t>招聘费</ns0:t>
        </ns0:is>
      </ns0:c>
      <ns0:c r="C9" s="3">
        <ns0:f>ROUND(C209*C329,2)</ns0:f>
        <ns0:v>116.19</ns0:v>
      </ns0:c>
      <ns0:c r="D9" s="3">
        <ns0:f>ROUND(D209*D329,2)</ns0:f>
        <ns0:v>340.54</ns0:v>
      </ns0:c>
      <ns0:c r="E9" s="3">
        <ns0:f>ROUND(E209*E329,2)</ns0:f>
        <ns0:v>272.96</ns0:v>
      </ns0:c>
      <ns0:c r="F9" s="3">
        <ns0:f>ROUND(F209*F329,2)</ns0:f>
        <ns0:v>123.54</ns0:v>
      </ns0:c>
      <ns0:c r="G9" s="3">
        <ns0:f>ROUND(G209*G329,2)</ns0:f>
        <ns0:v>308.99</ns0:v>
      </ns0:c>
      <ns0:c r="H9" s="3">
        <ns0:f>ROUND(H209*H329,2)</ns0:f>
        <ns0:v>229.55</ns0:v>
      </ns0:c>
      <ns0:c r="I9" s="3">
        <ns0:f>ROUND(I209*I329,2)</ns0:f>
        <ns0:v>222.19</ns0:v>
      </ns0:c>
      <ns0:c r="J9" s="3">
        <ns0:f>ROUND(J209*J329,2)</ns0:f>
        <ns0:v>106.74</ns0:v>
      </ns0:c>
      <ns0:c r="K9" s="3">
        <ns0:f>ROUND(K209*K329,2)</ns0:f>
        <ns0:v>146.04</ns0:v>
      </ns0:c>
      <ns0:c r="L9" s="3">
        <ns0:f>ROUND(L209*L329,2)</ns0:f>
        <ns0:v>151.86</ns0:v>
      </ns0:c>
      <ns0:c r="M9" s="3">
        <ns0:f>ROUND(M209*M329,2)</ns0:f>
        <ns0:v>312.92</ns0:v>
      </ns0:c>
      <ns0:c r="N9" s="3">
        <ns0:f>ROUND(N209*N329,2)</ns0:f>
        <ns0:v>366.27</ns0:v>
      </ns0:c>
      <ns0:c r="O9" s="3">
        <ns0:f>SUM(C9:N9)</ns0:f>
        <ns0:v>2697.79</ns0:v>
      </ns0:c>
      <ns0:c r="P9" s="2" t="inlineStr">
        <ns0:is>
          <ns0:t>EXP1.009</ns0:t>
        </ns0:is>
      </ns0:c>
      <ns0:c r="Q9" s="2" t="inlineStr">
        <ns0:is>
          <ns0:t>演示占位-v1</ns0:t>
        </ns0:is>
      </ns0:c>
      <ns0:c r="R9" s="2" t="inlineStr">
        <ns0:is>
          <ns0:t>模拟权责发生制</ns0:t>
        </ns0:is>
      </ns0:c>
      <ns0:c r="S9" s="2" t="inlineStr">
        <ns0:is>
          <ns0:t>2027-01</ns0:t>
        </ns0:is>
      </ns0:c>
      <ns0:c r="T9" s="2" t="inlineStr">
        <ns0:is>
          <ns0:t>2027-06</ns0:t>
        </ns0:is>
      </ns0:c>
      <ns0:c r="U9" s="2" t="inlineStr">
        <ns0:is>
          <ns0:t>无</ns0:t>
        </ns0:is>
      </ns0:c>
      <ns0:c r="V9" s="2" t="inlineStr">
        <ns0:is>
          <ns0:t>无</ns0:t>
        </ns0:is>
      </ns0:c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/>
      <ns0:c r="B10" s="2" t="inlineStr">
        <ns0:is>
          <ns0:t>培训费</ns0:t>
        </ns0:is>
      </ns0:c>
      <ns0:c r="C10" s="3">
        <ns0:f>ROUND(C210*C330,2)</ns0:f>
        <ns0:v>164.68</ns0:v>
      </ns0:c>
      <ns0:c r="D10" s="3">
        <ns0:f>ROUND(D210*D330,2)</ns0:f>
        <ns0:v>403.09</ns0:v>
      </ns0:c>
      <ns0:c r="E10" s="3">
        <ns0:f>ROUND(E210*E330,2)</ns0:f>
        <ns0:v>498.93</ns0:v>
      </ns0:c>
      <ns0:c r="F10" s="3">
        <ns0:f>ROUND(F210*F330,2)</ns0:f>
        <ns0:v>306.42</ns0:v>
      </ns0:c>
      <ns0:c r="G10" s="3">
        <ns0:f>ROUND(G210*G330,2)</ns0:f>
        <ns0:v>47.52</ns0:v>
      </ns0:c>
      <ns0:c r="H10" s="3">
        <ns0:f>ROUND(H210*H330,2)</ns0:f>
        <ns0:v>342.76</ns0:v>
      </ns0:c>
      <ns0:c r="I10" s="3">
        <ns0:f>ROUND(I210*I330,2)</ns0:f>
        <ns0:v>179.95</ns0:v>
      </ns0:c>
      <ns0:c r="J10" s="3">
        <ns0:f>ROUND(J210*J330,2)</ns0:f>
        <ns0:v>213.72</ns0:v>
      </ns0:c>
      <ns0:c r="K10" s="3">
        <ns0:f>ROUND(K210*K330,2)</ns0:f>
        <ns0:v>267.26</ns0:v>
      </ns0:c>
      <ns0:c r="L10" s="3">
        <ns0:f>ROUND(L210*L330,2)</ns0:f>
        <ns0:v>471.10</ns0:v>
      </ns0:c>
      <ns0:c r="M10" s="3">
        <ns0:f>ROUND(M210*M330,2)</ns0:f>
        <ns0:v>168.89</ns0:v>
      </ns0:c>
      <ns0:c r="N10" s="3">
        <ns0:f>ROUND(N210*N330,2)</ns0:f>
        <ns0:v>230.32</ns0:v>
      </ns0:c>
      <ns0:c r="O10" s="3">
        <ns0:f>SUM(C10:N10)</ns0:f>
        <ns0:v>3294.64</ns0:v>
      </ns0:c>
      <ns0:c r="P10" s="2" t="inlineStr">
        <ns0:is>
          <ns0:t>EXP1.010</ns0:t>
        </ns0:is>
      </ns0:c>
      <ns0:c r="Q10" s="2" t="inlineStr">
        <ns0:is>
          <ns0:t>演示占位-v1</ns0:t>
        </ns0:is>
      </ns0:c>
      <ns0:c r="R10" s="2" t="inlineStr">
        <ns0:is>
          <ns0:t>模拟权责发生制</ns0:t>
        </ns0:is>
      </ns0:c>
      <ns0:c r="S10" s="2" t="inlineStr">
        <ns0:is>
          <ns0:t>2027-01</ns0:t>
        </ns0:is>
      </ns0:c>
      <ns0:c r="T10" s="2" t="inlineStr">
        <ns0:is>
          <ns0:t>2027-06</ns0:t>
        </ns0:is>
      </ns0:c>
      <ns0:c r="U10" s="2" t="inlineStr">
        <ns0:is>
          <ns0:t>无</ns0:t>
        </ns0:is>
      </ns0:c>
      <ns0:c r="V10" s="2" t="inlineStr">
        <ns0:is>
          <ns0:t>无</ns0:t>
        </ns0:is>
      </ns0:c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/>
      <ns0:c r="B11" s="2" t="inlineStr">
        <ns0:is>
          <ns0:t>房租</ns0:t>
        </ns0:is>
      </ns0:c>
      <ns0:c r="C11" s="3">
        <ns0:f>ROUND(C211*C331,2)</ns0:f>
        <ns0:v>199.75</ns0:v>
      </ns0:c>
      <ns0:c r="D11" s="3">
        <ns0:f>ROUND(D211*D331,2)</ns0:f>
        <ns0:v>393.62</ns0:v>
      </ns0:c>
      <ns0:c r="E11" s="3">
        <ns0:f>ROUND(E211*E331,2)</ns0:f>
        <ns0:v>210.02</ns0:v>
      </ns0:c>
      <ns0:c r="F11" s="3">
        <ns0:f>ROUND(F211*F331,2)</ns0:f>
        <ns0:v>145.17</ns0:v>
      </ns0:c>
      <ns0:c r="G11" s="3">
        <ns0:f>ROUND(G211*G331,2)</ns0:f>
        <ns0:v>216.74</ns0:v>
      </ns0:c>
      <ns0:c r="H11" s="3">
        <ns0:f>ROUND(H211*H331,2)</ns0:f>
        <ns0:v>648.30</ns0:v>
      </ns0:c>
      <ns0:c r="I11" s="3">
        <ns0:f>ROUND(I211*I331,2)</ns0:f>
        <ns0:v>496.02</ns0:v>
      </ns0:c>
      <ns0:c r="J11" s="3">
        <ns0:f>ROUND(J211*J331,2)</ns0:f>
        <ns0:v>163.92</ns0:v>
      </ns0:c>
      <ns0:c r="K11" s="3">
        <ns0:f>ROUND(K211*K331,2)</ns0:f>
        <ns0:v>88.57</ns0:v>
      </ns0:c>
      <ns0:c r="L11" s="3">
        <ns0:f>ROUND(L211*L331,2)</ns0:f>
        <ns0:v>88.86</ns0:v>
      </ns0:c>
      <ns0:c r="M11" s="3">
        <ns0:f>ROUND(M211*M331,2)</ns0:f>
        <ns0:v>219.92</ns0:v>
      </ns0:c>
      <ns0:c r="N11" s="3">
        <ns0:f>ROUND(N211*N331,2)</ns0:f>
        <ns0:v>362.82</ns0:v>
      </ns0:c>
      <ns0:c r="O11" s="3">
        <ns0:f>SUM(C11:N11)</ns0:f>
        <ns0:v>3233.71</ns0:v>
      </ns0:c>
      <ns0:c r="P11" s="2" t="inlineStr">
        <ns0:is>
          <ns0:t>EXP1.011</ns0:t>
        </ns0:is>
      </ns0:c>
      <ns0:c r="Q11" s="2" t="inlineStr">
        <ns0:is>
          <ns0:t>演示占位-v1</ns0:t>
        </ns0:is>
      </ns0:c>
      <ns0:c r="R11" s="2" t="inlineStr">
        <ns0:is>
          <ns0:t>模拟权责发生制</ns0:t>
        </ns0:is>
      </ns0:c>
      <ns0:c r="S11" s="2" t="inlineStr">
        <ns0:is>
          <ns0:t>2027-01</ns0:t>
        </ns0:is>
      </ns0:c>
      <ns0:c r="T11" s="2" t="inlineStr">
        <ns0:is>
          <ns0:t>2027-06</ns0:t>
        </ns0:is>
      </ns0:c>
      <ns0:c r="U11" s="2" t="inlineStr">
        <ns0:is>
          <ns0:t>无</ns0:t>
        </ns0:is>
      </ns0:c>
      <ns0:c r="V11" s="2" t="inlineStr">
        <ns0:is>
          <ns0:t>无</ns0:t>
        </ns0:is>
      </ns0:c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/>
      <ns0:c r="B12" s="2" t="inlineStr">
        <ns0:is>
          <ns0:t>物业管理费</ns0:t>
        </ns0:is>
      </ns0:c>
      <ns0:c r="C12" s="3">
        <ns0:f>ROUND(C212*C332,2)</ns0:f>
        <ns0:v>179.30</ns0:v>
      </ns0:c>
      <ns0:c r="D12" s="3">
        <ns0:f>ROUND(D212*D332,2)</ns0:f>
        <ns0:v>107.58</ns0:v>
      </ns0:c>
      <ns0:c r="E12" s="3">
        <ns0:f>ROUND(E212*E332,2)</ns0:f>
        <ns0:v>512.97</ns0:v>
      </ns0:c>
      <ns0:c r="F12" s="3">
        <ns0:f>ROUND(F212*F332,2)</ns0:f>
        <ns0:v>206.48</ns0:v>
      </ns0:c>
      <ns0:c r="G12" s="3">
        <ns0:f>ROUND(G212*G332,2)</ns0:f>
        <ns0:v>245.40</ns0:v>
      </ns0:c>
      <ns0:c r="H12" s="3">
        <ns0:f>ROUND(H212*H332,2)</ns0:f>
        <ns0:v>373.13</ns0:v>
      </ns0:c>
      <ns0:c r="I12" s="3">
        <ns0:f>ROUND(I212*I332,2)</ns0:f>
        <ns0:v>152.72</ns0:v>
      </ns0:c>
      <ns0:c r="J12" s="3">
        <ns0:f>ROUND(J212*J332,2)</ns0:f>
        <ns0:v>106.80</ns0:v>
      </ns0:c>
      <ns0:c r="K12" s="3">
        <ns0:f>ROUND(K212*K332,2)</ns0:f>
        <ns0:v>255.68</ns0:v>
      </ns0:c>
      <ns0:c r="L12" s="3">
        <ns0:f>ROUND(L212*L332,2)</ns0:f>
        <ns0:v>443.13</ns0:v>
      </ns0:c>
      <ns0:c r="M12" s="3">
        <ns0:f>ROUND(M212*M332,2)</ns0:f>
        <ns0:v>393.02</ns0:v>
      </ns0:c>
      <ns0:c r="N12" s="3">
        <ns0:f>ROUND(N212*N332,2)</ns0:f>
        <ns0:v>107.29</ns0:v>
      </ns0:c>
      <ns0:c r="O12" s="3">
        <ns0:f>SUM(C12:N12)</ns0:f>
        <ns0:v>3083.50</ns0:v>
      </ns0:c>
      <ns0:c r="P12" s="2" t="inlineStr">
        <ns0:is>
          <ns0:t>EXP1.012</ns0:t>
        </ns0:is>
      </ns0:c>
      <ns0:c r="Q12" s="2" t="inlineStr">
        <ns0:is>
          <ns0:t>演示占位-v1</ns0:t>
        </ns0:is>
      </ns0:c>
      <ns0:c r="R12" s="2" t="inlineStr">
        <ns0:is>
          <ns0:t>模拟权责发生制</ns0:t>
        </ns0:is>
      </ns0:c>
      <ns0:c r="S12" s="2" t="inlineStr">
        <ns0:is>
          <ns0:t>2027-01</ns0:t>
        </ns0:is>
      </ns0:c>
      <ns0:c r="T12" s="2" t="inlineStr">
        <ns0:is>
          <ns0:t>2027-06</ns0:t>
        </ns0:is>
      </ns0:c>
      <ns0:c r="U12" s="2" t="inlineStr">
        <ns0:is>
          <ns0:t>无</ns0:t>
        </ns0:is>
      </ns0:c>
      <ns0:c r="V12" s="2" t="inlineStr">
        <ns0:is>
          <ns0:t>无</ns0:t>
        </ns0:is>
      </ns0:c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/>
      <ns0:c r="B13" s="2" t="inlineStr">
        <ns0:is>
          <ns0:t>汽车费用</ns0:t>
        </ns0:is>
      </ns0:c>
      <ns0:c r="C13" s="3">
        <ns0:f>ROUND(C213*C333,2)</ns0:f>
        <ns0:v>594.42</ns0:v>
      </ns0:c>
      <ns0:c r="D13" s="3">
        <ns0:f>ROUND(D213*D333,2)</ns0:f>
        <ns0:v>136.89</ns0:v>
      </ns0:c>
      <ns0:c r="E13" s="3">
        <ns0:f>ROUND(E213*E333,2)</ns0:f>
        <ns0:v>134.14</ns0:v>
      </ns0:c>
      <ns0:c r="F13" s="3">
        <ns0:f>ROUND(F213*F333,2)</ns0:f>
        <ns0:v>228.41</ns0:v>
      </ns0:c>
      <ns0:c r="G13" s="3">
        <ns0:f>ROUND(G213*G333,2)</ns0:f>
        <ns0:v>103.58</ns0:v>
      </ns0:c>
      <ns0:c r="H13" s="3">
        <ns0:f>ROUND(H213*H333,2)</ns0:f>
        <ns0:v>111.59</ns0:v>
      </ns0:c>
      <ns0:c r="I13" s="3">
        <ns0:f>ROUND(I213*I333,2)</ns0:f>
        <ns0:v>275.79</ns0:v>
      </ns0:c>
      <ns0:c r="J13" s="3">
        <ns0:f>ROUND(J213*J333,2)</ns0:f>
        <ns0:v>121.96</ns0:v>
      </ns0:c>
      <ns0:c r="K13" s="3">
        <ns0:f>ROUND(K213*K333,2)</ns0:f>
        <ns0:v>191.68</ns0:v>
      </ns0:c>
      <ns0:c r="L13" s="3">
        <ns0:f>ROUND(L213*L333,2)</ns0:f>
        <ns0:v>427.84</ns0:v>
      </ns0:c>
      <ns0:c r="M13" s="3">
        <ns0:f>ROUND(M213*M333,2)</ns0:f>
        <ns0:v>156.93</ns0:v>
      </ns0:c>
      <ns0:c r="N13" s="3">
        <ns0:f>ROUND(N213*N333,2)</ns0:f>
        <ns0:v>211.36</ns0:v>
      </ns0:c>
      <ns0:c r="O13" s="3">
        <ns0:f>SUM(C13:N13)</ns0:f>
        <ns0:v>2694.59</ns0:v>
      </ns0:c>
      <ns0:c r="P13" s="2" t="inlineStr">
        <ns0:is>
          <ns0:t>EXP1.013</ns0:t>
        </ns0:is>
      </ns0:c>
      <ns0:c r="Q13" s="2" t="inlineStr">
        <ns0:is>
          <ns0:t>演示占位-v1</ns0:t>
        </ns0:is>
      </ns0:c>
      <ns0:c r="R13" s="2" t="inlineStr">
        <ns0:is>
          <ns0:t>模拟权责发生制</ns0:t>
        </ns0:is>
      </ns0:c>
      <ns0:c r="S13" s="2" t="inlineStr">
        <ns0:is>
          <ns0:t>2027-01</ns0:t>
        </ns0:is>
      </ns0:c>
      <ns0:c r="T13" s="2" t="inlineStr">
        <ns0:is>
          <ns0:t>2027-06</ns0:t>
        </ns0:is>
      </ns0:c>
      <ns0:c r="U13" s="2" t="inlineStr">
        <ns0:is>
          <ns0:t>无</ns0:t>
        </ns0:is>
      </ns0:c>
      <ns0:c r="V13" s="2" t="inlineStr">
        <ns0:is>
          <ns0:t>无</ns0:t>
        </ns0:is>
      </ns0:c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/>
      <ns0:c r="B14" s="2" t="inlineStr">
        <ns0:is>
          <ns0:t>办公费</ns0:t>
        </ns0:is>
      </ns0:c>
      <ns0:c r="C14" s="3">
        <ns0:f>ROUND(C214*C334,2)</ns0:f>
        <ns0:v>57.14</ns0:v>
      </ns0:c>
      <ns0:c r="D14" s="3">
        <ns0:f>ROUND(D214*D334,2)</ns0:f>
        <ns0:v>312.35</ns0:v>
      </ns0:c>
      <ns0:c r="E14" s="3">
        <ns0:f>ROUND(E214*E334,2)</ns0:f>
        <ns0:v>495.49</ns0:v>
      </ns0:c>
      <ns0:c r="F14" s="3">
        <ns0:f>ROUND(F214*F334,2)</ns0:f>
        <ns0:v>292.17</ns0:v>
      </ns0:c>
      <ns0:c r="G14" s="3">
        <ns0:f>ROUND(G214*G334,2)</ns0:f>
        <ns0:v>50.86</ns0:v>
      </ns0:c>
      <ns0:c r="H14" s="3">
        <ns0:f>ROUND(H214*H334,2)</ns0:f>
        <ns0:v>222.07</ns0:v>
      </ns0:c>
      <ns0:c r="I14" s="3">
        <ns0:f>ROUND(I214*I334,2)</ns0:f>
        <ns0:v>354.67</ns0:v>
      </ns0:c>
      <ns0:c r="J14" s="3">
        <ns0:f>ROUND(J214*J334,2)</ns0:f>
        <ns0:v>158.29</ns0:v>
      </ns0:c>
      <ns0:c r="K14" s="3">
        <ns0:f>ROUND(K214*K334,2)</ns0:f>
        <ns0:v>341.83</ns0:v>
      </ns0:c>
      <ns0:c r="L14" s="3">
        <ns0:f>ROUND(L214*L334,2)</ns0:f>
        <ns0:v>244.45</ns0:v>
      </ns0:c>
      <ns0:c r="M14" s="3">
        <ns0:f>ROUND(M214*M334,2)</ns0:f>
        <ns0:v>275.83</ns0:v>
      </ns0:c>
      <ns0:c r="N14" s="3">
        <ns0:f>ROUND(N214*N334,2)</ns0:f>
        <ns0:v>108.57</ns0:v>
      </ns0:c>
      <ns0:c r="O14" s="3">
        <ns0:f>SUM(C14:N14)</ns0:f>
        <ns0:v>2913.72</ns0:v>
      </ns0:c>
      <ns0:c r="P14" s="2" t="inlineStr">
        <ns0:is>
          <ns0:t>EXP1.014</ns0:t>
        </ns0:is>
      </ns0:c>
      <ns0:c r="Q14" s="2" t="inlineStr">
        <ns0:is>
          <ns0:t>演示占位-v1</ns0:t>
        </ns0:is>
      </ns0:c>
      <ns0:c r="R14" s="2" t="inlineStr">
        <ns0:is>
          <ns0:t>模拟权责发生制</ns0:t>
        </ns0:is>
      </ns0:c>
      <ns0:c r="S14" s="2" t="inlineStr">
        <ns0:is>
          <ns0:t>2027-01</ns0:t>
        </ns0:is>
      </ns0:c>
      <ns0:c r="T14" s="2" t="inlineStr">
        <ns0:is>
          <ns0:t>2027-06</ns0:t>
        </ns0:is>
      </ns0:c>
      <ns0:c r="U14" s="2" t="inlineStr">
        <ns0:is>
          <ns0:t>无</ns0:t>
        </ns0:is>
      </ns0:c>
      <ns0:c r="V14" s="2" t="inlineStr">
        <ns0:is>
          <ns0:t>无</ns0:t>
        </ns0:is>
      </ns0:c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/>
      <ns0:c r="B15" s="2" t="inlineStr">
        <ns0:is>
          <ns0:t>办公用品</ns0:t>
        </ns0:is>
      </ns0:c>
      <ns0:c r="C15" s="3">
        <ns0:f>ROUND(C215*C335,2)</ns0:f>
        <ns0:v>220.89</ns0:v>
      </ns0:c>
      <ns0:c r="D15" s="3">
        <ns0:f>ROUND(D215*D335,2)</ns0:f>
        <ns0:v>163.25</ns0:v>
      </ns0:c>
      <ns0:c r="E15" s="3">
        <ns0:f>ROUND(E215*E335,2)</ns0:f>
        <ns0:v>367.01</ns0:v>
      </ns0:c>
      <ns0:c r="F15" s="3">
        <ns0:f>ROUND(F215*F335,2)</ns0:f>
        <ns0:v>75.75</ns0:v>
      </ns0:c>
      <ns0:c r="G15" s="3">
        <ns0:f>ROUND(G215*G335,2)</ns0:f>
        <ns0:v>86.95</ns0:v>
      </ns0:c>
      <ns0:c r="H15" s="3">
        <ns0:f>ROUND(H215*H335,2)</ns0:f>
        <ns0:v>126.25</ns0:v>
      </ns0:c>
      <ns0:c r="I15" s="3">
        <ns0:f>ROUND(I215*I335,2)</ns0:f>
        <ns0:v>105.96</ns0:v>
      </ns0:c>
      <ns0:c r="J15" s="3">
        <ns0:f>ROUND(J215*J335,2)</ns0:f>
        <ns0:v>202.36</ns0:v>
      </ns0:c>
      <ns0:c r="K15" s="3">
        <ns0:f>ROUND(K215*K335,2)</ns0:f>
        <ns0:v>93.07</ns0:v>
      </ns0:c>
      <ns0:c r="L15" s="3">
        <ns0:f>ROUND(L215*L335,2)</ns0:f>
        <ns0:v>243.90</ns0:v>
      </ns0:c>
      <ns0:c r="M15" s="3">
        <ns0:f>ROUND(M215*M335,2)</ns0:f>
        <ns0:v>182.52</ns0:v>
      </ns0:c>
      <ns0:c r="N15" s="3">
        <ns0:f>ROUND(N215*N335,2)</ns0:f>
        <ns0:v>368.50</ns0:v>
      </ns0:c>
      <ns0:c r="O15" s="3">
        <ns0:f>SUM(C15:N15)</ns0:f>
        <ns0:v>2236.41</ns0:v>
      </ns0:c>
      <ns0:c r="P15" s="2" t="inlineStr">
        <ns0:is>
          <ns0:t>EXP1.015</ns0:t>
        </ns0:is>
      </ns0:c>
      <ns0:c r="Q15" s="2" t="inlineStr">
        <ns0:is>
          <ns0:t>演示占位-v1</ns0:t>
        </ns0:is>
      </ns0:c>
      <ns0:c r="R15" s="2" t="inlineStr">
        <ns0:is>
          <ns0:t>模拟权责发生制</ns0:t>
        </ns0:is>
      </ns0:c>
      <ns0:c r="S15" s="2" t="inlineStr">
        <ns0:is>
          <ns0:t>2027-01</ns0:t>
        </ns0:is>
      </ns0:c>
      <ns0:c r="T15" s="2" t="inlineStr">
        <ns0:is>
          <ns0:t>2027-06</ns0:t>
        </ns0:is>
      </ns0:c>
      <ns0:c r="U15" s="2" t="inlineStr">
        <ns0:is>
          <ns0:t>无</ns0:t>
        </ns0:is>
      </ns0:c>
      <ns0:c r="V15" s="2" t="inlineStr">
        <ns0:is>
          <ns0:t>无</ns0:t>
        </ns0:is>
      </ns0:c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/>
      <ns0:c r="B16" s="2" t="inlineStr">
        <ns0:is>
          <ns0:t>水电煤</ns0:t>
        </ns0:is>
      </ns0:c>
      <ns0:c r="C16" s="3">
        <ns0:f>ROUND(C216*C336,2)</ns0:f>
        <ns0:v>216.21</ns0:v>
      </ns0:c>
      <ns0:c r="D16" s="3">
        <ns0:f>ROUND(D216*D336,2)</ns0:f>
        <ns0:v>110.42</ns0:v>
      </ns0:c>
      <ns0:c r="E16" s="3">
        <ns0:f>ROUND(E216*E336,2)</ns0:f>
        <ns0:v>261.98</ns0:v>
      </ns0:c>
      <ns0:c r="F16" s="3">
        <ns0:f>ROUND(F216*F336,2)</ns0:f>
        <ns0:v>405.78</ns0:v>
      </ns0:c>
      <ns0:c r="G16" s="3">
        <ns0:f>ROUND(G216*G336,2)</ns0:f>
        <ns0:v>130.97</ns0:v>
      </ns0:c>
      <ns0:c r="H16" s="3">
        <ns0:f>ROUND(H216*H336,2)</ns0:f>
        <ns0:v>251.63</ns0:v>
      </ns0:c>
      <ns0:c r="I16" s="3">
        <ns0:f>ROUND(I216*I336,2)</ns0:f>
        <ns0:v>93.39</ns0:v>
      </ns0:c>
      <ns0:c r="J16" s="3">
        <ns0:f>ROUND(J216*J336,2)</ns0:f>
        <ns0:v>290.01</ns0:v>
      </ns0:c>
      <ns0:c r="K16" s="3">
        <ns0:f>ROUND(K216*K336,2)</ns0:f>
        <ns0:v>229.67</ns0:v>
      </ns0:c>
      <ns0:c r="L16" s="3">
        <ns0:f>ROUND(L216*L336,2)</ns0:f>
        <ns0:v>455.89</ns0:v>
      </ns0:c>
      <ns0:c r="M16" s="3">
        <ns0:f>ROUND(M216*M336,2)</ns0:f>
        <ns0:v>135.29</ns0:v>
      </ns0:c>
      <ns0:c r="N16" s="3">
        <ns0:f>ROUND(N216*N336,2)</ns0:f>
        <ns0:v>410.79</ns0:v>
      </ns0:c>
      <ns0:c r="O16" s="3">
        <ns0:f>SUM(C16:N16)</ns0:f>
        <ns0:v>2992.03</ns0:v>
      </ns0:c>
      <ns0:c r="P16" s="2" t="inlineStr">
        <ns0:is>
          <ns0:t>EXP1.016</ns0:t>
        </ns0:is>
      </ns0:c>
      <ns0:c r="Q16" s="2" t="inlineStr">
        <ns0:is>
          <ns0:t>演示占位-v1</ns0:t>
        </ns0:is>
      </ns0:c>
      <ns0:c r="R16" s="2" t="inlineStr">
        <ns0:is>
          <ns0:t>模拟权责发生制</ns0:t>
        </ns0:is>
      </ns0:c>
      <ns0:c r="S16" s="2" t="inlineStr">
        <ns0:is>
          <ns0:t>2027-01</ns0:t>
        </ns0:is>
      </ns0:c>
      <ns0:c r="T16" s="2" t="inlineStr">
        <ns0:is>
          <ns0:t>2027-06</ns0:t>
        </ns0:is>
      </ns0:c>
      <ns0:c r="U16" s="2" t="inlineStr">
        <ns0:is>
          <ns0:t>无</ns0:t>
        </ns0:is>
      </ns0:c>
      <ns0:c r="V16" s="2" t="inlineStr">
        <ns0:is>
          <ns0:t>无</ns0:t>
        </ns0:is>
      </ns0:c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预算基础</ns0:t>
        </ns0:is>
      </ns0:c>
    </ns0:row>
    <ns0:row r="17" ht="20" customHeight="1">
      <ns0:c r="A17" s="2"/>
      <ns0:c r="B17" s="2" t="inlineStr">
        <ns0:is>
          <ns0:t>咨询服务费</ns0:t>
        </ns0:is>
      </ns0:c>
      <ns0:c r="C17" s="3">
        <ns0:f>ROUND(C217*C337,2)</ns0:f>
        <ns0:v>172.11</ns0:v>
      </ns0:c>
      <ns0:c r="D17" s="3">
        <ns0:f>ROUND(D217*D337,2)</ns0:f>
        <ns0:v>312.87</ns0:v>
      </ns0:c>
      <ns0:c r="E17" s="3">
        <ns0:f>ROUND(E217*E337,2)</ns0:f>
        <ns0:v>287.64</ns0:v>
      </ns0:c>
      <ns0:c r="F17" s="3">
        <ns0:f>ROUND(F217*F337,2)</ns0:f>
        <ns0:v>122.91</ns0:v>
      </ns0:c>
      <ns0:c r="G17" s="3">
        <ns0:f>ROUND(G217*G337,2)</ns0:f>
        <ns0:v>154.02</ns0:v>
      </ns0:c>
      <ns0:c r="H17" s="3">
        <ns0:f>ROUND(H217*H337,2)</ns0:f>
        <ns0:v>125.38</ns0:v>
      </ns0:c>
      <ns0:c r="I17" s="3">
        <ns0:f>ROUND(I217*I337,2)</ns0:f>
        <ns0:v>635.58</ns0:v>
      </ns0:c>
      <ns0:c r="J17" s="3">
        <ns0:f>ROUND(J217*J337,2)</ns0:f>
        <ns0:v>291.12</ns0:v>
      </ns0:c>
      <ns0:c r="K17" s="3">
        <ns0:f>ROUND(K217*K337,2)</ns0:f>
        <ns0:v>156.95</ns0:v>
      </ns0:c>
      <ns0:c r="L17" s="3">
        <ns0:f>ROUND(L217*L337,2)</ns0:f>
        <ns0:v>349.25</ns0:v>
      </ns0:c>
      <ns0:c r="M17" s="3">
        <ns0:f>ROUND(M217*M337,2)</ns0:f>
        <ns0:v>194.62</ns0:v>
      </ns0:c>
      <ns0:c r="N17" s="3">
        <ns0:f>ROUND(N217*N337,2)</ns0:f>
        <ns0:v>147.00</ns0:v>
      </ns0:c>
      <ns0:c r="O17" s="3">
        <ns0:f>SUM(C17:N17)</ns0:f>
        <ns0:v>2949.45</ns0:v>
      </ns0:c>
      <ns0:c r="P17" s="2" t="inlineStr">
        <ns0:is>
          <ns0:t>EXP1.017</ns0:t>
        </ns0:is>
      </ns0:c>
      <ns0:c r="Q17" s="2" t="inlineStr">
        <ns0:is>
          <ns0:t>演示占位-v1</ns0:t>
        </ns0:is>
      </ns0:c>
      <ns0:c r="R17" s="2" t="inlineStr">
        <ns0:is>
          <ns0:t>模拟权责发生制</ns0:t>
        </ns0:is>
      </ns0:c>
      <ns0:c r="S17" s="2" t="inlineStr">
        <ns0:is>
          <ns0:t>2027-01</ns0:t>
        </ns0:is>
      </ns0:c>
      <ns0:c r="T17" s="2" t="inlineStr">
        <ns0:is>
          <ns0:t>2027-06</ns0:t>
        </ns0:is>
      </ns0:c>
      <ns0:c r="U17" s="2" t="inlineStr">
        <ns0:is>
          <ns0:t>无</ns0:t>
        </ns0:is>
      </ns0:c>
      <ns0:c r="V17" s="2" t="inlineStr">
        <ns0:is>
          <ns0:t>无</ns0:t>
        </ns0:is>
      </ns0:c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蓝色为预算基础输入参数；示例数值为占位；金额单位：元</ns0:t>
        </ns0:is>
      </ns0:c>
    </ns0:row>
    <ns0:row r="18" ht="20" customHeight="1">
      <ns0:c r="A18" s="2"/>
      <ns0:c r="B18" s="2" t="inlineStr">
        <ns0:is>
          <ns0:t>电话费</ns0:t>
        </ns0:is>
      </ns0:c>
      <ns0:c r="C18" s="3">
        <ns0:f>ROUND(C218*C338,2)</ns0:f>
        <ns0:v>168.52</ns0:v>
      </ns0:c>
      <ns0:c r="D18" s="3">
        <ns0:f>ROUND(D218*D338,2)</ns0:f>
        <ns0:v>294.00</ns0:v>
      </ns0:c>
      <ns0:c r="E18" s="3">
        <ns0:f>ROUND(E218*E338,2)</ns0:f>
        <ns0:v>431.72</ns0:v>
      </ns0:c>
      <ns0:c r="F18" s="3">
        <ns0:f>ROUND(F218*F338,2)</ns0:f>
        <ns0:v>394.35</ns0:v>
      </ns0:c>
      <ns0:c r="G18" s="3">
        <ns0:f>ROUND(G218*G338,2)</ns0:f>
        <ns0:v>122.95</ns0:v>
      </ns0:c>
      <ns0:c r="H18" s="3">
        <ns0:f>ROUND(H218*H338,2)</ns0:f>
        <ns0:v>114.11</ns0:v>
      </ns0:c>
      <ns0:c r="I18" s="3">
        <ns0:f>ROUND(I218*I338,2)</ns0:f>
        <ns0:v>120.87</ns0:v>
      </ns0:c>
      <ns0:c r="J18" s="3">
        <ns0:f>ROUND(J218*J338,2)</ns0:f>
        <ns0:v>278.59</ns0:v>
      </ns0:c>
      <ns0:c r="K18" s="3">
        <ns0:f>ROUND(K218*K338,2)</ns0:f>
        <ns0:v>120.82</ns0:v>
      </ns0:c>
      <ns0:c r="L18" s="3">
        <ns0:f>ROUND(L218*L338,2)</ns0:f>
        <ns0:v>165.44</ns0:v>
      </ns0:c>
      <ns0:c r="M18" s="3">
        <ns0:f>ROUND(M218*M338,2)</ns0:f>
        <ns0:v>213.31</ns0:v>
      </ns0:c>
      <ns0:c r="N18" s="3">
        <ns0:f>ROUND(N218*N338,2)</ns0:f>
        <ns0:v>447.35</ns0:v>
      </ns0:c>
      <ns0:c r="O18" s="3">
        <ns0:f>SUM(C18:N18)</ns0:f>
        <ns0:v>2872.03</ns0:v>
      </ns0:c>
      <ns0:c r="P18" s="2" t="inlineStr">
        <ns0:is>
          <ns0:t>EXP1.018</ns0:t>
        </ns0:is>
      </ns0:c>
      <ns0:c r="Q18" s="2" t="inlineStr">
        <ns0:is>
          <ns0:t>演示占位-v1</ns0:t>
        </ns0:is>
      </ns0:c>
      <ns0:c r="R18" s="2" t="inlineStr">
        <ns0:is>
          <ns0:t>模拟权责发生制</ns0:t>
        </ns0:is>
      </ns0:c>
      <ns0:c r="S18" s="2" t="inlineStr">
        <ns0:is>
          <ns0:t>2027-01</ns0:t>
        </ns0:is>
      </ns0:c>
      <ns0:c r="T18" s="2" t="inlineStr">
        <ns0:is>
          <ns0:t>2027-06</ns0:t>
        </ns0:is>
      </ns0:c>
      <ns0:c r="U18" s="2" t="inlineStr">
        <ns0:is>
          <ns0:t>无</ns0:t>
        </ns0:is>
      </ns0:c>
      <ns0:c r="V18" s="2" t="inlineStr">
        <ns0:is>
          <ns0:t>无</ns0:t>
        </ns0:is>
      </ns0:c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/>
      <ns0:c r="B19" s="2" t="inlineStr">
        <ns0:is>
          <ns0:t>快递费</ns0:t>
        </ns0:is>
      </ns0:c>
      <ns0:c r="C19" s="3">
        <ns0:f>ROUND(C219*C339,2)</ns0:f>
        <ns0:v>89.43</ns0:v>
      </ns0:c>
      <ns0:c r="D19" s="3">
        <ns0:f>ROUND(D219*D339,2)</ns0:f>
        <ns0:v>226.27</ns0:v>
      </ns0:c>
      <ns0:c r="E19" s="3">
        <ns0:f>ROUND(E219*E339,2)</ns0:f>
        <ns0:v>103.53</ns0:v>
      </ns0:c>
      <ns0:c r="F19" s="3">
        <ns0:f>ROUND(F219*F339,2)</ns0:f>
        <ns0:v>323.91</ns0:v>
      </ns0:c>
      <ns0:c r="G19" s="3">
        <ns0:f>ROUND(G219*G339,2)</ns0:f>
        <ns0:v>161.81</ns0:v>
      </ns0:c>
      <ns0:c r="H19" s="3">
        <ns0:f>ROUND(H219*H339,2)</ns0:f>
        <ns0:v>142.84</ns0:v>
      </ns0:c>
      <ns0:c r="I19" s="3">
        <ns0:f>ROUND(I219*I339,2)</ns0:f>
        <ns0:v>235.94</ns0:v>
      </ns0:c>
      <ns0:c r="J19" s="3">
        <ns0:f>ROUND(J219*J339,2)</ns0:f>
        <ns0:v>146.61</ns0:v>
      </ns0:c>
      <ns0:c r="K19" s="3">
        <ns0:f>ROUND(K219*K339,2)</ns0:f>
        <ns0:v>459.49</ns0:v>
      </ns0:c>
      <ns0:c r="L19" s="3">
        <ns0:f>ROUND(L219*L339,2)</ns0:f>
        <ns0:v>88.75</ns0:v>
      </ns0:c>
      <ns0:c r="M19" s="3">
        <ns0:f>ROUND(M219*M339,2)</ns0:f>
        <ns0:v>183.64</ns0:v>
      </ns0:c>
      <ns0:c r="N19" s="3">
        <ns0:f>ROUND(N219*N339,2)</ns0:f>
        <ns0:v>402.46</ns0:v>
      </ns0:c>
      <ns0:c r="O19" s="3">
        <ns0:f>SUM(C19:N19)</ns0:f>
        <ns0:v>2564.68</ns0:v>
      </ns0:c>
      <ns0:c r="P19" s="2" t="inlineStr">
        <ns0:is>
          <ns0:t>EXP1.019</ns0:t>
        </ns0:is>
      </ns0:c>
      <ns0:c r="Q19" s="2" t="inlineStr">
        <ns0:is>
          <ns0:t>演示占位-v1</ns0:t>
        </ns0:is>
      </ns0:c>
      <ns0:c r="R19" s="2" t="inlineStr">
        <ns0:is>
          <ns0:t>模拟权责发生制</ns0:t>
        </ns0:is>
      </ns0:c>
      <ns0:c r="S19" s="2" t="inlineStr">
        <ns0:is>
          <ns0:t>2027-01</ns0:t>
        </ns0:is>
      </ns0:c>
      <ns0:c r="T19" s="2" t="inlineStr">
        <ns0:is>
          <ns0:t>2027-06</ns0:t>
        </ns0:is>
      </ns0:c>
      <ns0:c r="U19" s="2" t="inlineStr">
        <ns0:is>
          <ns0:t>无</ns0:t>
        </ns0:is>
      </ns0:c>
      <ns0:c r="V19" s="2" t="inlineStr">
        <ns0:is>
          <ns0:t>无</ns0:t>
        </ns0:is>
      </ns0:c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/>
      <ns0:c r="B20" s="2" t="inlineStr">
        <ns0:is>
          <ns0:t>折旧及摊销</ns0:t>
        </ns0:is>
      </ns0:c>
      <ns0:c r="C20" s="3">
        <ns0:f>ROUND('摊销明细'!C33/3,2)</ns0:f>
        <ns0:v>596.29</ns0:v>
      </ns0:c>
      <ns0:c r="D20" s="3">
        <ns0:f>ROUND('摊销明细'!D33/3,2)</ns0:f>
        <ns0:v>596.29</ns0:v>
      </ns0:c>
      <ns0:c r="E20" s="3">
        <ns0:f>ROUND('摊销明细'!E33/3,2)</ns0:f>
        <ns0:v>596.29</ns0:v>
      </ns0:c>
      <ns0:c r="F20" s="3">
        <ns0:f>ROUND('摊销明细'!F33/3,2)</ns0:f>
        <ns0:v>596.29</ns0:v>
      </ns0:c>
      <ns0:c r="G20" s="3">
        <ns0:f>ROUND('摊销明细'!G33/3,2)</ns0:f>
        <ns0:v>596.29</ns0:v>
      </ns0:c>
      <ns0:c r="H20" s="3">
        <ns0:f>ROUND('摊销明细'!H33/3,2)</ns0:f>
        <ns0:v>596.29</ns0:v>
      </ns0:c>
      <ns0:c r="I20" s="3">
        <ns0:f>ROUND('摊销明细'!I33/3,2)</ns0:f>
        <ns0:v>596.29</ns0:v>
      </ns0:c>
      <ns0:c r="J20" s="3">
        <ns0:f>ROUND('摊销明细'!J33/3,2)</ns0:f>
        <ns0:v>596.29</ns0:v>
      </ns0:c>
      <ns0:c r="K20" s="3">
        <ns0:f>ROUND('摊销明细'!K33/3,2)</ns0:f>
        <ns0:v>596.29</ns0:v>
      </ns0:c>
      <ns0:c r="L20" s="3">
        <ns0:f>ROUND('摊销明细'!L33/3,2)</ns0:f>
        <ns0:v>596.29</ns0:v>
      </ns0:c>
      <ns0:c r="M20" s="3">
        <ns0:f>ROUND('摊销明细'!M33/3,2)</ns0:f>
        <ns0:v>596.29</ns0:v>
      </ns0:c>
      <ns0:c r="N20" s="3">
        <ns0:f>ROUND('摊销明细'!N33/3,2)</ns0:f>
        <ns0:v>596.29</ns0:v>
      </ns0:c>
      <ns0:c r="O20" s="3">
        <ns0:f>SUM(C20:N20)</ns0:f>
        <ns0:v>7155.48</ns0:v>
      </ns0:c>
      <ns0:c r="P20" s="2" t="inlineStr">
        <ns0:is>
          <ns0:t>EXP1.020</ns0:t>
        </ns0:is>
      </ns0:c>
      <ns0:c r="Q20" s="2" t="inlineStr">
        <ns0:is>
          <ns0:t>演示占位-v1</ns0:t>
        </ns0:is>
      </ns0:c>
      <ns0:c r="R20" s="2" t="inlineStr">
        <ns0:is>
          <ns0:t>模拟权责发生制</ns0:t>
        </ns0:is>
      </ns0:c>
      <ns0:c r="S20" s="2" t="inlineStr">
        <ns0:is>
          <ns0:t>2027-01</ns0:t>
        </ns0:is>
      </ns0:c>
      <ns0:c r="T20" s="2" t="inlineStr">
        <ns0:is>
          <ns0:t>2027-06</ns0:t>
        </ns0:is>
      </ns0:c>
      <ns0:c r="U20" s="2" t="inlineStr">
        <ns0:is>
          <ns0:t>无</ns0:t>
        </ns0:is>
      </ns0:c>
      <ns0:c r="V20" s="2" t="inlineStr">
        <ns0:is>
          <ns0:t>无</ns0:t>
        </ns0:is>
      </ns0:c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 t="inlineStr">
        <ns0:is>
          <ns0:t>差旅费</ns0:t>
        </ns0:is>
      </ns0:c>
      <ns0:c r="B21" s="2" t="inlineStr">
        <ns0:is>
          <ns0:t>机票火车票</ns0:t>
        </ns0:is>
      </ns0:c>
      <ns0:c r="C21" s="3">
        <ns0:f>ROUND(C221*C341,2)</ns0:f>
        <ns0:v>362.14</ns0:v>
      </ns0:c>
      <ns0:c r="D21" s="3">
        <ns0:f>ROUND(D221*D341,2)</ns0:f>
        <ns0:v>160.85</ns0:v>
      </ns0:c>
      <ns0:c r="E21" s="3">
        <ns0:f>ROUND(E221*E341,2)</ns0:f>
        <ns0:v>426.57</ns0:v>
      </ns0:c>
      <ns0:c r="F21" s="3">
        <ns0:f>ROUND(F221*F341,2)</ns0:f>
        <ns0:v>212.90</ns0:v>
      </ns0:c>
      <ns0:c r="G21" s="3">
        <ns0:f>ROUND(G221*G341,2)</ns0:f>
        <ns0:v>240.46</ns0:v>
      </ns0:c>
      <ns0:c r="H21" s="3">
        <ns0:f>ROUND(H221*H341,2)</ns0:f>
        <ns0:v>340.33</ns0:v>
      </ns0:c>
      <ns0:c r="I21" s="3">
        <ns0:f>ROUND(I221*I341,2)</ns0:f>
        <ns0:v>223.51</ns0:v>
      </ns0:c>
      <ns0:c r="J21" s="3">
        <ns0:f>ROUND(J221*J341,2)</ns0:f>
        <ns0:v>357.97</ns0:v>
      </ns0:c>
      <ns0:c r="K21" s="3">
        <ns0:f>ROUND(K221*K341,2)</ns0:f>
        <ns0:v>132.25</ns0:v>
      </ns0:c>
      <ns0:c r="L21" s="3">
        <ns0:f>ROUND(L221*L341,2)</ns0:f>
        <ns0:v>206.43</ns0:v>
      </ns0:c>
      <ns0:c r="M21" s="3">
        <ns0:f>ROUND(M221*M341,2)</ns0:f>
        <ns0:v>97.20</ns0:v>
      </ns0:c>
      <ns0:c r="N21" s="3">
        <ns0:f>ROUND(N221*N341,2)</ns0:f>
        <ns0:v>93.15</ns0:v>
      </ns0:c>
      <ns0:c r="O21" s="3">
        <ns0:f>SUM(C21:N21)</ns0:f>
        <ns0:v>2853.76</ns0:v>
      </ns0:c>
      <ns0:c r="P21" s="2" t="inlineStr">
        <ns0:is>
          <ns0:t>EXP1.021</ns0:t>
        </ns0:is>
      </ns0:c>
      <ns0:c r="Q21" s="2" t="inlineStr">
        <ns0:is>
          <ns0:t>演示占位-v1</ns0:t>
        </ns0:is>
      </ns0:c>
      <ns0:c r="R21" s="2" t="inlineStr">
        <ns0:is>
          <ns0:t>模拟权责发生制</ns0:t>
        </ns0:is>
      </ns0:c>
      <ns0:c r="S21" s="2" t="inlineStr">
        <ns0:is>
          <ns0:t>2027-01</ns0:t>
        </ns0:is>
      </ns0:c>
      <ns0:c r="T21" s="2" t="inlineStr">
        <ns0:is>
          <ns0:t>2027-06</ns0:t>
        </ns0:is>
      </ns0:c>
      <ns0:c r="U21" s="2" t="inlineStr">
        <ns0:is>
          <ns0:t>无</ns0:t>
        </ns0:is>
      </ns0:c>
      <ns0:c r="V21" s="2" t="inlineStr">
        <ns0:is>
          <ns0:t>无</ns0:t>
        </ns0:is>
      </ns0:c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/>
      <ns0:c r="B22" s="2" t="inlineStr">
        <ns0:is>
          <ns0:t>住宿费</ns0:t>
        </ns0:is>
      </ns0:c>
      <ns0:c r="C22" s="3">
        <ns0:f>ROUND(C222*C342,2)</ns0:f>
        <ns0:v>257.84</ns0:v>
      </ns0:c>
      <ns0:c r="D22" s="3">
        <ns0:f>ROUND(D222*D342,2)</ns0:f>
        <ns0:v>111.80</ns0:v>
      </ns0:c>
      <ns0:c r="E22" s="3">
        <ns0:f>ROUND(E222*E342,2)</ns0:f>
        <ns0:v>333.35</ns0:v>
      </ns0:c>
      <ns0:c r="F22" s="3">
        <ns0:f>ROUND(F222*F342,2)</ns0:f>
        <ns0:v>208.79</ns0:v>
      </ns0:c>
      <ns0:c r="G22" s="3">
        <ns0:f>ROUND(G222*G342,2)</ns0:f>
        <ns0:v>139.24</ns0:v>
      </ns0:c>
      <ns0:c r="H22" s="3">
        <ns0:f>ROUND(H222*H342,2)</ns0:f>
        <ns0:v>213.44</ns0:v>
      </ns0:c>
      <ns0:c r="I22" s="3">
        <ns0:f>ROUND(I222*I342,2)</ns0:f>
        <ns0:v>167.78</ns0:v>
      </ns0:c>
      <ns0:c r="J22" s="3">
        <ns0:f>ROUND(J222*J342,2)</ns0:f>
        <ns0:v>243.91</ns0:v>
      </ns0:c>
      <ns0:c r="K22" s="3">
        <ns0:f>ROUND(K222*K342,2)</ns0:f>
        <ns0:v>191.28</ns0:v>
      </ns0:c>
      <ns0:c r="L22" s="3">
        <ns0:f>ROUND(L222*L342,2)</ns0:f>
        <ns0:v>98.74</ns0:v>
      </ns0:c>
      <ns0:c r="M22" s="3">
        <ns0:f>ROUND(M222*M342,2)</ns0:f>
        <ns0:v>281.70</ns0:v>
      </ns0:c>
      <ns0:c r="N22" s="3">
        <ns0:f>ROUND(N222*N342,2)</ns0:f>
        <ns0:v>546.37</ns0:v>
      </ns0:c>
      <ns0:c r="O22" s="3">
        <ns0:f>SUM(C22:N22)</ns0:f>
        <ns0:v>2794.24</ns0:v>
      </ns0:c>
      <ns0:c r="P22" s="2" t="inlineStr">
        <ns0:is>
          <ns0:t>EXP1.022</ns0:t>
        </ns0:is>
      </ns0:c>
      <ns0:c r="Q22" s="2" t="inlineStr">
        <ns0:is>
          <ns0:t>演示占位-v1</ns0:t>
        </ns0:is>
      </ns0:c>
      <ns0:c r="R22" s="2" t="inlineStr">
        <ns0:is>
          <ns0:t>模拟权责发生制</ns0:t>
        </ns0:is>
      </ns0:c>
      <ns0:c r="S22" s="2" t="inlineStr">
        <ns0:is>
          <ns0:t>2027-01</ns0:t>
        </ns0:is>
      </ns0:c>
      <ns0:c r="T22" s="2" t="inlineStr">
        <ns0:is>
          <ns0:t>2027-06</ns0:t>
        </ns0:is>
      </ns0:c>
      <ns0:c r="U22" s="2" t="inlineStr">
        <ns0:is>
          <ns0:t>无</ns0:t>
        </ns0:is>
      </ns0:c>
      <ns0:c r="V22" s="2" t="inlineStr">
        <ns0:is>
          <ns0:t>无</ns0:t>
        </ns0:is>
      </ns0:c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/>
      <ns0:c r="B23" s="2" t="inlineStr">
        <ns0:is>
          <ns0:t>交通费</ns0:t>
        </ns0:is>
      </ns0:c>
      <ns0:c r="C23" s="3">
        <ns0:f>ROUND(C223*C343,2)</ns0:f>
        <ns0:v>98.56</ns0:v>
      </ns0:c>
      <ns0:c r="D23" s="3">
        <ns0:f>ROUND(D223*D343,2)</ns0:f>
        <ns0:v>83.40</ns0:v>
      </ns0:c>
      <ns0:c r="E23" s="3">
        <ns0:f>ROUND(E223*E343,2)</ns0:f>
        <ns0:v>146.39</ns0:v>
      </ns0:c>
      <ns0:c r="F23" s="3">
        <ns0:f>ROUND(F223*F343,2)</ns0:f>
        <ns0:v>65.99</ns0:v>
      </ns0:c>
      <ns0:c r="G23" s="3">
        <ns0:f>ROUND(G223*G343,2)</ns0:f>
        <ns0:v>486.26</ns0:v>
      </ns0:c>
      <ns0:c r="H23" s="3">
        <ns0:f>ROUND(H223*H343,2)</ns0:f>
        <ns0:v>182.34</ns0:v>
      </ns0:c>
      <ns0:c r="I23" s="3">
        <ns0:f>ROUND(I223*I343,2)</ns0:f>
        <ns0:v>230.88</ns0:v>
      </ns0:c>
      <ns0:c r="J23" s="3">
        <ns0:f>ROUND(J223*J343,2)</ns0:f>
        <ns0:v>587.09</ns0:v>
      </ns0:c>
      <ns0:c r="K23" s="3">
        <ns0:f>ROUND(K223*K343,2)</ns0:f>
        <ns0:v>90.68</ns0:v>
      </ns0:c>
      <ns0:c r="L23" s="3">
        <ns0:f>ROUND(L223*L343,2)</ns0:f>
        <ns0:v>313.04</ns0:v>
      </ns0:c>
      <ns0:c r="M23" s="3">
        <ns0:f>ROUND(M223*M343,2)</ns0:f>
        <ns0:v>259.36</ns0:v>
      </ns0:c>
      <ns0:c r="N23" s="3">
        <ns0:f>ROUND(N223*N343,2)</ns0:f>
        <ns0:v>265.75</ns0:v>
      </ns0:c>
      <ns0:c r="O23" s="3">
        <ns0:f>SUM(C23:N23)</ns0:f>
        <ns0:v>2809.74</ns0:v>
      </ns0:c>
      <ns0:c r="P23" s="2" t="inlineStr">
        <ns0:is>
          <ns0:t>EXP1.023</ns0:t>
        </ns0:is>
      </ns0:c>
      <ns0:c r="Q23" s="2" t="inlineStr">
        <ns0:is>
          <ns0:t>演示占位-v1</ns0:t>
        </ns0:is>
      </ns0:c>
      <ns0:c r="R23" s="2" t="inlineStr">
        <ns0:is>
          <ns0:t>模拟权责发生制</ns0:t>
        </ns0:is>
      </ns0:c>
      <ns0:c r="S23" s="2" t="inlineStr">
        <ns0:is>
          <ns0:t>2027-01</ns0:t>
        </ns0:is>
      </ns0:c>
      <ns0:c r="T23" s="2" t="inlineStr">
        <ns0:is>
          <ns0:t>2027-06</ns0:t>
        </ns0:is>
      </ns0:c>
      <ns0:c r="U23" s="2" t="inlineStr">
        <ns0:is>
          <ns0:t>无</ns0:t>
        </ns0:is>
      </ns0:c>
      <ns0:c r="V23" s="2" t="inlineStr">
        <ns0:is>
          <ns0:t>无</ns0:t>
        </ns0:is>
      </ns0:c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 t="inlineStr">
        <ns0:is>
          <ns0:t>差旅补贴</ns0:t>
        </ns0:is>
      </ns0:c>
      <ns0:c r="C24" s="3">
        <ns0:f>ROUND(C224*C344,2)</ns0:f>
        <ns0:v>109.67</ns0:v>
      </ns0:c>
      <ns0:c r="D24" s="3">
        <ns0:f>ROUND(D224*D344,2)</ns0:f>
        <ns0:v>278.14</ns0:v>
      </ns0:c>
      <ns0:c r="E24" s="3">
        <ns0:f>ROUND(E224*E344,2)</ns0:f>
        <ns0:v>149.55</ns0:v>
      </ns0:c>
      <ns0:c r="F24" s="3">
        <ns0:f>ROUND(F224*F344,2)</ns0:f>
        <ns0:v>212.04</ns0:v>
      </ns0:c>
      <ns0:c r="G24" s="3">
        <ns0:f>ROUND(G224*G344,2)</ns0:f>
        <ns0:v>567.47</ns0:v>
      </ns0:c>
      <ns0:c r="H24" s="3">
        <ns0:f>ROUND(H224*H344,2)</ns0:f>
        <ns0:v>237.06</ns0:v>
      </ns0:c>
      <ns0:c r="I24" s="3">
        <ns0:f>ROUND(I224*I344,2)</ns0:f>
        <ns0:v>361.05</ns0:v>
      </ns0:c>
      <ns0:c r="J24" s="3">
        <ns0:f>ROUND(J224*J344,2)</ns0:f>
        <ns0:v>180.99</ns0:v>
      </ns0:c>
      <ns0:c r="K24" s="3">
        <ns0:f>ROUND(K224*K344,2)</ns0:f>
        <ns0:v>313.84</ns0:v>
      </ns0:c>
      <ns0:c r="L24" s="3">
        <ns0:f>ROUND(L224*L344,2)</ns0:f>
        <ns0:v>323.15</ns0:v>
      </ns0:c>
      <ns0:c r="M24" s="3">
        <ns0:f>ROUND(M224*M344,2)</ns0:f>
        <ns0:v>248.99</ns0:v>
      </ns0:c>
      <ns0:c r="N24" s="3">
        <ns0:f>ROUND(N224*N344,2)</ns0:f>
        <ns0:v>448.98</ns0:v>
      </ns0:c>
      <ns0:c r="O24" s="3">
        <ns0:f>SUM(C24:N24)</ns0:f>
        <ns0:v>3430.93</ns0:v>
      </ns0:c>
      <ns0:c r="P24" s="2" t="inlineStr">
        <ns0:is>
          <ns0:t>EXP1.024</ns0:t>
        </ns0:is>
      </ns0:c>
      <ns0:c r="Q24" s="2" t="inlineStr">
        <ns0:is>
          <ns0:t>演示占位-v1</ns0:t>
        </ns0:is>
      </ns0:c>
      <ns0:c r="R24" s="2" t="inlineStr">
        <ns0:is>
          <ns0:t>模拟权责发生制</ns0:t>
        </ns0:is>
      </ns0:c>
      <ns0:c r="S24" s="2" t="inlineStr">
        <ns0:is>
          <ns0:t>2027-01</ns0:t>
        </ns0:is>
      </ns0:c>
      <ns0:c r="T24" s="2" t="inlineStr">
        <ns0:is>
          <ns0:t>2027-06</ns0:t>
        </ns0:is>
      </ns0:c>
      <ns0:c r="U24" s="2" t="inlineStr">
        <ns0:is>
          <ns0:t>无</ns0:t>
        </ns0:is>
      </ns0:c>
      <ns0:c r="V24" s="2" t="inlineStr">
        <ns0:is>
          <ns0:t>无</ns0:t>
        </ns0:is>
      </ns0:c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 t="inlineStr">
        <ns0:is>
          <ns0:t>业务招待费</ns0:t>
        </ns0:is>
      </ns0:c>
      <ns0:c r="B25" s="2" t="inlineStr">
        <ns0:is>
          <ns0:t>业务招待费</ns0:t>
        </ns0:is>
      </ns0:c>
      <ns0:c r="C25" s="3">
        <ns0:f>ROUND(C225*C345,2)</ns0:f>
        <ns0:v>520.46</ns0:v>
      </ns0:c>
      <ns0:c r="D25" s="3">
        <ns0:f>ROUND(D225*D345,2)</ns0:f>
        <ns0:v>326.48</ns0:v>
      </ns0:c>
      <ns0:c r="E25" s="3">
        <ns0:f>ROUND(E225*E345,2)</ns0:f>
        <ns0:v>147.81</ns0:v>
      </ns0:c>
      <ns0:c r="F25" s="3">
        <ns0:f>ROUND(F225*F345,2)</ns0:f>
        <ns0:v>242.26</ns0:v>
      </ns0:c>
      <ns0:c r="G25" s="3">
        <ns0:f>ROUND(G225*G345,2)</ns0:f>
        <ns0:v>201.00</ns0:v>
      </ns0:c>
      <ns0:c r="H25" s="3">
        <ns0:f>ROUND(H225*H345,2)</ns0:f>
        <ns0:v>73.28</ns0:v>
      </ns0:c>
      <ns0:c r="I25" s="3">
        <ns0:f>ROUND(I225*I345,2)</ns0:f>
        <ns0:v>258.89</ns0:v>
      </ns0:c>
      <ns0:c r="J25" s="3">
        <ns0:f>ROUND(J225*J345,2)</ns0:f>
        <ns0:v>262.34</ns0:v>
      </ns0:c>
      <ns0:c r="K25" s="3">
        <ns0:f>ROUND(K225*K345,2)</ns0:f>
        <ns0:v>92.54</ns0:v>
      </ns0:c>
      <ns0:c r="L25" s="3">
        <ns0:f>ROUND(L225*L345,2)</ns0:f>
        <ns0:v>389.23</ns0:v>
      </ns0:c>
      <ns0:c r="M25" s="3">
        <ns0:f>ROUND(M225*M345,2)</ns0:f>
        <ns0:v>354.52</ns0:v>
      </ns0:c>
      <ns0:c r="N25" s="3">
        <ns0:f>ROUND(N225*N345,2)</ns0:f>
        <ns0:v>180.76</ns0:v>
      </ns0:c>
      <ns0:c r="O25" s="3">
        <ns0:f>SUM(C25:N25)</ns0:f>
        <ns0:v>3049.57</ns0:v>
      </ns0:c>
      <ns0:c r="P25" s="2" t="inlineStr">
        <ns0:is>
          <ns0:t>EXP1.025</ns0:t>
        </ns0:is>
      </ns0:c>
      <ns0:c r="Q25" s="2" t="inlineStr">
        <ns0:is>
          <ns0:t>演示占位-v1</ns0:t>
        </ns0:is>
      </ns0:c>
      <ns0:c r="R25" s="2" t="inlineStr">
        <ns0:is>
          <ns0:t>模拟权责发生制</ns0:t>
        </ns0:is>
      </ns0:c>
      <ns0:c r="S25" s="2" t="inlineStr">
        <ns0:is>
          <ns0:t>2027-01</ns0:t>
        </ns0:is>
      </ns0:c>
      <ns0:c r="T25" s="2" t="inlineStr">
        <ns0:is>
          <ns0:t>2027-06</ns0:t>
        </ns0:is>
      </ns0:c>
      <ns0:c r="U25" s="2" t="inlineStr">
        <ns0:is>
          <ns0:t>无</ns0:t>
        </ns0:is>
      </ns0:c>
      <ns0:c r="V25" s="2" t="inlineStr">
        <ns0:is>
          <ns0:t>无</ns0:t>
        </ns0:is>
      </ns0:c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 t="inlineStr">
        <ns0:is>
          <ns0:t>市内交通费</ns0:t>
        </ns0:is>
      </ns0:c>
      <ns0:c r="B26" s="2" t="inlineStr">
        <ns0:is>
          <ns0:t>市内交通费</ns0:t>
        </ns0:is>
      </ns0:c>
      <ns0:c r="C26" s="3">
        <ns0:f>ROUND(C226*C346,2)</ns0:f>
        <ns0:v>619.76</ns0:v>
      </ns0:c>
      <ns0:c r="D26" s="3">
        <ns0:f>ROUND(D226*D346,2)</ns0:f>
        <ns0:v>578.25</ns0:v>
      </ns0:c>
      <ns0:c r="E26" s="3">
        <ns0:f>ROUND(E226*E346,2)</ns0:f>
        <ns0:v>112.13</ns0:v>
      </ns0:c>
      <ns0:c r="F26" s="3">
        <ns0:f>ROUND(F226*F346,2)</ns0:f>
        <ns0:v>258.82</ns0:v>
      </ns0:c>
      <ns0:c r="G26" s="3">
        <ns0:f>ROUND(G226*G346,2)</ns0:f>
        <ns0:v>270.65</ns0:v>
      </ns0:c>
      <ns0:c r="H26" s="3">
        <ns0:f>ROUND(H226*H346,2)</ns0:f>
        <ns0:v>156.51</ns0:v>
      </ns0:c>
      <ns0:c r="I26" s="3">
        <ns0:f>ROUND(I226*I346,2)</ns0:f>
        <ns0:v>268.06</ns0:v>
      </ns0:c>
      <ns0:c r="J26" s="3">
        <ns0:f>ROUND(J226*J346,2)</ns0:f>
        <ns0:v>470.97</ns0:v>
      </ns0:c>
      <ns0:c r="K26" s="3">
        <ns0:f>ROUND(K226*K346,2)</ns0:f>
        <ns0:v>294.46</ns0:v>
      </ns0:c>
      <ns0:c r="L26" s="3">
        <ns0:f>ROUND(L226*L346,2)</ns0:f>
        <ns0:v>246.70</ns0:v>
      </ns0:c>
      <ns0:c r="M26" s="3">
        <ns0:f>ROUND(M226*M346,2)</ns0:f>
        <ns0:v>114.72</ns0:v>
      </ns0:c>
      <ns0:c r="N26" s="3">
        <ns0:f>ROUND(N226*N346,2)</ns0:f>
        <ns0:v>54.89</ns0:v>
      </ns0:c>
      <ns0:c r="O26" s="3">
        <ns0:f>SUM(C26:N26)</ns0:f>
        <ns0:v>3445.92</ns0:v>
      </ns0:c>
      <ns0:c r="P26" s="2" t="inlineStr">
        <ns0:is>
          <ns0:t>EXP1.026</ns0:t>
        </ns0:is>
      </ns0:c>
      <ns0:c r="Q26" s="2" t="inlineStr">
        <ns0:is>
          <ns0:t>演示占位-v1</ns0:t>
        </ns0:is>
      </ns0:c>
      <ns0:c r="R26" s="2" t="inlineStr">
        <ns0:is>
          <ns0:t>模拟权责发生制</ns0:t>
        </ns0:is>
      </ns0:c>
      <ns0:c r="S26" s="2" t="inlineStr">
        <ns0:is>
          <ns0:t>2027-01</ns0:t>
        </ns0:is>
      </ns0:c>
      <ns0:c r="T26" s="2" t="inlineStr">
        <ns0:is>
          <ns0:t>2027-06</ns0:t>
        </ns0:is>
      </ns0:c>
      <ns0:c r="U26" s="2" t="inlineStr">
        <ns0:is>
          <ns0:t>无</ns0:t>
        </ns0:is>
      </ns0:c>
      <ns0:c r="V26" s="2" t="inlineStr">
        <ns0:is>
          <ns0:t>无</ns0:t>
        </ns0:is>
      </ns0:c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 t="inlineStr">
        <ns0:is>
          <ns0:t>调研费用</ns0:t>
        </ns0:is>
      </ns0:c>
      <ns0:c r="B27" s="2" t="inlineStr">
        <ns0:is>
          <ns0:t>调研费用</ns0:t>
        </ns0:is>
      </ns0:c>
      <ns0:c r="C27" s="3">
        <ns0:f>ROUND(C227*C347,2)</ns0:f>
        <ns0:v>172.53</ns0:v>
      </ns0:c>
      <ns0:c r="D27" s="3">
        <ns0:f>ROUND(D227*D347,2)</ns0:f>
        <ns0:v>134.15</ns0:v>
      </ns0:c>
      <ns0:c r="E27" s="3">
        <ns0:f>ROUND(E227*E347,2)</ns0:f>
        <ns0:v>331.50</ns0:v>
      </ns0:c>
      <ns0:c r="F27" s="3">
        <ns0:f>ROUND(F227*F347,2)</ns0:f>
        <ns0:v>211.96</ns0:v>
      </ns0:c>
      <ns0:c r="G27" s="3">
        <ns0:f>ROUND(G227*G347,2)</ns0:f>
        <ns0:v>200.82</ns0:v>
      </ns0:c>
      <ns0:c r="H27" s="3">
        <ns0:f>ROUND(H227*H347,2)</ns0:f>
        <ns0:v>64.97</ns0:v>
      </ns0:c>
      <ns0:c r="I27" s="3">
        <ns0:f>ROUND(I227*I347,2)</ns0:f>
        <ns0:v>179.39</ns0:v>
      </ns0:c>
      <ns0:c r="J27" s="3">
        <ns0:f>ROUND(J227*J347,2)</ns0:f>
        <ns0:v>202.01</ns0:v>
      </ns0:c>
      <ns0:c r="K27" s="3">
        <ns0:f>ROUND(K227*K347,2)</ns0:f>
        <ns0:v>126.21</ns0:v>
      </ns0:c>
      <ns0:c r="L27" s="3">
        <ns0:f>ROUND(L227*L347,2)</ns0:f>
        <ns0:v>405.88</ns0:v>
      </ns0:c>
      <ns0:c r="M27" s="3">
        <ns0:f>ROUND(M227*M347,2)</ns0:f>
        <ns0:v>580.29</ns0:v>
      </ns0:c>
      <ns0:c r="N27" s="3">
        <ns0:f>ROUND(N227*N347,2)</ns0:f>
        <ns0:v>166.43</ns0:v>
      </ns0:c>
      <ns0:c r="O27" s="3">
        <ns0:f>SUM(C27:N27)</ns0:f>
        <ns0:v>2776.14</ns0:v>
      </ns0:c>
      <ns0:c r="P27" s="2" t="inlineStr">
        <ns0:is>
          <ns0:t>EXP1.027</ns0:t>
        </ns0:is>
      </ns0:c>
      <ns0:c r="Q27" s="2" t="inlineStr">
        <ns0:is>
          <ns0:t>演示占位-v1</ns0:t>
        </ns0:is>
      </ns0:c>
      <ns0:c r="R27" s="2" t="inlineStr">
        <ns0:is>
          <ns0:t>模拟权责发生制</ns0:t>
        </ns0:is>
      </ns0:c>
      <ns0:c r="S27" s="2" t="inlineStr">
        <ns0:is>
          <ns0:t>2027-01</ns0:t>
        </ns0:is>
      </ns0:c>
      <ns0:c r="T27" s="2" t="inlineStr">
        <ns0:is>
          <ns0:t>2027-06</ns0:t>
        </ns0:is>
      </ns0:c>
      <ns0:c r="U27" s="2" t="inlineStr">
        <ns0:is>
          <ns0:t>无</ns0:t>
        </ns0:is>
      </ns0:c>
      <ns0:c r="V27" s="2" t="inlineStr">
        <ns0:is>
          <ns0:t>无</ns0:t>
        </ns0:is>
      </ns0:c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 t="inlineStr">
        <ns0:is>
          <ns0:t>手续费</ns0:t>
        </ns0:is>
      </ns0:c>
      <ns0:c r="B28" s="2" t="inlineStr">
        <ns0:is>
          <ns0:t>手续费</ns0:t>
        </ns0:is>
      </ns0:c>
      <ns0:c r="C28" s="3">
        <ns0:f>ROUND(C228*C348,2)</ns0:f>
        <ns0:v>201.49</ns0:v>
      </ns0:c>
      <ns0:c r="D28" s="3">
        <ns0:f>ROUND(D228*D348,2)</ns0:f>
        <ns0:v>156.61</ns0:v>
      </ns0:c>
      <ns0:c r="E28" s="3">
        <ns0:f>ROUND(E228*E348,2)</ns0:f>
        <ns0:v>118.20</ns0:v>
      </ns0:c>
      <ns0:c r="F28" s="3">
        <ns0:f>ROUND(F228*F348,2)</ns0:f>
        <ns0:v>225.62</ns0:v>
      </ns0:c>
      <ns0:c r="G28" s="3">
        <ns0:f>ROUND(G228*G348,2)</ns0:f>
        <ns0:v>274.50</ns0:v>
      </ns0:c>
      <ns0:c r="H28" s="3">
        <ns0:f>ROUND(H228*H348,2)</ns0:f>
        <ns0:v>81.15</ns0:v>
      </ns0:c>
      <ns0:c r="I28" s="3">
        <ns0:f>ROUND(I228*I348,2)</ns0:f>
        <ns0:v>549.34</ns0:v>
      </ns0:c>
      <ns0:c r="J28" s="3">
        <ns0:f>ROUND(J228*J348,2)</ns0:f>
        <ns0:v>248.78</ns0:v>
      </ns0:c>
      <ns0:c r="K28" s="3">
        <ns0:f>ROUND(K228*K348,2)</ns0:f>
        <ns0:v>376.36</ns0:v>
      </ns0:c>
      <ns0:c r="L28" s="3">
        <ns0:f>ROUND(L228*L348,2)</ns0:f>
        <ns0:v>237.89</ns0:v>
      </ns0:c>
      <ns0:c r="M28" s="3">
        <ns0:f>ROUND(M228*M348,2)</ns0:f>
        <ns0:v>373.56</ns0:v>
      </ns0:c>
      <ns0:c r="N28" s="3">
        <ns0:f>ROUND(N228*N348,2)</ns0:f>
        <ns0:v>224.10</ns0:v>
      </ns0:c>
      <ns0:c r="O28" s="3">
        <ns0:f>SUM(C28:N28)</ns0:f>
        <ns0:v>3067.60</ns0:v>
      </ns0:c>
      <ns0:c r="P28" s="2" t="inlineStr">
        <ns0:is>
          <ns0:t>EXP1.028</ns0:t>
        </ns0:is>
      </ns0:c>
      <ns0:c r="Q28" s="2" t="inlineStr">
        <ns0:is>
          <ns0:t>演示占位-v1</ns0:t>
        </ns0:is>
      </ns0:c>
      <ns0:c r="R28" s="2" t="inlineStr">
        <ns0:is>
          <ns0:t>模拟权责发生制</ns0:t>
        </ns0:is>
      </ns0:c>
      <ns0:c r="S28" s="2" t="inlineStr">
        <ns0:is>
          <ns0:t>2027-01</ns0:t>
        </ns0:is>
      </ns0:c>
      <ns0:c r="T28" s="2" t="inlineStr">
        <ns0:is>
          <ns0:t>2027-06</ns0:t>
        </ns0:is>
      </ns0:c>
      <ns0:c r="U28" s="2" t="inlineStr">
        <ns0:is>
          <ns0:t>无</ns0:t>
        </ns0:is>
      </ns0:c>
      <ns0:c r="V28" s="2" t="inlineStr">
        <ns0:is>
          <ns0:t>无</ns0:t>
        </ns0:is>
      </ns0:c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 t="inlineStr">
        <ns0:is>
          <ns0:t>利息收入</ns0:t>
        </ns0:is>
      </ns0:c>
      <ns0:c r="C29" s="3">
        <ns0:f>0</ns0:f>
        <ns0:v>0</ns0:v>
      </ns0:c>
      <ns0:c r="D29" s="3">
        <ns0:f>0</ns0:f>
        <ns0:v>0</ns0:v>
      </ns0:c>
      <ns0:c r="E29" s="3">
        <ns0:f>0</ns0:f>
        <ns0:v>0</ns0:v>
      </ns0:c>
      <ns0:c r="F29" s="3">
        <ns0:f>0</ns0:f>
        <ns0:v>0</ns0:v>
      </ns0:c>
      <ns0:c r="G29" s="3">
        <ns0:f>0</ns0:f>
        <ns0:v>0</ns0:v>
      </ns0:c>
      <ns0:c r="H29" s="3">
        <ns0:f>0</ns0:f>
        <ns0:v>0</ns0:v>
      </ns0:c>
      <ns0:c r="I29" s="3">
        <ns0:f>0</ns0:f>
        <ns0:v>0</ns0:v>
      </ns0:c>
      <ns0:c r="J29" s="3">
        <ns0:f>0</ns0:f>
        <ns0:v>0</ns0:v>
      </ns0:c>
      <ns0:c r="K29" s="3">
        <ns0:f>0</ns0:f>
        <ns0:v>0</ns0:v>
      </ns0:c>
      <ns0:c r="L29" s="3">
        <ns0:f>0</ns0:f>
        <ns0:v>0</ns0:v>
      </ns0:c>
      <ns0:c r="M29" s="3">
        <ns0:f>0</ns0:f>
        <ns0:v>0</ns0:v>
      </ns0:c>
      <ns0:c r="N29" s="3">
        <ns0:f>0</ns0:f>
        <ns0:v>0</ns0:v>
      </ns0:c>
      <ns0:c r="O29" s="3">
        <ns0:f>SUM(C29:N29)</ns0:f>
        <ns0:v>0</ns0:v>
      </ns0:c>
      <ns0:c r="P29" s="2" t="inlineStr">
        <ns0:is>
          <ns0:t>EXP1.029</ns0:t>
        </ns0:is>
      </ns0:c>
      <ns0:c r="Q29" s="2" t="inlineStr">
        <ns0:is>
          <ns0:t>演示占位-v1</ns0:t>
        </ns0:is>
      </ns0:c>
      <ns0:c r="R29" s="2" t="inlineStr">
        <ns0:is>
          <ns0:t>模拟权责发生制</ns0:t>
        </ns0:is>
      </ns0:c>
      <ns0:c r="S29" s="2" t="inlineStr">
        <ns0:is>
          <ns0:t>2027-01</ns0:t>
        </ns0:is>
      </ns0:c>
      <ns0:c r="T29" s="2" t="inlineStr">
        <ns0:is>
          <ns0:t>2027-06</ns0:t>
        </ns0:is>
      </ns0:c>
      <ns0:c r="U29" s="2" t="inlineStr">
        <ns0:is>
          <ns0:t>无</ns0:t>
        </ns0:is>
      </ns0:c>
      <ns0:c r="V29" s="2" t="inlineStr">
        <ns0:is>
          <ns0:t>无</ns0:t>
        </ns0:is>
      </ns0:c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 t="inlineStr">
        <ns0:is>
          <ns0:t>利息支出</ns0:t>
        </ns0:is>
      </ns0:c>
      <ns0:c r="C30" s="6">
        <ns0:f>ROUND(C230*C350,2)</ns0:f>
        <ns0:v>85.01</ns0:v>
      </ns0:c>
      <ns0:c r="D30" s="6">
        <ns0:f>ROUND(D230*D350,2)</ns0:f>
        <ns0:v>233.10</ns0:v>
      </ns0:c>
      <ns0:c r="E30" s="6">
        <ns0:f>ROUND(E230*E350,2)</ns0:f>
        <ns0:v>107.13</ns0:v>
      </ns0:c>
      <ns0:c r="F30" s="6">
        <ns0:f>ROUND(F230*F350,2)</ns0:f>
        <ns0:v>120.45</ns0:v>
      </ns0:c>
      <ns0:c r="G30" s="6">
        <ns0:f>ROUND(G230*G350,2)</ns0:f>
        <ns0:v>133.08</ns0:v>
      </ns0:c>
      <ns0:c r="H30" s="6">
        <ns0:f>ROUND(H230*H350,2)</ns0:f>
        <ns0:v>59.26</ns0:v>
      </ns0:c>
      <ns0:c r="I30" s="6">
        <ns0:f>ROUND(I230*I350,2)</ns0:f>
        <ns0:v>225.76</ns0:v>
      </ns0:c>
      <ns0:c r="J30" s="6">
        <ns0:f>ROUND(J230*J350,2)</ns0:f>
        <ns0:v>169.04</ns0:v>
      </ns0:c>
      <ns0:c r="K30" s="6">
        <ns0:f>ROUND(K230*K350,2)</ns0:f>
        <ns0:v>183.32</ns0:v>
      </ns0:c>
      <ns0:c r="L30" s="6">
        <ns0:f>ROUND(L230*L350,2)</ns0:f>
        <ns0:v>266.24</ns0:v>
      </ns0:c>
      <ns0:c r="M30" s="6">
        <ns0:f>ROUND(M230*M350,2)</ns0:f>
        <ns0:v>271.33</ns0:v>
      </ns0:c>
      <ns0:c r="N30" s="6">
        <ns0:f>ROUND(N230*N350,2)</ns0:f>
        <ns0:v>90.57</ns0:v>
      </ns0:c>
      <ns0:c r="O30" s="6">
        <ns0:f>SUM(C30:N30)</ns0:f>
        <ns0:v>1944.29</ns0:v>
      </ns0:c>
      <ns0:c r="P30" s="2" t="inlineStr">
        <ns0:is>
          <ns0:t>EXP1.030</ns0:t>
        </ns0:is>
      </ns0:c>
      <ns0:c r="Q30" s="2" t="inlineStr">
        <ns0:is>
          <ns0:t>演示占位-v1</ns0:t>
        </ns0:is>
      </ns0:c>
      <ns0:c r="R30" s="2" t="inlineStr">
        <ns0:is>
          <ns0:t>模拟权责发生制</ns0:t>
        </ns0:is>
      </ns0:c>
      <ns0:c r="S30" s="2" t="inlineStr">
        <ns0:is>
          <ns0:t>2027-01</ns0:t>
        </ns0:is>
      </ns0:c>
      <ns0:c r="T30" s="2" t="inlineStr">
        <ns0:is>
          <ns0:t>2027-06</ns0:t>
        </ns0:is>
      </ns0:c>
      <ns0:c r="U30" s="2" t="inlineStr">
        <ns0:is>
          <ns0:t>无</ns0:t>
        </ns0:is>
      </ns0:c>
      <ns0:c r="V30" s="2" t="inlineStr">
        <ns0:is>
          <ns0:t>无</ns0:t>
        </ns0:is>
      </ns0:c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 t="inlineStr">
        <ns0:is>
          <ns0:t>税金</ns0:t>
        </ns0:is>
      </ns0:c>
      <ns0:c r="B31" s="2" t="inlineStr">
        <ns0:is>
          <ns0:t>车船税</ns0:t>
        </ns0:is>
      </ns0:c>
      <ns0:c r="C31" s="3">
        <ns0:f>ROUND(C231*C351,2)</ns0:f>
        <ns0:v>316.37</ns0:v>
      </ns0:c>
      <ns0:c r="D31" s="3">
        <ns0:f>ROUND(D231*D351,2)</ns0:f>
        <ns0:v>197.37</ns0:v>
      </ns0:c>
      <ns0:c r="E31" s="3">
        <ns0:f>ROUND(E231*E351,2)</ns0:f>
        <ns0:v>142.68</ns0:v>
      </ns0:c>
      <ns0:c r="F31" s="3">
        <ns0:f>ROUND(F231*F351,2)</ns0:f>
        <ns0:v>246.90</ns0:v>
      </ns0:c>
      <ns0:c r="G31" s="3">
        <ns0:f>ROUND(G231*G351,2)</ns0:f>
        <ns0:v>197.29</ns0:v>
      </ns0:c>
      <ns0:c r="H31" s="3">
        <ns0:f>ROUND(H231*H351,2)</ns0:f>
        <ns0:v>249.74</ns0:v>
      </ns0:c>
      <ns0:c r="I31" s="3">
        <ns0:f>ROUND(I231*I351,2)</ns0:f>
        <ns0:v>522.94</ns0:v>
      </ns0:c>
      <ns0:c r="J31" s="3">
        <ns0:f>ROUND(J231*J351,2)</ns0:f>
        <ns0:v>218.95</ns0:v>
      </ns0:c>
      <ns0:c r="K31" s="3">
        <ns0:f>ROUND(K231*K351,2)</ns0:f>
        <ns0:v>457.60</ns0:v>
      </ns0:c>
      <ns0:c r="L31" s="3">
        <ns0:f>ROUND(L231*L351,2)</ns0:f>
        <ns0:v>295.90</ns0:v>
      </ns0:c>
      <ns0:c r="M31" s="3">
        <ns0:f>ROUND(M231*M351,2)</ns0:f>
        <ns0:v>148.08</ns0:v>
      </ns0:c>
      <ns0:c r="N31" s="3">
        <ns0:f>ROUND(N231*N351,2)</ns0:f>
        <ns0:v>274.87</ns0:v>
      </ns0:c>
      <ns0:c r="O31" s="3">
        <ns0:f>SUM(C31:N31)</ns0:f>
        <ns0:v>3268.69</ns0:v>
      </ns0:c>
      <ns0:c r="P31" s="2" t="inlineStr">
        <ns0:is>
          <ns0:t>EXP1.031</ns0:t>
        </ns0:is>
      </ns0:c>
      <ns0:c r="Q31" s="2" t="inlineStr">
        <ns0:is>
          <ns0:t>演示占位-v1</ns0:t>
        </ns0:is>
      </ns0:c>
      <ns0:c r="R31" s="2" t="inlineStr">
        <ns0:is>
          <ns0:t>模拟权责发生制</ns0:t>
        </ns0:is>
      </ns0:c>
      <ns0:c r="S31" s="2" t="inlineStr">
        <ns0:is>
          <ns0:t>2027-01</ns0:t>
        </ns0:is>
      </ns0:c>
      <ns0:c r="T31" s="2" t="inlineStr">
        <ns0:is>
          <ns0:t>2027-06</ns0:t>
        </ns0:is>
      </ns0:c>
      <ns0:c r="U31" s="2" t="inlineStr">
        <ns0:is>
          <ns0:t>无</ns0:t>
        </ns0:is>
      </ns0:c>
      <ns0:c r="V31" s="2" t="inlineStr">
        <ns0:is>
          <ns0:t>无</ns0:t>
        </ns0:is>
      </ns0:c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 t="inlineStr">
        <ns0:is>
          <ns0:t>印花税</ns0:t>
        </ns0:is>
      </ns0:c>
      <ns0:c r="C32" s="3">
        <ns0:f>ROUND(C232*C352,2)</ns0:f>
        <ns0:v>103.94</ns0:v>
      </ns0:c>
      <ns0:c r="D32" s="3">
        <ns0:f>ROUND(D232*D352,2)</ns0:f>
        <ns0:v>144.52</ns0:v>
      </ns0:c>
      <ns0:c r="E32" s="3">
        <ns0:f>ROUND(E232*E352,2)</ns0:f>
        <ns0:v>53.52</ns0:v>
      </ns0:c>
      <ns0:c r="F32" s="3">
        <ns0:f>ROUND(F232*F352,2)</ns0:f>
        <ns0:v>73.46</ns0:v>
      </ns0:c>
      <ns0:c r="G32" s="3">
        <ns0:f>ROUND(G232*G352,2)</ns0:f>
        <ns0:v>366.11</ns0:v>
      </ns0:c>
      <ns0:c r="H32" s="3">
        <ns0:f>ROUND(H232*H352,2)</ns0:f>
        <ns0:v>97.77</ns0:v>
      </ns0:c>
      <ns0:c r="I32" s="3">
        <ns0:f>ROUND(I232*I352,2)</ns0:f>
        <ns0:v>381.83</ns0:v>
      </ns0:c>
      <ns0:c r="J32" s="3">
        <ns0:f>ROUND(J232*J352,2)</ns0:f>
        <ns0:v>110.16</ns0:v>
      </ns0:c>
      <ns0:c r="K32" s="3">
        <ns0:f>ROUND(K232*K352,2)</ns0:f>
        <ns0:v>350.32</ns0:v>
      </ns0:c>
      <ns0:c r="L32" s="3">
        <ns0:f>ROUND(L232*L352,2)</ns0:f>
        <ns0:v>282.46</ns0:v>
      </ns0:c>
      <ns0:c r="M32" s="3">
        <ns0:f>ROUND(M232*M352,2)</ns0:f>
        <ns0:v>317.37</ns0:v>
      </ns0:c>
      <ns0:c r="N32" s="3">
        <ns0:f>ROUND(N232*N352,2)</ns0:f>
        <ns0:v>298.66</ns0:v>
      </ns0:c>
      <ns0:c r="O32" s="3">
        <ns0:f>SUM(C32:N32)</ns0:f>
        <ns0:v>2580.12</ns0:v>
      </ns0:c>
      <ns0:c r="P32" s="2" t="inlineStr">
        <ns0:is>
          <ns0:t>EXP1.032</ns0:t>
        </ns0:is>
      </ns0:c>
      <ns0:c r="Q32" s="2" t="inlineStr">
        <ns0:is>
          <ns0:t>演示占位-v1</ns0:t>
        </ns0:is>
      </ns0:c>
      <ns0:c r="R32" s="2" t="inlineStr">
        <ns0:is>
          <ns0:t>模拟权责发生制</ns0:t>
        </ns0:is>
      </ns0:c>
      <ns0:c r="S32" s="2" t="inlineStr">
        <ns0:is>
          <ns0:t>2027-01</ns0:t>
        </ns0:is>
      </ns0:c>
      <ns0:c r="T32" s="2" t="inlineStr">
        <ns0:is>
          <ns0:t>2027-06</ns0:t>
        </ns0:is>
      </ns0:c>
      <ns0:c r="U32" s="2" t="inlineStr">
        <ns0:is>
          <ns0:t>无</ns0:t>
        </ns0:is>
      </ns0:c>
      <ns0:c r="V32" s="2" t="inlineStr">
        <ns0:is>
          <ns0:t>无</ns0:t>
        </ns0:is>
      </ns0:c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 t="inlineStr">
        <ns0:is>
          <ns0:t>其他</ns0:t>
        </ns0:is>
      </ns0:c>
      <ns0:c r="B33" s="2" t="inlineStr">
        <ns0:is>
          <ns0:t>其他</ns0:t>
        </ns0:is>
      </ns0:c>
      <ns0:c r="C33" s="3">
        <ns0:f>ROUND(C233*C353,2)</ns0:f>
        <ns0:v>53.63</ns0:v>
      </ns0:c>
      <ns0:c r="D33" s="3">
        <ns0:f>ROUND(D233*D353,2)</ns0:f>
        <ns0:v>125.09</ns0:v>
      </ns0:c>
      <ns0:c r="E33" s="3">
        <ns0:f>ROUND(E233*E353,2)</ns0:f>
        <ns0:v>231.94</ns0:v>
      </ns0:c>
      <ns0:c r="F33" s="3">
        <ns0:f>ROUND(F233*F353,2)</ns0:f>
        <ns0:v>142.22</ns0:v>
      </ns0:c>
      <ns0:c r="G33" s="3">
        <ns0:f>ROUND(G233*G353,2)</ns0:f>
        <ns0:v>448.23</ns0:v>
      </ns0:c>
      <ns0:c r="H33" s="3">
        <ns0:f>ROUND(H233*H353,2)</ns0:f>
        <ns0:v>60.70</ns0:v>
      </ns0:c>
      <ns0:c r="I33" s="3">
        <ns0:f>ROUND(I233*I353,2)</ns0:f>
        <ns0:v>254.46</ns0:v>
      </ns0:c>
      <ns0:c r="J33" s="3">
        <ns0:f>ROUND(J233*J353,2)</ns0:f>
        <ns0:v>58.37</ns0:v>
      </ns0:c>
      <ns0:c r="K33" s="3">
        <ns0:f>ROUND(K233*K353,2)</ns0:f>
        <ns0:v>273.21</ns0:v>
      </ns0:c>
      <ns0:c r="L33" s="3">
        <ns0:f>ROUND(L233*L353,2)</ns0:f>
        <ns0:v>99.63</ns0:v>
      </ns0:c>
      <ns0:c r="M33" s="3">
        <ns0:f>ROUND(M233*M353,2)</ns0:f>
        <ns0:v>342.28</ns0:v>
      </ns0:c>
      <ns0:c r="N33" s="3">
        <ns0:f>ROUND(N233*N353,2)</ns0:f>
        <ns0:v>213.34</ns0:v>
      </ns0:c>
      <ns0:c r="O33" s="3">
        <ns0:f>SUM(C33:N33)</ns0:f>
        <ns0:v>2303.10</ns0:v>
      </ns0:c>
      <ns0:c r="P33" s="2" t="inlineStr">
        <ns0:is>
          <ns0:t>EXP1.033</ns0:t>
        </ns0:is>
      </ns0:c>
      <ns0:c r="Q33" s="2" t="inlineStr">
        <ns0:is>
          <ns0:t>演示占位-v1</ns0:t>
        </ns0:is>
      </ns0:c>
      <ns0:c r="R33" s="2" t="inlineStr">
        <ns0:is>
          <ns0:t>模拟权责发生制</ns0:t>
        </ns0:is>
      </ns0:c>
      <ns0:c r="S33" s="2" t="inlineStr">
        <ns0:is>
          <ns0:t>2027-01</ns0:t>
        </ns0:is>
      </ns0:c>
      <ns0:c r="T33" s="2" t="inlineStr">
        <ns0:is>
          <ns0:t>2027-06</ns0:t>
        </ns0:is>
      </ns0:c>
      <ns0:c r="U33" s="2" t="inlineStr">
        <ns0:is>
          <ns0:t>无</ns0:t>
        </ns0:is>
      </ns0:c>
      <ns0:c r="V33" s="2" t="inlineStr">
        <ns0:is>
          <ns0:t>无</ns0:t>
        </ns0:is>
      </ns0:c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 t="inlineStr">
        <ns0:is>
          <ns0:t>合计</ns0:t>
        </ns0:is>
      </ns0:c>
      <ns0:c r="B34" s="2"/>
      <ns0:c r="C34" s="3">
        <ns0:f>SUM(C4:C33)</ns0:f>
        <ns0:v>6842.49</ns0:v>
      </ns0:c>
      <ns0:c r="D34" s="3">
        <ns0:f>SUM(D4:D33)</ns0:f>
        <ns0:v>6875.99</ns0:v>
      </ns0:c>
      <ns0:c r="E34" s="3">
        <ns0:f>SUM(E4:E33)</ns0:f>
        <ns0:v>7667.17</ns0:v>
      </ns0:c>
      <ns0:c r="F34" s="3">
        <ns0:f>SUM(F4:F33)</ns0:f>
        <ns0:v>6236.43</ns0:v>
      </ns0:c>
      <ns0:c r="G34" s="3">
        <ns0:f>SUM(G4:G33)</ns0:f>
        <ns0:v>7596.92</ns0:v>
      </ns0:c>
      <ns0:c r="H34" s="3">
        <ns0:f>SUM(H4:H33)</ns0:f>
        <ns0:v>5972.00</ns0:v>
      </ns0:c>
      <ns0:c r="I34" s="3">
        <ns0:f>SUM(I4:I33)</ns0:f>
        <ns0:v>8643.70</ns0:v>
      </ns0:c>
      <ns0:c r="J34" s="3">
        <ns0:f>SUM(J4:J33)</ns0:f>
        <ns0:v>7102.08</ns0:v>
      </ns0:c>
      <ns0:c r="K34" s="3">
        <ns0:f>SUM(K4:K33)</ns0:f>
        <ns0:v>7086.21</ns0:v>
      </ns0:c>
      <ns0:c r="L34" s="3">
        <ns0:f>SUM(L4:L33)</ns0:f>
        <ns0:v>7741.07</ns0:v>
      </ns0:c>
      <ns0:c r="M34" s="3">
        <ns0:f>SUM(M4:M33)</ns0:f>
        <ns0:v>7495.78</ns0:v>
      </ns0:c>
      <ns0:c r="N34" s="3">
        <ns0:f>SUM(N4:N33)</ns0:f>
        <ns0:v>7546.27</ns0:v>
      </ns0:c>
      <ns0:c r="O34" s="3">
        <ns0:f>SUM(C34:N34)</ns0:f>
        <ns0:v>86806.11</ns0:v>
      </ns0:c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 t="inlineStr">
        <ns0:is>
          <ns0:t>增值税附加</ns0:t>
        </ns0:is>
      </ns0:c>
      <ns0:c r="B35" s="2"/>
      <ns0:c r="C35" s="3"/>
      <ns0:c r="D35" s="3"/>
      <ns0:c r="E35" s="3"/>
      <ns0:c r="F35" s="3"/>
      <ns0:c r="G35" s="3"/>
      <ns0:c r="H35" s="3"/>
      <ns0:c r="I35" s="3"/>
      <ns0:c r="J35" s="3"/>
      <ns0:c r="K35" s="3"/>
      <ns0:c r="L35" s="3"/>
      <ns0:c r="M35" s="3"/>
      <ns0:c r="N35" s="3"/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 t="inlineStr">
        <ns0:is>
          <ns0:t>三费及税金合计</ns0:t>
        </ns0:is>
      </ns0:c>
      <ns0:c r="B36" s="2"/>
      <ns0:c r="C36" s="3"/>
      <ns0:c r="D36" s="3"/>
      <ns0:c r="E36" s="3"/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/>
      <ns0:c r="C37" s="3"/>
      <ns0:c r="D37" s="3"/>
      <ns0:c r="E37" s="3"/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/>
      <ns0:c r="C60" s="6"/>
      <ns0:c r="D60" s="6"/>
      <ns0:c r="E60" s="6"/>
      <ns0:c r="F60" s="6"/>
      <ns0:c r="G60" s="6"/>
      <ns0:c r="H60" s="6"/>
      <ns0:c r="I60" s="6"/>
      <ns0:c r="J60" s="6"/>
      <ns0:c r="K60" s="6"/>
      <ns0:c r="L60" s="6"/>
      <ns0:c r="M60" s="6"/>
      <ns0:c r="N60" s="6"/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/>
      <ns0:c r="C61" s="3"/>
      <ns0:c r="D61" s="3"/>
      <ns0:c r="E61" s="3"/>
      <ns0:c r="F61" s="3"/>
      <ns0:c r="G61" s="3"/>
      <ns0:c r="H61" s="3"/>
      <ns0:c r="I61" s="3"/>
      <ns0:c r="J61" s="3"/>
      <ns0:c r="K61" s="3"/>
      <ns0:c r="L61" s="3"/>
      <ns0:c r="M61" s="3"/>
      <ns0:c r="N61" s="3"/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/>
      <ns0:c r="C62" s="3"/>
      <ns0:c r="D62" s="3"/>
      <ns0:c r="E62" s="3"/>
      <ns0:c r="F62" s="3"/>
      <ns0:c r="G62" s="3"/>
      <ns0:c r="H62" s="3"/>
      <ns0:c r="I62" s="3"/>
      <ns0:c r="J62" s="3"/>
      <ns0:c r="K62" s="3"/>
      <ns0:c r="L62" s="3"/>
      <ns0:c r="M62" s="3"/>
      <ns0:c r="N62" s="3"/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/>
      <ns0:c r="C63" s="3"/>
      <ns0:c r="D63" s="3"/>
      <ns0:c r="E63" s="3"/>
      <ns0:c r="F63" s="3"/>
      <ns0:c r="G63" s="3"/>
      <ns0:c r="H63" s="3"/>
      <ns0:c r="I63" s="3"/>
      <ns0:c r="J63" s="3"/>
      <ns0:c r="K63" s="3"/>
      <ns0:c r="L63" s="3"/>
      <ns0:c r="M63" s="3"/>
      <ns0:c r="N63" s="3"/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/>
      <ns0:c r="C64" s="3"/>
      <ns0:c r="D64" s="3"/>
      <ns0:c r="E64" s="3"/>
      <ns0:c r="F64" s="3"/>
      <ns0:c r="G64" s="3"/>
      <ns0:c r="H64" s="3"/>
      <ns0:c r="I64" s="3"/>
      <ns0:c r="J64" s="3"/>
      <ns0:c r="K64" s="3"/>
      <ns0:c r="L64" s="3"/>
      <ns0:c r="M64" s="3"/>
      <ns0:c r="N64" s="3"/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/>
      <ns0:c r="C65" s="3"/>
      <ns0:c r="D65" s="3"/>
      <ns0:c r="E65" s="3"/>
      <ns0:c r="F65" s="3"/>
      <ns0:c r="G65" s="3"/>
      <ns0:c r="H65" s="3"/>
      <ns0:c r="I65" s="3"/>
      <ns0:c r="J65" s="3"/>
      <ns0:c r="K65" s="3"/>
      <ns0:c r="L65" s="3"/>
      <ns0:c r="M65" s="3"/>
      <ns0:c r="N65" s="3"/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/>
      <ns0:c r="C66" s="3"/>
      <ns0:c r="D66" s="3"/>
      <ns0:c r="E66" s="3"/>
      <ns0:c r="F66" s="3"/>
      <ns0:c r="G66" s="3"/>
      <ns0:c r="H66" s="3"/>
      <ns0:c r="I66" s="3"/>
      <ns0:c r="J66" s="3"/>
      <ns0:c r="K66" s="3"/>
      <ns0:c r="L66" s="3"/>
      <ns0:c r="M66" s="3"/>
      <ns0:c r="N66" s="3"/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/>
      <ns0:c r="C67" s="3"/>
      <ns0:c r="D67" s="3"/>
      <ns0:c r="E67" s="3"/>
      <ns0:c r="F67" s="3"/>
      <ns0:c r="G67" s="3"/>
      <ns0:c r="H67" s="3"/>
      <ns0:c r="I67" s="3"/>
      <ns0:c r="J67" s="3"/>
      <ns0:c r="K67" s="3"/>
      <ns0:c r="L67" s="3"/>
      <ns0:c r="M67" s="3"/>
      <ns0:c r="N67" s="3"/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/>
      <ns0:c r="C68" s="3"/>
      <ns0:c r="D68" s="3"/>
      <ns0:c r="E68" s="3"/>
      <ns0:c r="F68" s="3"/>
      <ns0:c r="G68" s="3"/>
      <ns0:c r="H68" s="3"/>
      <ns0:c r="I68" s="3"/>
      <ns0:c r="J68" s="3"/>
      <ns0:c r="K68" s="3"/>
      <ns0:c r="L68" s="3"/>
      <ns0:c r="M68" s="3"/>
      <ns0:c r="N68" s="3"/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 t="inlineStr">
        <ns0:is>
          <ns0:t>工资单价</ns0:t>
        </ns0:is>
      </ns0:c>
      <ns0:c r="C204" s="4">
        <ns0:v>19.97</ns0:v>
      </ns0:c>
      <ns0:c r="D204" s="4">
        <ns0:v>30.56</ns0:v>
      </ns0:c>
      <ns0:c r="E204" s="4">
        <ns0:v>68.27</ns0:v>
      </ns0:c>
      <ns0:c r="F204" s="4">
        <ns0:v>20.97</ns0:v>
      </ns0:c>
      <ns0:c r="G204" s="4">
        <ns0:v>46.25</ns0:v>
      </ns0:c>
      <ns0:c r="H204" s="4">
        <ns0:v>26.23</ns0:v>
      </ns0:c>
      <ns0:c r="I204" s="4">
        <ns0:v>66.54</ns0:v>
      </ns0:c>
      <ns0:c r="J204" s="4">
        <ns0:v>55.90</ns0:v>
      </ns0:c>
      <ns0:c r="K204" s="4">
        <ns0:v>36.43</ns0:v>
      </ns0:c>
      <ns0:c r="L204" s="4">
        <ns0:v>38.43</ns0:v>
      </ns0:c>
      <ns0:c r="M204" s="4">
        <ns0:v>31.50</ns0:v>
      </ns0:c>
      <ns0:c r="N204" s="4">
        <ns0:v>20.05</ns0:v>
      </ns0:c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 t="inlineStr">
        <ns0:is>
          <ns0:t>十三薪单价</ns0:t>
        </ns0:is>
      </ns0:c>
      <ns0:c r="C205" s="4">
        <ns0:v>46.73</ns0:v>
      </ns0:c>
      <ns0:c r="D205" s="4">
        <ns0:v>25.63</ns0:v>
      </ns0:c>
      <ns0:c r="E205" s="4">
        <ns0:v>48.94</ns0:v>
      </ns0:c>
      <ns0:c r="F205" s="4">
        <ns0:v>39.61</ns0:v>
      </ns0:c>
      <ns0:c r="G205" s="4">
        <ns0:v>59.57</ns0:v>
      </ns0:c>
      <ns0:c r="H205" s="4">
        <ns0:v>33.55</ns0:v>
      </ns0:c>
      <ns0:c r="I205" s="4">
        <ns0:v>39.23</ns0:v>
      </ns0:c>
      <ns0:c r="J205" s="4">
        <ns0:v>28.99</ns0:v>
      </ns0:c>
      <ns0:c r="K205" s="4">
        <ns0:v>52.20</ns0:v>
      </ns0:c>
      <ns0:c r="L205" s="4">
        <ns0:v>48.61</ns0:v>
      </ns0:c>
      <ns0:c r="M205" s="4">
        <ns0:v>43.98</ns0:v>
      </ns0:c>
      <ns0:c r="N205" s="4">
        <ns0:v>51.04</ns0:v>
      </ns0:c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 t="inlineStr">
        <ns0:is>
          <ns0:t>离职补偿金单价</ns0:t>
        </ns0:is>
      </ns0:c>
      <ns0:c r="C206" s="4">
        <ns0:v>31.75</ns0:v>
      </ns0:c>
      <ns0:c r="D206" s="4">
        <ns0:v>20.02</ns0:v>
      </ns0:c>
      <ns0:c r="E206" s="4">
        <ns0:v>29.43</ns0:v>
      </ns0:c>
      <ns0:c r="F206" s="4">
        <ns0:v>26.15</ns0:v>
      </ns0:c>
      <ns0:c r="G206" s="4">
        <ns0:v>51.59</ns0:v>
      </ns0:c>
      <ns0:c r="H206" s="4">
        <ns0:v>20.40</ns0:v>
      </ns0:c>
      <ns0:c r="I206" s="4">
        <ns0:v>35.48</ns0:v>
      </ns0:c>
      <ns0:c r="J206" s="4">
        <ns0:v>57.47</ns0:v>
      </ns0:c>
      <ns0:c r="K206" s="4">
        <ns0:v>30.29</ns0:v>
      </ns0:c>
      <ns0:c r="L206" s="4">
        <ns0:v>24.62</ns0:v>
      </ns0:c>
      <ns0:c r="M206" s="4">
        <ns0:v>35.03</ns0:v>
      </ns0:c>
      <ns0:c r="N206" s="4">
        <ns0:v>38.52</ns0:v>
      </ns0:c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 t="inlineStr">
        <ns0:is>
          <ns0:t>五险一金单价</ns0:t>
        </ns0:is>
      </ns0:c>
      <ns0:c r="C207" s="4">
        <ns0:v>37.82</ns0:v>
      </ns0:c>
      <ns0:c r="D207" s="4">
        <ns0:v>49.21</ns0:v>
      </ns0:c>
      <ns0:c r="E207" s="4">
        <ns0:v>48.98</ns0:v>
      </ns0:c>
      <ns0:c r="F207" s="4">
        <ns0:v>41.85</ns0:v>
      </ns0:c>
      <ns0:c r="G207" s="4">
        <ns0:v>58.13</ns0:v>
      </ns0:c>
      <ns0:c r="H207" s="4">
        <ns0:v>19.40</ns0:v>
      </ns0:c>
      <ns0:c r="I207" s="4">
        <ns0:v>68.08</ns0:v>
      </ns0:c>
      <ns0:c r="J207" s="4">
        <ns0:v>46.13</ns0:v>
      </ns0:c>
      <ns0:c r="K207" s="4">
        <ns0:v>22.16</ns0:v>
      </ns0:c>
      <ns0:c r="L207" s="4">
        <ns0:v>24.85</ns0:v>
      </ns0:c>
      <ns0:c r="M207" s="4">
        <ns0:v>44.83</ns0:v>
      </ns0:c>
      <ns0:c r="N207" s="4">
        <ns0:v>37.59</ns0:v>
      </ns0:c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 t="inlineStr">
        <ns0:is>
          <ns0:t>福利费单价</ns0:t>
        </ns0:is>
      </ns0:c>
      <ns0:c r="C208" s="4">
        <ns0:v>56.59</ns0:v>
      </ns0:c>
      <ns0:c r="D208" s="4">
        <ns0:v>59.82</ns0:v>
      </ns0:c>
      <ns0:c r="E208" s="4">
        <ns0:v>33.53</ns0:v>
      </ns0:c>
      <ns0:c r="F208" s="4">
        <ns0:v>40.89</ns0:v>
      </ns0:c>
      <ns0:c r="G208" s="4">
        <ns0:v>30.31</ns0:v>
      </ns0:c>
      <ns0:c r="H208" s="4">
        <ns0:v>39.17</ns0:v>
      </ns0:c>
      <ns0:c r="I208" s="4">
        <ns0:v>27.07</ns0:v>
      </ns0:c>
      <ns0:c r="J208" s="4">
        <ns0:v>42.57</ns0:v>
      </ns0:c>
      <ns0:c r="K208" s="4">
        <ns0:v>50.52</ns0:v>
      </ns0:c>
      <ns0:c r="L208" s="4">
        <ns0:v>28.40</ns0:v>
      </ns0:c>
      <ns0:c r="M208" s="4">
        <ns0:v>62.01</ns0:v>
      </ns0:c>
      <ns0:c r="N208" s="4">
        <ns0:v>52.30</ns0:v>
      </ns0:c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 t="inlineStr">
        <ns0:is>
          <ns0:t>招聘费单价</ns0:t>
        </ns0:is>
      </ns0:c>
      <ns0:c r="C209" s="4">
        <ns0:v>39.79</ns0:v>
      </ns0:c>
      <ns0:c r="D209" s="4">
        <ns0:v>72.61</ns0:v>
      </ns0:c>
      <ns0:c r="E209" s="4">
        <ns0:v>63.04</ns0:v>
      </ns0:c>
      <ns0:c r="F209" s="4">
        <ns0:v>39.98</ns0:v>
      </ns0:c>
      <ns0:c r="G209" s="4">
        <ns0:v>68.21</ns0:v>
      </ns0:c>
      <ns0:c r="H209" s="4">
        <ns0:v>36.67</ns0:v>
      </ns0:c>
      <ns0:c r="I209" s="4">
        <ns0:v>30.52</ns0:v>
      </ns0:c>
      <ns0:c r="J209" s="4">
        <ns0:v>52.84</ns0:v>
      </ns0:c>
      <ns0:c r="K209" s="4">
        <ns0:v>25.18</ns0:v>
      </ns0:c>
      <ns0:c r="L209" s="4">
        <ns0:v>32.80</ns0:v>
      </ns0:c>
      <ns0:c r="M209" s="4">
        <ns0:v>67.15</ns0:v>
      </ns0:c>
      <ns0:c r="N209" s="4">
        <ns0:v>50.45</ns0:v>
      </ns0:c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 t="inlineStr">
        <ns0:is>
          <ns0:t>培训费单价</ns0:t>
        </ns0:is>
      </ns0:c>
      <ns0:c r="C210" s="4">
        <ns0:v>59.45</ns0:v>
      </ns0:c>
      <ns0:c r="D210" s="4">
        <ns0:v>57.42</ns0:v>
      </ns0:c>
      <ns0:c r="E210" s="4">
        <ns0:v>57.88</ns0:v>
      </ns0:c>
      <ns0:c r="F210" s="4">
        <ns0:v>55.21</ns0:v>
      </ns0:c>
      <ns0:c r="G210" s="4">
        <ns0:v>20.22</ns0:v>
      </ns0:c>
      <ns0:c r="H210" s="4">
        <ns0:v>45.16</ns0:v>
      </ns0:c>
      <ns0:c r="I210" s="4">
        <ns0:v>46.14</ns0:v>
      </ns0:c>
      <ns0:c r="J210" s="4">
        <ns0:v>34.14</ns0:v>
      </ns0:c>
      <ns0:c r="K210" s="4">
        <ns0:v>42.83</ns0:v>
      </ns0:c>
      <ns0:c r="L210" s="4">
        <ns0:v>51.04</ns0:v>
      </ns0:c>
      <ns0:c r="M210" s="4">
        <ns0:v>62.55</ns0:v>
      </ns0:c>
      <ns0:c r="N210" s="4">
        <ns0:v>36.97</ns0:v>
      </ns0:c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 t="inlineStr">
        <ns0:is>
          <ns0:t>房租单价</ns0:t>
        </ns0:is>
      </ns0:c>
      <ns0:c r="C211" s="4">
        <ns0:v>23.20</ns0:v>
      </ns0:c>
      <ns0:c r="D211" s="4">
        <ns0:v>54.67</ns0:v>
      </ns0:c>
      <ns0:c r="E211" s="4">
        <ns0:v>23.92</ns0:v>
      </ns0:c>
      <ns0:c r="F211" s="4">
        <ns0:v>21.38</ns0:v>
      </ns0:c>
      <ns0:c r="G211" s="4">
        <ns0:v>27.61</ns0:v>
      </ns0:c>
      <ns0:c r="H211" s="4">
        <ns0:v>70.93</ns0:v>
      </ns0:c>
      <ns0:c r="I211" s="4">
        <ns0:v>72.73</ns0:v>
      </ns0:c>
      <ns0:c r="J211" s="4">
        <ns0:v>34.15</ns0:v>
      </ns0:c>
      <ns0:c r="K211" s="4">
        <ns0:v>17.00</ns0:v>
      </ns0:c>
      <ns0:c r="L211" s="4">
        <ns0:v>32.43</ns0:v>
      </ns0:c>
      <ns0:c r="M211" s="4">
        <ns0:v>50.79</ns0:v>
      </ns0:c>
      <ns0:c r="N211" s="4">
        <ns0:v>47.49</ns0:v>
      </ns0:c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 t="inlineStr">
        <ns0:is>
          <ns0:t>物业管理费单价</ns0:t>
        </ns0:is>
      </ns0:c>
      <ns0:c r="C212" s="4">
        <ns0:v>22.19</ns0:v>
      </ns0:c>
      <ns0:c r="D212" s="4">
        <ns0:v>19.74</ns0:v>
      </ns0:c>
      <ns0:c r="E212" s="4">
        <ns0:v>66.62</ns0:v>
      </ns0:c>
      <ns0:c r="F212" s="4">
        <ns0:v>44.31</ns0:v>
      </ns0:c>
      <ns0:c r="G212" s="4">
        <ns0:v>40.23</ns0:v>
      </ns0:c>
      <ns0:c r="H212" s="4">
        <ns0:v>57.85</ns0:v>
      </ns0:c>
      <ns0:c r="I212" s="4">
        <ns0:v>25.16</ns0:v>
      </ns0:c>
      <ns0:c r="J212" s="4">
        <ns0:v>34.23</ns0:v>
      </ns0:c>
      <ns0:c r="K212" s="4">
        <ns0:v>28.19</ns0:v>
      </ns0:c>
      <ns0:c r="L212" s="4">
        <ns0:v>54.04</ns0:v>
      </ns0:c>
      <ns0:c r="M212" s="4">
        <ns0:v>41.90</ns0:v>
      </ns0:c>
      <ns0:c r="N212" s="4">
        <ns0:v>16.87</ns0:v>
      </ns0:c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 t="inlineStr">
        <ns0:is>
          <ns0:t>汽车费用单价</ns0:t>
        </ns0:is>
      </ns0:c>
      <ns0:c r="C213" s="4">
        <ns0:v>70.68</ns0:v>
      </ns0:c>
      <ns0:c r="D213" s="4">
        <ns0:v>44.59</ns0:v>
      </ns0:c>
      <ns0:c r="E213" s="4">
        <ns0:v>17.22</ns0:v>
      </ns0:c>
      <ns0:c r="F213" s="4">
        <ns0:v>41.23</ns0:v>
      </ns0:c>
      <ns0:c r="G213" s="4">
        <ns0:v>41.60</ns0:v>
      </ns0:c>
      <ns0:c r="H213" s="4">
        <ns0:v>22.23</ns0:v>
      </ns0:c>
      <ns0:c r="I213" s="4">
        <ns0:v>36.92</ns0:v>
      </ns0:c>
      <ns0:c r="J213" s="4">
        <ns0:v>27.53</ns0:v>
      </ns0:c>
      <ns0:c r="K213" s="4">
        <ns0:v>50.71</ns0:v>
      </ns0:c>
      <ns0:c r="L213" s="4">
        <ns0:v>46.81</ns0:v>
      </ns0:c>
      <ns0:c r="M213" s="4">
        <ns0:v>20.54</ns0:v>
      </ns0:c>
      <ns0:c r="N213" s="4">
        <ns0:v>55.62</ns0:v>
      </ns0:c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 t="inlineStr">
        <ns0:is>
          <ns0:t>办公费单价</ns0:t>
        </ns0:is>
      </ns0:c>
      <ns0:c r="C214" s="4">
        <ns0:v>19.91</ns0:v>
      </ns0:c>
      <ns0:c r="D214" s="4">
        <ns0:v>47.47</ns0:v>
      </ns0:c>
      <ns0:c r="E214" s="4">
        <ns0:v>51.56</ns0:v>
      </ns0:c>
      <ns0:c r="F214" s="4">
        <ns0:v>46.23</ns0:v>
      </ns0:c>
      <ns0:c r="G214" s="4">
        <ns0:v>20.93</ns0:v>
      </ns0:c>
      <ns0:c r="H214" s="4">
        <ns0:v>68.33</ns0:v>
      </ns0:c>
      <ns0:c r="I214" s="4">
        <ns0:v>56.03</ns0:v>
      </ns0:c>
      <ns0:c r="J214" s="4">
        <ns0:v>31.16</ns0:v>
      </ns0:c>
      <ns0:c r="K214" s="4">
        <ns0:v>49.54</ns0:v>
      </ns0:c>
      <ns0:c r="L214" s="4">
        <ns0:v>35.53</ns0:v>
      </ns0:c>
      <ns0:c r="M214" s="4">
        <ns0:v>63.85</ns0:v>
      </ns0:c>
      <ns0:c r="N214" s="4">
        <ns0:v>15.85</ns0:v>
      </ns0:c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 t="inlineStr">
        <ns0:is>
          <ns0:t>办公用品单价</ns0:t>
        </ns0:is>
      </ns0:c>
      <ns0:c r="C215" s="4">
        <ns0:v>61.02</ns0:v>
      </ns0:c>
      <ns0:c r="D215" s="4">
        <ns0:v>68.88</ns0:v>
      </ns0:c>
      <ns0:c r="E215" s="4">
        <ns0:v>47.85</ns0:v>
      </ns0:c>
      <ns0:c r="F215" s="4">
        <ns0:v>31.96</ns0:v>
      </ns0:c>
      <ns0:c r="G215" s="4">
        <ns0:v>35.06</ns0:v>
      </ns0:c>
      <ns0:c r="H215" s="4">
        <ns0:v>56.87</ns0:v>
      </ns0:c>
      <ns0:c r="I215" s="4">
        <ns0:v>38.67</ns0:v>
      </ns0:c>
      <ns0:c r="J215" s="4">
        <ns0:v>54.84</ns0:v>
      </ns0:c>
      <ns0:c r="K215" s="4">
        <ns0:v>18.43</ns0:v>
      </ns0:c>
      <ns0:c r="L215" s="4">
        <ns0:v>61.59</ns0:v>
      </ns0:c>
      <ns0:c r="M215" s="4">
        <ns0:v>23.49</ns0:v>
      </ns0:c>
      <ns0:c r="N215" s="4">
        <ns0:v>59.15</ns0:v>
      </ns0:c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 t="inlineStr">
        <ns0:is>
          <ns0:t>水电煤单价</ns0:t>
        </ns0:is>
      </ns0:c>
      <ns0:c r="C216" s="4">
        <ns0:v>63.22</ns0:v>
      </ns0:c>
      <ns0:c r="D216" s="4">
        <ns0:v>25.98</ns0:v>
      </ns0:c>
      <ns0:c r="E216" s="4">
        <ns0:v>38.47</ns0:v>
      </ns0:c>
      <ns0:c r="F216" s="4">
        <ns0:v>48.25</ns0:v>
      </ns0:c>
      <ns0:c r="G216" s="4">
        <ns0:v>15.76</ns0:v>
      </ns0:c>
      <ns0:c r="H216" s="4">
        <ns0:v>57.98</ns0:v>
      </ns0:c>
      <ns0:c r="I216" s="4">
        <ns0:v>17.89</ns0:v>
      </ns0:c>
      <ns0:c r="J216" s="4">
        <ns0:v>31.05</ns0:v>
      </ns0:c>
      <ns0:c r="K216" s="4">
        <ns0:v>44.51</ns0:v>
      </ns0:c>
      <ns0:c r="L216" s="4">
        <ns0:v>73.06</ns0:v>
      </ns0:c>
      <ns0:c r="M216" s="4">
        <ns0:v>25.43</ns0:v>
      </ns0:c>
      <ns0:c r="N216" s="4">
        <ns0:v>69.39</ns0:v>
      </ns0:c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 t="inlineStr">
        <ns0:is>
          <ns0:t>咨询服务费单价</ns0:t>
        </ns0:is>
      </ns0:c>
      <ns0:c r="C217" s="4">
        <ns0:v>25.92</ns0:v>
      </ns0:c>
      <ns0:c r="D217" s="4">
        <ns0:v>63.85</ns0:v>
      </ns0:c>
      <ns0:c r="E217" s="4">
        <ns0:v>36.41</ns0:v>
      </ns0:c>
      <ns0:c r="F217" s="4">
        <ns0:v>33.04</ns0:v>
      </ns0:c>
      <ns0:c r="G217" s="4">
        <ns0:v>27.26</ns0:v>
      </ns0:c>
      <ns0:c r="H217" s="4">
        <ns0:v>24.02</ns0:v>
      </ns0:c>
      <ns0:c r="I217" s="4">
        <ns0:v>69.16</ns0:v>
      </ns0:c>
      <ns0:c r="J217" s="4">
        <ns0:v>49.01</ns0:v>
      </ns0:c>
      <ns0:c r="K217" s="4">
        <ns0:v>71.34</ns0:v>
      </ns0:c>
      <ns0:c r="L217" s="4">
        <ns0:v>39.11</ns0:v>
      </ns0:c>
      <ns0:c r="M217" s="4">
        <ns0:v>27.22</ns0:v>
      </ns0:c>
      <ns0:c r="N217" s="4">
        <ns0:v>42.61</ns0:v>
      </ns0:c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 t="inlineStr">
        <ns0:is>
          <ns0:t>电话费单价</ns0:t>
        </ns0:is>
      </ns0:c>
      <ns0:c r="C218" s="4">
        <ns0:v>25.38</ns0:v>
      </ns0:c>
      <ns0:c r="D218" s="4">
        <ns0:v>66.97</ns0:v>
      </ns0:c>
      <ns0:c r="E218" s="4">
        <ns0:v>63.77</ns0:v>
      </ns0:c>
      <ns0:c r="F218" s="4">
        <ns0:v>61.14</ns0:v>
      </ns0:c>
      <ns0:c r="G218" s="4">
        <ns0:v>42.25</ns0:v>
      </ns0:c>
      <ns0:c r="H218" s="4">
        <ns0:v>37.17</ns0:v>
      </ns0:c>
      <ns0:c r="I218" s="4">
        <ns0:v>24.87</ns0:v>
      </ns0:c>
      <ns0:c r="J218" s="4">
        <ns0:v>48.62</ns0:v>
      </ns0:c>
      <ns0:c r="K218" s="4">
        <ns0:v>24.31</ns0:v>
      </ns0:c>
      <ns0:c r="L218" s="4">
        <ns0:v>51.22</ns0:v>
      </ns0:c>
      <ns0:c r="M218" s="4">
        <ns0:v>31.98</ns0:v>
      </ns0:c>
      <ns0:c r="N218" s="4">
        <ns0:v>57.06</ns0:v>
      </ns0:c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 t="inlineStr">
        <ns0:is>
          <ns0:t>快递费单价</ns0:t>
        </ns0:is>
      </ns0:c>
      <ns0:c r="C219" s="4">
        <ns0:v>46.58</ns0:v>
      </ns0:c>
      <ns0:c r="D219" s="4">
        <ns0:v>40.55</ns0:v>
      </ns0:c>
      <ns0:c r="E219" s="4">
        <ns0:v>30.54</ns0:v>
      </ns0:c>
      <ns0:c r="F219" s="4">
        <ns0:v>51.66</ns0:v>
      </ns0:c>
      <ns0:c r="G219" s="4">
        <ns0:v>26.79</ns0:v>
      </ns0:c>
      <ns0:c r="H219" s="4">
        <ns0:v>51.94</ns0:v>
      </ns0:c>
      <ns0:c r="I219" s="4">
        <ns0:v>35.64</ns0:v>
      </ns0:c>
      <ns0:c r="J219" s="4">
        <ns0:v>46.25</ns0:v>
      </ns0:c>
      <ns0:c r="K219" s="4">
        <ns0:v>57.87</ns0:v>
      </ns0:c>
      <ns0:c r="L219" s="4">
        <ns0:v>18.49</ns0:v>
      </ns0:c>
      <ns0:c r="M219" s="4">
        <ns0:v>40.45</ns0:v>
      </ns0:c>
      <ns0:c r="N219" s="4">
        <ns0:v>49.81</ns0:v>
      </ns0:c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 t="inlineStr">
        <ns0:is>
          <ns0:t>折旧及摊销单价</ns0:t>
        </ns0:is>
      </ns0:c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 t="inlineStr">
        <ns0:is>
          <ns0:t>机票火车票单价</ns0:t>
        </ns0:is>
      </ns0:c>
      <ns0:c r="C221" s="4">
        <ns0:v>51.66</ns0:v>
      </ns0:c>
      <ns0:c r="D221" s="4">
        <ns0:v>25.33</ns0:v>
      </ns0:c>
      <ns0:c r="E221" s="4">
        <ns0:v>59.00</ns0:v>
      </ns0:c>
      <ns0:c r="F221" s="4">
        <ns0:v>36.77</ns0:v>
      </ns0:c>
      <ns0:c r="G221" s="4">
        <ns0:v>29.36</ns0:v>
      </ns0:c>
      <ns0:c r="H221" s="4">
        <ns0:v>55.61</ns0:v>
      </ns0:c>
      <ns0:c r="I221" s="4">
        <ns0:v>58.51</ns0:v>
      </ns0:c>
      <ns0:c r="J221" s="4">
        <ns0:v>67.67</ns0:v>
      </ns0:c>
      <ns0:c r="K221" s="4">
        <ns0:v>24.72</ns0:v>
      </ns0:c>
      <ns0:c r="L221" s="4">
        <ns0:v>41.04</ns0:v>
      </ns0:c>
      <ns0:c r="M221" s="4">
        <ns0:v>27.77</ns0:v>
      </ns0:c>
      <ns0:c r="N221" s="4">
        <ns0:v>38.49</ns0:v>
      </ns0:c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 t="inlineStr">
        <ns0:is>
          <ns0:t>住宿费单价</ns0:t>
        </ns0:is>
      </ns0:c>
      <ns0:c r="C222" s="4">
        <ns0:v>36.73</ns0:v>
      </ns0:c>
      <ns0:c r="D222" s="4">
        <ns0:v>52.49</ns0:v>
      </ns0:c>
      <ns0:c r="E222" s="4">
        <ns0:v>45.17</ns0:v>
      </ns0:c>
      <ns0:c r="F222" s="4">
        <ns0:v>50.80</ns0:v>
      </ns0:c>
      <ns0:c r="G222" s="4">
        <ns0:v>53.35</ns0:v>
      </ns0:c>
      <ns0:c r="H222" s="4">
        <ns0:v>33.56</ns0:v>
      </ns0:c>
      <ns0:c r="I222" s="4">
        <ns0:v>65.03</ns0:v>
      </ns0:c>
      <ns0:c r="J222" s="4">
        <ns0:v>31.19</ns0:v>
      </ns0:c>
      <ns0:c r="K222" s="4">
        <ns0:v>52.84</ns0:v>
      </ns0:c>
      <ns0:c r="L222" s="4">
        <ns0:v>22.29</ns0:v>
      </ns0:c>
      <ns0:c r="M222" s="4">
        <ns0:v>40.65</ns0:v>
      </ns0:c>
      <ns0:c r="N222" s="4">
        <ns0:v>69.69</ns0:v>
      </ns0:c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 t="inlineStr">
        <ns0:is>
          <ns0:t>交通费单价</ns0:t>
        </ns0:is>
      </ns0:c>
      <ns0:c r="C223" s="4">
        <ns0:v>41.94</ns0:v>
      </ns0:c>
      <ns0:c r="D223" s="4">
        <ns0:v>34.75</ns0:v>
      </ns0:c>
      <ns0:c r="E223" s="4">
        <ns0:v>62.03</ns0:v>
      </ns0:c>
      <ns0:c r="F223" s="4">
        <ns0:v>28.20</ns0:v>
      </ns0:c>
      <ns0:c r="G223" s="4">
        <ns0:v>64.15</ns0:v>
      </ns0:c>
      <ns0:c r="H223" s="4">
        <ns0:v>63.98</ns0:v>
      </ns0:c>
      <ns0:c r="I223" s="4">
        <ns0:v>35.74</ns0:v>
      </ns0:c>
      <ns0:c r="J223" s="4">
        <ns0:v>70.99</ns0:v>
      </ns0:c>
      <ns0:c r="K223" s="4">
        <ns0:v>34.09</ns0:v>
      </ns0:c>
      <ns0:c r="L223" s="4">
        <ns0:v>65.49</ns0:v>
      </ns0:c>
      <ns0:c r="M223" s="4">
        <ns0:v>38.31</ns0:v>
      </ns0:c>
      <ns0:c r="N223" s="4">
        <ns0:v>47.54</ns0:v>
      </ns0:c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 t="inlineStr">
        <ns0:is>
          <ns0:t>差旅补贴单价</ns0:t>
        </ns0:is>
      </ns0:c>
      <ns0:c r="C224" s="4">
        <ns0:v>19.48</ns0:v>
      </ns0:c>
      <ns0:c r="D224" s="4">
        <ns0:v>36.84</ns0:v>
      </ns0:c>
      <ns0:c r="E224" s="4">
        <ns0:v>21.80</ns0:v>
      </ns0:c>
      <ns0:c r="F224" s="4">
        <ns0:v>34.59</ns0:v>
      </ns0:c>
      <ns0:c r="G224" s="4">
        <ns0:v>56.69</ns0:v>
      </ns0:c>
      <ns0:c r="H224" s="4">
        <ns0:v>28.98</ns0:v>
      </ns0:c>
      <ns0:c r="I224" s="4">
        <ns0:v>58.14</ns0:v>
      </ns0:c>
      <ns0:c r="J224" s="4">
        <ns0:v>47.38</ns0:v>
      </ns0:c>
      <ns0:c r="K224" s="4">
        <ns0:v>44.39</ns0:v>
      </ns0:c>
      <ns0:c r="L224" s="4">
        <ns0:v>38.70</ns0:v>
      </ns0:c>
      <ns0:c r="M224" s="4">
        <ns0:v>57.77</ns0:v>
      </ns0:c>
      <ns0:c r="N224" s="4">
        <ns0:v>53.26</ns0:v>
      </ns0:c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 t="inlineStr">
        <ns0:is>
          <ns0:t>业务招待费单价</ns0:t>
        </ns0:is>
      </ns0:c>
      <ns0:c r="C225" s="4">
        <ns0:v>55.25</ns0:v>
      </ns0:c>
      <ns0:c r="D225" s="4">
        <ns0:v>37.44</ns0:v>
      </ns0:c>
      <ns0:c r="E225" s="4">
        <ns0:v>33.98</ns0:v>
      </ns0:c>
      <ns0:c r="F225" s="4">
        <ns0:v>74.54</ns0:v>
      </ns0:c>
      <ns0:c r="G225" s="4">
        <ns0:v>30.64</ns0:v>
      </ns0:c>
      <ns0:c r="H225" s="4">
        <ns0:v>32.86</ns0:v>
      </ns0:c>
      <ns0:c r="I225" s="4">
        <ns0:v>45.42</ns0:v>
      </ns0:c>
      <ns0:c r="J225" s="4">
        <ns0:v>28.33</ns0:v>
      </ns0:c>
      <ns0:c r="K225" s="4">
        <ns0:v>30.44</ns0:v>
      </ns0:c>
      <ns0:c r="L225" s="4">
        <ns0:v>40.80</ns0:v>
      </ns0:c>
      <ns0:c r="M225" s="4">
        <ns0:v>51.68</ns0:v>
      </ns0:c>
      <ns0:c r="N225" s="4">
        <ns0:v>53.48</ns0:v>
      </ns0:c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 t="inlineStr">
        <ns0:is>
          <ns0:t>市内交通费单价</ns0:t>
        </ns0:is>
      </ns0:c>
      <ns0:c r="C226" s="4">
        <ns0:v>74.58</ns0:v>
      </ns0:c>
      <ns0:c r="D226" s="4">
        <ns0:v>66.01</ns0:v>
      </ns0:c>
      <ns0:c r="E226" s="4">
        <ns0:v>40.48</ns0:v>
      </ns0:c>
      <ns0:c r="F226" s="4">
        <ns0:v>31.64</ns0:v>
      </ns0:c>
      <ns0:c r="G226" s="4">
        <ns0:v>28.34</ns0:v>
      </ns0:c>
      <ns0:c r="H226" s="4">
        <ns0:v>28.15</ns0:v>
      </ns0:c>
      <ns0:c r="I226" s="4">
        <ns0:v>33.55</ns0:v>
      </ns0:c>
      <ns0:c r="J226" s="4">
        <ns0:v>69.26</ns0:v>
      </ns0:c>
      <ns0:c r="K226" s="4">
        <ns0:v>34.48</ns0:v>
      </ns0:c>
      <ns0:c r="L226" s="4">
        <ns0:v>32.29</ns0:v>
      </ns0:c>
      <ns0:c r="M226" s="4">
        <ns0:v>20.82</ns0:v>
      </ns0:c>
      <ns0:c r="N226" s="4">
        <ns0:v>25.89</ns0:v>
      </ns0:c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 t="inlineStr">
        <ns0:is>
          <ns0:t>调研费用单价</ns0:t>
        </ns0:is>
      </ns0:c>
      <ns0:c r="C227" s="4">
        <ns0:v>24.86</ns0:v>
      </ns0:c>
      <ns0:c r="D227" s="4">
        <ns0:v>21.92</ns0:v>
      </ns0:c>
      <ns0:c r="E227" s="4">
        <ns0:v>50.61</ns0:v>
      </ns0:c>
      <ns0:c r="F227" s="4">
        <ns0:v>44.53</ns0:v>
      </ns0:c>
      <ns0:c r="G227" s="4">
        <ns0:v>59.24</ns0:v>
      </ns0:c>
      <ns0:c r="H227" s="4">
        <ns0:v>28.37</ns0:v>
      </ns0:c>
      <ns0:c r="I227" s="4">
        <ns0:v>31.92</ns0:v>
      </ns0:c>
      <ns0:c r="J227" s="4">
        <ns0:v>23.85</ns0:v>
      </ns0:c>
      <ns0:c r="K227" s="4">
        <ns0:v>39.69</ns0:v>
      </ns0:c>
      <ns0:c r="L227" s="4">
        <ns0:v>47.36</ns0:v>
      </ns0:c>
      <ns0:c r="M227" s="4">
        <ns0:v>65.57</ns0:v>
      </ns0:c>
      <ns0:c r="N227" s="4">
        <ns0:v>24.12</ns0:v>
      </ns0:c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 t="inlineStr">
        <ns0:is>
          <ns0:t>手续费单价</ns0:t>
        </ns0:is>
      </ns0:c>
      <ns0:c r="C228" s="4">
        <ns0:v>31.19</ns0:v>
      </ns0:c>
      <ns0:c r="D228" s="4">
        <ns0:v>20.13</ns0:v>
      </ns0:c>
      <ns0:c r="E228" s="4">
        <ns0:v>41.62</ns0:v>
      </ns0:c>
      <ns0:c r="F228" s="4">
        <ns0:v>42.33</ns0:v>
      </ns0:c>
      <ns0:c r="G228" s="4">
        <ns0:v>39.61</ns0:v>
      </ns0:c>
      <ns0:c r="H228" s="4">
        <ns0:v>16.36</ns0:v>
      </ns0:c>
      <ns0:c r="I228" s="4">
        <ns0:v>58.69</ns0:v>
      </ns0:c>
      <ns0:c r="J228" s="4">
        <ns0:v>49.07</ns0:v>
      </ns0:c>
      <ns0:c r="K228" s="4">
        <ns0:v>59.27</ns0:v>
      </ns0:c>
      <ns0:c r="L228" s="4">
        <ns0:v>23.53</ns0:v>
      </ns0:c>
      <ns0:c r="M228" s="4">
        <ns0:v>39.91</ns0:v>
      </ns0:c>
      <ns0:c r="N228" s="4">
        <ns0:v>34.69</ns0:v>
      </ns0:c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 t="inlineStr">
        <ns0:is>
          <ns0:t>利息收入单价</ns0:t>
        </ns0:is>
      </ns0:c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 t="inlineStr">
        <ns0:is>
          <ns0:t>利息支出单价</ns0:t>
        </ns0:is>
      </ns0:c>
      <ns0:c r="C230" s="4">
        <ns0:v>20.99</ns0:v>
      </ns0:c>
      <ns0:c r="D230" s="4">
        <ns0:v>34.28</ns0:v>
      </ns0:c>
      <ns0:c r="E230" s="4">
        <ns0:v>22.18</ns0:v>
      </ns0:c>
      <ns0:c r="F230" s="4">
        <ns0:v>41.25</ns0:v>
      </ns0:c>
      <ns0:c r="G230" s="4">
        <ns0:v>42.93</ns0:v>
      </ns0:c>
      <ns0:c r="H230" s="4">
        <ns0:v>22.03</ns0:v>
      </ns0:c>
      <ns0:c r="I230" s="4">
        <ns0:v>53.12</ns0:v>
      </ns0:c>
      <ns0:c r="J230" s="4">
        <ns0:v>39.04</ns0:v>
      </ns0:c>
      <ns0:c r="K230" s="4">
        <ns0:v>54.56</ns0:v>
      </ns0:c>
      <ns0:c r="L230" s="4">
        <ns0:v>39.21</ns0:v>
      </ns0:c>
      <ns0:c r="M230" s="4">
        <ns0:v>34.83</ns0:v>
      </ns0:c>
      <ns0:c r="N230" s="4">
        <ns0:v>21.26</ns0:v>
      </ns0:c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 t="inlineStr">
        <ns0:is>
          <ns0:t>车船税单价</ns0:t>
        </ns0:is>
      </ns0:c>
      <ns0:c r="C231" s="4">
        <ns0:v>46.87</ns0:v>
      </ns0:c>
      <ns0:c r="D231" s="4">
        <ns0:v>51.94</ns0:v>
      </ns0:c>
      <ns0:c r="E231" s="4">
        <ns0:v>29.85</ns0:v>
      </ns0:c>
      <ns0:c r="F231" s="4">
        <ns0:v>27.93</ns0:v>
      </ns0:c>
      <ns0:c r="G231" s="4">
        <ns0:v>42.89</ns0:v>
      </ns0:c>
      <ns0:c r="H231" s="4">
        <ns0:v>45.74</ns0:v>
      </ns0:c>
      <ns0:c r="I231" s="4">
        <ns0:v>63.31</ns0:v>
      </ns0:c>
      <ns0:c r="J231" s="4">
        <ns0:v>38.48</ns0:v>
      </ns0:c>
      <ns0:c r="K231" s="4">
        <ns0:v>57.56</ns0:v>
      </ns0:c>
      <ns0:c r="L231" s="4">
        <ns0:v>53.22</ns0:v>
      </ns0:c>
      <ns0:c r="M231" s="4">
        <ns0:v>17.65</ns0:v>
      </ns0:c>
      <ns0:c r="N231" s="4">
        <ns0:v>43.63</ns0:v>
      </ns0:c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 t="inlineStr">
        <ns0:is>
          <ns0:t>印花税单价</ns0:t>
        </ns0:is>
      </ns0:c>
      <ns0:c r="C232" s="4">
        <ns0:v>21.43</ns0:v>
      </ns0:c>
      <ns0:c r="D232" s="4">
        <ns0:v>40.94</ns0:v>
      </ns0:c>
      <ns0:c r="E232" s="4">
        <ns0:v>22.87</ns0:v>
      </ns0:c>
      <ns0:c r="F232" s="4">
        <ns0:v>33.09</ns0:v>
      </ns0:c>
      <ns0:c r="G232" s="4">
        <ns0:v>51.42</ns0:v>
      </ns0:c>
      <ns0:c r="H232" s="4">
        <ns0:v>20.89</ns0:v>
      </ns0:c>
      <ns0:c r="I232" s="4">
        <ns0:v>54.47</ns0:v>
      </ns0:c>
      <ns0:c r="J232" s="4">
        <ns0:v>28.32</ns0:v>
      </ns0:c>
      <ns0:c r="K232" s="4">
        <ns0:v>51.67</ns0:v>
      </ns0:c>
      <ns0:c r="L232" s="4">
        <ns0:v>59.59</ns0:v>
      </ns0:c>
      <ns0:c r="M232" s="4">
        <ns0:v>39.82</ns0:v>
      </ns0:c>
      <ns0:c r="N232" s="4">
        <ns0:v>57.88</ns0:v>
      </ns0:c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 t="inlineStr">
        <ns0:is>
          <ns0:t>其他单价</ns0:t>
        </ns0:is>
      </ns0:c>
      <ns0:c r="C233" s="4">
        <ns0:v>22.07</ns0:v>
      </ns0:c>
      <ns0:c r="D233" s="4">
        <ns0:v>53.92</ns0:v>
      </ns0:c>
      <ns0:c r="E233" s="4">
        <ns0:v>28.92</ns0:v>
      </ns0:c>
      <ns0:c r="F233" s="4">
        <ns0:v>21.68</ns0:v>
      </ns0:c>
      <ns0:c r="G233" s="4">
        <ns0:v>61.91</ns0:v>
      </ns0:c>
      <ns0:c r="H233" s="4">
        <ns0:v>18.85</ns0:v>
      </ns0:c>
      <ns0:c r="I233" s="4">
        <ns0:v>27.84</ns0:v>
      </ns0:c>
      <ns0:c r="J233" s="4">
        <ns0:v>21.15</ns0:v>
      </ns0:c>
      <ns0:c r="K233" s="4">
        <ns0:v>31.44</ns0:v>
      </ns0:c>
      <ns0:c r="L233" s="4">
        <ns0:v>27.37</ns0:v>
      </ns0:c>
      <ns0:c r="M233" s="4">
        <ns0:v>61.23</ns0:v>
      </ns0:c>
      <ns0:c r="N233" s="4">
        <ns0:v>30.83</ns0:v>
      </ns0:c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 t="inlineStr">
        <ns0:is>
          <ns0:t>工资数量</ns0:t>
        </ns0:is>
      </ns0:c>
      <ns0:c r="C324" s="4">
        <ns0:v>3.30</ns0:v>
      </ns0:c>
      <ns0:c r="D324" s="4">
        <ns0:v>4.19</ns0:v>
      </ns0:c>
      <ns0:c r="E324" s="4">
        <ns0:v>5.68</ns0:v>
      </ns0:c>
      <ns0:c r="F324" s="4">
        <ns0:v>2.23</ns0:v>
      </ns0:c>
      <ns0:c r="G324" s="4">
        <ns0:v>6.07</ns0:v>
      </ns0:c>
      <ns0:c r="H324" s="4">
        <ns0:v>5.13</ns0:v>
      </ns0:c>
      <ns0:c r="I324" s="4">
        <ns0:v>5.15</ns0:v>
      </ns0:c>
      <ns0:c r="J324" s="4">
        <ns0:v>7.25</ns0:v>
      </ns0:c>
      <ns0:c r="K324" s="4">
        <ns0:v>7.59</ns0:v>
      </ns0:c>
      <ns0:c r="L324" s="4">
        <ns0:v>7.69</ns0:v>
      </ns0:c>
      <ns0:c r="M324" s="4">
        <ns0:v>4.12</ns0:v>
      </ns0:c>
      <ns0:c r="N324" s="4">
        <ns0:v>5.31</ns0:v>
      </ns0:c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 t="inlineStr">
        <ns0:is>
          <ns0:t>十三薪数量</ns0:t>
        </ns0:is>
      </ns0:c>
      <ns0:c r="C325" s="4">
        <ns0:v>6.89</ns0:v>
      </ns0:c>
      <ns0:c r="D325" s="4">
        <ns0:v>3.02</ns0:v>
      </ns0:c>
      <ns0:c r="E325" s="4">
        <ns0:v>7.42</ns0:v>
      </ns0:c>
      <ns0:c r="F325" s="4">
        <ns0:v>5.76</ns0:v>
      </ns0:c>
      <ns0:c r="G325" s="4">
        <ns0:v>8.88</ns0:v>
      </ns0:c>
      <ns0:c r="H325" s="4">
        <ns0:v>5.55</ns0:v>
      </ns0:c>
      <ns0:c r="I325" s="4">
        <ns0:v>7.35</ns0:v>
      </ns0:c>
      <ns0:c r="J325" s="4">
        <ns0:v>2.58</ns0:v>
      </ns0:c>
      <ns0:c r="K325" s="4">
        <ns0:v>6.51</ns0:v>
      </ns0:c>
      <ns0:c r="L325" s="4">
        <ns0:v>2.17</ns0:v>
      </ns0:c>
      <ns0:c r="M325" s="4">
        <ns0:v>2.27</ns0:v>
      </ns0:c>
      <ns0:c r="N325" s="4">
        <ns0:v>2.44</ns0:v>
      </ns0:c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 t="inlineStr">
        <ns0:is>
          <ns0:t>离职补偿金数量</ns0:t>
        </ns0:is>
      </ns0:c>
      <ns0:c r="C326" s="4">
        <ns0:v>5.73</ns0:v>
      </ns0:c>
      <ns0:c r="D326" s="4">
        <ns0:v>7.84</ns0:v>
      </ns0:c>
      <ns0:c r="E326" s="4">
        <ns0:v>5.08</ns0:v>
      </ns0:c>
      <ns0:c r="F326" s="4">
        <ns0:v>4.22</ns0:v>
      </ns0:c>
      <ns0:c r="G326" s="4">
        <ns0:v>7.46</ns0:v>
      </ns0:c>
      <ns0:c r="H326" s="4">
        <ns0:v>8.26</ns0:v>
      </ns0:c>
      <ns0:c r="I326" s="4">
        <ns0:v>6.29</ns0:v>
      </ns0:c>
      <ns0:c r="J326" s="4">
        <ns0:v>7.28</ns0:v>
      </ns0:c>
      <ns0:c r="K326" s="4">
        <ns0:v>7.32</ns0:v>
      </ns0:c>
      <ns0:c r="L326" s="4">
        <ns0:v>6.91</ns0:v>
      </ns0:c>
      <ns0:c r="M326" s="4">
        <ns0:v>7.44</ns0:v>
      </ns0:c>
      <ns0:c r="N326" s="4">
        <ns0:v>5.15</ns0:v>
      </ns0:c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 t="inlineStr">
        <ns0:is>
          <ns0:t>五险一金数量</ns0:t>
        </ns0:is>
      </ns0:c>
      <ns0:c r="C327" s="4">
        <ns0:v>4.95</ns0:v>
      </ns0:c>
      <ns0:c r="D327" s="4">
        <ns0:v>4.64</ns0:v>
      </ns0:c>
      <ns0:c r="E327" s="4">
        <ns0:v>2.47</ns0:v>
      </ns0:c>
      <ns0:c r="F327" s="4">
        <ns0:v>7.76</ns0:v>
      </ns0:c>
      <ns0:c r="G327" s="4">
        <ns0:v>7.39</ns0:v>
      </ns0:c>
      <ns0:c r="H327" s="4">
        <ns0:v>5.33</ns0:v>
      </ns0:c>
      <ns0:c r="I327" s="4">
        <ns0:v>8.04</ns0:v>
      </ns0:c>
      <ns0:c r="J327" s="4">
        <ns0:v>6.90</ns0:v>
      </ns0:c>
      <ns0:c r="K327" s="4">
        <ns0:v>6.54</ns0:v>
      </ns0:c>
      <ns0:c r="L327" s="4">
        <ns0:v>3.40</ns0:v>
      </ns0:c>
      <ns0:c r="M327" s="4">
        <ns0:v>8.55</ns0:v>
      </ns0:c>
      <ns0:c r="N327" s="4">
        <ns0:v>8.64</ns0:v>
      </ns0:c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 t="inlineStr">
        <ns0:is>
          <ns0:t>福利费数量</ns0:t>
        </ns0:is>
      </ns0:c>
      <ns0:c r="C328" s="4">
        <ns0:v>7.23</ns0:v>
      </ns0:c>
      <ns0:c r="D328" s="4">
        <ns0:v>5.99</ns0:v>
      </ns0:c>
      <ns0:c r="E328" s="4">
        <ns0:v>5.14</ns0:v>
      </ns0:c>
      <ns0:c r="F328" s="4">
        <ns0:v>2.05</ns0:v>
      </ns0:c>
      <ns0:c r="G328" s="4">
        <ns0:v>7.31</ns0:v>
      </ns0:c>
      <ns0:c r="H328" s="4">
        <ns0:v>7.12</ns0:v>
      </ns0:c>
      <ns0:c r="I328" s="4">
        <ns0:v>5.50</ns0:v>
      </ns0:c>
      <ns0:c r="J328" s="4">
        <ns0:v>2.31</ns0:v>
      </ns0:c>
      <ns0:c r="K328" s="4">
        <ns0:v>5.42</ns0:v>
      </ns0:c>
      <ns0:c r="L328" s="4">
        <ns0:v>6.81</ns0:v>
      </ns0:c>
      <ns0:c r="M328" s="4">
        <ns0:v>3.22</ns0:v>
      </ns0:c>
      <ns0:c r="N328" s="4">
        <ns0:v>3.35</ns0:v>
      </ns0:c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 t="inlineStr">
        <ns0:is>
          <ns0:t>招聘费数量</ns0:t>
        </ns0:is>
      </ns0:c>
      <ns0:c r="C329" s="4">
        <ns0:v>2.92</ns0:v>
      </ns0:c>
      <ns0:c r="D329" s="4">
        <ns0:v>4.69</ns0:v>
      </ns0:c>
      <ns0:c r="E329" s="4">
        <ns0:v>4.33</ns0:v>
      </ns0:c>
      <ns0:c r="F329" s="4">
        <ns0:v>3.09</ns0:v>
      </ns0:c>
      <ns0:c r="G329" s="4">
        <ns0:v>4.53</ns0:v>
      </ns0:c>
      <ns0:c r="H329" s="4">
        <ns0:v>6.26</ns0:v>
      </ns0:c>
      <ns0:c r="I329" s="4">
        <ns0:v>7.28</ns0:v>
      </ns0:c>
      <ns0:c r="J329" s="4">
        <ns0:v>2.02</ns0:v>
      </ns0:c>
      <ns0:c r="K329" s="4">
        <ns0:v>5.80</ns0:v>
      </ns0:c>
      <ns0:c r="L329" s="4">
        <ns0:v>4.63</ns0:v>
      </ns0:c>
      <ns0:c r="M329" s="4">
        <ns0:v>4.66</ns0:v>
      </ns0:c>
      <ns0:c r="N329" s="4">
        <ns0:v>7.26</ns0:v>
      </ns0:c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 t="inlineStr">
        <ns0:is>
          <ns0:t>培训费数量</ns0:t>
        </ns0:is>
      </ns0:c>
      <ns0:c r="C330" s="4">
        <ns0:v>2.77</ns0:v>
      </ns0:c>
      <ns0:c r="D330" s="4">
        <ns0:v>7.02</ns0:v>
      </ns0:c>
      <ns0:c r="E330" s="4">
        <ns0:v>8.62</ns0:v>
      </ns0:c>
      <ns0:c r="F330" s="4">
        <ns0:v>5.55</ns0:v>
      </ns0:c>
      <ns0:c r="G330" s="4">
        <ns0:v>2.35</ns0:v>
      </ns0:c>
      <ns0:c r="H330" s="4">
        <ns0:v>7.59</ns0:v>
      </ns0:c>
      <ns0:c r="I330" s="4">
        <ns0:v>3.90</ns0:v>
      </ns0:c>
      <ns0:c r="J330" s="4">
        <ns0:v>6.26</ns0:v>
      </ns0:c>
      <ns0:c r="K330" s="4">
        <ns0:v>6.24</ns0:v>
      </ns0:c>
      <ns0:c r="L330" s="4">
        <ns0:v>9.23</ns0:v>
      </ns0:c>
      <ns0:c r="M330" s="4">
        <ns0:v>2.70</ns0:v>
      </ns0:c>
      <ns0:c r="N330" s="4">
        <ns0:v>6.23</ns0:v>
      </ns0:c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 t="inlineStr">
        <ns0:is>
          <ns0:t>房租数量</ns0:t>
        </ns0:is>
      </ns0:c>
      <ns0:c r="C331" s="4">
        <ns0:v>8.61</ns0:v>
      </ns0:c>
      <ns0:c r="D331" s="4">
        <ns0:v>7.20</ns0:v>
      </ns0:c>
      <ns0:c r="E331" s="4">
        <ns0:v>8.78</ns0:v>
      </ns0:c>
      <ns0:c r="F331" s="4">
        <ns0:v>6.79</ns0:v>
      </ns0:c>
      <ns0:c r="G331" s="4">
        <ns0:v>7.85</ns0:v>
      </ns0:c>
      <ns0:c r="H331" s="4">
        <ns0:v>9.14</ns0:v>
      </ns0:c>
      <ns0:c r="I331" s="4">
        <ns0:v>6.82</ns0:v>
      </ns0:c>
      <ns0:c r="J331" s="4">
        <ns0:v>4.80</ns0:v>
      </ns0:c>
      <ns0:c r="K331" s="4">
        <ns0:v>5.21</ns0:v>
      </ns0:c>
      <ns0:c r="L331" s="4">
        <ns0:v>2.74</ns0:v>
      </ns0:c>
      <ns0:c r="M331" s="4">
        <ns0:v>4.33</ns0:v>
      </ns0:c>
      <ns0:c r="N331" s="4">
        <ns0:v>7.64</ns0:v>
      </ns0:c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 t="inlineStr">
        <ns0:is>
          <ns0:t>物业管理费数量</ns0:t>
        </ns0:is>
      </ns0:c>
      <ns0:c r="C332" s="4">
        <ns0:v>8.08</ns0:v>
      </ns0:c>
      <ns0:c r="D332" s="4">
        <ns0:v>5.45</ns0:v>
      </ns0:c>
      <ns0:c r="E332" s="4">
        <ns0:v>7.70</ns0:v>
      </ns0:c>
      <ns0:c r="F332" s="4">
        <ns0:v>4.66</ns0:v>
      </ns0:c>
      <ns0:c r="G332" s="4">
        <ns0:v>6.10</ns0:v>
      </ns0:c>
      <ns0:c r="H332" s="4">
        <ns0:v>6.45</ns0:v>
      </ns0:c>
      <ns0:c r="I332" s="4">
        <ns0:v>6.07</ns0:v>
      </ns0:c>
      <ns0:c r="J332" s="4">
        <ns0:v>3.12</ns0:v>
      </ns0:c>
      <ns0:c r="K332" s="4">
        <ns0:v>9.07</ns0:v>
      </ns0:c>
      <ns0:c r="L332" s="4">
        <ns0:v>8.20</ns0:v>
      </ns0:c>
      <ns0:c r="M332" s="4">
        <ns0:v>9.38</ns0:v>
      </ns0:c>
      <ns0:c r="N332" s="4">
        <ns0:v>6.36</ns0:v>
      </ns0:c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 t="inlineStr">
        <ns0:is>
          <ns0:t>汽车费用数量</ns0:t>
        </ns0:is>
      </ns0:c>
      <ns0:c r="C333" s="4">
        <ns0:v>8.41</ns0:v>
      </ns0:c>
      <ns0:c r="D333" s="4">
        <ns0:v>3.07</ns0:v>
      </ns0:c>
      <ns0:c r="E333" s="4">
        <ns0:v>7.79</ns0:v>
      </ns0:c>
      <ns0:c r="F333" s="4">
        <ns0:v>5.54</ns0:v>
      </ns0:c>
      <ns0:c r="G333" s="4">
        <ns0:v>2.49</ns0:v>
      </ns0:c>
      <ns0:c r="H333" s="4">
        <ns0:v>5.02</ns0:v>
      </ns0:c>
      <ns0:c r="I333" s="4">
        <ns0:v>7.47</ns0:v>
      </ns0:c>
      <ns0:c r="J333" s="4">
        <ns0:v>4.43</ns0:v>
      </ns0:c>
      <ns0:c r="K333" s="4">
        <ns0:v>3.78</ns0:v>
      </ns0:c>
      <ns0:c r="L333" s="4">
        <ns0:v>9.14</ns0:v>
      </ns0:c>
      <ns0:c r="M333" s="4">
        <ns0:v>7.64</ns0:v>
      </ns0:c>
      <ns0:c r="N333" s="4">
        <ns0:v>3.80</ns0:v>
      </ns0:c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 t="inlineStr">
        <ns0:is>
          <ns0:t>办公费数量</ns0:t>
        </ns0:is>
      </ns0:c>
      <ns0:c r="C334" s="4">
        <ns0:v>2.87</ns0:v>
      </ns0:c>
      <ns0:c r="D334" s="4">
        <ns0:v>6.58</ns0:v>
      </ns0:c>
      <ns0:c r="E334" s="4">
        <ns0:v>9.61</ns0:v>
      </ns0:c>
      <ns0:c r="F334" s="4">
        <ns0:v>6.32</ns0:v>
      </ns0:c>
      <ns0:c r="G334" s="4">
        <ns0:v>2.43</ns0:v>
      </ns0:c>
      <ns0:c r="H334" s="4">
        <ns0:v>3.25</ns0:v>
      </ns0:c>
      <ns0:c r="I334" s="4">
        <ns0:v>6.33</ns0:v>
      </ns0:c>
      <ns0:c r="J334" s="4">
        <ns0:v>5.08</ns0:v>
      </ns0:c>
      <ns0:c r="K334" s="4">
        <ns0:v>6.90</ns0:v>
      </ns0:c>
      <ns0:c r="L334" s="4">
        <ns0:v>6.88</ns0:v>
      </ns0:c>
      <ns0:c r="M334" s="4">
        <ns0:v>4.32</ns0:v>
      </ns0:c>
      <ns0:c r="N334" s="4">
        <ns0:v>6.85</ns0:v>
      </ns0:c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 t="inlineStr">
        <ns0:is>
          <ns0:t>办公用品数量</ns0:t>
        </ns0:is>
      </ns0:c>
      <ns0:c r="C335" s="4">
        <ns0:v>3.62</ns0:v>
      </ns0:c>
      <ns0:c r="D335" s="4">
        <ns0:v>2.37</ns0:v>
      </ns0:c>
      <ns0:c r="E335" s="4">
        <ns0:v>7.67</ns0:v>
      </ns0:c>
      <ns0:c r="F335" s="4">
        <ns0:v>2.37</ns0:v>
      </ns0:c>
      <ns0:c r="G335" s="4">
        <ns0:v>2.48</ns0:v>
      </ns0:c>
      <ns0:c r="H335" s="4">
        <ns0:v>2.22</ns0:v>
      </ns0:c>
      <ns0:c r="I335" s="4">
        <ns0:v>2.74</ns0:v>
      </ns0:c>
      <ns0:c r="J335" s="4">
        <ns0:v>3.69</ns0:v>
      </ns0:c>
      <ns0:c r="K335" s="4">
        <ns0:v>5.05</ns0:v>
      </ns0:c>
      <ns0:c r="L335" s="4">
        <ns0:v>3.96</ns0:v>
      </ns0:c>
      <ns0:c r="M335" s="4">
        <ns0:v>7.77</ns0:v>
      </ns0:c>
      <ns0:c r="N335" s="4">
        <ns0:v>6.23</ns0:v>
      </ns0:c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 t="inlineStr">
        <ns0:is>
          <ns0:t>水电煤数量</ns0:t>
        </ns0:is>
      </ns0:c>
      <ns0:c r="C336" s="4">
        <ns0:v>3.42</ns0:v>
      </ns0:c>
      <ns0:c r="D336" s="4">
        <ns0:v>4.25</ns0:v>
      </ns0:c>
      <ns0:c r="E336" s="4">
        <ns0:v>6.81</ns0:v>
      </ns0:c>
      <ns0:c r="F336" s="4">
        <ns0:v>8.41</ns0:v>
      </ns0:c>
      <ns0:c r="G336" s="4">
        <ns0:v>8.31</ns0:v>
      </ns0:c>
      <ns0:c r="H336" s="4">
        <ns0:v>4.34</ns0:v>
      </ns0:c>
      <ns0:c r="I336" s="4">
        <ns0:v>5.22</ns0:v>
      </ns0:c>
      <ns0:c r="J336" s="4">
        <ns0:v>9.34</ns0:v>
      </ns0:c>
      <ns0:c r="K336" s="4">
        <ns0:v>5.16</ns0:v>
      </ns0:c>
      <ns0:c r="L336" s="4">
        <ns0:v>6.24</ns0:v>
      </ns0:c>
      <ns0:c r="M336" s="4">
        <ns0:v>5.32</ns0:v>
      </ns0:c>
      <ns0:c r="N336" s="4">
        <ns0:v>5.92</ns0:v>
      </ns0:c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 t="inlineStr">
        <ns0:is>
          <ns0:t>咨询服务费数量</ns0:t>
        </ns0:is>
      </ns0:c>
      <ns0:c r="C337" s="4">
        <ns0:v>6.64</ns0:v>
      </ns0:c>
      <ns0:c r="D337" s="4">
        <ns0:v>4.90</ns0:v>
      </ns0:c>
      <ns0:c r="E337" s="4">
        <ns0:v>7.90</ns0:v>
      </ns0:c>
      <ns0:c r="F337" s="4">
        <ns0:v>3.72</ns0:v>
      </ns0:c>
      <ns0:c r="G337" s="4">
        <ns0:v>5.65</ns0:v>
      </ns0:c>
      <ns0:c r="H337" s="4">
        <ns0:v>5.22</ns0:v>
      </ns0:c>
      <ns0:c r="I337" s="4">
        <ns0:v>9.19</ns0:v>
      </ns0:c>
      <ns0:c r="J337" s="4">
        <ns0:v>5.94</ns0:v>
      </ns0:c>
      <ns0:c r="K337" s="4">
        <ns0:v>2.20</ns0:v>
      </ns0:c>
      <ns0:c r="L337" s="4">
        <ns0:v>8.93</ns0:v>
      </ns0:c>
      <ns0:c r="M337" s="4">
        <ns0:v>7.15</ns0:v>
      </ns0:c>
      <ns0:c r="N337" s="4">
        <ns0:v>3.45</ns0:v>
      </ns0:c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 t="inlineStr">
        <ns0:is>
          <ns0:t>电话费数量</ns0:t>
        </ns0:is>
      </ns0:c>
      <ns0:c r="C338" s="4">
        <ns0:v>6.64</ns0:v>
      </ns0:c>
      <ns0:c r="D338" s="4">
        <ns0:v>4.39</ns0:v>
      </ns0:c>
      <ns0:c r="E338" s="4">
        <ns0:v>6.77</ns0:v>
      </ns0:c>
      <ns0:c r="F338" s="4">
        <ns0:v>6.45</ns0:v>
      </ns0:c>
      <ns0:c r="G338" s="4">
        <ns0:v>2.91</ns0:v>
      </ns0:c>
      <ns0:c r="H338" s="4">
        <ns0:v>3.07</ns0:v>
      </ns0:c>
      <ns0:c r="I338" s="4">
        <ns0:v>4.86</ns0:v>
      </ns0:c>
      <ns0:c r="J338" s="4">
        <ns0:v>5.73</ns0:v>
      </ns0:c>
      <ns0:c r="K338" s="4">
        <ns0:v>4.97</ns0:v>
      </ns0:c>
      <ns0:c r="L338" s="4">
        <ns0:v>3.23</ns0:v>
      </ns0:c>
      <ns0:c r="M338" s="4">
        <ns0:v>6.67</ns0:v>
      </ns0:c>
      <ns0:c r="N338" s="4">
        <ns0:v>7.84</ns0:v>
      </ns0:c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 t="inlineStr">
        <ns0:is>
          <ns0:t>快递费数量</ns0:t>
        </ns0:is>
      </ns0:c>
      <ns0:c r="C339" s="4">
        <ns0:v>1.92</ns0:v>
      </ns0:c>
      <ns0:c r="D339" s="4">
        <ns0:v>5.58</ns0:v>
      </ns0:c>
      <ns0:c r="E339" s="4">
        <ns0:v>3.39</ns0:v>
      </ns0:c>
      <ns0:c r="F339" s="4">
        <ns0:v>6.27</ns0:v>
      </ns0:c>
      <ns0:c r="G339" s="4">
        <ns0:v>6.04</ns0:v>
      </ns0:c>
      <ns0:c r="H339" s="4">
        <ns0:v>2.75</ns0:v>
      </ns0:c>
      <ns0:c r="I339" s="4">
        <ns0:v>6.62</ns0:v>
      </ns0:c>
      <ns0:c r="J339" s="4">
        <ns0:v>3.17</ns0:v>
      </ns0:c>
      <ns0:c r="K339" s="4">
        <ns0:v>7.94</ns0:v>
      </ns0:c>
      <ns0:c r="L339" s="4">
        <ns0:v>4.80</ns0:v>
      </ns0:c>
      <ns0:c r="M339" s="4">
        <ns0:v>4.54</ns0:v>
      </ns0:c>
      <ns0:c r="N339" s="4">
        <ns0:v>8.08</ns0:v>
      </ns0:c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 t="inlineStr">
        <ns0:is>
          <ns0:t>折旧及摊销数量</ns0:t>
        </ns0:is>
      </ns0:c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 t="inlineStr">
        <ns0:is>
          <ns0:t>机票火车票数量</ns0:t>
        </ns0:is>
      </ns0:c>
      <ns0:c r="C341" s="4">
        <ns0:v>7.01</ns0:v>
      </ns0:c>
      <ns0:c r="D341" s="4">
        <ns0:v>6.35</ns0:v>
      </ns0:c>
      <ns0:c r="E341" s="4">
        <ns0:v>7.23</ns0:v>
      </ns0:c>
      <ns0:c r="F341" s="4">
        <ns0:v>5.79</ns0:v>
      </ns0:c>
      <ns0:c r="G341" s="4">
        <ns0:v>8.19</ns0:v>
      </ns0:c>
      <ns0:c r="H341" s="4">
        <ns0:v>6.12</ns0:v>
      </ns0:c>
      <ns0:c r="I341" s="4">
        <ns0:v>3.82</ns0:v>
      </ns0:c>
      <ns0:c r="J341" s="4">
        <ns0:v>5.29</ns0:v>
      </ns0:c>
      <ns0:c r="K341" s="4">
        <ns0:v>5.35</ns0:v>
      </ns0:c>
      <ns0:c r="L341" s="4">
        <ns0:v>5.03</ns0:v>
      </ns0:c>
      <ns0:c r="M341" s="4">
        <ns0:v>3.50</ns0:v>
      </ns0:c>
      <ns0:c r="N341" s="4">
        <ns0:v>2.42</ns0:v>
      </ns0:c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 t="inlineStr">
        <ns0:is>
          <ns0:t>住宿费数量</ns0:t>
        </ns0:is>
      </ns0:c>
      <ns0:c r="C342" s="4">
        <ns0:v>7.02</ns0:v>
      </ns0:c>
      <ns0:c r="D342" s="4">
        <ns0:v>2.13</ns0:v>
      </ns0:c>
      <ns0:c r="E342" s="4">
        <ns0:v>7.38</ns0:v>
      </ns0:c>
      <ns0:c r="F342" s="4">
        <ns0:v>4.11</ns0:v>
      </ns0:c>
      <ns0:c r="G342" s="4">
        <ns0:v>2.61</ns0:v>
      </ns0:c>
      <ns0:c r="H342" s="4">
        <ns0:v>6.36</ns0:v>
      </ns0:c>
      <ns0:c r="I342" s="4">
        <ns0:v>2.58</ns0:v>
      </ns0:c>
      <ns0:c r="J342" s="4">
        <ns0:v>7.82</ns0:v>
      </ns0:c>
      <ns0:c r="K342" s="4">
        <ns0:v>3.62</ns0:v>
      </ns0:c>
      <ns0:c r="L342" s="4">
        <ns0:v>4.43</ns0:v>
      </ns0:c>
      <ns0:c r="M342" s="4">
        <ns0:v>6.93</ns0:v>
      </ns0:c>
      <ns0:c r="N342" s="4">
        <ns0:v>7.84</ns0:v>
      </ns0:c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 t="inlineStr">
        <ns0:is>
          <ns0:t>交通费数量</ns0:t>
        </ns0:is>
      </ns0:c>
      <ns0:c r="C343" s="4">
        <ns0:v>2.35</ns0:v>
      </ns0:c>
      <ns0:c r="D343" s="4">
        <ns0:v>2.40</ns0:v>
      </ns0:c>
      <ns0:c r="E343" s="4">
        <ns0:v>2.36</ns0:v>
      </ns0:c>
      <ns0:c r="F343" s="4">
        <ns0:v>2.34</ns0:v>
      </ns0:c>
      <ns0:c r="G343" s="4">
        <ns0:v>7.58</ns0:v>
      </ns0:c>
      <ns0:c r="H343" s="4">
        <ns0:v>2.85</ns0:v>
      </ns0:c>
      <ns0:c r="I343" s="4">
        <ns0:v>6.46</ns0:v>
      </ns0:c>
      <ns0:c r="J343" s="4">
        <ns0:v>8.27</ns0:v>
      </ns0:c>
      <ns0:c r="K343" s="4">
        <ns0:v>2.66</ns0:v>
      </ns0:c>
      <ns0:c r="L343" s="4">
        <ns0:v>4.78</ns0:v>
      </ns0:c>
      <ns0:c r="M343" s="4">
        <ns0:v>6.77</ns0:v>
      </ns0:c>
      <ns0:c r="N343" s="4">
        <ns0:v>5.59</ns0:v>
      </ns0:c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 t="inlineStr">
        <ns0:is>
          <ns0:t>差旅补贴数量</ns0:t>
        </ns0:is>
      </ns0:c>
      <ns0:c r="C344" s="4">
        <ns0:v>5.63</ns0:v>
      </ns0:c>
      <ns0:c r="D344" s="4">
        <ns0:v>7.55</ns0:v>
      </ns0:c>
      <ns0:c r="E344" s="4">
        <ns0:v>6.86</ns0:v>
      </ns0:c>
      <ns0:c r="F344" s="4">
        <ns0:v>6.13</ns0:v>
      </ns0:c>
      <ns0:c r="G344" s="4">
        <ns0:v>10.01</ns0:v>
      </ns0:c>
      <ns0:c r="H344" s="4">
        <ns0:v>8.18</ns0:v>
      </ns0:c>
      <ns0:c r="I344" s="4">
        <ns0:v>6.21</ns0:v>
      </ns0:c>
      <ns0:c r="J344" s="4">
        <ns0:v>3.82</ns0:v>
      </ns0:c>
      <ns0:c r="K344" s="4">
        <ns0:v>7.07</ns0:v>
      </ns0:c>
      <ns0:c r="L344" s="4">
        <ns0:v>8.35</ns0:v>
      </ns0:c>
      <ns0:c r="M344" s="4">
        <ns0:v>4.31</ns0:v>
      </ns0:c>
      <ns0:c r="N344" s="4">
        <ns0:v>8.43</ns0:v>
      </ns0:c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 t="inlineStr">
        <ns0:is>
          <ns0:t>业务招待费数量</ns0:t>
        </ns0:is>
      </ns0:c>
      <ns0:c r="C345" s="4">
        <ns0:v>9.42</ns0:v>
      </ns0:c>
      <ns0:c r="D345" s="4">
        <ns0:v>8.72</ns0:v>
      </ns0:c>
      <ns0:c r="E345" s="4">
        <ns0:v>4.35</ns0:v>
      </ns0:c>
      <ns0:c r="F345" s="4">
        <ns0:v>3.25</ns0:v>
      </ns0:c>
      <ns0:c r="G345" s="4">
        <ns0:v>6.56</ns0:v>
      </ns0:c>
      <ns0:c r="H345" s="4">
        <ns0:v>2.23</ns0:v>
      </ns0:c>
      <ns0:c r="I345" s="4">
        <ns0:v>5.70</ns0:v>
      </ns0:c>
      <ns0:c r="J345" s="4">
        <ns0:v>9.26</ns0:v>
      </ns0:c>
      <ns0:c r="K345" s="4">
        <ns0:v>3.04</ns0:v>
      </ns0:c>
      <ns0:c r="L345" s="4">
        <ns0:v>9.54</ns0:v>
      </ns0:c>
      <ns0:c r="M345" s="4">
        <ns0:v>6.86</ns0:v>
      </ns0:c>
      <ns0:c r="N345" s="4">
        <ns0:v>3.38</ns0:v>
      </ns0:c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 t="inlineStr">
        <ns0:is>
          <ns0:t>市内交通费数量</ns0:t>
        </ns0:is>
      </ns0:c>
      <ns0:c r="C346" s="4">
        <ns0:v>8.31</ns0:v>
      </ns0:c>
      <ns0:c r="D346" s="4">
        <ns0:v>8.76</ns0:v>
      </ns0:c>
      <ns0:c r="E346" s="4">
        <ns0:v>2.77</ns0:v>
      </ns0:c>
      <ns0:c r="F346" s="4">
        <ns0:v>8.18</ns0:v>
      </ns0:c>
      <ns0:c r="G346" s="4">
        <ns0:v>9.55</ns0:v>
      </ns0:c>
      <ns0:c r="H346" s="4">
        <ns0:v>5.56</ns0:v>
      </ns0:c>
      <ns0:c r="I346" s="4">
        <ns0:v>7.99</ns0:v>
      </ns0:c>
      <ns0:c r="J346" s="4">
        <ns0:v>6.80</ns0:v>
      </ns0:c>
      <ns0:c r="K346" s="4">
        <ns0:v>8.54</ns0:v>
      </ns0:c>
      <ns0:c r="L346" s="4">
        <ns0:v>7.64</ns0:v>
      </ns0:c>
      <ns0:c r="M346" s="4">
        <ns0:v>5.51</ns0:v>
      </ns0:c>
      <ns0:c r="N346" s="4">
        <ns0:v>2.12</ns0:v>
      </ns0:c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 t="inlineStr">
        <ns0:is>
          <ns0:t>调研费用数量</ns0:t>
        </ns0:is>
      </ns0:c>
      <ns0:c r="C347" s="4">
        <ns0:v>6.94</ns0:v>
      </ns0:c>
      <ns0:c r="D347" s="4">
        <ns0:v>6.12</ns0:v>
      </ns0:c>
      <ns0:c r="E347" s="4">
        <ns0:v>6.55</ns0:v>
      </ns0:c>
      <ns0:c r="F347" s="4">
        <ns0:v>4.76</ns0:v>
      </ns0:c>
      <ns0:c r="G347" s="4">
        <ns0:v>3.39</ns0:v>
      </ns0:c>
      <ns0:c r="H347" s="4">
        <ns0:v>2.29</ns0:v>
      </ns0:c>
      <ns0:c r="I347" s="4">
        <ns0:v>5.62</ns0:v>
      </ns0:c>
      <ns0:c r="J347" s="4">
        <ns0:v>8.47</ns0:v>
      </ns0:c>
      <ns0:c r="K347" s="4">
        <ns0:v>3.18</ns0:v>
      </ns0:c>
      <ns0:c r="L347" s="4">
        <ns0:v>8.57</ns0:v>
      </ns0:c>
      <ns0:c r="M347" s="4">
        <ns0:v>8.85</ns0:v>
      </ns0:c>
      <ns0:c r="N347" s="4">
        <ns0:v>6.90</ns0:v>
      </ns0:c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 t="inlineStr">
        <ns0:is>
          <ns0:t>手续费数量</ns0:t>
        </ns0:is>
      </ns0:c>
      <ns0:c r="C348" s="4">
        <ns0:v>6.46</ns0:v>
      </ns0:c>
      <ns0:c r="D348" s="4">
        <ns0:v>7.78</ns0:v>
      </ns0:c>
      <ns0:c r="E348" s="4">
        <ns0:v>2.84</ns0:v>
      </ns0:c>
      <ns0:c r="F348" s="4">
        <ns0:v>5.33</ns0:v>
      </ns0:c>
      <ns0:c r="G348" s="4">
        <ns0:v>6.93</ns0:v>
      </ns0:c>
      <ns0:c r="H348" s="4">
        <ns0:v>4.96</ns0:v>
      </ns0:c>
      <ns0:c r="I348" s="4">
        <ns0:v>9.36</ns0:v>
      </ns0:c>
      <ns0:c r="J348" s="4">
        <ns0:v>5.07</ns0:v>
      </ns0:c>
      <ns0:c r="K348" s="4">
        <ns0:v>6.35</ns0:v>
      </ns0:c>
      <ns0:c r="L348" s="4">
        <ns0:v>10.11</ns0:v>
      </ns0:c>
      <ns0:c r="M348" s="4">
        <ns0:v>9.36</ns0:v>
      </ns0:c>
      <ns0:c r="N348" s="4">
        <ns0:v>6.46</ns0:v>
      </ns0:c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 t="inlineStr">
        <ns0:is>
          <ns0:t>利息收入数量</ns0:t>
        </ns0:is>
      </ns0:c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 t="inlineStr">
        <ns0:is>
          <ns0:t>利息支出数量</ns0:t>
        </ns0:is>
      </ns0:c>
      <ns0:c r="C350" s="4">
        <ns0:v>4.05</ns0:v>
      </ns0:c>
      <ns0:c r="D350" s="4">
        <ns0:v>6.80</ns0:v>
      </ns0:c>
      <ns0:c r="E350" s="4">
        <ns0:v>4.83</ns0:v>
      </ns0:c>
      <ns0:c r="F350" s="4">
        <ns0:v>2.92</ns0:v>
      </ns0:c>
      <ns0:c r="G350" s="4">
        <ns0:v>3.10</ns0:v>
      </ns0:c>
      <ns0:c r="H350" s="4">
        <ns0:v>2.69</ns0:v>
      </ns0:c>
      <ns0:c r="I350" s="4">
        <ns0:v>4.25</ns0:v>
      </ns0:c>
      <ns0:c r="J350" s="4">
        <ns0:v>4.33</ns0:v>
      </ns0:c>
      <ns0:c r="K350" s="4">
        <ns0:v>3.36</ns0:v>
      </ns0:c>
      <ns0:c r="L350" s="4">
        <ns0:v>6.79</ns0:v>
      </ns0:c>
      <ns0:c r="M350" s="4">
        <ns0:v>7.79</ns0:v>
      </ns0:c>
      <ns0:c r="N350" s="4">
        <ns0:v>4.26</ns0:v>
      </ns0:c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 t="inlineStr">
        <ns0:is>
          <ns0:t>车船税数量</ns0:t>
        </ns0:is>
      </ns0:c>
      <ns0:c r="C351" s="4">
        <ns0:v>6.75</ns0:v>
      </ns0:c>
      <ns0:c r="D351" s="4">
        <ns0:v>3.80</ns0:v>
      </ns0:c>
      <ns0:c r="E351" s="4">
        <ns0:v>4.78</ns0:v>
      </ns0:c>
      <ns0:c r="F351" s="4">
        <ns0:v>8.84</ns0:v>
      </ns0:c>
      <ns0:c r="G351" s="4">
        <ns0:v>4.60</ns0:v>
      </ns0:c>
      <ns0:c r="H351" s="4">
        <ns0:v>5.46</ns0:v>
      </ns0:c>
      <ns0:c r="I351" s="4">
        <ns0:v>8.26</ns0:v>
      </ns0:c>
      <ns0:c r="J351" s="4">
        <ns0:v>5.69</ns0:v>
      </ns0:c>
      <ns0:c r="K351" s="4">
        <ns0:v>7.95</ns0:v>
      </ns0:c>
      <ns0:c r="L351" s="4">
        <ns0:v>5.56</ns0:v>
      </ns0:c>
      <ns0:c r="M351" s="4">
        <ns0:v>8.39</ns0:v>
      </ns0:c>
      <ns0:c r="N351" s="4">
        <ns0:v>6.30</ns0:v>
      </ns0:c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 t="inlineStr">
        <ns0:is>
          <ns0:t>印花税数量</ns0:t>
        </ns0:is>
      </ns0:c>
      <ns0:c r="C352" s="4">
        <ns0:v>4.85</ns0:v>
      </ns0:c>
      <ns0:c r="D352" s="4">
        <ns0:v>3.53</ns0:v>
      </ns0:c>
      <ns0:c r="E352" s="4">
        <ns0:v>2.34</ns0:v>
      </ns0:c>
      <ns0:c r="F352" s="4">
        <ns0:v>2.22</ns0:v>
      </ns0:c>
      <ns0:c r="G352" s="4">
        <ns0:v>7.12</ns0:v>
      </ns0:c>
      <ns0:c r="H352" s="4">
        <ns0:v>4.68</ns0:v>
      </ns0:c>
      <ns0:c r="I352" s="4">
        <ns0:v>7.01</ns0:v>
      </ns0:c>
      <ns0:c r="J352" s="4">
        <ns0:v>3.89</ns0:v>
      </ns0:c>
      <ns0:c r="K352" s="4">
        <ns0:v>6.78</ns0:v>
      </ns0:c>
      <ns0:c r="L352" s="4">
        <ns0:v>4.74</ns0:v>
      </ns0:c>
      <ns0:c r="M352" s="4">
        <ns0:v>7.97</ns0:v>
      </ns0:c>
      <ns0:c r="N352" s="4">
        <ns0:v>5.16</ns0:v>
      </ns0:c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 t="inlineStr">
        <ns0:is>
          <ns0:t>其他数量</ns0:t>
        </ns0:is>
      </ns0:c>
      <ns0:c r="C353" s="4">
        <ns0:v>2.43</ns0:v>
      </ns0:c>
      <ns0:c r="D353" s="4">
        <ns0:v>2.32</ns0:v>
      </ns0:c>
      <ns0:c r="E353" s="4">
        <ns0:v>8.02</ns0:v>
      </ns0:c>
      <ns0:c r="F353" s="4">
        <ns0:v>6.56</ns0:v>
      </ns0:c>
      <ns0:c r="G353" s="4">
        <ns0:v>7.24</ns0:v>
      </ns0:c>
      <ns0:c r="H353" s="4">
        <ns0:v>3.22</ns0:v>
      </ns0:c>
      <ns0:c r="I353" s="4">
        <ns0:v>9.14</ns0:v>
      </ns0:c>
      <ns0:c r="J353" s="4">
        <ns0:v>2.76</ns0:v>
      </ns0:c>
      <ns0:c r="K353" s="4">
        <ns0:v>8.69</ns0:v>
      </ns0:c>
      <ns0:c r="L353" s="4">
        <ns0:v>3.64</ns0:v>
      </ns0:c>
      <ns0:c r="M353" s="4">
        <ns0:v>5.59</ns0:v>
      </ns0:c>
      <ns0:c r="N353" s="4">
        <ns0:v>6.92</ns0:v>
      </ns0:c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mergeCells>
    <ns0:mergeCell ref="A25:B25"/>
    <ns0:mergeCell ref="A26:B26"/>
    <ns0:mergeCell ref="A27:B27"/>
    <ns0:mergeCell ref="A33:B33"/>
    <ns0:mergeCell ref="A34:B34"/>
    <ns0:mergeCell ref="A35:B35"/>
    <ns0:mergeCell ref="A36:B36"/>
    <ns0:mergeCell ref="A4:A10"/>
    <ns0:mergeCell ref="A11:A20"/>
    <ns0:mergeCell ref="A21:A24"/>
    <ns0:mergeCell ref="A29:A30"/>
    <ns0:mergeCell ref="A31:A32"/>
    <ns0:mergeCell ref="A2:B3"/>
  </ns0:mergeCells>
  <ns0:pageMargins left="0.7" right="0.7" top="0.75" bottom="0.75" header="0.3" footer="0.3"/>
</ns0:worksheet>
</file>

<file path=xl/worksheets/sheet8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12.625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12.625" hidden="0" customWidth="1"/>
    <ns0:col min="17" max="17" width="12.625" hidden="0" customWidth="1"/>
    <ns0:col min="18" max="18" width="9" hidden="0" customWidth="1"/>
    <ns0:col min="19" max="19" width="9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 t="inlineStr">
        <ns0:is>
          <ns0:t>管理费用</ns0:t>
        </ns0:is>
      </ns0:c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 t="inlineStr">
        <ns0:is>
          <ns0:t>项目</ns0:t>
        </ns0:is>
      </ns0:c>
      <ns0:c r="B2" s="2"/>
      <ns0:c r="C2" s="3" t="inlineStr">
        <ns0:is>
          <ns0:t>预算基础（月度，元）</ns0:t>
        </ns0:is>
      </ns0:c>
      <ns0:c r="D2" s="3"/>
      <ns0:c r="E2" s="3"/>
      <ns0:c r="F2" s="3"/>
      <ns0:c r="G2" s="3"/>
      <ns0:c r="H2" s="3"/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E-5f17fa2948</ns0:t>
        </ns0:is>
      </ns0:c>
    </ns0:row>
    <ns0:row r="3" ht="20" customHeight="1">
      <ns0:c r="A3" s="2"/>
      <ns0:c r="B3" s="2"/>
      <ns0:c r="C3" s="6" t="inlineStr">
        <ns0:is>
          <ns0:t>2027-01</ns0:t>
        </ns0:is>
      </ns0:c>
      <ns0:c r="D3" s="6" t="inlineStr">
        <ns0:is>
          <ns0:t>2027-02</ns0:t>
        </ns0:is>
      </ns0:c>
      <ns0:c r="E3" s="6" t="inlineStr">
        <ns0:is>
          <ns0:t>2027-03</ns0:t>
        </ns0:is>
      </ns0:c>
      <ns0:c r="F3" s="6" t="inlineStr">
        <ns0:is>
          <ns0:t>2027-04</ns0:t>
        </ns0:is>
      </ns0:c>
      <ns0:c r="G3" s="6" t="inlineStr">
        <ns0:is>
          <ns0:t>2027-05</ns0:t>
        </ns0:is>
      </ns0:c>
      <ns0:c r="H3" s="6" t="inlineStr">
        <ns0:is>
          <ns0:t>2027-06</ns0:t>
        </ns0:is>
      </ns0:c>
      <ns0:c r="I3" s="6" t="inlineStr">
        <ns0:is>
          <ns0:t>2027-07</ns0:t>
        </ns0:is>
      </ns0:c>
      <ns0:c r="J3" s="6" t="inlineStr">
        <ns0:is>
          <ns0:t>2027-08</ns0:t>
        </ns0:is>
      </ns0:c>
      <ns0:c r="K3" s="6" t="inlineStr">
        <ns0:is>
          <ns0:t>2027-09</ns0:t>
        </ns0:is>
      </ns0:c>
      <ns0:c r="L3" s="6" t="inlineStr">
        <ns0:is>
          <ns0:t>2027-10</ns0:t>
        </ns0:is>
      </ns0:c>
      <ns0:c r="M3" s="6" t="inlineStr">
        <ns0:is>
          <ns0:t>2027-11</ns0:t>
        </ns0:is>
      </ns0:c>
      <ns0:c r="N3" s="6" t="inlineStr">
        <ns0:is>
          <ns0:t>2027-12</ns0:t>
        </ns0:is>
      </ns0:c>
      <ns0:c r="O3" s="6" t="inlineStr">
        <ns0:is>
          <ns0:t>小计</ns0:t>
        </ns0:is>
      </ns0:c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主体乙</ns0:t>
        </ns0:is>
      </ns0:c>
    </ns0:row>
    <ns0:row r="4" ht="20" customHeight="1">
      <ns0:c r="A4" s="2" t="inlineStr">
        <ns0:is>
          <ns0:t>员工费用</ns0:t>
        </ns0:is>
      </ns0:c>
      <ns0:c r="B4" s="2" t="inlineStr">
        <ns0:is>
          <ns0:t>工资</ns0:t>
        </ns0:is>
      </ns0:c>
      <ns0:c r="C4" s="3">
        <ns0:f>ROUND(C204*C324,2)</ns0:f>
        <ns0:v>478.49</ns0:v>
      </ns0:c>
      <ns0:c r="D4" s="3">
        <ns0:f>ROUND(D204*D324,2)</ns0:f>
        <ns0:v>144.77</ns0:v>
      </ns0:c>
      <ns0:c r="E4" s="3">
        <ns0:f>ROUND(E204*E324,2)</ns0:f>
        <ns0:v>119.75</ns0:v>
      </ns0:c>
      <ns0:c r="F4" s="3">
        <ns0:f>ROUND(F204*F324,2)</ns0:f>
        <ns0:v>264.89</ns0:v>
      </ns0:c>
      <ns0:c r="G4" s="3">
        <ns0:f>ROUND(G204*G324,2)</ns0:f>
        <ns0:v>147.37</ns0:v>
      </ns0:c>
      <ns0:c r="H4" s="3">
        <ns0:f>ROUND(H204*H324,2)</ns0:f>
        <ns0:v>248.26</ns0:v>
      </ns0:c>
      <ns0:c r="I4" s="3">
        <ns0:f>ROUND(I204*I324,2)</ns0:f>
        <ns0:v>88.05</ns0:v>
      </ns0:c>
      <ns0:c r="J4" s="3">
        <ns0:f>ROUND(J204*J324,2)</ns0:f>
        <ns0:v>187.93</ns0:v>
      </ns0:c>
      <ns0:c r="K4" s="3">
        <ns0:f>ROUND(K204*K324,2)</ns0:f>
        <ns0:v>181.75</ns0:v>
      </ns0:c>
      <ns0:c r="L4" s="3">
        <ns0:f>ROUND(L204*L324,2)</ns0:f>
        <ns0:v>210.87</ns0:v>
      </ns0:c>
      <ns0:c r="M4" s="3">
        <ns0:f>ROUND(M204*M324,2)</ns0:f>
        <ns0:v>442.35</ns0:v>
      </ns0:c>
      <ns0:c r="N4" s="3">
        <ns0:f>ROUND(N204*N324,2)</ns0:f>
        <ns0:v>367.81</ns0:v>
      </ns0:c>
      <ns0:c r="O4" s="3">
        <ns0:f>SUM(C4:N4)</ns0:f>
        <ns0:v>2882.29</ns0:v>
      </ns0:c>
      <ns0:c r="P4" s="2" t="inlineStr">
        <ns0:is>
          <ns0:t>EXP2.004</ns0:t>
        </ns0:is>
      </ns0:c>
      <ns0:c r="Q4" s="2" t="inlineStr">
        <ns0:is>
          <ns0:t>演示占位-v1</ns0:t>
        </ns0:is>
      </ns0:c>
      <ns0:c r="R4" s="2" t="inlineStr">
        <ns0:is>
          <ns0:t>模拟权责发生制</ns0:t>
        </ns0:is>
      </ns0:c>
      <ns0:c r="S4" s="2" t="inlineStr">
        <ns0:is>
          <ns0:t>2027-01</ns0:t>
        </ns0:is>
      </ns0:c>
      <ns0:c r="T4" s="2" t="inlineStr">
        <ns0:is>
          <ns0:t>2027-06</ns0:t>
        </ns0:is>
      </ns0:c>
      <ns0:c r="U4" s="2" t="inlineStr">
        <ns0:is>
          <ns0:t>无</ns0:t>
        </ns0:is>
      </ns0:c>
      <ns0:c r="V4" s="2" t="inlineStr">
        <ns0:is>
          <ns0:t>无</ns0:t>
        </ns0:is>
      </ns0:c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S-03e3bfa6bf</ns0:t>
        </ns0:is>
      </ns0:c>
    </ns0:row>
    <ns0:row r="5" ht="20" customHeight="1">
      <ns0:c r="A5" s="2"/>
      <ns0:c r="B5" s="2" t="inlineStr">
        <ns0:is>
          <ns0:t>十三薪</ns0:t>
        </ns0:is>
      </ns0:c>
      <ns0:c r="C5" s="3">
        <ns0:f>ROUND(C205*C325,2)</ns0:f>
        <ns0:v>141.45</ns0:v>
      </ns0:c>
      <ns0:c r="D5" s="3">
        <ns0:f>ROUND(D205*D325,2)</ns0:f>
        <ns0:v>266.93</ns0:v>
      </ns0:c>
      <ns0:c r="E5" s="3">
        <ns0:f>ROUND(E205*E325,2)</ns0:f>
        <ns0:v>365.16</ns0:v>
      </ns0:c>
      <ns0:c r="F5" s="3">
        <ns0:f>ROUND(F205*F325,2)</ns0:f>
        <ns0:v>125.46</ns0:v>
      </ns0:c>
      <ns0:c r="G5" s="3">
        <ns0:f>ROUND(G205*G325,2)</ns0:f>
        <ns0:v>427.06</ns0:v>
      </ns0:c>
      <ns0:c r="H5" s="3">
        <ns0:f>ROUND(H205*H325,2)</ns0:f>
        <ns0:v>173.68</ns0:v>
      </ns0:c>
      <ns0:c r="I5" s="3">
        <ns0:f>ROUND(I205*I325,2)</ns0:f>
        <ns0:v>70.84</ns0:v>
      </ns0:c>
      <ns0:c r="J5" s="3">
        <ns0:f>ROUND(J205*J325,2)</ns0:f>
        <ns0:v>228.94</ns0:v>
      </ns0:c>
      <ns0:c r="K5" s="3">
        <ns0:f>ROUND(K205*K325,2)</ns0:f>
        <ns0:v>295.83</ns0:v>
      </ns0:c>
      <ns0:c r="L5" s="3">
        <ns0:f>ROUND(L205*L325,2)</ns0:f>
        <ns0:v>112.17</ns0:v>
      </ns0:c>
      <ns0:c r="M5" s="3">
        <ns0:f>ROUND(M205*M325,2)</ns0:f>
        <ns0:v>326.05</ns0:v>
      </ns0:c>
      <ns0:c r="N5" s="3">
        <ns0:f>ROUND(N205*N325,2)</ns0:f>
        <ns0:v>160.61</ns0:v>
      </ns0:c>
      <ns0:c r="O5" s="3">
        <ns0:f>SUM(C5:N5)</ns0:f>
        <ns0:v>2694.18</ns0:v>
      </ns0:c>
      <ns0:c r="P5" s="2" t="inlineStr">
        <ns0:is>
          <ns0:t>EXP2.005</ns0:t>
        </ns0:is>
      </ns0:c>
      <ns0:c r="Q5" s="2" t="inlineStr">
        <ns0:is>
          <ns0:t>演示占位-v1</ns0:t>
        </ns0:is>
      </ns0:c>
      <ns0:c r="R5" s="2" t="inlineStr">
        <ns0:is>
          <ns0:t>模拟权责发生制</ns0:t>
        </ns0:is>
      </ns0:c>
      <ns0:c r="S5" s="2" t="inlineStr">
        <ns0:is>
          <ns0:t>2027-01</ns0:t>
        </ns0:is>
      </ns0:c>
      <ns0:c r="T5" s="2" t="inlineStr">
        <ns0:is>
          <ns0:t>2027-06</ns0:t>
        </ns0:is>
      </ns0:c>
      <ns0:c r="U5" s="2" t="inlineStr">
        <ns0:is>
          <ns0:t>无</ns0:t>
        </ns0:is>
      </ns0:c>
      <ns0:c r="V5" s="2" t="inlineStr">
        <ns0:is>
          <ns0:t>无</ns0:t>
        </ns0:is>
      </ns0:c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扩展情景</ns0:t>
        </ns0:is>
      </ns0:c>
    </ns0:row>
    <ns0:row r="6" ht="20" customHeight="1">
      <ns0:c r="A6" s="2"/>
      <ns0:c r="B6" s="2" t="inlineStr">
        <ns0:is>
          <ns0:t>离职补偿金</ns0:t>
        </ns0:is>
      </ns0:c>
      <ns0:c r="C6" s="3">
        <ns0:f>ROUND(C206*C326,2)</ns0:f>
        <ns0:v>134.45</ns0:v>
      </ns0:c>
      <ns0:c r="D6" s="3">
        <ns0:f>ROUND(D206*D326,2)</ns0:f>
        <ns0:v>50.05</ns0:v>
      </ns0:c>
      <ns0:c r="E6" s="3">
        <ns0:f>ROUND(E206*E326,2)</ns0:f>
        <ns0:v>225.16</ns0:v>
      </ns0:c>
      <ns0:c r="F6" s="3">
        <ns0:f>ROUND(F206*F326,2)</ns0:f>
        <ns0:v>336.97</ns0:v>
      </ns0:c>
      <ns0:c r="G6" s="3">
        <ns0:f>ROUND(G206*G326,2)</ns0:f>
        <ns0:v>259.01</ns0:v>
      </ns0:c>
      <ns0:c r="H6" s="3">
        <ns0:f>ROUND(H206*H326,2)</ns0:f>
        <ns0:v>131.63</ns0:v>
      </ns0:c>
      <ns0:c r="I6" s="3">
        <ns0:f>ROUND(I206*I326,2)</ns0:f>
        <ns0:v>76.36</ns0:v>
      </ns0:c>
      <ns0:c r="J6" s="3">
        <ns0:f>ROUND(J206*J326,2)</ns0:f>
        <ns0:v>141.67</ns0:v>
      </ns0:c>
      <ns0:c r="K6" s="3">
        <ns0:f>ROUND(K206*K326,2)</ns0:f>
        <ns0:v>76.28</ns0:v>
      </ns0:c>
      <ns0:c r="L6" s="3">
        <ns0:f>ROUND(L206*L326,2)</ns0:f>
        <ns0:v>247.31</ns0:v>
      </ns0:c>
      <ns0:c r="M6" s="3">
        <ns0:f>ROUND(M206*M326,2)</ns0:f>
        <ns0:v>164.55</ns0:v>
      </ns0:c>
      <ns0:c r="N6" s="3">
        <ns0:f>ROUND(N206*N326,2)</ns0:f>
        <ns0:v>189.64</ns0:v>
      </ns0:c>
      <ns0:c r="O6" s="3">
        <ns0:f>SUM(C6:N6)</ns0:f>
        <ns0:v>2033.08</ns0:v>
      </ns0:c>
      <ns0:c r="P6" s="2" t="inlineStr">
        <ns0:is>
          <ns0:t>EXP2.006</ns0:t>
        </ns0:is>
      </ns0:c>
      <ns0:c r="Q6" s="2" t="inlineStr">
        <ns0:is>
          <ns0:t>演示占位-v1</ns0:t>
        </ns0:is>
      </ns0:c>
      <ns0:c r="R6" s="2" t="inlineStr">
        <ns0:is>
          <ns0:t>模拟权责发生制</ns0:t>
        </ns0:is>
      </ns0:c>
      <ns0:c r="S6" s="2" t="inlineStr">
        <ns0:is>
          <ns0:t>2027-01</ns0:t>
        </ns0:is>
      </ns0:c>
      <ns0:c r="T6" s="2" t="inlineStr">
        <ns0:is>
          <ns0:t>2027-06</ns0:t>
        </ns0:is>
      </ns0:c>
      <ns0:c r="U6" s="2" t="inlineStr">
        <ns0:is>
          <ns0:t>无</ns0:t>
        </ns0:is>
      </ns0:c>
      <ns0:c r="V6" s="2" t="inlineStr">
        <ns0:is>
          <ns0:t>无</ns0:t>
        </ns0:is>
      </ns0:c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/>
      <ns0:c r="B7" s="2" t="inlineStr">
        <ns0:is>
          <ns0:t>五险一金</ns0:t>
        </ns0:is>
      </ns0:c>
      <ns0:c r="C7" s="3">
        <ns0:f>ROUND(C207*C327,2)</ns0:f>
        <ns0:v>169.62</ns0:v>
      </ns0:c>
      <ns0:c r="D7" s="3">
        <ns0:f>ROUND(D207*D327,2)</ns0:f>
        <ns0:v>145.53</ns0:v>
      </ns0:c>
      <ns0:c r="E7" s="3">
        <ns0:f>ROUND(E207*E327,2)</ns0:f>
        <ns0:v>185.93</ns0:v>
      </ns0:c>
      <ns0:c r="F7" s="3">
        <ns0:f>ROUND(F207*F327,2)</ns0:f>
        <ns0:v>388.93</ns0:v>
      </ns0:c>
      <ns0:c r="G7" s="3">
        <ns0:f>ROUND(G207*G327,2)</ns0:f>
        <ns0:v>133.09</ns0:v>
      </ns0:c>
      <ns0:c r="H7" s="3">
        <ns0:f>ROUND(H207*H327,2)</ns0:f>
        <ns0:v>431.39</ns0:v>
      </ns0:c>
      <ns0:c r="I7" s="3">
        <ns0:f>ROUND(I207*I327,2)</ns0:f>
        <ns0:v>445.98</ns0:v>
      </ns0:c>
      <ns0:c r="J7" s="3">
        <ns0:f>ROUND(J207*J327,2)</ns0:f>
        <ns0:v>221.13</ns0:v>
      </ns0:c>
      <ns0:c r="K7" s="3">
        <ns0:f>ROUND(K207*K327,2)</ns0:f>
        <ns0:v>402.00</ns0:v>
      </ns0:c>
      <ns0:c r="L7" s="3">
        <ns0:f>ROUND(L207*L327,2)</ns0:f>
        <ns0:v>352.68</ns0:v>
      </ns0:c>
      <ns0:c r="M7" s="3">
        <ns0:f>ROUND(M207*M327,2)</ns0:f>
        <ns0:v>342.78</ns0:v>
      </ns0:c>
      <ns0:c r="N7" s="3">
        <ns0:f>ROUND(N207*N327,2)</ns0:f>
        <ns0:v>455.85</ns0:v>
      </ns0:c>
      <ns0:c r="O7" s="3">
        <ns0:f>SUM(C7:N7)</ns0:f>
        <ns0:v>3674.91</ns0:v>
      </ns0:c>
      <ns0:c r="P7" s="2" t="inlineStr">
        <ns0:is>
          <ns0:t>EXP2.007</ns0:t>
        </ns0:is>
      </ns0:c>
      <ns0:c r="Q7" s="2" t="inlineStr">
        <ns0:is>
          <ns0:t>演示占位-v1</ns0:t>
        </ns0:is>
      </ns0:c>
      <ns0:c r="R7" s="2" t="inlineStr">
        <ns0:is>
          <ns0:t>模拟权责发生制</ns0:t>
        </ns0:is>
      </ns0:c>
      <ns0:c r="S7" s="2" t="inlineStr">
        <ns0:is>
          <ns0:t>2027-01</ns0:t>
        </ns0:is>
      </ns0:c>
      <ns0:c r="T7" s="2" t="inlineStr">
        <ns0:is>
          <ns0:t>2027-06</ns0:t>
        </ns0:is>
      </ns0:c>
      <ns0:c r="U7" s="2" t="inlineStr">
        <ns0:is>
          <ns0:t>无</ns0:t>
        </ns0:is>
      </ns0:c>
      <ns0:c r="V7" s="2" t="inlineStr">
        <ns0:is>
          <ns0:t>无</ns0:t>
        </ns0:is>
      </ns0:c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季度</ns0:t>
        </ns0:is>
      </ns0:c>
    </ns0:row>
    <ns0:row r="8" ht="20" customHeight="1">
      <ns0:c r="A8" s="2"/>
      <ns0:c r="B8" s="2" t="inlineStr">
        <ns0:is>
          <ns0:t>福利费</ns0:t>
        </ns0:is>
      </ns0:c>
      <ns0:c r="C8" s="3">
        <ns0:f>ROUND(C208*C328,2)</ns0:f>
        <ns0:v>130.23</ns0:v>
      </ns0:c>
      <ns0:c r="D8" s="3">
        <ns0:f>ROUND(D208*D328,2)</ns0:f>
        <ns0:v>464.22</ns0:v>
      </ns0:c>
      <ns0:c r="E8" s="3">
        <ns0:f>ROUND(E208*E328,2)</ns0:f>
        <ns0:v>310.05</ns0:v>
      </ns0:c>
      <ns0:c r="F8" s="3">
        <ns0:f>ROUND(F208*F328,2)</ns0:f>
        <ns0:v>100.59</ns0:v>
      </ns0:c>
      <ns0:c r="G8" s="3">
        <ns0:f>ROUND(G208*G328,2)</ns0:f>
        <ns0:v>180.24</ns0:v>
      </ns0:c>
      <ns0:c r="H8" s="3">
        <ns0:f>ROUND(H208*H328,2)</ns0:f>
        <ns0:v>469.62</ns0:v>
      </ns0:c>
      <ns0:c r="I8" s="3">
        <ns0:f>ROUND(I208*I328,2)</ns0:f>
        <ns0:v>152.28</ns0:v>
      </ns0:c>
      <ns0:c r="J8" s="3">
        <ns0:f>ROUND(J208*J328,2)</ns0:f>
        <ns0:v>442.99</ns0:v>
      </ns0:c>
      <ns0:c r="K8" s="3">
        <ns0:f>ROUND(K208*K328,2)</ns0:f>
        <ns0:v>230.28</ns0:v>
      </ns0:c>
      <ns0:c r="L8" s="3">
        <ns0:f>ROUND(L208*L328,2)</ns0:f>
        <ns0:v>401.38</ns0:v>
      </ns0:c>
      <ns0:c r="M8" s="3">
        <ns0:f>ROUND(M208*M328,2)</ns0:f>
        <ns0:v>138.39</ns0:v>
      </ns0:c>
      <ns0:c r="N8" s="3">
        <ns0:f>ROUND(N208*N328,2)</ns0:f>
        <ns0:v>477.93</ns0:v>
      </ns0:c>
      <ns0:c r="O8" s="3">
        <ns0:f>SUM(C8:N8)</ns0:f>
        <ns0:v>3498.20</ns0:v>
      </ns0:c>
      <ns0:c r="P8" s="2" t="inlineStr">
        <ns0:is>
          <ns0:t>EXP2.008</ns0:t>
        </ns0:is>
      </ns0:c>
      <ns0:c r="Q8" s="2" t="inlineStr">
        <ns0:is>
          <ns0:t>演示占位-v1</ns0:t>
        </ns0:is>
      </ns0:c>
      <ns0:c r="R8" s="2" t="inlineStr">
        <ns0:is>
          <ns0:t>模拟权责发生制</ns0:t>
        </ns0:is>
      </ns0:c>
      <ns0:c r="S8" s="2" t="inlineStr">
        <ns0:is>
          <ns0:t>2027-01</ns0:t>
        </ns0:is>
      </ns0:c>
      <ns0:c r="T8" s="2" t="inlineStr">
        <ns0:is>
          <ns0:t>2027-06</ns0:t>
        </ns0:is>
      </ns0:c>
      <ns0:c r="U8" s="2" t="inlineStr">
        <ns0:is>
          <ns0:t>无</ns0:t>
        </ns0:is>
      </ns0:c>
      <ns0:c r="V8" s="2" t="inlineStr">
        <ns0:is>
          <ns0:t>无</ns0:t>
        </ns0:is>
      </ns0:c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/>
      <ns0:c r="B9" s="2" t="inlineStr">
        <ns0:is>
          <ns0:t>招聘费</ns0:t>
        </ns0:is>
      </ns0:c>
      <ns0:c r="C9" s="3">
        <ns0:f>ROUND(C209*C329,2)</ns0:f>
        <ns0:v>356.17</ns0:v>
      </ns0:c>
      <ns0:c r="D9" s="3">
        <ns0:f>ROUND(D209*D329,2)</ns0:f>
        <ns0:v>163.26</ns0:v>
      </ns0:c>
      <ns0:c r="E9" s="3">
        <ns0:f>ROUND(E209*E329,2)</ns0:f>
        <ns0:v>344.99</ns0:v>
      </ns0:c>
      <ns0:c r="F9" s="3">
        <ns0:f>ROUND(F209*F329,2)</ns0:f>
        <ns0:v>448.56</ns0:v>
      </ns0:c>
      <ns0:c r="G9" s="3">
        <ns0:f>ROUND(G209*G329,2)</ns0:f>
        <ns0:v>237.58</ns0:v>
      </ns0:c>
      <ns0:c r="H9" s="3">
        <ns0:f>ROUND(H209*H329,2)</ns0:f>
        <ns0:v>120.93</ns0:v>
      </ns0:c>
      <ns0:c r="I9" s="3">
        <ns0:f>ROUND(I209*I329,2)</ns0:f>
        <ns0:v>349.48</ns0:v>
      </ns0:c>
      <ns0:c r="J9" s="3">
        <ns0:f>ROUND(J209*J329,2)</ns0:f>
        <ns0:v>101.79</ns0:v>
      </ns0:c>
      <ns0:c r="K9" s="3">
        <ns0:f>ROUND(K209*K329,2)</ns0:f>
        <ns0:v>322.87</ns0:v>
      </ns0:c>
      <ns0:c r="L9" s="3">
        <ns0:f>ROUND(L209*L329,2)</ns0:f>
        <ns0:v>98.13</ns0:v>
      </ns0:c>
      <ns0:c r="M9" s="3">
        <ns0:f>ROUND(M209*M329,2)</ns0:f>
        <ns0:v>215.72</ns0:v>
      </ns0:c>
      <ns0:c r="N9" s="3">
        <ns0:f>ROUND(N209*N329,2)</ns0:f>
        <ns0:v>288.33</ns0:v>
      </ns0:c>
      <ns0:c r="O9" s="3">
        <ns0:f>SUM(C9:N9)</ns0:f>
        <ns0:v>3047.81</ns0:v>
      </ns0:c>
      <ns0:c r="P9" s="2" t="inlineStr">
        <ns0:is>
          <ns0:t>EXP2.009</ns0:t>
        </ns0:is>
      </ns0:c>
      <ns0:c r="Q9" s="2" t="inlineStr">
        <ns0:is>
          <ns0:t>演示占位-v1</ns0:t>
        </ns0:is>
      </ns0:c>
      <ns0:c r="R9" s="2" t="inlineStr">
        <ns0:is>
          <ns0:t>模拟权责发生制</ns0:t>
        </ns0:is>
      </ns0:c>
      <ns0:c r="S9" s="2" t="inlineStr">
        <ns0:is>
          <ns0:t>2027-01</ns0:t>
        </ns0:is>
      </ns0:c>
      <ns0:c r="T9" s="2" t="inlineStr">
        <ns0:is>
          <ns0:t>2027-06</ns0:t>
        </ns0:is>
      </ns0:c>
      <ns0:c r="U9" s="2" t="inlineStr">
        <ns0:is>
          <ns0:t>无</ns0:t>
        </ns0:is>
      </ns0:c>
      <ns0:c r="V9" s="2" t="inlineStr">
        <ns0:is>
          <ns0:t>无</ns0:t>
        </ns0:is>
      </ns0:c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/>
      <ns0:c r="B10" s="2" t="inlineStr">
        <ns0:is>
          <ns0:t>培训费</ns0:t>
        </ns0:is>
      </ns0:c>
      <ns0:c r="C10" s="3">
        <ns0:f>ROUND(C210*C330,2)</ns0:f>
        <ns0:v>344.09</ns0:v>
      </ns0:c>
      <ns0:c r="D10" s="3">
        <ns0:f>ROUND(D210*D330,2)</ns0:f>
        <ns0:v>268.06</ns0:v>
      </ns0:c>
      <ns0:c r="E10" s="3">
        <ns0:f>ROUND(E210*E330,2)</ns0:f>
        <ns0:v>115.61</ns0:v>
      </ns0:c>
      <ns0:c r="F10" s="3">
        <ns0:f>ROUND(F210*F330,2)</ns0:f>
        <ns0:v>311.26</ns0:v>
      </ns0:c>
      <ns0:c r="G10" s="3">
        <ns0:f>ROUND(G210*G330,2)</ns0:f>
        <ns0:v>434.19</ns0:v>
      </ns0:c>
      <ns0:c r="H10" s="3">
        <ns0:f>ROUND(H210*H330,2)</ns0:f>
        <ns0:v>177.38</ns0:v>
      </ns0:c>
      <ns0:c r="I10" s="3">
        <ns0:f>ROUND(I210*I330,2)</ns0:f>
        <ns0:v>98.77</ns0:v>
      </ns0:c>
      <ns0:c r="J10" s="3">
        <ns0:f>ROUND(J210*J330,2)</ns0:f>
        <ns0:v>151.78</ns0:v>
      </ns0:c>
      <ns0:c r="K10" s="3">
        <ns0:f>ROUND(K210*K330,2)</ns0:f>
        <ns0:v>163.01</ns0:v>
      </ns0:c>
      <ns0:c r="L10" s="3">
        <ns0:f>ROUND(L210*L330,2)</ns0:f>
        <ns0:v>446.13</ns0:v>
      </ns0:c>
      <ns0:c r="M10" s="3">
        <ns0:f>ROUND(M210*M330,2)</ns0:f>
        <ns0:v>172.39</ns0:v>
      </ns0:c>
      <ns0:c r="N10" s="3">
        <ns0:f>ROUND(N210*N330,2)</ns0:f>
        <ns0:v>154.77</ns0:v>
      </ns0:c>
      <ns0:c r="O10" s="3">
        <ns0:f>SUM(C10:N10)</ns0:f>
        <ns0:v>2837.44</ns0:v>
      </ns0:c>
      <ns0:c r="P10" s="2" t="inlineStr">
        <ns0:is>
          <ns0:t>EXP2.010</ns0:t>
        </ns0:is>
      </ns0:c>
      <ns0:c r="Q10" s="2" t="inlineStr">
        <ns0:is>
          <ns0:t>演示占位-v1</ns0:t>
        </ns0:is>
      </ns0:c>
      <ns0:c r="R10" s="2" t="inlineStr">
        <ns0:is>
          <ns0:t>模拟权责发生制</ns0:t>
        </ns0:is>
      </ns0:c>
      <ns0:c r="S10" s="2" t="inlineStr">
        <ns0:is>
          <ns0:t>2027-01</ns0:t>
        </ns0:is>
      </ns0:c>
      <ns0:c r="T10" s="2" t="inlineStr">
        <ns0:is>
          <ns0:t>2027-06</ns0:t>
        </ns0:is>
      </ns0:c>
      <ns0:c r="U10" s="2" t="inlineStr">
        <ns0:is>
          <ns0:t>无</ns0:t>
        </ns0:is>
      </ns0:c>
      <ns0:c r="V10" s="2" t="inlineStr">
        <ns0:is>
          <ns0:t>无</ns0:t>
        </ns0:is>
      </ns0:c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/>
      <ns0:c r="B11" s="2" t="inlineStr">
        <ns0:is>
          <ns0:t>房租</ns0:t>
        </ns0:is>
      </ns0:c>
      <ns0:c r="C11" s="3">
        <ns0:f>ROUND(C211*C331,2)</ns0:f>
        <ns0:v>154.83</ns0:v>
      </ns0:c>
      <ns0:c r="D11" s="3">
        <ns0:f>ROUND(D211*D331,2)</ns0:f>
        <ns0:v>392.84</ns0:v>
      </ns0:c>
      <ns0:c r="E11" s="3">
        <ns0:f>ROUND(E211*E331,2)</ns0:f>
        <ns0:v>123.74</ns0:v>
      </ns0:c>
      <ns0:c r="F11" s="3">
        <ns0:f>ROUND(F211*F331,2)</ns0:f>
        <ns0:v>172.76</ns0:v>
      </ns0:c>
      <ns0:c r="G11" s="3">
        <ns0:f>ROUND(G211*G331,2)</ns0:f>
        <ns0:v>122.20</ns0:v>
      </ns0:c>
      <ns0:c r="H11" s="3">
        <ns0:f>ROUND(H211*H331,2)</ns0:f>
        <ns0:v>250.23</ns0:v>
      </ns0:c>
      <ns0:c r="I11" s="3">
        <ns0:f>ROUND(I211*I331,2)</ns0:f>
        <ns0:v>78.31</ns0:v>
      </ns0:c>
      <ns0:c r="J11" s="3">
        <ns0:f>ROUND(J211*J331,2)</ns0:f>
        <ns0:v>262.15</ns0:v>
      </ns0:c>
      <ns0:c r="K11" s="3">
        <ns0:f>ROUND(K211*K331,2)</ns0:f>
        <ns0:v>99.56</ns0:v>
      </ns0:c>
      <ns0:c r="L11" s="3">
        <ns0:f>ROUND(L211*L331,2)</ns0:f>
        <ns0:v>165.95</ns0:v>
      </ns0:c>
      <ns0:c r="M11" s="3">
        <ns0:f>ROUND(M211*M331,2)</ns0:f>
        <ns0:v>108.24</ns0:v>
      </ns0:c>
      <ns0:c r="N11" s="3">
        <ns0:f>ROUND(N211*N331,2)</ns0:f>
        <ns0:v>198.38</ns0:v>
      </ns0:c>
      <ns0:c r="O11" s="3">
        <ns0:f>SUM(C11:N11)</ns0:f>
        <ns0:v>2129.19</ns0:v>
      </ns0:c>
      <ns0:c r="P11" s="2" t="inlineStr">
        <ns0:is>
          <ns0:t>EXP2.011</ns0:t>
        </ns0:is>
      </ns0:c>
      <ns0:c r="Q11" s="2" t="inlineStr">
        <ns0:is>
          <ns0:t>演示占位-v1</ns0:t>
        </ns0:is>
      </ns0:c>
      <ns0:c r="R11" s="2" t="inlineStr">
        <ns0:is>
          <ns0:t>模拟权责发生制</ns0:t>
        </ns0:is>
      </ns0:c>
      <ns0:c r="S11" s="2" t="inlineStr">
        <ns0:is>
          <ns0:t>2027-01</ns0:t>
        </ns0:is>
      </ns0:c>
      <ns0:c r="T11" s="2" t="inlineStr">
        <ns0:is>
          <ns0:t>2027-06</ns0:t>
        </ns0:is>
      </ns0:c>
      <ns0:c r="U11" s="2" t="inlineStr">
        <ns0:is>
          <ns0:t>无</ns0:t>
        </ns0:is>
      </ns0:c>
      <ns0:c r="V11" s="2" t="inlineStr">
        <ns0:is>
          <ns0:t>无</ns0:t>
        </ns0:is>
      </ns0:c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/>
      <ns0:c r="B12" s="2" t="inlineStr">
        <ns0:is>
          <ns0:t>物业管理费</ns0:t>
        </ns0:is>
      </ns0:c>
      <ns0:c r="C12" s="3">
        <ns0:f>ROUND(C212*C332,2)</ns0:f>
        <ns0:v>71.04</ns0:v>
      </ns0:c>
      <ns0:c r="D12" s="3">
        <ns0:f>ROUND(D212*D332,2)</ns0:f>
        <ns0:v>164.79</ns0:v>
      </ns0:c>
      <ns0:c r="E12" s="3">
        <ns0:f>ROUND(E212*E332,2)</ns0:f>
        <ns0:v>432.42</ns0:v>
      </ns0:c>
      <ns0:c r="F12" s="3">
        <ns0:f>ROUND(F212*F332,2)</ns0:f>
        <ns0:v>205.33</ns0:v>
      </ns0:c>
      <ns0:c r="G12" s="3">
        <ns0:f>ROUND(G212*G332,2)</ns0:f>
        <ns0:v>104.01</ns0:v>
      </ns0:c>
      <ns0:c r="H12" s="3">
        <ns0:f>ROUND(H212*H332,2)</ns0:f>
        <ns0:v>73.56</ns0:v>
      </ns0:c>
      <ns0:c r="I12" s="3">
        <ns0:f>ROUND(I212*I332,2)</ns0:f>
        <ns0:v>640.76</ns0:v>
      </ns0:c>
      <ns0:c r="J12" s="3">
        <ns0:f>ROUND(J212*J332,2)</ns0:f>
        <ns0:v>134.54</ns0:v>
      </ns0:c>
      <ns0:c r="K12" s="3">
        <ns0:f>ROUND(K212*K332,2)</ns0:f>
        <ns0:v>472.40</ns0:v>
      </ns0:c>
      <ns0:c r="L12" s="3">
        <ns0:f>ROUND(L212*L332,2)</ns0:f>
        <ns0:v>271.84</ns0:v>
      </ns0:c>
      <ns0:c r="M12" s="3">
        <ns0:f>ROUND(M212*M332,2)</ns0:f>
        <ns0:v>387.46</ns0:v>
      </ns0:c>
      <ns0:c r="N12" s="3">
        <ns0:f>ROUND(N212*N332,2)</ns0:f>
        <ns0:v>208.59</ns0:v>
      </ns0:c>
      <ns0:c r="O12" s="3">
        <ns0:f>SUM(C12:N12)</ns0:f>
        <ns0:v>3166.74</ns0:v>
      </ns0:c>
      <ns0:c r="P12" s="2" t="inlineStr">
        <ns0:is>
          <ns0:t>EXP2.012</ns0:t>
        </ns0:is>
      </ns0:c>
      <ns0:c r="Q12" s="2" t="inlineStr">
        <ns0:is>
          <ns0:t>演示占位-v1</ns0:t>
        </ns0:is>
      </ns0:c>
      <ns0:c r="R12" s="2" t="inlineStr">
        <ns0:is>
          <ns0:t>模拟权责发生制</ns0:t>
        </ns0:is>
      </ns0:c>
      <ns0:c r="S12" s="2" t="inlineStr">
        <ns0:is>
          <ns0:t>2027-01</ns0:t>
        </ns0:is>
      </ns0:c>
      <ns0:c r="T12" s="2" t="inlineStr">
        <ns0:is>
          <ns0:t>2027-06</ns0:t>
        </ns0:is>
      </ns0:c>
      <ns0:c r="U12" s="2" t="inlineStr">
        <ns0:is>
          <ns0:t>无</ns0:t>
        </ns0:is>
      </ns0:c>
      <ns0:c r="V12" s="2" t="inlineStr">
        <ns0:is>
          <ns0:t>无</ns0:t>
        </ns0:is>
      </ns0:c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/>
      <ns0:c r="B13" s="2" t="inlineStr">
        <ns0:is>
          <ns0:t>汽车费用</ns0:t>
        </ns0:is>
      </ns0:c>
      <ns0:c r="C13" s="3">
        <ns0:f>ROUND(C213*C333,2)</ns0:f>
        <ns0:v>330.85</ns0:v>
      </ns0:c>
      <ns0:c r="D13" s="3">
        <ns0:f>ROUND(D213*D333,2)</ns0:f>
        <ns0:v>324.85</ns0:v>
      </ns0:c>
      <ns0:c r="E13" s="3">
        <ns0:f>ROUND(E213*E333,2)</ns0:f>
        <ns0:v>216.93</ns0:v>
      </ns0:c>
      <ns0:c r="F13" s="3">
        <ns0:f>ROUND(F213*F333,2)</ns0:f>
        <ns0:v>110.44</ns0:v>
      </ns0:c>
      <ns0:c r="G13" s="3">
        <ns0:f>ROUND(G213*G333,2)</ns0:f>
        <ns0:v>132.42</ns0:v>
      </ns0:c>
      <ns0:c r="H13" s="3">
        <ns0:f>ROUND(H213*H333,2)</ns0:f>
        <ns0:v>391.60</ns0:v>
      </ns0:c>
      <ns0:c r="I13" s="3">
        <ns0:f>ROUND(I213*I333,2)</ns0:f>
        <ns0:v>170.30</ns0:v>
      </ns0:c>
      <ns0:c r="J13" s="3">
        <ns0:f>ROUND(J213*J333,2)</ns0:f>
        <ns0:v>230.66</ns0:v>
      </ns0:c>
      <ns0:c r="K13" s="3">
        <ns0:f>ROUND(K213*K333,2)</ns0:f>
        <ns0:v>292.18</ns0:v>
      </ns0:c>
      <ns0:c r="L13" s="3">
        <ns0:f>ROUND(L213*L333,2)</ns0:f>
        <ns0:v>265.50</ns0:v>
      </ns0:c>
      <ns0:c r="M13" s="3">
        <ns0:f>ROUND(M213*M333,2)</ns0:f>
        <ns0:v>210.71</ns0:v>
      </ns0:c>
      <ns0:c r="N13" s="3">
        <ns0:f>ROUND(N213*N333,2)</ns0:f>
        <ns0:v>191.15</ns0:v>
      </ns0:c>
      <ns0:c r="O13" s="3">
        <ns0:f>SUM(C13:N13)</ns0:f>
        <ns0:v>2867.59</ns0:v>
      </ns0:c>
      <ns0:c r="P13" s="2" t="inlineStr">
        <ns0:is>
          <ns0:t>EXP2.013</ns0:t>
        </ns0:is>
      </ns0:c>
      <ns0:c r="Q13" s="2" t="inlineStr">
        <ns0:is>
          <ns0:t>演示占位-v1</ns0:t>
        </ns0:is>
      </ns0:c>
      <ns0:c r="R13" s="2" t="inlineStr">
        <ns0:is>
          <ns0:t>模拟权责发生制</ns0:t>
        </ns0:is>
      </ns0:c>
      <ns0:c r="S13" s="2" t="inlineStr">
        <ns0:is>
          <ns0:t>2027-01</ns0:t>
        </ns0:is>
      </ns0:c>
      <ns0:c r="T13" s="2" t="inlineStr">
        <ns0:is>
          <ns0:t>2027-06</ns0:t>
        </ns0:is>
      </ns0:c>
      <ns0:c r="U13" s="2" t="inlineStr">
        <ns0:is>
          <ns0:t>无</ns0:t>
        </ns0:is>
      </ns0:c>
      <ns0:c r="V13" s="2" t="inlineStr">
        <ns0:is>
          <ns0:t>无</ns0:t>
        </ns0:is>
      </ns0:c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/>
      <ns0:c r="B14" s="2" t="inlineStr">
        <ns0:is>
          <ns0:t>办公费</ns0:t>
        </ns0:is>
      </ns0:c>
      <ns0:c r="C14" s="3">
        <ns0:f>ROUND(C214*C334,2)</ns0:f>
        <ns0:v>376.83</ns0:v>
      </ns0:c>
      <ns0:c r="D14" s="3">
        <ns0:f>ROUND(D214*D334,2)</ns0:f>
        <ns0:v>211.73</ns0:v>
      </ns0:c>
      <ns0:c r="E14" s="3">
        <ns0:f>ROUND(E214*E334,2)</ns0:f>
        <ns0:v>94.06</ns0:v>
      </ns0:c>
      <ns0:c r="F14" s="3">
        <ns0:f>ROUND(F214*F334,2)</ns0:f>
        <ns0:v>319.02</ns0:v>
      </ns0:c>
      <ns0:c r="G14" s="3">
        <ns0:f>ROUND(G214*G334,2)</ns0:f>
        <ns0:v>164.02</ns0:v>
      </ns0:c>
      <ns0:c r="H14" s="3">
        <ns0:f>ROUND(H214*H334,2)</ns0:f>
        <ns0:v>152.13</ns0:v>
      </ns0:c>
      <ns0:c r="I14" s="3">
        <ns0:f>ROUND(I214*I334,2)</ns0:f>
        <ns0:v>124.17</ns0:v>
      </ns0:c>
      <ns0:c r="J14" s="3">
        <ns0:f>ROUND(J214*J334,2)</ns0:f>
        <ns0:v>158.04</ns0:v>
      </ns0:c>
      <ns0:c r="K14" s="3">
        <ns0:f>ROUND(K214*K334,2)</ns0:f>
        <ns0:v>208.99</ns0:v>
      </ns0:c>
      <ns0:c r="L14" s="3">
        <ns0:f>ROUND(L214*L334,2)</ns0:f>
        <ns0:v>187.15</ns0:v>
      </ns0:c>
      <ns0:c r="M14" s="3">
        <ns0:f>ROUND(M214*M334,2)</ns0:f>
        <ns0:v>162.13</ns0:v>
      </ns0:c>
      <ns0:c r="N14" s="3">
        <ns0:f>ROUND(N214*N334,2)</ns0:f>
        <ns0:v>129.55</ns0:v>
      </ns0:c>
      <ns0:c r="O14" s="3">
        <ns0:f>SUM(C14:N14)</ns0:f>
        <ns0:v>2287.82</ns0:v>
      </ns0:c>
      <ns0:c r="P14" s="2" t="inlineStr">
        <ns0:is>
          <ns0:t>EXP2.014</ns0:t>
        </ns0:is>
      </ns0:c>
      <ns0:c r="Q14" s="2" t="inlineStr">
        <ns0:is>
          <ns0:t>演示占位-v1</ns0:t>
        </ns0:is>
      </ns0:c>
      <ns0:c r="R14" s="2" t="inlineStr">
        <ns0:is>
          <ns0:t>模拟权责发生制</ns0:t>
        </ns0:is>
      </ns0:c>
      <ns0:c r="S14" s="2" t="inlineStr">
        <ns0:is>
          <ns0:t>2027-01</ns0:t>
        </ns0:is>
      </ns0:c>
      <ns0:c r="T14" s="2" t="inlineStr">
        <ns0:is>
          <ns0:t>2027-06</ns0:t>
        </ns0:is>
      </ns0:c>
      <ns0:c r="U14" s="2" t="inlineStr">
        <ns0:is>
          <ns0:t>无</ns0:t>
        </ns0:is>
      </ns0:c>
      <ns0:c r="V14" s="2" t="inlineStr">
        <ns0:is>
          <ns0:t>无</ns0:t>
        </ns0:is>
      </ns0:c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/>
      <ns0:c r="B15" s="2" t="inlineStr">
        <ns0:is>
          <ns0:t>办公用品</ns0:t>
        </ns0:is>
      </ns0:c>
      <ns0:c r="C15" s="3">
        <ns0:f>ROUND(C215*C335,2)</ns0:f>
        <ns0:v>353.63</ns0:v>
      </ns0:c>
      <ns0:c r="D15" s="3">
        <ns0:f>ROUND(D215*D335,2)</ns0:f>
        <ns0:v>125.28</ns0:v>
      </ns0:c>
      <ns0:c r="E15" s="3">
        <ns0:f>ROUND(E215*E335,2)</ns0:f>
        <ns0:v>369.99</ns0:v>
      </ns0:c>
      <ns0:c r="F15" s="3">
        <ns0:f>ROUND(F215*F335,2)</ns0:f>
        <ns0:v>232.71</ns0:v>
      </ns0:c>
      <ns0:c r="G15" s="3">
        <ns0:f>ROUND(G215*G335,2)</ns0:f>
        <ns0:v>271.36</ns0:v>
      </ns0:c>
      <ns0:c r="H15" s="3">
        <ns0:f>ROUND(H215*H335,2)</ns0:f>
        <ns0:v>281.15</ns0:v>
      </ns0:c>
      <ns0:c r="I15" s="3">
        <ns0:f>ROUND(I215*I335,2)</ns0:f>
        <ns0:v>326.90</ns0:v>
      </ns0:c>
      <ns0:c r="J15" s="3">
        <ns0:f>ROUND(J215*J335,2)</ns0:f>
        <ns0:v>377.02</ns0:v>
      </ns0:c>
      <ns0:c r="K15" s="3">
        <ns0:f>ROUND(K215*K335,2)</ns0:f>
        <ns0:v>126.02</ns0:v>
      </ns0:c>
      <ns0:c r="L15" s="3">
        <ns0:f>ROUND(L215*L335,2)</ns0:f>
        <ns0:v>221.70</ns0:v>
      </ns0:c>
      <ns0:c r="M15" s="3">
        <ns0:f>ROUND(M215*M335,2)</ns0:f>
        <ns0:v>152.42</ns0:v>
      </ns0:c>
      <ns0:c r="N15" s="3">
        <ns0:f>ROUND(N215*N335,2)</ns0:f>
        <ns0:v>275.59</ns0:v>
      </ns0:c>
      <ns0:c r="O15" s="3">
        <ns0:f>SUM(C15:N15)</ns0:f>
        <ns0:v>3113.77</ns0:v>
      </ns0:c>
      <ns0:c r="P15" s="2" t="inlineStr">
        <ns0:is>
          <ns0:t>EXP2.015</ns0:t>
        </ns0:is>
      </ns0:c>
      <ns0:c r="Q15" s="2" t="inlineStr">
        <ns0:is>
          <ns0:t>演示占位-v1</ns0:t>
        </ns0:is>
      </ns0:c>
      <ns0:c r="R15" s="2" t="inlineStr">
        <ns0:is>
          <ns0:t>模拟权责发生制</ns0:t>
        </ns0:is>
      </ns0:c>
      <ns0:c r="S15" s="2" t="inlineStr">
        <ns0:is>
          <ns0:t>2027-01</ns0:t>
        </ns0:is>
      </ns0:c>
      <ns0:c r="T15" s="2" t="inlineStr">
        <ns0:is>
          <ns0:t>2027-06</ns0:t>
        </ns0:is>
      </ns0:c>
      <ns0:c r="U15" s="2" t="inlineStr">
        <ns0:is>
          <ns0:t>无</ns0:t>
        </ns0:is>
      </ns0:c>
      <ns0:c r="V15" s="2" t="inlineStr">
        <ns0:is>
          <ns0:t>无</ns0:t>
        </ns0:is>
      </ns0:c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/>
      <ns0:c r="B16" s="2" t="inlineStr">
        <ns0:is>
          <ns0:t>水电煤</ns0:t>
        </ns0:is>
      </ns0:c>
      <ns0:c r="C16" s="3">
        <ns0:f>ROUND(C216*C336,2)</ns0:f>
        <ns0:v>385.75</ns0:v>
      </ns0:c>
      <ns0:c r="D16" s="3">
        <ns0:f>ROUND(D216*D336,2)</ns0:f>
        <ns0:v>105.45</ns0:v>
      </ns0:c>
      <ns0:c r="E16" s="3">
        <ns0:f>ROUND(E216*E336,2)</ns0:f>
        <ns0:v>130.30</ns0:v>
      </ns0:c>
      <ns0:c r="F16" s="3">
        <ns0:f>ROUND(F216*F336,2)</ns0:f>
        <ns0:v>268.04</ns0:v>
      </ns0:c>
      <ns0:c r="G16" s="3">
        <ns0:f>ROUND(G216*G336,2)</ns0:f>
        <ns0:v>153.09</ns0:v>
      </ns0:c>
      <ns0:c r="H16" s="3">
        <ns0:f>ROUND(H216*H336,2)</ns0:f>
        <ns0:v>75.80</ns0:v>
      </ns0:c>
      <ns0:c r="I16" s="3">
        <ns0:f>ROUND(I216*I336,2)</ns0:f>
        <ns0:v>118.99</ns0:v>
      </ns0:c>
      <ns0:c r="J16" s="3">
        <ns0:f>ROUND(J216*J336,2)</ns0:f>
        <ns0:v>103.24</ns0:v>
      </ns0:c>
      <ns0:c r="K16" s="3">
        <ns0:f>ROUND(K216*K336,2)</ns0:f>
        <ns0:v>530.99</ns0:v>
      </ns0:c>
      <ns0:c r="L16" s="3">
        <ns0:f>ROUND(L216*L336,2)</ns0:f>
        <ns0:v>278.98</ns0:v>
      </ns0:c>
      <ns0:c r="M16" s="3">
        <ns0:f>ROUND(M216*M336,2)</ns0:f>
        <ns0:v>521.85</ns0:v>
      </ns0:c>
      <ns0:c r="N16" s="3">
        <ns0:f>ROUND(N216*N336,2)</ns0:f>
        <ns0:v>513.73</ns0:v>
      </ns0:c>
      <ns0:c r="O16" s="3">
        <ns0:f>SUM(C16:N16)</ns0:f>
        <ns0:v>3186.21</ns0:v>
      </ns0:c>
      <ns0:c r="P16" s="2" t="inlineStr">
        <ns0:is>
          <ns0:t>EXP2.016</ns0:t>
        </ns0:is>
      </ns0:c>
      <ns0:c r="Q16" s="2" t="inlineStr">
        <ns0:is>
          <ns0:t>演示占位-v1</ns0:t>
        </ns0:is>
      </ns0:c>
      <ns0:c r="R16" s="2" t="inlineStr">
        <ns0:is>
          <ns0:t>模拟权责发生制</ns0:t>
        </ns0:is>
      </ns0:c>
      <ns0:c r="S16" s="2" t="inlineStr">
        <ns0:is>
          <ns0:t>2027-01</ns0:t>
        </ns0:is>
      </ns0:c>
      <ns0:c r="T16" s="2" t="inlineStr">
        <ns0:is>
          <ns0:t>2027-06</ns0:t>
        </ns0:is>
      </ns0:c>
      <ns0:c r="U16" s="2" t="inlineStr">
        <ns0:is>
          <ns0:t>无</ns0:t>
        </ns0:is>
      </ns0:c>
      <ns0:c r="V16" s="2" t="inlineStr">
        <ns0:is>
          <ns0:t>无</ns0:t>
        </ns0:is>
      </ns0:c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预算基础</ns0:t>
        </ns0:is>
      </ns0:c>
    </ns0:row>
    <ns0:row r="17" ht="20" customHeight="1">
      <ns0:c r="A17" s="2"/>
      <ns0:c r="B17" s="2" t="inlineStr">
        <ns0:is>
          <ns0:t>咨询服务费</ns0:t>
        </ns0:is>
      </ns0:c>
      <ns0:c r="C17" s="3">
        <ns0:f>ROUND(C217*C337,2)</ns0:f>
        <ns0:v>82.08</ns0:v>
      </ns0:c>
      <ns0:c r="D17" s="3">
        <ns0:f>ROUND(D217*D337,2)</ns0:f>
        <ns0:v>161.90</ns0:v>
      </ns0:c>
      <ns0:c r="E17" s="3">
        <ns0:f>ROUND(E217*E337,2)</ns0:f>
        <ns0:v>371.80</ns0:v>
      </ns0:c>
      <ns0:c r="F17" s="3">
        <ns0:f>ROUND(F217*F337,2)</ns0:f>
        <ns0:v>204.75</ns0:v>
      </ns0:c>
      <ns0:c r="G17" s="3">
        <ns0:f>ROUND(G217*G337,2)</ns0:f>
        <ns0:v>163.96</ns0:v>
      </ns0:c>
      <ns0:c r="H17" s="3">
        <ns0:f>ROUND(H217*H337,2)</ns0:f>
        <ns0:v>211.41</ns0:v>
      </ns0:c>
      <ns0:c r="I17" s="3">
        <ns0:f>ROUND(I217*I337,2)</ns0:f>
        <ns0:v>194.66</ns0:v>
      </ns0:c>
      <ns0:c r="J17" s="3">
        <ns0:f>ROUND(J217*J337,2)</ns0:f>
        <ns0:v>235.28</ns0:v>
      </ns0:c>
      <ns0:c r="K17" s="3">
        <ns0:f>ROUND(K217*K337,2)</ns0:f>
        <ns0:v>238.83</ns0:v>
      </ns0:c>
      <ns0:c r="L17" s="3">
        <ns0:f>ROUND(L217*L337,2)</ns0:f>
        <ns0:v>271.19</ns0:v>
      </ns0:c>
      <ns0:c r="M17" s="3">
        <ns0:f>ROUND(M217*M337,2)</ns0:f>
        <ns0:v>307.55</ns0:v>
      </ns0:c>
      <ns0:c r="N17" s="3">
        <ns0:f>ROUND(N217*N337,2)</ns0:f>
        <ns0:v>131.23</ns0:v>
      </ns0:c>
      <ns0:c r="O17" s="3">
        <ns0:f>SUM(C17:N17)</ns0:f>
        <ns0:v>2574.64</ns0:v>
      </ns0:c>
      <ns0:c r="P17" s="2" t="inlineStr">
        <ns0:is>
          <ns0:t>EXP2.017</ns0:t>
        </ns0:is>
      </ns0:c>
      <ns0:c r="Q17" s="2" t="inlineStr">
        <ns0:is>
          <ns0:t>演示占位-v1</ns0:t>
        </ns0:is>
      </ns0:c>
      <ns0:c r="R17" s="2" t="inlineStr">
        <ns0:is>
          <ns0:t>模拟权责发生制</ns0:t>
        </ns0:is>
      </ns0:c>
      <ns0:c r="S17" s="2" t="inlineStr">
        <ns0:is>
          <ns0:t>2027-01</ns0:t>
        </ns0:is>
      </ns0:c>
      <ns0:c r="T17" s="2" t="inlineStr">
        <ns0:is>
          <ns0:t>2027-06</ns0:t>
        </ns0:is>
      </ns0:c>
      <ns0:c r="U17" s="2" t="inlineStr">
        <ns0:is>
          <ns0:t>无</ns0:t>
        </ns0:is>
      </ns0:c>
      <ns0:c r="V17" s="2" t="inlineStr">
        <ns0:is>
          <ns0:t>无</ns0:t>
        </ns0:is>
      </ns0:c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蓝色为预算基础输入参数；示例数值为占位；金额单位：元</ns0:t>
        </ns0:is>
      </ns0:c>
    </ns0:row>
    <ns0:row r="18" ht="20" customHeight="1">
      <ns0:c r="A18" s="2"/>
      <ns0:c r="B18" s="2" t="inlineStr">
        <ns0:is>
          <ns0:t>电话费</ns0:t>
        </ns0:is>
      </ns0:c>
      <ns0:c r="C18" s="3">
        <ns0:f>ROUND(C218*C338,2)</ns0:f>
        <ns0:v>81.92</ns0:v>
      </ns0:c>
      <ns0:c r="D18" s="3">
        <ns0:f>ROUND(D218*D338,2)</ns0:f>
        <ns0:v>326.37</ns0:v>
      </ns0:c>
      <ns0:c r="E18" s="3">
        <ns0:f>ROUND(E218*E338,2)</ns0:f>
        <ns0:v>387.17</ns0:v>
      </ns0:c>
      <ns0:c r="F18" s="3">
        <ns0:f>ROUND(F218*F338,2)</ns0:f>
        <ns0:v>105.21</ns0:v>
      </ns0:c>
      <ns0:c r="G18" s="3">
        <ns0:f>ROUND(G218*G338,2)</ns0:f>
        <ns0:v>150.98</ns0:v>
      </ns0:c>
      <ns0:c r="H18" s="3">
        <ns0:f>ROUND(H218*H338,2)</ns0:f>
        <ns0:v>89.76</ns0:v>
      </ns0:c>
      <ns0:c r="I18" s="3">
        <ns0:f>ROUND(I218*I338,2)</ns0:f>
        <ns0:v>248.92</ns0:v>
      </ns0:c>
      <ns0:c r="J18" s="3">
        <ns0:f>ROUND(J218*J338,2)</ns0:f>
        <ns0:v>163.73</ns0:v>
      </ns0:c>
      <ns0:c r="K18" s="3">
        <ns0:f>ROUND(K218*K338,2)</ns0:f>
        <ns0:v>139.06</ns0:v>
      </ns0:c>
      <ns0:c r="L18" s="3">
        <ns0:f>ROUND(L218*L338,2)</ns0:f>
        <ns0:v>69.02</ns0:v>
      </ns0:c>
      <ns0:c r="M18" s="3">
        <ns0:f>ROUND(M218*M338,2)</ns0:f>
        <ns0:v>146.64</ns0:v>
      </ns0:c>
      <ns0:c r="N18" s="3">
        <ns0:f>ROUND(N218*N338,2)</ns0:f>
        <ns0:v>415.19</ns0:v>
      </ns0:c>
      <ns0:c r="O18" s="3">
        <ns0:f>SUM(C18:N18)</ns0:f>
        <ns0:v>2323.97</ns0:v>
      </ns0:c>
      <ns0:c r="P18" s="2" t="inlineStr">
        <ns0:is>
          <ns0:t>EXP2.018</ns0:t>
        </ns0:is>
      </ns0:c>
      <ns0:c r="Q18" s="2" t="inlineStr">
        <ns0:is>
          <ns0:t>演示占位-v1</ns0:t>
        </ns0:is>
      </ns0:c>
      <ns0:c r="R18" s="2" t="inlineStr">
        <ns0:is>
          <ns0:t>模拟权责发生制</ns0:t>
        </ns0:is>
      </ns0:c>
      <ns0:c r="S18" s="2" t="inlineStr">
        <ns0:is>
          <ns0:t>2027-01</ns0:t>
        </ns0:is>
      </ns0:c>
      <ns0:c r="T18" s="2" t="inlineStr">
        <ns0:is>
          <ns0:t>2027-06</ns0:t>
        </ns0:is>
      </ns0:c>
      <ns0:c r="U18" s="2" t="inlineStr">
        <ns0:is>
          <ns0:t>无</ns0:t>
        </ns0:is>
      </ns0:c>
      <ns0:c r="V18" s="2" t="inlineStr">
        <ns0:is>
          <ns0:t>无</ns0:t>
        </ns0:is>
      </ns0:c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/>
      <ns0:c r="B19" s="2" t="inlineStr">
        <ns0:is>
          <ns0:t>快递费</ns0:t>
        </ns0:is>
      </ns0:c>
      <ns0:c r="C19" s="3">
        <ns0:f>ROUND(C219*C339,2)</ns0:f>
        <ns0:v>206.42</ns0:v>
      </ns0:c>
      <ns0:c r="D19" s="3">
        <ns0:f>ROUND(D219*D339,2)</ns0:f>
        <ns0:v>155.04</ns0:v>
      </ns0:c>
      <ns0:c r="E19" s="3">
        <ns0:f>ROUND(E219*E339,2)</ns0:f>
        <ns0:v>463.78</ns0:v>
      </ns0:c>
      <ns0:c r="F19" s="3">
        <ns0:f>ROUND(F219*F339,2)</ns0:f>
        <ns0:v>163.71</ns0:v>
      </ns0:c>
      <ns0:c r="G19" s="3">
        <ns0:f>ROUND(G219*G339,2)</ns0:f>
        <ns0:v>321.46</ns0:v>
      </ns0:c>
      <ns0:c r="H19" s="3">
        <ns0:f>ROUND(H219*H339,2)</ns0:f>
        <ns0:v>110.75</ns0:v>
      </ns0:c>
      <ns0:c r="I19" s="3">
        <ns0:f>ROUND(I219*I339,2)</ns0:f>
        <ns0:v>58.59</ns0:v>
      </ns0:c>
      <ns0:c r="J19" s="3">
        <ns0:f>ROUND(J219*J339,2)</ns0:f>
        <ns0:v>269.99</ns0:v>
      </ns0:c>
      <ns0:c r="K19" s="3">
        <ns0:f>ROUND(K219*K339,2)</ns0:f>
        <ns0:v>98.35</ns0:v>
      </ns0:c>
      <ns0:c r="L19" s="3">
        <ns0:f>ROUND(L219*L339,2)</ns0:f>
        <ns0:v>215.38</ns0:v>
      </ns0:c>
      <ns0:c r="M19" s="3">
        <ns0:f>ROUND(M219*M339,2)</ns0:f>
        <ns0:v>269.01</ns0:v>
      </ns0:c>
      <ns0:c r="N19" s="3">
        <ns0:f>ROUND(N219*N339,2)</ns0:f>
        <ns0:v>426.15</ns0:v>
      </ns0:c>
      <ns0:c r="O19" s="3">
        <ns0:f>SUM(C19:N19)</ns0:f>
        <ns0:v>2758.63</ns0:v>
      </ns0:c>
      <ns0:c r="P19" s="2" t="inlineStr">
        <ns0:is>
          <ns0:t>EXP2.019</ns0:t>
        </ns0:is>
      </ns0:c>
      <ns0:c r="Q19" s="2" t="inlineStr">
        <ns0:is>
          <ns0:t>演示占位-v1</ns0:t>
        </ns0:is>
      </ns0:c>
      <ns0:c r="R19" s="2" t="inlineStr">
        <ns0:is>
          <ns0:t>模拟权责发生制</ns0:t>
        </ns0:is>
      </ns0:c>
      <ns0:c r="S19" s="2" t="inlineStr">
        <ns0:is>
          <ns0:t>2027-01</ns0:t>
        </ns0:is>
      </ns0:c>
      <ns0:c r="T19" s="2" t="inlineStr">
        <ns0:is>
          <ns0:t>2027-06</ns0:t>
        </ns0:is>
      </ns0:c>
      <ns0:c r="U19" s="2" t="inlineStr">
        <ns0:is>
          <ns0:t>无</ns0:t>
        </ns0:is>
      </ns0:c>
      <ns0:c r="V19" s="2" t="inlineStr">
        <ns0:is>
          <ns0:t>无</ns0:t>
        </ns0:is>
      </ns0:c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/>
      <ns0:c r="B20" s="2" t="inlineStr">
        <ns0:is>
          <ns0:t>折旧及摊销</ns0:t>
        </ns0:is>
      </ns0:c>
      <ns0:c r="C20" s="3">
        <ns0:f>ROUND('摊销明细'!C33/3,2)</ns0:f>
        <ns0:v>596.29</ns0:v>
      </ns0:c>
      <ns0:c r="D20" s="3">
        <ns0:f>ROUND('摊销明细'!D33/3,2)</ns0:f>
        <ns0:v>596.29</ns0:v>
      </ns0:c>
      <ns0:c r="E20" s="3">
        <ns0:f>ROUND('摊销明细'!E33/3,2)</ns0:f>
        <ns0:v>596.29</ns0:v>
      </ns0:c>
      <ns0:c r="F20" s="3">
        <ns0:f>ROUND('摊销明细'!F33/3,2)</ns0:f>
        <ns0:v>596.29</ns0:v>
      </ns0:c>
      <ns0:c r="G20" s="3">
        <ns0:f>ROUND('摊销明细'!G33/3,2)</ns0:f>
        <ns0:v>596.29</ns0:v>
      </ns0:c>
      <ns0:c r="H20" s="3">
        <ns0:f>ROUND('摊销明细'!H33/3,2)</ns0:f>
        <ns0:v>596.29</ns0:v>
      </ns0:c>
      <ns0:c r="I20" s="3">
        <ns0:f>ROUND('摊销明细'!I33/3,2)</ns0:f>
        <ns0:v>596.29</ns0:v>
      </ns0:c>
      <ns0:c r="J20" s="3">
        <ns0:f>ROUND('摊销明细'!J33/3,2)</ns0:f>
        <ns0:v>596.29</ns0:v>
      </ns0:c>
      <ns0:c r="K20" s="3">
        <ns0:f>ROUND('摊销明细'!K33/3,2)</ns0:f>
        <ns0:v>596.29</ns0:v>
      </ns0:c>
      <ns0:c r="L20" s="3">
        <ns0:f>ROUND('摊销明细'!L33/3,2)</ns0:f>
        <ns0:v>596.29</ns0:v>
      </ns0:c>
      <ns0:c r="M20" s="3">
        <ns0:f>ROUND('摊销明细'!M33/3,2)</ns0:f>
        <ns0:v>596.29</ns0:v>
      </ns0:c>
      <ns0:c r="N20" s="3">
        <ns0:f>ROUND('摊销明细'!N33/3,2)</ns0:f>
        <ns0:v>596.29</ns0:v>
      </ns0:c>
      <ns0:c r="O20" s="3">
        <ns0:f>SUM(C20:N20)</ns0:f>
        <ns0:v>7155.48</ns0:v>
      </ns0:c>
      <ns0:c r="P20" s="2" t="inlineStr">
        <ns0:is>
          <ns0:t>EXP2.020</ns0:t>
        </ns0:is>
      </ns0:c>
      <ns0:c r="Q20" s="2" t="inlineStr">
        <ns0:is>
          <ns0:t>演示占位-v1</ns0:t>
        </ns0:is>
      </ns0:c>
      <ns0:c r="R20" s="2" t="inlineStr">
        <ns0:is>
          <ns0:t>模拟权责发生制</ns0:t>
        </ns0:is>
      </ns0:c>
      <ns0:c r="S20" s="2" t="inlineStr">
        <ns0:is>
          <ns0:t>2027-01</ns0:t>
        </ns0:is>
      </ns0:c>
      <ns0:c r="T20" s="2" t="inlineStr">
        <ns0:is>
          <ns0:t>2027-06</ns0:t>
        </ns0:is>
      </ns0:c>
      <ns0:c r="U20" s="2" t="inlineStr">
        <ns0:is>
          <ns0:t>无</ns0:t>
        </ns0:is>
      </ns0:c>
      <ns0:c r="V20" s="2" t="inlineStr">
        <ns0:is>
          <ns0:t>无</ns0:t>
        </ns0:is>
      </ns0:c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 t="inlineStr">
        <ns0:is>
          <ns0:t>差旅费</ns0:t>
        </ns0:is>
      </ns0:c>
      <ns0:c r="B21" s="2" t="inlineStr">
        <ns0:is>
          <ns0:t>机票火车票</ns0:t>
        </ns0:is>
      </ns0:c>
      <ns0:c r="C21" s="3">
        <ns0:f>ROUND(C221*C341,2)</ns0:f>
        <ns0:v>312.74</ns0:v>
      </ns0:c>
      <ns0:c r="D21" s="3">
        <ns0:f>ROUND(D221*D341,2)</ns0:f>
        <ns0:v>237.66</ns0:v>
      </ns0:c>
      <ns0:c r="E21" s="3">
        <ns0:f>ROUND(E221*E341,2)</ns0:f>
        <ns0:v>313.43</ns0:v>
      </ns0:c>
      <ns0:c r="F21" s="3">
        <ns0:f>ROUND(F221*F341,2)</ns0:f>
        <ns0:v>373.21</ns0:v>
      </ns0:c>
      <ns0:c r="G21" s="3">
        <ns0:f>ROUND(G221*G341,2)</ns0:f>
        <ns0:v>305.97</ns0:v>
      </ns0:c>
      <ns0:c r="H21" s="3">
        <ns0:f>ROUND(H221*H341,2)</ns0:f>
        <ns0:v>479.82</ns0:v>
      </ns0:c>
      <ns0:c r="I21" s="3">
        <ns0:f>ROUND(I221*I341,2)</ns0:f>
        <ns0:v>256.92</ns0:v>
      </ns0:c>
      <ns0:c r="J21" s="3">
        <ns0:f>ROUND(J221*J341,2)</ns0:f>
        <ns0:v>114.56</ns0:v>
      </ns0:c>
      <ns0:c r="K21" s="3">
        <ns0:f>ROUND(K221*K341,2)</ns0:f>
        <ns0:v>311.92</ns0:v>
      </ns0:c>
      <ns0:c r="L21" s="3">
        <ns0:f>ROUND(L221*L341,2)</ns0:f>
        <ns0:v>302.20</ns0:v>
      </ns0:c>
      <ns0:c r="M21" s="3">
        <ns0:f>ROUND(M221*M341,2)</ns0:f>
        <ns0:v>296.69</ns0:v>
      </ns0:c>
      <ns0:c r="N21" s="3">
        <ns0:f>ROUND(N221*N341,2)</ns0:f>
        <ns0:v>122.40</ns0:v>
      </ns0:c>
      <ns0:c r="O21" s="3">
        <ns0:f>SUM(C21:N21)</ns0:f>
        <ns0:v>3427.52</ns0:v>
      </ns0:c>
      <ns0:c r="P21" s="2" t="inlineStr">
        <ns0:is>
          <ns0:t>EXP2.021</ns0:t>
        </ns0:is>
      </ns0:c>
      <ns0:c r="Q21" s="2" t="inlineStr">
        <ns0:is>
          <ns0:t>演示占位-v1</ns0:t>
        </ns0:is>
      </ns0:c>
      <ns0:c r="R21" s="2" t="inlineStr">
        <ns0:is>
          <ns0:t>模拟权责发生制</ns0:t>
        </ns0:is>
      </ns0:c>
      <ns0:c r="S21" s="2" t="inlineStr">
        <ns0:is>
          <ns0:t>2027-01</ns0:t>
        </ns0:is>
      </ns0:c>
      <ns0:c r="T21" s="2" t="inlineStr">
        <ns0:is>
          <ns0:t>2027-06</ns0:t>
        </ns0:is>
      </ns0:c>
      <ns0:c r="U21" s="2" t="inlineStr">
        <ns0:is>
          <ns0:t>无</ns0:t>
        </ns0:is>
      </ns0:c>
      <ns0:c r="V21" s="2" t="inlineStr">
        <ns0:is>
          <ns0:t>无</ns0:t>
        </ns0:is>
      </ns0:c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/>
      <ns0:c r="B22" s="2" t="inlineStr">
        <ns0:is>
          <ns0:t>住宿费</ns0:t>
        </ns0:is>
      </ns0:c>
      <ns0:c r="C22" s="3">
        <ns0:f>ROUND(C222*C342,2)</ns0:f>
        <ns0:v>174.54</ns0:v>
      </ns0:c>
      <ns0:c r="D22" s="3">
        <ns0:f>ROUND(D222*D342,2)</ns0:f>
        <ns0:v>155.64</ns0:v>
      </ns0:c>
      <ns0:c r="E22" s="3">
        <ns0:f>ROUND(E222*E342,2)</ns0:f>
        <ns0:v>156.70</ns0:v>
      </ns0:c>
      <ns0:c r="F22" s="3">
        <ns0:f>ROUND(F222*F342,2)</ns0:f>
        <ns0:v>321.18</ns0:v>
      </ns0:c>
      <ns0:c r="G22" s="3">
        <ns0:f>ROUND(G222*G342,2)</ns0:f>
        <ns0:v>270.35</ns0:v>
      </ns0:c>
      <ns0:c r="H22" s="3">
        <ns0:f>ROUND(H222*H342,2)</ns0:f>
        <ns0:v>113.39</ns0:v>
      </ns0:c>
      <ns0:c r="I22" s="3">
        <ns0:f>ROUND(I222*I342,2)</ns0:f>
        <ns0:v>244.97</ns0:v>
      </ns0:c>
      <ns0:c r="J22" s="3">
        <ns0:f>ROUND(J222*J342,2)</ns0:f>
        <ns0:v>417.92</ns0:v>
      </ns0:c>
      <ns0:c r="K22" s="3">
        <ns0:f>ROUND(K222*K342,2)</ns0:f>
        <ns0:v>232.75</ns0:v>
      </ns0:c>
      <ns0:c r="L22" s="3">
        <ns0:f>ROUND(L222*L342,2)</ns0:f>
        <ns0:v>326.37</ns0:v>
      </ns0:c>
      <ns0:c r="M22" s="3">
        <ns0:f>ROUND(M222*M342,2)</ns0:f>
        <ns0:v>375.73</ns0:v>
      </ns0:c>
      <ns0:c r="N22" s="3">
        <ns0:f>ROUND(N222*N342,2)</ns0:f>
        <ns0:v>285.98</ns0:v>
      </ns0:c>
      <ns0:c r="O22" s="3">
        <ns0:f>SUM(C22:N22)</ns0:f>
        <ns0:v>3075.52</ns0:v>
      </ns0:c>
      <ns0:c r="P22" s="2" t="inlineStr">
        <ns0:is>
          <ns0:t>EXP2.022</ns0:t>
        </ns0:is>
      </ns0:c>
      <ns0:c r="Q22" s="2" t="inlineStr">
        <ns0:is>
          <ns0:t>演示占位-v1</ns0:t>
        </ns0:is>
      </ns0:c>
      <ns0:c r="R22" s="2" t="inlineStr">
        <ns0:is>
          <ns0:t>模拟权责发生制</ns0:t>
        </ns0:is>
      </ns0:c>
      <ns0:c r="S22" s="2" t="inlineStr">
        <ns0:is>
          <ns0:t>2027-01</ns0:t>
        </ns0:is>
      </ns0:c>
      <ns0:c r="T22" s="2" t="inlineStr">
        <ns0:is>
          <ns0:t>2027-06</ns0:t>
        </ns0:is>
      </ns0:c>
      <ns0:c r="U22" s="2" t="inlineStr">
        <ns0:is>
          <ns0:t>无</ns0:t>
        </ns0:is>
      </ns0:c>
      <ns0:c r="V22" s="2" t="inlineStr">
        <ns0:is>
          <ns0:t>无</ns0:t>
        </ns0:is>
      </ns0:c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/>
      <ns0:c r="B23" s="2" t="inlineStr">
        <ns0:is>
          <ns0:t>交通费</ns0:t>
        </ns0:is>
      </ns0:c>
      <ns0:c r="C23" s="3">
        <ns0:f>ROUND(C223*C343,2)</ns0:f>
        <ns0:v>530.67</ns0:v>
      </ns0:c>
      <ns0:c r="D23" s="3">
        <ns0:f>ROUND(D223*D343,2)</ns0:f>
        <ns0:v>341.56</ns0:v>
      </ns0:c>
      <ns0:c r="E23" s="3">
        <ns0:f>ROUND(E223*E343,2)</ns0:f>
        <ns0:v>550.03</ns0:v>
      </ns0:c>
      <ns0:c r="F23" s="3">
        <ns0:f>ROUND(F223*F343,2)</ns0:f>
        <ns0:v>54.19</ns0:v>
      </ns0:c>
      <ns0:c r="G23" s="3">
        <ns0:f>ROUND(G223*G343,2)</ns0:f>
        <ns0:v>425.89</ns0:v>
      </ns0:c>
      <ns0:c r="H23" s="3">
        <ns0:f>ROUND(H223*H343,2)</ns0:f>
        <ns0:v>333.56</ns0:v>
      </ns0:c>
      <ns0:c r="I23" s="3">
        <ns0:f>ROUND(I223*I343,2)</ns0:f>
        <ns0:v>104.31</ns0:v>
      </ns0:c>
      <ns0:c r="J23" s="3">
        <ns0:f>ROUND(J223*J343,2)</ns0:f>
        <ns0:v>430.78</ns0:v>
      </ns0:c>
      <ns0:c r="K23" s="3">
        <ns0:f>ROUND(K223*K343,2)</ns0:f>
        <ns0:v>249.98</ns0:v>
      </ns0:c>
      <ns0:c r="L23" s="3">
        <ns0:f>ROUND(L223*L343,2)</ns0:f>
        <ns0:v>89.83</ns0:v>
      </ns0:c>
      <ns0:c r="M23" s="3">
        <ns0:f>ROUND(M223*M343,2)</ns0:f>
        <ns0:v>229.17</ns0:v>
      </ns0:c>
      <ns0:c r="N23" s="3">
        <ns0:f>ROUND(N223*N343,2)</ns0:f>
        <ns0:v>348.85</ns0:v>
      </ns0:c>
      <ns0:c r="O23" s="3">
        <ns0:f>SUM(C23:N23)</ns0:f>
        <ns0:v>3688.82</ns0:v>
      </ns0:c>
      <ns0:c r="P23" s="2" t="inlineStr">
        <ns0:is>
          <ns0:t>EXP2.023</ns0:t>
        </ns0:is>
      </ns0:c>
      <ns0:c r="Q23" s="2" t="inlineStr">
        <ns0:is>
          <ns0:t>演示占位-v1</ns0:t>
        </ns0:is>
      </ns0:c>
      <ns0:c r="R23" s="2" t="inlineStr">
        <ns0:is>
          <ns0:t>模拟权责发生制</ns0:t>
        </ns0:is>
      </ns0:c>
      <ns0:c r="S23" s="2" t="inlineStr">
        <ns0:is>
          <ns0:t>2027-01</ns0:t>
        </ns0:is>
      </ns0:c>
      <ns0:c r="T23" s="2" t="inlineStr">
        <ns0:is>
          <ns0:t>2027-06</ns0:t>
        </ns0:is>
      </ns0:c>
      <ns0:c r="U23" s="2" t="inlineStr">
        <ns0:is>
          <ns0:t>无</ns0:t>
        </ns0:is>
      </ns0:c>
      <ns0:c r="V23" s="2" t="inlineStr">
        <ns0:is>
          <ns0:t>无</ns0:t>
        </ns0:is>
      </ns0:c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 t="inlineStr">
        <ns0:is>
          <ns0:t>差旅补贴</ns0:t>
        </ns0:is>
      </ns0:c>
      <ns0:c r="C24" s="3">
        <ns0:f>ROUND(C224*C344,2)</ns0:f>
        <ns0:v>94.78</ns0:v>
      </ns0:c>
      <ns0:c r="D24" s="3">
        <ns0:f>ROUND(D224*D344,2)</ns0:f>
        <ns0:v>226.53</ns0:v>
      </ns0:c>
      <ns0:c r="E24" s="3">
        <ns0:f>ROUND(E224*E344,2)</ns0:f>
        <ns0:v>209.52</ns0:v>
      </ns0:c>
      <ns0:c r="F24" s="3">
        <ns0:f>ROUND(F224*F344,2)</ns0:f>
        <ns0:v>210.88</ns0:v>
      </ns0:c>
      <ns0:c r="G24" s="3">
        <ns0:f>ROUND(G224*G344,2)</ns0:f>
        <ns0:v>50.13</ns0:v>
      </ns0:c>
      <ns0:c r="H24" s="3">
        <ns0:f>ROUND(H224*H344,2)</ns0:f>
        <ns0:v>134.87</ns0:v>
      </ns0:c>
      <ns0:c r="I24" s="3">
        <ns0:f>ROUND(I224*I344,2)</ns0:f>
        <ns0:v>326.38</ns0:v>
      </ns0:c>
      <ns0:c r="J24" s="3">
        <ns0:f>ROUND(J224*J344,2)</ns0:f>
        <ns0:v>252.57</ns0:v>
      </ns0:c>
      <ns0:c r="K24" s="3">
        <ns0:f>ROUND(K224*K344,2)</ns0:f>
        <ns0:v>329.08</ns0:v>
      </ns0:c>
      <ns0:c r="L24" s="3">
        <ns0:f>ROUND(L224*L344,2)</ns0:f>
        <ns0:v>158.76</ns0:v>
      </ns0:c>
      <ns0:c r="M24" s="3">
        <ns0:f>ROUND(M224*M344,2)</ns0:f>
        <ns0:v>375.10</ns0:v>
      </ns0:c>
      <ns0:c r="N24" s="3">
        <ns0:f>ROUND(N224*N344,2)</ns0:f>
        <ns0:v>192.03</ns0:v>
      </ns0:c>
      <ns0:c r="O24" s="3">
        <ns0:f>SUM(C24:N24)</ns0:f>
        <ns0:v>2560.63</ns0:v>
      </ns0:c>
      <ns0:c r="P24" s="2" t="inlineStr">
        <ns0:is>
          <ns0:t>EXP2.024</ns0:t>
        </ns0:is>
      </ns0:c>
      <ns0:c r="Q24" s="2" t="inlineStr">
        <ns0:is>
          <ns0:t>演示占位-v1</ns0:t>
        </ns0:is>
      </ns0:c>
      <ns0:c r="R24" s="2" t="inlineStr">
        <ns0:is>
          <ns0:t>模拟权责发生制</ns0:t>
        </ns0:is>
      </ns0:c>
      <ns0:c r="S24" s="2" t="inlineStr">
        <ns0:is>
          <ns0:t>2027-01</ns0:t>
        </ns0:is>
      </ns0:c>
      <ns0:c r="T24" s="2" t="inlineStr">
        <ns0:is>
          <ns0:t>2027-06</ns0:t>
        </ns0:is>
      </ns0:c>
      <ns0:c r="U24" s="2" t="inlineStr">
        <ns0:is>
          <ns0:t>无</ns0:t>
        </ns0:is>
      </ns0:c>
      <ns0:c r="V24" s="2" t="inlineStr">
        <ns0:is>
          <ns0:t>无</ns0:t>
        </ns0:is>
      </ns0:c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 t="inlineStr">
        <ns0:is>
          <ns0:t>业务招待费</ns0:t>
        </ns0:is>
      </ns0:c>
      <ns0:c r="B25" s="2" t="inlineStr">
        <ns0:is>
          <ns0:t>业务招待费</ns0:t>
        </ns0:is>
      </ns0:c>
      <ns0:c r="C25" s="3">
        <ns0:f>ROUND(C225*C345,2)</ns0:f>
        <ns0:v>295.35</ns0:v>
      </ns0:c>
      <ns0:c r="D25" s="3">
        <ns0:f>ROUND(D225*D345,2)</ns0:f>
        <ns0:v>219.23</ns0:v>
      </ns0:c>
      <ns0:c r="E25" s="3">
        <ns0:f>ROUND(E225*E345,2)</ns0:f>
        <ns0:v>222.37</ns0:v>
      </ns0:c>
      <ns0:c r="F25" s="3">
        <ns0:f>ROUND(F225*F345,2)</ns0:f>
        <ns0:v>222.51</ns0:v>
      </ns0:c>
      <ns0:c r="G25" s="3">
        <ns0:f>ROUND(G225*G345,2)</ns0:f>
        <ns0:v>407.02</ns0:v>
      </ns0:c>
      <ns0:c r="H25" s="3">
        <ns0:f>ROUND(H225*H345,2)</ns0:f>
        <ns0:v>454.12</ns0:v>
      </ns0:c>
      <ns0:c r="I25" s="3">
        <ns0:f>ROUND(I225*I345,2)</ns0:f>
        <ns0:v>403.65</ns0:v>
      </ns0:c>
      <ns0:c r="J25" s="3">
        <ns0:f>ROUND(J225*J345,2)</ns0:f>
        <ns0:v>213.44</ns0:v>
      </ns0:c>
      <ns0:c r="K25" s="3">
        <ns0:f>ROUND(K225*K345,2)</ns0:f>
        <ns0:v>184.61</ns0:v>
      </ns0:c>
      <ns0:c r="L25" s="3">
        <ns0:f>ROUND(L225*L345,2)</ns0:f>
        <ns0:v>125.24</ns0:v>
      </ns0:c>
      <ns0:c r="M25" s="3">
        <ns0:f>ROUND(M225*M345,2)</ns0:f>
        <ns0:v>58.52</ns0:v>
      </ns0:c>
      <ns0:c r="N25" s="3">
        <ns0:f>ROUND(N225*N345,2)</ns0:f>
        <ns0:v>198.73</ns0:v>
      </ns0:c>
      <ns0:c r="O25" s="3">
        <ns0:f>SUM(C25:N25)</ns0:f>
        <ns0:v>3004.79</ns0:v>
      </ns0:c>
      <ns0:c r="P25" s="2" t="inlineStr">
        <ns0:is>
          <ns0:t>EXP2.025</ns0:t>
        </ns0:is>
      </ns0:c>
      <ns0:c r="Q25" s="2" t="inlineStr">
        <ns0:is>
          <ns0:t>演示占位-v1</ns0:t>
        </ns0:is>
      </ns0:c>
      <ns0:c r="R25" s="2" t="inlineStr">
        <ns0:is>
          <ns0:t>模拟权责发生制</ns0:t>
        </ns0:is>
      </ns0:c>
      <ns0:c r="S25" s="2" t="inlineStr">
        <ns0:is>
          <ns0:t>2027-01</ns0:t>
        </ns0:is>
      </ns0:c>
      <ns0:c r="T25" s="2" t="inlineStr">
        <ns0:is>
          <ns0:t>2027-06</ns0:t>
        </ns0:is>
      </ns0:c>
      <ns0:c r="U25" s="2" t="inlineStr">
        <ns0:is>
          <ns0:t>无</ns0:t>
        </ns0:is>
      </ns0:c>
      <ns0:c r="V25" s="2" t="inlineStr">
        <ns0:is>
          <ns0:t>无</ns0:t>
        </ns0:is>
      </ns0:c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 t="inlineStr">
        <ns0:is>
          <ns0:t>市内交通费</ns0:t>
        </ns0:is>
      </ns0:c>
      <ns0:c r="B26" s="2" t="inlineStr">
        <ns0:is>
          <ns0:t>市内交通费</ns0:t>
        </ns0:is>
      </ns0:c>
      <ns0:c r="C26" s="3">
        <ns0:f>ROUND(C226*C346,2)</ns0:f>
        <ns0:v>206.64</ns0:v>
      </ns0:c>
      <ns0:c r="D26" s="3">
        <ns0:f>ROUND(D226*D346,2)</ns0:f>
        <ns0:v>399.59</ns0:v>
      </ns0:c>
      <ns0:c r="E26" s="3">
        <ns0:f>ROUND(E226*E346,2)</ns0:f>
        <ns0:v>286.15</ns0:v>
      </ns0:c>
      <ns0:c r="F26" s="3">
        <ns0:f>ROUND(F226*F346,2)</ns0:f>
        <ns0:v>294.52</ns0:v>
      </ns0:c>
      <ns0:c r="G26" s="3">
        <ns0:f>ROUND(G226*G346,2)</ns0:f>
        <ns0:v>122.58</ns0:v>
      </ns0:c>
      <ns0:c r="H26" s="3">
        <ns0:f>ROUND(H226*H346,2)</ns0:f>
        <ns0:v>157.03</ns0:v>
      </ns0:c>
      <ns0:c r="I26" s="3">
        <ns0:f>ROUND(I226*I346,2)</ns0:f>
        <ns0:v>395.35</ns0:v>
      </ns0:c>
      <ns0:c r="J26" s="3">
        <ns0:f>ROUND(J226*J346,2)</ns0:f>
        <ns0:v>156.33</ns0:v>
      </ns0:c>
      <ns0:c r="K26" s="3">
        <ns0:f>ROUND(K226*K346,2)</ns0:f>
        <ns0:v>248.59</ns0:v>
      </ns0:c>
      <ns0:c r="L26" s="3">
        <ns0:f>ROUND(L226*L346,2)</ns0:f>
        <ns0:v>143.83</ns0:v>
      </ns0:c>
      <ns0:c r="M26" s="3">
        <ns0:f>ROUND(M226*M346,2)</ns0:f>
        <ns0:v>189.90</ns0:v>
      </ns0:c>
      <ns0:c r="N26" s="3">
        <ns0:f>ROUND(N226*N346,2)</ns0:f>
        <ns0:v>135.87</ns0:v>
      </ns0:c>
      <ns0:c r="O26" s="3">
        <ns0:f>SUM(C26:N26)</ns0:f>
        <ns0:v>2736.38</ns0:v>
      </ns0:c>
      <ns0:c r="P26" s="2" t="inlineStr">
        <ns0:is>
          <ns0:t>EXP2.026</ns0:t>
        </ns0:is>
      </ns0:c>
      <ns0:c r="Q26" s="2" t="inlineStr">
        <ns0:is>
          <ns0:t>演示占位-v1</ns0:t>
        </ns0:is>
      </ns0:c>
      <ns0:c r="R26" s="2" t="inlineStr">
        <ns0:is>
          <ns0:t>模拟权责发生制</ns0:t>
        </ns0:is>
      </ns0:c>
      <ns0:c r="S26" s="2" t="inlineStr">
        <ns0:is>
          <ns0:t>2027-01</ns0:t>
        </ns0:is>
      </ns0:c>
      <ns0:c r="T26" s="2" t="inlineStr">
        <ns0:is>
          <ns0:t>2027-06</ns0:t>
        </ns0:is>
      </ns0:c>
      <ns0:c r="U26" s="2" t="inlineStr">
        <ns0:is>
          <ns0:t>无</ns0:t>
        </ns0:is>
      </ns0:c>
      <ns0:c r="V26" s="2" t="inlineStr">
        <ns0:is>
          <ns0:t>无</ns0:t>
        </ns0:is>
      </ns0:c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 t="inlineStr">
        <ns0:is>
          <ns0:t>调研费用</ns0:t>
        </ns0:is>
      </ns0:c>
      <ns0:c r="B27" s="2" t="inlineStr">
        <ns0:is>
          <ns0:t>调研费用</ns0:t>
        </ns0:is>
      </ns0:c>
      <ns0:c r="C27" s="3">
        <ns0:f>ROUND(C227*C347,2)</ns0:f>
        <ns0:v>118.07</ns0:v>
      </ns0:c>
      <ns0:c r="D27" s="3">
        <ns0:f>ROUND(D227*D347,2)</ns0:f>
        <ns0:v>160.38</ns0:v>
      </ns0:c>
      <ns0:c r="E27" s="3">
        <ns0:f>ROUND(E227*E347,2)</ns0:f>
        <ns0:v>284.67</ns0:v>
      </ns0:c>
      <ns0:c r="F27" s="3">
        <ns0:f>ROUND(F227*F347,2)</ns0:f>
        <ns0:v>264.00</ns0:v>
      </ns0:c>
      <ns0:c r="G27" s="3">
        <ns0:f>ROUND(G227*G347,2)</ns0:f>
        <ns0:v>216.87</ns0:v>
      </ns0:c>
      <ns0:c r="H27" s="3">
        <ns0:f>ROUND(H227*H347,2)</ns0:f>
        <ns0:v>116.32</ns0:v>
      </ns0:c>
      <ns0:c r="I27" s="3">
        <ns0:f>ROUND(I227*I347,2)</ns0:f>
        <ns0:v>155.87</ns0:v>
      </ns0:c>
      <ns0:c r="J27" s="3">
        <ns0:f>ROUND(J227*J347,2)</ns0:f>
        <ns0:v>167.32</ns0:v>
      </ns0:c>
      <ns0:c r="K27" s="3">
        <ns0:f>ROUND(K227*K347,2)</ns0:f>
        <ns0:v>230.39</ns0:v>
      </ns0:c>
      <ns0:c r="L27" s="3">
        <ns0:f>ROUND(L227*L347,2)</ns0:f>
        <ns0:v>118.79</ns0:v>
      </ns0:c>
      <ns0:c r="M27" s="3">
        <ns0:f>ROUND(M227*M347,2)</ns0:f>
        <ns0:v>65.70</ns0:v>
      </ns0:c>
      <ns0:c r="N27" s="3">
        <ns0:f>ROUND(N227*N347,2)</ns0:f>
        <ns0:v>324.82</ns0:v>
      </ns0:c>
      <ns0:c r="O27" s="3">
        <ns0:f>SUM(C27:N27)</ns0:f>
        <ns0:v>2223.20</ns0:v>
      </ns0:c>
      <ns0:c r="P27" s="2" t="inlineStr">
        <ns0:is>
          <ns0:t>EXP2.027</ns0:t>
        </ns0:is>
      </ns0:c>
      <ns0:c r="Q27" s="2" t="inlineStr">
        <ns0:is>
          <ns0:t>演示占位-v1</ns0:t>
        </ns0:is>
      </ns0:c>
      <ns0:c r="R27" s="2" t="inlineStr">
        <ns0:is>
          <ns0:t>模拟权责发生制</ns0:t>
        </ns0:is>
      </ns0:c>
      <ns0:c r="S27" s="2" t="inlineStr">
        <ns0:is>
          <ns0:t>2027-01</ns0:t>
        </ns0:is>
      </ns0:c>
      <ns0:c r="T27" s="2" t="inlineStr">
        <ns0:is>
          <ns0:t>2027-06</ns0:t>
        </ns0:is>
      </ns0:c>
      <ns0:c r="U27" s="2" t="inlineStr">
        <ns0:is>
          <ns0:t>无</ns0:t>
        </ns0:is>
      </ns0:c>
      <ns0:c r="V27" s="2" t="inlineStr">
        <ns0:is>
          <ns0:t>无</ns0:t>
        </ns0:is>
      </ns0:c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 t="inlineStr">
        <ns0:is>
          <ns0:t>手续费</ns0:t>
        </ns0:is>
      </ns0:c>
      <ns0:c r="B28" s="2" t="inlineStr">
        <ns0:is>
          <ns0:t>手续费</ns0:t>
        </ns0:is>
      </ns0:c>
      <ns0:c r="C28" s="3">
        <ns0:f>ROUND(C228*C348,2)</ns0:f>
        <ns0:v>298.04</ns0:v>
      </ns0:c>
      <ns0:c r="D28" s="3">
        <ns0:f>ROUND(D228*D348,2)</ns0:f>
        <ns0:v>216.28</ns0:v>
      </ns0:c>
      <ns0:c r="E28" s="3">
        <ns0:f>ROUND(E228*E348,2)</ns0:f>
        <ns0:v>219.24</ns0:v>
      </ns0:c>
      <ns0:c r="F28" s="3">
        <ns0:f>ROUND(F228*F348,2)</ns0:f>
        <ns0:v>262.13</ns0:v>
      </ns0:c>
      <ns0:c r="G28" s="3">
        <ns0:f>ROUND(G228*G348,2)</ns0:f>
        <ns0:v>300.19</ns0:v>
      </ns0:c>
      <ns0:c r="H28" s="3">
        <ns0:f>ROUND(H228*H348,2)</ns0:f>
        <ns0:v>416.89</ns0:v>
      </ns0:c>
      <ns0:c r="I28" s="3">
        <ns0:f>ROUND(I228*I348,2)</ns0:f>
        <ns0:v>429.54</ns0:v>
      </ns0:c>
      <ns0:c r="J28" s="3">
        <ns0:f>ROUND(J228*J348,2)</ns0:f>
        <ns0:v>98.56</ns0:v>
      </ns0:c>
      <ns0:c r="K28" s="3">
        <ns0:f>ROUND(K228*K348,2)</ns0:f>
        <ns0:v>84.42</ns0:v>
      </ns0:c>
      <ns0:c r="L28" s="3">
        <ns0:f>ROUND(L228*L348,2)</ns0:f>
        <ns0:v>227.56</ns0:v>
      </ns0:c>
      <ns0:c r="M28" s="3">
        <ns0:f>ROUND(M228*M348,2)</ns0:f>
        <ns0:v>109.99</ns0:v>
      </ns0:c>
      <ns0:c r="N28" s="3">
        <ns0:f>ROUND(N228*N348,2)</ns0:f>
        <ns0:v>519.48</ns0:v>
      </ns0:c>
      <ns0:c r="O28" s="3">
        <ns0:f>SUM(C28:N28)</ns0:f>
        <ns0:v>3182.32</ns0:v>
      </ns0:c>
      <ns0:c r="P28" s="2" t="inlineStr">
        <ns0:is>
          <ns0:t>EXP2.028</ns0:t>
        </ns0:is>
      </ns0:c>
      <ns0:c r="Q28" s="2" t="inlineStr">
        <ns0:is>
          <ns0:t>演示占位-v1</ns0:t>
        </ns0:is>
      </ns0:c>
      <ns0:c r="R28" s="2" t="inlineStr">
        <ns0:is>
          <ns0:t>模拟权责发生制</ns0:t>
        </ns0:is>
      </ns0:c>
      <ns0:c r="S28" s="2" t="inlineStr">
        <ns0:is>
          <ns0:t>2027-01</ns0:t>
        </ns0:is>
      </ns0:c>
      <ns0:c r="T28" s="2" t="inlineStr">
        <ns0:is>
          <ns0:t>2027-06</ns0:t>
        </ns0:is>
      </ns0:c>
      <ns0:c r="U28" s="2" t="inlineStr">
        <ns0:is>
          <ns0:t>无</ns0:t>
        </ns0:is>
      </ns0:c>
      <ns0:c r="V28" s="2" t="inlineStr">
        <ns0:is>
          <ns0:t>无</ns0:t>
        </ns0:is>
      </ns0:c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 t="inlineStr">
        <ns0:is>
          <ns0:t>利息收入</ns0:t>
        </ns0:is>
      </ns0:c>
      <ns0:c r="C29" s="3">
        <ns0:f>0</ns0:f>
        <ns0:v>0</ns0:v>
      </ns0:c>
      <ns0:c r="D29" s="3">
        <ns0:f>0</ns0:f>
        <ns0:v>0</ns0:v>
      </ns0:c>
      <ns0:c r="E29" s="3">
        <ns0:f>0</ns0:f>
        <ns0:v>0</ns0:v>
      </ns0:c>
      <ns0:c r="F29" s="3">
        <ns0:f>0</ns0:f>
        <ns0:v>0</ns0:v>
      </ns0:c>
      <ns0:c r="G29" s="3">
        <ns0:f>0</ns0:f>
        <ns0:v>0</ns0:v>
      </ns0:c>
      <ns0:c r="H29" s="3">
        <ns0:f>0</ns0:f>
        <ns0:v>0</ns0:v>
      </ns0:c>
      <ns0:c r="I29" s="3">
        <ns0:f>0</ns0:f>
        <ns0:v>0</ns0:v>
      </ns0:c>
      <ns0:c r="J29" s="3">
        <ns0:f>0</ns0:f>
        <ns0:v>0</ns0:v>
      </ns0:c>
      <ns0:c r="K29" s="3">
        <ns0:f>0</ns0:f>
        <ns0:v>0</ns0:v>
      </ns0:c>
      <ns0:c r="L29" s="3">
        <ns0:f>0</ns0:f>
        <ns0:v>0</ns0:v>
      </ns0:c>
      <ns0:c r="M29" s="3">
        <ns0:f>0</ns0:f>
        <ns0:v>0</ns0:v>
      </ns0:c>
      <ns0:c r="N29" s="3">
        <ns0:f>0</ns0:f>
        <ns0:v>0</ns0:v>
      </ns0:c>
      <ns0:c r="O29" s="3">
        <ns0:f>SUM(C29:N29)</ns0:f>
        <ns0:v>0</ns0:v>
      </ns0:c>
      <ns0:c r="P29" s="2" t="inlineStr">
        <ns0:is>
          <ns0:t>EXP2.029</ns0:t>
        </ns0:is>
      </ns0:c>
      <ns0:c r="Q29" s="2" t="inlineStr">
        <ns0:is>
          <ns0:t>演示占位-v1</ns0:t>
        </ns0:is>
      </ns0:c>
      <ns0:c r="R29" s="2" t="inlineStr">
        <ns0:is>
          <ns0:t>模拟权责发生制</ns0:t>
        </ns0:is>
      </ns0:c>
      <ns0:c r="S29" s="2" t="inlineStr">
        <ns0:is>
          <ns0:t>2027-01</ns0:t>
        </ns0:is>
      </ns0:c>
      <ns0:c r="T29" s="2" t="inlineStr">
        <ns0:is>
          <ns0:t>2027-06</ns0:t>
        </ns0:is>
      </ns0:c>
      <ns0:c r="U29" s="2" t="inlineStr">
        <ns0:is>
          <ns0:t>无</ns0:t>
        </ns0:is>
      </ns0:c>
      <ns0:c r="V29" s="2" t="inlineStr">
        <ns0:is>
          <ns0:t>无</ns0:t>
        </ns0:is>
      </ns0:c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 t="inlineStr">
        <ns0:is>
          <ns0:t>利息支出</ns0:t>
        </ns0:is>
      </ns0:c>
      <ns0:c r="C30" s="6">
        <ns0:f>ROUND(C230*C350,2)</ns0:f>
        <ns0:v>513.35</ns0:v>
      </ns0:c>
      <ns0:c r="D30" s="6">
        <ns0:f>ROUND(D230*D350,2)</ns0:f>
        <ns0:v>252.46</ns0:v>
      </ns0:c>
      <ns0:c r="E30" s="6">
        <ns0:f>ROUND(E230*E350,2)</ns0:f>
        <ns0:v>139.48</ns0:v>
      </ns0:c>
      <ns0:c r="F30" s="6">
        <ns0:f>ROUND(F230*F350,2)</ns0:f>
        <ns0:v>43.76</ns0:v>
      </ns0:c>
      <ns0:c r="G30" s="6">
        <ns0:f>ROUND(G230*G350,2)</ns0:f>
        <ns0:v>131.33</ns0:v>
      </ns0:c>
      <ns0:c r="H30" s="6">
        <ns0:f>ROUND(H230*H350,2)</ns0:f>
        <ns0:v>67.05</ns0:v>
      </ns0:c>
      <ns0:c r="I30" s="6">
        <ns0:f>ROUND(I230*I350,2)</ns0:f>
        <ns0:v>220.26</ns0:v>
      </ns0:c>
      <ns0:c r="J30" s="6">
        <ns0:f>ROUND(J230*J350,2)</ns0:f>
        <ns0:v>84.66</ns0:v>
      </ns0:c>
      <ns0:c r="K30" s="6">
        <ns0:f>ROUND(K230*K350,2)</ns0:f>
        <ns0:v>233.27</ns0:v>
      </ns0:c>
      <ns0:c r="L30" s="6">
        <ns0:f>ROUND(L230*L350,2)</ns0:f>
        <ns0:v>162.30</ns0:v>
      </ns0:c>
      <ns0:c r="M30" s="6">
        <ns0:f>ROUND(M230*M350,2)</ns0:f>
        <ns0:v>170.90</ns0:v>
      </ns0:c>
      <ns0:c r="N30" s="6">
        <ns0:f>ROUND(N230*N350,2)</ns0:f>
        <ns0:v>415.74</ns0:v>
      </ns0:c>
      <ns0:c r="O30" s="6">
        <ns0:f>SUM(C30:N30)</ns0:f>
        <ns0:v>2434.56</ns0:v>
      </ns0:c>
      <ns0:c r="P30" s="2" t="inlineStr">
        <ns0:is>
          <ns0:t>EXP2.030</ns0:t>
        </ns0:is>
      </ns0:c>
      <ns0:c r="Q30" s="2" t="inlineStr">
        <ns0:is>
          <ns0:t>演示占位-v1</ns0:t>
        </ns0:is>
      </ns0:c>
      <ns0:c r="R30" s="2" t="inlineStr">
        <ns0:is>
          <ns0:t>模拟权责发生制</ns0:t>
        </ns0:is>
      </ns0:c>
      <ns0:c r="S30" s="2" t="inlineStr">
        <ns0:is>
          <ns0:t>2027-01</ns0:t>
        </ns0:is>
      </ns0:c>
      <ns0:c r="T30" s="2" t="inlineStr">
        <ns0:is>
          <ns0:t>2027-06</ns0:t>
        </ns0:is>
      </ns0:c>
      <ns0:c r="U30" s="2" t="inlineStr">
        <ns0:is>
          <ns0:t>无</ns0:t>
        </ns0:is>
      </ns0:c>
      <ns0:c r="V30" s="2" t="inlineStr">
        <ns0:is>
          <ns0:t>无</ns0:t>
        </ns0:is>
      </ns0:c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 t="inlineStr">
        <ns0:is>
          <ns0:t>税金</ns0:t>
        </ns0:is>
      </ns0:c>
      <ns0:c r="B31" s="2" t="inlineStr">
        <ns0:is>
          <ns0:t>车船税</ns0:t>
        </ns0:is>
      </ns0:c>
      <ns0:c r="C31" s="3">
        <ns0:f>ROUND(C231*C351,2)</ns0:f>
        <ns0:v>411.11</ns0:v>
      </ns0:c>
      <ns0:c r="D31" s="3">
        <ns0:f>ROUND(D231*D351,2)</ns0:f>
        <ns0:v>599.53</ns0:v>
      </ns0:c>
      <ns0:c r="E31" s="3">
        <ns0:f>ROUND(E231*E351,2)</ns0:f>
        <ns0:v>121.54</ns0:v>
      </ns0:c>
      <ns0:c r="F31" s="3">
        <ns0:f>ROUND(F231*F351,2)</ns0:f>
        <ns0:v>346.65</ns0:v>
      </ns0:c>
      <ns0:c r="G31" s="3">
        <ns0:f>ROUND(G231*G351,2)</ns0:f>
        <ns0:v>311.92</ns0:v>
      </ns0:c>
      <ns0:c r="H31" s="3">
        <ns0:f>ROUND(H231*H351,2)</ns0:f>
        <ns0:v>238.76</ns0:v>
      </ns0:c>
      <ns0:c r="I31" s="3">
        <ns0:f>ROUND(I231*I351,2)</ns0:f>
        <ns0:v>226.05</ns0:v>
      </ns0:c>
      <ns0:c r="J31" s="3">
        <ns0:f>ROUND(J231*J351,2)</ns0:f>
        <ns0:v>235.82</ns0:v>
      </ns0:c>
      <ns0:c r="K31" s="3">
        <ns0:f>ROUND(K231*K351,2)</ns0:f>
        <ns0:v>83.97</ns0:v>
      </ns0:c>
      <ns0:c r="L31" s="3">
        <ns0:f>ROUND(L231*L351,2)</ns0:f>
        <ns0:v>196.49</ns0:v>
      </ns0:c>
      <ns0:c r="M31" s="3">
        <ns0:f>ROUND(M231*M351,2)</ns0:f>
        <ns0:v>353.92</ns0:v>
      </ns0:c>
      <ns0:c r="N31" s="3">
        <ns0:f>ROUND(N231*N351,2)</ns0:f>
        <ns0:v>144.86</ns0:v>
      </ns0:c>
      <ns0:c r="O31" s="3">
        <ns0:f>SUM(C31:N31)</ns0:f>
        <ns0:v>3270.62</ns0:v>
      </ns0:c>
      <ns0:c r="P31" s="2" t="inlineStr">
        <ns0:is>
          <ns0:t>EXP2.031</ns0:t>
        </ns0:is>
      </ns0:c>
      <ns0:c r="Q31" s="2" t="inlineStr">
        <ns0:is>
          <ns0:t>演示占位-v1</ns0:t>
        </ns0:is>
      </ns0:c>
      <ns0:c r="R31" s="2" t="inlineStr">
        <ns0:is>
          <ns0:t>模拟权责发生制</ns0:t>
        </ns0:is>
      </ns0:c>
      <ns0:c r="S31" s="2" t="inlineStr">
        <ns0:is>
          <ns0:t>2027-01</ns0:t>
        </ns0:is>
      </ns0:c>
      <ns0:c r="T31" s="2" t="inlineStr">
        <ns0:is>
          <ns0:t>2027-06</ns0:t>
        </ns0:is>
      </ns0:c>
      <ns0:c r="U31" s="2" t="inlineStr">
        <ns0:is>
          <ns0:t>无</ns0:t>
        </ns0:is>
      </ns0:c>
      <ns0:c r="V31" s="2" t="inlineStr">
        <ns0:is>
          <ns0:t>无</ns0:t>
        </ns0:is>
      </ns0:c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 t="inlineStr">
        <ns0:is>
          <ns0:t>印花税</ns0:t>
        </ns0:is>
      </ns0:c>
      <ns0:c r="C32" s="3">
        <ns0:f>ROUND(C232*C352,2)</ns0:f>
        <ns0:v>144.51</ns0:v>
      </ns0:c>
      <ns0:c r="D32" s="3">
        <ns0:f>ROUND(D232*D352,2)</ns0:f>
        <ns0:v>354.98</ns0:v>
      </ns0:c>
      <ns0:c r="E32" s="3">
        <ns0:f>ROUND(E232*E352,2)</ns0:f>
        <ns0:v>143.04</ns0:v>
      </ns0:c>
      <ns0:c r="F32" s="3">
        <ns0:f>ROUND(F232*F352,2)</ns0:f>
        <ns0:v>412.59</ns0:v>
      </ns0:c>
      <ns0:c r="G32" s="3">
        <ns0:f>ROUND(G232*G352,2)</ns0:f>
        <ns0:v>176.92</ns0:v>
      </ns0:c>
      <ns0:c r="H32" s="3">
        <ns0:f>ROUND(H232*H352,2)</ns0:f>
        <ns0:v>365.16</ns0:v>
      </ns0:c>
      <ns0:c r="I32" s="3">
        <ns0:f>ROUND(I232*I352,2)</ns0:f>
        <ns0:v>342.81</ns0:v>
      </ns0:c>
      <ns0:c r="J32" s="3">
        <ns0:f>ROUND(J232*J352,2)</ns0:f>
        <ns0:v>198.48</ns0:v>
      </ns0:c>
      <ns0:c r="K32" s="3">
        <ns0:f>ROUND(K232*K352,2)</ns0:f>
        <ns0:v>115.71</ns0:v>
      </ns0:c>
      <ns0:c r="L32" s="3">
        <ns0:f>ROUND(L232*L352,2)</ns0:f>
        <ns0:v>83.35</ns0:v>
      </ns0:c>
      <ns0:c r="M32" s="3">
        <ns0:f>ROUND(M232*M352,2)</ns0:f>
        <ns0:v>223.15</ns0:v>
      </ns0:c>
      <ns0:c r="N32" s="3">
        <ns0:f>ROUND(N232*N352,2)</ns0:f>
        <ns0:v>220.60</ns0:v>
      </ns0:c>
      <ns0:c r="O32" s="3">
        <ns0:f>SUM(C32:N32)</ns0:f>
        <ns0:v>2781.30</ns0:v>
      </ns0:c>
      <ns0:c r="P32" s="2" t="inlineStr">
        <ns0:is>
          <ns0:t>EXP2.032</ns0:t>
        </ns0:is>
      </ns0:c>
      <ns0:c r="Q32" s="2" t="inlineStr">
        <ns0:is>
          <ns0:t>演示占位-v1</ns0:t>
        </ns0:is>
      </ns0:c>
      <ns0:c r="R32" s="2" t="inlineStr">
        <ns0:is>
          <ns0:t>模拟权责发生制</ns0:t>
        </ns0:is>
      </ns0:c>
      <ns0:c r="S32" s="2" t="inlineStr">
        <ns0:is>
          <ns0:t>2027-01</ns0:t>
        </ns0:is>
      </ns0:c>
      <ns0:c r="T32" s="2" t="inlineStr">
        <ns0:is>
          <ns0:t>2027-06</ns0:t>
        </ns0:is>
      </ns0:c>
      <ns0:c r="U32" s="2" t="inlineStr">
        <ns0:is>
          <ns0:t>无</ns0:t>
        </ns0:is>
      </ns0:c>
      <ns0:c r="V32" s="2" t="inlineStr">
        <ns0:is>
          <ns0:t>无</ns0:t>
        </ns0:is>
      </ns0:c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 t="inlineStr">
        <ns0:is>
          <ns0:t>其他</ns0:t>
        </ns0:is>
      </ns0:c>
      <ns0:c r="B33" s="2" t="inlineStr">
        <ns0:is>
          <ns0:t>其他</ns0:t>
        </ns0:is>
      </ns0:c>
      <ns0:c r="C33" s="3">
        <ns0:f>ROUND(C233*C353,2)</ns0:f>
        <ns0:v>145.73</ns0:v>
      </ns0:c>
      <ns0:c r="D33" s="3">
        <ns0:f>ROUND(D233*D353,2)</ns0:f>
        <ns0:v>544.65</ns0:v>
      </ns0:c>
      <ns0:c r="E33" s="3">
        <ns0:f>ROUND(E233*E353,2)</ns0:f>
        <ns0:v>373.08</ns0:v>
      </ns0:c>
      <ns0:c r="F33" s="3">
        <ns0:f>ROUND(F233*F353,2)</ns0:f>
        <ns0:v>292.66</ns0:v>
      </ns0:c>
      <ns0:c r="G33" s="3">
        <ns0:f>ROUND(G233*G353,2)</ns0:f>
        <ns0:v>287.67</ns0:v>
      </ns0:c>
      <ns0:c r="H33" s="3">
        <ns0:f>ROUND(H233*H353,2)</ns0:f>
        <ns0:v>207.90</ns0:v>
      </ns0:c>
      <ns0:c r="I33" s="3">
        <ns0:f>ROUND(I233*I353,2)</ns0:f>
        <ns0:v>172.24</ns0:v>
      </ns0:c>
      <ns0:c r="J33" s="3">
        <ns0:f>ROUND(J233*J353,2)</ns0:f>
        <ns0:v>230.37</ns0:v>
      </ns0:c>
      <ns0:c r="K33" s="3">
        <ns0:f>ROUND(K233*K353,2)</ns0:f>
        <ns0:v>144.42</ns0:v>
      </ns0:c>
      <ns0:c r="L33" s="3">
        <ns0:f>ROUND(L233*L353,2)</ns0:f>
        <ns0:v>433.50</ns0:v>
      </ns0:c>
      <ns0:c r="M33" s="3">
        <ns0:f>ROUND(M233*M353,2)</ns0:f>
        <ns0:v>137.77</ns0:v>
      </ns0:c>
      <ns0:c r="N33" s="3">
        <ns0:f>ROUND(N233*N353,2)</ns0:f>
        <ns0:v>190.34</ns0:v>
      </ns0:c>
      <ns0:c r="O33" s="3">
        <ns0:f>SUM(C33:N33)</ns0:f>
        <ns0:v>3160.33</ns0:v>
      </ns0:c>
      <ns0:c r="P33" s="2" t="inlineStr">
        <ns0:is>
          <ns0:t>EXP2.033</ns0:t>
        </ns0:is>
      </ns0:c>
      <ns0:c r="Q33" s="2" t="inlineStr">
        <ns0:is>
          <ns0:t>演示占位-v1</ns0:t>
        </ns0:is>
      </ns0:c>
      <ns0:c r="R33" s="2" t="inlineStr">
        <ns0:is>
          <ns0:t>模拟权责发生制</ns0:t>
        </ns0:is>
      </ns0:c>
      <ns0:c r="S33" s="2" t="inlineStr">
        <ns0:is>
          <ns0:t>2027-01</ns0:t>
        </ns0:is>
      </ns0:c>
      <ns0:c r="T33" s="2" t="inlineStr">
        <ns0:is>
          <ns0:t>2027-06</ns0:t>
        </ns0:is>
      </ns0:c>
      <ns0:c r="U33" s="2" t="inlineStr">
        <ns0:is>
          <ns0:t>无</ns0:t>
        </ns0:is>
      </ns0:c>
      <ns0:c r="V33" s="2" t="inlineStr">
        <ns0:is>
          <ns0:t>无</ns0:t>
        </ns0:is>
      </ns0:c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 t="inlineStr">
        <ns0:is>
          <ns0:t>合计</ns0:t>
        </ns0:is>
      </ns0:c>
      <ns0:c r="B34" s="2"/>
      <ns0:c r="C34" s="3">
        <ns0:f>SUM(C4:C33)</ns0:f>
        <ns0:v>7639.67</ns0:v>
      </ns0:c>
      <ns0:c r="D34" s="3">
        <ns0:f>SUM(D4:D33)</ns0:f>
        <ns0:v>7775.85</ns0:v>
      </ns0:c>
      <ns0:c r="E34" s="3">
        <ns0:f>SUM(E4:E33)</ns0:f>
        <ns0:v>7872.38</ns0:v>
      </ns0:c>
      <ns0:c r="F34" s="3">
        <ns0:f>SUM(F4:F33)</ns0:f>
        <ns0:v>7453.20</ns0:v>
      </ns0:c>
      <ns0:c r="G34" s="3">
        <ns0:f>SUM(G4:G33)</ns0:f>
        <ns0:v>7005.17</ns0:v>
      </ns0:c>
      <ns0:c r="H34" s="3">
        <ns0:f>SUM(H4:H33)</ns0:f>
        <ns0:v>7070.44</ns0:v>
      </ns0:c>
      <ns0:c r="I34" s="3">
        <ns0:f>SUM(I4:I33)</ns0:f>
        <ns0:v>7118.00</ns0:v>
      </ns0:c>
      <ns0:c r="J34" s="3">
        <ns0:f>SUM(J4:J33)</ns0:f>
        <ns0:v>6607.98</ns0:v>
      </ns0:c>
      <ns0:c r="K34" s="3">
        <ns0:f>SUM(K4:K33)</ns0:f>
        <ns0:v>6923.80</ns0:v>
      </ns0:c>
      <ns0:c r="L34" s="3">
        <ns0:f>SUM(L4:L33)</ns0:f>
        <ns0:v>6779.89</ns0:v>
      </ns0:c>
      <ns0:c r="M34" s="3">
        <ns0:f>SUM(M4:M33)</ns0:f>
        <ns0:v>7251.07</ns0:v>
      </ns0:c>
      <ns0:c r="N34" s="3">
        <ns0:f>SUM(N4:N33)</ns0:f>
        <ns0:v>8280.49</ns0:v>
      </ns0:c>
      <ns0:c r="O34" s="3">
        <ns0:f>SUM(C34:N34)</ns0:f>
        <ns0:v>87777.94</ns0:v>
      </ns0:c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 t="inlineStr">
        <ns0:is>
          <ns0:t>增值税附加</ns0:t>
        </ns0:is>
      </ns0:c>
      <ns0:c r="B35" s="2"/>
      <ns0:c r="C35" s="3"/>
      <ns0:c r="D35" s="3"/>
      <ns0:c r="E35" s="3"/>
      <ns0:c r="F35" s="3"/>
      <ns0:c r="G35" s="3"/>
      <ns0:c r="H35" s="3"/>
      <ns0:c r="I35" s="3"/>
      <ns0:c r="J35" s="3"/>
      <ns0:c r="K35" s="3"/>
      <ns0:c r="L35" s="3"/>
      <ns0:c r="M35" s="3"/>
      <ns0:c r="N35" s="3"/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 t="inlineStr">
        <ns0:is>
          <ns0:t>三费及税金合计</ns0:t>
        </ns0:is>
      </ns0:c>
      <ns0:c r="B36" s="2"/>
      <ns0:c r="C36" s="3"/>
      <ns0:c r="D36" s="3"/>
      <ns0:c r="E36" s="3"/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/>
      <ns0:c r="C37" s="3"/>
      <ns0:c r="D37" s="3"/>
      <ns0:c r="E37" s="3"/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/>
      <ns0:c r="C60" s="6"/>
      <ns0:c r="D60" s="6"/>
      <ns0:c r="E60" s="6"/>
      <ns0:c r="F60" s="6"/>
      <ns0:c r="G60" s="6"/>
      <ns0:c r="H60" s="6"/>
      <ns0:c r="I60" s="6"/>
      <ns0:c r="J60" s="6"/>
      <ns0:c r="K60" s="6"/>
      <ns0:c r="L60" s="6"/>
      <ns0:c r="M60" s="6"/>
      <ns0:c r="N60" s="6"/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/>
      <ns0:c r="C61" s="3"/>
      <ns0:c r="D61" s="3"/>
      <ns0:c r="E61" s="3"/>
      <ns0:c r="F61" s="3"/>
      <ns0:c r="G61" s="3"/>
      <ns0:c r="H61" s="3"/>
      <ns0:c r="I61" s="3"/>
      <ns0:c r="J61" s="3"/>
      <ns0:c r="K61" s="3"/>
      <ns0:c r="L61" s="3"/>
      <ns0:c r="M61" s="3"/>
      <ns0:c r="N61" s="3"/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/>
      <ns0:c r="C62" s="3"/>
      <ns0:c r="D62" s="3"/>
      <ns0:c r="E62" s="3"/>
      <ns0:c r="F62" s="3"/>
      <ns0:c r="G62" s="3"/>
      <ns0:c r="H62" s="3"/>
      <ns0:c r="I62" s="3"/>
      <ns0:c r="J62" s="3"/>
      <ns0:c r="K62" s="3"/>
      <ns0:c r="L62" s="3"/>
      <ns0:c r="M62" s="3"/>
      <ns0:c r="N62" s="3"/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/>
      <ns0:c r="C63" s="3"/>
      <ns0:c r="D63" s="3"/>
      <ns0:c r="E63" s="3"/>
      <ns0:c r="F63" s="3"/>
      <ns0:c r="G63" s="3"/>
      <ns0:c r="H63" s="3"/>
      <ns0:c r="I63" s="3"/>
      <ns0:c r="J63" s="3"/>
      <ns0:c r="K63" s="3"/>
      <ns0:c r="L63" s="3"/>
      <ns0:c r="M63" s="3"/>
      <ns0:c r="N63" s="3"/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/>
      <ns0:c r="C64" s="3"/>
      <ns0:c r="D64" s="3"/>
      <ns0:c r="E64" s="3"/>
      <ns0:c r="F64" s="3"/>
      <ns0:c r="G64" s="3"/>
      <ns0:c r="H64" s="3"/>
      <ns0:c r="I64" s="3"/>
      <ns0:c r="J64" s="3"/>
      <ns0:c r="K64" s="3"/>
      <ns0:c r="L64" s="3"/>
      <ns0:c r="M64" s="3"/>
      <ns0:c r="N64" s="3"/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/>
      <ns0:c r="C65" s="3"/>
      <ns0:c r="D65" s="3"/>
      <ns0:c r="E65" s="3"/>
      <ns0:c r="F65" s="3"/>
      <ns0:c r="G65" s="3"/>
      <ns0:c r="H65" s="3"/>
      <ns0:c r="I65" s="3"/>
      <ns0:c r="J65" s="3"/>
      <ns0:c r="K65" s="3"/>
      <ns0:c r="L65" s="3"/>
      <ns0:c r="M65" s="3"/>
      <ns0:c r="N65" s="3"/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/>
      <ns0:c r="C66" s="3"/>
      <ns0:c r="D66" s="3"/>
      <ns0:c r="E66" s="3"/>
      <ns0:c r="F66" s="3"/>
      <ns0:c r="G66" s="3"/>
      <ns0:c r="H66" s="3"/>
      <ns0:c r="I66" s="3"/>
      <ns0:c r="J66" s="3"/>
      <ns0:c r="K66" s="3"/>
      <ns0:c r="L66" s="3"/>
      <ns0:c r="M66" s="3"/>
      <ns0:c r="N66" s="3"/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/>
      <ns0:c r="C67" s="3"/>
      <ns0:c r="D67" s="3"/>
      <ns0:c r="E67" s="3"/>
      <ns0:c r="F67" s="3"/>
      <ns0:c r="G67" s="3"/>
      <ns0:c r="H67" s="3"/>
      <ns0:c r="I67" s="3"/>
      <ns0:c r="J67" s="3"/>
      <ns0:c r="K67" s="3"/>
      <ns0:c r="L67" s="3"/>
      <ns0:c r="M67" s="3"/>
      <ns0:c r="N67" s="3"/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/>
      <ns0:c r="C68" s="3"/>
      <ns0:c r="D68" s="3"/>
      <ns0:c r="E68" s="3"/>
      <ns0:c r="F68" s="3"/>
      <ns0:c r="G68" s="3"/>
      <ns0:c r="H68" s="3"/>
      <ns0:c r="I68" s="3"/>
      <ns0:c r="J68" s="3"/>
      <ns0:c r="K68" s="3"/>
      <ns0:c r="L68" s="3"/>
      <ns0:c r="M68" s="3"/>
      <ns0:c r="N68" s="3"/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 t="inlineStr">
        <ns0:is>
          <ns0:t>工资单价</ns0:t>
        </ns0:is>
      </ns0:c>
      <ns0:c r="C204" s="4">
        <ns0:v>59.00</ns0:v>
      </ns0:c>
      <ns0:c r="D204" s="4">
        <ns0:v>41.01</ns0:v>
      </ns0:c>
      <ns0:c r="E204" s="4">
        <ns0:v>27.72</ns0:v>
      </ns0:c>
      <ns0:c r="F204" s="4">
        <ns0:v>49.98</ns0:v>
      </ns0:c>
      <ns0:c r="G204" s="4">
        <ns0:v>16.92</ns0:v>
      </ns0:c>
      <ns0:c r="H204" s="4">
        <ns0:v>67.28</ns0:v>
      </ns0:c>
      <ns0:c r="I204" s="4">
        <ns0:v>42.13</ns0:v>
      </ns0:c>
      <ns0:c r="J204" s="4">
        <ns0:v>30.36</ns0:v>
      </ns0:c>
      <ns0:c r="K204" s="4">
        <ns0:v>64.68</ns0:v>
      </ns0:c>
      <ns0:c r="L204" s="4">
        <ns0:v>49.85</ns0:v>
      </ns0:c>
      <ns0:c r="M204" s="4">
        <ns0:v>58.98</ns0:v>
      </ns0:c>
      <ns0:c r="N204" s="4">
        <ns0:v>59.42</ns0:v>
      </ns0:c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 t="inlineStr">
        <ns0:is>
          <ns0:t>十三薪单价</ns0:t>
        </ns0:is>
      </ns0:c>
      <ns0:c r="C205" s="4">
        <ns0:v>58.45</ns0:v>
      </ns0:c>
      <ns0:c r="D205" s="4">
        <ns0:v>47.16</ns0:v>
      </ns0:c>
      <ns0:c r="E205" s="4">
        <ns0:v>55.58</ns0:v>
      </ns0:c>
      <ns0:c r="F205" s="4">
        <ns0:v>24.22</ns0:v>
      </ns0:c>
      <ns0:c r="G205" s="4">
        <ns0:v>65.10</ns0:v>
      </ns0:c>
      <ns0:c r="H205" s="4">
        <ns0:v>40.58</ns0:v>
      </ns0:c>
      <ns0:c r="I205" s="4">
        <ns0:v>31.91</ns0:v>
      </ns0:c>
      <ns0:c r="J205" s="4">
        <ns0:v>41.93</ns0:v>
      </ns0:c>
      <ns0:c r="K205" s="4">
        <ns0:v>44.62</ns0:v>
      </ns0:c>
      <ns0:c r="L205" s="4">
        <ns0:v>53.16</ns0:v>
      </ns0:c>
      <ns0:c r="M205" s="4">
        <ns0:v>34.07</ns0:v>
      </ns0:c>
      <ns0:c r="N205" s="4">
        <ns0:v>37.88</ns0:v>
      </ns0:c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 t="inlineStr">
        <ns0:is>
          <ns0:t>离职补偿金单价</ns0:t>
        </ns0:is>
      </ns0:c>
      <ns0:c r="C206" s="4">
        <ns0:v>42.82</ns0:v>
      </ns0:c>
      <ns0:c r="D206" s="4">
        <ns0:v>23.72</ns0:v>
      </ns0:c>
      <ns0:c r="E206" s="4">
        <ns0:v>55.87</ns0:v>
      </ns0:c>
      <ns0:c r="F206" s="4">
        <ns0:v>42.44</ns0:v>
      </ns0:c>
      <ns0:c r="G206" s="4">
        <ns0:v>42.46</ns0:v>
      </ns0:c>
      <ns0:c r="H206" s="4">
        <ns0:v>59.56</ns0:v>
      </ns0:c>
      <ns0:c r="I206" s="4">
        <ns0:v>23.28</ns0:v>
      </ns0:c>
      <ns0:c r="J206" s="4">
        <ns0:v>28.62</ns0:v>
      </ns0:c>
      <ns0:c r="K206" s="4">
        <ns0:v>23.69</ns0:v>
      </ns0:c>
      <ns0:c r="L206" s="4">
        <ns0:v>49.76</ns0:v>
      </ns0:c>
      <ns0:c r="M206" s="4">
        <ns0:v>30.70</ns0:v>
      </ns0:c>
      <ns0:c r="N206" s="4">
        <ns0:v>34.67</ns0:v>
      </ns0:c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 t="inlineStr">
        <ns0:is>
          <ns0:t>五险一金单价</ns0:t>
        </ns0:is>
      </ns0:c>
      <ns0:c r="C207" s="4">
        <ns0:v>31.01</ns0:v>
      </ns0:c>
      <ns0:c r="D207" s="4">
        <ns0:v>22.15</ns0:v>
      </ns0:c>
      <ns0:c r="E207" s="4">
        <ns0:v>24.21</ns0:v>
      </ns0:c>
      <ns0:c r="F207" s="4">
        <ns0:v>66.37</ns0:v>
      </ns0:c>
      <ns0:c r="G207" s="4">
        <ns0:v>20.86</ns0:v>
      </ns0:c>
      <ns0:c r="H207" s="4">
        <ns0:v>54.40</ns0:v>
      </ns0:c>
      <ns0:c r="I207" s="4">
        <ns0:v>57.77</ns0:v>
      </ns0:c>
      <ns0:c r="J207" s="4">
        <ns0:v>46.85</ns0:v>
      </ns0:c>
      <ns0:c r="K207" s="4">
        <ns0:v>64.63</ns0:v>
      </ns0:c>
      <ns0:c r="L207" s="4">
        <ns0:v>55.02</ns0:v>
      </ns0:c>
      <ns0:c r="M207" s="4">
        <ns0:v>58.00</ns0:v>
      </ns0:c>
      <ns0:c r="N207" s="4">
        <ns0:v>62.36</ns0:v>
      </ns0:c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 t="inlineStr">
        <ns0:is>
          <ns0:t>福利费单价</ns0:t>
        </ns0:is>
      </ns0:c>
      <ns0:c r="C208" s="4">
        <ns0:v>22.30</ns0:v>
      </ns0:c>
      <ns0:c r="D208" s="4">
        <ns0:v>71.09</ns0:v>
      </ns0:c>
      <ns0:c r="E208" s="4">
        <ns0:v>54.78</ns0:v>
      </ns0:c>
      <ns0:c r="F208" s="4">
        <ns0:v>36.71</ns0:v>
      </ns0:c>
      <ns0:c r="G208" s="4">
        <ns0:v>29.99</ns0:v>
      </ns0:c>
      <ns0:c r="H208" s="4">
        <ns0:v>50.12</ns0:v>
      </ns0:c>
      <ns0:c r="I208" s="4">
        <ns0:v>37.60</ns0:v>
      </ns0:c>
      <ns0:c r="J208" s="4">
        <ns0:v>57.16</ns0:v>
      </ns0:c>
      <ns0:c r="K208" s="4">
        <ns0:v>56.72</ns0:v>
      </ns0:c>
      <ns0:c r="L208" s="4">
        <ns0:v>50.11</ns0:v>
      </ns0:c>
      <ns0:c r="M208" s="4">
        <ns0:v>19.97</ns0:v>
      </ns0:c>
      <ns0:c r="N208" s="4">
        <ns0:v>59.37</ns0:v>
      </ns0:c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 t="inlineStr">
        <ns0:is>
          <ns0:t>招聘费单价</ns0:t>
        </ns0:is>
      </ns0:c>
      <ns0:c r="C209" s="4">
        <ns0:v>51.47</ns0:v>
      </ns0:c>
      <ns0:c r="D209" s="4">
        <ns0:v>29.63</ns0:v>
      </ns0:c>
      <ns0:c r="E209" s="4">
        <ns0:v>57.69</ns0:v>
      </ns0:c>
      <ns0:c r="F209" s="4">
        <ns0:v>49.62</ns0:v>
      </ns0:c>
      <ns0:c r="G209" s="4">
        <ns0:v>49.60</ns0:v>
      </ns0:c>
      <ns0:c r="H209" s="4">
        <ns0:v>34.85</ns0:v>
      </ns0:c>
      <ns0:c r="I209" s="4">
        <ns0:v>44.69</ns0:v>
      </ns0:c>
      <ns0:c r="J209" s="4">
        <ns0:v>41.89</ns0:v>
      </ns0:c>
      <ns0:c r="K209" s="4">
        <ns0:v>42.04</ns0:v>
      </ns0:c>
      <ns0:c r="L209" s="4">
        <ns0:v>31.86</ns0:v>
      </ns0:c>
      <ns0:c r="M209" s="4">
        <ns0:v>35.48</ns0:v>
      </ns0:c>
      <ns0:c r="N209" s="4">
        <ns0:v>31.93</ns0:v>
      </ns0:c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 t="inlineStr">
        <ns0:is>
          <ns0:t>培训费单价</ns0:t>
        </ns0:is>
      </ns0:c>
      <ns0:c r="C210" s="4">
        <ns0:v>42.48</ns0:v>
      </ns0:c>
      <ns0:c r="D210" s="4">
        <ns0:v>48.65</ns0:v>
      </ns0:c>
      <ns0:c r="E210" s="4">
        <ns0:v>23.74</ns0:v>
      </ns0:c>
      <ns0:c r="F210" s="4">
        <ns0:v>71.72</ns0:v>
      </ns0:c>
      <ns0:c r="G210" s="4">
        <ns0:v>60.22</ns0:v>
      </ns0:c>
      <ns0:c r="H210" s="4">
        <ns0:v>54.41</ns0:v>
      </ns0:c>
      <ns0:c r="I210" s="4">
        <ns0:v>36.58</ns0:v>
      </ns0:c>
      <ns0:c r="J210" s="4">
        <ns0:v>19.84</ns0:v>
      </ns0:c>
      <ns0:c r="K210" s="4">
        <ns0:v>31.90</ns0:v>
      </ns0:c>
      <ns0:c r="L210" s="4">
        <ns0:v>53.88</ns0:v>
      </ns0:c>
      <ns0:c r="M210" s="4">
        <ns0:v>25.13</ns0:v>
      </ns0:c>
      <ns0:c r="N210" s="4">
        <ns0:v>70.03</ns0:v>
      </ns0:c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 t="inlineStr">
        <ns0:is>
          <ns0:t>房租单价</ns0:t>
        </ns0:is>
      </ns0:c>
      <ns0:c r="C211" s="4">
        <ns0:v>30.66</ns0:v>
      </ns0:c>
      <ns0:c r="D211" s="4">
        <ns0:v>61.19</ns0:v>
      </ns0:c>
      <ns0:c r="E211" s="4">
        <ns0:v>27.62</ns0:v>
      </ns0:c>
      <ns0:c r="F211" s="4">
        <ns0:v>24.61</ns0:v>
      </ns0:c>
      <ns0:c r="G211" s="4">
        <ns0:v>20.96</ns0:v>
      </ns0:c>
      <ns0:c r="H211" s="4">
        <ns0:v>57.79</ns0:v>
      </ns0:c>
      <ns0:c r="I211" s="4">
        <ns0:v>21.28</ns0:v>
      </ns0:c>
      <ns0:c r="J211" s="4">
        <ns0:v>50.22</ns0:v>
      </ns0:c>
      <ns0:c r="K211" s="4">
        <ns0:v>30.08</ns0:v>
      </ns0:c>
      <ns0:c r="L211" s="4">
        <ns0:v>25.61</ns0:v>
      </ns0:c>
      <ns0:c r="M211" s="4">
        <ns0:v>26.40</ns0:v>
      </ns0:c>
      <ns0:c r="N211" s="4">
        <ns0:v>54.50</ns0:v>
      </ns0:c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 t="inlineStr">
        <ns0:is>
          <ns0:t>物业管理费单价</ns0:t>
        </ns0:is>
      </ns0:c>
      <ns0:c r="C212" s="4">
        <ns0:v>26.31</ns0:v>
      </ns0:c>
      <ns0:c r="D212" s="4">
        <ns0:v>22.42</ns0:v>
      </ns0:c>
      <ns0:c r="E212" s="4">
        <ns0:v>50.34</ns0:v>
      </ns0:c>
      <ns0:c r="F212" s="4">
        <ns0:v>34.92</ns0:v>
      </ns0:c>
      <ns0:c r="G212" s="4">
        <ns0:v>22.66</ns0:v>
      </ns0:c>
      <ns0:c r="H212" s="4">
        <ns0:v>18.96</ns0:v>
      </ns0:c>
      <ns0:c r="I212" s="4">
        <ns0:v>73.23</ns0:v>
      </ns0:c>
      <ns0:c r="J212" s="4">
        <ns0:v>27.29</ns0:v>
      </ns0:c>
      <ns0:c r="K212" s="4">
        <ns0:v>65.52</ns0:v>
      </ns0:c>
      <ns0:c r="L212" s="4">
        <ns0:v>39.34</ns0:v>
      </ns0:c>
      <ns0:c r="M212" s="4">
        <ns0:v>52.36</ns0:v>
      </ns0:c>
      <ns0:c r="N212" s="4">
        <ns0:v>60.99</ns0:v>
      </ns0:c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 t="inlineStr">
        <ns0:is>
          <ns0:t>汽车费用单价</ns0:t>
        </ns0:is>
      </ns0:c>
      <ns0:c r="C213" s="4">
        <ns0:v>41.15</ns0:v>
      </ns0:c>
      <ns0:c r="D213" s="4">
        <ns0:v>57.70</ns0:v>
      </ns0:c>
      <ns0:c r="E213" s="4">
        <ns0:v>33.58</ns0:v>
      </ns0:c>
      <ns0:c r="F213" s="4">
        <ns0:v>20.19</ns0:v>
      </ns0:c>
      <ns0:c r="G213" s="4">
        <ns0:v>46.79</ns0:v>
      </ns0:c>
      <ns0:c r="H213" s="4">
        <ns0:v>64.62</ns0:v>
      </ns0:c>
      <ns0:c r="I213" s="4">
        <ns0:v>31.19</ns0:v>
      </ns0:c>
      <ns0:c r="J213" s="4">
        <ns0:v>34.53</ns0:v>
      </ns0:c>
      <ns0:c r="K213" s="4">
        <ns0:v>45.09</ns0:v>
      </ns0:c>
      <ns0:c r="L213" s="4">
        <ns0:v>44.03</ns0:v>
      </ns0:c>
      <ns0:c r="M213" s="4">
        <ns0:v>50.17</ns0:v>
      </ns0:c>
      <ns0:c r="N213" s="4">
        <ns0:v>60.49</ns0:v>
      </ns0:c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 t="inlineStr">
        <ns0:is>
          <ns0:t>办公费单价</ns0:t>
        </ns0:is>
      </ns0:c>
      <ns0:c r="C214" s="4">
        <ns0:v>59.72</ns0:v>
      </ns0:c>
      <ns0:c r="D214" s="4">
        <ns0:v>54.71</ns0:v>
      </ns0:c>
      <ns0:c r="E214" s="4">
        <ns0:v>18.48</ns0:v>
      </ns0:c>
      <ns0:c r="F214" s="4">
        <ns0:v>40.64</ns0:v>
      </ns0:c>
      <ns0:c r="G214" s="4">
        <ns0:v>26.80</ns0:v>
      </ns0:c>
      <ns0:c r="H214" s="4">
        <ns0:v>20.67</ns0:v>
      </ns0:c>
      <ns0:c r="I214" s="4">
        <ns0:v>45.82</ns0:v>
      </ns0:c>
      <ns0:c r="J214" s="4">
        <ns0:v>48.33</ns0:v>
      </ns0:c>
      <ns0:c r="K214" s="4">
        <ns0:v>30.87</ns0:v>
      </ns0:c>
      <ns0:c r="L214" s="4">
        <ns0:v>52.13</ns0:v>
      </ns0:c>
      <ns0:c r="M214" s="4">
        <ns0:v>44.54</ns0:v>
      </ns0:c>
      <ns0:c r="N214" s="4">
        <ns0:v>57.07</ns0:v>
      </ns0:c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 t="inlineStr">
        <ns0:is>
          <ns0:t>办公用品单价</ns0:t>
        </ns0:is>
      </ns0:c>
      <ns0:c r="C215" s="4">
        <ns0:v>41.12</ns0:v>
      </ns0:c>
      <ns0:c r="D215" s="4">
        <ns0:v>41.21</ns0:v>
      </ns0:c>
      <ns0:c r="E215" s="4">
        <ns0:v>63.03</ns0:v>
      </ns0:c>
      <ns0:c r="F215" s="4">
        <ns0:v>56.21</ns0:v>
      </ns0:c>
      <ns0:c r="G215" s="4">
        <ns0:v>38.71</ns0:v>
      </ns0:c>
      <ns0:c r="H215" s="4">
        <ns0:v>55.02</ns0:v>
      </ns0:c>
      <ns0:c r="I215" s="4">
        <ns0:v>50.37</ns0:v>
      </ns0:c>
      <ns0:c r="J215" s="4">
        <ns0:v>59.28</ns0:v>
      </ns0:c>
      <ns0:c r="K215" s="4">
        <ns0:v>23.38</ns0:v>
      </ns0:c>
      <ns0:c r="L215" s="4">
        <ns0:v>28.57</ns0:v>
      </ns0:c>
      <ns0:c r="M215" s="4">
        <ns0:v>47.63</ns0:v>
      </ns0:c>
      <ns0:c r="N215" s="4">
        <ns0:v>42.53</ns0:v>
      </ns0:c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 t="inlineStr">
        <ns0:is>
          <ns0:t>水电煤单价</ns0:t>
        </ns0:is>
      </ns0:c>
      <ns0:c r="C216" s="4">
        <ns0:v>47.39</ns0:v>
      </ns0:c>
      <ns0:c r="D216" s="4">
        <ns0:v>30.39</ns0:v>
      </ns0:c>
      <ns0:c r="E216" s="4">
        <ns0:v>34.11</ns0:v>
      </ns0:c>
      <ns0:c r="F216" s="4">
        <ns0:v>54.37</ns0:v>
      </ns0:c>
      <ns0:c r="G216" s="4">
        <ns0:v>28.35</ns0:v>
      </ns0:c>
      <ns0:c r="H216" s="4">
        <ns0:v>38.09</ns0:v>
      </ns0:c>
      <ns0:c r="I216" s="4">
        <ns0:v>26.68</ns0:v>
      </ns0:c>
      <ns0:c r="J216" s="4">
        <ns0:v>38.38</ns0:v>
      </ns0:c>
      <ns0:c r="K216" s="4">
        <ns0:v>56.13</ns0:v>
      </ns0:c>
      <ns0:c r="L216" s="4">
        <ns0:v>70.45</ns0:v>
      </ns0:c>
      <ns0:c r="M216" s="4">
        <ns0:v>65.89</ns0:v>
      </ns0:c>
      <ns0:c r="N216" s="4">
        <ns0:v>69.80</ns0:v>
      </ns0:c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 t="inlineStr">
        <ns0:is>
          <ns0:t>咨询服务费单价</ns0:t>
        </ns0:is>
      </ns0:c>
      <ns0:c r="C217" s="4">
        <ns0:v>18.57</ns0:v>
      </ns0:c>
      <ns0:c r="D217" s="4">
        <ns0:v>33.66</ns0:v>
      </ns0:c>
      <ns0:c r="E217" s="4">
        <ns0:v>44.42</ns0:v>
      </ns0:c>
      <ns0:c r="F217" s="4">
        <ns0:v>26.73</ns0:v>
      </ns0:c>
      <ns0:c r="G217" s="4">
        <ns0:v>22.43</ns0:v>
      </ns0:c>
      <ns0:c r="H217" s="4">
        <ns0:v>45.66</ns0:v>
      </ns0:c>
      <ns0:c r="I217" s="4">
        <ns0:v>47.02</ns0:v>
      </ns0:c>
      <ns0:c r="J217" s="4">
        <ns0:v>44.06</ns0:v>
      </ns0:c>
      <ns0:c r="K217" s="4">
        <ns0:v>30.58</ns0:v>
      </ns0:c>
      <ns0:c r="L217" s="4">
        <ns0:v>48.60</ns0:v>
      </ns0:c>
      <ns0:c r="M217" s="4">
        <ns0:v>35.27</ns0:v>
      </ns0:c>
      <ns0:c r="N217" s="4">
        <ns0:v>19.27</ns0:v>
      </ns0:c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 t="inlineStr">
        <ns0:is>
          <ns0:t>电话费单价</ns0:t>
        </ns0:is>
      </ns0:c>
      <ns0:c r="C218" s="4">
        <ns0:v>24.31</ns0:v>
      </ns0:c>
      <ns0:c r="D218" s="4">
        <ns0:v>56.76</ns0:v>
      </ns0:c>
      <ns0:c r="E218" s="4">
        <ns0:v>59.11</ns0:v>
      </ns0:c>
      <ns0:c r="F218" s="4">
        <ns0:v>36.66</ns0:v>
      </ns0:c>
      <ns0:c r="G218" s="4">
        <ns0:v>33.11</ns0:v>
      </ns0:c>
      <ns0:c r="H218" s="4">
        <ns0:v>34.79</ns0:v>
      </ns0:c>
      <ns0:c r="I218" s="4">
        <ns0:v>45.34</ns0:v>
      </ns0:c>
      <ns0:c r="J218" s="4">
        <ns0:v>43.66</ns0:v>
      </ns0:c>
      <ns0:c r="K218" s="4">
        <ns0:v>60.46</ns0:v>
      </ns0:c>
      <ns0:c r="L218" s="4">
        <ns0:v>19.72</ns0:v>
      </ns0:c>
      <ns0:c r="M218" s="4">
        <ns0:v>21.16</ns0:v>
      </ns0:c>
      <ns0:c r="N218" s="4">
        <ns0:v>55.88</ns0:v>
      </ns0:c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 t="inlineStr">
        <ns0:is>
          <ns0:t>快递费单价</ns0:t>
        </ns0:is>
      </ns0:c>
      <ns0:c r="C219" s="4">
        <ns0:v>25.90</ns0:v>
      </ns0:c>
      <ns0:c r="D219" s="4">
        <ns0:v>34.15</ns0:v>
      </ns0:c>
      <ns0:c r="E219" s="4">
        <ns0:v>70.59</ns0:v>
      </ns0:c>
      <ns0:c r="F219" s="4">
        <ns0:v>19.94</ns0:v>
      </ns0:c>
      <ns0:c r="G219" s="4">
        <ns0:v>61.70</ns0:v>
      </ns0:c>
      <ns0:c r="H219" s="4">
        <ns0:v>52.99</ns0:v>
      </ns0:c>
      <ns0:c r="I219" s="4">
        <ns0:v>16.14</ns0:v>
      </ns0:c>
      <ns0:c r="J219" s="4">
        <ns0:v>49.54</ns0:v>
      </ns0:c>
      <ns0:c r="K219" s="4">
        <ns0:v>23.93</ns0:v>
      </ns0:c>
      <ns0:c r="L219" s="4">
        <ns0:v>30.25</ns0:v>
      </ns0:c>
      <ns0:c r="M219" s="4">
        <ns0:v>39.56</ns0:v>
      </ns0:c>
      <ns0:c r="N219" s="4">
        <ns0:v>51.97</ns0:v>
      </ns0:c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 t="inlineStr">
        <ns0:is>
          <ns0:t>折旧及摊销单价</ns0:t>
        </ns0:is>
      </ns0:c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 t="inlineStr">
        <ns0:is>
          <ns0:t>机票火车票单价</ns0:t>
        </ns0:is>
      </ns0:c>
      <ns0:c r="C221" s="4">
        <ns0:v>46.40</ns0:v>
      </ns0:c>
      <ns0:c r="D221" s="4">
        <ns0:v>69.29</ns0:v>
      </ns0:c>
      <ns0:c r="E221" s="4">
        <ns0:v>36.11</ns0:v>
      </ns0:c>
      <ns0:c r="F221" s="4">
        <ns0:v>55.62</ns0:v>
      </ns0:c>
      <ns0:c r="G221" s="4">
        <ns0:v>49.27</ns0:v>
      </ns0:c>
      <ns0:c r="H221" s="4">
        <ns0:v>57.19</ns0:v>
      </ns0:c>
      <ns0:c r="I221" s="4">
        <ns0:v>37.95</ns0:v>
      </ns0:c>
      <ns0:c r="J221" s="4">
        <ns0:v>22.03</ns0:v>
      </ns0:c>
      <ns0:c r="K221" s="4">
        <ns0:v>67.08</ns0:v>
      </ns0:c>
      <ns0:c r="L221" s="4">
        <ns0:v>41.34</ns0:v>
      </ns0:c>
      <ns0:c r="M221" s="4">
        <ns0:v>54.14</ns0:v>
      </ns0:c>
      <ns0:c r="N221" s="4">
        <ns0:v>31.71</ns0:v>
      </ns0:c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 t="inlineStr">
        <ns0:is>
          <ns0:t>住宿费单价</ns0:t>
        </ns0:is>
      </ns0:c>
      <ns0:c r="C222" s="4">
        <ns0:v>67.39</ns0:v>
      </ns0:c>
      <ns0:c r="D222" s="4">
        <ns0:v>31.57</ns0:v>
      </ns0:c>
      <ns0:c r="E222" s="4">
        <ns0:v>19.76</ns0:v>
      </ns0:c>
      <ns0:c r="F222" s="4">
        <ns0:v>49.11</ns0:v>
      </ns0:c>
      <ns0:c r="G222" s="4">
        <ns0:v>31.40</ns0:v>
      </ns0:c>
      <ns0:c r="H222" s="4">
        <ns0:v>18.65</ns0:v>
      </ns0:c>
      <ns0:c r="I222" s="4">
        <ns0:v>30.93</ns0:v>
      </ns0:c>
      <ns0:c r="J222" s="4">
        <ns0:v>49.99</ns0:v>
      </ns0:c>
      <ns0:c r="K222" s="4">
        <ns0:v>58.48</ns0:v>
      </ns0:c>
      <ns0:c r="L222" s="4">
        <ns0:v>61.93</ns0:v>
      </ns0:c>
      <ns0:c r="M222" s="4">
        <ns0:v>51.12</ns0:v>
      </ns0:c>
      <ns0:c r="N222" s="4">
        <ns0:v>43.20</ns0:v>
      </ns0:c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 t="inlineStr">
        <ns0:is>
          <ns0:t>交通费单价</ns0:t>
        </ns0:is>
      </ns0:c>
      <ns0:c r="C223" s="4">
        <ns0:v>70.38</ns0:v>
      </ns0:c>
      <ns0:c r="D223" s="4">
        <ns0:v>39.26</ns0:v>
      </ns0:c>
      <ns0:c r="E223" s="4">
        <ns0:v>65.17</ns0:v>
      </ns0:c>
      <ns0:c r="F223" s="4">
        <ns0:v>17.65</ns0:v>
      </ns0:c>
      <ns0:c r="G223" s="4">
        <ns0:v>64.14</ns0:v>
      </ns0:c>
      <ns0:c r="H223" s="4">
        <ns0:v>70.52</ns0:v>
      </ns0:c>
      <ns0:c r="I223" s="4">
        <ns0:v>35.97</ns0:v>
      </ns0:c>
      <ns0:c r="J223" s="4">
        <ns0:v>59.83</ns0:v>
      </ns0:c>
      <ns0:c r="K223" s="4">
        <ns0:v>28.31</ns0:v>
      </ns0:c>
      <ns0:c r="L223" s="4">
        <ns0:v>26.19</ns0:v>
      </ns0:c>
      <ns0:c r="M223" s="4">
        <ns0:v>46.58</ns0:v>
      </ns0:c>
      <ns0:c r="N223" s="4">
        <ns0:v>42.03</ns0:v>
      </ns0:c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 t="inlineStr">
        <ns0:is>
          <ns0:t>差旅补贴单价</ns0:t>
        </ns0:is>
      </ns0:c>
      <ns0:c r="C224" s="4">
        <ns0:v>20.34</ns0:v>
      </ns0:c>
      <ns0:c r="D224" s="4">
        <ns0:v>44.68</ns0:v>
      </ns0:c>
      <ns0:c r="E224" s="4">
        <ns0:v>38.80</ns0:v>
      </ns0:c>
      <ns0:c r="F224" s="4">
        <ns0:v>43.57</ns0:v>
      </ns0:c>
      <ns0:c r="G224" s="4">
        <ns0:v>16.17</ns0:v>
      </ns0:c>
      <ns0:c r="H224" s="4">
        <ns0:v>20.91</ns0:v>
      </ns0:c>
      <ns0:c r="I224" s="4">
        <ns0:v>41.21</ns0:v>
      </ns0:c>
      <ns0:c r="J224" s="4">
        <ns0:v>58.60</ns0:v>
      </ns0:c>
      <ns0:c r="K224" s="4">
        <ns0:v>53.86</ns0:v>
      </ns0:c>
      <ns0:c r="L224" s="4">
        <ns0:v>18.99</ns0:v>
      </ns0:c>
      <ns0:c r="M224" s="4">
        <ns0:v>38.87</ns0:v>
      </ns0:c>
      <ns0:c r="N224" s="4">
        <ns0:v>35.30</ns0:v>
      </ns0:c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 t="inlineStr">
        <ns0:is>
          <ns0:t>业务招待费单价</ns0:t>
        </ns0:is>
      </ns0:c>
      <ns0:c r="C225" s="4">
        <ns0:v>62.84</ns0:v>
      </ns0:c>
      <ns0:c r="D225" s="4">
        <ns0:v>31.23</ns0:v>
      </ns0:c>
      <ns0:c r="E225" s="4">
        <ns0:v>65.02</ns0:v>
      </ns0:c>
      <ns0:c r="F225" s="4">
        <ns0:v>36.24</ns0:v>
      </ns0:c>
      <ns0:c r="G225" s="4">
        <ns0:v>56.14</ns0:v>
      </ns0:c>
      <ns0:c r="H225" s="4">
        <ns0:v>50.29</ns0:v>
      </ns0:c>
      <ns0:c r="I225" s="4">
        <ns0:v>44.95</ns0:v>
      </ns0:c>
      <ns0:c r="J225" s="4">
        <ns0:v>48.18</ns0:v>
      </ns0:c>
      <ns0:c r="K225" s="4">
        <ns0:v>31.45</ns0:v>
      </ns0:c>
      <ns0:c r="L225" s="4">
        <ns0:v>19.63</ns0:v>
      </ns0:c>
      <ns0:c r="M225" s="4">
        <ns0:v>22.77</ns0:v>
      </ns0:c>
      <ns0:c r="N225" s="4">
        <ns0:v>30.11</ns0:v>
      </ns0:c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 t="inlineStr">
        <ns0:is>
          <ns0:t>市内交通费单价</ns0:t>
        </ns0:is>
      </ns0:c>
      <ns0:c r="C226" s="4">
        <ns0:v>43.78</ns0:v>
      </ns0:c>
      <ns0:c r="D226" s="4">
        <ns0:v>60.27</ns0:v>
      </ns0:c>
      <ns0:c r="E226" s="4">
        <ns0:v>36.13</ns0:v>
      </ns0:c>
      <ns0:c r="F226" s="4">
        <ns0:v>40.29</ns0:v>
      </ns0:c>
      <ns0:c r="G226" s="4">
        <ns0:v>48.07</ns0:v>
      </ns0:c>
      <ns0:c r="H226" s="4">
        <ns0:v>30.14</ns0:v>
      </ns0:c>
      <ns0:c r="I226" s="4">
        <ns0:v>59.72</ns0:v>
      </ns0:c>
      <ns0:c r="J226" s="4">
        <ns0:v>38.13</ns0:v>
      </ns0:c>
      <ns0:c r="K226" s="4">
        <ns0:v>35.82</ns0:v>
      </ns0:c>
      <ns0:c r="L226" s="4">
        <ns0:v>39.19</ns0:v>
      </ns0:c>
      <ns0:c r="M226" s="4">
        <ns0:v>45.43</ns0:v>
      </ns0:c>
      <ns0:c r="N226" s="4">
        <ns0:v>26.28</ns0:v>
      </ns0:c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 t="inlineStr">
        <ns0:is>
          <ns0:t>调研费用单价</ns0:t>
        </ns0:is>
      </ns0:c>
      <ns0:c r="C227" s="4">
        <ns0:v>38.71</ns0:v>
      </ns0:c>
      <ns0:c r="D227" s="4">
        <ns0:v>52.93</ns0:v>
      </ns0:c>
      <ns0:c r="E227" s="4">
        <ns0:v>49.68</ns0:v>
      </ns0:c>
      <ns0:c r="F227" s="4">
        <ns0:v>40.93</ns0:v>
      </ns0:c>
      <ns0:c r="G227" s="4">
        <ns0:v>23.65</ns0:v>
      </ns0:c>
      <ns0:c r="H227" s="4">
        <ns0:v>22.37</ns0:v>
      </ns0:c>
      <ns0:c r="I227" s="4">
        <ns0:v>54.50</ns0:v>
      </ns0:c>
      <ns0:c r="J227" s="4">
        <ns0:v>22.55</ns0:v>
      </ns0:c>
      <ns0:c r="K227" s="4">
        <ns0:v>62.10</ns0:v>
      </ns0:c>
      <ns0:c r="L227" s="4">
        <ns0:v>38.32</ns0:v>
      </ns0:c>
      <ns0:c r="M227" s="4">
        <ns0:v>27.49</ns0:v>
      </ns0:c>
      <ns0:c r="N227" s="4">
        <ns0:v>57.90</ns0:v>
      </ns0:c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 t="inlineStr">
        <ns0:is>
          <ns0:t>手续费单价</ns0:t>
        </ns0:is>
      </ns0:c>
      <ns0:c r="C228" s="4">
        <ns0:v>38.21</ns0:v>
      </ns0:c>
      <ns0:c r="D228" s="4">
        <ns0:v>58.14</ns0:v>
      </ns0:c>
      <ns0:c r="E228" s="4">
        <ns0:v>42.08</ns0:v>
      </ns0:c>
      <ns0:c r="F228" s="4">
        <ns0:v>41.15</ns0:v>
      </ns0:c>
      <ns0:c r="G228" s="4">
        <ns0:v>60.89</ns0:v>
      </ns0:c>
      <ns0:c r="H228" s="4">
        <ns0:v>67.24</ns0:v>
      </ns0:c>
      <ns0:c r="I228" s="4">
        <ns0:v>66.39</ns0:v>
      </ns0:c>
      <ns0:c r="J228" s="4">
        <ns0:v>49.53</ns0:v>
      </ns0:c>
      <ns0:c r="K228" s="4">
        <ns0:v>16.05</ns0:v>
      </ns0:c>
      <ns0:c r="L228" s="4">
        <ns0:v>65.39</ns0:v>
      </ns0:c>
      <ns0:c r="M228" s="4">
        <ns0:v>22.13</ns0:v>
      </ns0:c>
      <ns0:c r="N228" s="4">
        <ns0:v>54.74</ns0:v>
      </ns0:c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 t="inlineStr">
        <ns0:is>
          <ns0:t>利息收入单价</ns0:t>
        </ns0:is>
      </ns0:c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 t="inlineStr">
        <ns0:is>
          <ns0:t>利息支出单价</ns0:t>
        </ns0:is>
      </ns0:c>
      <ns0:c r="C230" s="4">
        <ns0:v>69.56</ns0:v>
      </ns0:c>
      <ns0:c r="D230" s="4">
        <ns0:v>45.57</ns0:v>
      </ns0:c>
      <ns0:c r="E230" s="4">
        <ns0:v>56.93</ns0:v>
      </ns0:c>
      <ns0:c r="F230" s="4">
        <ns0:v>22.91</ns0:v>
      </ns0:c>
      <ns0:c r="G230" s="4">
        <ns0:v>42.78</ns0:v>
      </ns0:c>
      <ns0:c r="H230" s="4">
        <ns0:v>20.63</ns0:v>
      </ns0:c>
      <ns0:c r="I230" s="4">
        <ns0:v>27.26</ns0:v>
      </ns0:c>
      <ns0:c r="J230" s="4">
        <ns0:v>17.42</ns0:v>
      </ns0:c>
      <ns0:c r="K230" s="4">
        <ns0:v>26.21</ns0:v>
      </ns0:c>
      <ns0:c r="L230" s="4">
        <ns0:v>54.28</ns0:v>
      </ns0:c>
      <ns0:c r="M230" s="4">
        <ns0:v>55.13</ns0:v>
      </ns0:c>
      <ns0:c r="N230" s="4">
        <ns0:v>50.15</ns0:v>
      </ns0:c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 t="inlineStr">
        <ns0:is>
          <ns0:t>车船税单价</ns0:t>
        </ns0:is>
      </ns0:c>
      <ns0:c r="C231" s="4">
        <ns0:v>54.38</ns0:v>
      </ns0:c>
      <ns0:c r="D231" s="4">
        <ns0:v>66.32</ns0:v>
      </ns0:c>
      <ns0:c r="E231" s="4">
        <ns0:v>50.64</ns0:v>
      </ns0:c>
      <ns0:c r="F231" s="4">
        <ns0:v>48.28</ns0:v>
      </ns0:c>
      <ns0:c r="G231" s="4">
        <ns0:v>55.11</ns0:v>
      </ns0:c>
      <ns0:c r="H231" s="4">
        <ns0:v>33.44</ns0:v>
      </ns0:c>
      <ns0:c r="I231" s="4">
        <ns0:v>58.11</ns0:v>
      </ns0:c>
      <ns0:c r="J231" s="4">
        <ns0:v>42.49</ns0:v>
      </ns0:c>
      <ns0:c r="K231" s="4">
        <ns0:v>20.94</ns0:v>
      </ns0:c>
      <ns0:c r="L231" s="4">
        <ns0:v>29.24</ns0:v>
      </ns0:c>
      <ns0:c r="M231" s="4">
        <ns0:v>57.83</ns0:v>
      </ns0:c>
      <ns0:c r="N231" s="4">
        <ns0:v>45.27</ns0:v>
      </ns0:c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 t="inlineStr">
        <ns0:is>
          <ns0:t>印花税单价</ns0:t>
        </ns0:is>
      </ns0:c>
      <ns0:c r="C232" s="4">
        <ns0:v>23.46</ns0:v>
      </ns0:c>
      <ns0:c r="D232" s="4">
        <ns0:v>60.68</ns0:v>
      </ns0:c>
      <ns0:c r="E232" s="4">
        <ns0:v>24.08</ns0:v>
      </ns0:c>
      <ns0:c r="F232" s="4">
        <ns0:v>66.44</ns0:v>
      </ns0:c>
      <ns0:c r="G232" s="4">
        <ns0:v>22.74</ns0:v>
      </ns0:c>
      <ns0:c r="H232" s="4">
        <ns0:v>59.57</ns0:v>
      </ns0:c>
      <ns0:c r="I232" s="4">
        <ns0:v>42.27</ns0:v>
      </ns0:c>
      <ns0:c r="J232" s="4">
        <ns0:v>41.35</ns0:v>
      </ns0:c>
      <ns0:c r="K232" s="4">
        <ns0:v>32.23</ns0:v>
      </ns0:c>
      <ns0:c r="L232" s="4">
        <ns0:v>36.88</ns0:v>
      </ns0:c>
      <ns0:c r="M232" s="4">
        <ns0:v>30.36</ns0:v>
      </ns0:c>
      <ns0:c r="N232" s="4">
        <ns0:v>29.73</ns0:v>
      </ns0:c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 t="inlineStr">
        <ns0:is>
          <ns0:t>其他单价</ns0:t>
        </ns0:is>
      </ns0:c>
      <ns0:c r="C233" s="4">
        <ns0:v>59.97</ns0:v>
      </ns0:c>
      <ns0:c r="D233" s="4">
        <ns0:v>65.62</ns0:v>
      </ns0:c>
      <ns0:c r="E233" s="4">
        <ns0:v>68.08</ns0:v>
      </ns0:c>
      <ns0:c r="F233" s="4">
        <ns0:v>51.89</ns0:v>
      </ns0:c>
      <ns0:c r="G233" s="4">
        <ns0:v>36.46</ns0:v>
      </ns0:c>
      <ns0:c r="H233" s="4">
        <ns0:v>46.51</ns0:v>
      </ns0:c>
      <ns0:c r="I233" s="4">
        <ns0:v>25.33</ns0:v>
      </ns0:c>
      <ns0:c r="J233" s="4">
        <ns0:v>64.53</ns0:v>
      </ns0:c>
      <ns0:c r="K233" s="4">
        <ns0:v>19.23</ns0:v>
      </ns0:c>
      <ns0:c r="L233" s="4">
        <ns0:v>63.10</ns0:v>
      </ns0:c>
      <ns0:c r="M233" s="4">
        <ns0:v>17.80</ns0:v>
      </ns0:c>
      <ns0:c r="N233" s="4">
        <ns0:v>20.94</ns0:v>
      </ns0:c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 t="inlineStr">
        <ns0:is>
          <ns0:t>工资数量</ns0:t>
        </ns0:is>
      </ns0:c>
      <ns0:c r="C324" s="4">
        <ns0:v>8.11</ns0:v>
      </ns0:c>
      <ns0:c r="D324" s="4">
        <ns0:v>3.53</ns0:v>
      </ns0:c>
      <ns0:c r="E324" s="4">
        <ns0:v>4.32</ns0:v>
      </ns0:c>
      <ns0:c r="F324" s="4">
        <ns0:v>5.30</ns0:v>
      </ns0:c>
      <ns0:c r="G324" s="4">
        <ns0:v>8.71</ns0:v>
      </ns0:c>
      <ns0:c r="H324" s="4">
        <ns0:v>3.69</ns0:v>
      </ns0:c>
      <ns0:c r="I324" s="4">
        <ns0:v>2.09</ns0:v>
      </ns0:c>
      <ns0:c r="J324" s="4">
        <ns0:v>6.19</ns0:v>
      </ns0:c>
      <ns0:c r="K324" s="4">
        <ns0:v>2.81</ns0:v>
      </ns0:c>
      <ns0:c r="L324" s="4">
        <ns0:v>4.23</ns0:v>
      </ns0:c>
      <ns0:c r="M324" s="4">
        <ns0:v>7.50</ns0:v>
      </ns0:c>
      <ns0:c r="N324" s="4">
        <ns0:v>6.19</ns0:v>
      </ns0:c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 t="inlineStr">
        <ns0:is>
          <ns0:t>十三薪数量</ns0:t>
        </ns0:is>
      </ns0:c>
      <ns0:c r="C325" s="4">
        <ns0:v>2.42</ns0:v>
      </ns0:c>
      <ns0:c r="D325" s="4">
        <ns0:v>5.66</ns0:v>
      </ns0:c>
      <ns0:c r="E325" s="4">
        <ns0:v>6.57</ns0:v>
      </ns0:c>
      <ns0:c r="F325" s="4">
        <ns0:v>5.18</ns0:v>
      </ns0:c>
      <ns0:c r="G325" s="4">
        <ns0:v>6.56</ns0:v>
      </ns0:c>
      <ns0:c r="H325" s="4">
        <ns0:v>4.28</ns0:v>
      </ns0:c>
      <ns0:c r="I325" s="4">
        <ns0:v>2.22</ns0:v>
      </ns0:c>
      <ns0:c r="J325" s="4">
        <ns0:v>5.46</ns0:v>
      </ns0:c>
      <ns0:c r="K325" s="4">
        <ns0:v>6.63</ns0:v>
      </ns0:c>
      <ns0:c r="L325" s="4">
        <ns0:v>2.11</ns0:v>
      </ns0:c>
      <ns0:c r="M325" s="4">
        <ns0:v>9.57</ns0:v>
      </ns0:c>
      <ns0:c r="N325" s="4">
        <ns0:v>4.24</ns0:v>
      </ns0:c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 t="inlineStr">
        <ns0:is>
          <ns0:t>离职补偿金数量</ns0:t>
        </ns0:is>
      </ns0:c>
      <ns0:c r="C326" s="4">
        <ns0:v>3.14</ns0:v>
      </ns0:c>
      <ns0:c r="D326" s="4">
        <ns0:v>2.11</ns0:v>
      </ns0:c>
      <ns0:c r="E326" s="4">
        <ns0:v>4.03</ns0:v>
      </ns0:c>
      <ns0:c r="F326" s="4">
        <ns0:v>7.94</ns0:v>
      </ns0:c>
      <ns0:c r="G326" s="4">
        <ns0:v>6.10</ns0:v>
      </ns0:c>
      <ns0:c r="H326" s="4">
        <ns0:v>2.21</ns0:v>
      </ns0:c>
      <ns0:c r="I326" s="4">
        <ns0:v>3.28</ns0:v>
      </ns0:c>
      <ns0:c r="J326" s="4">
        <ns0:v>4.95</ns0:v>
      </ns0:c>
      <ns0:c r="K326" s="4">
        <ns0:v>3.22</ns0:v>
      </ns0:c>
      <ns0:c r="L326" s="4">
        <ns0:v>4.97</ns0:v>
      </ns0:c>
      <ns0:c r="M326" s="4">
        <ns0:v>5.36</ns0:v>
      </ns0:c>
      <ns0:c r="N326" s="4">
        <ns0:v>5.47</ns0:v>
      </ns0:c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 t="inlineStr">
        <ns0:is>
          <ns0:t>五险一金数量</ns0:t>
        </ns0:is>
      </ns0:c>
      <ns0:c r="C327" s="4">
        <ns0:v>5.47</ns0:v>
      </ns0:c>
      <ns0:c r="D327" s="4">
        <ns0:v>6.57</ns0:v>
      </ns0:c>
      <ns0:c r="E327" s="4">
        <ns0:v>7.68</ns0:v>
      </ns0:c>
      <ns0:c r="F327" s="4">
        <ns0:v>5.86</ns0:v>
      </ns0:c>
      <ns0:c r="G327" s="4">
        <ns0:v>6.38</ns0:v>
      </ns0:c>
      <ns0:c r="H327" s="4">
        <ns0:v>7.93</ns0:v>
      </ns0:c>
      <ns0:c r="I327" s="4">
        <ns0:v>7.72</ns0:v>
      </ns0:c>
      <ns0:c r="J327" s="4">
        <ns0:v>4.72</ns0:v>
      </ns0:c>
      <ns0:c r="K327" s="4">
        <ns0:v>6.22</ns0:v>
      </ns0:c>
      <ns0:c r="L327" s="4">
        <ns0:v>6.41</ns0:v>
      </ns0:c>
      <ns0:c r="M327" s="4">
        <ns0:v>5.91</ns0:v>
      </ns0:c>
      <ns0:c r="N327" s="4">
        <ns0:v>7.31</ns0:v>
      </ns0:c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 t="inlineStr">
        <ns0:is>
          <ns0:t>福利费数量</ns0:t>
        </ns0:is>
      </ns0:c>
      <ns0:c r="C328" s="4">
        <ns0:v>5.84</ns0:v>
      </ns0:c>
      <ns0:c r="D328" s="4">
        <ns0:v>6.53</ns0:v>
      </ns0:c>
      <ns0:c r="E328" s="4">
        <ns0:v>5.66</ns0:v>
      </ns0:c>
      <ns0:c r="F328" s="4">
        <ns0:v>2.74</ns0:v>
      </ns0:c>
      <ns0:c r="G328" s="4">
        <ns0:v>6.01</ns0:v>
      </ns0:c>
      <ns0:c r="H328" s="4">
        <ns0:v>9.37</ns0:v>
      </ns0:c>
      <ns0:c r="I328" s="4">
        <ns0:v>4.05</ns0:v>
      </ns0:c>
      <ns0:c r="J328" s="4">
        <ns0:v>7.75</ns0:v>
      </ns0:c>
      <ns0:c r="K328" s="4">
        <ns0:v>4.06</ns0:v>
      </ns0:c>
      <ns0:c r="L328" s="4">
        <ns0:v>8.01</ns0:v>
      </ns0:c>
      <ns0:c r="M328" s="4">
        <ns0:v>6.93</ns0:v>
      </ns0:c>
      <ns0:c r="N328" s="4">
        <ns0:v>8.05</ns0:v>
      </ns0:c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 t="inlineStr">
        <ns0:is>
          <ns0:t>招聘费数量</ns0:t>
        </ns0:is>
      </ns0:c>
      <ns0:c r="C329" s="4">
        <ns0:v>6.92</ns0:v>
      </ns0:c>
      <ns0:c r="D329" s="4">
        <ns0:v>5.51</ns0:v>
      </ns0:c>
      <ns0:c r="E329" s="4">
        <ns0:v>5.98</ns0:v>
      </ns0:c>
      <ns0:c r="F329" s="4">
        <ns0:v>9.04</ns0:v>
      </ns0:c>
      <ns0:c r="G329" s="4">
        <ns0:v>4.79</ns0:v>
      </ns0:c>
      <ns0:c r="H329" s="4">
        <ns0:v>3.47</ns0:v>
      </ns0:c>
      <ns0:c r="I329" s="4">
        <ns0:v>7.82</ns0:v>
      </ns0:c>
      <ns0:c r="J329" s="4">
        <ns0:v>2.43</ns0:v>
      </ns0:c>
      <ns0:c r="K329" s="4">
        <ns0:v>7.68</ns0:v>
      </ns0:c>
      <ns0:c r="L329" s="4">
        <ns0:v>3.08</ns0:v>
      </ns0:c>
      <ns0:c r="M329" s="4">
        <ns0:v>6.08</ns0:v>
      </ns0:c>
      <ns0:c r="N329" s="4">
        <ns0:v>9.03</ns0:v>
      </ns0:c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 t="inlineStr">
        <ns0:is>
          <ns0:t>培训费数量</ns0:t>
        </ns0:is>
      </ns0:c>
      <ns0:c r="C330" s="4">
        <ns0:v>8.10</ns0:v>
      </ns0:c>
      <ns0:c r="D330" s="4">
        <ns0:v>5.51</ns0:v>
      </ns0:c>
      <ns0:c r="E330" s="4">
        <ns0:v>4.87</ns0:v>
      </ns0:c>
      <ns0:c r="F330" s="4">
        <ns0:v>4.34</ns0:v>
      </ns0:c>
      <ns0:c r="G330" s="4">
        <ns0:v>7.21</ns0:v>
      </ns0:c>
      <ns0:c r="H330" s="4">
        <ns0:v>3.26</ns0:v>
      </ns0:c>
      <ns0:c r="I330" s="4">
        <ns0:v>2.70</ns0:v>
      </ns0:c>
      <ns0:c r="J330" s="4">
        <ns0:v>7.65</ns0:v>
      </ns0:c>
      <ns0:c r="K330" s="4">
        <ns0:v>5.11</ns0:v>
      </ns0:c>
      <ns0:c r="L330" s="4">
        <ns0:v>8.28</ns0:v>
      </ns0:c>
      <ns0:c r="M330" s="4">
        <ns0:v>6.86</ns0:v>
      </ns0:c>
      <ns0:c r="N330" s="4">
        <ns0:v>2.21</ns0:v>
      </ns0:c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 t="inlineStr">
        <ns0:is>
          <ns0:t>房租数量</ns0:t>
        </ns0:is>
      </ns0:c>
      <ns0:c r="C331" s="4">
        <ns0:v>5.05</ns0:v>
      </ns0:c>
      <ns0:c r="D331" s="4">
        <ns0:v>6.42</ns0:v>
      </ns0:c>
      <ns0:c r="E331" s="4">
        <ns0:v>4.48</ns0:v>
      </ns0:c>
      <ns0:c r="F331" s="4">
        <ns0:v>7.02</ns0:v>
      </ns0:c>
      <ns0:c r="G331" s="4">
        <ns0:v>5.83</ns0:v>
      </ns0:c>
      <ns0:c r="H331" s="4">
        <ns0:v>4.33</ns0:v>
      </ns0:c>
      <ns0:c r="I331" s="4">
        <ns0:v>3.68</ns0:v>
      </ns0:c>
      <ns0:c r="J331" s="4">
        <ns0:v>5.22</ns0:v>
      </ns0:c>
      <ns0:c r="K331" s="4">
        <ns0:v>3.31</ns0:v>
      </ns0:c>
      <ns0:c r="L331" s="4">
        <ns0:v>6.48</ns0:v>
      </ns0:c>
      <ns0:c r="M331" s="4">
        <ns0:v>4.10</ns0:v>
      </ns0:c>
      <ns0:c r="N331" s="4">
        <ns0:v>3.64</ns0:v>
      </ns0:c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 t="inlineStr">
        <ns0:is>
          <ns0:t>物业管理费数量</ns0:t>
        </ns0:is>
      </ns0:c>
      <ns0:c r="C332" s="4">
        <ns0:v>2.70</ns0:v>
      </ns0:c>
      <ns0:c r="D332" s="4">
        <ns0:v>7.35</ns0:v>
      </ns0:c>
      <ns0:c r="E332" s="4">
        <ns0:v>8.59</ns0:v>
      </ns0:c>
      <ns0:c r="F332" s="4">
        <ns0:v>5.88</ns0:v>
      </ns0:c>
      <ns0:c r="G332" s="4">
        <ns0:v>4.59</ns0:v>
      </ns0:c>
      <ns0:c r="H332" s="4">
        <ns0:v>3.88</ns0:v>
      </ns0:c>
      <ns0:c r="I332" s="4">
        <ns0:v>8.75</ns0:v>
      </ns0:c>
      <ns0:c r="J332" s="4">
        <ns0:v>4.93</ns0:v>
      </ns0:c>
      <ns0:c r="K332" s="4">
        <ns0:v>7.21</ns0:v>
      </ns0:c>
      <ns0:c r="L332" s="4">
        <ns0:v>6.91</ns0:v>
      </ns0:c>
      <ns0:c r="M332" s="4">
        <ns0:v>7.40</ns0:v>
      </ns0:c>
      <ns0:c r="N332" s="4">
        <ns0:v>3.42</ns0:v>
      </ns0:c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 t="inlineStr">
        <ns0:is>
          <ns0:t>汽车费用数量</ns0:t>
        </ns0:is>
      </ns0:c>
      <ns0:c r="C333" s="4">
        <ns0:v>8.04</ns0:v>
      </ns0:c>
      <ns0:c r="D333" s="4">
        <ns0:v>5.63</ns0:v>
      </ns0:c>
      <ns0:c r="E333" s="4">
        <ns0:v>6.46</ns0:v>
      </ns0:c>
      <ns0:c r="F333" s="4">
        <ns0:v>5.47</ns0:v>
      </ns0:c>
      <ns0:c r="G333" s="4">
        <ns0:v>2.83</ns0:v>
      </ns0:c>
      <ns0:c r="H333" s="4">
        <ns0:v>6.06</ns0:v>
      </ns0:c>
      <ns0:c r="I333" s="4">
        <ns0:v>5.46</ns0:v>
      </ns0:c>
      <ns0:c r="J333" s="4">
        <ns0:v>6.68</ns0:v>
      </ns0:c>
      <ns0:c r="K333" s="4">
        <ns0:v>6.48</ns0:v>
      </ns0:c>
      <ns0:c r="L333" s="4">
        <ns0:v>6.03</ns0:v>
      </ns0:c>
      <ns0:c r="M333" s="4">
        <ns0:v>4.20</ns0:v>
      </ns0:c>
      <ns0:c r="N333" s="4">
        <ns0:v>3.16</ns0:v>
      </ns0:c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 t="inlineStr">
        <ns0:is>
          <ns0:t>办公费数量</ns0:t>
        </ns0:is>
      </ns0:c>
      <ns0:c r="C334" s="4">
        <ns0:v>6.31</ns0:v>
      </ns0:c>
      <ns0:c r="D334" s="4">
        <ns0:v>3.87</ns0:v>
      </ns0:c>
      <ns0:c r="E334" s="4">
        <ns0:v>5.09</ns0:v>
      </ns0:c>
      <ns0:c r="F334" s="4">
        <ns0:v>7.85</ns0:v>
      </ns0:c>
      <ns0:c r="G334" s="4">
        <ns0:v>6.12</ns0:v>
      </ns0:c>
      <ns0:c r="H334" s="4">
        <ns0:v>7.36</ns0:v>
      </ns0:c>
      <ns0:c r="I334" s="4">
        <ns0:v>2.71</ns0:v>
      </ns0:c>
      <ns0:c r="J334" s="4">
        <ns0:v>3.27</ns0:v>
      </ns0:c>
      <ns0:c r="K334" s="4">
        <ns0:v>6.77</ns0:v>
      </ns0:c>
      <ns0:c r="L334" s="4">
        <ns0:v>3.59</ns0:v>
      </ns0:c>
      <ns0:c r="M334" s="4">
        <ns0:v>3.64</ns0:v>
      </ns0:c>
      <ns0:c r="N334" s="4">
        <ns0:v>2.27</ns0:v>
      </ns0:c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 t="inlineStr">
        <ns0:is>
          <ns0:t>办公用品数量</ns0:t>
        </ns0:is>
      </ns0:c>
      <ns0:c r="C335" s="4">
        <ns0:v>8.60</ns0:v>
      </ns0:c>
      <ns0:c r="D335" s="4">
        <ns0:v>3.04</ns0:v>
      </ns0:c>
      <ns0:c r="E335" s="4">
        <ns0:v>5.87</ns0:v>
      </ns0:c>
      <ns0:c r="F335" s="4">
        <ns0:v>4.14</ns0:v>
      </ns0:c>
      <ns0:c r="G335" s="4">
        <ns0:v>7.01</ns0:v>
      </ns0:c>
      <ns0:c r="H335" s="4">
        <ns0:v>5.11</ns0:v>
      </ns0:c>
      <ns0:c r="I335" s="4">
        <ns0:v>6.49</ns0:v>
      </ns0:c>
      <ns0:c r="J335" s="4">
        <ns0:v>6.36</ns0:v>
      </ns0:c>
      <ns0:c r="K335" s="4">
        <ns0:v>5.39</ns0:v>
      </ns0:c>
      <ns0:c r="L335" s="4">
        <ns0:v>7.76</ns0:v>
      </ns0:c>
      <ns0:c r="M335" s="4">
        <ns0:v>3.20</ns0:v>
      </ns0:c>
      <ns0:c r="N335" s="4">
        <ns0:v>6.48</ns0:v>
      </ns0:c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 t="inlineStr">
        <ns0:is>
          <ns0:t>水电煤数量</ns0:t>
        </ns0:is>
      </ns0:c>
      <ns0:c r="C336" s="4">
        <ns0:v>8.14</ns0:v>
      </ns0:c>
      <ns0:c r="D336" s="4">
        <ns0:v>3.47</ns0:v>
      </ns0:c>
      <ns0:c r="E336" s="4">
        <ns0:v>3.82</ns0:v>
      </ns0:c>
      <ns0:c r="F336" s="4">
        <ns0:v>4.93</ns0:v>
      </ns0:c>
      <ns0:c r="G336" s="4">
        <ns0:v>5.40</ns0:v>
      </ns0:c>
      <ns0:c r="H336" s="4">
        <ns0:v>1.99</ns0:v>
      </ns0:c>
      <ns0:c r="I336" s="4">
        <ns0:v>4.46</ns0:v>
      </ns0:c>
      <ns0:c r="J336" s="4">
        <ns0:v>2.69</ns0:v>
      </ns0:c>
      <ns0:c r="K336" s="4">
        <ns0:v>9.46</ns0:v>
      </ns0:c>
      <ns0:c r="L336" s="4">
        <ns0:v>3.96</ns0:v>
      </ns0:c>
      <ns0:c r="M336" s="4">
        <ns0:v>7.92</ns0:v>
      </ns0:c>
      <ns0:c r="N336" s="4">
        <ns0:v>7.36</ns0:v>
      </ns0:c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 t="inlineStr">
        <ns0:is>
          <ns0:t>咨询服务费数量</ns0:t>
        </ns0:is>
      </ns0:c>
      <ns0:c r="C337" s="4">
        <ns0:v>4.42</ns0:v>
      </ns0:c>
      <ns0:c r="D337" s="4">
        <ns0:v>4.81</ns0:v>
      </ns0:c>
      <ns0:c r="E337" s="4">
        <ns0:v>8.37</ns0:v>
      </ns0:c>
      <ns0:c r="F337" s="4">
        <ns0:v>7.66</ns0:v>
      </ns0:c>
      <ns0:c r="G337" s="4">
        <ns0:v>7.31</ns0:v>
      </ns0:c>
      <ns0:c r="H337" s="4">
        <ns0:v>4.63</ns0:v>
      </ns0:c>
      <ns0:c r="I337" s="4">
        <ns0:v>4.14</ns0:v>
      </ns0:c>
      <ns0:c r="J337" s="4">
        <ns0:v>5.34</ns0:v>
      </ns0:c>
      <ns0:c r="K337" s="4">
        <ns0:v>7.81</ns0:v>
      </ns0:c>
      <ns0:c r="L337" s="4">
        <ns0:v>5.58</ns0:v>
      </ns0:c>
      <ns0:c r="M337" s="4">
        <ns0:v>8.72</ns0:v>
      </ns0:c>
      <ns0:c r="N337" s="4">
        <ns0:v>6.81</ns0:v>
      </ns0:c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 t="inlineStr">
        <ns0:is>
          <ns0:t>电话费数量</ns0:t>
        </ns0:is>
      </ns0:c>
      <ns0:c r="C338" s="4">
        <ns0:v>3.37</ns0:v>
      </ns0:c>
      <ns0:c r="D338" s="4">
        <ns0:v>5.75</ns0:v>
      </ns0:c>
      <ns0:c r="E338" s="4">
        <ns0:v>6.55</ns0:v>
      </ns0:c>
      <ns0:c r="F338" s="4">
        <ns0:v>2.87</ns0:v>
      </ns0:c>
      <ns0:c r="G338" s="4">
        <ns0:v>4.56</ns0:v>
      </ns0:c>
      <ns0:c r="H338" s="4">
        <ns0:v>2.58</ns0:v>
      </ns0:c>
      <ns0:c r="I338" s="4">
        <ns0:v>5.49</ns0:v>
      </ns0:c>
      <ns0:c r="J338" s="4">
        <ns0:v>3.75</ns0:v>
      </ns0:c>
      <ns0:c r="K338" s="4">
        <ns0:v>2.30</ns0:v>
      </ns0:c>
      <ns0:c r="L338" s="4">
        <ns0:v>3.50</ns0:v>
      </ns0:c>
      <ns0:c r="M338" s="4">
        <ns0:v>6.93</ns0:v>
      </ns0:c>
      <ns0:c r="N338" s="4">
        <ns0:v>7.43</ns0:v>
      </ns0:c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 t="inlineStr">
        <ns0:is>
          <ns0:t>快递费数量</ns0:t>
        </ns0:is>
      </ns0:c>
      <ns0:c r="C339" s="4">
        <ns0:v>7.97</ns0:v>
      </ns0:c>
      <ns0:c r="D339" s="4">
        <ns0:v>4.54</ns0:v>
      </ns0:c>
      <ns0:c r="E339" s="4">
        <ns0:v>6.57</ns0:v>
      </ns0:c>
      <ns0:c r="F339" s="4">
        <ns0:v>8.21</ns0:v>
      </ns0:c>
      <ns0:c r="G339" s="4">
        <ns0:v>5.21</ns0:v>
      </ns0:c>
      <ns0:c r="H339" s="4">
        <ns0:v>2.09</ns0:v>
      </ns0:c>
      <ns0:c r="I339" s="4">
        <ns0:v>3.63</ns0:v>
      </ns0:c>
      <ns0:c r="J339" s="4">
        <ns0:v>5.45</ns0:v>
      </ns0:c>
      <ns0:c r="K339" s="4">
        <ns0:v>4.11</ns0:v>
      </ns0:c>
      <ns0:c r="L339" s="4">
        <ns0:v>7.12</ns0:v>
      </ns0:c>
      <ns0:c r="M339" s="4">
        <ns0:v>6.80</ns0:v>
      </ns0:c>
      <ns0:c r="N339" s="4">
        <ns0:v>8.20</ns0:v>
      </ns0:c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 t="inlineStr">
        <ns0:is>
          <ns0:t>折旧及摊销数量</ns0:t>
        </ns0:is>
      </ns0:c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 t="inlineStr">
        <ns0:is>
          <ns0:t>机票火车票数量</ns0:t>
        </ns0:is>
      </ns0:c>
      <ns0:c r="C341" s="4">
        <ns0:v>6.74</ns0:v>
      </ns0:c>
      <ns0:c r="D341" s="4">
        <ns0:v>3.43</ns0:v>
      </ns0:c>
      <ns0:c r="E341" s="4">
        <ns0:v>8.68</ns0:v>
      </ns0:c>
      <ns0:c r="F341" s="4">
        <ns0:v>6.71</ns0:v>
      </ns0:c>
      <ns0:c r="G341" s="4">
        <ns0:v>6.21</ns0:v>
      </ns0:c>
      <ns0:c r="H341" s="4">
        <ns0:v>8.39</ns0:v>
      </ns0:c>
      <ns0:c r="I341" s="4">
        <ns0:v>6.77</ns0:v>
      </ns0:c>
      <ns0:c r="J341" s="4">
        <ns0:v>5.20</ns0:v>
      </ns0:c>
      <ns0:c r="K341" s="4">
        <ns0:v>4.65</ns0:v>
      </ns0:c>
      <ns0:c r="L341" s="4">
        <ns0:v>7.31</ns0:v>
      </ns0:c>
      <ns0:c r="M341" s="4">
        <ns0:v>5.48</ns0:v>
      </ns0:c>
      <ns0:c r="N341" s="4">
        <ns0:v>3.86</ns0:v>
      </ns0:c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 t="inlineStr">
        <ns0:is>
          <ns0:t>住宿费数量</ns0:t>
        </ns0:is>
      </ns0:c>
      <ns0:c r="C342" s="4">
        <ns0:v>2.59</ns0:v>
      </ns0:c>
      <ns0:c r="D342" s="4">
        <ns0:v>4.93</ns0:v>
      </ns0:c>
      <ns0:c r="E342" s="4">
        <ns0:v>7.93</ns0:v>
      </ns0:c>
      <ns0:c r="F342" s="4">
        <ns0:v>6.54</ns0:v>
      </ns0:c>
      <ns0:c r="G342" s="4">
        <ns0:v>8.61</ns0:v>
      </ns0:c>
      <ns0:c r="H342" s="4">
        <ns0:v>6.08</ns0:v>
      </ns0:c>
      <ns0:c r="I342" s="4">
        <ns0:v>7.92</ns0:v>
      </ns0:c>
      <ns0:c r="J342" s="4">
        <ns0:v>8.36</ns0:v>
      </ns0:c>
      <ns0:c r="K342" s="4">
        <ns0:v>3.98</ns0:v>
      </ns0:c>
      <ns0:c r="L342" s="4">
        <ns0:v>5.27</ns0:v>
      </ns0:c>
      <ns0:c r="M342" s="4">
        <ns0:v>7.35</ns0:v>
      </ns0:c>
      <ns0:c r="N342" s="4">
        <ns0:v>6.62</ns0:v>
      </ns0:c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 t="inlineStr">
        <ns0:is>
          <ns0:t>交通费数量</ns0:t>
        </ns0:is>
      </ns0:c>
      <ns0:c r="C343" s="4">
        <ns0:v>7.54</ns0:v>
      </ns0:c>
      <ns0:c r="D343" s="4">
        <ns0:v>8.70</ns0:v>
      </ns0:c>
      <ns0:c r="E343" s="4">
        <ns0:v>8.44</ns0:v>
      </ns0:c>
      <ns0:c r="F343" s="4">
        <ns0:v>3.07</ns0:v>
      </ns0:c>
      <ns0:c r="G343" s="4">
        <ns0:v>6.64</ns0:v>
      </ns0:c>
      <ns0:c r="H343" s="4">
        <ns0:v>4.73</ns0:v>
      </ns0:c>
      <ns0:c r="I343" s="4">
        <ns0:v>2.90</ns0:v>
      </ns0:c>
      <ns0:c r="J343" s="4">
        <ns0:v>7.20</ns0:v>
      </ns0:c>
      <ns0:c r="K343" s="4">
        <ns0:v>8.83</ns0:v>
      </ns0:c>
      <ns0:c r="L343" s="4">
        <ns0:v>3.43</ns0:v>
      </ns0:c>
      <ns0:c r="M343" s="4">
        <ns0:v>4.92</ns0:v>
      </ns0:c>
      <ns0:c r="N343" s="4">
        <ns0:v>8.30</ns0:v>
      </ns0:c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 t="inlineStr">
        <ns0:is>
          <ns0:t>差旅补贴数量</ns0:t>
        </ns0:is>
      </ns0:c>
      <ns0:c r="C344" s="4">
        <ns0:v>4.66</ns0:v>
      </ns0:c>
      <ns0:c r="D344" s="4">
        <ns0:v>5.07</ns0:v>
      </ns0:c>
      <ns0:c r="E344" s="4">
        <ns0:v>5.40</ns0:v>
      </ns0:c>
      <ns0:c r="F344" s="4">
        <ns0:v>4.84</ns0:v>
      </ns0:c>
      <ns0:c r="G344" s="4">
        <ns0:v>3.10</ns0:v>
      </ns0:c>
      <ns0:c r="H344" s="4">
        <ns0:v>6.45</ns0:v>
      </ns0:c>
      <ns0:c r="I344" s="4">
        <ns0:v>7.92</ns0:v>
      </ns0:c>
      <ns0:c r="J344" s="4">
        <ns0:v>4.31</ns0:v>
      </ns0:c>
      <ns0:c r="K344" s="4">
        <ns0:v>6.11</ns0:v>
      </ns0:c>
      <ns0:c r="L344" s="4">
        <ns0:v>8.36</ns0:v>
      </ns0:c>
      <ns0:c r="M344" s="4">
        <ns0:v>9.65</ns0:v>
      </ns0:c>
      <ns0:c r="N344" s="4">
        <ns0:v>5.44</ns0:v>
      </ns0:c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 t="inlineStr">
        <ns0:is>
          <ns0:t>业务招待费数量</ns0:t>
        </ns0:is>
      </ns0:c>
      <ns0:c r="C345" s="4">
        <ns0:v>4.70</ns0:v>
      </ns0:c>
      <ns0:c r="D345" s="4">
        <ns0:v>7.02</ns0:v>
      </ns0:c>
      <ns0:c r="E345" s="4">
        <ns0:v>3.42</ns0:v>
      </ns0:c>
      <ns0:c r="F345" s="4">
        <ns0:v>6.14</ns0:v>
      </ns0:c>
      <ns0:c r="G345" s="4">
        <ns0:v>7.25</ns0:v>
      </ns0:c>
      <ns0:c r="H345" s="4">
        <ns0:v>9.03</ns0:v>
      </ns0:c>
      <ns0:c r="I345" s="4">
        <ns0:v>8.98</ns0:v>
      </ns0:c>
      <ns0:c r="J345" s="4">
        <ns0:v>4.43</ns0:v>
      </ns0:c>
      <ns0:c r="K345" s="4">
        <ns0:v>5.87</ns0:v>
      </ns0:c>
      <ns0:c r="L345" s="4">
        <ns0:v>6.38</ns0:v>
      </ns0:c>
      <ns0:c r="M345" s="4">
        <ns0:v>2.57</ns0:v>
      </ns0:c>
      <ns0:c r="N345" s="4">
        <ns0:v>6.60</ns0:v>
      </ns0:c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 t="inlineStr">
        <ns0:is>
          <ns0:t>市内交通费数量</ns0:t>
        </ns0:is>
      </ns0:c>
      <ns0:c r="C346" s="4">
        <ns0:v>4.72</ns0:v>
      </ns0:c>
      <ns0:c r="D346" s="4">
        <ns0:v>6.63</ns0:v>
      </ns0:c>
      <ns0:c r="E346" s="4">
        <ns0:v>7.92</ns0:v>
      </ns0:c>
      <ns0:c r="F346" s="4">
        <ns0:v>7.31</ns0:v>
      </ns0:c>
      <ns0:c r="G346" s="4">
        <ns0:v>2.55</ns0:v>
      </ns0:c>
      <ns0:c r="H346" s="4">
        <ns0:v>5.21</ns0:v>
      </ns0:c>
      <ns0:c r="I346" s="4">
        <ns0:v>6.62</ns0:v>
      </ns0:c>
      <ns0:c r="J346" s="4">
        <ns0:v>4.10</ns0:v>
      </ns0:c>
      <ns0:c r="K346" s="4">
        <ns0:v>6.94</ns0:v>
      </ns0:c>
      <ns0:c r="L346" s="4">
        <ns0:v>3.67</ns0:v>
      </ns0:c>
      <ns0:c r="M346" s="4">
        <ns0:v>4.18</ns0:v>
      </ns0:c>
      <ns0:c r="N346" s="4">
        <ns0:v>5.17</ns0:v>
      </ns0:c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 t="inlineStr">
        <ns0:is>
          <ns0:t>调研费用数量</ns0:t>
        </ns0:is>
      </ns0:c>
      <ns0:c r="C347" s="4">
        <ns0:v>3.05</ns0:v>
      </ns0:c>
      <ns0:c r="D347" s="4">
        <ns0:v>3.03</ns0:v>
      </ns0:c>
      <ns0:c r="E347" s="4">
        <ns0:v>5.73</ns0:v>
      </ns0:c>
      <ns0:c r="F347" s="4">
        <ns0:v>6.45</ns0:v>
      </ns0:c>
      <ns0:c r="G347" s="4">
        <ns0:v>9.17</ns0:v>
      </ns0:c>
      <ns0:c r="H347" s="4">
        <ns0:v>5.20</ns0:v>
      </ns0:c>
      <ns0:c r="I347" s="4">
        <ns0:v>2.86</ns0:v>
      </ns0:c>
      <ns0:c r="J347" s="4">
        <ns0:v>7.42</ns0:v>
      </ns0:c>
      <ns0:c r="K347" s="4">
        <ns0:v>3.71</ns0:v>
      </ns0:c>
      <ns0:c r="L347" s="4">
        <ns0:v>3.10</ns0:v>
      </ns0:c>
      <ns0:c r="M347" s="4">
        <ns0:v>2.39</ns0:v>
      </ns0:c>
      <ns0:c r="N347" s="4">
        <ns0:v>5.61</ns0:v>
      </ns0:c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 t="inlineStr">
        <ns0:is>
          <ns0:t>手续费数量</ns0:t>
        </ns0:is>
      </ns0:c>
      <ns0:c r="C348" s="4">
        <ns0:v>7.80</ns0:v>
      </ns0:c>
      <ns0:c r="D348" s="4">
        <ns0:v>3.72</ns0:v>
      </ns0:c>
      <ns0:c r="E348" s="4">
        <ns0:v>5.21</ns0:v>
      </ns0:c>
      <ns0:c r="F348" s="4">
        <ns0:v>6.37</ns0:v>
      </ns0:c>
      <ns0:c r="G348" s="4">
        <ns0:v>4.93</ns0:v>
      </ns0:c>
      <ns0:c r="H348" s="4">
        <ns0:v>6.20</ns0:v>
      </ns0:c>
      <ns0:c r="I348" s="4">
        <ns0:v>6.47</ns0:v>
      </ns0:c>
      <ns0:c r="J348" s="4">
        <ns0:v>1.99</ns0:v>
      </ns0:c>
      <ns0:c r="K348" s="4">
        <ns0:v>5.26</ns0:v>
      </ns0:c>
      <ns0:c r="L348" s="4">
        <ns0:v>3.48</ns0:v>
      </ns0:c>
      <ns0:c r="M348" s="4">
        <ns0:v>4.97</ns0:v>
      </ns0:c>
      <ns0:c r="N348" s="4">
        <ns0:v>9.49</ns0:v>
      </ns0:c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 t="inlineStr">
        <ns0:is>
          <ns0:t>利息收入数量</ns0:t>
        </ns0:is>
      </ns0:c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 t="inlineStr">
        <ns0:is>
          <ns0:t>利息支出数量</ns0:t>
        </ns0:is>
      </ns0:c>
      <ns0:c r="C350" s="4">
        <ns0:v>7.38</ns0:v>
      </ns0:c>
      <ns0:c r="D350" s="4">
        <ns0:v>5.54</ns0:v>
      </ns0:c>
      <ns0:c r="E350" s="4">
        <ns0:v>2.45</ns0:v>
      </ns0:c>
      <ns0:c r="F350" s="4">
        <ns0:v>1.91</ns0:v>
      </ns0:c>
      <ns0:c r="G350" s="4">
        <ns0:v>3.07</ns0:v>
      </ns0:c>
      <ns0:c r="H350" s="4">
        <ns0:v>3.25</ns0:v>
      </ns0:c>
      <ns0:c r="I350" s="4">
        <ns0:v>8.08</ns0:v>
      </ns0:c>
      <ns0:c r="J350" s="4">
        <ns0:v>4.86</ns0:v>
      </ns0:c>
      <ns0:c r="K350" s="4">
        <ns0:v>8.90</ns0:v>
      </ns0:c>
      <ns0:c r="L350" s="4">
        <ns0:v>2.99</ns0:v>
      </ns0:c>
      <ns0:c r="M350" s="4">
        <ns0:v>3.10</ns0:v>
      </ns0:c>
      <ns0:c r="N350" s="4">
        <ns0:v>8.29</ns0:v>
      </ns0:c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 t="inlineStr">
        <ns0:is>
          <ns0:t>车船税数量</ns0:t>
        </ns0:is>
      </ns0:c>
      <ns0:c r="C351" s="4">
        <ns0:v>7.56</ns0:v>
      </ns0:c>
      <ns0:c r="D351" s="4">
        <ns0:v>9.04</ns0:v>
      </ns0:c>
      <ns0:c r="E351" s="4">
        <ns0:v>2.40</ns0:v>
      </ns0:c>
      <ns0:c r="F351" s="4">
        <ns0:v>7.18</ns0:v>
      </ns0:c>
      <ns0:c r="G351" s="4">
        <ns0:v>5.66</ns0:v>
      </ns0:c>
      <ns0:c r="H351" s="4">
        <ns0:v>7.14</ns0:v>
      </ns0:c>
      <ns0:c r="I351" s="4">
        <ns0:v>3.89</ns0:v>
      </ns0:c>
      <ns0:c r="J351" s="4">
        <ns0:v>5.55</ns0:v>
      </ns0:c>
      <ns0:c r="K351" s="4">
        <ns0:v>4.01</ns0:v>
      </ns0:c>
      <ns0:c r="L351" s="4">
        <ns0:v>6.72</ns0:v>
      </ns0:c>
      <ns0:c r="M351" s="4">
        <ns0:v>6.12</ns0:v>
      </ns0:c>
      <ns0:c r="N351" s="4">
        <ns0:v>3.20</ns0:v>
      </ns0:c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 t="inlineStr">
        <ns0:is>
          <ns0:t>印花税数量</ns0:t>
        </ns0:is>
      </ns0:c>
      <ns0:c r="C352" s="4">
        <ns0:v>6.16</ns0:v>
      </ns0:c>
      <ns0:c r="D352" s="4">
        <ns0:v>5.85</ns0:v>
      </ns0:c>
      <ns0:c r="E352" s="4">
        <ns0:v>5.94</ns0:v>
      </ns0:c>
      <ns0:c r="F352" s="4">
        <ns0:v>6.21</ns0:v>
      </ns0:c>
      <ns0:c r="G352" s="4">
        <ns0:v>7.78</ns0:v>
      </ns0:c>
      <ns0:c r="H352" s="4">
        <ns0:v>6.13</ns0:v>
      </ns0:c>
      <ns0:c r="I352" s="4">
        <ns0:v>8.11</ns0:v>
      </ns0:c>
      <ns0:c r="J352" s="4">
        <ns0:v>4.80</ns0:v>
      </ns0:c>
      <ns0:c r="K352" s="4">
        <ns0:v>3.59</ns0:v>
      </ns0:c>
      <ns0:c r="L352" s="4">
        <ns0:v>2.26</ns0:v>
      </ns0:c>
      <ns0:c r="M352" s="4">
        <ns0:v>7.35</ns0:v>
      </ns0:c>
      <ns0:c r="N352" s="4">
        <ns0:v>7.42</ns0:v>
      </ns0:c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 t="inlineStr">
        <ns0:is>
          <ns0:t>其他数量</ns0:t>
        </ns0:is>
      </ns0:c>
      <ns0:c r="C353" s="4">
        <ns0:v>2.43</ns0:v>
      </ns0:c>
      <ns0:c r="D353" s="4">
        <ns0:v>8.30</ns0:v>
      </ns0:c>
      <ns0:c r="E353" s="4">
        <ns0:v>5.48</ns0:v>
      </ns0:c>
      <ns0:c r="F353" s="4">
        <ns0:v>5.64</ns0:v>
      </ns0:c>
      <ns0:c r="G353" s="4">
        <ns0:v>7.89</ns0:v>
      </ns0:c>
      <ns0:c r="H353" s="4">
        <ns0:v>4.47</ns0:v>
      </ns0:c>
      <ns0:c r="I353" s="4">
        <ns0:v>6.80</ns0:v>
      </ns0:c>
      <ns0:c r="J353" s="4">
        <ns0:v>3.57</ns0:v>
      </ns0:c>
      <ns0:c r="K353" s="4">
        <ns0:v>7.51</ns0:v>
      </ns0:c>
      <ns0:c r="L353" s="4">
        <ns0:v>6.87</ns0:v>
      </ns0:c>
      <ns0:c r="M353" s="4">
        <ns0:v>7.74</ns0:v>
      </ns0:c>
      <ns0:c r="N353" s="4">
        <ns0:v>9.09</ns0:v>
      </ns0:c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mergeCells>
    <ns0:mergeCell ref="A25:B25"/>
    <ns0:mergeCell ref="A26:B26"/>
    <ns0:mergeCell ref="A27:B27"/>
    <ns0:mergeCell ref="A33:B33"/>
    <ns0:mergeCell ref="A34:B34"/>
    <ns0:mergeCell ref="A35:B35"/>
    <ns0:mergeCell ref="A36:B36"/>
    <ns0:mergeCell ref="A4:A10"/>
    <ns0:mergeCell ref="A11:A20"/>
    <ns0:mergeCell ref="A21:A24"/>
    <ns0:mergeCell ref="A29:A30"/>
    <ns0:mergeCell ref="A31:A32"/>
    <ns0:mergeCell ref="A2:B3"/>
  </ns0:mergeCells>
  <ns0:pageMargins left="0.7" right="0.7" top="0.75" bottom="0.75" header="0.3" footer="0.3"/>
</ns0:worksheet>
</file>

<file path=xl/worksheets/sheet9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12.25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20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 t="inlineStr">
        <ns0:is>
          <ns0:t>其他主体费用</ns0:t>
        </ns0:is>
      </ns0:c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 t="inlineStr">
        <ns0:is>
          <ns0:t>项目</ns0:t>
        </ns0:is>
      </ns0:c>
      <ns0:c r="B2" s="2"/>
      <ns0:c r="C2" s="3" t="inlineStr">
        <ns0:is>
          <ns0:t>预算基础（月度，元）</ns0:t>
        </ns0:is>
      </ns0:c>
      <ns0:c r="D2" s="3"/>
      <ns0:c r="E2" s="3"/>
      <ns0:c r="F2" s="3"/>
      <ns0:c r="G2" s="3"/>
      <ns0:c r="H2" s="3"/>
      <ns0:c r="I2" s="3"/>
      <ns0:c r="J2" s="3"/>
      <ns0:c r="K2" s="3"/>
      <ns0:c r="L2" s="3"/>
      <ns0:c r="M2" s="3"/>
      <ns0:c r="N2" s="3"/>
      <ns0:c r="O2" s="3" t="inlineStr">
        <ns0:is>
          <ns0:t>合计</ns0:t>
        </ns0:is>
      </ns0:c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E-5f17fa2948</ns0:t>
        </ns0:is>
      </ns0:c>
    </ns0:row>
    <ns0:row r="3" ht="20" customHeight="1">
      <ns0:c r="A3" s="2"/>
      <ns0:c r="B3" s="2"/>
      <ns0:c r="C3" s="6" t="inlineStr">
        <ns0:is>
          <ns0:t>2027-01</ns0:t>
        </ns0:is>
      </ns0:c>
      <ns0:c r="D3" s="6" t="inlineStr">
        <ns0:is>
          <ns0:t>2027-02</ns0:t>
        </ns0:is>
      </ns0:c>
      <ns0:c r="E3" s="6" t="inlineStr">
        <ns0:is>
          <ns0:t>2027-03</ns0:t>
        </ns0:is>
      </ns0:c>
      <ns0:c r="F3" s="6" t="inlineStr">
        <ns0:is>
          <ns0:t>2027-04</ns0:t>
        </ns0:is>
      </ns0:c>
      <ns0:c r="G3" s="6" t="inlineStr">
        <ns0:is>
          <ns0:t>2027-05</ns0:t>
        </ns0:is>
      </ns0:c>
      <ns0:c r="H3" s="6" t="inlineStr">
        <ns0:is>
          <ns0:t>2027-06</ns0:t>
        </ns0:is>
      </ns0:c>
      <ns0:c r="I3" s="6" t="inlineStr">
        <ns0:is>
          <ns0:t>2027-07</ns0:t>
        </ns0:is>
      </ns0:c>
      <ns0:c r="J3" s="6" t="inlineStr">
        <ns0:is>
          <ns0:t>2027-08</ns0:t>
        </ns0:is>
      </ns0:c>
      <ns0:c r="K3" s="6" t="inlineStr">
        <ns0:is>
          <ns0:t>2027-09</ns0:t>
        </ns0:is>
      </ns0:c>
      <ns0:c r="L3" s="6" t="inlineStr">
        <ns0:is>
          <ns0:t>2027-10</ns0:t>
        </ns0:is>
      </ns0:c>
      <ns0:c r="M3" s="6" t="inlineStr">
        <ns0:is>
          <ns0:t>2027-11</ns0:t>
        </ns0:is>
      </ns0:c>
      <ns0:c r="N3" s="6" t="inlineStr">
        <ns0:is>
          <ns0:t>2027-12</ns0:t>
        </ns0:is>
      </ns0:c>
      <ns0:c r="O3" s="6" t="inlineStr">
        <ns0:is>
          <ns0:t>小计</ns0:t>
        </ns0:is>
      </ns0:c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主体乙</ns0:t>
        </ns0:is>
      </ns0:c>
    </ns0:row>
    <ns0:row r="4" ht="20" customHeight="1">
      <ns0:c r="A4" s="2" t="inlineStr">
        <ns0:is>
          <ns0:t>员工费用</ns0:t>
        </ns0:is>
      </ns0:c>
      <ns0:c r="B4" s="2" t="inlineStr">
        <ns0:is>
          <ns0:t>工资</ns0:t>
        </ns0:is>
      </ns0:c>
      <ns0:c r="C4" s="3">
        <ns0:f>ROUND(C204*C324,2)</ns0:f>
        <ns0:v>113.93</ns0:v>
      </ns0:c>
      <ns0:c r="D4" s="3">
        <ns0:f>ROUND(D204*D324,2)</ns0:f>
        <ns0:v>98.65</ns0:v>
      </ns0:c>
      <ns0:c r="E4" s="3">
        <ns0:f>ROUND(E204*E324,2)</ns0:f>
        <ns0:v>188.52</ns0:v>
      </ns0:c>
      <ns0:c r="F4" s="3">
        <ns0:f>ROUND(F204*F324,2)</ns0:f>
        <ns0:v>297.55</ns0:v>
      </ns0:c>
      <ns0:c r="G4" s="3">
        <ns0:f>ROUND(G204*G324,2)</ns0:f>
        <ns0:v>48.25</ns0:v>
      </ns0:c>
      <ns0:c r="H4" s="3">
        <ns0:f>ROUND(H204*H324,2)</ns0:f>
        <ns0:v>217.70</ns0:v>
      </ns0:c>
      <ns0:c r="I4" s="3">
        <ns0:f>ROUND(I204*I324,2)</ns0:f>
        <ns0:v>444.72</ns0:v>
      </ns0:c>
      <ns0:c r="J4" s="3">
        <ns0:f>ROUND(J204*J324,2)</ns0:f>
        <ns0:v>327.46</ns0:v>
      </ns0:c>
      <ns0:c r="K4" s="3">
        <ns0:f>ROUND(K204*K324,2)</ns0:f>
        <ns0:v>211.46</ns0:v>
      </ns0:c>
      <ns0:c r="L4" s="3">
        <ns0:f>ROUND(L204*L324,2)</ns0:f>
        <ns0:v>152.66</ns0:v>
      </ns0:c>
      <ns0:c r="M4" s="3">
        <ns0:f>ROUND(M204*M324,2)</ns0:f>
        <ns0:v>284.20</ns0:v>
      </ns0:c>
      <ns0:c r="N4" s="3">
        <ns0:f>ROUND(N204*N324,2)</ns0:f>
        <ns0:v>179.73</ns0:v>
      </ns0:c>
      <ns0:c r="O4" s="3">
        <ns0:f>SUM(C4:N4)</ns0:f>
        <ns0:v>2564.83</ns0:v>
      </ns0:c>
      <ns0:c r="P4" s="2" t="inlineStr">
        <ns0:is>
          <ns0:t>EXP3.004</ns0:t>
        </ns0:is>
      </ns0:c>
      <ns0:c r="Q4" s="2" t="inlineStr">
        <ns0:is>
          <ns0:t>演示占位-v1</ns0:t>
        </ns0:is>
      </ns0:c>
      <ns0:c r="R4" s="2" t="inlineStr">
        <ns0:is>
          <ns0:t>模拟权责发生制</ns0:t>
        </ns0:is>
      </ns0:c>
      <ns0:c r="S4" s="2" t="inlineStr">
        <ns0:is>
          <ns0:t>2027-01</ns0:t>
        </ns0:is>
      </ns0:c>
      <ns0:c r="T4" s="2" t="inlineStr">
        <ns0:is>
          <ns0:t>2027-06</ns0:t>
        </ns0:is>
      </ns0:c>
      <ns0:c r="U4" s="2" t="inlineStr">
        <ns0:is>
          <ns0:t>无</ns0:t>
        </ns0:is>
      </ns0:c>
      <ns0:c r="V4" s="2" t="inlineStr">
        <ns0:is>
          <ns0:t>无</ns0:t>
        </ns0:is>
      </ns0:c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S-03e3bfa6bf</ns0:t>
        </ns0:is>
      </ns0:c>
    </ns0:row>
    <ns0:row r="5" ht="20" customHeight="1">
      <ns0:c r="A5" s="2"/>
      <ns0:c r="B5" s="2" t="inlineStr">
        <ns0:is>
          <ns0:t>十三薪</ns0:t>
        </ns0:is>
      </ns0:c>
      <ns0:c r="C5" s="3">
        <ns0:f>ROUND(C205*C325,2)</ns0:f>
        <ns0:v>322.08</ns0:v>
      </ns0:c>
      <ns0:c r="D5" s="3">
        <ns0:f>ROUND(D205*D325,2)</ns0:f>
        <ns0:v>103.21</ns0:v>
      </ns0:c>
      <ns0:c r="E5" s="3">
        <ns0:f>ROUND(E205*E325,2)</ns0:f>
        <ns0:v>344.37</ns0:v>
      </ns0:c>
      <ns0:c r="F5" s="3">
        <ns0:f>ROUND(F205*F325,2)</ns0:f>
        <ns0:v>118.15</ns0:v>
      </ns0:c>
      <ns0:c r="G5" s="3">
        <ns0:f>ROUND(G205*G325,2)</ns0:f>
        <ns0:v>458.06</ns0:v>
      </ns0:c>
      <ns0:c r="H5" s="3">
        <ns0:f>ROUND(H205*H325,2)</ns0:f>
        <ns0:v>73.98</ns0:v>
      </ns0:c>
      <ns0:c r="I5" s="3">
        <ns0:f>ROUND(I205*I325,2)</ns0:f>
        <ns0:v>339.26</ns0:v>
      </ns0:c>
      <ns0:c r="J5" s="3">
        <ns0:f>ROUND(J205*J325,2)</ns0:f>
        <ns0:v>161.35</ns0:v>
      </ns0:c>
      <ns0:c r="K5" s="3">
        <ns0:f>ROUND(K205*K325,2)</ns0:f>
        <ns0:v>481.95</ns0:v>
      </ns0:c>
      <ns0:c r="L5" s="3">
        <ns0:f>ROUND(L205*L325,2)</ns0:f>
        <ns0:v>110.20</ns0:v>
      </ns0:c>
      <ns0:c r="M5" s="3">
        <ns0:f>ROUND(M205*M325,2)</ns0:f>
        <ns0:v>184.30</ns0:v>
      </ns0:c>
      <ns0:c r="N5" s="3">
        <ns0:f>ROUND(N205*N325,2)</ns0:f>
        <ns0:v>220.82</ns0:v>
      </ns0:c>
      <ns0:c r="O5" s="3">
        <ns0:f>SUM(C5:N5)</ns0:f>
        <ns0:v>2917.73</ns0:v>
      </ns0:c>
      <ns0:c r="P5" s="2" t="inlineStr">
        <ns0:is>
          <ns0:t>EXP3.005</ns0:t>
        </ns0:is>
      </ns0:c>
      <ns0:c r="Q5" s="2" t="inlineStr">
        <ns0:is>
          <ns0:t>演示占位-v1</ns0:t>
        </ns0:is>
      </ns0:c>
      <ns0:c r="R5" s="2" t="inlineStr">
        <ns0:is>
          <ns0:t>模拟权责发生制</ns0:t>
        </ns0:is>
      </ns0:c>
      <ns0:c r="S5" s="2" t="inlineStr">
        <ns0:is>
          <ns0:t>2027-01</ns0:t>
        </ns0:is>
      </ns0:c>
      <ns0:c r="T5" s="2" t="inlineStr">
        <ns0:is>
          <ns0:t>2027-06</ns0:t>
        </ns0:is>
      </ns0:c>
      <ns0:c r="U5" s="2" t="inlineStr">
        <ns0:is>
          <ns0:t>无</ns0:t>
        </ns0:is>
      </ns0:c>
      <ns0:c r="V5" s="2" t="inlineStr">
        <ns0:is>
          <ns0:t>无</ns0:t>
        </ns0:is>
      </ns0:c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扩展情景</ns0:t>
        </ns0:is>
      </ns0:c>
    </ns0:row>
    <ns0:row r="6" ht="20" customHeight="1">
      <ns0:c r="A6" s="2"/>
      <ns0:c r="B6" s="2" t="inlineStr">
        <ns0:is>
          <ns0:t>离职补偿金</ns0:t>
        </ns0:is>
      </ns0:c>
      <ns0:c r="C6" s="3">
        <ns0:f>ROUND(C206*C326,2)</ns0:f>
        <ns0:v>109.63</ns0:v>
      </ns0:c>
      <ns0:c r="D6" s="3">
        <ns0:f>ROUND(D206*D326,2)</ns0:f>
        <ns0:v>57.53</ns0:v>
      </ns0:c>
      <ns0:c r="E6" s="3">
        <ns0:f>ROUND(E206*E326,2)</ns0:f>
        <ns0:v>111.58</ns0:v>
      </ns0:c>
      <ns0:c r="F6" s="3">
        <ns0:f>ROUND(F206*F326,2)</ns0:f>
        <ns0:v>249.96</ns0:v>
      </ns0:c>
      <ns0:c r="G6" s="3">
        <ns0:f>ROUND(G206*G326,2)</ns0:f>
        <ns0:v>394.41</ns0:v>
      </ns0:c>
      <ns0:c r="H6" s="3">
        <ns0:f>ROUND(H206*H326,2)</ns0:f>
        <ns0:v>82.28</ns0:v>
      </ns0:c>
      <ns0:c r="I6" s="3">
        <ns0:f>ROUND(I206*I326,2)</ns0:f>
        <ns0:v>215.83</ns0:v>
      </ns0:c>
      <ns0:c r="J6" s="3">
        <ns0:f>ROUND(J206*J326,2)</ns0:f>
        <ns0:v>110.73</ns0:v>
      </ns0:c>
      <ns0:c r="K6" s="3">
        <ns0:f>ROUND(K206*K326,2)</ns0:f>
        <ns0:v>215.42</ns0:v>
      </ns0:c>
      <ns0:c r="L6" s="3">
        <ns0:f>ROUND(L206*L326,2)</ns0:f>
        <ns0:v>238.81</ns0:v>
      </ns0:c>
      <ns0:c r="M6" s="3">
        <ns0:f>ROUND(M206*M326,2)</ns0:f>
        <ns0:v>169.74</ns0:v>
      </ns0:c>
      <ns0:c r="N6" s="3">
        <ns0:f>ROUND(N206*N326,2)</ns0:f>
        <ns0:v>286.77</ns0:v>
      </ns0:c>
      <ns0:c r="O6" s="3">
        <ns0:f>SUM(C6:N6)</ns0:f>
        <ns0:v>2242.69</ns0:v>
      </ns0:c>
      <ns0:c r="P6" s="2" t="inlineStr">
        <ns0:is>
          <ns0:t>EXP3.006</ns0:t>
        </ns0:is>
      </ns0:c>
      <ns0:c r="Q6" s="2" t="inlineStr">
        <ns0:is>
          <ns0:t>演示占位-v1</ns0:t>
        </ns0:is>
      </ns0:c>
      <ns0:c r="R6" s="2" t="inlineStr">
        <ns0:is>
          <ns0:t>模拟权责发生制</ns0:t>
        </ns0:is>
      </ns0:c>
      <ns0:c r="S6" s="2" t="inlineStr">
        <ns0:is>
          <ns0:t>2027-01</ns0:t>
        </ns0:is>
      </ns0:c>
      <ns0:c r="T6" s="2" t="inlineStr">
        <ns0:is>
          <ns0:t>2027-06</ns0:t>
        </ns0:is>
      </ns0:c>
      <ns0:c r="U6" s="2" t="inlineStr">
        <ns0:is>
          <ns0:t>无</ns0:t>
        </ns0:is>
      </ns0:c>
      <ns0:c r="V6" s="2" t="inlineStr">
        <ns0:is>
          <ns0:t>无</ns0:t>
        </ns0:is>
      </ns0:c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/>
      <ns0:c r="B7" s="2" t="inlineStr">
        <ns0:is>
          <ns0:t>五险一金</ns0:t>
        </ns0:is>
      </ns0:c>
      <ns0:c r="C7" s="3">
        <ns0:f>ROUND(C207*C327,2)</ns0:f>
        <ns0:v>342.63</ns0:v>
      </ns0:c>
      <ns0:c r="D7" s="3">
        <ns0:f>ROUND(D207*D327,2)</ns0:f>
        <ns0:v>161.12</ns0:v>
      </ns0:c>
      <ns0:c r="E7" s="3">
        <ns0:f>ROUND(E207*E327,2)</ns0:f>
        <ns0:v>292.69</ns0:v>
      </ns0:c>
      <ns0:c r="F7" s="3">
        <ns0:f>ROUND(F207*F327,2)</ns0:f>
        <ns0:v>507.59</ns0:v>
      </ns0:c>
      <ns0:c r="G7" s="3">
        <ns0:f>ROUND(G207*G327,2)</ns0:f>
        <ns0:v>545.22</ns0:v>
      </ns0:c>
      <ns0:c r="H7" s="3">
        <ns0:f>ROUND(H207*H327,2)</ns0:f>
        <ns0:v>442.16</ns0:v>
      </ns0:c>
      <ns0:c r="I7" s="3">
        <ns0:f>ROUND(I207*I327,2)</ns0:f>
        <ns0:v>151.52</ns0:v>
      </ns0:c>
      <ns0:c r="J7" s="3">
        <ns0:f>ROUND(J207*J327,2)</ns0:f>
        <ns0:v>351.96</ns0:v>
      </ns0:c>
      <ns0:c r="K7" s="3">
        <ns0:f>ROUND(K207*K327,2)</ns0:f>
        <ns0:v>195.99</ns0:v>
      </ns0:c>
      <ns0:c r="L7" s="3">
        <ns0:f>ROUND(L207*L327,2)</ns0:f>
        <ns0:v>64.09</ns0:v>
      </ns0:c>
      <ns0:c r="M7" s="3">
        <ns0:f>ROUND(M207*M327,2)</ns0:f>
        <ns0:v>153.67</ns0:v>
      </ns0:c>
      <ns0:c r="N7" s="3">
        <ns0:f>ROUND(N207*N327,2)</ns0:f>
        <ns0:v>116.99</ns0:v>
      </ns0:c>
      <ns0:c r="O7" s="3">
        <ns0:f>SUM(C7:N7)</ns0:f>
        <ns0:v>3325.63</ns0:v>
      </ns0:c>
      <ns0:c r="P7" s="2" t="inlineStr">
        <ns0:is>
          <ns0:t>EXP3.007</ns0:t>
        </ns0:is>
      </ns0:c>
      <ns0:c r="Q7" s="2" t="inlineStr">
        <ns0:is>
          <ns0:t>演示占位-v1</ns0:t>
        </ns0:is>
      </ns0:c>
      <ns0:c r="R7" s="2" t="inlineStr">
        <ns0:is>
          <ns0:t>模拟权责发生制</ns0:t>
        </ns0:is>
      </ns0:c>
      <ns0:c r="S7" s="2" t="inlineStr">
        <ns0:is>
          <ns0:t>2027-01</ns0:t>
        </ns0:is>
      </ns0:c>
      <ns0:c r="T7" s="2" t="inlineStr">
        <ns0:is>
          <ns0:t>2027-06</ns0:t>
        </ns0:is>
      </ns0:c>
      <ns0:c r="U7" s="2" t="inlineStr">
        <ns0:is>
          <ns0:t>无</ns0:t>
        </ns0:is>
      </ns0:c>
      <ns0:c r="V7" s="2" t="inlineStr">
        <ns0:is>
          <ns0:t>无</ns0:t>
        </ns0:is>
      </ns0:c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季度</ns0:t>
        </ns0:is>
      </ns0:c>
    </ns0:row>
    <ns0:row r="8" ht="20" customHeight="1">
      <ns0:c r="A8" s="2"/>
      <ns0:c r="B8" s="2" t="inlineStr">
        <ns0:is>
          <ns0:t>福利费</ns0:t>
        </ns0:is>
      </ns0:c>
      <ns0:c r="C8" s="3">
        <ns0:f>ROUND(C208*C328,2)</ns0:f>
        <ns0:v>80.71</ns0:v>
      </ns0:c>
      <ns0:c r="D8" s="3">
        <ns0:f>ROUND(D208*D328,2)</ns0:f>
        <ns0:v>203.85</ns0:v>
      </ns0:c>
      <ns0:c r="E8" s="3">
        <ns0:f>ROUND(E208*E328,2)</ns0:f>
        <ns0:v>88.85</ns0:v>
      </ns0:c>
      <ns0:c r="F8" s="3">
        <ns0:f>ROUND(F208*F328,2)</ns0:f>
        <ns0:v>339.41</ns0:v>
      </ns0:c>
      <ns0:c r="G8" s="3">
        <ns0:f>ROUND(G208*G328,2)</ns0:f>
        <ns0:v>121.59</ns0:v>
      </ns0:c>
      <ns0:c r="H8" s="3">
        <ns0:f>ROUND(H208*H328,2)</ns0:f>
        <ns0:v>324.59</ns0:v>
      </ns0:c>
      <ns0:c r="I8" s="3">
        <ns0:f>ROUND(I208*I328,2)</ns0:f>
        <ns0:v>320.47</ns0:v>
      </ns0:c>
      <ns0:c r="J8" s="3">
        <ns0:f>ROUND(J208*J328,2)</ns0:f>
        <ns0:v>467.39</ns0:v>
      </ns0:c>
      <ns0:c r="K8" s="3">
        <ns0:f>ROUND(K208*K328,2)</ns0:f>
        <ns0:v>263.15</ns0:v>
      </ns0:c>
      <ns0:c r="L8" s="3">
        <ns0:f>ROUND(L208*L328,2)</ns0:f>
        <ns0:v>188.37</ns0:v>
      </ns0:c>
      <ns0:c r="M8" s="3">
        <ns0:f>ROUND(M208*M328,2)</ns0:f>
        <ns0:v>132.51</ns0:v>
      </ns0:c>
      <ns0:c r="N8" s="3">
        <ns0:f>ROUND(N208*N328,2)</ns0:f>
        <ns0:v>562.12</ns0:v>
      </ns0:c>
      <ns0:c r="O8" s="3">
        <ns0:f>SUM(C8:N8)</ns0:f>
        <ns0:v>3093.01</ns0:v>
      </ns0:c>
      <ns0:c r="P8" s="2" t="inlineStr">
        <ns0:is>
          <ns0:t>EXP3.008</ns0:t>
        </ns0:is>
      </ns0:c>
      <ns0:c r="Q8" s="2" t="inlineStr">
        <ns0:is>
          <ns0:t>演示占位-v1</ns0:t>
        </ns0:is>
      </ns0:c>
      <ns0:c r="R8" s="2" t="inlineStr">
        <ns0:is>
          <ns0:t>模拟权责发生制</ns0:t>
        </ns0:is>
      </ns0:c>
      <ns0:c r="S8" s="2" t="inlineStr">
        <ns0:is>
          <ns0:t>2027-01</ns0:t>
        </ns0:is>
      </ns0:c>
      <ns0:c r="T8" s="2" t="inlineStr">
        <ns0:is>
          <ns0:t>2027-06</ns0:t>
        </ns0:is>
      </ns0:c>
      <ns0:c r="U8" s="2" t="inlineStr">
        <ns0:is>
          <ns0:t>无</ns0:t>
        </ns0:is>
      </ns0:c>
      <ns0:c r="V8" s="2" t="inlineStr">
        <ns0:is>
          <ns0:t>无</ns0:t>
        </ns0:is>
      </ns0:c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/>
      <ns0:c r="B9" s="2" t="inlineStr">
        <ns0:is>
          <ns0:t>招聘费</ns0:t>
        </ns0:is>
      </ns0:c>
      <ns0:c r="C9" s="3">
        <ns0:f>ROUND(C209*C329,2)</ns0:f>
        <ns0:v>325.57</ns0:v>
      </ns0:c>
      <ns0:c r="D9" s="3">
        <ns0:f>ROUND(D209*D329,2)</ns0:f>
        <ns0:v>519.68</ns0:v>
      </ns0:c>
      <ns0:c r="E9" s="3">
        <ns0:f>ROUND(E209*E329,2)</ns0:f>
        <ns0:v>212.59</ns0:v>
      </ns0:c>
      <ns0:c r="F9" s="3">
        <ns0:f>ROUND(F209*F329,2)</ns0:f>
        <ns0:v>125.46</ns0:v>
      </ns0:c>
      <ns0:c r="G9" s="3">
        <ns0:f>ROUND(G209*G329,2)</ns0:f>
        <ns0:v>210.76</ns0:v>
      </ns0:c>
      <ns0:c r="H9" s="3">
        <ns0:f>ROUND(H209*H329,2)</ns0:f>
        <ns0:v>267.74</ns0:v>
      </ns0:c>
      <ns0:c r="I9" s="3">
        <ns0:f>ROUND(I209*I329,2)</ns0:f>
        <ns0:v>441.12</ns0:v>
      </ns0:c>
      <ns0:c r="J9" s="3">
        <ns0:f>ROUND(J209*J329,2)</ns0:f>
        <ns0:v>100.61</ns0:v>
      </ns0:c>
      <ns0:c r="K9" s="3">
        <ns0:f>ROUND(K209*K329,2)</ns0:f>
        <ns0:v>254.78</ns0:v>
      </ns0:c>
      <ns0:c r="L9" s="3">
        <ns0:f>ROUND(L209*L329,2)</ns0:f>
        <ns0:v>383.34</ns0:v>
      </ns0:c>
      <ns0:c r="M9" s="3">
        <ns0:f>ROUND(M209*M329,2)</ns0:f>
        <ns0:v>140.29</ns0:v>
      </ns0:c>
      <ns0:c r="N9" s="3">
        <ns0:f>ROUND(N209*N329,2)</ns0:f>
        <ns0:v>100.62</ns0:v>
      </ns0:c>
      <ns0:c r="O9" s="3">
        <ns0:f>SUM(C9:N9)</ns0:f>
        <ns0:v>3082.56</ns0:v>
      </ns0:c>
      <ns0:c r="P9" s="2" t="inlineStr">
        <ns0:is>
          <ns0:t>EXP3.009</ns0:t>
        </ns0:is>
      </ns0:c>
      <ns0:c r="Q9" s="2" t="inlineStr">
        <ns0:is>
          <ns0:t>演示占位-v1</ns0:t>
        </ns0:is>
      </ns0:c>
      <ns0:c r="R9" s="2" t="inlineStr">
        <ns0:is>
          <ns0:t>模拟权责发生制</ns0:t>
        </ns0:is>
      </ns0:c>
      <ns0:c r="S9" s="2" t="inlineStr">
        <ns0:is>
          <ns0:t>2027-01</ns0:t>
        </ns0:is>
      </ns0:c>
      <ns0:c r="T9" s="2" t="inlineStr">
        <ns0:is>
          <ns0:t>2027-06</ns0:t>
        </ns0:is>
      </ns0:c>
      <ns0:c r="U9" s="2" t="inlineStr">
        <ns0:is>
          <ns0:t>无</ns0:t>
        </ns0:is>
      </ns0:c>
      <ns0:c r="V9" s="2" t="inlineStr">
        <ns0:is>
          <ns0:t>无</ns0:t>
        </ns0:is>
      </ns0:c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/>
      <ns0:c r="B10" s="2" t="inlineStr">
        <ns0:is>
          <ns0:t>培训费</ns0:t>
        </ns0:is>
      </ns0:c>
      <ns0:c r="C10" s="3">
        <ns0:f>ROUND(C210*C330,2)</ns0:f>
        <ns0:v>246.94</ns0:v>
      </ns0:c>
      <ns0:c r="D10" s="3">
        <ns0:f>ROUND(D210*D330,2)</ns0:f>
        <ns0:v>203.63</ns0:v>
      </ns0:c>
      <ns0:c r="E10" s="3">
        <ns0:f>ROUND(E210*E330,2)</ns0:f>
        <ns0:v>134.28</ns0:v>
      </ns0:c>
      <ns0:c r="F10" s="3">
        <ns0:f>ROUND(F210*F330,2)</ns0:f>
        <ns0:v>517.91</ns0:v>
      </ns0:c>
      <ns0:c r="G10" s="3">
        <ns0:f>ROUND(G210*G330,2)</ns0:f>
        <ns0:v>305.51</ns0:v>
      </ns0:c>
      <ns0:c r="H10" s="3">
        <ns0:f>ROUND(H210*H330,2)</ns0:f>
        <ns0:v>167.24</ns0:v>
      </ns0:c>
      <ns0:c r="I10" s="3">
        <ns0:f>ROUND(I210*I330,2)</ns0:f>
        <ns0:v>461.55</ns0:v>
      </ns0:c>
      <ns0:c r="J10" s="3">
        <ns0:f>ROUND(J210*J330,2)</ns0:f>
        <ns0:v>170.67</ns0:v>
      </ns0:c>
      <ns0:c r="K10" s="3">
        <ns0:f>ROUND(K210*K330,2)</ns0:f>
        <ns0:v>282.32</ns0:v>
      </ns0:c>
      <ns0:c r="L10" s="3">
        <ns0:f>ROUND(L210*L330,2)</ns0:f>
        <ns0:v>58.88</ns0:v>
      </ns0:c>
      <ns0:c r="M10" s="3">
        <ns0:f>ROUND(M210*M330,2)</ns0:f>
        <ns0:v>81.72</ns0:v>
      </ns0:c>
      <ns0:c r="N10" s="3">
        <ns0:f>ROUND(N210*N330,2)</ns0:f>
        <ns0:v>165.25</ns0:v>
      </ns0:c>
      <ns0:c r="O10" s="3">
        <ns0:f>SUM(C10:N10)</ns0:f>
        <ns0:v>2795.90</ns0:v>
      </ns0:c>
      <ns0:c r="P10" s="2" t="inlineStr">
        <ns0:is>
          <ns0:t>EXP3.010</ns0:t>
        </ns0:is>
      </ns0:c>
      <ns0:c r="Q10" s="2" t="inlineStr">
        <ns0:is>
          <ns0:t>演示占位-v1</ns0:t>
        </ns0:is>
      </ns0:c>
      <ns0:c r="R10" s="2" t="inlineStr">
        <ns0:is>
          <ns0:t>模拟权责发生制</ns0:t>
        </ns0:is>
      </ns0:c>
      <ns0:c r="S10" s="2" t="inlineStr">
        <ns0:is>
          <ns0:t>2027-01</ns0:t>
        </ns0:is>
      </ns0:c>
      <ns0:c r="T10" s="2" t="inlineStr">
        <ns0:is>
          <ns0:t>2027-06</ns0:t>
        </ns0:is>
      </ns0:c>
      <ns0:c r="U10" s="2" t="inlineStr">
        <ns0:is>
          <ns0:t>无</ns0:t>
        </ns0:is>
      </ns0:c>
      <ns0:c r="V10" s="2" t="inlineStr">
        <ns0:is>
          <ns0:t>无</ns0:t>
        </ns0:is>
      </ns0:c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/>
      <ns0:c r="B11" s="2" t="inlineStr">
        <ns0:is>
          <ns0:t>房租</ns0:t>
        </ns0:is>
      </ns0:c>
      <ns0:c r="C11" s="3">
        <ns0:f>ROUND(C211*C331,2)</ns0:f>
        <ns0:v>165.69</ns0:v>
      </ns0:c>
      <ns0:c r="D11" s="3">
        <ns0:f>ROUND(D211*D331,2)</ns0:f>
        <ns0:v>315.04</ns0:v>
      </ns0:c>
      <ns0:c r="E11" s="3">
        <ns0:f>ROUND(E211*E331,2)</ns0:f>
        <ns0:v>246.24</ns0:v>
      </ns0:c>
      <ns0:c r="F11" s="3">
        <ns0:f>ROUND(F211*F331,2)</ns0:f>
        <ns0:v>182.96</ns0:v>
      </ns0:c>
      <ns0:c r="G11" s="3">
        <ns0:f>ROUND(G211*G331,2)</ns0:f>
        <ns0:v>299.07</ns0:v>
      </ns0:c>
      <ns0:c r="H11" s="3">
        <ns0:f>ROUND(H211*H331,2)</ns0:f>
        <ns0:v>202.43</ns0:v>
      </ns0:c>
      <ns0:c r="I11" s="3">
        <ns0:f>ROUND(I211*I331,2)</ns0:f>
        <ns0:v>248.12</ns0:v>
      </ns0:c>
      <ns0:c r="J11" s="3">
        <ns0:f>ROUND(J211*J331,2)</ns0:f>
        <ns0:v>159.51</ns0:v>
      </ns0:c>
      <ns0:c r="K11" s="3">
        <ns0:f>ROUND(K211*K331,2)</ns0:f>
        <ns0:v>323.31</ns0:v>
      </ns0:c>
      <ns0:c r="L11" s="3">
        <ns0:f>ROUND(L211*L331,2)</ns0:f>
        <ns0:v>111.75</ns0:v>
      </ns0:c>
      <ns0:c r="M11" s="3">
        <ns0:f>ROUND(M211*M331,2)</ns0:f>
        <ns0:v>266.53</ns0:v>
      </ns0:c>
      <ns0:c r="N11" s="3">
        <ns0:f>ROUND(N211*N331,2)</ns0:f>
        <ns0:v>290.72</ns0:v>
      </ns0:c>
      <ns0:c r="O11" s="3">
        <ns0:f>SUM(C11:N11)</ns0:f>
        <ns0:v>2811.37</ns0:v>
      </ns0:c>
      <ns0:c r="P11" s="2" t="inlineStr">
        <ns0:is>
          <ns0:t>EXP3.011</ns0:t>
        </ns0:is>
      </ns0:c>
      <ns0:c r="Q11" s="2" t="inlineStr">
        <ns0:is>
          <ns0:t>演示占位-v1</ns0:t>
        </ns0:is>
      </ns0:c>
      <ns0:c r="R11" s="2" t="inlineStr">
        <ns0:is>
          <ns0:t>模拟权责发生制</ns0:t>
        </ns0:is>
      </ns0:c>
      <ns0:c r="S11" s="2" t="inlineStr">
        <ns0:is>
          <ns0:t>2027-01</ns0:t>
        </ns0:is>
      </ns0:c>
      <ns0:c r="T11" s="2" t="inlineStr">
        <ns0:is>
          <ns0:t>2027-06</ns0:t>
        </ns0:is>
      </ns0:c>
      <ns0:c r="U11" s="2" t="inlineStr">
        <ns0:is>
          <ns0:t>无</ns0:t>
        </ns0:is>
      </ns0:c>
      <ns0:c r="V11" s="2" t="inlineStr">
        <ns0:is>
          <ns0:t>无</ns0:t>
        </ns0:is>
      </ns0:c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/>
      <ns0:c r="B12" s="2" t="inlineStr">
        <ns0:is>
          <ns0:t>物业管理费</ns0:t>
        </ns0:is>
      </ns0:c>
      <ns0:c r="C12" s="3">
        <ns0:f>ROUND(C212*C332,2)</ns0:f>
        <ns0:v>260.93</ns0:v>
      </ns0:c>
      <ns0:c r="D12" s="3">
        <ns0:f>ROUND(D212*D332,2)</ns0:f>
        <ns0:v>154.72</ns0:v>
      </ns0:c>
      <ns0:c r="E12" s="3">
        <ns0:f>ROUND(E212*E332,2)</ns0:f>
        <ns0:v>229.32</ns0:v>
      </ns0:c>
      <ns0:c r="F12" s="3">
        <ns0:f>ROUND(F212*F332,2)</ns0:f>
        <ns0:v>272.71</ns0:v>
      </ns0:c>
      <ns0:c r="G12" s="3">
        <ns0:f>ROUND(G212*G332,2)</ns0:f>
        <ns0:v>483.79</ns0:v>
      </ns0:c>
      <ns0:c r="H12" s="3">
        <ns0:f>ROUND(H212*H332,2)</ns0:f>
        <ns0:v>347.44</ns0:v>
      </ns0:c>
      <ns0:c r="I12" s="3">
        <ns0:f>ROUND(I212*I332,2)</ns0:f>
        <ns0:v>149.92</ns0:v>
      </ns0:c>
      <ns0:c r="J12" s="3">
        <ns0:f>ROUND(J212*J332,2)</ns0:f>
        <ns0:v>266.67</ns0:v>
      </ns0:c>
      <ns0:c r="K12" s="3">
        <ns0:f>ROUND(K212*K332,2)</ns0:f>
        <ns0:v>256.47</ns0:v>
      </ns0:c>
      <ns0:c r="L12" s="3">
        <ns0:f>ROUND(L212*L332,2)</ns0:f>
        <ns0:v>154.33</ns0:v>
      </ns0:c>
      <ns0:c r="M12" s="3">
        <ns0:f>ROUND(M212*M332,2)</ns0:f>
        <ns0:v>104.24</ns0:v>
      </ns0:c>
      <ns0:c r="N12" s="3">
        <ns0:f>ROUND(N212*N332,2)</ns0:f>
        <ns0:v>298.35</ns0:v>
      </ns0:c>
      <ns0:c r="O12" s="3">
        <ns0:f>SUM(C12:N12)</ns0:f>
        <ns0:v>2978.89</ns0:v>
      </ns0:c>
      <ns0:c r="P12" s="2" t="inlineStr">
        <ns0:is>
          <ns0:t>EXP3.012</ns0:t>
        </ns0:is>
      </ns0:c>
      <ns0:c r="Q12" s="2" t="inlineStr">
        <ns0:is>
          <ns0:t>演示占位-v1</ns0:t>
        </ns0:is>
      </ns0:c>
      <ns0:c r="R12" s="2" t="inlineStr">
        <ns0:is>
          <ns0:t>模拟权责发生制</ns0:t>
        </ns0:is>
      </ns0:c>
      <ns0:c r="S12" s="2" t="inlineStr">
        <ns0:is>
          <ns0:t>2027-01</ns0:t>
        </ns0:is>
      </ns0:c>
      <ns0:c r="T12" s="2" t="inlineStr">
        <ns0:is>
          <ns0:t>2027-06</ns0:t>
        </ns0:is>
      </ns0:c>
      <ns0:c r="U12" s="2" t="inlineStr">
        <ns0:is>
          <ns0:t>无</ns0:t>
        </ns0:is>
      </ns0:c>
      <ns0:c r="V12" s="2" t="inlineStr">
        <ns0:is>
          <ns0:t>无</ns0:t>
        </ns0:is>
      </ns0:c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/>
      <ns0:c r="B13" s="2" t="inlineStr">
        <ns0:is>
          <ns0:t>汽车费用</ns0:t>
        </ns0:is>
      </ns0:c>
      <ns0:c r="C13" s="3">
        <ns0:f>ROUND(C213*C333,2)</ns0:f>
        <ns0:v>130.79</ns0:v>
      </ns0:c>
      <ns0:c r="D13" s="3">
        <ns0:f>ROUND(D213*D333,2)</ns0:f>
        <ns0:v>475.19</ns0:v>
      </ns0:c>
      <ns0:c r="E13" s="3">
        <ns0:f>ROUND(E213*E333,2)</ns0:f>
        <ns0:v>210.97</ns0:v>
      </ns0:c>
      <ns0:c r="F13" s="3">
        <ns0:f>ROUND(F213*F333,2)</ns0:f>
        <ns0:v>197.71</ns0:v>
      </ns0:c>
      <ns0:c r="G13" s="3">
        <ns0:f>ROUND(G213*G333,2)</ns0:f>
        <ns0:v>167.03</ns0:v>
      </ns0:c>
      <ns0:c r="H13" s="3">
        <ns0:f>ROUND(H213*H333,2)</ns0:f>
        <ns0:v>235.62</ns0:v>
      </ns0:c>
      <ns0:c r="I13" s="3">
        <ns0:f>ROUND(I213*I333,2)</ns0:f>
        <ns0:v>587.58</ns0:v>
      </ns0:c>
      <ns0:c r="J13" s="3">
        <ns0:f>ROUND(J213*J333,2)</ns0:f>
        <ns0:v>252.13</ns0:v>
      </ns0:c>
      <ns0:c r="K13" s="3">
        <ns0:f>ROUND(K213*K333,2)</ns0:f>
        <ns0:v>393.68</ns0:v>
      </ns0:c>
      <ns0:c r="L13" s="3">
        <ns0:f>ROUND(L213*L333,2)</ns0:f>
        <ns0:v>412.15</ns0:v>
      </ns0:c>
      <ns0:c r="M13" s="3">
        <ns0:f>ROUND(M213*M333,2)</ns0:f>
        <ns0:v>418.71</ns0:v>
      </ns0:c>
      <ns0:c r="N13" s="3">
        <ns0:f>ROUND(N213*N333,2)</ns0:f>
        <ns0:v>272.88</ns0:v>
      </ns0:c>
      <ns0:c r="O13" s="3">
        <ns0:f>SUM(C13:N13)</ns0:f>
        <ns0:v>3754.44</ns0:v>
      </ns0:c>
      <ns0:c r="P13" s="2" t="inlineStr">
        <ns0:is>
          <ns0:t>EXP3.013</ns0:t>
        </ns0:is>
      </ns0:c>
      <ns0:c r="Q13" s="2" t="inlineStr">
        <ns0:is>
          <ns0:t>演示占位-v1</ns0:t>
        </ns0:is>
      </ns0:c>
      <ns0:c r="R13" s="2" t="inlineStr">
        <ns0:is>
          <ns0:t>模拟权责发生制</ns0:t>
        </ns0:is>
      </ns0:c>
      <ns0:c r="S13" s="2" t="inlineStr">
        <ns0:is>
          <ns0:t>2027-01</ns0:t>
        </ns0:is>
      </ns0:c>
      <ns0:c r="T13" s="2" t="inlineStr">
        <ns0:is>
          <ns0:t>2027-06</ns0:t>
        </ns0:is>
      </ns0:c>
      <ns0:c r="U13" s="2" t="inlineStr">
        <ns0:is>
          <ns0:t>无</ns0:t>
        </ns0:is>
      </ns0:c>
      <ns0:c r="V13" s="2" t="inlineStr">
        <ns0:is>
          <ns0:t>无</ns0:t>
        </ns0:is>
      </ns0:c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/>
      <ns0:c r="B14" s="2" t="inlineStr">
        <ns0:is>
          <ns0:t>办公费</ns0:t>
        </ns0:is>
      </ns0:c>
      <ns0:c r="C14" s="3">
        <ns0:f>ROUND(C214*C334,2)</ns0:f>
        <ns0:v>288.01</ns0:v>
      </ns0:c>
      <ns0:c r="D14" s="3">
        <ns0:f>ROUND(D214*D334,2)</ns0:f>
        <ns0:v>63.75</ns0:v>
      </ns0:c>
      <ns0:c r="E14" s="3">
        <ns0:f>ROUND(E214*E334,2)</ns0:f>
        <ns0:v>376.08</ns0:v>
      </ns0:c>
      <ns0:c r="F14" s="3">
        <ns0:f>ROUND(F214*F334,2)</ns0:f>
        <ns0:v>156.89</ns0:v>
      </ns0:c>
      <ns0:c r="G14" s="3">
        <ns0:f>ROUND(G214*G334,2)</ns0:f>
        <ns0:v>323.44</ns0:v>
      </ns0:c>
      <ns0:c r="H14" s="3">
        <ns0:f>ROUND(H214*H334,2)</ns0:f>
        <ns0:v>179.07</ns0:v>
      </ns0:c>
      <ns0:c r="I14" s="3">
        <ns0:f>ROUND(I214*I334,2)</ns0:f>
        <ns0:v>362.74</ns0:v>
      </ns0:c>
      <ns0:c r="J14" s="3">
        <ns0:f>ROUND(J214*J334,2)</ns0:f>
        <ns0:v>248.53</ns0:v>
      </ns0:c>
      <ns0:c r="K14" s="3">
        <ns0:f>ROUND(K214*K334,2)</ns0:f>
        <ns0:v>350.62</ns0:v>
      </ns0:c>
      <ns0:c r="L14" s="3">
        <ns0:f>ROUND(L214*L334,2)</ns0:f>
        <ns0:v>255.54</ns0:v>
      </ns0:c>
      <ns0:c r="M14" s="3">
        <ns0:f>ROUND(M214*M334,2)</ns0:f>
        <ns0:v>421.15</ns0:v>
      </ns0:c>
      <ns0:c r="N14" s="3">
        <ns0:f>ROUND(N214*N334,2)</ns0:f>
        <ns0:v>514.55</ns0:v>
      </ns0:c>
      <ns0:c r="O14" s="3">
        <ns0:f>SUM(C14:N14)</ns0:f>
        <ns0:v>3540.37</ns0:v>
      </ns0:c>
      <ns0:c r="P14" s="2" t="inlineStr">
        <ns0:is>
          <ns0:t>EXP3.014</ns0:t>
        </ns0:is>
      </ns0:c>
      <ns0:c r="Q14" s="2" t="inlineStr">
        <ns0:is>
          <ns0:t>演示占位-v1</ns0:t>
        </ns0:is>
      </ns0:c>
      <ns0:c r="R14" s="2" t="inlineStr">
        <ns0:is>
          <ns0:t>模拟权责发生制</ns0:t>
        </ns0:is>
      </ns0:c>
      <ns0:c r="S14" s="2" t="inlineStr">
        <ns0:is>
          <ns0:t>2027-01</ns0:t>
        </ns0:is>
      </ns0:c>
      <ns0:c r="T14" s="2" t="inlineStr">
        <ns0:is>
          <ns0:t>2027-06</ns0:t>
        </ns0:is>
      </ns0:c>
      <ns0:c r="U14" s="2" t="inlineStr">
        <ns0:is>
          <ns0:t>无</ns0:t>
        </ns0:is>
      </ns0:c>
      <ns0:c r="V14" s="2" t="inlineStr">
        <ns0:is>
          <ns0:t>无</ns0:t>
        </ns0:is>
      </ns0:c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/>
      <ns0:c r="B15" s="2" t="inlineStr">
        <ns0:is>
          <ns0:t>办公用品</ns0:t>
        </ns0:is>
      </ns0:c>
      <ns0:c r="C15" s="3">
        <ns0:f>ROUND(C215*C335,2)</ns0:f>
        <ns0:v>104.69</ns0:v>
      </ns0:c>
      <ns0:c r="D15" s="3">
        <ns0:f>ROUND(D215*D335,2)</ns0:f>
        <ns0:v>158.57</ns0:v>
      </ns0:c>
      <ns0:c r="E15" s="3">
        <ns0:f>ROUND(E215*E335,2)</ns0:f>
        <ns0:v>85.45</ns0:v>
      </ns0:c>
      <ns0:c r="F15" s="3">
        <ns0:f>ROUND(F215*F335,2)</ns0:f>
        <ns0:v>199.92</ns0:v>
      </ns0:c>
      <ns0:c r="G15" s="3">
        <ns0:f>ROUND(G215*G335,2)</ns0:f>
        <ns0:v>127.94</ns0:v>
      </ns0:c>
      <ns0:c r="H15" s="3">
        <ns0:f>ROUND(H215*H335,2)</ns0:f>
        <ns0:v>260.41</ns0:v>
      </ns0:c>
      <ns0:c r="I15" s="3">
        <ns0:f>ROUND(I215*I335,2)</ns0:f>
        <ns0:v>172.99</ns0:v>
      </ns0:c>
      <ns0:c r="J15" s="3">
        <ns0:f>ROUND(J215*J335,2)</ns0:f>
        <ns0:v>171.53</ns0:v>
      </ns0:c>
      <ns0:c r="K15" s="3">
        <ns0:f>ROUND(K215*K335,2)</ns0:f>
        <ns0:v>448.28</ns0:v>
      </ns0:c>
      <ns0:c r="L15" s="3">
        <ns0:f>ROUND(L215*L335,2)</ns0:f>
        <ns0:v>126.94</ns0:v>
      </ns0:c>
      <ns0:c r="M15" s="3">
        <ns0:f>ROUND(M215*M335,2)</ns0:f>
        <ns0:v>127.52</ns0:v>
      </ns0:c>
      <ns0:c r="N15" s="3">
        <ns0:f>ROUND(N215*N335,2)</ns0:f>
        <ns0:v>493.50</ns0:v>
      </ns0:c>
      <ns0:c r="O15" s="3">
        <ns0:f>SUM(C15:N15)</ns0:f>
        <ns0:v>2477.74</ns0:v>
      </ns0:c>
      <ns0:c r="P15" s="2" t="inlineStr">
        <ns0:is>
          <ns0:t>EXP3.015</ns0:t>
        </ns0:is>
      </ns0:c>
      <ns0:c r="Q15" s="2" t="inlineStr">
        <ns0:is>
          <ns0:t>演示占位-v1</ns0:t>
        </ns0:is>
      </ns0:c>
      <ns0:c r="R15" s="2" t="inlineStr">
        <ns0:is>
          <ns0:t>模拟权责发生制</ns0:t>
        </ns0:is>
      </ns0:c>
      <ns0:c r="S15" s="2" t="inlineStr">
        <ns0:is>
          <ns0:t>2027-01</ns0:t>
        </ns0:is>
      </ns0:c>
      <ns0:c r="T15" s="2" t="inlineStr">
        <ns0:is>
          <ns0:t>2027-06</ns0:t>
        </ns0:is>
      </ns0:c>
      <ns0:c r="U15" s="2" t="inlineStr">
        <ns0:is>
          <ns0:t>无</ns0:t>
        </ns0:is>
      </ns0:c>
      <ns0:c r="V15" s="2" t="inlineStr">
        <ns0:is>
          <ns0:t>无</ns0:t>
        </ns0:is>
      </ns0:c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/>
      <ns0:c r="B16" s="2" t="inlineStr">
        <ns0:is>
          <ns0:t>水电煤</ns0:t>
        </ns0:is>
      </ns0:c>
      <ns0:c r="C16" s="3">
        <ns0:f>ROUND(C216*C336,2)</ns0:f>
        <ns0:v>68.48</ns0:v>
      </ns0:c>
      <ns0:c r="D16" s="3">
        <ns0:f>ROUND(D216*D336,2)</ns0:f>
        <ns0:v>109.11</ns0:v>
      </ns0:c>
      <ns0:c r="E16" s="3">
        <ns0:f>ROUND(E216*E336,2)</ns0:f>
        <ns0:v>72.32</ns0:v>
      </ns0:c>
      <ns0:c r="F16" s="3">
        <ns0:f>ROUND(F216*F336,2)</ns0:f>
        <ns0:v>89.92</ns0:v>
      </ns0:c>
      <ns0:c r="G16" s="3">
        <ns0:f>ROUND(G216*G336,2)</ns0:f>
        <ns0:v>343.17</ns0:v>
      </ns0:c>
      <ns0:c r="H16" s="3">
        <ns0:f>ROUND(H216*H336,2)</ns0:f>
        <ns0:v>166.66</ns0:v>
      </ns0:c>
      <ns0:c r="I16" s="3">
        <ns0:f>ROUND(I216*I336,2)</ns0:f>
        <ns0:v>121.86</ns0:v>
      </ns0:c>
      <ns0:c r="J16" s="3">
        <ns0:f>ROUND(J216*J336,2)</ns0:f>
        <ns0:v>417.54</ns0:v>
      </ns0:c>
      <ns0:c r="K16" s="3">
        <ns0:f>ROUND(K216*K336,2)</ns0:f>
        <ns0:v>166.00</ns0:v>
      </ns0:c>
      <ns0:c r="L16" s="3">
        <ns0:f>ROUND(L216*L336,2)</ns0:f>
        <ns0:v>498.39</ns0:v>
      </ns0:c>
      <ns0:c r="M16" s="3">
        <ns0:f>ROUND(M216*M336,2)</ns0:f>
        <ns0:v>138.35</ns0:v>
      </ns0:c>
      <ns0:c r="N16" s="3">
        <ns0:f>ROUND(N216*N336,2)</ns0:f>
        <ns0:v>147.80</ns0:v>
      </ns0:c>
      <ns0:c r="O16" s="3">
        <ns0:f>SUM(C16:N16)</ns0:f>
        <ns0:v>2339.60</ns0:v>
      </ns0:c>
      <ns0:c r="P16" s="2" t="inlineStr">
        <ns0:is>
          <ns0:t>EXP3.016</ns0:t>
        </ns0:is>
      </ns0:c>
      <ns0:c r="Q16" s="2" t="inlineStr">
        <ns0:is>
          <ns0:t>演示占位-v1</ns0:t>
        </ns0:is>
      </ns0:c>
      <ns0:c r="R16" s="2" t="inlineStr">
        <ns0:is>
          <ns0:t>模拟权责发生制</ns0:t>
        </ns0:is>
      </ns0:c>
      <ns0:c r="S16" s="2" t="inlineStr">
        <ns0:is>
          <ns0:t>2027-01</ns0:t>
        </ns0:is>
      </ns0:c>
      <ns0:c r="T16" s="2" t="inlineStr">
        <ns0:is>
          <ns0:t>2027-06</ns0:t>
        </ns0:is>
      </ns0:c>
      <ns0:c r="U16" s="2" t="inlineStr">
        <ns0:is>
          <ns0:t>无</ns0:t>
        </ns0:is>
      </ns0:c>
      <ns0:c r="V16" s="2" t="inlineStr">
        <ns0:is>
          <ns0:t>无</ns0:t>
        </ns0:is>
      </ns0:c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预算基础</ns0:t>
        </ns0:is>
      </ns0:c>
    </ns0:row>
    <ns0:row r="17" ht="20" customHeight="1">
      <ns0:c r="A17" s="2"/>
      <ns0:c r="B17" s="2" t="inlineStr">
        <ns0:is>
          <ns0:t>咨询服务费</ns0:t>
        </ns0:is>
      </ns0:c>
      <ns0:c r="C17" s="3">
        <ns0:f>ROUND(C217*C337,2)</ns0:f>
        <ns0:v>84.68</ns0:v>
      </ns0:c>
      <ns0:c r="D17" s="3">
        <ns0:f>ROUND(D217*D337,2)</ns0:f>
        <ns0:v>267.85</ns0:v>
      </ns0:c>
      <ns0:c r="E17" s="3">
        <ns0:f>ROUND(E217*E337,2)</ns0:f>
        <ns0:v>57.30</ns0:v>
      </ns0:c>
      <ns0:c r="F17" s="3">
        <ns0:f>ROUND(F217*F337,2)</ns0:f>
        <ns0:v>567.04</ns0:v>
      </ns0:c>
      <ns0:c r="G17" s="3">
        <ns0:f>ROUND(G217*G337,2)</ns0:f>
        <ns0:v>168.94</ns0:v>
      </ns0:c>
      <ns0:c r="H17" s="3">
        <ns0:f>ROUND(H217*H337,2)</ns0:f>
        <ns0:v>119.38</ns0:v>
      </ns0:c>
      <ns0:c r="I17" s="3">
        <ns0:f>ROUND(I217*I337,2)</ns0:f>
        <ns0:v>182.97</ns0:v>
      </ns0:c>
      <ns0:c r="J17" s="3">
        <ns0:f>ROUND(J217*J337,2)</ns0:f>
        <ns0:v>176.09</ns0:v>
      </ns0:c>
      <ns0:c r="K17" s="3">
        <ns0:f>ROUND(K217*K337,2)</ns0:f>
        <ns0:v>196.36</ns0:v>
      </ns0:c>
      <ns0:c r="L17" s="3">
        <ns0:f>ROUND(L217*L337,2)</ns0:f>
        <ns0:v>444.37</ns0:v>
      </ns0:c>
      <ns0:c r="M17" s="3">
        <ns0:f>ROUND(M217*M337,2)</ns0:f>
        <ns0:v>142.89</ns0:v>
      </ns0:c>
      <ns0:c r="N17" s="3">
        <ns0:f>ROUND(N217*N337,2)</ns0:f>
        <ns0:v>472.58</ns0:v>
      </ns0:c>
      <ns0:c r="O17" s="3">
        <ns0:f>SUM(C17:N17)</ns0:f>
        <ns0:v>2880.45</ns0:v>
      </ns0:c>
      <ns0:c r="P17" s="2" t="inlineStr">
        <ns0:is>
          <ns0:t>EXP3.017</ns0:t>
        </ns0:is>
      </ns0:c>
      <ns0:c r="Q17" s="2" t="inlineStr">
        <ns0:is>
          <ns0:t>演示占位-v1</ns0:t>
        </ns0:is>
      </ns0:c>
      <ns0:c r="R17" s="2" t="inlineStr">
        <ns0:is>
          <ns0:t>模拟权责发生制</ns0:t>
        </ns0:is>
      </ns0:c>
      <ns0:c r="S17" s="2" t="inlineStr">
        <ns0:is>
          <ns0:t>2027-01</ns0:t>
        </ns0:is>
      </ns0:c>
      <ns0:c r="T17" s="2" t="inlineStr">
        <ns0:is>
          <ns0:t>2027-06</ns0:t>
        </ns0:is>
      </ns0:c>
      <ns0:c r="U17" s="2" t="inlineStr">
        <ns0:is>
          <ns0:t>无</ns0:t>
        </ns0:is>
      </ns0:c>
      <ns0:c r="V17" s="2" t="inlineStr">
        <ns0:is>
          <ns0:t>无</ns0:t>
        </ns0:is>
      </ns0:c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蓝色为预算基础输入参数；示例数值为占位；金额单位：元</ns0:t>
        </ns0:is>
      </ns0:c>
    </ns0:row>
    <ns0:row r="18" ht="20" customHeight="1">
      <ns0:c r="A18" s="2"/>
      <ns0:c r="B18" s="2" t="inlineStr">
        <ns0:is>
          <ns0:t>电话费</ns0:t>
        </ns0:is>
      </ns0:c>
      <ns0:c r="C18" s="3">
        <ns0:f>ROUND(C218*C338,2)</ns0:f>
        <ns0:v>116.64</ns0:v>
      </ns0:c>
      <ns0:c r="D18" s="3">
        <ns0:f>ROUND(D218*D338,2)</ns0:f>
        <ns0:v>120.36</ns0:v>
      </ns0:c>
      <ns0:c r="E18" s="3">
        <ns0:f>ROUND(E218*E338,2)</ns0:f>
        <ns0:v>178.96</ns0:v>
      </ns0:c>
      <ns0:c r="F18" s="3">
        <ns0:f>ROUND(F218*F338,2)</ns0:f>
        <ns0:v>163.61</ns0:v>
      </ns0:c>
      <ns0:c r="G18" s="3">
        <ns0:f>ROUND(G218*G338,2)</ns0:f>
        <ns0:v>173.56</ns0:v>
      </ns0:c>
      <ns0:c r="H18" s="3">
        <ns0:f>ROUND(H218*H338,2)</ns0:f>
        <ns0:v>156.24</ns0:v>
      </ns0:c>
      <ns0:c r="I18" s="3">
        <ns0:f>ROUND(I218*I338,2)</ns0:f>
        <ns0:v>153.75</ns0:v>
      </ns0:c>
      <ns0:c r="J18" s="3">
        <ns0:f>ROUND(J218*J338,2)</ns0:f>
        <ns0:v>94.75</ns0:v>
      </ns0:c>
      <ns0:c r="K18" s="3">
        <ns0:f>ROUND(K218*K338,2)</ns0:f>
        <ns0:v>310.84</ns0:v>
      </ns0:c>
      <ns0:c r="L18" s="3">
        <ns0:f>ROUND(L218*L338,2)</ns0:f>
        <ns0:v>162.57</ns0:v>
      </ns0:c>
      <ns0:c r="M18" s="3">
        <ns0:f>ROUND(M218*M338,2)</ns0:f>
        <ns0:v>74.92</ns0:v>
      </ns0:c>
      <ns0:c r="N18" s="3">
        <ns0:f>ROUND(N218*N338,2)</ns0:f>
        <ns0:v>228.13</ns0:v>
      </ns0:c>
      <ns0:c r="O18" s="3">
        <ns0:f>SUM(C18:N18)</ns0:f>
        <ns0:v>1934.33</ns0:v>
      </ns0:c>
      <ns0:c r="P18" s="2" t="inlineStr">
        <ns0:is>
          <ns0:t>EXP3.018</ns0:t>
        </ns0:is>
      </ns0:c>
      <ns0:c r="Q18" s="2" t="inlineStr">
        <ns0:is>
          <ns0:t>演示占位-v1</ns0:t>
        </ns0:is>
      </ns0:c>
      <ns0:c r="R18" s="2" t="inlineStr">
        <ns0:is>
          <ns0:t>模拟权责发生制</ns0:t>
        </ns0:is>
      </ns0:c>
      <ns0:c r="S18" s="2" t="inlineStr">
        <ns0:is>
          <ns0:t>2027-01</ns0:t>
        </ns0:is>
      </ns0:c>
      <ns0:c r="T18" s="2" t="inlineStr">
        <ns0:is>
          <ns0:t>2027-06</ns0:t>
        </ns0:is>
      </ns0:c>
      <ns0:c r="U18" s="2" t="inlineStr">
        <ns0:is>
          <ns0:t>无</ns0:t>
        </ns0:is>
      </ns0:c>
      <ns0:c r="V18" s="2" t="inlineStr">
        <ns0:is>
          <ns0:t>无</ns0:t>
        </ns0:is>
      </ns0:c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/>
      <ns0:c r="B19" s="2" t="inlineStr">
        <ns0:is>
          <ns0:t>快递费</ns0:t>
        </ns0:is>
      </ns0:c>
      <ns0:c r="C19" s="3">
        <ns0:f>ROUND(C219*C339,2)</ns0:f>
        <ns0:v>234.21</ns0:v>
      </ns0:c>
      <ns0:c r="D19" s="3">
        <ns0:f>ROUND(D219*D339,2)</ns0:f>
        <ns0:v>119.34</ns0:v>
      </ns0:c>
      <ns0:c r="E19" s="3">
        <ns0:f>ROUND(E219*E339,2)</ns0:f>
        <ns0:v>512.70</ns0:v>
      </ns0:c>
      <ns0:c r="F19" s="3">
        <ns0:f>ROUND(F219*F339,2)</ns0:f>
        <ns0:v>376.10</ns0:v>
      </ns0:c>
      <ns0:c r="G19" s="3">
        <ns0:f>ROUND(G219*G339,2)</ns0:f>
        <ns0:v>263.57</ns0:v>
      </ns0:c>
      <ns0:c r="H19" s="3">
        <ns0:f>ROUND(H219*H339,2)</ns0:f>
        <ns0:v>290.98</ns0:v>
      </ns0:c>
      <ns0:c r="I19" s="3">
        <ns0:f>ROUND(I219*I339,2)</ns0:f>
        <ns0:v>207.62</ns0:v>
      </ns0:c>
      <ns0:c r="J19" s="3">
        <ns0:f>ROUND(J219*J339,2)</ns0:f>
        <ns0:v>187.64</ns0:v>
      </ns0:c>
      <ns0:c r="K19" s="3">
        <ns0:f>ROUND(K219*K339,2)</ns0:f>
        <ns0:v>191.19</ns0:v>
      </ns0:c>
      <ns0:c r="L19" s="3">
        <ns0:f>ROUND(L219*L339,2)</ns0:f>
        <ns0:v>69.58</ns0:v>
      </ns0:c>
      <ns0:c r="M19" s="3">
        <ns0:f>ROUND(M219*M339,2)</ns0:f>
        <ns0:v>117.68</ns0:v>
      </ns0:c>
      <ns0:c r="N19" s="3">
        <ns0:f>ROUND(N219*N339,2)</ns0:f>
        <ns0:v>507.39</ns0:v>
      </ns0:c>
      <ns0:c r="O19" s="3">
        <ns0:f>SUM(C19:N19)</ns0:f>
        <ns0:v>3078.00</ns0:v>
      </ns0:c>
      <ns0:c r="P19" s="2" t="inlineStr">
        <ns0:is>
          <ns0:t>EXP3.019</ns0:t>
        </ns0:is>
      </ns0:c>
      <ns0:c r="Q19" s="2" t="inlineStr">
        <ns0:is>
          <ns0:t>演示占位-v1</ns0:t>
        </ns0:is>
      </ns0:c>
      <ns0:c r="R19" s="2" t="inlineStr">
        <ns0:is>
          <ns0:t>模拟权责发生制</ns0:t>
        </ns0:is>
      </ns0:c>
      <ns0:c r="S19" s="2" t="inlineStr">
        <ns0:is>
          <ns0:t>2027-01</ns0:t>
        </ns0:is>
      </ns0:c>
      <ns0:c r="T19" s="2" t="inlineStr">
        <ns0:is>
          <ns0:t>2027-06</ns0:t>
        </ns0:is>
      </ns0:c>
      <ns0:c r="U19" s="2" t="inlineStr">
        <ns0:is>
          <ns0:t>无</ns0:t>
        </ns0:is>
      </ns0:c>
      <ns0:c r="V19" s="2" t="inlineStr">
        <ns0:is>
          <ns0:t>无</ns0:t>
        </ns0:is>
      </ns0:c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/>
      <ns0:c r="B20" s="2" t="inlineStr">
        <ns0:is>
          <ns0:t>折旧及摊销</ns0:t>
        </ns0:is>
      </ns0:c>
      <ns0:c r="C20" s="3">
        <ns0:f>ROUND('摊销明细'!C33/3,2)</ns0:f>
        <ns0:v>596.29</ns0:v>
      </ns0:c>
      <ns0:c r="D20" s="3">
        <ns0:f>ROUND('摊销明细'!D33/3,2)</ns0:f>
        <ns0:v>596.29</ns0:v>
      </ns0:c>
      <ns0:c r="E20" s="3">
        <ns0:f>ROUND('摊销明细'!E33/3,2)</ns0:f>
        <ns0:v>596.29</ns0:v>
      </ns0:c>
      <ns0:c r="F20" s="3">
        <ns0:f>ROUND('摊销明细'!F33/3,2)</ns0:f>
        <ns0:v>596.29</ns0:v>
      </ns0:c>
      <ns0:c r="G20" s="3">
        <ns0:f>ROUND('摊销明细'!G33/3,2)</ns0:f>
        <ns0:v>596.29</ns0:v>
      </ns0:c>
      <ns0:c r="H20" s="3">
        <ns0:f>ROUND('摊销明细'!H33/3,2)</ns0:f>
        <ns0:v>596.29</ns0:v>
      </ns0:c>
      <ns0:c r="I20" s="3">
        <ns0:f>ROUND('摊销明细'!I33/3,2)</ns0:f>
        <ns0:v>596.29</ns0:v>
      </ns0:c>
      <ns0:c r="J20" s="3">
        <ns0:f>ROUND('摊销明细'!J33/3,2)</ns0:f>
        <ns0:v>596.29</ns0:v>
      </ns0:c>
      <ns0:c r="K20" s="3">
        <ns0:f>ROUND('摊销明细'!K33/3,2)</ns0:f>
        <ns0:v>596.29</ns0:v>
      </ns0:c>
      <ns0:c r="L20" s="3">
        <ns0:f>ROUND('摊销明细'!L33/3,2)</ns0:f>
        <ns0:v>596.29</ns0:v>
      </ns0:c>
      <ns0:c r="M20" s="3">
        <ns0:f>ROUND('摊销明细'!M33/3,2)</ns0:f>
        <ns0:v>596.29</ns0:v>
      </ns0:c>
      <ns0:c r="N20" s="3">
        <ns0:f>ROUND('摊销明细'!N33/3,2)</ns0:f>
        <ns0:v>596.29</ns0:v>
      </ns0:c>
      <ns0:c r="O20" s="3">
        <ns0:f>SUM(C20:N20)</ns0:f>
        <ns0:v>7155.48</ns0:v>
      </ns0:c>
      <ns0:c r="P20" s="2" t="inlineStr">
        <ns0:is>
          <ns0:t>EXP3.020</ns0:t>
        </ns0:is>
      </ns0:c>
      <ns0:c r="Q20" s="2" t="inlineStr">
        <ns0:is>
          <ns0:t>演示占位-v1</ns0:t>
        </ns0:is>
      </ns0:c>
      <ns0:c r="R20" s="2" t="inlineStr">
        <ns0:is>
          <ns0:t>模拟权责发生制</ns0:t>
        </ns0:is>
      </ns0:c>
      <ns0:c r="S20" s="2" t="inlineStr">
        <ns0:is>
          <ns0:t>2027-01</ns0:t>
        </ns0:is>
      </ns0:c>
      <ns0:c r="T20" s="2" t="inlineStr">
        <ns0:is>
          <ns0:t>2027-06</ns0:t>
        </ns0:is>
      </ns0:c>
      <ns0:c r="U20" s="2" t="inlineStr">
        <ns0:is>
          <ns0:t>无</ns0:t>
        </ns0:is>
      </ns0:c>
      <ns0:c r="V20" s="2" t="inlineStr">
        <ns0:is>
          <ns0:t>无</ns0:t>
        </ns0:is>
      </ns0:c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 t="inlineStr">
        <ns0:is>
          <ns0:t>差旅费</ns0:t>
        </ns0:is>
      </ns0:c>
      <ns0:c r="B21" s="2" t="inlineStr">
        <ns0:is>
          <ns0:t>机票火车票</ns0:t>
        </ns0:is>
      </ns0:c>
      <ns0:c r="C21" s="3">
        <ns0:f>ROUND(C221*C341,2)</ns0:f>
        <ns0:v>141.88</ns0:v>
      </ns0:c>
      <ns0:c r="D21" s="3">
        <ns0:f>ROUND(D221*D341,2)</ns0:f>
        <ns0:v>76.57</ns0:v>
      </ns0:c>
      <ns0:c r="E21" s="3">
        <ns0:f>ROUND(E221*E341,2)</ns0:f>
        <ns0:v>93.11</ns0:v>
      </ns0:c>
      <ns0:c r="F21" s="3">
        <ns0:f>ROUND(F221*F341,2)</ns0:f>
        <ns0:v>160.91</ns0:v>
      </ns0:c>
      <ns0:c r="G21" s="3">
        <ns0:f>ROUND(G221*G341,2)</ns0:f>
        <ns0:v>349.49</ns0:v>
      </ns0:c>
      <ns0:c r="H21" s="3">
        <ns0:f>ROUND(H221*H341,2)</ns0:f>
        <ns0:v>345.85</ns0:v>
      </ns0:c>
      <ns0:c r="I21" s="3">
        <ns0:f>ROUND(I221*I341,2)</ns0:f>
        <ns0:v>679.81</ns0:v>
      </ns0:c>
      <ns0:c r="J21" s="3">
        <ns0:f>ROUND(J221*J341,2)</ns0:f>
        <ns0:v>202.29</ns0:v>
      </ns0:c>
      <ns0:c r="K21" s="3">
        <ns0:f>ROUND(K221*K341,2)</ns0:f>
        <ns0:v>240.11</ns0:v>
      </ns0:c>
      <ns0:c r="L21" s="3">
        <ns0:f>ROUND(L221*L341,2)</ns0:f>
        <ns0:v>391.36</ns0:v>
      </ns0:c>
      <ns0:c r="M21" s="3">
        <ns0:f>ROUND(M221*M341,2)</ns0:f>
        <ns0:v>362.77</ns0:v>
      </ns0:c>
      <ns0:c r="N21" s="3">
        <ns0:f>ROUND(N221*N341,2)</ns0:f>
        <ns0:v>178.74</ns0:v>
      </ns0:c>
      <ns0:c r="O21" s="3">
        <ns0:f>SUM(C21:N21)</ns0:f>
        <ns0:v>3222.89</ns0:v>
      </ns0:c>
      <ns0:c r="P21" s="2" t="inlineStr">
        <ns0:is>
          <ns0:t>EXP3.021</ns0:t>
        </ns0:is>
      </ns0:c>
      <ns0:c r="Q21" s="2" t="inlineStr">
        <ns0:is>
          <ns0:t>演示占位-v1</ns0:t>
        </ns0:is>
      </ns0:c>
      <ns0:c r="R21" s="2" t="inlineStr">
        <ns0:is>
          <ns0:t>模拟权责发生制</ns0:t>
        </ns0:is>
      </ns0:c>
      <ns0:c r="S21" s="2" t="inlineStr">
        <ns0:is>
          <ns0:t>2027-01</ns0:t>
        </ns0:is>
      </ns0:c>
      <ns0:c r="T21" s="2" t="inlineStr">
        <ns0:is>
          <ns0:t>2027-06</ns0:t>
        </ns0:is>
      </ns0:c>
      <ns0:c r="U21" s="2" t="inlineStr">
        <ns0:is>
          <ns0:t>无</ns0:t>
        </ns0:is>
      </ns0:c>
      <ns0:c r="V21" s="2" t="inlineStr">
        <ns0:is>
          <ns0:t>无</ns0:t>
        </ns0:is>
      </ns0:c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/>
      <ns0:c r="B22" s="2" t="inlineStr">
        <ns0:is>
          <ns0:t>住宿费</ns0:t>
        </ns0:is>
      </ns0:c>
      <ns0:c r="C22" s="3">
        <ns0:f>ROUND(C222*C342,2)</ns0:f>
        <ns0:v>294.88</ns0:v>
      </ns0:c>
      <ns0:c r="D22" s="3">
        <ns0:f>ROUND(D222*D342,2)</ns0:f>
        <ns0:v>377.90</ns0:v>
      </ns0:c>
      <ns0:c r="E22" s="3">
        <ns0:f>ROUND(E222*E342,2)</ns0:f>
        <ns0:v>104.29</ns0:v>
      </ns0:c>
      <ns0:c r="F22" s="3">
        <ns0:f>ROUND(F222*F342,2)</ns0:f>
        <ns0:v>357.48</ns0:v>
      </ns0:c>
      <ns0:c r="G22" s="3">
        <ns0:f>ROUND(G222*G342,2)</ns0:f>
        <ns0:v>204.17</ns0:v>
      </ns0:c>
      <ns0:c r="H22" s="3">
        <ns0:f>ROUND(H222*H342,2)</ns0:f>
        <ns0:v>208.40</ns0:v>
      </ns0:c>
      <ns0:c r="I22" s="3">
        <ns0:f>ROUND(I222*I342,2)</ns0:f>
        <ns0:v>95.38</ns0:v>
      </ns0:c>
      <ns0:c r="J22" s="3">
        <ns0:f>ROUND(J222*J342,2)</ns0:f>
        <ns0:v>367.73</ns0:v>
      </ns0:c>
      <ns0:c r="K22" s="3">
        <ns0:f>ROUND(K222*K342,2)</ns0:f>
        <ns0:v>176.49</ns0:v>
      </ns0:c>
      <ns0:c r="L22" s="3">
        <ns0:f>ROUND(L222*L342,2)</ns0:f>
        <ns0:v>336.47</ns0:v>
      </ns0:c>
      <ns0:c r="M22" s="3">
        <ns0:f>ROUND(M222*M342,2)</ns0:f>
        <ns0:v>123.00</ns0:v>
      </ns0:c>
      <ns0:c r="N22" s="3">
        <ns0:f>ROUND(N222*N342,2)</ns0:f>
        <ns0:v>161.54</ns0:v>
      </ns0:c>
      <ns0:c r="O22" s="3">
        <ns0:f>SUM(C22:N22)</ns0:f>
        <ns0:v>2807.73</ns0:v>
      </ns0:c>
      <ns0:c r="P22" s="2" t="inlineStr">
        <ns0:is>
          <ns0:t>EXP3.022</ns0:t>
        </ns0:is>
      </ns0:c>
      <ns0:c r="Q22" s="2" t="inlineStr">
        <ns0:is>
          <ns0:t>演示占位-v1</ns0:t>
        </ns0:is>
      </ns0:c>
      <ns0:c r="R22" s="2" t="inlineStr">
        <ns0:is>
          <ns0:t>模拟权责发生制</ns0:t>
        </ns0:is>
      </ns0:c>
      <ns0:c r="S22" s="2" t="inlineStr">
        <ns0:is>
          <ns0:t>2027-01</ns0:t>
        </ns0:is>
      </ns0:c>
      <ns0:c r="T22" s="2" t="inlineStr">
        <ns0:is>
          <ns0:t>2027-06</ns0:t>
        </ns0:is>
      </ns0:c>
      <ns0:c r="U22" s="2" t="inlineStr">
        <ns0:is>
          <ns0:t>无</ns0:t>
        </ns0:is>
      </ns0:c>
      <ns0:c r="V22" s="2" t="inlineStr">
        <ns0:is>
          <ns0:t>无</ns0:t>
        </ns0:is>
      </ns0:c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/>
      <ns0:c r="B23" s="2" t="inlineStr">
        <ns0:is>
          <ns0:t>交通费</ns0:t>
        </ns0:is>
      </ns0:c>
      <ns0:c r="C23" s="3">
        <ns0:f>ROUND(C223*C343,2)</ns0:f>
        <ns0:v>244.06</ns0:v>
      </ns0:c>
      <ns0:c r="D23" s="3">
        <ns0:f>ROUND(D223*D343,2)</ns0:f>
        <ns0:v>231.58</ns0:v>
      </ns0:c>
      <ns0:c r="E23" s="3">
        <ns0:f>ROUND(E223*E343,2)</ns0:f>
        <ns0:v>256.61</ns0:v>
      </ns0:c>
      <ns0:c r="F23" s="3">
        <ns0:f>ROUND(F223*F343,2)</ns0:f>
        <ns0:v>283.55</ns0:v>
      </ns0:c>
      <ns0:c r="G23" s="3">
        <ns0:f>ROUND(G223*G343,2)</ns0:f>
        <ns0:v>255.76</ns0:v>
      </ns0:c>
      <ns0:c r="H23" s="3">
        <ns0:f>ROUND(H223*H343,2)</ns0:f>
        <ns0:v>313.56</ns0:v>
      </ns0:c>
      <ns0:c r="I23" s="3">
        <ns0:f>ROUND(I223*I343,2)</ns0:f>
        <ns0:v>269.38</ns0:v>
      </ns0:c>
      <ns0:c r="J23" s="3">
        <ns0:f>ROUND(J223*J343,2)</ns0:f>
        <ns0:v>141.25</ns0:v>
      </ns0:c>
      <ns0:c r="K23" s="3">
        <ns0:f>ROUND(K223*K343,2)</ns0:f>
        <ns0:v>189.21</ns0:v>
      </ns0:c>
      <ns0:c r="L23" s="3">
        <ns0:f>ROUND(L223*L343,2)</ns0:f>
        <ns0:v>200.08</ns0:v>
      </ns0:c>
      <ns0:c r="M23" s="3">
        <ns0:f>ROUND(M223*M343,2)</ns0:f>
        <ns0:v>395.70</ns0:v>
      </ns0:c>
      <ns0:c r="N23" s="3">
        <ns0:f>ROUND(N223*N343,2)</ns0:f>
        <ns0:v>164.31</ns0:v>
      </ns0:c>
      <ns0:c r="O23" s="3">
        <ns0:f>SUM(C23:N23)</ns0:f>
        <ns0:v>2945.05</ns0:v>
      </ns0:c>
      <ns0:c r="P23" s="2" t="inlineStr">
        <ns0:is>
          <ns0:t>EXP3.023</ns0:t>
        </ns0:is>
      </ns0:c>
      <ns0:c r="Q23" s="2" t="inlineStr">
        <ns0:is>
          <ns0:t>演示占位-v1</ns0:t>
        </ns0:is>
      </ns0:c>
      <ns0:c r="R23" s="2" t="inlineStr">
        <ns0:is>
          <ns0:t>模拟权责发生制</ns0:t>
        </ns0:is>
      </ns0:c>
      <ns0:c r="S23" s="2" t="inlineStr">
        <ns0:is>
          <ns0:t>2027-01</ns0:t>
        </ns0:is>
      </ns0:c>
      <ns0:c r="T23" s="2" t="inlineStr">
        <ns0:is>
          <ns0:t>2027-06</ns0:t>
        </ns0:is>
      </ns0:c>
      <ns0:c r="U23" s="2" t="inlineStr">
        <ns0:is>
          <ns0:t>无</ns0:t>
        </ns0:is>
      </ns0:c>
      <ns0:c r="V23" s="2" t="inlineStr">
        <ns0:is>
          <ns0:t>无</ns0:t>
        </ns0:is>
      </ns0:c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 t="inlineStr">
        <ns0:is>
          <ns0:t>差旅补贴</ns0:t>
        </ns0:is>
      </ns0:c>
      <ns0:c r="C24" s="3">
        <ns0:f>ROUND(C224*C344,2)</ns0:f>
        <ns0:v>134.94</ns0:v>
      </ns0:c>
      <ns0:c r="D24" s="3">
        <ns0:f>ROUND(D224*D344,2)</ns0:f>
        <ns0:v>186.44</ns0:v>
      </ns0:c>
      <ns0:c r="E24" s="3">
        <ns0:f>ROUND(E224*E344,2)</ns0:f>
        <ns0:v>164.82</ns0:v>
      </ns0:c>
      <ns0:c r="F24" s="3">
        <ns0:f>ROUND(F224*F344,2)</ns0:f>
        <ns0:v>387.24</ns0:v>
      </ns0:c>
      <ns0:c r="G24" s="3">
        <ns0:f>ROUND(G224*G344,2)</ns0:f>
        <ns0:v>211.87</ns0:v>
      </ns0:c>
      <ns0:c r="H24" s="3">
        <ns0:f>ROUND(H224*H344,2)</ns0:f>
        <ns0:v>119.11</ns0:v>
      </ns0:c>
      <ns0:c r="I24" s="3">
        <ns0:f>ROUND(I224*I344,2)</ns0:f>
        <ns0:v>156.95</ns0:v>
      </ns0:c>
      <ns0:c r="J24" s="3">
        <ns0:f>ROUND(J224*J344,2)</ns0:f>
        <ns0:v>126.84</ns0:v>
      </ns0:c>
      <ns0:c r="K24" s="3">
        <ns0:f>ROUND(K224*K344,2)</ns0:f>
        <ns0:v>367.16</ns0:v>
      </ns0:c>
      <ns0:c r="L24" s="3">
        <ns0:f>ROUND(L224*L344,2)</ns0:f>
        <ns0:v>466.28</ns0:v>
      </ns0:c>
      <ns0:c r="M24" s="3">
        <ns0:f>ROUND(M224*M344,2)</ns0:f>
        <ns0:v>307.85</ns0:v>
      </ns0:c>
      <ns0:c r="N24" s="3">
        <ns0:f>ROUND(N224*N344,2)</ns0:f>
        <ns0:v>216.28</ns0:v>
      </ns0:c>
      <ns0:c r="O24" s="3">
        <ns0:f>SUM(C24:N24)</ns0:f>
        <ns0:v>2845.78</ns0:v>
      </ns0:c>
      <ns0:c r="P24" s="2" t="inlineStr">
        <ns0:is>
          <ns0:t>EXP3.024</ns0:t>
        </ns0:is>
      </ns0:c>
      <ns0:c r="Q24" s="2" t="inlineStr">
        <ns0:is>
          <ns0:t>演示占位-v1</ns0:t>
        </ns0:is>
      </ns0:c>
      <ns0:c r="R24" s="2" t="inlineStr">
        <ns0:is>
          <ns0:t>模拟权责发生制</ns0:t>
        </ns0:is>
      </ns0:c>
      <ns0:c r="S24" s="2" t="inlineStr">
        <ns0:is>
          <ns0:t>2027-01</ns0:t>
        </ns0:is>
      </ns0:c>
      <ns0:c r="T24" s="2" t="inlineStr">
        <ns0:is>
          <ns0:t>2027-06</ns0:t>
        </ns0:is>
      </ns0:c>
      <ns0:c r="U24" s="2" t="inlineStr">
        <ns0:is>
          <ns0:t>无</ns0:t>
        </ns0:is>
      </ns0:c>
      <ns0:c r="V24" s="2" t="inlineStr">
        <ns0:is>
          <ns0:t>无</ns0:t>
        </ns0:is>
      </ns0:c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 t="inlineStr">
        <ns0:is>
          <ns0:t>业务招待费</ns0:t>
        </ns0:is>
      </ns0:c>
      <ns0:c r="B25" s="2" t="inlineStr">
        <ns0:is>
          <ns0:t>业务招待费</ns0:t>
        </ns0:is>
      </ns0:c>
      <ns0:c r="C25" s="3">
        <ns0:f>ROUND(C225*C345,2)</ns0:f>
        <ns0:v>646.75</ns0:v>
      </ns0:c>
      <ns0:c r="D25" s="3">
        <ns0:f>ROUND(D225*D345,2)</ns0:f>
        <ns0:v>130.14</ns0:v>
      </ns0:c>
      <ns0:c r="E25" s="3">
        <ns0:f>ROUND(E225*E345,2)</ns0:f>
        <ns0:v>237.36</ns0:v>
      </ns0:c>
      <ns0:c r="F25" s="3">
        <ns0:f>ROUND(F225*F345,2)</ns0:f>
        <ns0:v>114.67</ns0:v>
      </ns0:c>
      <ns0:c r="G25" s="3">
        <ns0:f>ROUND(G225*G345,2)</ns0:f>
        <ns0:v>245.75</ns0:v>
      </ns0:c>
      <ns0:c r="H25" s="3">
        <ns0:f>ROUND(H225*H345,2)</ns0:f>
        <ns0:v>279.24</ns0:v>
      </ns0:c>
      <ns0:c r="I25" s="3">
        <ns0:f>ROUND(I225*I345,2)</ns0:f>
        <ns0:v>422.54</ns0:v>
      </ns0:c>
      <ns0:c r="J25" s="3">
        <ns0:f>ROUND(J225*J345,2)</ns0:f>
        <ns0:v>311.27</ns0:v>
      </ns0:c>
      <ns0:c r="K25" s="3">
        <ns0:f>ROUND(K225*K345,2)</ns0:f>
        <ns0:v>303.59</ns0:v>
      </ns0:c>
      <ns0:c r="L25" s="3">
        <ns0:f>ROUND(L225*L345,2)</ns0:f>
        <ns0:v>167.92</ns0:v>
      </ns0:c>
      <ns0:c r="M25" s="3">
        <ns0:f>ROUND(M225*M345,2)</ns0:f>
        <ns0:v>199.50</ns0:v>
      </ns0:c>
      <ns0:c r="N25" s="3">
        <ns0:f>ROUND(N225*N345,2)</ns0:f>
        <ns0:v>332.11</ns0:v>
      </ns0:c>
      <ns0:c r="O25" s="3">
        <ns0:f>SUM(C25:N25)</ns0:f>
        <ns0:v>3390.84</ns0:v>
      </ns0:c>
      <ns0:c r="P25" s="2" t="inlineStr">
        <ns0:is>
          <ns0:t>EXP3.025</ns0:t>
        </ns0:is>
      </ns0:c>
      <ns0:c r="Q25" s="2" t="inlineStr">
        <ns0:is>
          <ns0:t>演示占位-v1</ns0:t>
        </ns0:is>
      </ns0:c>
      <ns0:c r="R25" s="2" t="inlineStr">
        <ns0:is>
          <ns0:t>模拟权责发生制</ns0:t>
        </ns0:is>
      </ns0:c>
      <ns0:c r="S25" s="2" t="inlineStr">
        <ns0:is>
          <ns0:t>2027-01</ns0:t>
        </ns0:is>
      </ns0:c>
      <ns0:c r="T25" s="2" t="inlineStr">
        <ns0:is>
          <ns0:t>2027-06</ns0:t>
        </ns0:is>
      </ns0:c>
      <ns0:c r="U25" s="2" t="inlineStr">
        <ns0:is>
          <ns0:t>无</ns0:t>
        </ns0:is>
      </ns0:c>
      <ns0:c r="V25" s="2" t="inlineStr">
        <ns0:is>
          <ns0:t>无</ns0:t>
        </ns0:is>
      </ns0:c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 t="inlineStr">
        <ns0:is>
          <ns0:t>市内交通费</ns0:t>
        </ns0:is>
      </ns0:c>
      <ns0:c r="B26" s="2" t="inlineStr">
        <ns0:is>
          <ns0:t>市内交通费</ns0:t>
        </ns0:is>
      </ns0:c>
      <ns0:c r="C26" s="3">
        <ns0:f>ROUND(C226*C346,2)</ns0:f>
        <ns0:v>169.33</ns0:v>
      </ns0:c>
      <ns0:c r="D26" s="3">
        <ns0:f>ROUND(D226*D346,2)</ns0:f>
        <ns0:v>250.03</ns0:v>
      </ns0:c>
      <ns0:c r="E26" s="3">
        <ns0:f>ROUND(E226*E346,2)</ns0:f>
        <ns0:v>328.48</ns0:v>
      </ns0:c>
      <ns0:c r="F26" s="3">
        <ns0:f>ROUND(F226*F346,2)</ns0:f>
        <ns0:v>117.88</ns0:v>
      </ns0:c>
      <ns0:c r="G26" s="3">
        <ns0:f>ROUND(G226*G346,2)</ns0:f>
        <ns0:v>237.88</ns0:v>
      </ns0:c>
      <ns0:c r="H26" s="3">
        <ns0:f>ROUND(H226*H346,2)</ns0:f>
        <ns0:v>129.24</ns0:v>
      </ns0:c>
      <ns0:c r="I26" s="3">
        <ns0:f>ROUND(I226*I346,2)</ns0:f>
        <ns0:v>373.31</ns0:v>
      </ns0:c>
      <ns0:c r="J26" s="3">
        <ns0:f>ROUND(J226*J346,2)</ns0:f>
        <ns0:v>158.58</ns0:v>
      </ns0:c>
      <ns0:c r="K26" s="3">
        <ns0:f>ROUND(K226*K346,2)</ns0:f>
        <ns0:v>201.19</ns0:v>
      </ns0:c>
      <ns0:c r="L26" s="3">
        <ns0:f>ROUND(L226*L346,2)</ns0:f>
        <ns0:v>97.34</ns0:v>
      </ns0:c>
      <ns0:c r="M26" s="3">
        <ns0:f>ROUND(M226*M346,2)</ns0:f>
        <ns0:v>115.32</ns0:v>
      </ns0:c>
      <ns0:c r="N26" s="3">
        <ns0:f>ROUND(N226*N346,2)</ns0:f>
        <ns0:v>376.13</ns0:v>
      </ns0:c>
      <ns0:c r="O26" s="3">
        <ns0:f>SUM(C26:N26)</ns0:f>
        <ns0:v>2554.71</ns0:v>
      </ns0:c>
      <ns0:c r="P26" s="2" t="inlineStr">
        <ns0:is>
          <ns0:t>EXP3.026</ns0:t>
        </ns0:is>
      </ns0:c>
      <ns0:c r="Q26" s="2" t="inlineStr">
        <ns0:is>
          <ns0:t>演示占位-v1</ns0:t>
        </ns0:is>
      </ns0:c>
      <ns0:c r="R26" s="2" t="inlineStr">
        <ns0:is>
          <ns0:t>模拟权责发生制</ns0:t>
        </ns0:is>
      </ns0:c>
      <ns0:c r="S26" s="2" t="inlineStr">
        <ns0:is>
          <ns0:t>2027-01</ns0:t>
        </ns0:is>
      </ns0:c>
      <ns0:c r="T26" s="2" t="inlineStr">
        <ns0:is>
          <ns0:t>2027-06</ns0:t>
        </ns0:is>
      </ns0:c>
      <ns0:c r="U26" s="2" t="inlineStr">
        <ns0:is>
          <ns0:t>无</ns0:t>
        </ns0:is>
      </ns0:c>
      <ns0:c r="V26" s="2" t="inlineStr">
        <ns0:is>
          <ns0:t>无</ns0:t>
        </ns0:is>
      </ns0:c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 t="inlineStr">
        <ns0:is>
          <ns0:t>调研费用</ns0:t>
        </ns0:is>
      </ns0:c>
      <ns0:c r="B27" s="2" t="inlineStr">
        <ns0:is>
          <ns0:t>调研费用</ns0:t>
        </ns0:is>
      </ns0:c>
      <ns0:c r="C27" s="3">
        <ns0:f>ROUND(C227*C347,2)</ns0:f>
        <ns0:v>349.05</ns0:v>
      </ns0:c>
      <ns0:c r="D27" s="3">
        <ns0:f>ROUND(D227*D347,2)</ns0:f>
        <ns0:v>516.04</ns0:v>
      </ns0:c>
      <ns0:c r="E27" s="3">
        <ns0:f>ROUND(E227*E347,2)</ns0:f>
        <ns0:v>541.70</ns0:v>
      </ns0:c>
      <ns0:c r="F27" s="3">
        <ns0:f>ROUND(F227*F347,2)</ns0:f>
        <ns0:v>144.07</ns0:v>
      </ns0:c>
      <ns0:c r="G27" s="3">
        <ns0:f>ROUND(G227*G347,2)</ns0:f>
        <ns0:v>133.99</ns0:v>
      </ns0:c>
      <ns0:c r="H27" s="3">
        <ns0:f>ROUND(H227*H347,2)</ns0:f>
        <ns0:v>277.52</ns0:v>
      </ns0:c>
      <ns0:c r="I27" s="3">
        <ns0:f>ROUND(I227*I347,2)</ns0:f>
        <ns0:v>148.66</ns0:v>
      </ns0:c>
      <ns0:c r="J27" s="3">
        <ns0:f>ROUND(J227*J347,2)</ns0:f>
        <ns0:v>169.75</ns0:v>
      </ns0:c>
      <ns0:c r="K27" s="3">
        <ns0:f>ROUND(K227*K347,2)</ns0:f>
        <ns0:v>80.30</ns0:v>
      </ns0:c>
      <ns0:c r="L27" s="3">
        <ns0:f>ROUND(L227*L347,2)</ns0:f>
        <ns0:v>236.70</ns0:v>
      </ns0:c>
      <ns0:c r="M27" s="3">
        <ns0:f>ROUND(M227*M347,2)</ns0:f>
        <ns0:v>432.26</ns0:v>
      </ns0:c>
      <ns0:c r="N27" s="3">
        <ns0:f>ROUND(N227*N347,2)</ns0:f>
        <ns0:v>315.31</ns0:v>
      </ns0:c>
      <ns0:c r="O27" s="3">
        <ns0:f>SUM(C27:N27)</ns0:f>
        <ns0:v>3345.35</ns0:v>
      </ns0:c>
      <ns0:c r="P27" s="2" t="inlineStr">
        <ns0:is>
          <ns0:t>EXP3.027</ns0:t>
        </ns0:is>
      </ns0:c>
      <ns0:c r="Q27" s="2" t="inlineStr">
        <ns0:is>
          <ns0:t>演示占位-v1</ns0:t>
        </ns0:is>
      </ns0:c>
      <ns0:c r="R27" s="2" t="inlineStr">
        <ns0:is>
          <ns0:t>模拟权责发生制</ns0:t>
        </ns0:is>
      </ns0:c>
      <ns0:c r="S27" s="2" t="inlineStr">
        <ns0:is>
          <ns0:t>2027-01</ns0:t>
        </ns0:is>
      </ns0:c>
      <ns0:c r="T27" s="2" t="inlineStr">
        <ns0:is>
          <ns0:t>2027-06</ns0:t>
        </ns0:is>
      </ns0:c>
      <ns0:c r="U27" s="2" t="inlineStr">
        <ns0:is>
          <ns0:t>无</ns0:t>
        </ns0:is>
      </ns0:c>
      <ns0:c r="V27" s="2" t="inlineStr">
        <ns0:is>
          <ns0:t>无</ns0:t>
        </ns0:is>
      </ns0:c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 t="inlineStr">
        <ns0:is>
          <ns0:t>手续费</ns0:t>
        </ns0:is>
      </ns0:c>
      <ns0:c r="B28" s="2" t="inlineStr">
        <ns0:is>
          <ns0:t>手续费</ns0:t>
        </ns0:is>
      </ns0:c>
      <ns0:c r="C28" s="3">
        <ns0:f>ROUND(C228*C348,2)</ns0:f>
        <ns0:v>65.61</ns0:v>
      </ns0:c>
      <ns0:c r="D28" s="3">
        <ns0:f>ROUND(D228*D348,2)</ns0:f>
        <ns0:v>191.70</ns0:v>
      </ns0:c>
      <ns0:c r="E28" s="3">
        <ns0:f>ROUND(E228*E348,2)</ns0:f>
        <ns0:v>135.79</ns0:v>
      </ns0:c>
      <ns0:c r="F28" s="3">
        <ns0:f>ROUND(F228*F348,2)</ns0:f>
        <ns0:v>289.52</ns0:v>
      </ns0:c>
      <ns0:c r="G28" s="3">
        <ns0:f>ROUND(G228*G348,2)</ns0:f>
        <ns0:v>220.66</ns0:v>
      </ns0:c>
      <ns0:c r="H28" s="3">
        <ns0:f>ROUND(H228*H348,2)</ns0:f>
        <ns0:v>272.49</ns0:v>
      </ns0:c>
      <ns0:c r="I28" s="3">
        <ns0:f>ROUND(I228*I348,2)</ns0:f>
        <ns0:v>90.69</ns0:v>
      </ns0:c>
      <ns0:c r="J28" s="3">
        <ns0:f>ROUND(J228*J348,2)</ns0:f>
        <ns0:v>204.55</ns0:v>
      </ns0:c>
      <ns0:c r="K28" s="3">
        <ns0:f>ROUND(K228*K348,2)</ns0:f>
        <ns0:v>179.16</ns0:v>
      </ns0:c>
      <ns0:c r="L28" s="3">
        <ns0:f>ROUND(L228*L348,2)</ns0:f>
        <ns0:v>575.27</ns0:v>
      </ns0:c>
      <ns0:c r="M28" s="3">
        <ns0:f>ROUND(M228*M348,2)</ns0:f>
        <ns0:v>396.14</ns0:v>
      </ns0:c>
      <ns0:c r="N28" s="3">
        <ns0:f>ROUND(N228*N348,2)</ns0:f>
        <ns0:v>342.61</ns0:v>
      </ns0:c>
      <ns0:c r="O28" s="3">
        <ns0:f>SUM(C28:N28)</ns0:f>
        <ns0:v>2964.19</ns0:v>
      </ns0:c>
      <ns0:c r="P28" s="2" t="inlineStr">
        <ns0:is>
          <ns0:t>EXP3.028</ns0:t>
        </ns0:is>
      </ns0:c>
      <ns0:c r="Q28" s="2" t="inlineStr">
        <ns0:is>
          <ns0:t>演示占位-v1</ns0:t>
        </ns0:is>
      </ns0:c>
      <ns0:c r="R28" s="2" t="inlineStr">
        <ns0:is>
          <ns0:t>模拟权责发生制</ns0:t>
        </ns0:is>
      </ns0:c>
      <ns0:c r="S28" s="2" t="inlineStr">
        <ns0:is>
          <ns0:t>2027-01</ns0:t>
        </ns0:is>
      </ns0:c>
      <ns0:c r="T28" s="2" t="inlineStr">
        <ns0:is>
          <ns0:t>2027-06</ns0:t>
        </ns0:is>
      </ns0:c>
      <ns0:c r="U28" s="2" t="inlineStr">
        <ns0:is>
          <ns0:t>无</ns0:t>
        </ns0:is>
      </ns0:c>
      <ns0:c r="V28" s="2" t="inlineStr">
        <ns0:is>
          <ns0:t>无</ns0:t>
        </ns0:is>
      </ns0:c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 t="inlineStr">
        <ns0:is>
          <ns0:t>利息收入</ns0:t>
        </ns0:is>
      </ns0:c>
      <ns0:c r="C29" s="3">
        <ns0:f>0</ns0:f>
        <ns0:v>0</ns0:v>
      </ns0:c>
      <ns0:c r="D29" s="3">
        <ns0:f>0</ns0:f>
        <ns0:v>0</ns0:v>
      </ns0:c>
      <ns0:c r="E29" s="3">
        <ns0:f>0</ns0:f>
        <ns0:v>0</ns0:v>
      </ns0:c>
      <ns0:c r="F29" s="3">
        <ns0:f>0</ns0:f>
        <ns0:v>0</ns0:v>
      </ns0:c>
      <ns0:c r="G29" s="3">
        <ns0:f>0</ns0:f>
        <ns0:v>0</ns0:v>
      </ns0:c>
      <ns0:c r="H29" s="3">
        <ns0:f>0</ns0:f>
        <ns0:v>0</ns0:v>
      </ns0:c>
      <ns0:c r="I29" s="3">
        <ns0:f>0</ns0:f>
        <ns0:v>0</ns0:v>
      </ns0:c>
      <ns0:c r="J29" s="3">
        <ns0:f>0</ns0:f>
        <ns0:v>0</ns0:v>
      </ns0:c>
      <ns0:c r="K29" s="3">
        <ns0:f>0</ns0:f>
        <ns0:v>0</ns0:v>
      </ns0:c>
      <ns0:c r="L29" s="3">
        <ns0:f>0</ns0:f>
        <ns0:v>0</ns0:v>
      </ns0:c>
      <ns0:c r="M29" s="3">
        <ns0:f>0</ns0:f>
        <ns0:v>0</ns0:v>
      </ns0:c>
      <ns0:c r="N29" s="3">
        <ns0:f>0</ns0:f>
        <ns0:v>0</ns0:v>
      </ns0:c>
      <ns0:c r="O29" s="3">
        <ns0:f>SUM(C29:N29)</ns0:f>
        <ns0:v>0</ns0:v>
      </ns0:c>
      <ns0:c r="P29" s="2" t="inlineStr">
        <ns0:is>
          <ns0:t>EXP3.029</ns0:t>
        </ns0:is>
      </ns0:c>
      <ns0:c r="Q29" s="2" t="inlineStr">
        <ns0:is>
          <ns0:t>演示占位-v1</ns0:t>
        </ns0:is>
      </ns0:c>
      <ns0:c r="R29" s="2" t="inlineStr">
        <ns0:is>
          <ns0:t>模拟权责发生制</ns0:t>
        </ns0:is>
      </ns0:c>
      <ns0:c r="S29" s="2" t="inlineStr">
        <ns0:is>
          <ns0:t>2027-01</ns0:t>
        </ns0:is>
      </ns0:c>
      <ns0:c r="T29" s="2" t="inlineStr">
        <ns0:is>
          <ns0:t>2027-06</ns0:t>
        </ns0:is>
      </ns0:c>
      <ns0:c r="U29" s="2" t="inlineStr">
        <ns0:is>
          <ns0:t>无</ns0:t>
        </ns0:is>
      </ns0:c>
      <ns0:c r="V29" s="2" t="inlineStr">
        <ns0:is>
          <ns0:t>无</ns0:t>
        </ns0:is>
      </ns0:c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 t="inlineStr">
        <ns0:is>
          <ns0:t>利息支出</ns0:t>
        </ns0:is>
      </ns0:c>
      <ns0:c r="C30" s="6">
        <ns0:f>ROUND(C230*C350,2)</ns0:f>
        <ns0:v>62.32</ns0:v>
      </ns0:c>
      <ns0:c r="D30" s="6">
        <ns0:f>ROUND(D230*D350,2)</ns0:f>
        <ns0:v>273.02</ns0:v>
      </ns0:c>
      <ns0:c r="E30" s="6">
        <ns0:f>ROUND(E230*E350,2)</ns0:f>
        <ns0:v>250.34</ns0:v>
      </ns0:c>
      <ns0:c r="F30" s="6">
        <ns0:f>ROUND(F230*F350,2)</ns0:f>
        <ns0:v>310.37</ns0:v>
      </ns0:c>
      <ns0:c r="G30" s="6">
        <ns0:f>ROUND(G230*G350,2)</ns0:f>
        <ns0:v>458.41</ns0:v>
      </ns0:c>
      <ns0:c r="H30" s="6">
        <ns0:f>ROUND(H230*H350,2)</ns0:f>
        <ns0:v>397.27</ns0:v>
      </ns0:c>
      <ns0:c r="I30" s="6">
        <ns0:f>ROUND(I230*I350,2)</ns0:f>
        <ns0:v>635.93</ns0:v>
      </ns0:c>
      <ns0:c r="J30" s="6">
        <ns0:f>ROUND(J230*J350,2)</ns0:f>
        <ns0:v>196.93</ns0:v>
      </ns0:c>
      <ns0:c r="K30" s="6">
        <ns0:f>ROUND(K230*K350,2)</ns0:f>
        <ns0:v>181.12</ns0:v>
      </ns0:c>
      <ns0:c r="L30" s="6">
        <ns0:f>ROUND(L230*L350,2)</ns0:f>
        <ns0:v>264.52</ns0:v>
      </ns0:c>
      <ns0:c r="M30" s="6">
        <ns0:f>ROUND(M230*M350,2)</ns0:f>
        <ns0:v>171.17</ns0:v>
      </ns0:c>
      <ns0:c r="N30" s="6">
        <ns0:f>ROUND(N230*N350,2)</ns0:f>
        <ns0:v>320.11</ns0:v>
      </ns0:c>
      <ns0:c r="O30" s="6">
        <ns0:f>SUM(C30:N30)</ns0:f>
        <ns0:v>3521.51</ns0:v>
      </ns0:c>
      <ns0:c r="P30" s="2" t="inlineStr">
        <ns0:is>
          <ns0:t>EXP3.030</ns0:t>
        </ns0:is>
      </ns0:c>
      <ns0:c r="Q30" s="2" t="inlineStr">
        <ns0:is>
          <ns0:t>演示占位-v1</ns0:t>
        </ns0:is>
      </ns0:c>
      <ns0:c r="R30" s="2" t="inlineStr">
        <ns0:is>
          <ns0:t>模拟权责发生制</ns0:t>
        </ns0:is>
      </ns0:c>
      <ns0:c r="S30" s="2" t="inlineStr">
        <ns0:is>
          <ns0:t>2027-01</ns0:t>
        </ns0:is>
      </ns0:c>
      <ns0:c r="T30" s="2" t="inlineStr">
        <ns0:is>
          <ns0:t>2027-06</ns0:t>
        </ns0:is>
      </ns0:c>
      <ns0:c r="U30" s="2" t="inlineStr">
        <ns0:is>
          <ns0:t>无</ns0:t>
        </ns0:is>
      </ns0:c>
      <ns0:c r="V30" s="2" t="inlineStr">
        <ns0:is>
          <ns0:t>无</ns0:t>
        </ns0:is>
      </ns0:c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 t="inlineStr">
        <ns0:is>
          <ns0:t>税金</ns0:t>
        </ns0:is>
      </ns0:c>
      <ns0:c r="B31" s="2" t="inlineStr">
        <ns0:is>
          <ns0:t>车船税</ns0:t>
        </ns0:is>
      </ns0:c>
      <ns0:c r="C31" s="3">
        <ns0:f>ROUND(C231*C351,2)</ns0:f>
        <ns0:v>166.32</ns0:v>
      </ns0:c>
      <ns0:c r="D31" s="3">
        <ns0:f>ROUND(D231*D351,2)</ns0:f>
        <ns0:v>238.63</ns0:v>
      </ns0:c>
      <ns0:c r="E31" s="3">
        <ns0:f>ROUND(E231*E351,2)</ns0:f>
        <ns0:v>241.40</ns0:v>
      </ns0:c>
      <ns0:c r="F31" s="3">
        <ns0:f>ROUND(F231*F351,2)</ns0:f>
        <ns0:v>184.52</ns0:v>
      </ns0:c>
      <ns0:c r="G31" s="3">
        <ns0:f>ROUND(G231*G351,2)</ns0:f>
        <ns0:v>277.22</ns0:v>
      </ns0:c>
      <ns0:c r="H31" s="3">
        <ns0:f>ROUND(H231*H351,2)</ns0:f>
        <ns0:v>117.14</ns0:v>
      </ns0:c>
      <ns0:c r="I31" s="3">
        <ns0:f>ROUND(I231*I351,2)</ns0:f>
        <ns0:v>99.63</ns0:v>
      </ns0:c>
      <ns0:c r="J31" s="3">
        <ns0:f>ROUND(J231*J351,2)</ns0:f>
        <ns0:v>426.04</ns0:v>
      </ns0:c>
      <ns0:c r="K31" s="3">
        <ns0:f>ROUND(K231*K351,2)</ns0:f>
        <ns0:v>171.03</ns0:v>
      </ns0:c>
      <ns0:c r="L31" s="3">
        <ns0:f>ROUND(L231*L351,2)</ns0:f>
        <ns0:v>81.85</ns0:v>
      </ns0:c>
      <ns0:c r="M31" s="3">
        <ns0:f>ROUND(M231*M351,2)</ns0:f>
        <ns0:v>337.32</ns0:v>
      </ns0:c>
      <ns0:c r="N31" s="3">
        <ns0:f>ROUND(N231*N351,2)</ns0:f>
        <ns0:v>349.78</ns0:v>
      </ns0:c>
      <ns0:c r="O31" s="3">
        <ns0:f>SUM(C31:N31)</ns0:f>
        <ns0:v>2690.88</ns0:v>
      </ns0:c>
      <ns0:c r="P31" s="2" t="inlineStr">
        <ns0:is>
          <ns0:t>EXP3.031</ns0:t>
        </ns0:is>
      </ns0:c>
      <ns0:c r="Q31" s="2" t="inlineStr">
        <ns0:is>
          <ns0:t>演示占位-v1</ns0:t>
        </ns0:is>
      </ns0:c>
      <ns0:c r="R31" s="2" t="inlineStr">
        <ns0:is>
          <ns0:t>模拟权责发生制</ns0:t>
        </ns0:is>
      </ns0:c>
      <ns0:c r="S31" s="2" t="inlineStr">
        <ns0:is>
          <ns0:t>2027-01</ns0:t>
        </ns0:is>
      </ns0:c>
      <ns0:c r="T31" s="2" t="inlineStr">
        <ns0:is>
          <ns0:t>2027-06</ns0:t>
        </ns0:is>
      </ns0:c>
      <ns0:c r="U31" s="2" t="inlineStr">
        <ns0:is>
          <ns0:t>无</ns0:t>
        </ns0:is>
      </ns0:c>
      <ns0:c r="V31" s="2" t="inlineStr">
        <ns0:is>
          <ns0:t>无</ns0:t>
        </ns0:is>
      </ns0:c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 t="inlineStr">
        <ns0:is>
          <ns0:t>印花税</ns0:t>
        </ns0:is>
      </ns0:c>
      <ns0:c r="C32" s="3">
        <ns0:f>ROUND(C232*C352,2)</ns0:f>
        <ns0:v>62.40</ns0:v>
      </ns0:c>
      <ns0:c r="D32" s="3">
        <ns0:f>ROUND(D232*D352,2)</ns0:f>
        <ns0:v>315.17</ns0:v>
      </ns0:c>
      <ns0:c r="E32" s="3">
        <ns0:f>ROUND(E232*E352,2)</ns0:f>
        <ns0:v>459.56</ns0:v>
      </ns0:c>
      <ns0:c r="F32" s="3">
        <ns0:f>ROUND(F232*F352,2)</ns0:f>
        <ns0:v>185.23</ns0:v>
      </ns0:c>
      <ns0:c r="G32" s="3">
        <ns0:f>ROUND(G232*G352,2)</ns0:f>
        <ns0:v>199.26</ns0:v>
      </ns0:c>
      <ns0:c r="H32" s="3">
        <ns0:f>ROUND(H232*H352,2)</ns0:f>
        <ns0:v>51.48</ns0:v>
      </ns0:c>
      <ns0:c r="I32" s="3">
        <ns0:f>ROUND(I232*I352,2)</ns0:f>
        <ns0:v>89.68</ns0:v>
      </ns0:c>
      <ns0:c r="J32" s="3">
        <ns0:f>ROUND(J232*J352,2)</ns0:f>
        <ns0:v>226.84</ns0:v>
      </ns0:c>
      <ns0:c r="K32" s="3">
        <ns0:f>ROUND(K232*K352,2)</ns0:f>
        <ns0:v>399.56</ns0:v>
      </ns0:c>
      <ns0:c r="L32" s="3">
        <ns0:f>ROUND(L232*L352,2)</ns0:f>
        <ns0:v>198.11</ns0:v>
      </ns0:c>
      <ns0:c r="M32" s="3">
        <ns0:f>ROUND(M232*M352,2)</ns0:f>
        <ns0:v>270.34</ns0:v>
      </ns0:c>
      <ns0:c r="N32" s="3">
        <ns0:f>ROUND(N232*N352,2)</ns0:f>
        <ns0:v>241.33</ns0:v>
      </ns0:c>
      <ns0:c r="O32" s="3">
        <ns0:f>SUM(C32:N32)</ns0:f>
        <ns0:v>2698.96</ns0:v>
      </ns0:c>
      <ns0:c r="P32" s="2" t="inlineStr">
        <ns0:is>
          <ns0:t>EXP3.032</ns0:t>
        </ns0:is>
      </ns0:c>
      <ns0:c r="Q32" s="2" t="inlineStr">
        <ns0:is>
          <ns0:t>演示占位-v1</ns0:t>
        </ns0:is>
      </ns0:c>
      <ns0:c r="R32" s="2" t="inlineStr">
        <ns0:is>
          <ns0:t>模拟权责发生制</ns0:t>
        </ns0:is>
      </ns0:c>
      <ns0:c r="S32" s="2" t="inlineStr">
        <ns0:is>
          <ns0:t>2027-01</ns0:t>
        </ns0:is>
      </ns0:c>
      <ns0:c r="T32" s="2" t="inlineStr">
        <ns0:is>
          <ns0:t>2027-06</ns0:t>
        </ns0:is>
      </ns0:c>
      <ns0:c r="U32" s="2" t="inlineStr">
        <ns0:is>
          <ns0:t>无</ns0:t>
        </ns0:is>
      </ns0:c>
      <ns0:c r="V32" s="2" t="inlineStr">
        <ns0:is>
          <ns0:t>无</ns0:t>
        </ns0:is>
      </ns0:c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 t="inlineStr">
        <ns0:is>
          <ns0:t>其他</ns0:t>
        </ns0:is>
      </ns0:c>
      <ns0:c r="B33" s="2" t="inlineStr">
        <ns0:is>
          <ns0:t>其他</ns0:t>
        </ns0:is>
      </ns0:c>
      <ns0:c r="C33" s="3">
        <ns0:f>ROUND(C233*C353,2)</ns0:f>
        <ns0:v>238.86</ns0:v>
      </ns0:c>
      <ns0:c r="D33" s="3">
        <ns0:f>ROUND(D233*D353,2)</ns0:f>
        <ns0:v>447.52</ns0:v>
      </ns0:c>
      <ns0:c r="E33" s="3">
        <ns0:f>ROUND(E233*E353,2)</ns0:f>
        <ns0:v>64.61</ns0:v>
      </ns0:c>
      <ns0:c r="F33" s="3">
        <ns0:f>ROUND(F233*F353,2)</ns0:f>
        <ns0:v>206.71</ns0:v>
      </ns0:c>
      <ns0:c r="G33" s="3">
        <ns0:f>ROUND(G233*G353,2)</ns0:f>
        <ns0:v>283.02</ns0:v>
      </ns0:c>
      <ns0:c r="H33" s="3">
        <ns0:f>ROUND(H233*H353,2)</ns0:f>
        <ns0:v>144.07</ns0:v>
      </ns0:c>
      <ns0:c r="I33" s="3">
        <ns0:f>ROUND(I233*I353,2)</ns0:f>
        <ns0:v>146.79</ns0:v>
      </ns0:c>
      <ns0:c r="J33" s="3">
        <ns0:f>ROUND(J233*J353,2)</ns0:f>
        <ns0:v>119.60</ns0:v>
      </ns0:c>
      <ns0:c r="K33" s="3">
        <ns0:f>ROUND(K233*K353,2)</ns0:f>
        <ns0:v>169.43</ns0:v>
      </ns0:c>
      <ns0:c r="L33" s="3">
        <ns0:f>ROUND(L233*L353,2)</ns0:f>
        <ns0:v>440.92</ns0:v>
      </ns0:c>
      <ns0:c r="M33" s="3">
        <ns0:f>ROUND(M233*M353,2)</ns0:f>
        <ns0:v>154.11</ns0:v>
      </ns0:c>
      <ns0:c r="N33" s="3">
        <ns0:f>ROUND(N233*N353,2)</ns0:f>
        <ns0:v>91.94</ns0:v>
      </ns0:c>
      <ns0:c r="O33" s="3">
        <ns0:f>SUM(C33:N33)</ns0:f>
        <ns0:v>2507.58</ns0:v>
      </ns0:c>
      <ns0:c r="P33" s="2" t="inlineStr">
        <ns0:is>
          <ns0:t>EXP3.033</ns0:t>
        </ns0:is>
      </ns0:c>
      <ns0:c r="Q33" s="2" t="inlineStr">
        <ns0:is>
          <ns0:t>演示占位-v1</ns0:t>
        </ns0:is>
      </ns0:c>
      <ns0:c r="R33" s="2" t="inlineStr">
        <ns0:is>
          <ns0:t>模拟权责发生制</ns0:t>
        </ns0:is>
      </ns0:c>
      <ns0:c r="S33" s="2" t="inlineStr">
        <ns0:is>
          <ns0:t>2027-01</ns0:t>
        </ns0:is>
      </ns0:c>
      <ns0:c r="T33" s="2" t="inlineStr">
        <ns0:is>
          <ns0:t>2027-06</ns0:t>
        </ns0:is>
      </ns0:c>
      <ns0:c r="U33" s="2" t="inlineStr">
        <ns0:is>
          <ns0:t>无</ns0:t>
        </ns0:is>
      </ns0:c>
      <ns0:c r="V33" s="2" t="inlineStr">
        <ns0:is>
          <ns0:t>无</ns0:t>
        </ns0:is>
      </ns0:c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 t="inlineStr">
        <ns0:is>
          <ns0:t>合计</ns0:t>
        </ns0:is>
      </ns0:c>
      <ns0:c r="B34" s="2"/>
      <ns0:c r="C34" s="3">
        <ns0:f>SUM(C4:C33)</ns0:f>
        <ns0:v>6168.30</ns0:v>
      </ns0:c>
      <ns0:c r="D34" s="3">
        <ns0:f>SUM(D4:D33)</ns0:f>
        <ns0:v>6962.63</ns0:v>
      </ns0:c>
      <ns0:c r="E34" s="3">
        <ns0:f>SUM(E4:E33)</ns0:f>
        <ns0:v>6816.58</ns0:v>
      </ns0:c>
      <ns0:c r="F34" s="3">
        <ns0:f>SUM(F4:F33)</ns0:f>
        <ns0:v>7701.33</ns0:v>
      </ns0:c>
      <ns0:c r="G34" s="3">
        <ns0:f>SUM(G4:G33)</ns0:f>
        <ns0:v>8108.08</ns0:v>
      </ns0:c>
      <ns0:c r="H34" s="3">
        <ns0:f>SUM(H4:H33)</ns0:f>
        <ns0:v>6785.58</ns0:v>
      </ns0:c>
      <ns0:c r="I34" s="3">
        <ns0:f>SUM(I4:I33)</ns0:f>
        <ns0:v>8367.06</ns0:v>
      </ns0:c>
      <ns0:c r="J34" s="3">
        <ns0:f>SUM(J4:J33)</ns0:f>
        <ns0:v>6912.52</ns0:v>
      </ns0:c>
      <ns0:c r="K34" s="3">
        <ns0:f>SUM(K4:K33)</ns0:f>
        <ns0:v>7796.46</ns0:v>
      </ns0:c>
      <ns0:c r="L34" s="3">
        <ns0:f>SUM(L4:L33)</ns0:f>
        <ns0:v>7485.08</ns0:v>
      </ns0:c>
      <ns0:c r="M34" s="3">
        <ns0:f>SUM(M4:M33)</ns0:f>
        <ns0:v>6820.19</ns0:v>
      </ns0:c>
      <ns0:c r="N34" s="3">
        <ns0:f>SUM(N4:N33)</ns0:f>
        <ns0:v>8544.68</ns0:v>
      </ns0:c>
      <ns0:c r="O34" s="3">
        <ns0:f>SUM(C34:N34)</ns0:f>
        <ns0:v>88468.49</ns0:v>
      </ns0:c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 t="inlineStr">
        <ns0:is>
          <ns0:t>增值税附加</ns0:t>
        </ns0:is>
      </ns0:c>
      <ns0:c r="B35" s="2"/>
      <ns0:c r="C35" s="3"/>
      <ns0:c r="D35" s="3"/>
      <ns0:c r="E35" s="3"/>
      <ns0:c r="F35" s="3"/>
      <ns0:c r="G35" s="3"/>
      <ns0:c r="H35" s="3"/>
      <ns0:c r="I35" s="3"/>
      <ns0:c r="J35" s="3"/>
      <ns0:c r="K35" s="3"/>
      <ns0:c r="L35" s="3"/>
      <ns0:c r="M35" s="3"/>
      <ns0:c r="N35" s="3"/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 t="inlineStr">
        <ns0:is>
          <ns0:t>三费及税金合计</ns0:t>
        </ns0:is>
      </ns0:c>
      <ns0:c r="B36" s="2"/>
      <ns0:c r="C36" s="3"/>
      <ns0:c r="D36" s="3"/>
      <ns0:c r="E36" s="3"/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/>
      <ns0:c r="C37" s="3"/>
      <ns0:c r="D37" s="3"/>
      <ns0:c r="E37" s="3"/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/>
      <ns0:c r="C60" s="6"/>
      <ns0:c r="D60" s="6"/>
      <ns0:c r="E60" s="6"/>
      <ns0:c r="F60" s="6"/>
      <ns0:c r="G60" s="6"/>
      <ns0:c r="H60" s="6"/>
      <ns0:c r="I60" s="6"/>
      <ns0:c r="J60" s="6"/>
      <ns0:c r="K60" s="6"/>
      <ns0:c r="L60" s="6"/>
      <ns0:c r="M60" s="6"/>
      <ns0:c r="N60" s="6"/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/>
      <ns0:c r="C61" s="3"/>
      <ns0:c r="D61" s="3"/>
      <ns0:c r="E61" s="3"/>
      <ns0:c r="F61" s="3"/>
      <ns0:c r="G61" s="3"/>
      <ns0:c r="H61" s="3"/>
      <ns0:c r="I61" s="3"/>
      <ns0:c r="J61" s="3"/>
      <ns0:c r="K61" s="3"/>
      <ns0:c r="L61" s="3"/>
      <ns0:c r="M61" s="3"/>
      <ns0:c r="N61" s="3"/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/>
      <ns0:c r="C62" s="3"/>
      <ns0:c r="D62" s="3"/>
      <ns0:c r="E62" s="3"/>
      <ns0:c r="F62" s="3"/>
      <ns0:c r="G62" s="3"/>
      <ns0:c r="H62" s="3"/>
      <ns0:c r="I62" s="3"/>
      <ns0:c r="J62" s="3"/>
      <ns0:c r="K62" s="3"/>
      <ns0:c r="L62" s="3"/>
      <ns0:c r="M62" s="3"/>
      <ns0:c r="N62" s="3"/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/>
      <ns0:c r="C63" s="3"/>
      <ns0:c r="D63" s="3"/>
      <ns0:c r="E63" s="3"/>
      <ns0:c r="F63" s="3"/>
      <ns0:c r="G63" s="3"/>
      <ns0:c r="H63" s="3"/>
      <ns0:c r="I63" s="3"/>
      <ns0:c r="J63" s="3"/>
      <ns0:c r="K63" s="3"/>
      <ns0:c r="L63" s="3"/>
      <ns0:c r="M63" s="3"/>
      <ns0:c r="N63" s="3"/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/>
      <ns0:c r="C64" s="3"/>
      <ns0:c r="D64" s="3"/>
      <ns0:c r="E64" s="3"/>
      <ns0:c r="F64" s="3"/>
      <ns0:c r="G64" s="3"/>
      <ns0:c r="H64" s="3"/>
      <ns0:c r="I64" s="3"/>
      <ns0:c r="J64" s="3"/>
      <ns0:c r="K64" s="3"/>
      <ns0:c r="L64" s="3"/>
      <ns0:c r="M64" s="3"/>
      <ns0:c r="N64" s="3"/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/>
      <ns0:c r="C65" s="3"/>
      <ns0:c r="D65" s="3"/>
      <ns0:c r="E65" s="3"/>
      <ns0:c r="F65" s="3"/>
      <ns0:c r="G65" s="3"/>
      <ns0:c r="H65" s="3"/>
      <ns0:c r="I65" s="3"/>
      <ns0:c r="J65" s="3"/>
      <ns0:c r="K65" s="3"/>
      <ns0:c r="L65" s="3"/>
      <ns0:c r="M65" s="3"/>
      <ns0:c r="N65" s="3"/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/>
      <ns0:c r="C66" s="3"/>
      <ns0:c r="D66" s="3"/>
      <ns0:c r="E66" s="3"/>
      <ns0:c r="F66" s="3"/>
      <ns0:c r="G66" s="3"/>
      <ns0:c r="H66" s="3"/>
      <ns0:c r="I66" s="3"/>
      <ns0:c r="J66" s="3"/>
      <ns0:c r="K66" s="3"/>
      <ns0:c r="L66" s="3"/>
      <ns0:c r="M66" s="3"/>
      <ns0:c r="N66" s="3"/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/>
      <ns0:c r="C67" s="3"/>
      <ns0:c r="D67" s="3"/>
      <ns0:c r="E67" s="3"/>
      <ns0:c r="F67" s="3"/>
      <ns0:c r="G67" s="3"/>
      <ns0:c r="H67" s="3"/>
      <ns0:c r="I67" s="3"/>
      <ns0:c r="J67" s="3"/>
      <ns0:c r="K67" s="3"/>
      <ns0:c r="L67" s="3"/>
      <ns0:c r="M67" s="3"/>
      <ns0:c r="N67" s="3"/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/>
      <ns0:c r="C68" s="3"/>
      <ns0:c r="D68" s="3"/>
      <ns0:c r="E68" s="3"/>
      <ns0:c r="F68" s="3"/>
      <ns0:c r="G68" s="3"/>
      <ns0:c r="H68" s="3"/>
      <ns0:c r="I68" s="3"/>
      <ns0:c r="J68" s="3"/>
      <ns0:c r="K68" s="3"/>
      <ns0:c r="L68" s="3"/>
      <ns0:c r="M68" s="3"/>
      <ns0:c r="N68" s="3"/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 t="inlineStr">
        <ns0:is>
          <ns0:t>工资单价</ns0:t>
        </ns0:is>
      </ns0:c>
      <ns0:c r="C204" s="4">
        <ns0:v>43.99</ns0:v>
      </ns0:c>
      <ns0:c r="D204" s="4">
        <ns0:v>21.17</ns0:v>
      </ns0:c>
      <ns0:c r="E204" s="4">
        <ns0:v>25.51</ns0:v>
      </ns0:c>
      <ns0:c r="F204" s="4">
        <ns0:v>35.38</ns0:v>
      </ns0:c>
      <ns0:c r="G204" s="4">
        <ns0:v>20.71</ns0:v>
      </ns0:c>
      <ns0:c r="H204" s="4">
        <ns0:v>53.62</ns0:v>
      </ns0:c>
      <ns0:c r="I204" s="4">
        <ns0:v>46.47</ns0:v>
      </ns0:c>
      <ns0:c r="J204" s="4">
        <ns0:v>57.55</ns0:v>
      </ns0:c>
      <ns0:c r="K204" s="4">
        <ns0:v>38.10</ns0:v>
      </ns0:c>
      <ns0:c r="L204" s="4">
        <ns0:v>41.71</ns0:v>
      </ns0:c>
      <ns0:c r="M204" s="4">
        <ns0:v>39.86</ns0:v>
      </ns0:c>
      <ns0:c r="N204" s="4">
        <ns0:v>21.12</ns0:v>
      </ns0:c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 t="inlineStr">
        <ns0:is>
          <ns0:t>十三薪单价</ns0:t>
        </ns0:is>
      </ns0:c>
      <ns0:c r="C205" s="4">
        <ns0:v>67.24</ns0:v>
      </ns0:c>
      <ns0:c r="D205" s="4">
        <ns0:v>31.66</ns0:v>
      </ns0:c>
      <ns0:c r="E205" s="4">
        <ns0:v>46.10</ns0:v>
      </ns0:c>
      <ns0:c r="F205" s="4">
        <ns0:v>31.01</ns0:v>
      </ns0:c>
      <ns0:c r="G205" s="4">
        <ns0:v>51.70</ns0:v>
      </ns0:c>
      <ns0:c r="H205" s="4">
        <ns0:v>28.13</ns0:v>
      </ns0:c>
      <ns0:c r="I205" s="4">
        <ns0:v>42.46</ns0:v>
      </ns0:c>
      <ns0:c r="J205" s="4">
        <ns0:v>57.83</ns0:v>
      </ns0:c>
      <ns0:c r="K205" s="4">
        <ns0:v>63.75</ns0:v>
      </ns0:c>
      <ns0:c r="L205" s="4">
        <ns0:v>22.49</ns0:v>
      </ns0:c>
      <ns0:c r="M205" s="4">
        <ns0:v>55.68</ns0:v>
      </ns0:c>
      <ns0:c r="N205" s="4">
        <ns0:v>38.27</ns0:v>
      </ns0:c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 t="inlineStr">
        <ns0:is>
          <ns0:t>离职补偿金单价</ns0:t>
        </ns0:is>
      </ns0:c>
      <ns0:c r="C206" s="4">
        <ns0:v>28.85</ns0:v>
      </ns0:c>
      <ns0:c r="D206" s="4">
        <ns0:v>22.74</ns0:v>
      </ns0:c>
      <ns0:c r="E206" s="4">
        <ns0:v>41.79</ns0:v>
      </ns0:c>
      <ns0:c r="F206" s="4">
        <ns0:v>47.52</ns0:v>
      </ns0:c>
      <ns0:c r="G206" s="4">
        <ns0:v>39.96</ns0:v>
      </ns0:c>
      <ns0:c r="H206" s="4">
        <ns0:v>28.47</ns0:v>
      </ns0:c>
      <ns0:c r="I206" s="4">
        <ns0:v>53.69</ns0:v>
      </ns0:c>
      <ns0:c r="J206" s="4">
        <ns0:v>23.36</ns0:v>
      </ns0:c>
      <ns0:c r="K206" s="4">
        <ns0:v>56.10</ns0:v>
      </ns0:c>
      <ns0:c r="L206" s="4">
        <ns0:v>33.03</ns0:v>
      </ns0:c>
      <ns0:c r="M206" s="4">
        <ns0:v>39.02</ns0:v>
      </ns0:c>
      <ns0:c r="N206" s="4">
        <ns0:v>52.91</ns0:v>
      </ns0:c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 t="inlineStr">
        <ns0:is>
          <ns0:t>五险一金单价</ns0:t>
        </ns0:is>
      </ns0:c>
      <ns0:c r="C207" s="4">
        <ns0:v>58.57</ns0:v>
      </ns0:c>
      <ns0:c r="D207" s="4">
        <ns0:v>54.25</ns0:v>
      </ns0:c>
      <ns0:c r="E207" s="4">
        <ns0:v>39.13</ns0:v>
      </ns0:c>
      <ns0:c r="F207" s="4">
        <ns0:v>57.29</ns0:v>
      </ns0:c>
      <ns0:c r="G207" s="4">
        <ns0:v>62.24</ns0:v>
      </ns0:c>
      <ns0:c r="H207" s="4">
        <ns0:v>59.35</ns0:v>
      </ns0:c>
      <ns0:c r="I207" s="4">
        <ns0:v>27.70</ns0:v>
      </ns0:c>
      <ns0:c r="J207" s="4">
        <ns0:v>42.61</ns0:v>
      </ns0:c>
      <ns0:c r="K207" s="4">
        <ns0:v>33.56</ns0:v>
      </ns0:c>
      <ns0:c r="L207" s="4">
        <ns0:v>19.66</ns0:v>
      </ns0:c>
      <ns0:c r="M207" s="4">
        <ns0:v>19.33</ns0:v>
      </ns0:c>
      <ns0:c r="N207" s="4">
        <ns0:v>18.87</ns0:v>
      </ns0:c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 t="inlineStr">
        <ns0:is>
          <ns0:t>福利费单价</ns0:t>
        </ns0:is>
      </ns0:c>
      <ns0:c r="C208" s="4">
        <ns0:v>41.18</ns0:v>
      </ns0:c>
      <ns0:c r="D208" s="4">
        <ns0:v>49.84</ns0:v>
      </ns0:c>
      <ns0:c r="E208" s="4">
        <ns0:v>23.82</ns0:v>
      </ns0:c>
      <ns0:c r="F208" s="4">
        <ns0:v>63.56</ns0:v>
      </ns0:c>
      <ns0:c r="G208" s="4">
        <ns0:v>47.87</ns0:v>
      </ns0:c>
      <ns0:c r="H208" s="4">
        <ns0:v>39.73</ns0:v>
      </ns0:c>
      <ns0:c r="I208" s="4">
        <ns0:v>46.31</ns0:v>
      </ns0:c>
      <ns0:c r="J208" s="4">
        <ns0:v>60.70</ns0:v>
      </ns0:c>
      <ns0:c r="K208" s="4">
        <ns0:v>32.73</ns0:v>
      </ns0:c>
      <ns0:c r="L208" s="4">
        <ns0:v>39.74</ns0:v>
      </ns0:c>
      <ns0:c r="M208" s="4">
        <ns0:v>25.88</ns0:v>
      </ns0:c>
      <ns0:c r="N208" s="4">
        <ns0:v>70.09</ns0:v>
      </ns0:c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 t="inlineStr">
        <ns0:is>
          <ns0:t>招聘费单价</ns0:t>
        </ns0:is>
      </ns0:c>
      <ns0:c r="C209" s="4">
        <ns0:v>55.94</ns0:v>
      </ns0:c>
      <ns0:c r="D209" s="4">
        <ns0:v>74.99</ns0:v>
      </ns0:c>
      <ns0:c r="E209" s="4">
        <ns0:v>25.01</ns0:v>
      </ns0:c>
      <ns0:c r="F209" s="4">
        <ns0:v>62.42</ns0:v>
      </ns0:c>
      <ns0:c r="G209" s="4">
        <ns0:v>27.23</ns0:v>
      </ns0:c>
      <ns0:c r="H209" s="4">
        <ns0:v>36.98</ns0:v>
      </ns0:c>
      <ns0:c r="I209" s="4">
        <ns0:v>71.61</ns0:v>
      </ns0:c>
      <ns0:c r="J209" s="4">
        <ns0:v>32.56</ns0:v>
      </ns0:c>
      <ns0:c r="K209" s="4">
        <ns0:v>68.49</ns0:v>
      </ns0:c>
      <ns0:c r="L209" s="4">
        <ns0:v>68.21</ns0:v>
      </ns0:c>
      <ns0:c r="M209" s="4">
        <ns0:v>21.16</ns0:v>
      </ns0:c>
      <ns0:c r="N209" s="4">
        <ns0:v>39.15</ns0:v>
      </ns0:c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 t="inlineStr">
        <ns0:is>
          <ns0:t>培训费单价</ns0:t>
        </ns0:is>
      </ns0:c>
      <ns0:c r="C210" s="4">
        <ns0:v>34.06</ns0:v>
      </ns0:c>
      <ns0:c r="D210" s="4">
        <ns0:v>26.04</ns0:v>
      </ns0:c>
      <ns0:c r="E210" s="4">
        <ns0:v>20.47</ns0:v>
      </ns0:c>
      <ns0:c r="F210" s="4">
        <ns0:v>71.24</ns0:v>
      </ns0:c>
      <ns0:c r="G210" s="4">
        <ns0:v>46.43</ns0:v>
      </ns0:c>
      <ns0:c r="H210" s="4">
        <ns0:v>57.08</ns0:v>
      </ns0:c>
      <ns0:c r="I210" s="4">
        <ns0:v>62.54</ns0:v>
      </ns0:c>
      <ns0:c r="J210" s="4">
        <ns0:v>49.47</ns0:v>
      </ns0:c>
      <ns0:c r="K210" s="4">
        <ns0:v>46.82</ns0:v>
      </ns0:c>
      <ns0:c r="L210" s="4">
        <ns0:v>21.89</ns0:v>
      </ns0:c>
      <ns0:c r="M210" s="4">
        <ns0:v>25.30</ns0:v>
      </ns0:c>
      <ns0:c r="N210" s="4">
        <ns0:v>25.86</ns0:v>
      </ns0:c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 t="inlineStr">
        <ns0:is>
          <ns0:t>房租单价</ns0:t>
        </ns0:is>
      </ns0:c>
      <ns0:c r="C211" s="4">
        <ns0:v>38.09</ns0:v>
      </ns0:c>
      <ns0:c r="D211" s="4">
        <ns0:v>40.65</ns0:v>
      </ns0:c>
      <ns0:c r="E211" s="4">
        <ns0:v>63.30</ns0:v>
      </ns0:c>
      <ns0:c r="F211" s="4">
        <ns0:v>33.51</ns0:v>
      </ns0:c>
      <ns0:c r="G211" s="4">
        <ns0:v>57.96</ns0:v>
      </ns0:c>
      <ns0:c r="H211" s="4">
        <ns0:v>46.43</ns0:v>
      </ns0:c>
      <ns0:c r="I211" s="4">
        <ns0:v>30.37</ns0:v>
      </ns0:c>
      <ns0:c r="J211" s="4">
        <ns0:v>38.07</ns0:v>
      </ns0:c>
      <ns0:c r="K211" s="4">
        <ns0:v>67.78</ns0:v>
      </ns0:c>
      <ns0:c r="L211" s="4">
        <ns0:v>16.78</ns0:v>
      </ns0:c>
      <ns0:c r="M211" s="4">
        <ns0:v>63.01</ns0:v>
      </ns0:c>
      <ns0:c r="N211" s="4">
        <ns0:v>45.71</ns0:v>
      </ns0:c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 t="inlineStr">
        <ns0:is>
          <ns0:t>物业管理费单价</ns0:t>
        </ns0:is>
      </ns0:c>
      <ns0:c r="C212" s="4">
        <ns0:v>43.78</ns0:v>
      </ns0:c>
      <ns0:c r="D212" s="4">
        <ns0:v>33.13</ns0:v>
      </ns0:c>
      <ns0:c r="E212" s="4">
        <ns0:v>59.41</ns0:v>
      </ns0:c>
      <ns0:c r="F212" s="4">
        <ns0:v>44.56</ns0:v>
      </ns0:c>
      <ns0:c r="G212" s="4">
        <ns0:v>55.93</ns0:v>
      </ns0:c>
      <ns0:c r="H212" s="4">
        <ns0:v>37.93</ns0:v>
      </ns0:c>
      <ns0:c r="I212" s="4">
        <ns0:v>20.91</ns0:v>
      </ns0:c>
      <ns0:c r="J212" s="4">
        <ns0:v>48.31</ns0:v>
      </ns0:c>
      <ns0:c r="K212" s="4">
        <ns0:v>62.10</ns0:v>
      </ns0:c>
      <ns0:c r="L212" s="4">
        <ns0:v>50.60</ns0:v>
      </ns0:c>
      <ns0:c r="M212" s="4">
        <ns0:v>20.60</ns0:v>
      </ns0:c>
      <ns0:c r="N212" s="4">
        <ns0:v>42.44</ns0:v>
      </ns0:c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 t="inlineStr">
        <ns0:is>
          <ns0:t>汽车费用单价</ns0:t>
        </ns0:is>
      </ns0:c>
      <ns0:c r="C213" s="4">
        <ns0:v>25.95</ns0:v>
      </ns0:c>
      <ns0:c r="D213" s="4">
        <ns0:v>57.88</ns0:v>
      </ns0:c>
      <ns0:c r="E213" s="4">
        <ns0:v>50.96</ns0:v>
      </ns0:c>
      <ns0:c r="F213" s="4">
        <ns0:v>46.41</ns0:v>
      </ns0:c>
      <ns0:c r="G213" s="4">
        <ns0:v>32.37</ns0:v>
      </ns0:c>
      <ns0:c r="H213" s="4">
        <ns0:v>41.85</ns0:v>
      </ns0:c>
      <ns0:c r="I213" s="4">
        <ns0:v>73.91</ns0:v>
      </ns0:c>
      <ns0:c r="J213" s="4">
        <ns0:v>43.47</ns0:v>
      </ns0:c>
      <ns0:c r="K213" s="4">
        <ns0:v>55.92</ns0:v>
      </ns0:c>
      <ns0:c r="L213" s="4">
        <ns0:v>60.61</ns0:v>
      </ns0:c>
      <ns0:c r="M213" s="4">
        <ns0:v>60.16</ns0:v>
      </ns0:c>
      <ns0:c r="N213" s="4">
        <ns0:v>49.08</ns0:v>
      </ns0:c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 t="inlineStr">
        <ns0:is>
          <ns0:t>办公费单价</ns0:t>
        </ns0:is>
      </ns0:c>
      <ns0:c r="C214" s="4">
        <ns0:v>35.08</ns0:v>
      </ns0:c>
      <ns0:c r="D214" s="4">
        <ns0:v>16.82</ns0:v>
      </ns0:c>
      <ns0:c r="E214" s="4">
        <ns0:v>63.96</ns0:v>
      </ns0:c>
      <ns0:c r="F214" s="4">
        <ns0:v>21.61</ns0:v>
      </ns0:c>
      <ns0:c r="G214" s="4">
        <ns0:v>43.24</ns0:v>
      </ns0:c>
      <ns0:c r="H214" s="4">
        <ns0:v>33.10</ns0:v>
      </ns0:c>
      <ns0:c r="I214" s="4">
        <ns0:v>54.06</ns0:v>
      </ns0:c>
      <ns0:c r="J214" s="4">
        <ns0:v>29.17</ns0:v>
      </ns0:c>
      <ns0:c r="K214" s="4">
        <ns0:v>41.74</ns0:v>
      </ns0:c>
      <ns0:c r="L214" s="4">
        <ns0:v>56.04</ns0:v>
      </ns0:c>
      <ns0:c r="M214" s="4">
        <ns0:v>59.40</ns0:v>
      </ns0:c>
      <ns0:c r="N214" s="4">
        <ns0:v>68.79</ns0:v>
      </ns0:c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 t="inlineStr">
        <ns0:is>
          <ns0:t>办公用品单价</ns0:t>
        </ns0:is>
      </ns0:c>
      <ns0:c r="C215" s="4">
        <ns0:v>23.11</ns0:v>
      </ns0:c>
      <ns0:c r="D215" s="4">
        <ns0:v>38.21</ns0:v>
      </ns0:c>
      <ns0:c r="E215" s="4">
        <ns0:v>30.85</ns0:v>
      </ns0:c>
      <ns0:c r="F215" s="4">
        <ns0:v>37.72</ns0:v>
      </ns0:c>
      <ns0:c r="G215" s="4">
        <ns0:v>23.78</ns0:v>
      </ns0:c>
      <ns0:c r="H215" s="4">
        <ns0:v>36.99</ns0:v>
      </ns0:c>
      <ns0:c r="I215" s="4">
        <ns0:v>52.42</ns0:v>
      </ns0:c>
      <ns0:c r="J215" s="4">
        <ns0:v>22.51</ns0:v>
      </ns0:c>
      <ns0:c r="K215" s="4">
        <ns0:v>46.94</ns0:v>
      </ns0:c>
      <ns0:c r="L215" s="4">
        <ns0:v>25.49</ns0:v>
      </ns0:c>
      <ns0:c r="M215" s="4">
        <ns0:v>22.69</ns0:v>
      </ns0:c>
      <ns0:c r="N215" s="4">
        <ns0:v>58.75</ns0:v>
      </ns0:c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 t="inlineStr">
        <ns0:is>
          <ns0:t>水电煤单价</ns0:t>
        </ns0:is>
      </ns0:c>
      <ns0:c r="C216" s="4">
        <ns0:v>20.14</ns0:v>
      </ns0:c>
      <ns0:c r="D216" s="4">
        <ns0:v>36.13</ns0:v>
      </ns0:c>
      <ns0:c r="E216" s="4">
        <ns0:v>22.67</ns0:v>
      </ns0:c>
      <ns0:c r="F216" s="4">
        <ns0:v>25.69</ns0:v>
      </ns0:c>
      <ns0:c r="G216" s="4">
        <ns0:v>39.13</ns0:v>
      </ns0:c>
      <ns0:c r="H216" s="4">
        <ns0:v>36.31</ns0:v>
      </ns0:c>
      <ns0:c r="I216" s="4">
        <ns0:v>27.95</ns0:v>
      </ns0:c>
      <ns0:c r="J216" s="4">
        <ns0:v>65.24</ns0:v>
      </ns0:c>
      <ns0:c r="K216" s="4">
        <ns0:v>57.44</ns0:v>
      </ns0:c>
      <ns0:c r="L216" s="4">
        <ns0:v>69.90</ns0:v>
      </ns0:c>
      <ns0:c r="M216" s="4">
        <ns0:v>25.20</ns0:v>
      </ns0:c>
      <ns0:c r="N216" s="4">
        <ns0:v>22.06</ns0:v>
      </ns0:c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 t="inlineStr">
        <ns0:is>
          <ns0:t>咨询服务费单价</ns0:t>
        </ns0:is>
      </ns0:c>
      <ns0:c r="C217" s="4">
        <ns0:v>28.90</ns0:v>
      </ns0:c>
      <ns0:c r="D217" s="4">
        <ns0:v>39.16</ns0:v>
      </ns0:c>
      <ns0:c r="E217" s="4">
        <ns0:v>21.87</ns0:v>
      </ns0:c>
      <ns0:c r="F217" s="4">
        <ns0:v>69.32</ns0:v>
      </ns0:c>
      <ns0:c r="G217" s="4">
        <ns0:v>49.11</ns0:v>
      </ns0:c>
      <ns0:c r="H217" s="4">
        <ns0:v>25.40</ns0:v>
      </ns0:c>
      <ns0:c r="I217" s="4">
        <ns0:v>39.69</ns0:v>
      </ns0:c>
      <ns0:c r="J217" s="4">
        <ns0:v>34.80</ns0:v>
      </ns0:c>
      <ns0:c r="K217" s="4">
        <ns0:v>69.63</ns0:v>
      </ns0:c>
      <ns0:c r="L217" s="4">
        <ns0:v>55.27</ns0:v>
      </ns0:c>
      <ns0:c r="M217" s="4">
        <ns0:v>38.41</ns0:v>
      </ns0:c>
      <ns0:c r="N217" s="4">
        <ns0:v>72.15</ns0:v>
      </ns0:c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 t="inlineStr">
        <ns0:is>
          <ns0:t>电话费单价</ns0:t>
        </ns0:is>
      </ns0:c>
      <ns0:c r="C218" s="4">
        <ns0:v>54.76</ns0:v>
      </ns0:c>
      <ns0:c r="D218" s="4">
        <ns0:v>23.28</ns0:v>
      </ns0:c>
      <ns0:c r="E218" s="4">
        <ns0:v>40.58</ns0:v>
      </ns0:c>
      <ns0:c r="F218" s="4">
        <ns0:v>37.44</ns0:v>
      </ns0:c>
      <ns0:c r="G218" s="4">
        <ns0:v>39.99</ns0:v>
      </ns0:c>
      <ns0:c r="H218" s="4">
        <ns0:v>22.48</ns0:v>
      </ns0:c>
      <ns0:c r="I218" s="4">
        <ns0:v>53.20</ns0:v>
      </ns0:c>
      <ns0:c r="J218" s="4">
        <ns0:v>18.80</ns0:v>
      </ns0:c>
      <ns0:c r="K218" s="4">
        <ns0:v>45.18</ns0:v>
      </ns0:c>
      <ns0:c r="L218" s="4">
        <ns0:v>44.54</ns0:v>
      </ns0:c>
      <ns0:c r="M218" s="4">
        <ns0:v>20.81</ns0:v>
      </ns0:c>
      <ns0:c r="N218" s="4">
        <ns0:v>62.33</ns0:v>
      </ns0:c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 t="inlineStr">
        <ns0:is>
          <ns0:t>快递费单价</ns0:t>
        </ns0:is>
      </ns0:c>
      <ns0:c r="C219" s="4">
        <ns0:v>36.20</ns0:v>
      </ns0:c>
      <ns0:c r="D219" s="4">
        <ns0:v>36.72</ns0:v>
      </ns0:c>
      <ns0:c r="E219" s="4">
        <ns0:v>51.84</ns0:v>
      </ns0:c>
      <ns0:c r="F219" s="4">
        <ns0:v>39.30</ns0:v>
      </ns0:c>
      <ns0:c r="G219" s="4">
        <ns0:v>30.40</ns0:v>
      </ns0:c>
      <ns0:c r="H219" s="4">
        <ns0:v>35.27</ns0:v>
      </ns0:c>
      <ns0:c r="I219" s="4">
        <ns0:v>44.94</ns0:v>
      </ns0:c>
      <ns0:c r="J219" s="4">
        <ns0:v>40.18</ns0:v>
      </ns0:c>
      <ns0:c r="K219" s="4">
        <ns0:v>25.19</ns0:v>
      </ns0:c>
      <ns0:c r="L219" s="4">
        <ns0:v>19.88</ns0:v>
      </ns0:c>
      <ns0:c r="M219" s="4">
        <ns0:v>41.73</ns0:v>
      </ns0:c>
      <ns0:c r="N219" s="4">
        <ns0:v>60.26</ns0:v>
      </ns0:c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 t="inlineStr">
        <ns0:is>
          <ns0:t>折旧及摊销单价</ns0:t>
        </ns0:is>
      </ns0:c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 t="inlineStr">
        <ns0:is>
          <ns0:t>机票火车票单价</ns0:t>
        </ns0:is>
      </ns0:c>
      <ns0:c r="C221" s="4">
        <ns0:v>18.19</ns0:v>
      </ns0:c>
      <ns0:c r="D221" s="4">
        <ns0:v>22.26</ns0:v>
      </ns0:c>
      <ns0:c r="E221" s="4">
        <ns0:v>18.01</ns0:v>
      </ns0:c>
      <ns0:c r="F221" s="4">
        <ns0:v>50.92</ns0:v>
      </ns0:c>
      <ns0:c r="G221" s="4">
        <ns0:v>42.83</ns0:v>
      </ns0:c>
      <ns0:c r="H221" s="4">
        <ns0:v>41.37</ns0:v>
      </ns0:c>
      <ns0:c r="I221" s="4">
        <ns0:v>72.09</ns0:v>
      </ns0:c>
      <ns0:c r="J221" s="4">
        <ns0:v>53.80</ns0:v>
      </ns0:c>
      <ns0:c r="K221" s="4">
        <ns0:v>67.07</ns0:v>
      </ns0:c>
      <ns0:c r="L221" s="4">
        <ns0:v>62.22</ns0:v>
      </ns0:c>
      <ns0:c r="M221" s="4">
        <ns0:v>50.88</ns0:v>
      </ns0:c>
      <ns0:c r="N221" s="4">
        <ns0:v>24.22</ns0:v>
      </ns0:c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 t="inlineStr">
        <ns0:is>
          <ns0:t>住宿费单价</ns0:t>
        </ns0:is>
      </ns0:c>
      <ns0:c r="C222" s="4">
        <ns0:v>44.41</ns0:v>
      </ns0:c>
      <ns0:c r="D222" s="4">
        <ns0:v>40.81</ns0:v>
      </ns0:c>
      <ns0:c r="E222" s="4">
        <ns0:v>46.56</ns0:v>
      </ns0:c>
      <ns0:c r="F222" s="4">
        <ns0:v>54.66</ns0:v>
      </ns0:c>
      <ns0:c r="G222" s="4">
        <ns0:v>33.58</ns0:v>
      </ns0:c>
      <ns0:c r="H222" s="4">
        <ns0:v>25.23</ns0:v>
      </ns0:c>
      <ns0:c r="I222" s="4">
        <ns0:v>41.29</ns0:v>
      </ns0:c>
      <ns0:c r="J222" s="4">
        <ns0:v>75.51</ns0:v>
      </ns0:c>
      <ns0:c r="K222" s="4">
        <ns0:v>29.22</ns0:v>
      </ns0:c>
      <ns0:c r="L222" s="4">
        <ns0:v>52.41</ns0:v>
      </ns0:c>
      <ns0:c r="M222" s="4">
        <ns0:v>30.00</ns0:v>
      </ns0:c>
      <ns0:c r="N222" s="4">
        <ns0:v>37.48</ns0:v>
      </ns0:c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 t="inlineStr">
        <ns0:is>
          <ns0:t>交通费单价</ns0:t>
        </ns0:is>
      </ns0:c>
      <ns0:c r="C223" s="4">
        <ns0:v>29.44</ns0:v>
      </ns0:c>
      <ns0:c r="D223" s="4">
        <ns0:v>60.15</ns0:v>
      </ns0:c>
      <ns0:c r="E223" s="4">
        <ns0:v>43.20</ns0:v>
      </ns0:c>
      <ns0:c r="F223" s="4">
        <ns0:v>38.37</ns0:v>
      </ns0:c>
      <ns0:c r="G223" s="4">
        <ns0:v>46.25</ns0:v>
      </ns0:c>
      <ns0:c r="H223" s="4">
        <ns0:v>49.38</ns0:v>
      </ns0:c>
      <ns0:c r="I223" s="4">
        <ns0:v>58.56</ns0:v>
      </ns0:c>
      <ns0:c r="J223" s="4">
        <ns0:v>23.90</ns0:v>
      </ns0:c>
      <ns0:c r="K223" s="4">
        <ns0:v>29.02</ns0:v>
      </ns0:c>
      <ns0:c r="L223" s="4">
        <ns0:v>29.73</ns0:v>
      </ns0:c>
      <ns0:c r="M223" s="4">
        <ns0:v>52.69</ns0:v>
      </ns0:c>
      <ns0:c r="N223" s="4">
        <ns0:v>37.86</ns0:v>
      </ns0:c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 t="inlineStr">
        <ns0:is>
          <ns0:t>差旅补贴单价</ns0:t>
        </ns0:is>
      </ns0:c>
      <ns0:c r="C224" s="4">
        <ns0:v>49.61</ns0:v>
      </ns0:c>
      <ns0:c r="D224" s="4">
        <ns0:v>23.63</ns0:v>
      </ns0:c>
      <ns0:c r="E224" s="4">
        <ns0:v>37.63</ns0:v>
      </ns0:c>
      <ns0:c r="F224" s="4">
        <ns0:v>66.65</ns0:v>
      </ns0:c>
      <ns0:c r="G224" s="4">
        <ns0:v>61.77</ns0:v>
      </ns0:c>
      <ns0:c r="H224" s="4">
        <ns0:v>33.27</ns0:v>
      </ns0:c>
      <ns0:c r="I224" s="4">
        <ns0:v>41.52</ns0:v>
      </ns0:c>
      <ns0:c r="J224" s="4">
        <ns0:v>52.63</ns0:v>
      </ns0:c>
      <ns0:c r="K224" s="4">
        <ns0:v>57.82</ns0:v>
      </ns0:c>
      <ns0:c r="L224" s="4">
        <ns0:v>54.03</ns0:v>
      </ns0:c>
      <ns0:c r="M224" s="4">
        <ns0:v>36.78</ns0:v>
      </ns0:c>
      <ns0:c r="N224" s="4">
        <ns0:v>55.60</ns0:v>
      </ns0:c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 t="inlineStr">
        <ns0:is>
          <ns0:t>业务招待费单价</ns0:t>
        </ns0:is>
      </ns0:c>
      <ns0:c r="C225" s="4">
        <ns0:v>72.75</ns0:v>
      </ns0:c>
      <ns0:c r="D225" s="4">
        <ns0:v>51.44</ns0:v>
      </ns0:c>
      <ns0:c r="E225" s="4">
        <ns0:v>30.16</ns0:v>
      </ns0:c>
      <ns0:c r="F225" s="4">
        <ns0:v>32.21</ns0:v>
      </ns0:c>
      <ns0:c r="G225" s="4">
        <ns0:v>48.28</ns0:v>
      </ns0:c>
      <ns0:c r="H225" s="4">
        <ns0:v>54.54</ns0:v>
      </ns0:c>
      <ns0:c r="I225" s="4">
        <ns0:v>56.87</ns0:v>
      </ns0:c>
      <ns0:c r="J225" s="4">
        <ns0:v>57.01</ns0:v>
      </ns0:c>
      <ns0:c r="K225" s="4">
        <ns0:v>44.19</ns0:v>
      </ns0:c>
      <ns0:c r="L225" s="4">
        <ns0:v>45.88</ns0:v>
      </ns0:c>
      <ns0:c r="M225" s="4">
        <ns0:v>28.02</ns0:v>
      </ns0:c>
      <ns0:c r="N225" s="4">
        <ns0:v>43.47</ns0:v>
      </ns0:c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 t="inlineStr">
        <ns0:is>
          <ns0:t>市内交通费单价</ns0:t>
        </ns0:is>
      </ns0:c>
      <ns0:c r="C226" s="4">
        <ns0:v>31.77</ns0:v>
      </ns0:c>
      <ns0:c r="D226" s="4">
        <ns0:v>33.16</ns0:v>
      </ns0:c>
      <ns0:c r="E226" s="4">
        <ns0:v>56.44</ns0:v>
      </ns0:c>
      <ns0:c r="F226" s="4">
        <ns0:v>20.15</ns0:v>
      </ns0:c>
      <ns0:c r="G226" s="4">
        <ns0:v>38.43</ns0:v>
      </ns0:c>
      <ns0:c r="H226" s="4">
        <ns0:v>31.37</ns0:v>
      </ns0:c>
      <ns0:c r="I226" s="4">
        <ns0:v>46.84</ns0:v>
      </ns0:c>
      <ns0:c r="J226" s="4">
        <ns0:v>29.15</ns0:v>
      </ns0:c>
      <ns0:c r="K226" s="4">
        <ns0:v>41.06</ns0:v>
      </ns0:c>
      <ns0:c r="L226" s="4">
        <ns0:v>23.57</ns0:v>
      </ns0:c>
      <ns0:c r="M226" s="4">
        <ns0:v>36.61</ns0:v>
      </ns0:c>
      <ns0:c r="N226" s="4">
        <ns0:v>57.60</ns0:v>
      </ns0:c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 t="inlineStr">
        <ns0:is>
          <ns0:t>调研费用单价</ns0:t>
        </ns0:is>
      </ns0:c>
      <ns0:c r="C227" s="4">
        <ns0:v>56.48</ns0:v>
      </ns0:c>
      <ns0:c r="D227" s="4">
        <ns0:v>54.55</ns0:v>
      </ns0:c>
      <ns0:c r="E227" s="4">
        <ns0:v>62.05</ns0:v>
      </ns0:c>
      <ns0:c r="F227" s="4">
        <ns0:v>50.73</ns0:v>
      </ns0:c>
      <ns0:c r="G227" s="4">
        <ns0:v>56.30</ns0:v>
      </ns0:c>
      <ns0:c r="H227" s="4">
        <ns0:v>36.42</ns0:v>
      </ns0:c>
      <ns0:c r="I227" s="4">
        <ns0:v>32.89</ns0:v>
      </ns0:c>
      <ns0:c r="J227" s="4">
        <ns0:v>44.09</ns0:v>
      </ns0:c>
      <ns0:c r="K227" s="4">
        <ns0:v>30.30</ns0:v>
      </ns0:c>
      <ns0:c r="L227" s="4">
        <ns0:v>70.03</ns0:v>
      </ns0:c>
      <ns0:c r="M227" s="4">
        <ns0:v>53.30</ns0:v>
      </ns0:c>
      <ns0:c r="N227" s="4">
        <ns0:v>44.98</ns0:v>
      </ns0:c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 t="inlineStr">
        <ns0:is>
          <ns0:t>手续费单价</ns0:t>
        </ns0:is>
      </ns0:c>
      <ns0:c r="C228" s="4">
        <ns0:v>24.39</ns0:v>
      </ns0:c>
      <ns0:c r="D228" s="4">
        <ns0:v>22.74</ns0:v>
      </ns0:c>
      <ns0:c r="E228" s="4">
        <ns0:v>16.54</ns0:v>
      </ns0:c>
      <ns0:c r="F228" s="4">
        <ns0:v>45.38</ns0:v>
      </ns0:c>
      <ns0:c r="G228" s="4">
        <ns0:v>56.29</ns0:v>
      </ns0:c>
      <ns0:c r="H228" s="4">
        <ns0:v>66.95</ns0:v>
      </ns0:c>
      <ns0:c r="I228" s="4">
        <ns0:v>18.47</ns0:v>
      </ns0:c>
      <ns0:c r="J228" s="4">
        <ns0:v>41.24</ns0:v>
      </ns0:c>
      <ns0:c r="K228" s="4">
        <ns0:v>53.64</ns0:v>
      </ns0:c>
      <ns0:c r="L228" s="4">
        <ns0:v>71.73</ns0:v>
      </ns0:c>
      <ns0:c r="M228" s="4">
        <ns0:v>59.48</ns0:v>
      </ns0:c>
      <ns0:c r="N228" s="4">
        <ns0:v>65.76</ns0:v>
      </ns0:c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 t="inlineStr">
        <ns0:is>
          <ns0:t>利息收入单价</ns0:t>
        </ns0:is>
      </ns0:c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 t="inlineStr">
        <ns0:is>
          <ns0:t>利息支出单价</ns0:t>
        </ns0:is>
      </ns0:c>
      <ns0:c r="C230" s="4">
        <ns0:v>24.83</ns0:v>
      </ns0:c>
      <ns0:c r="D230" s="4">
        <ns0:v>50.56</ns0:v>
      </ns0:c>
      <ns0:c r="E230" s="4">
        <ns0:v>51.83</ns0:v>
      </ns0:c>
      <ns0:c r="F230" s="4">
        <ns0:v>45.98</ns0:v>
      </ns0:c>
      <ns0:c r="G230" s="4">
        <ns0:v>64.93</ns0:v>
      </ns0:c>
      <ns0:c r="H230" s="4">
        <ns0:v>59.74</ns0:v>
      </ns0:c>
      <ns0:c r="I230" s="4">
        <ns0:v>67.58</ns0:v>
      </ns0:c>
      <ns0:c r="J230" s="4">
        <ns0:v>56.59</ns0:v>
      </ns0:c>
      <ns0:c r="K230" s="4">
        <ns0:v>45.97</ns0:v>
      </ns0:c>
      <ns0:c r="L230" s="4">
        <ns0:v>28.17</ns0:v>
      </ns0:c>
      <ns0:c r="M230" s="4">
        <ns0:v>42.16</ns0:v>
      </ns0:c>
      <ns0:c r="N230" s="4">
        <ns0:v>52.91</ns0:v>
      </ns0:c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 t="inlineStr">
        <ns0:is>
          <ns0:t>车船税单价</ns0:t>
        </ns0:is>
      </ns0:c>
      <ns0:c r="C231" s="4">
        <ns0:v>23.10</ns0:v>
      </ns0:c>
      <ns0:c r="D231" s="4">
        <ns0:v>42.46</ns0:v>
      </ns0:c>
      <ns0:c r="E231" s="4">
        <ns0:v>61.27</ns0:v>
      </ns0:c>
      <ns0:c r="F231" s="4">
        <ns0:v>65.20</ns0:v>
      </ns0:c>
      <ns0:c r="G231" s="4">
        <ns0:v>46.05</ns0:v>
      </ns0:c>
      <ns0:c r="H231" s="4">
        <ns0:v>22.27</ns0:v>
      </ns0:c>
      <ns0:c r="I231" s="4">
        <ns0:v>24.36</ns0:v>
      </ns0:c>
      <ns0:c r="J231" s="4">
        <ns0:v>63.21</ns0:v>
      </ns0:c>
      <ns0:c r="K231" s="4">
        <ns0:v>29.90</ns0:v>
      </ns0:c>
      <ns0:c r="L231" s="4">
        <ns0:v>28.62</ns0:v>
      </ns0:c>
      <ns0:c r="M231" s="4">
        <ns0:v>39.36</ns0:v>
      </ns0:c>
      <ns0:c r="N231" s="4">
        <ns0:v>50.84</ns0:v>
      </ns0:c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 t="inlineStr">
        <ns0:is>
          <ns0:t>印花税单价</ns0:t>
        </ns0:is>
      </ns0:c>
      <ns0:c r="C232" s="4">
        <ns0:v>22.94</ns0:v>
      </ns0:c>
      <ns0:c r="D232" s="4">
        <ns0:v>40.51</ns0:v>
      </ns0:c>
      <ns0:c r="E232" s="4">
        <ns0:v>60.31</ns0:v>
      </ns0:c>
      <ns0:c r="F232" s="4">
        <ns0:v>19.96</ns0:v>
      </ns0:c>
      <ns0:c r="G232" s="4">
        <ns0:v>31.33</ns0:v>
      </ns0:c>
      <ns0:c r="H232" s="4">
        <ns0:v>26.81</ns0:v>
      </ns0:c>
      <ns0:c r="I232" s="4">
        <ns0:v>34.10</ns0:v>
      </ns0:c>
      <ns0:c r="J232" s="4">
        <ns0:v>38.71</ns0:v>
      </ns0:c>
      <ns0:c r="K232" s="4">
        <ns0:v>63.93</ns0:v>
      </ns0:c>
      <ns0:c r="L232" s="4">
        <ns0:v>45.23</ns0:v>
      </ns0:c>
      <ns0:c r="M232" s="4">
        <ns0:v>44.61</ns0:v>
      </ns0:c>
      <ns0:c r="N232" s="4">
        <ns0:v>30.98</ns0:v>
      </ns0:c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 t="inlineStr">
        <ns0:is>
          <ns0:t>其他单价</ns0:t>
        </ns0:is>
      </ns0:c>
      <ns0:c r="C233" s="4">
        <ns0:v>44.73</ns0:v>
      </ns0:c>
      <ns0:c r="D233" s="4">
        <ns0:v>53.66</ns0:v>
      </ns0:c>
      <ns0:c r="E233" s="4">
        <ns0:v>24.02</ns0:v>
      </ns0:c>
      <ns0:c r="F233" s="4">
        <ns0:v>62.64</ns0:v>
      </ns0:c>
      <ns0:c r="G233" s="4">
        <ns0:v>46.17</ns0:v>
      </ns0:c>
      <ns0:c r="H233" s="4">
        <ns0:v>55.41</ns0:v>
      </ns0:c>
      <ns0:c r="I233" s="4">
        <ns0:v>33.21</ns0:v>
      </ns0:c>
      <ns0:c r="J233" s="4">
        <ns0:v>40.96</ns0:v>
      </ns0:c>
      <ns0:c r="K233" s="4">
        <ns0:v>21.89</ns0:v>
      </ns0:c>
      <ns0:c r="L233" s="4">
        <ns0:v>62.63</ns0:v>
      </ns0:c>
      <ns0:c r="M233" s="4">
        <ns0:v>26.48</ns0:v>
      </ns0:c>
      <ns0:c r="N233" s="4">
        <ns0:v>22.70</ns0:v>
      </ns0:c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 t="inlineStr">
        <ns0:is>
          <ns0:t>工资数量</ns0:t>
        </ns0:is>
      </ns0:c>
      <ns0:c r="C324" s="4">
        <ns0:v>2.59</ns0:v>
      </ns0:c>
      <ns0:c r="D324" s="4">
        <ns0:v>4.66</ns0:v>
      </ns0:c>
      <ns0:c r="E324" s="4">
        <ns0:v>7.39</ns0:v>
      </ns0:c>
      <ns0:c r="F324" s="4">
        <ns0:v>8.41</ns0:v>
      </ns0:c>
      <ns0:c r="G324" s="4">
        <ns0:v>2.33</ns0:v>
      </ns0:c>
      <ns0:c r="H324" s="4">
        <ns0:v>4.06</ns0:v>
      </ns0:c>
      <ns0:c r="I324" s="4">
        <ns0:v>9.57</ns0:v>
      </ns0:c>
      <ns0:c r="J324" s="4">
        <ns0:v>5.69</ns0:v>
      </ns0:c>
      <ns0:c r="K324" s="4">
        <ns0:v>5.55</ns0:v>
      </ns0:c>
      <ns0:c r="L324" s="4">
        <ns0:v>3.66</ns0:v>
      </ns0:c>
      <ns0:c r="M324" s="4">
        <ns0:v>7.13</ns0:v>
      </ns0:c>
      <ns0:c r="N324" s="4">
        <ns0:v>8.51</ns0:v>
      </ns0:c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 t="inlineStr">
        <ns0:is>
          <ns0:t>十三薪数量</ns0:t>
        </ns0:is>
      </ns0:c>
      <ns0:c r="C325" s="4">
        <ns0:v>4.79</ns0:v>
      </ns0:c>
      <ns0:c r="D325" s="4">
        <ns0:v>3.26</ns0:v>
      </ns0:c>
      <ns0:c r="E325" s="4">
        <ns0:v>7.47</ns0:v>
      </ns0:c>
      <ns0:c r="F325" s="4">
        <ns0:v>3.81</ns0:v>
      </ns0:c>
      <ns0:c r="G325" s="4">
        <ns0:v>8.86</ns0:v>
      </ns0:c>
      <ns0:c r="H325" s="4">
        <ns0:v>2.63</ns0:v>
      </ns0:c>
      <ns0:c r="I325" s="4">
        <ns0:v>7.99</ns0:v>
      </ns0:c>
      <ns0:c r="J325" s="4">
        <ns0:v>2.79</ns0:v>
      </ns0:c>
      <ns0:c r="K325" s="4">
        <ns0:v>7.56</ns0:v>
      </ns0:c>
      <ns0:c r="L325" s="4">
        <ns0:v>4.90</ns0:v>
      </ns0:c>
      <ns0:c r="M325" s="4">
        <ns0:v>3.31</ns0:v>
      </ns0:c>
      <ns0:c r="N325" s="4">
        <ns0:v>5.77</ns0:v>
      </ns0:c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 t="inlineStr">
        <ns0:is>
          <ns0:t>离职补偿金数量</ns0:t>
        </ns0:is>
      </ns0:c>
      <ns0:c r="C326" s="4">
        <ns0:v>3.80</ns0:v>
      </ns0:c>
      <ns0:c r="D326" s="4">
        <ns0:v>2.53</ns0:v>
      </ns0:c>
      <ns0:c r="E326" s="4">
        <ns0:v>2.67</ns0:v>
      </ns0:c>
      <ns0:c r="F326" s="4">
        <ns0:v>5.26</ns0:v>
      </ns0:c>
      <ns0:c r="G326" s="4">
        <ns0:v>9.87</ns0:v>
      </ns0:c>
      <ns0:c r="H326" s="4">
        <ns0:v>2.89</ns0:v>
      </ns0:c>
      <ns0:c r="I326" s="4">
        <ns0:v>4.02</ns0:v>
      </ns0:c>
      <ns0:c r="J326" s="4">
        <ns0:v>4.74</ns0:v>
      </ns0:c>
      <ns0:c r="K326" s="4">
        <ns0:v>3.84</ns0:v>
      </ns0:c>
      <ns0:c r="L326" s="4">
        <ns0:v>7.23</ns0:v>
      </ns0:c>
      <ns0:c r="M326" s="4">
        <ns0:v>4.35</ns0:v>
      </ns0:c>
      <ns0:c r="N326" s="4">
        <ns0:v>5.42</ns0:v>
      </ns0:c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 t="inlineStr">
        <ns0:is>
          <ns0:t>五险一金数量</ns0:t>
        </ns0:is>
      </ns0:c>
      <ns0:c r="C327" s="4">
        <ns0:v>5.85</ns0:v>
      </ns0:c>
      <ns0:c r="D327" s="4">
        <ns0:v>2.97</ns0:v>
      </ns0:c>
      <ns0:c r="E327" s="4">
        <ns0:v>7.48</ns0:v>
      </ns0:c>
      <ns0:c r="F327" s="4">
        <ns0:v>8.86</ns0:v>
      </ns0:c>
      <ns0:c r="G327" s="4">
        <ns0:v>8.76</ns0:v>
      </ns0:c>
      <ns0:c r="H327" s="4">
        <ns0:v>7.45</ns0:v>
      </ns0:c>
      <ns0:c r="I327" s="4">
        <ns0:v>5.47</ns0:v>
      </ns0:c>
      <ns0:c r="J327" s="4">
        <ns0:v>8.26</ns0:v>
      </ns0:c>
      <ns0:c r="K327" s="4">
        <ns0:v>5.84</ns0:v>
      </ns0:c>
      <ns0:c r="L327" s="4">
        <ns0:v>3.26</ns0:v>
      </ns0:c>
      <ns0:c r="M327" s="4">
        <ns0:v>7.95</ns0:v>
      </ns0:c>
      <ns0:c r="N327" s="4">
        <ns0:v>6.20</ns0:v>
      </ns0:c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 t="inlineStr">
        <ns0:is>
          <ns0:t>福利费数量</ns0:t>
        </ns0:is>
      </ns0:c>
      <ns0:c r="C328" s="4">
        <ns0:v>1.96</ns0:v>
      </ns0:c>
      <ns0:c r="D328" s="4">
        <ns0:v>4.09</ns0:v>
      </ns0:c>
      <ns0:c r="E328" s="4">
        <ns0:v>3.73</ns0:v>
      </ns0:c>
      <ns0:c r="F328" s="4">
        <ns0:v>5.34</ns0:v>
      </ns0:c>
      <ns0:c r="G328" s="4">
        <ns0:v>2.54</ns0:v>
      </ns0:c>
      <ns0:c r="H328" s="4">
        <ns0:v>8.17</ns0:v>
      </ns0:c>
      <ns0:c r="I328" s="4">
        <ns0:v>6.92</ns0:v>
      </ns0:c>
      <ns0:c r="J328" s="4">
        <ns0:v>7.70</ns0:v>
      </ns0:c>
      <ns0:c r="K328" s="4">
        <ns0:v>8.04</ns0:v>
      </ns0:c>
      <ns0:c r="L328" s="4">
        <ns0:v>4.74</ns0:v>
      </ns0:c>
      <ns0:c r="M328" s="4">
        <ns0:v>5.12</ns0:v>
      </ns0:c>
      <ns0:c r="N328" s="4">
        <ns0:v>8.02</ns0:v>
      </ns0:c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 t="inlineStr">
        <ns0:is>
          <ns0:t>招聘费数量</ns0:t>
        </ns0:is>
      </ns0:c>
      <ns0:c r="C329" s="4">
        <ns0:v>5.82</ns0:v>
      </ns0:c>
      <ns0:c r="D329" s="4">
        <ns0:v>6.93</ns0:v>
      </ns0:c>
      <ns0:c r="E329" s="4">
        <ns0:v>8.50</ns0:v>
      </ns0:c>
      <ns0:c r="F329" s="4">
        <ns0:v>2.01</ns0:v>
      </ns0:c>
      <ns0:c r="G329" s="4">
        <ns0:v>7.74</ns0:v>
      </ns0:c>
      <ns0:c r="H329" s="4">
        <ns0:v>7.24</ns0:v>
      </ns0:c>
      <ns0:c r="I329" s="4">
        <ns0:v>6.16</ns0:v>
      </ns0:c>
      <ns0:c r="J329" s="4">
        <ns0:v>3.09</ns0:v>
      </ns0:c>
      <ns0:c r="K329" s="4">
        <ns0:v>3.72</ns0:v>
      </ns0:c>
      <ns0:c r="L329" s="4">
        <ns0:v>5.62</ns0:v>
      </ns0:c>
      <ns0:c r="M329" s="4">
        <ns0:v>6.63</ns0:v>
      </ns0:c>
      <ns0:c r="N329" s="4">
        <ns0:v>2.57</ns0:v>
      </ns0:c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 t="inlineStr">
        <ns0:is>
          <ns0:t>培训费数量</ns0:t>
        </ns0:is>
      </ns0:c>
      <ns0:c r="C330" s="4">
        <ns0:v>7.25</ns0:v>
      </ns0:c>
      <ns0:c r="D330" s="4">
        <ns0:v>7.82</ns0:v>
      </ns0:c>
      <ns0:c r="E330" s="4">
        <ns0:v>6.56</ns0:v>
      </ns0:c>
      <ns0:c r="F330" s="4">
        <ns0:v>7.27</ns0:v>
      </ns0:c>
      <ns0:c r="G330" s="4">
        <ns0:v>6.58</ns0:v>
      </ns0:c>
      <ns0:c r="H330" s="4">
        <ns0:v>2.93</ns0:v>
      </ns0:c>
      <ns0:c r="I330" s="4">
        <ns0:v>7.38</ns0:v>
      </ns0:c>
      <ns0:c r="J330" s="4">
        <ns0:v>3.45</ns0:v>
      </ns0:c>
      <ns0:c r="K330" s="4">
        <ns0:v>6.03</ns0:v>
      </ns0:c>
      <ns0:c r="L330" s="4">
        <ns0:v>2.69</ns0:v>
      </ns0:c>
      <ns0:c r="M330" s="4">
        <ns0:v>3.23</ns0:v>
      </ns0:c>
      <ns0:c r="N330" s="4">
        <ns0:v>6.39</ns0:v>
      </ns0:c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 t="inlineStr">
        <ns0:is>
          <ns0:t>房租数量</ns0:t>
        </ns0:is>
      </ns0:c>
      <ns0:c r="C331" s="4">
        <ns0:v>4.35</ns0:v>
      </ns0:c>
      <ns0:c r="D331" s="4">
        <ns0:v>7.75</ns0:v>
      </ns0:c>
      <ns0:c r="E331" s="4">
        <ns0:v>3.89</ns0:v>
      </ns0:c>
      <ns0:c r="F331" s="4">
        <ns0:v>5.46</ns0:v>
      </ns0:c>
      <ns0:c r="G331" s="4">
        <ns0:v>5.16</ns0:v>
      </ns0:c>
      <ns0:c r="H331" s="4">
        <ns0:v>4.36</ns0:v>
      </ns0:c>
      <ns0:c r="I331" s="4">
        <ns0:v>8.17</ns0:v>
      </ns0:c>
      <ns0:c r="J331" s="4">
        <ns0:v>4.19</ns0:v>
      </ns0:c>
      <ns0:c r="K331" s="4">
        <ns0:v>4.77</ns0:v>
      </ns0:c>
      <ns0:c r="L331" s="4">
        <ns0:v>6.66</ns0:v>
      </ns0:c>
      <ns0:c r="M331" s="4">
        <ns0:v>4.23</ns0:v>
      </ns0:c>
      <ns0:c r="N331" s="4">
        <ns0:v>6.36</ns0:v>
      </ns0:c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 t="inlineStr">
        <ns0:is>
          <ns0:t>物业管理费数量</ns0:t>
        </ns0:is>
      </ns0:c>
      <ns0:c r="C332" s="4">
        <ns0:v>5.96</ns0:v>
      </ns0:c>
      <ns0:c r="D332" s="4">
        <ns0:v>4.67</ns0:v>
      </ns0:c>
      <ns0:c r="E332" s="4">
        <ns0:v>3.86</ns0:v>
      </ns0:c>
      <ns0:c r="F332" s="4">
        <ns0:v>6.12</ns0:v>
      </ns0:c>
      <ns0:c r="G332" s="4">
        <ns0:v>8.65</ns0:v>
      </ns0:c>
      <ns0:c r="H332" s="4">
        <ns0:v>9.16</ns0:v>
      </ns0:c>
      <ns0:c r="I332" s="4">
        <ns0:v>7.17</ns0:v>
      </ns0:c>
      <ns0:c r="J332" s="4">
        <ns0:v>5.52</ns0:v>
      </ns0:c>
      <ns0:c r="K332" s="4">
        <ns0:v>4.13</ns0:v>
      </ns0:c>
      <ns0:c r="L332" s="4">
        <ns0:v>3.05</ns0:v>
      </ns0:c>
      <ns0:c r="M332" s="4">
        <ns0:v>5.06</ns0:v>
      </ns0:c>
      <ns0:c r="N332" s="4">
        <ns0:v>7.03</ns0:v>
      </ns0:c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 t="inlineStr">
        <ns0:is>
          <ns0:t>汽车费用数量</ns0:t>
        </ns0:is>
      </ns0:c>
      <ns0:c r="C333" s="4">
        <ns0:v>5.04</ns0:v>
      </ns0:c>
      <ns0:c r="D333" s="4">
        <ns0:v>8.21</ns0:v>
      </ns0:c>
      <ns0:c r="E333" s="4">
        <ns0:v>4.14</ns0:v>
      </ns0:c>
      <ns0:c r="F333" s="4">
        <ns0:v>4.26</ns0:v>
      </ns0:c>
      <ns0:c r="G333" s="4">
        <ns0:v>5.16</ns0:v>
      </ns0:c>
      <ns0:c r="H333" s="4">
        <ns0:v>5.63</ns0:v>
      </ns0:c>
      <ns0:c r="I333" s="4">
        <ns0:v>7.95</ns0:v>
      </ns0:c>
      <ns0:c r="J333" s="4">
        <ns0:v>5.80</ns0:v>
      </ns0:c>
      <ns0:c r="K333" s="4">
        <ns0:v>7.04</ns0:v>
      </ns0:c>
      <ns0:c r="L333" s="4">
        <ns0:v>6.80</ns0:v>
      </ns0:c>
      <ns0:c r="M333" s="4">
        <ns0:v>6.96</ns0:v>
      </ns0:c>
      <ns0:c r="N333" s="4">
        <ns0:v>5.56</ns0:v>
      </ns0:c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 t="inlineStr">
        <ns0:is>
          <ns0:t>办公费数量</ns0:t>
        </ns0:is>
      </ns0:c>
      <ns0:c r="C334" s="4">
        <ns0:v>8.21</ns0:v>
      </ns0:c>
      <ns0:c r="D334" s="4">
        <ns0:v>3.79</ns0:v>
      </ns0:c>
      <ns0:c r="E334" s="4">
        <ns0:v>5.88</ns0:v>
      </ns0:c>
      <ns0:c r="F334" s="4">
        <ns0:v>7.26</ns0:v>
      </ns0:c>
      <ns0:c r="G334" s="4">
        <ns0:v>7.48</ns0:v>
      </ns0:c>
      <ns0:c r="H334" s="4">
        <ns0:v>5.41</ns0:v>
      </ns0:c>
      <ns0:c r="I334" s="4">
        <ns0:v>6.71</ns0:v>
      </ns0:c>
      <ns0:c r="J334" s="4">
        <ns0:v>8.52</ns0:v>
      </ns0:c>
      <ns0:c r="K334" s="4">
        <ns0:v>8.40</ns0:v>
      </ns0:c>
      <ns0:c r="L334" s="4">
        <ns0:v>4.56</ns0:v>
      </ns0:c>
      <ns0:c r="M334" s="4">
        <ns0:v>7.09</ns0:v>
      </ns0:c>
      <ns0:c r="N334" s="4">
        <ns0:v>7.48</ns0:v>
      </ns0:c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 t="inlineStr">
        <ns0:is>
          <ns0:t>办公用品数量</ns0:t>
        </ns0:is>
      </ns0:c>
      <ns0:c r="C335" s="4">
        <ns0:v>4.53</ns0:v>
      </ns0:c>
      <ns0:c r="D335" s="4">
        <ns0:v>4.15</ns0:v>
      </ns0:c>
      <ns0:c r="E335" s="4">
        <ns0:v>2.77</ns0:v>
      </ns0:c>
      <ns0:c r="F335" s="4">
        <ns0:v>5.30</ns0:v>
      </ns0:c>
      <ns0:c r="G335" s="4">
        <ns0:v>5.38</ns0:v>
      </ns0:c>
      <ns0:c r="H335" s="4">
        <ns0:v>7.04</ns0:v>
      </ns0:c>
      <ns0:c r="I335" s="4">
        <ns0:v>3.30</ns0:v>
      </ns0:c>
      <ns0:c r="J335" s="4">
        <ns0:v>7.62</ns0:v>
      </ns0:c>
      <ns0:c r="K335" s="4">
        <ns0:v>9.55</ns0:v>
      </ns0:c>
      <ns0:c r="L335" s="4">
        <ns0:v>4.98</ns0:v>
      </ns0:c>
      <ns0:c r="M335" s="4">
        <ns0:v>5.62</ns0:v>
      </ns0:c>
      <ns0:c r="N335" s="4">
        <ns0:v>8.40</ns0:v>
      </ns0:c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 t="inlineStr">
        <ns0:is>
          <ns0:t>水电煤数量</ns0:t>
        </ns0:is>
      </ns0:c>
      <ns0:c r="C336" s="4">
        <ns0:v>3.40</ns0:v>
      </ns0:c>
      <ns0:c r="D336" s="4">
        <ns0:v>3.02</ns0:v>
      </ns0:c>
      <ns0:c r="E336" s="4">
        <ns0:v>3.19</ns0:v>
      </ns0:c>
      <ns0:c r="F336" s="4">
        <ns0:v>3.50</ns0:v>
      </ns0:c>
      <ns0:c r="G336" s="4">
        <ns0:v>8.77</ns0:v>
      </ns0:c>
      <ns0:c r="H336" s="4">
        <ns0:v>4.59</ns0:v>
      </ns0:c>
      <ns0:c r="I336" s="4">
        <ns0:v>4.36</ns0:v>
      </ns0:c>
      <ns0:c r="J336" s="4">
        <ns0:v>6.40</ns0:v>
      </ns0:c>
      <ns0:c r="K336" s="4">
        <ns0:v>2.89</ns0:v>
      </ns0:c>
      <ns0:c r="L336" s="4">
        <ns0:v>7.13</ns0:v>
      </ns0:c>
      <ns0:c r="M336" s="4">
        <ns0:v>5.49</ns0:v>
      </ns0:c>
      <ns0:c r="N336" s="4">
        <ns0:v>6.70</ns0:v>
      </ns0:c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 t="inlineStr">
        <ns0:is>
          <ns0:t>咨询服务费数量</ns0:t>
        </ns0:is>
      </ns0:c>
      <ns0:c r="C337" s="4">
        <ns0:v>2.93</ns0:v>
      </ns0:c>
      <ns0:c r="D337" s="4">
        <ns0:v>6.84</ns0:v>
      </ns0:c>
      <ns0:c r="E337" s="4">
        <ns0:v>2.62</ns0:v>
      </ns0:c>
      <ns0:c r="F337" s="4">
        <ns0:v>8.18</ns0:v>
      </ns0:c>
      <ns0:c r="G337" s="4">
        <ns0:v>3.44</ns0:v>
      </ns0:c>
      <ns0:c r="H337" s="4">
        <ns0:v>4.70</ns0:v>
      </ns0:c>
      <ns0:c r="I337" s="4">
        <ns0:v>4.61</ns0:v>
      </ns0:c>
      <ns0:c r="J337" s="4">
        <ns0:v>5.06</ns0:v>
      </ns0:c>
      <ns0:c r="K337" s="4">
        <ns0:v>2.82</ns0:v>
      </ns0:c>
      <ns0:c r="L337" s="4">
        <ns0:v>8.04</ns0:v>
      </ns0:c>
      <ns0:c r="M337" s="4">
        <ns0:v>3.72</ns0:v>
      </ns0:c>
      <ns0:c r="N337" s="4">
        <ns0:v>6.55</ns0:v>
      </ns0:c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 t="inlineStr">
        <ns0:is>
          <ns0:t>电话费数量</ns0:t>
        </ns0:is>
      </ns0:c>
      <ns0:c r="C338" s="4">
        <ns0:v>2.13</ns0:v>
      </ns0:c>
      <ns0:c r="D338" s="4">
        <ns0:v>5.17</ns0:v>
      </ns0:c>
      <ns0:c r="E338" s="4">
        <ns0:v>4.41</ns0:v>
      </ns0:c>
      <ns0:c r="F338" s="4">
        <ns0:v>4.37</ns0:v>
      </ns0:c>
      <ns0:c r="G338" s="4">
        <ns0:v>4.34</ns0:v>
      </ns0:c>
      <ns0:c r="H338" s="4">
        <ns0:v>6.95</ns0:v>
      </ns0:c>
      <ns0:c r="I338" s="4">
        <ns0:v>2.89</ns0:v>
      </ns0:c>
      <ns0:c r="J338" s="4">
        <ns0:v>5.04</ns0:v>
      </ns0:c>
      <ns0:c r="K338" s="4">
        <ns0:v>6.88</ns0:v>
      </ns0:c>
      <ns0:c r="L338" s="4">
        <ns0:v>3.65</ns0:v>
      </ns0:c>
      <ns0:c r="M338" s="4">
        <ns0:v>3.60</ns0:v>
      </ns0:c>
      <ns0:c r="N338" s="4">
        <ns0:v>3.66</ns0:v>
      </ns0:c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 t="inlineStr">
        <ns0:is>
          <ns0:t>快递费数量</ns0:t>
        </ns0:is>
      </ns0:c>
      <ns0:c r="C339" s="4">
        <ns0:v>6.47</ns0:v>
      </ns0:c>
      <ns0:c r="D339" s="4">
        <ns0:v>3.25</ns0:v>
      </ns0:c>
      <ns0:c r="E339" s="4">
        <ns0:v>9.89</ns0:v>
      </ns0:c>
      <ns0:c r="F339" s="4">
        <ns0:v>9.57</ns0:v>
      </ns0:c>
      <ns0:c r="G339" s="4">
        <ns0:v>8.67</ns0:v>
      </ns0:c>
      <ns0:c r="H339" s="4">
        <ns0:v>8.25</ns0:v>
      </ns0:c>
      <ns0:c r="I339" s="4">
        <ns0:v>4.62</ns0:v>
      </ns0:c>
      <ns0:c r="J339" s="4">
        <ns0:v>4.67</ns0:v>
      </ns0:c>
      <ns0:c r="K339" s="4">
        <ns0:v>7.59</ns0:v>
      </ns0:c>
      <ns0:c r="L339" s="4">
        <ns0:v>3.50</ns0:v>
      </ns0:c>
      <ns0:c r="M339" s="4">
        <ns0:v>2.82</ns0:v>
      </ns0:c>
      <ns0:c r="N339" s="4">
        <ns0:v>8.42</ns0:v>
      </ns0:c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 t="inlineStr">
        <ns0:is>
          <ns0:t>折旧及摊销数量</ns0:t>
        </ns0:is>
      </ns0:c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 t="inlineStr">
        <ns0:is>
          <ns0:t>机票火车票数量</ns0:t>
        </ns0:is>
      </ns0:c>
      <ns0:c r="C341" s="4">
        <ns0:v>7.80</ns0:v>
      </ns0:c>
      <ns0:c r="D341" s="4">
        <ns0:v>3.44</ns0:v>
      </ns0:c>
      <ns0:c r="E341" s="4">
        <ns0:v>5.17</ns0:v>
      </ns0:c>
      <ns0:c r="F341" s="4">
        <ns0:v>3.16</ns0:v>
      </ns0:c>
      <ns0:c r="G341" s="4">
        <ns0:v>8.16</ns0:v>
      </ns0:c>
      <ns0:c r="H341" s="4">
        <ns0:v>8.36</ns0:v>
      </ns0:c>
      <ns0:c r="I341" s="4">
        <ns0:v>9.43</ns0:v>
      </ns0:c>
      <ns0:c r="J341" s="4">
        <ns0:v>3.76</ns0:v>
      </ns0:c>
      <ns0:c r="K341" s="4">
        <ns0:v>3.58</ns0:v>
      </ns0:c>
      <ns0:c r="L341" s="4">
        <ns0:v>6.29</ns0:v>
      </ns0:c>
      <ns0:c r="M341" s="4">
        <ns0:v>7.13</ns0:v>
      </ns0:c>
      <ns0:c r="N341" s="4">
        <ns0:v>7.38</ns0:v>
      </ns0:c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 t="inlineStr">
        <ns0:is>
          <ns0:t>住宿费数量</ns0:t>
        </ns0:is>
      </ns0:c>
      <ns0:c r="C342" s="4">
        <ns0:v>6.64</ns0:v>
      </ns0:c>
      <ns0:c r="D342" s="4">
        <ns0:v>9.26</ns0:v>
      </ns0:c>
      <ns0:c r="E342" s="4">
        <ns0:v>2.24</ns0:v>
      </ns0:c>
      <ns0:c r="F342" s="4">
        <ns0:v>6.54</ns0:v>
      </ns0:c>
      <ns0:c r="G342" s="4">
        <ns0:v>6.08</ns0:v>
      </ns0:c>
      <ns0:c r="H342" s="4">
        <ns0:v>8.26</ns0:v>
      </ns0:c>
      <ns0:c r="I342" s="4">
        <ns0:v>2.31</ns0:v>
      </ns0:c>
      <ns0:c r="J342" s="4">
        <ns0:v>4.87</ns0:v>
      </ns0:c>
      <ns0:c r="K342" s="4">
        <ns0:v>6.04</ns0:v>
      </ns0:c>
      <ns0:c r="L342" s="4">
        <ns0:v>6.42</ns0:v>
      </ns0:c>
      <ns0:c r="M342" s="4">
        <ns0:v>4.10</ns0:v>
      </ns0:c>
      <ns0:c r="N342" s="4">
        <ns0:v>4.31</ns0:v>
      </ns0:c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 t="inlineStr">
        <ns0:is>
          <ns0:t>交通费数量</ns0:t>
        </ns0:is>
      </ns0:c>
      <ns0:c r="C343" s="4">
        <ns0:v>8.29</ns0:v>
      </ns0:c>
      <ns0:c r="D343" s="4">
        <ns0:v>3.85</ns0:v>
      </ns0:c>
      <ns0:c r="E343" s="4">
        <ns0:v>5.94</ns0:v>
      </ns0:c>
      <ns0:c r="F343" s="4">
        <ns0:v>7.39</ns0:v>
      </ns0:c>
      <ns0:c r="G343" s="4">
        <ns0:v>5.53</ns0:v>
      </ns0:c>
      <ns0:c r="H343" s="4">
        <ns0:v>6.35</ns0:v>
      </ns0:c>
      <ns0:c r="I343" s="4">
        <ns0:v>4.60</ns0:v>
      </ns0:c>
      <ns0:c r="J343" s="4">
        <ns0:v>5.91</ns0:v>
      </ns0:c>
      <ns0:c r="K343" s="4">
        <ns0:v>6.52</ns0:v>
      </ns0:c>
      <ns0:c r="L343" s="4">
        <ns0:v>6.73</ns0:v>
      </ns0:c>
      <ns0:c r="M343" s="4">
        <ns0:v>7.51</ns0:v>
      </ns0:c>
      <ns0:c r="N343" s="4">
        <ns0:v>4.34</ns0:v>
      </ns0:c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 t="inlineStr">
        <ns0:is>
          <ns0:t>差旅补贴数量</ns0:t>
        </ns0:is>
      </ns0:c>
      <ns0:c r="C344" s="4">
        <ns0:v>2.72</ns0:v>
      </ns0:c>
      <ns0:c r="D344" s="4">
        <ns0:v>7.89</ns0:v>
      </ns0:c>
      <ns0:c r="E344" s="4">
        <ns0:v>4.38</ns0:v>
      </ns0:c>
      <ns0:c r="F344" s="4">
        <ns0:v>5.81</ns0:v>
      </ns0:c>
      <ns0:c r="G344" s="4">
        <ns0:v>3.43</ns0:v>
      </ns0:c>
      <ns0:c r="H344" s="4">
        <ns0:v>3.58</ns0:v>
      </ns0:c>
      <ns0:c r="I344" s="4">
        <ns0:v>3.78</ns0:v>
      </ns0:c>
      <ns0:c r="J344" s="4">
        <ns0:v>2.41</ns0:v>
      </ns0:c>
      <ns0:c r="K344" s="4">
        <ns0:v>6.35</ns0:v>
      </ns0:c>
      <ns0:c r="L344" s="4">
        <ns0:v>8.63</ns0:v>
      </ns0:c>
      <ns0:c r="M344" s="4">
        <ns0:v>8.37</ns0:v>
      </ns0:c>
      <ns0:c r="N344" s="4">
        <ns0:v>3.89</ns0:v>
      </ns0:c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 t="inlineStr">
        <ns0:is>
          <ns0:t>业务招待费数量</ns0:t>
        </ns0:is>
      </ns0:c>
      <ns0:c r="C345" s="4">
        <ns0:v>8.89</ns0:v>
      </ns0:c>
      <ns0:c r="D345" s="4">
        <ns0:v>2.53</ns0:v>
      </ns0:c>
      <ns0:c r="E345" s="4">
        <ns0:v>7.87</ns0:v>
      </ns0:c>
      <ns0:c r="F345" s="4">
        <ns0:v>3.56</ns0:v>
      </ns0:c>
      <ns0:c r="G345" s="4">
        <ns0:v>5.09</ns0:v>
      </ns0:c>
      <ns0:c r="H345" s="4">
        <ns0:v>5.12</ns0:v>
      </ns0:c>
      <ns0:c r="I345" s="4">
        <ns0:v>7.43</ns0:v>
      </ns0:c>
      <ns0:c r="J345" s="4">
        <ns0:v>5.46</ns0:v>
      </ns0:c>
      <ns0:c r="K345" s="4">
        <ns0:v>6.87</ns0:v>
      </ns0:c>
      <ns0:c r="L345" s="4">
        <ns0:v>3.66</ns0:v>
      </ns0:c>
      <ns0:c r="M345" s="4">
        <ns0:v>7.12</ns0:v>
      </ns0:c>
      <ns0:c r="N345" s="4">
        <ns0:v>7.64</ns0:v>
      </ns0:c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 t="inlineStr">
        <ns0:is>
          <ns0:t>市内交通费数量</ns0:t>
        </ns0:is>
      </ns0:c>
      <ns0:c r="C346" s="4">
        <ns0:v>5.33</ns0:v>
      </ns0:c>
      <ns0:c r="D346" s="4">
        <ns0:v>7.54</ns0:v>
      </ns0:c>
      <ns0:c r="E346" s="4">
        <ns0:v>5.82</ns0:v>
      </ns0:c>
      <ns0:c r="F346" s="4">
        <ns0:v>5.85</ns0:v>
      </ns0:c>
      <ns0:c r="G346" s="4">
        <ns0:v>6.19</ns0:v>
      </ns0:c>
      <ns0:c r="H346" s="4">
        <ns0:v>4.12</ns0:v>
      </ns0:c>
      <ns0:c r="I346" s="4">
        <ns0:v>7.97</ns0:v>
      </ns0:c>
      <ns0:c r="J346" s="4">
        <ns0:v>5.44</ns0:v>
      </ns0:c>
      <ns0:c r="K346" s="4">
        <ns0:v>4.90</ns0:v>
      </ns0:c>
      <ns0:c r="L346" s="4">
        <ns0:v>4.13</ns0:v>
      </ns0:c>
      <ns0:c r="M346" s="4">
        <ns0:v>3.15</ns0:v>
      </ns0:c>
      <ns0:c r="N346" s="4">
        <ns0:v>6.53</ns0:v>
      </ns0:c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 t="inlineStr">
        <ns0:is>
          <ns0:t>调研费用数量</ns0:t>
        </ns0:is>
      </ns0:c>
      <ns0:c r="C347" s="4">
        <ns0:v>6.18</ns0:v>
      </ns0:c>
      <ns0:c r="D347" s="4">
        <ns0:v>9.46</ns0:v>
      </ns0:c>
      <ns0:c r="E347" s="4">
        <ns0:v>8.73</ns0:v>
      </ns0:c>
      <ns0:c r="F347" s="4">
        <ns0:v>2.84</ns0:v>
      </ns0:c>
      <ns0:c r="G347" s="4">
        <ns0:v>2.38</ns0:v>
      </ns0:c>
      <ns0:c r="H347" s="4">
        <ns0:v>7.62</ns0:v>
      </ns0:c>
      <ns0:c r="I347" s="4">
        <ns0:v>4.52</ns0:v>
      </ns0:c>
      <ns0:c r="J347" s="4">
        <ns0:v>3.85</ns0:v>
      </ns0:c>
      <ns0:c r="K347" s="4">
        <ns0:v>2.65</ns0:v>
      </ns0:c>
      <ns0:c r="L347" s="4">
        <ns0:v>3.38</ns0:v>
      </ns0:c>
      <ns0:c r="M347" s="4">
        <ns0:v>8.11</ns0:v>
      </ns0:c>
      <ns0:c r="N347" s="4">
        <ns0:v>7.01</ns0:v>
      </ns0:c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 t="inlineStr">
        <ns0:is>
          <ns0:t>手续费数量</ns0:t>
        </ns0:is>
      </ns0:c>
      <ns0:c r="C348" s="4">
        <ns0:v>2.69</ns0:v>
      </ns0:c>
      <ns0:c r="D348" s="4">
        <ns0:v>8.43</ns0:v>
      </ns0:c>
      <ns0:c r="E348" s="4">
        <ns0:v>8.21</ns0:v>
      </ns0:c>
      <ns0:c r="F348" s="4">
        <ns0:v>6.38</ns0:v>
      </ns0:c>
      <ns0:c r="G348" s="4">
        <ns0:v>3.92</ns0:v>
      </ns0:c>
      <ns0:c r="H348" s="4">
        <ns0:v>4.07</ns0:v>
      </ns0:c>
      <ns0:c r="I348" s="4">
        <ns0:v>4.91</ns0:v>
      </ns0:c>
      <ns0:c r="J348" s="4">
        <ns0:v>4.96</ns0:v>
      </ns0:c>
      <ns0:c r="K348" s="4">
        <ns0:v>3.34</ns0:v>
      </ns0:c>
      <ns0:c r="L348" s="4">
        <ns0:v>8.02</ns0:v>
      </ns0:c>
      <ns0:c r="M348" s="4">
        <ns0:v>6.66</ns0:v>
      </ns0:c>
      <ns0:c r="N348" s="4">
        <ns0:v>5.21</ns0:v>
      </ns0:c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 t="inlineStr">
        <ns0:is>
          <ns0:t>利息收入数量</ns0:t>
        </ns0:is>
      </ns0:c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 t="inlineStr">
        <ns0:is>
          <ns0:t>利息支出数量</ns0:t>
        </ns0:is>
      </ns0:c>
      <ns0:c r="C350" s="4">
        <ns0:v>2.51</ns0:v>
      </ns0:c>
      <ns0:c r="D350" s="4">
        <ns0:v>5.40</ns0:v>
      </ns0:c>
      <ns0:c r="E350" s="4">
        <ns0:v>4.83</ns0:v>
      </ns0:c>
      <ns0:c r="F350" s="4">
        <ns0:v>6.75</ns0:v>
      </ns0:c>
      <ns0:c r="G350" s="4">
        <ns0:v>7.06</ns0:v>
      </ns0:c>
      <ns0:c r="H350" s="4">
        <ns0:v>6.65</ns0:v>
      </ns0:c>
      <ns0:c r="I350" s="4">
        <ns0:v>9.41</ns0:v>
      </ns0:c>
      <ns0:c r="J350" s="4">
        <ns0:v>3.48</ns0:v>
      </ns0:c>
      <ns0:c r="K350" s="4">
        <ns0:v>3.94</ns0:v>
      </ns0:c>
      <ns0:c r="L350" s="4">
        <ns0:v>9.39</ns0:v>
      </ns0:c>
      <ns0:c r="M350" s="4">
        <ns0:v>4.06</ns0:v>
      </ns0:c>
      <ns0:c r="N350" s="4">
        <ns0:v>6.05</ns0:v>
      </ns0:c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 t="inlineStr">
        <ns0:is>
          <ns0:t>车船税数量</ns0:t>
        </ns0:is>
      </ns0:c>
      <ns0:c r="C351" s="4">
        <ns0:v>7.20</ns0:v>
      </ns0:c>
      <ns0:c r="D351" s="4">
        <ns0:v>5.62</ns0:v>
      </ns0:c>
      <ns0:c r="E351" s="4">
        <ns0:v>3.94</ns0:v>
      </ns0:c>
      <ns0:c r="F351" s="4">
        <ns0:v>2.83</ns0:v>
      </ns0:c>
      <ns0:c r="G351" s="4">
        <ns0:v>6.02</ns0:v>
      </ns0:c>
      <ns0:c r="H351" s="4">
        <ns0:v>5.26</ns0:v>
      </ns0:c>
      <ns0:c r="I351" s="4">
        <ns0:v>4.09</ns0:v>
      </ns0:c>
      <ns0:c r="J351" s="4">
        <ns0:v>6.74</ns0:v>
      </ns0:c>
      <ns0:c r="K351" s="4">
        <ns0:v>5.72</ns0:v>
      </ns0:c>
      <ns0:c r="L351" s="4">
        <ns0:v>2.86</ns0:v>
      </ns0:c>
      <ns0:c r="M351" s="4">
        <ns0:v>8.57</ns0:v>
      </ns0:c>
      <ns0:c r="N351" s="4">
        <ns0:v>6.88</ns0:v>
      </ns0:c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 t="inlineStr">
        <ns0:is>
          <ns0:t>印花税数量</ns0:t>
        </ns0:is>
      </ns0:c>
      <ns0:c r="C352" s="4">
        <ns0:v>2.72</ns0:v>
      </ns0:c>
      <ns0:c r="D352" s="4">
        <ns0:v>7.78</ns0:v>
      </ns0:c>
      <ns0:c r="E352" s="4">
        <ns0:v>7.62</ns0:v>
      </ns0:c>
      <ns0:c r="F352" s="4">
        <ns0:v>9.28</ns0:v>
      </ns0:c>
      <ns0:c r="G352" s="4">
        <ns0:v>6.36</ns0:v>
      </ns0:c>
      <ns0:c r="H352" s="4">
        <ns0:v>1.92</ns0:v>
      </ns0:c>
      <ns0:c r="I352" s="4">
        <ns0:v>2.63</ns0:v>
      </ns0:c>
      <ns0:c r="J352" s="4">
        <ns0:v>5.86</ns0:v>
      </ns0:c>
      <ns0:c r="K352" s="4">
        <ns0:v>6.25</ns0:v>
      </ns0:c>
      <ns0:c r="L352" s="4">
        <ns0:v>4.38</ns0:v>
      </ns0:c>
      <ns0:c r="M352" s="4">
        <ns0:v>6.06</ns0:v>
      </ns0:c>
      <ns0:c r="N352" s="4">
        <ns0:v>7.79</ns0:v>
      </ns0:c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 t="inlineStr">
        <ns0:is>
          <ns0:t>其他数量</ns0:t>
        </ns0:is>
      </ns0:c>
      <ns0:c r="C353" s="4">
        <ns0:v>5.34</ns0:v>
      </ns0:c>
      <ns0:c r="D353" s="4">
        <ns0:v>8.34</ns0:v>
      </ns0:c>
      <ns0:c r="E353" s="4">
        <ns0:v>2.69</ns0:v>
      </ns0:c>
      <ns0:c r="F353" s="4">
        <ns0:v>3.30</ns0:v>
      </ns0:c>
      <ns0:c r="G353" s="4">
        <ns0:v>6.13</ns0:v>
      </ns0:c>
      <ns0:c r="H353" s="4">
        <ns0:v>2.60</ns0:v>
      </ns0:c>
      <ns0:c r="I353" s="4">
        <ns0:v>4.42</ns0:v>
      </ns0:c>
      <ns0:c r="J353" s="4">
        <ns0:v>2.92</ns0:v>
      </ns0:c>
      <ns0:c r="K353" s="4">
        <ns0:v>7.74</ns0:v>
      </ns0:c>
      <ns0:c r="L353" s="4">
        <ns0:v>7.04</ns0:v>
      </ns0:c>
      <ns0:c r="M353" s="4">
        <ns0:v>5.82</ns0:v>
      </ns0:c>
      <ns0:c r="N353" s="4">
        <ns0:v>4.05</ns0:v>
      </ns0:c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mergeCells>
    <ns0:mergeCell ref="A1:C1"/>
    <ns0:mergeCell ref="C2:N2"/>
    <ns0:mergeCell ref="A25:B25"/>
    <ns0:mergeCell ref="A26:B26"/>
    <ns0:mergeCell ref="A27:B27"/>
    <ns0:mergeCell ref="A33:B33"/>
    <ns0:mergeCell ref="A34:B34"/>
    <ns0:mergeCell ref="A35:B35"/>
    <ns0:mergeCell ref="A36:B36"/>
    <ns0:mergeCell ref="A4:A10"/>
    <ns0:mergeCell ref="A11:A20"/>
    <ns0:mergeCell ref="A21:A24"/>
    <ns0:mergeCell ref="A29:A30"/>
    <ns0:mergeCell ref="A31:A32"/>
    <ns0:mergeCell ref="O2:O3"/>
    <ns0:mergeCell ref="A2:B3"/>
  </ns0:mergeCells>
  <ns0:pageMargins left="0.7" right="0.7" top="0.75" bottom="0.75" header="0.3" footer="0.3"/>
</ns0:worksheet>
</file>

<file path=xl/worksheets/sheet10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12.625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12.625" hidden="0" customWidth="1"/>
    <ns0:col min="17" max="17" width="12.625" hidden="0" customWidth="1"/>
    <ns0:col min="18" max="18" width="16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/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 t="inlineStr">
        <ns0:is>
          <ns0:t>项目</ns0:t>
        </ns0:is>
      </ns0:c>
      <ns0:c r="B2" s="2"/>
      <ns0:c r="C2" s="3"/>
      <ns0:c r="D2" s="3"/>
      <ns0:c r="E2" s="3"/>
      <ns0:c r="F2" s="3"/>
      <ns0:c r="G2" s="3"/>
      <ns0:c r="H2" s="3"/>
      <ns0:c r="I2" s="3"/>
      <ns0:c r="J2" s="3"/>
      <ns0:c r="K2" s="3"/>
      <ns0:c r="L2" s="3"/>
      <ns0:c r="M2" s="3"/>
      <ns0:c r="N2" s="3"/>
      <ns0:c r="O2" s="3" t="inlineStr">
        <ns0:is>
          <ns0:t>合计</ns0:t>
        </ns0:is>
      </ns0:c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E-5f17fa2948</ns0:t>
        </ns0:is>
      </ns0:c>
    </ns0:row>
    <ns0:row r="3" ht="20" customHeight="1">
      <ns0:c r="A3" s="2"/>
      <ns0:c r="B3" s="2"/>
      <ns0:c r="C3" s="6"/>
      <ns0:c r="D3" s="6"/>
      <ns0:c r="E3" s="6"/>
      <ns0:c r="F3" s="6"/>
      <ns0:c r="G3" s="6"/>
      <ns0:c r="H3" s="6"/>
      <ns0:c r="I3" s="6"/>
      <ns0:c r="J3" s="6"/>
      <ns0:c r="K3" s="6"/>
      <ns0:c r="L3" s="6"/>
      <ns0:c r="M3" s="6"/>
      <ns0:c r="N3" s="6"/>
      <ns0:c r="O3" s="6"/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主体乙</ns0:t>
        </ns0:is>
      </ns0:c>
    </ns0:row>
    <ns0:row r="4" ht="20" customHeight="1">
      <ns0:c r="A4" s="2" t="inlineStr">
        <ns0:is>
          <ns0:t>员工费用</ns0:t>
        </ns0:is>
      </ns0:c>
      <ns0:c r="B4" s="2" t="inlineStr">
        <ns0:is>
          <ns0:t>工资</ns0:t>
        </ns0:is>
      </ns0:c>
      <ns0:c r="C4" s="3">
        <ns0:f>'销售费用'!C4+'管理费用'!C4+'蓝恐龙费用'!C4</ns0:f>
        <ns0:v>658.32</ns0:v>
      </ns0:c>
      <ns0:c r="D4" s="3">
        <ns0:f>'销售费用'!D4+'管理费用'!D4+'蓝恐龙费用'!D4</ns0:f>
        <ns0:v>371.47</ns0:v>
      </ns0:c>
      <ns0:c r="E4" s="3">
        <ns0:f>'销售费用'!E4+'管理费用'!E4+'蓝恐龙费用'!E4</ns0:f>
        <ns0:v>696.04</ns0:v>
      </ns0:c>
      <ns0:c r="F4" s="3">
        <ns0:f>'销售费用'!F4+'管理费用'!F4+'蓝恐龙费用'!F4</ns0:f>
        <ns0:v>609.20</ns0:v>
      </ns0:c>
      <ns0:c r="G4" s="3">
        <ns0:f>'销售费用'!G4+'管理费用'!G4+'蓝恐龙费用'!G4</ns0:f>
        <ns0:v>476.36</ns0:v>
      </ns0:c>
      <ns0:c r="H4" s="3">
        <ns0:f>'销售费用'!H4+'管理费用'!H4+'蓝恐龙费用'!H4</ns0:f>
        <ns0:v>600.52</ns0:v>
      </ns0:c>
      <ns0:c r="I4" s="3">
        <ns0:f>'销售费用'!I4+'管理费用'!I4+'蓝恐龙费用'!I4</ns0:f>
        <ns0:v>875.45</ns0:v>
      </ns0:c>
      <ns0:c r="J4" s="3">
        <ns0:f>'销售费用'!J4+'管理费用'!J4+'蓝恐龙费用'!J4</ns0:f>
        <ns0:v>920.67</ns0:v>
      </ns0:c>
      <ns0:c r="K4" s="3">
        <ns0:f>'销售费用'!K4+'管理费用'!K4+'蓝恐龙费用'!K4</ns0:f>
        <ns0:v>669.71</ns0:v>
      </ns0:c>
      <ns0:c r="L4" s="3">
        <ns0:f>'销售费用'!L4+'管理费用'!L4+'蓝恐龙费用'!L4</ns0:f>
        <ns0:v>659.06</ns0:v>
      </ns0:c>
      <ns0:c r="M4" s="3">
        <ns0:f>'销售费用'!M4+'管理费用'!M4+'蓝恐龙费用'!M4</ns0:f>
        <ns0:v>856.33</ns0:v>
      </ns0:c>
      <ns0:c r="N4" s="3">
        <ns0:f>'销售费用'!N4+'管理费用'!N4+'蓝恐龙费用'!N4</ns0:f>
        <ns0:v>654.01</ns0:v>
      </ns0:c>
      <ns0:c r="O4" s="3">
        <ns0:f>SUM(C4:N4)</ns0:f>
        <ns0:v>8047.14</ns0:v>
      </ns0:c>
      <ns0:c r="P4" s="2"/>
      <ns0:c r="Q4" s="2"/>
      <ns0:c r="R4" s="2"/>
      <ns0:c r="S4" s="2"/>
      <ns0:c r="T4" s="2"/>
      <ns0:c r="U4" s="2"/>
      <ns0:c r="V4" s="2"/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S-03e3bfa6bf</ns0:t>
        </ns0:is>
      </ns0:c>
    </ns0:row>
    <ns0:row r="5" ht="20" customHeight="1">
      <ns0:c r="A5" s="2"/>
      <ns0:c r="B5" s="2" t="inlineStr">
        <ns0:is>
          <ns0:t>十三薪</ns0:t>
        </ns0:is>
      </ns0:c>
      <ns0:c r="C5" s="3">
        <ns0:f>'销售费用'!C5+'管理费用'!C5+'蓝恐龙费用'!C5</ns0:f>
        <ns0:v>785.50</ns0:v>
      </ns0:c>
      <ns0:c r="D5" s="3">
        <ns0:f>'销售费用'!D5+'管理费用'!D5+'蓝恐龙费用'!D5</ns0:f>
        <ns0:v>447.54</ns0:v>
      </ns0:c>
      <ns0:c r="E5" s="3">
        <ns0:f>'销售费用'!E5+'管理费用'!E5+'蓝恐龙费用'!E5</ns0:f>
        <ns0:v>1072.66</ns0:v>
      </ns0:c>
      <ns0:c r="F5" s="3">
        <ns0:f>'销售费用'!F5+'管理费用'!F5+'蓝恐龙费用'!F5</ns0:f>
        <ns0:v>471.76</ns0:v>
      </ns0:c>
      <ns0:c r="G5" s="3">
        <ns0:f>'销售费用'!G5+'管理费用'!G5+'蓝恐龙费用'!G5</ns0:f>
        <ns0:v>1414.10</ns0:v>
      </ns0:c>
      <ns0:c r="H5" s="3">
        <ns0:f>'销售费用'!H5+'管理费用'!H5+'蓝恐龙费用'!H5</ns0:f>
        <ns0:v>433.86</ns0:v>
      </ns0:c>
      <ns0:c r="I5" s="3">
        <ns0:f>'销售费用'!I5+'管理费用'!I5+'蓝恐龙费用'!I5</ns0:f>
        <ns0:v>698.44</ns0:v>
      </ns0:c>
      <ns0:c r="J5" s="3">
        <ns0:f>'销售费用'!J5+'管理费用'!J5+'蓝恐龙费用'!J5</ns0:f>
        <ns0:v>465.08</ns0:v>
      </ns0:c>
      <ns0:c r="K5" s="3">
        <ns0:f>'销售费用'!K5+'管理费用'!K5+'蓝恐龙费用'!K5</ns0:f>
        <ns0:v>1117.60</ns0:v>
      </ns0:c>
      <ns0:c r="L5" s="3">
        <ns0:f>'销售费用'!L5+'管理费用'!L5+'蓝恐龙费用'!L5</ns0:f>
        <ns0:v>327.85</ns0:v>
      </ns0:c>
      <ns0:c r="M5" s="3">
        <ns0:f>'销售费用'!M5+'管理费用'!M5+'蓝恐龙费用'!M5</ns0:f>
        <ns0:v>610.18</ns0:v>
      </ns0:c>
      <ns0:c r="N5" s="3">
        <ns0:f>'销售费用'!N5+'管理费用'!N5+'蓝恐龙费用'!N5</ns0:f>
        <ns0:v>505.97</ns0:v>
      </ns0:c>
      <ns0:c r="O5" s="3">
        <ns0:f>SUM(C5:N5)</ns0:f>
        <ns0:v>8350.54</ns0:v>
      </ns0:c>
      <ns0:c r="P5" s="2"/>
      <ns0:c r="Q5" s="2"/>
      <ns0:c r="R5" s="2"/>
      <ns0:c r="S5" s="2"/>
      <ns0:c r="T5" s="2"/>
      <ns0:c r="U5" s="2"/>
      <ns0:c r="V5" s="2"/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扩展情景</ns0:t>
        </ns0:is>
      </ns0:c>
    </ns0:row>
    <ns0:row r="6" ht="20" customHeight="1">
      <ns0:c r="A6" s="2"/>
      <ns0:c r="B6" s="2" t="inlineStr">
        <ns0:is>
          <ns0:t>离职补偿金</ns0:t>
        </ns0:is>
      </ns0:c>
      <ns0:c r="C6" s="3">
        <ns0:f>'销售费用'!C6+'管理费用'!C6+'蓝恐龙费用'!C6</ns0:f>
        <ns0:v>426.01</ns0:v>
      </ns0:c>
      <ns0:c r="D6" s="3">
        <ns0:f>'销售费用'!D6+'管理费用'!D6+'蓝恐龙费用'!D6</ns0:f>
        <ns0:v>264.54</ns0:v>
      </ns0:c>
      <ns0:c r="E6" s="3">
        <ns0:f>'销售费用'!E6+'管理费用'!E6+'蓝恐龙费用'!E6</ns0:f>
        <ns0:v>486.24</ns0:v>
      </ns0:c>
      <ns0:c r="F6" s="3">
        <ns0:f>'销售费用'!F6+'管理费用'!F6+'蓝恐龙费用'!F6</ns0:f>
        <ns0:v>697.28</ns0:v>
      </ns0:c>
      <ns0:c r="G6" s="3">
        <ns0:f>'销售费用'!G6+'管理费用'!G6+'蓝恐龙费用'!G6</ns0:f>
        <ns0:v>1038.28</ns0:v>
      </ns0:c>
      <ns0:c r="H6" s="3">
        <ns0:f>'销售费用'!H6+'管理费用'!H6+'蓝恐龙费用'!H6</ns0:f>
        <ns0:v>382.41</ns0:v>
      </ns0:c>
      <ns0:c r="I6" s="3">
        <ns0:f>'销售费用'!I6+'管理费用'!I6+'蓝恐龙费用'!I6</ns0:f>
        <ns0:v>515.36</ns0:v>
      </ns0:c>
      <ns0:c r="J6" s="3">
        <ns0:f>'销售费用'!J6+'管理费用'!J6+'蓝恐龙费用'!J6</ns0:f>
        <ns0:v>670.78</ns0:v>
      </ns0:c>
      <ns0:c r="K6" s="3">
        <ns0:f>'销售费用'!K6+'管理费用'!K6+'蓝恐龙费用'!K6</ns0:f>
        <ns0:v>513.42</ns0:v>
      </ns0:c>
      <ns0:c r="L6" s="3">
        <ns0:f>'销售费用'!L6+'管理费用'!L6+'蓝恐龙费用'!L6</ns0:f>
        <ns0:v>656.24</ns0:v>
      </ns0:c>
      <ns0:c r="M6" s="3">
        <ns0:f>'销售费用'!M6+'管理费用'!M6+'蓝恐龙费用'!M6</ns0:f>
        <ns0:v>594.91</ns0:v>
      </ns0:c>
      <ns0:c r="N6" s="3">
        <ns0:f>'销售费用'!N6+'管理费用'!N6+'蓝恐龙费用'!N6</ns0:f>
        <ns0:v>674.79</ns0:v>
      </ns0:c>
      <ns0:c r="O6" s="3">
        <ns0:f>SUM(C6:N6)</ns0:f>
        <ns0:v>6920.26</ns0:v>
      </ns0:c>
      <ns0:c r="P6" s="2"/>
      <ns0:c r="Q6" s="2"/>
      <ns0:c r="R6" s="2"/>
      <ns0:c r="S6" s="2"/>
      <ns0:c r="T6" s="2"/>
      <ns0:c r="U6" s="2"/>
      <ns0:c r="V6" s="2"/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/>
      <ns0:c r="B7" s="2" t="inlineStr">
        <ns0:is>
          <ns0:t>五险一金</ns0:t>
        </ns0:is>
      </ns0:c>
      <ns0:c r="C7" s="3">
        <ns0:f>'销售费用'!C7+'管理费用'!C7+'蓝恐龙费用'!C7</ns0:f>
        <ns0:v>699.46</ns0:v>
      </ns0:c>
      <ns0:c r="D7" s="3">
        <ns0:f>'销售费用'!D7+'管理费用'!D7+'蓝恐龙费用'!D7</ns0:f>
        <ns0:v>534.98</ns0:v>
      </ns0:c>
      <ns0:c r="E7" s="3">
        <ns0:f>'销售费用'!E7+'管理费用'!E7+'蓝恐龙费用'!E7</ns0:f>
        <ns0:v>599.60</ns0:v>
      </ns0:c>
      <ns0:c r="F7" s="3">
        <ns0:f>'销售费用'!F7+'管理费用'!F7+'蓝恐龙费用'!F7</ns0:f>
        <ns0:v>1221.28</ns0:v>
      </ns0:c>
      <ns0:c r="G7" s="3">
        <ns0:f>'销售费用'!G7+'管理费用'!G7+'蓝恐龙费用'!G7</ns0:f>
        <ns0:v>1107.89</ns0:v>
      </ns0:c>
      <ns0:c r="H7" s="3">
        <ns0:f>'销售费用'!H7+'管理费用'!H7+'蓝恐龙费用'!H7</ns0:f>
        <ns0:v>976.95</ns0:v>
      </ns0:c>
      <ns0:c r="I7" s="3">
        <ns0:f>'销售费用'!I7+'管理费用'!I7+'蓝恐龙费用'!I7</ns0:f>
        <ns0:v>1144.86</ns0:v>
      </ns0:c>
      <ns0:c r="J7" s="3">
        <ns0:f>'销售费用'!J7+'管理费用'!J7+'蓝恐龙费用'!J7</ns0:f>
        <ns0:v>891.39</ns0:v>
      </ns0:c>
      <ns0:c r="K7" s="3">
        <ns0:f>'销售费用'!K7+'管理费用'!K7+'蓝恐龙费用'!K7</ns0:f>
        <ns0:v>742.92</ns0:v>
      </ns0:c>
      <ns0:c r="L7" s="3">
        <ns0:f>'销售费用'!L7+'管理费用'!L7+'蓝恐龙费用'!L7</ns0:f>
        <ns0:v>501.26</ns0:v>
      </ns0:c>
      <ns0:c r="M7" s="3">
        <ns0:f>'销售费用'!M7+'管理费用'!M7+'蓝恐龙费用'!M7</ns0:f>
        <ns0:v>879.75</ns0:v>
      </ns0:c>
      <ns0:c r="N7" s="3">
        <ns0:f>'销售费用'!N7+'管理费用'!N7+'蓝恐龙费用'!N7</ns0:f>
        <ns0:v>897.62</ns0:v>
      </ns0:c>
      <ns0:c r="O7" s="3">
        <ns0:f>SUM(C7:N7)</ns0:f>
        <ns0:v>10197.96</ns0:v>
      </ns0:c>
      <ns0:c r="P7" s="2"/>
      <ns0:c r="Q7" s="2"/>
      <ns0:c r="R7" s="2"/>
      <ns0:c r="S7" s="2"/>
      <ns0:c r="T7" s="2"/>
      <ns0:c r="U7" s="2"/>
      <ns0:c r="V7" s="2"/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季度</ns0:t>
        </ns0:is>
      </ns0:c>
    </ns0:row>
    <ns0:row r="8" ht="20" customHeight="1">
      <ns0:c r="A8" s="2"/>
      <ns0:c r="B8" s="2" t="inlineStr">
        <ns0:is>
          <ns0:t>福利费</ns0:t>
        </ns0:is>
      </ns0:c>
      <ns0:c r="C8" s="3">
        <ns0:f>'销售费用'!C8+'管理费用'!C8+'蓝恐龙费用'!C8</ns0:f>
        <ns0:v>620.09</ns0:v>
      </ns0:c>
      <ns0:c r="D8" s="3">
        <ns0:f>'销售费用'!D8+'管理费用'!D8+'蓝恐龙费用'!D8</ns0:f>
        <ns0:v>1026.39</ns0:v>
      </ns0:c>
      <ns0:c r="E8" s="3">
        <ns0:f>'销售费用'!E8+'管理费用'!E8+'蓝恐龙费用'!E8</ns0:f>
        <ns0:v>571.24</ns0:v>
      </ns0:c>
      <ns0:c r="F8" s="3">
        <ns0:f>'销售费用'!F8+'管理费用'!F8+'蓝恐龙费用'!F8</ns0:f>
        <ns0:v>523.82</ns0:v>
      </ns0:c>
      <ns0:c r="G8" s="3">
        <ns0:f>'销售费用'!G8+'管理费用'!G8+'蓝恐龙费用'!G8</ns0:f>
        <ns0:v>523.40</ns0:v>
      </ns0:c>
      <ns0:c r="H8" s="3">
        <ns0:f>'销售费用'!H8+'管理费用'!H8+'蓝恐龙费用'!H8</ns0:f>
        <ns0:v>1073.10</ns0:v>
      </ns0:c>
      <ns0:c r="I8" s="3">
        <ns0:f>'销售费用'!I8+'管理费用'!I8+'蓝恐龙费用'!I8</ns0:f>
        <ns0:v>621.64</ns0:v>
      </ns0:c>
      <ns0:c r="J8" s="3">
        <ns0:f>'销售费用'!J8+'管理费用'!J8+'蓝恐龙费用'!J8</ns0:f>
        <ns0:v>1008.72</ns0:v>
      </ns0:c>
      <ns0:c r="K8" s="3">
        <ns0:f>'销售费用'!K8+'管理费用'!K8+'蓝恐龙费用'!K8</ns0:f>
        <ns0:v>767.25</ns0:v>
      </ns0:c>
      <ns0:c r="L8" s="3">
        <ns0:f>'销售费用'!L8+'管理费用'!L8+'蓝恐龙费用'!L8</ns0:f>
        <ns0:v>783.15</ns0:v>
      </ns0:c>
      <ns0:c r="M8" s="3">
        <ns0:f>'销售费用'!M8+'管理费用'!M8+'蓝恐龙费用'!M8</ns0:f>
        <ns0:v>470.57</ns0:v>
      </ns0:c>
      <ns0:c r="N8" s="3">
        <ns0:f>'销售费用'!N8+'管理费用'!N8+'蓝恐龙费用'!N8</ns0:f>
        <ns0:v>1215.26</ns0:v>
      </ns0:c>
      <ns0:c r="O8" s="3">
        <ns0:f>SUM(C8:N8)</ns0:f>
        <ns0:v>9204.63</ns0:v>
      </ns0:c>
      <ns0:c r="P8" s="2"/>
      <ns0:c r="Q8" s="2"/>
      <ns0:c r="R8" s="2"/>
      <ns0:c r="S8" s="2"/>
      <ns0:c r="T8" s="2"/>
      <ns0:c r="U8" s="2"/>
      <ns0:c r="V8" s="2"/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/>
      <ns0:c r="B9" s="2" t="inlineStr">
        <ns0:is>
          <ns0:t>招聘费</ns0:t>
        </ns0:is>
      </ns0:c>
      <ns0:c r="C9" s="3">
        <ns0:f>'销售费用'!C9+'管理费用'!C9+'蓝恐龙费用'!C9</ns0:f>
        <ns0:v>797.93</ns0:v>
      </ns0:c>
      <ns0:c r="D9" s="3">
        <ns0:f>'销售费用'!D9+'管理费用'!D9+'蓝恐龙费用'!D9</ns0:f>
        <ns0:v>1023.48</ns0:v>
      </ns0:c>
      <ns0:c r="E9" s="3">
        <ns0:f>'销售费用'!E9+'管理费用'!E9+'蓝恐龙费用'!E9</ns0:f>
        <ns0:v>830.54</ns0:v>
      </ns0:c>
      <ns0:c r="F9" s="3">
        <ns0:f>'销售费用'!F9+'管理费用'!F9+'蓝恐龙费用'!F9</ns0:f>
        <ns0:v>697.56</ns0:v>
      </ns0:c>
      <ns0:c r="G9" s="3">
        <ns0:f>'销售费用'!G9+'管理费用'!G9+'蓝恐龙费用'!G9</ns0:f>
        <ns0:v>757.33</ns0:v>
      </ns0:c>
      <ns0:c r="H9" s="3">
        <ns0:f>'销售费用'!H9+'管理费用'!H9+'蓝恐龙费用'!H9</ns0:f>
        <ns0:v>618.22</ns0:v>
      </ns0:c>
      <ns0:c r="I9" s="3">
        <ns0:f>'销售费用'!I9+'管理费用'!I9+'蓝恐龙费用'!I9</ns0:f>
        <ns0:v>1012.79</ns0:v>
      </ns0:c>
      <ns0:c r="J9" s="3">
        <ns0:f>'销售费用'!J9+'管理费用'!J9+'蓝恐龙费用'!J9</ns0:f>
        <ns0:v>309.14</ns0:v>
      </ns0:c>
      <ns0:c r="K9" s="3">
        <ns0:f>'销售费用'!K9+'管理费用'!K9+'蓝恐龙费用'!K9</ns0:f>
        <ns0:v>723.69</ns0:v>
      </ns0:c>
      <ns0:c r="L9" s="3">
        <ns0:f>'销售费用'!L9+'管理费用'!L9+'蓝恐龙费用'!L9</ns0:f>
        <ns0:v>633.33</ns0:v>
      </ns0:c>
      <ns0:c r="M9" s="3">
        <ns0:f>'销售费用'!M9+'管理费用'!M9+'蓝恐龙费用'!M9</ns0:f>
        <ns0:v>668.93</ns0:v>
      </ns0:c>
      <ns0:c r="N9" s="3">
        <ns0:f>'销售费用'!N9+'管理费用'!N9+'蓝恐龙费用'!N9</ns0:f>
        <ns0:v>755.22</ns0:v>
      </ns0:c>
      <ns0:c r="O9" s="3">
        <ns0:f>SUM(C9:N9)</ns0:f>
        <ns0:v>8828.16</ns0:v>
      </ns0:c>
      <ns0:c r="P9" s="2"/>
      <ns0:c r="Q9" s="2"/>
      <ns0:c r="R9" s="2"/>
      <ns0:c r="S9" s="2"/>
      <ns0:c r="T9" s="2"/>
      <ns0:c r="U9" s="2"/>
      <ns0:c r="V9" s="2"/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/>
      <ns0:c r="B10" s="2" t="inlineStr">
        <ns0:is>
          <ns0:t>培训费</ns0:t>
        </ns0:is>
      </ns0:c>
      <ns0:c r="C10" s="3">
        <ns0:f>'销售费用'!C10+'管理费用'!C10+'蓝恐龙费用'!C10</ns0:f>
        <ns0:v>755.71</ns0:v>
      </ns0:c>
      <ns0:c r="D10" s="3">
        <ns0:f>'销售费用'!D10+'管理费用'!D10+'蓝恐龙费用'!D10</ns0:f>
        <ns0:v>874.78</ns0:v>
      </ns0:c>
      <ns0:c r="E10" s="3">
        <ns0:f>'销售费用'!E10+'管理费用'!E10+'蓝恐龙费用'!E10</ns0:f>
        <ns0:v>748.82</ns0:v>
      </ns0:c>
      <ns0:c r="F10" s="3">
        <ns0:f>'销售费用'!F10+'管理费用'!F10+'蓝恐龙费用'!F10</ns0:f>
        <ns0:v>1135.59</ns0:v>
      </ns0:c>
      <ns0:c r="G10" s="3">
        <ns0:f>'销售费用'!G10+'管理费用'!G10+'蓝恐龙费用'!G10</ns0:f>
        <ns0:v>787.22</ns0:v>
      </ns0:c>
      <ns0:c r="H10" s="3">
        <ns0:f>'销售费用'!H10+'管理费用'!H10+'蓝恐龙费用'!H10</ns0:f>
        <ns0:v>687.38</ns0:v>
      </ns0:c>
      <ns0:c r="I10" s="3">
        <ns0:f>'销售费用'!I10+'管理费用'!I10+'蓝恐龙费用'!I10</ns0:f>
        <ns0:v>740.27</ns0:v>
      </ns0:c>
      <ns0:c r="J10" s="3">
        <ns0:f>'销售费用'!J10+'管理费用'!J10+'蓝恐龙费用'!J10</ns0:f>
        <ns0:v>536.17</ns0:v>
      </ns0:c>
      <ns0:c r="K10" s="3">
        <ns0:f>'销售费用'!K10+'管理费用'!K10+'蓝恐龙费用'!K10</ns0:f>
        <ns0:v>712.59</ns0:v>
      </ns0:c>
      <ns0:c r="L10" s="3">
        <ns0:f>'销售费用'!L10+'管理费用'!L10+'蓝恐龙费用'!L10</ns0:f>
        <ns0:v>976.11</ns0:v>
      </ns0:c>
      <ns0:c r="M10" s="3">
        <ns0:f>'销售费用'!M10+'管理费用'!M10+'蓝恐龙费用'!M10</ns0:f>
        <ns0:v>423.00</ns0:v>
      </ns0:c>
      <ns0:c r="N10" s="3">
        <ns0:f>'销售费用'!N10+'管理费用'!N10+'蓝恐龙费用'!N10</ns0:f>
        <ns0:v>550.34</ns0:v>
      </ns0:c>
      <ns0:c r="O10" s="3">
        <ns0:f>SUM(C10:N10)</ns0:f>
        <ns0:v>8927.98</ns0:v>
      </ns0:c>
      <ns0:c r="P10" s="2"/>
      <ns0:c r="Q10" s="2"/>
      <ns0:c r="R10" s="2"/>
      <ns0:c r="S10" s="2"/>
      <ns0:c r="T10" s="2"/>
      <ns0:c r="U10" s="2"/>
      <ns0:c r="V10" s="2"/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/>
      <ns0:c r="B11" s="2" t="inlineStr">
        <ns0:is>
          <ns0:t>房租</ns0:t>
        </ns0:is>
      </ns0:c>
      <ns0:c r="C11" s="3">
        <ns0:f>'销售费用'!C11+'管理费用'!C11+'蓝恐龙费用'!C11</ns0:f>
        <ns0:v>520.27</ns0:v>
      </ns0:c>
      <ns0:c r="D11" s="3">
        <ns0:f>'销售费用'!D11+'管理费用'!D11+'蓝恐龙费用'!D11</ns0:f>
        <ns0:v>1101.50</ns0:v>
      </ns0:c>
      <ns0:c r="E11" s="3">
        <ns0:f>'销售费用'!E11+'管理费用'!E11+'蓝恐龙费用'!E11</ns0:f>
        <ns0:v>580.00</ns0:v>
      </ns0:c>
      <ns0:c r="F11" s="3">
        <ns0:f>'销售费用'!F11+'管理费用'!F11+'蓝恐龙费用'!F11</ns0:f>
        <ns0:v>500.89</ns0:v>
      </ns0:c>
      <ns0:c r="G11" s="3">
        <ns0:f>'销售费用'!G11+'管理费用'!G11+'蓝恐龙费用'!G11</ns0:f>
        <ns0:v>638.01</ns0:v>
      </ns0:c>
      <ns0:c r="H11" s="3">
        <ns0:f>'销售费用'!H11+'管理费用'!H11+'蓝恐龙费用'!H11</ns0:f>
        <ns0:v>1100.96</ns0:v>
      </ns0:c>
      <ns0:c r="I11" s="3">
        <ns0:f>'销售费用'!I11+'管理费用'!I11+'蓝恐龙费用'!I11</ns0:f>
        <ns0:v>822.45</ns0:v>
      </ns0:c>
      <ns0:c r="J11" s="3">
        <ns0:f>'销售费用'!J11+'管理费用'!J11+'蓝恐龙费用'!J11</ns0:f>
        <ns0:v>585.58</ns0:v>
      </ns0:c>
      <ns0:c r="K11" s="3">
        <ns0:f>'销售费用'!K11+'管理费用'!K11+'蓝恐龙费用'!K11</ns0:f>
        <ns0:v>511.44</ns0:v>
      </ns0:c>
      <ns0:c r="L11" s="3">
        <ns0:f>'销售费用'!L11+'管理费用'!L11+'蓝恐龙费用'!L11</ns0:f>
        <ns0:v>366.56</ns0:v>
      </ns0:c>
      <ns0:c r="M11" s="3">
        <ns0:f>'销售费用'!M11+'管理费用'!M11+'蓝恐龙费用'!M11</ns0:f>
        <ns0:v>594.69</ns0:v>
      </ns0:c>
      <ns0:c r="N11" s="3">
        <ns0:f>'销售费用'!N11+'管理费用'!N11+'蓝恐龙费用'!N11</ns0:f>
        <ns0:v>851.92</ns0:v>
      </ns0:c>
      <ns0:c r="O11" s="3">
        <ns0:f>SUM(C11:N11)</ns0:f>
        <ns0:v>8174.27</ns0:v>
      </ns0:c>
      <ns0:c r="P11" s="2"/>
      <ns0:c r="Q11" s="2"/>
      <ns0:c r="R11" s="2"/>
      <ns0:c r="S11" s="2"/>
      <ns0:c r="T11" s="2"/>
      <ns0:c r="U11" s="2"/>
      <ns0:c r="V11" s="2"/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/>
      <ns0:c r="B12" s="2" t="inlineStr">
        <ns0:is>
          <ns0:t>物业管理费</ns0:t>
        </ns0:is>
      </ns0:c>
      <ns0:c r="C12" s="3">
        <ns0:f>'销售费用'!C12+'管理费用'!C12+'蓝恐龙费用'!C12</ns0:f>
        <ns0:v>511.27</ns0:v>
      </ns0:c>
      <ns0:c r="D12" s="3">
        <ns0:f>'销售费用'!D12+'管理费用'!D12+'蓝恐龙费用'!D12</ns0:f>
        <ns0:v>427.09</ns0:v>
      </ns0:c>
      <ns0:c r="E12" s="3">
        <ns0:f>'销售费用'!E12+'管理费用'!E12+'蓝恐龙费用'!E12</ns0:f>
        <ns0:v>1174.71</ns0:v>
      </ns0:c>
      <ns0:c r="F12" s="3">
        <ns0:f>'销售费用'!F12+'管理费用'!F12+'蓝恐龙费用'!F12</ns0:f>
        <ns0:v>684.52</ns0:v>
      </ns0:c>
      <ns0:c r="G12" s="3">
        <ns0:f>'销售费用'!G12+'管理费用'!G12+'蓝恐龙费用'!G12</ns0:f>
        <ns0:v>833.20</ns0:v>
      </ns0:c>
      <ns0:c r="H12" s="3">
        <ns0:f>'销售费用'!H12+'管理费用'!H12+'蓝恐龙费用'!H12</ns0:f>
        <ns0:v>794.13</ns0:v>
      </ns0:c>
      <ns0:c r="I12" s="3">
        <ns0:f>'销售费用'!I12+'管理费用'!I12+'蓝恐龙费用'!I12</ns0:f>
        <ns0:v>943.40</ns0:v>
      </ns0:c>
      <ns0:c r="J12" s="3">
        <ns0:f>'销售费用'!J12+'管理费用'!J12+'蓝恐龙费用'!J12</ns0:f>
        <ns0:v>508.01</ns0:v>
      </ns0:c>
      <ns0:c r="K12" s="3">
        <ns0:f>'销售费用'!K12+'管理费用'!K12+'蓝恐龙费用'!K12</ns0:f>
        <ns0:v>984.55</ns0:v>
      </ns0:c>
      <ns0:c r="L12" s="3">
        <ns0:f>'销售费用'!L12+'管理费用'!L12+'蓝恐龙费用'!L12</ns0:f>
        <ns0:v>869.30</ns0:v>
      </ns0:c>
      <ns0:c r="M12" s="3">
        <ns0:f>'销售费用'!M12+'管理费用'!M12+'蓝恐龙费用'!M12</ns0:f>
        <ns0:v>884.72</ns0:v>
      </ns0:c>
      <ns0:c r="N12" s="3">
        <ns0:f>'销售费用'!N12+'管理费用'!N12+'蓝恐龙费用'!N12</ns0:f>
        <ns0:v>614.23</ns0:v>
      </ns0:c>
      <ns0:c r="O12" s="3">
        <ns0:f>SUM(C12:N12)</ns0:f>
        <ns0:v>9229.13</ns0:v>
      </ns0:c>
      <ns0:c r="P12" s="2"/>
      <ns0:c r="Q12" s="2"/>
      <ns0:c r="R12" s="2"/>
      <ns0:c r="S12" s="2"/>
      <ns0:c r="T12" s="2"/>
      <ns0:c r="U12" s="2"/>
      <ns0:c r="V12" s="2"/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/>
      <ns0:c r="B13" s="2" t="inlineStr">
        <ns0:is>
          <ns0:t>汽车费用</ns0:t>
        </ns0:is>
      </ns0:c>
      <ns0:c r="C13" s="3">
        <ns0:f>'销售费用'!C13+'管理费用'!C13+'蓝恐龙费用'!C13</ns0:f>
        <ns0:v>1056.06</ns0:v>
      </ns0:c>
      <ns0:c r="D13" s="3">
        <ns0:f>'销售费用'!D13+'管理费用'!D13+'蓝恐龙费用'!D13</ns0:f>
        <ns0:v>936.93</ns0:v>
      </ns0:c>
      <ns0:c r="E13" s="3">
        <ns0:f>'销售费用'!E13+'管理费用'!E13+'蓝恐龙费用'!E13</ns0:f>
        <ns0:v>562.04</ns0:v>
      </ns0:c>
      <ns0:c r="F13" s="3">
        <ns0:f>'销售费用'!F13+'管理费用'!F13+'蓝恐龙费用'!F13</ns0:f>
        <ns0:v>536.56</ns0:v>
      </ns0:c>
      <ns0:c r="G13" s="3">
        <ns0:f>'销售费用'!G13+'管理费用'!G13+'蓝恐龙费用'!G13</ns0:f>
        <ns0:v>403.03</ns0:v>
      </ns0:c>
      <ns0:c r="H13" s="3">
        <ns0:f>'销售费用'!H13+'管理费用'!H13+'蓝恐龙费用'!H13</ns0:f>
        <ns0:v>738.81</ns0:v>
      </ns0:c>
      <ns0:c r="I13" s="3">
        <ns0:f>'销售费用'!I13+'管理费用'!I13+'蓝恐龙费用'!I13</ns0:f>
        <ns0:v>1033.67</ns0:v>
      </ns0:c>
      <ns0:c r="J13" s="3">
        <ns0:f>'销售费用'!J13+'管理费用'!J13+'蓝恐龙费用'!J13</ns0:f>
        <ns0:v>604.75</ns0:v>
      </ns0:c>
      <ns0:c r="K13" s="3">
        <ns0:f>'销售费用'!K13+'管理费用'!K13+'蓝恐龙费用'!K13</ns0:f>
        <ns0:v>877.54</ns0:v>
      </ns0:c>
      <ns0:c r="L13" s="3">
        <ns0:f>'销售费用'!L13+'管理费用'!L13+'蓝恐龙费用'!L13</ns0:f>
        <ns0:v>1105.49</ns0:v>
      </ns0:c>
      <ns0:c r="M13" s="3">
        <ns0:f>'销售费用'!M13+'管理费用'!M13+'蓝恐龙费用'!M13</ns0:f>
        <ns0:v>786.35</ns0:v>
      </ns0:c>
      <ns0:c r="N13" s="3">
        <ns0:f>'销售费用'!N13+'管理费用'!N13+'蓝恐龙费用'!N13</ns0:f>
        <ns0:v>675.39</ns0:v>
      </ns0:c>
      <ns0:c r="O13" s="3">
        <ns0:f>SUM(C13:N13)</ns0:f>
        <ns0:v>9316.62</ns0:v>
      </ns0:c>
      <ns0:c r="P13" s="2"/>
      <ns0:c r="Q13" s="2"/>
      <ns0:c r="R13" s="2"/>
      <ns0:c r="S13" s="2"/>
      <ns0:c r="T13" s="2"/>
      <ns0:c r="U13" s="2"/>
      <ns0:c r="V13" s="2"/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/>
      <ns0:c r="B14" s="2" t="inlineStr">
        <ns0:is>
          <ns0:t>办公费</ns0:t>
        </ns0:is>
      </ns0:c>
      <ns0:c r="C14" s="3">
        <ns0:f>'销售费用'!C14+'管理费用'!C14+'蓝恐龙费用'!C14</ns0:f>
        <ns0:v>721.98</ns0:v>
      </ns0:c>
      <ns0:c r="D14" s="3">
        <ns0:f>'销售费用'!D14+'管理费用'!D14+'蓝恐龙费用'!D14</ns0:f>
        <ns0:v>587.83</ns0:v>
      </ns0:c>
      <ns0:c r="E14" s="3">
        <ns0:f>'销售费用'!E14+'管理费用'!E14+'蓝恐龙费用'!E14</ns0:f>
        <ns0:v>965.63</ns0:v>
      </ns0:c>
      <ns0:c r="F14" s="3">
        <ns0:f>'销售费用'!F14+'管理费用'!F14+'蓝恐龙费用'!F14</ns0:f>
        <ns0:v>768.08</ns0:v>
      </ns0:c>
      <ns0:c r="G14" s="3">
        <ns0:f>'销售费用'!G14+'管理费用'!G14+'蓝恐龙费用'!G14</ns0:f>
        <ns0:v>538.32</ns0:v>
      </ns0:c>
      <ns0:c r="H14" s="3">
        <ns0:f>'销售费用'!H14+'管理费用'!H14+'蓝恐龙费用'!H14</ns0:f>
        <ns0:v>553.27</ns0:v>
      </ns0:c>
      <ns0:c r="I14" s="3">
        <ns0:f>'销售费用'!I14+'管理费用'!I14+'蓝恐龙费用'!I14</ns0:f>
        <ns0:v>841.58</ns0:v>
      </ns0:c>
      <ns0:c r="J14" s="3">
        <ns0:f>'销售费用'!J14+'管理费用'!J14+'蓝恐龙费用'!J14</ns0:f>
        <ns0:v>564.86</ns0:v>
      </ns0:c>
      <ns0:c r="K14" s="3">
        <ns0:f>'销售费用'!K14+'管理费用'!K14+'蓝恐龙费用'!K14</ns0:f>
        <ns0:v>901.44</ns0:v>
      </ns0:c>
      <ns0:c r="L14" s="3">
        <ns0:f>'销售费用'!L14+'管理费用'!L14+'蓝恐龙费用'!L14</ns0:f>
        <ns0:v>687.14</ns0:v>
      </ns0:c>
      <ns0:c r="M14" s="3">
        <ns0:f>'销售费用'!M14+'管理费用'!M14+'蓝恐龙费用'!M14</ns0:f>
        <ns0:v>859.11</ns0:v>
      </ns0:c>
      <ns0:c r="N14" s="3">
        <ns0:f>'销售费用'!N14+'管理费用'!N14+'蓝恐龙费用'!N14</ns0:f>
        <ns0:v>752.67</ns0:v>
      </ns0:c>
      <ns0:c r="O14" s="3">
        <ns0:f>SUM(C14:N14)</ns0:f>
        <ns0:v>8741.91</ns0:v>
      </ns0:c>
      <ns0:c r="P14" s="2"/>
      <ns0:c r="Q14" s="2"/>
      <ns0:c r="R14" s="2"/>
      <ns0:c r="S14" s="2"/>
      <ns0:c r="T14" s="2"/>
      <ns0:c r="U14" s="2"/>
      <ns0:c r="V14" s="2"/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/>
      <ns0:c r="B15" s="2" t="inlineStr">
        <ns0:is>
          <ns0:t>办公用品</ns0:t>
        </ns0:is>
      </ns0:c>
      <ns0:c r="C15" s="3">
        <ns0:f>'销售费用'!C15+'管理费用'!C15+'蓝恐龙费用'!C15</ns0:f>
        <ns0:v>679.21</ns0:v>
      </ns0:c>
      <ns0:c r="D15" s="3">
        <ns0:f>'销售费用'!D15+'管理费用'!D15+'蓝恐龙费用'!D15</ns0:f>
        <ns0:v>447.10</ns0:v>
      </ns0:c>
      <ns0:c r="E15" s="3">
        <ns0:f>'销售费用'!E15+'管理费用'!E15+'蓝恐龙费用'!E15</ns0:f>
        <ns0:v>822.45</ns0:v>
      </ns0:c>
      <ns0:c r="F15" s="3">
        <ns0:f>'销售费用'!F15+'管理费用'!F15+'蓝恐龙费用'!F15</ns0:f>
        <ns0:v>508.38</ns0:v>
      </ns0:c>
      <ns0:c r="G15" s="3">
        <ns0:f>'销售费用'!G15+'管理费用'!G15+'蓝恐龙费用'!G15</ns0:f>
        <ns0:v>486.25</ns0:v>
      </ns0:c>
      <ns0:c r="H15" s="3">
        <ns0:f>'销售费用'!H15+'管理费用'!H15+'蓝恐龙费用'!H15</ns0:f>
        <ns0:v>667.81</ns0:v>
      </ns0:c>
      <ns0:c r="I15" s="3">
        <ns0:f>'销售费用'!I15+'管理费用'!I15+'蓝恐龙费用'!I15</ns0:f>
        <ns0:v>605.85</ns0:v>
      </ns0:c>
      <ns0:c r="J15" s="3">
        <ns0:f>'销售费用'!J15+'管理费用'!J15+'蓝恐龙费用'!J15</ns0:f>
        <ns0:v>750.91</ns0:v>
      </ns0:c>
      <ns0:c r="K15" s="3">
        <ns0:f>'销售费用'!K15+'管理费用'!K15+'蓝恐龙费用'!K15</ns0:f>
        <ns0:v>667.37</ns0:v>
      </ns0:c>
      <ns0:c r="L15" s="3">
        <ns0:f>'销售费用'!L15+'管理费用'!L15+'蓝恐龙费用'!L15</ns0:f>
        <ns0:v>592.54</ns0:v>
      </ns0:c>
      <ns0:c r="M15" s="3">
        <ns0:f>'销售费用'!M15+'管理费用'!M15+'蓝恐龙费用'!M15</ns0:f>
        <ns0:v>462.46</ns0:v>
      </ns0:c>
      <ns0:c r="N15" s="3">
        <ns0:f>'销售费用'!N15+'管理费用'!N15+'蓝恐龙费用'!N15</ns0:f>
        <ns0:v>1137.59</ns0:v>
      </ns0:c>
      <ns0:c r="O15" s="3">
        <ns0:f>SUM(C15:N15)</ns0:f>
        <ns0:v>7827.92</ns0:v>
      </ns0:c>
      <ns0:c r="P15" s="2"/>
      <ns0:c r="Q15" s="2"/>
      <ns0:c r="R15" s="2"/>
      <ns0:c r="S15" s="2"/>
      <ns0:c r="T15" s="2"/>
      <ns0:c r="U15" s="2"/>
      <ns0:c r="V15" s="2"/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/>
      <ns0:c r="B16" s="2" t="inlineStr">
        <ns0:is>
          <ns0:t>水电煤</ns0:t>
        </ns0:is>
      </ns0:c>
      <ns0:c r="C16" s="3">
        <ns0:f>'销售费用'!C16+'管理费用'!C16+'蓝恐龙费用'!C16</ns0:f>
        <ns0:v>670.44</ns0:v>
      </ns0:c>
      <ns0:c r="D16" s="3">
        <ns0:f>'销售费用'!D16+'管理费用'!D16+'蓝恐龙费用'!D16</ns0:f>
        <ns0:v>324.98</ns0:v>
      </ns0:c>
      <ns0:c r="E16" s="3">
        <ns0:f>'销售费用'!E16+'管理费用'!E16+'蓝恐龙费用'!E16</ns0:f>
        <ns0:v>464.60</ns0:v>
      </ns0:c>
      <ns0:c r="F16" s="3">
        <ns0:f>'销售费用'!F16+'管理费用'!F16+'蓝恐龙费用'!F16</ns0:f>
        <ns0:v>763.74</ns0:v>
      </ns0:c>
      <ns0:c r="G16" s="3">
        <ns0:f>'销售费用'!G16+'管理费用'!G16+'蓝恐龙费用'!G16</ns0:f>
        <ns0:v>627.23</ns0:v>
      </ns0:c>
      <ns0:c r="H16" s="3">
        <ns0:f>'销售费用'!H16+'管理费用'!H16+'蓝恐龙费用'!H16</ns0:f>
        <ns0:v>494.09</ns0:v>
      </ns0:c>
      <ns0:c r="I16" s="3">
        <ns0:f>'销售费用'!I16+'管理费用'!I16+'蓝恐龙费用'!I16</ns0:f>
        <ns0:v>334.24</ns0:v>
      </ns0:c>
      <ns0:c r="J16" s="3">
        <ns0:f>'销售费用'!J16+'管理费用'!J16+'蓝恐龙费用'!J16</ns0:f>
        <ns0:v>810.79</ns0:v>
      </ns0:c>
      <ns0:c r="K16" s="3">
        <ns0:f>'销售费用'!K16+'管理费用'!K16+'蓝恐龙费用'!K16</ns0:f>
        <ns0:v>926.66</ns0:v>
      </ns0:c>
      <ns0:c r="L16" s="3">
        <ns0:f>'销售费用'!L16+'管理费用'!L16+'蓝恐龙费用'!L16</ns0:f>
        <ns0:v>1233.26</ns0:v>
      </ns0:c>
      <ns0:c r="M16" s="3">
        <ns0:f>'销售费用'!M16+'管理费用'!M16+'蓝恐龙费用'!M16</ns0:f>
        <ns0:v>795.49</ns0:v>
      </ns0:c>
      <ns0:c r="N16" s="3">
        <ns0:f>'销售费用'!N16+'管理费用'!N16+'蓝恐龙费用'!N16</ns0:f>
        <ns0:v>1072.32</ns0:v>
      </ns0:c>
      <ns0:c r="O16" s="3">
        <ns0:f>SUM(C16:N16)</ns0:f>
        <ns0:v>8517.84</ns0:v>
      </ns0:c>
      <ns0:c r="P16" s="2"/>
      <ns0:c r="Q16" s="2"/>
      <ns0:c r="R16" s="2"/>
      <ns0:c r="S16" s="2"/>
      <ns0:c r="T16" s="2"/>
      <ns0:c r="U16" s="2"/>
      <ns0:c r="V16" s="2"/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预算基础</ns0:t>
        </ns0:is>
      </ns0:c>
    </ns0:row>
    <ns0:row r="17" ht="20" customHeight="1">
      <ns0:c r="A17" s="2"/>
      <ns0:c r="B17" s="2" t="inlineStr">
        <ns0:is>
          <ns0:t>咨询服务费</ns0:t>
        </ns0:is>
      </ns0:c>
      <ns0:c r="C17" s="3">
        <ns0:f>'销售费用'!C17+'管理费用'!C17+'蓝恐龙费用'!C17</ns0:f>
        <ns0:v>338.87</ns0:v>
      </ns0:c>
      <ns0:c r="D17" s="3">
        <ns0:f>'销售费用'!D17+'管理费用'!D17+'蓝恐龙费用'!D17</ns0:f>
        <ns0:v>742.62</ns0:v>
      </ns0:c>
      <ns0:c r="E17" s="3">
        <ns0:f>'销售费用'!E17+'管理费用'!E17+'蓝恐龙费用'!E17</ns0:f>
        <ns0:v>716.74</ns0:v>
      </ns0:c>
      <ns0:c r="F17" s="3">
        <ns0:f>'销售费用'!F17+'管理费用'!F17+'蓝恐龙费用'!F17</ns0:f>
        <ns0:v>894.70</ns0:v>
      </ns0:c>
      <ns0:c r="G17" s="3">
        <ns0:f>'销售费用'!G17+'管理费用'!G17+'蓝恐龙费用'!G17</ns0:f>
        <ns0:v>486.92</ns0:v>
      </ns0:c>
      <ns0:c r="H17" s="3">
        <ns0:f>'销售费用'!H17+'管理费用'!H17+'蓝恐龙费用'!H17</ns0:f>
        <ns0:v>456.17</ns0:v>
      </ns0:c>
      <ns0:c r="I17" s="3">
        <ns0:f>'销售费用'!I17+'管理费用'!I17+'蓝恐龙费用'!I17</ns0:f>
        <ns0:v>1013.21</ns0:v>
      </ns0:c>
      <ns0:c r="J17" s="3">
        <ns0:f>'销售费用'!J17+'管理费用'!J17+'蓝恐龙费用'!J17</ns0:f>
        <ns0:v>702.49</ns0:v>
      </ns0:c>
      <ns0:c r="K17" s="3">
        <ns0:f>'销售费用'!K17+'管理费用'!K17+'蓝恐龙费用'!K17</ns0:f>
        <ns0:v>592.14</ns0:v>
      </ns0:c>
      <ns0:c r="L17" s="3">
        <ns0:f>'销售费用'!L17+'管理费用'!L17+'蓝恐龙费用'!L17</ns0:f>
        <ns0:v>1064.81</ns0:v>
      </ns0:c>
      <ns0:c r="M17" s="3">
        <ns0:f>'销售费用'!M17+'管理费用'!M17+'蓝恐龙费用'!M17</ns0:f>
        <ns0:v>645.06</ns0:v>
      </ns0:c>
      <ns0:c r="N17" s="3">
        <ns0:f>'销售费用'!N17+'管理费用'!N17+'蓝恐龙费用'!N17</ns0:f>
        <ns0:v>750.81</ns0:v>
      </ns0:c>
      <ns0:c r="O17" s="3">
        <ns0:f>SUM(C17:N17)</ns0:f>
        <ns0:v>8404.54</ns0:v>
      </ns0:c>
      <ns0:c r="P17" s="2"/>
      <ns0:c r="Q17" s="2"/>
      <ns0:c r="R17" s="2"/>
      <ns0:c r="S17" s="2"/>
      <ns0:c r="T17" s="2"/>
      <ns0:c r="U17" s="2"/>
      <ns0:c r="V17" s="2"/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蓝色为预算基础输入参数；示例数值为占位；金额单位：元</ns0:t>
        </ns0:is>
      </ns0:c>
    </ns0:row>
    <ns0:row r="18" ht="20" customHeight="1">
      <ns0:c r="A18" s="2"/>
      <ns0:c r="B18" s="2" t="inlineStr">
        <ns0:is>
          <ns0:t>电话费</ns0:t>
        </ns0:is>
      </ns0:c>
      <ns0:c r="C18" s="3">
        <ns0:f>'销售费用'!C18+'管理费用'!C18+'蓝恐龙费用'!C18</ns0:f>
        <ns0:v>367.08</ns0:v>
      </ns0:c>
      <ns0:c r="D18" s="3">
        <ns0:f>'销售费用'!D18+'管理费用'!D18+'蓝恐龙费用'!D18</ns0:f>
        <ns0:v>740.73</ns0:v>
      </ns0:c>
      <ns0:c r="E18" s="3">
        <ns0:f>'销售费用'!E18+'管理费用'!E18+'蓝恐龙费用'!E18</ns0:f>
        <ns0:v>997.85</ns0:v>
      </ns0:c>
      <ns0:c r="F18" s="3">
        <ns0:f>'销售费用'!F18+'管理费用'!F18+'蓝恐龙费用'!F18</ns0:f>
        <ns0:v>663.17</ns0:v>
      </ns0:c>
      <ns0:c r="G18" s="3">
        <ns0:f>'销售费用'!G18+'管理费用'!G18+'蓝恐龙费用'!G18</ns0:f>
        <ns0:v>447.49</ns0:v>
      </ns0:c>
      <ns0:c r="H18" s="3">
        <ns0:f>'销售费用'!H18+'管理费用'!H18+'蓝恐龙费用'!H18</ns0:f>
        <ns0:v>360.11</ns0:v>
      </ns0:c>
      <ns0:c r="I18" s="3">
        <ns0:f>'销售费用'!I18+'管理费用'!I18+'蓝恐龙费用'!I18</ns0:f>
        <ns0:v>523.54</ns0:v>
      </ns0:c>
      <ns0:c r="J18" s="3">
        <ns0:f>'销售费用'!J18+'管理费用'!J18+'蓝恐龙费用'!J18</ns0:f>
        <ns0:v>537.07</ns0:v>
      </ns0:c>
      <ns0:c r="K18" s="3">
        <ns0:f>'销售费用'!K18+'管理费用'!K18+'蓝恐龙费用'!K18</ns0:f>
        <ns0:v>570.72</ns0:v>
      </ns0:c>
      <ns0:c r="L18" s="3">
        <ns0:f>'销售费用'!L18+'管理费用'!L18+'蓝恐龙费用'!L18</ns0:f>
        <ns0:v>397.03</ns0:v>
      </ns0:c>
      <ns0:c r="M18" s="3">
        <ns0:f>'销售费用'!M18+'管理费用'!M18+'蓝恐龙费用'!M18</ns0:f>
        <ns0:v>434.87</ns0:v>
      </ns0:c>
      <ns0:c r="N18" s="3">
        <ns0:f>'销售费用'!N18+'管理费用'!N18+'蓝恐龙费用'!N18</ns0:f>
        <ns0:v>1090.67</ns0:v>
      </ns0:c>
      <ns0:c r="O18" s="3">
        <ns0:f>SUM(C18:N18)</ns0:f>
        <ns0:v>7130.33</ns0:v>
      </ns0:c>
      <ns0:c r="P18" s="2"/>
      <ns0:c r="Q18" s="2"/>
      <ns0:c r="R18" s="2"/>
      <ns0:c r="S18" s="2"/>
      <ns0:c r="T18" s="2"/>
      <ns0:c r="U18" s="2"/>
      <ns0:c r="V18" s="2"/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/>
      <ns0:c r="B19" s="2" t="inlineStr">
        <ns0:is>
          <ns0:t>快递费</ns0:t>
        </ns0:is>
      </ns0:c>
      <ns0:c r="C19" s="3">
        <ns0:f>'销售费用'!C19+'管理费用'!C19+'蓝恐龙费用'!C19</ns0:f>
        <ns0:v>530.06</ns0:v>
      </ns0:c>
      <ns0:c r="D19" s="3">
        <ns0:f>'销售费用'!D19+'管理费用'!D19+'蓝恐龙费用'!D19</ns0:f>
        <ns0:v>500.65</ns0:v>
      </ns0:c>
      <ns0:c r="E19" s="3">
        <ns0:f>'销售费用'!E19+'管理费用'!E19+'蓝恐龙费用'!E19</ns0:f>
        <ns0:v>1080.01</ns0:v>
      </ns0:c>
      <ns0:c r="F19" s="3">
        <ns0:f>'销售费用'!F19+'管理费用'!F19+'蓝恐龙费用'!F19</ns0:f>
        <ns0:v>863.72</ns0:v>
      </ns0:c>
      <ns0:c r="G19" s="3">
        <ns0:f>'销售费用'!G19+'管理费用'!G19+'蓝恐龙费用'!G19</ns0:f>
        <ns0:v>746.84</ns0:v>
      </ns0:c>
      <ns0:c r="H19" s="3">
        <ns0:f>'销售费用'!H19+'管理费用'!H19+'蓝恐龙费用'!H19</ns0:f>
        <ns0:v>544.57</ns0:v>
      </ns0:c>
      <ns0:c r="I19" s="3">
        <ns0:f>'销售费用'!I19+'管理费用'!I19+'蓝恐龙费用'!I19</ns0:f>
        <ns0:v>502.15</ns0:v>
      </ns0:c>
      <ns0:c r="J19" s="3">
        <ns0:f>'销售费用'!J19+'管理费用'!J19+'蓝恐龙费用'!J19</ns0:f>
        <ns0:v>604.24</ns0:v>
      </ns0:c>
      <ns0:c r="K19" s="3">
        <ns0:f>'销售费用'!K19+'管理费用'!K19+'蓝恐龙费用'!K19</ns0:f>
        <ns0:v>749.03</ns0:v>
      </ns0:c>
      <ns0:c r="L19" s="3">
        <ns0:f>'销售费用'!L19+'管理费用'!L19+'蓝恐龙费用'!L19</ns0:f>
        <ns0:v>373.71</ns0:v>
      </ns0:c>
      <ns0:c r="M19" s="3">
        <ns0:f>'销售费用'!M19+'管理费用'!M19+'蓝恐龙费用'!M19</ns0:f>
        <ns0:v>570.33</ns0:v>
      </ns0:c>
      <ns0:c r="N19" s="3">
        <ns0:f>'销售费用'!N19+'管理费用'!N19+'蓝恐龙费用'!N19</ns0:f>
        <ns0:v>1336.00</ns0:v>
      </ns0:c>
      <ns0:c r="O19" s="3">
        <ns0:f>SUM(C19:N19)</ns0:f>
        <ns0:v>8401.31</ns0:v>
      </ns0:c>
      <ns0:c r="P19" s="2"/>
      <ns0:c r="Q19" s="2"/>
      <ns0:c r="R19" s="2"/>
      <ns0:c r="S19" s="2"/>
      <ns0:c r="T19" s="2"/>
      <ns0:c r="U19" s="2"/>
      <ns0:c r="V19" s="2"/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/>
      <ns0:c r="B20" s="2" t="inlineStr">
        <ns0:is>
          <ns0:t>折旧及摊销</ns0:t>
        </ns0:is>
      </ns0:c>
      <ns0:c r="C20" s="3">
        <ns0:f>'销售费用'!C20+'管理费用'!C20+'蓝恐龙费用'!C20</ns0:f>
        <ns0:v>1788.87</ns0:v>
      </ns0:c>
      <ns0:c r="D20" s="3">
        <ns0:f>'销售费用'!D20+'管理费用'!D20+'蓝恐龙费用'!D20</ns0:f>
        <ns0:v>1788.87</ns0:v>
      </ns0:c>
      <ns0:c r="E20" s="3">
        <ns0:f>'销售费用'!E20+'管理费用'!E20+'蓝恐龙费用'!E20</ns0:f>
        <ns0:v>1788.87</ns0:v>
      </ns0:c>
      <ns0:c r="F20" s="3">
        <ns0:f>'销售费用'!F20+'管理费用'!F20+'蓝恐龙费用'!F20</ns0:f>
        <ns0:v>1788.87</ns0:v>
      </ns0:c>
      <ns0:c r="G20" s="3">
        <ns0:f>'销售费用'!G20+'管理费用'!G20+'蓝恐龙费用'!G20</ns0:f>
        <ns0:v>1788.87</ns0:v>
      </ns0:c>
      <ns0:c r="H20" s="3">
        <ns0:f>'销售费用'!H20+'管理费用'!H20+'蓝恐龙费用'!H20</ns0:f>
        <ns0:v>1788.87</ns0:v>
      </ns0:c>
      <ns0:c r="I20" s="3">
        <ns0:f>'销售费用'!I20+'管理费用'!I20+'蓝恐龙费用'!I20</ns0:f>
        <ns0:v>1788.87</ns0:v>
      </ns0:c>
      <ns0:c r="J20" s="3">
        <ns0:f>'销售费用'!J20+'管理费用'!J20+'蓝恐龙费用'!J20</ns0:f>
        <ns0:v>1788.87</ns0:v>
      </ns0:c>
      <ns0:c r="K20" s="3">
        <ns0:f>'销售费用'!K20+'管理费用'!K20+'蓝恐龙费用'!K20</ns0:f>
        <ns0:v>1788.87</ns0:v>
      </ns0:c>
      <ns0:c r="L20" s="3">
        <ns0:f>'销售费用'!L20+'管理费用'!L20+'蓝恐龙费用'!L20</ns0:f>
        <ns0:v>1788.87</ns0:v>
      </ns0:c>
      <ns0:c r="M20" s="3">
        <ns0:f>'销售费用'!M20+'管理费用'!M20+'蓝恐龙费用'!M20</ns0:f>
        <ns0:v>1788.87</ns0:v>
      </ns0:c>
      <ns0:c r="N20" s="3">
        <ns0:f>'销售费用'!N20+'管理费用'!N20+'蓝恐龙费用'!N20</ns0:f>
        <ns0:v>1788.87</ns0:v>
      </ns0:c>
      <ns0:c r="O20" s="3">
        <ns0:f>SUM(C20:N20)</ns0:f>
        <ns0:v>21466.44</ns0:v>
      </ns0:c>
      <ns0:c r="P20" s="2"/>
      <ns0:c r="Q20" s="2"/>
      <ns0:c r="R20" s="2"/>
      <ns0:c r="S20" s="2"/>
      <ns0:c r="T20" s="2"/>
      <ns0:c r="U20" s="2"/>
      <ns0:c r="V20" s="2"/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 t="inlineStr">
        <ns0:is>
          <ns0:t>差旅费</ns0:t>
        </ns0:is>
      </ns0:c>
      <ns0:c r="B21" s="2" t="inlineStr">
        <ns0:is>
          <ns0:t>机票火车票</ns0:t>
        </ns0:is>
      </ns0:c>
      <ns0:c r="C21" s="3">
        <ns0:f>'销售费用'!C21+'管理费用'!C21+'蓝恐龙费用'!C21</ns0:f>
        <ns0:v>816.76</ns0:v>
      </ns0:c>
      <ns0:c r="D21" s="3">
        <ns0:f>'销售费用'!D21+'管理费用'!D21+'蓝恐龙费用'!D21</ns0:f>
        <ns0:v>475.08</ns0:v>
      </ns0:c>
      <ns0:c r="E21" s="3">
        <ns0:f>'销售费用'!E21+'管理费用'!E21+'蓝恐龙费用'!E21</ns0:f>
        <ns0:v>833.11</ns0:v>
      </ns0:c>
      <ns0:c r="F21" s="3">
        <ns0:f>'销售费用'!F21+'管理费用'!F21+'蓝恐龙费用'!F21</ns0:f>
        <ns0:v>747.02</ns0:v>
      </ns0:c>
      <ns0:c r="G21" s="3">
        <ns0:f>'销售费用'!G21+'管理费用'!G21+'蓝恐龙费用'!G21</ns0:f>
        <ns0:v>895.92</ns0:v>
      </ns0:c>
      <ns0:c r="H21" s="3">
        <ns0:f>'销售费用'!H21+'管理费用'!H21+'蓝恐龙费用'!H21</ns0:f>
        <ns0:v>1166.00</ns0:v>
      </ns0:c>
      <ns0:c r="I21" s="3">
        <ns0:f>'销售费用'!I21+'管理费用'!I21+'蓝恐龙费用'!I21</ns0:f>
        <ns0:v>1160.24</ns0:v>
      </ns0:c>
      <ns0:c r="J21" s="3">
        <ns0:f>'销售费用'!J21+'管理费用'!J21+'蓝恐龙费用'!J21</ns0:f>
        <ns0:v>674.82</ns0:v>
      </ns0:c>
      <ns0:c r="K21" s="3">
        <ns0:f>'销售费用'!K21+'管理费用'!K21+'蓝恐龙费用'!K21</ns0:f>
        <ns0:v>684.28</ns0:v>
      </ns0:c>
      <ns0:c r="L21" s="3">
        <ns0:f>'销售费用'!L21+'管理费用'!L21+'蓝恐龙费用'!L21</ns0:f>
        <ns0:v>899.99</ns0:v>
      </ns0:c>
      <ns0:c r="M21" s="3">
        <ns0:f>'销售费用'!M21+'管理费用'!M21+'蓝恐龙费用'!M21</ns0:f>
        <ns0:v>756.66</ns0:v>
      </ns0:c>
      <ns0:c r="N21" s="3">
        <ns0:f>'销售费用'!N21+'管理费用'!N21+'蓝恐龙费用'!N21</ns0:f>
        <ns0:v>394.29</ns0:v>
      </ns0:c>
      <ns0:c r="O21" s="3">
        <ns0:f>SUM(C21:N21)</ns0:f>
        <ns0:v>9504.17</ns0:v>
      </ns0:c>
      <ns0:c r="P21" s="2"/>
      <ns0:c r="Q21" s="2"/>
      <ns0:c r="R21" s="2"/>
      <ns0:c r="S21" s="2"/>
      <ns0:c r="T21" s="2"/>
      <ns0:c r="U21" s="2"/>
      <ns0:c r="V21" s="2"/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/>
      <ns0:c r="B22" s="2" t="inlineStr">
        <ns0:is>
          <ns0:t>住宿费</ns0:t>
        </ns0:is>
      </ns0:c>
      <ns0:c r="C22" s="3">
        <ns0:f>'销售费用'!C22+'管理费用'!C22+'蓝恐龙费用'!C22</ns0:f>
        <ns0:v>727.26</ns0:v>
      </ns0:c>
      <ns0:c r="D22" s="3">
        <ns0:f>'销售费用'!D22+'管理费用'!D22+'蓝恐龙费用'!D22</ns0:f>
        <ns0:v>645.34</ns0:v>
      </ns0:c>
      <ns0:c r="E22" s="3">
        <ns0:f>'销售费用'!E22+'管理费用'!E22+'蓝恐龙费用'!E22</ns0:f>
        <ns0:v>594.34</ns0:v>
      </ns0:c>
      <ns0:c r="F22" s="3">
        <ns0:f>'销售费用'!F22+'管理费用'!F22+'蓝恐龙费用'!F22</ns0:f>
        <ns0:v>887.45</ns0:v>
      </ns0:c>
      <ns0:c r="G22" s="3">
        <ns0:f>'销售费用'!G22+'管理费用'!G22+'蓝恐龙费用'!G22</ns0:f>
        <ns0:v>613.76</ns0:v>
      </ns0:c>
      <ns0:c r="H22" s="3">
        <ns0:f>'销售费用'!H22+'管理费用'!H22+'蓝恐龙费用'!H22</ns0:f>
        <ns0:v>535.23</ns0:v>
      </ns0:c>
      <ns0:c r="I22" s="3">
        <ns0:f>'销售费用'!I22+'管理费用'!I22+'蓝恐龙费用'!I22</ns0:f>
        <ns0:v>508.13</ns0:v>
      </ns0:c>
      <ns0:c r="J22" s="3">
        <ns0:f>'销售费用'!J22+'管理费用'!J22+'蓝恐龙费用'!J22</ns0:f>
        <ns0:v>1029.56</ns0:v>
      </ns0:c>
      <ns0:c r="K22" s="3">
        <ns0:f>'销售费用'!K22+'管理费用'!K22+'蓝恐龙费用'!K22</ns0:f>
        <ns0:v>600.52</ns0:v>
      </ns0:c>
      <ns0:c r="L22" s="3">
        <ns0:f>'销售费用'!L22+'管理费用'!L22+'蓝恐龙费用'!L22</ns0:f>
        <ns0:v>761.58</ns0:v>
      </ns0:c>
      <ns0:c r="M22" s="3">
        <ns0:f>'销售费用'!M22+'管理费用'!M22+'蓝恐龙费用'!M22</ns0:f>
        <ns0:v>780.43</ns0:v>
      </ns0:c>
      <ns0:c r="N22" s="3">
        <ns0:f>'销售费用'!N22+'管理费用'!N22+'蓝恐龙费用'!N22</ns0:f>
        <ns0:v>993.89</ns0:v>
      </ns0:c>
      <ns0:c r="O22" s="3">
        <ns0:f>SUM(C22:N22)</ns0:f>
        <ns0:v>8677.49</ns0:v>
      </ns0:c>
      <ns0:c r="P22" s="2"/>
      <ns0:c r="Q22" s="2"/>
      <ns0:c r="R22" s="2"/>
      <ns0:c r="S22" s="2"/>
      <ns0:c r="T22" s="2"/>
      <ns0:c r="U22" s="2"/>
      <ns0:c r="V22" s="2"/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/>
      <ns0:c r="B23" s="2" t="inlineStr">
        <ns0:is>
          <ns0:t>交通费</ns0:t>
        </ns0:is>
      </ns0:c>
      <ns0:c r="C23" s="3">
        <ns0:f>'销售费用'!C23+'管理费用'!C23+'蓝恐龙费用'!C23</ns0:f>
        <ns0:v>873.29</ns0:v>
      </ns0:c>
      <ns0:c r="D23" s="3">
        <ns0:f>'销售费用'!D23+'管理费用'!D23+'蓝恐龙费用'!D23</ns0:f>
        <ns0:v>656.54</ns0:v>
      </ns0:c>
      <ns0:c r="E23" s="3">
        <ns0:f>'销售费用'!E23+'管理费用'!E23+'蓝恐龙费用'!E23</ns0:f>
        <ns0:v>953.03</ns0:v>
      </ns0:c>
      <ns0:c r="F23" s="3">
        <ns0:f>'销售费用'!F23+'管理费用'!F23+'蓝恐龙费用'!F23</ns0:f>
        <ns0:v>403.73</ns0:v>
      </ns0:c>
      <ns0:c r="G23" s="3">
        <ns0:f>'销售费用'!G23+'管理费用'!G23+'蓝恐龙费用'!G23</ns0:f>
        <ns0:v>1167.91</ns0:v>
      </ns0:c>
      <ns0:c r="H23" s="3">
        <ns0:f>'销售费用'!H23+'管理费用'!H23+'蓝恐龙费用'!H23</ns0:f>
        <ns0:v>829.46</ns0:v>
      </ns0:c>
      <ns0:c r="I23" s="3">
        <ns0:f>'销售费用'!I23+'管理费用'!I23+'蓝恐龙费用'!I23</ns0:f>
        <ns0:v>604.57</ns0:v>
      </ns0:c>
      <ns0:c r="J23" s="3">
        <ns0:f>'销售费用'!J23+'管理费用'!J23+'蓝恐龙费用'!J23</ns0:f>
        <ns0:v>1159.12</ns0:v>
      </ns0:c>
      <ns0:c r="K23" s="3">
        <ns0:f>'销售费用'!K23+'管理费用'!K23+'蓝恐龙费用'!K23</ns0:f>
        <ns0:v>529.87</ns0:v>
      </ns0:c>
      <ns0:c r="L23" s="3">
        <ns0:f>'销售费用'!L23+'管理费用'!L23+'蓝恐龙费用'!L23</ns0:f>
        <ns0:v>602.95</ns0:v>
      </ns0:c>
      <ns0:c r="M23" s="3">
        <ns0:f>'销售费用'!M23+'管理费用'!M23+'蓝恐龙费用'!M23</ns0:f>
        <ns0:v>884.23</ns0:v>
      </ns0:c>
      <ns0:c r="N23" s="3">
        <ns0:f>'销售费用'!N23+'管理费用'!N23+'蓝恐龙费用'!N23</ns0:f>
        <ns0:v>778.91</ns0:v>
      </ns0:c>
      <ns0:c r="O23" s="3">
        <ns0:f>SUM(C23:N23)</ns0:f>
        <ns0:v>9443.61</ns0:v>
      </ns0:c>
      <ns0:c r="P23" s="2"/>
      <ns0:c r="Q23" s="2"/>
      <ns0:c r="R23" s="2"/>
      <ns0:c r="S23" s="2"/>
      <ns0:c r="T23" s="2"/>
      <ns0:c r="U23" s="2"/>
      <ns0:c r="V23" s="2"/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 t="inlineStr">
        <ns0:is>
          <ns0:t>差旅补贴</ns0:t>
        </ns0:is>
      </ns0:c>
      <ns0:c r="C24" s="3">
        <ns0:f>'销售费用'!C24+'管理费用'!C24+'蓝恐龙费用'!C24</ns0:f>
        <ns0:v>339.39</ns0:v>
      </ns0:c>
      <ns0:c r="D24" s="3">
        <ns0:f>'销售费用'!D24+'管理费用'!D24+'蓝恐龙费用'!D24</ns0:f>
        <ns0:v>691.11</ns0:v>
      </ns0:c>
      <ns0:c r="E24" s="3">
        <ns0:f>'销售费用'!E24+'管理费用'!E24+'蓝恐龙费用'!E24</ns0:f>
        <ns0:v>523.89</ns0:v>
      </ns0:c>
      <ns0:c r="F24" s="3">
        <ns0:f>'销售费用'!F24+'管理费用'!F24+'蓝恐龙费用'!F24</ns0:f>
        <ns0:v>810.16</ns0:v>
      </ns0:c>
      <ns0:c r="G24" s="3">
        <ns0:f>'销售费用'!G24+'管理费用'!G24+'蓝恐龙费用'!G24</ns0:f>
        <ns0:v>829.47</ns0:v>
      </ns0:c>
      <ns0:c r="H24" s="3">
        <ns0:f>'销售费用'!H24+'管理费用'!H24+'蓝恐龙费用'!H24</ns0:f>
        <ns0:v>491.04</ns0:v>
      </ns0:c>
      <ns0:c r="I24" s="3">
        <ns0:f>'销售费用'!I24+'管理费用'!I24+'蓝恐龙费用'!I24</ns0:f>
        <ns0:v>844.38</ns0:v>
      </ns0:c>
      <ns0:c r="J24" s="3">
        <ns0:f>'销售费用'!J24+'管理费用'!J24+'蓝恐龙费用'!J24</ns0:f>
        <ns0:v>560.40</ns0:v>
      </ns0:c>
      <ns0:c r="K24" s="3">
        <ns0:f>'销售费用'!K24+'管理费用'!K24+'蓝恐龙费用'!K24</ns0:f>
        <ns0:v>1010.08</ns0:v>
      </ns0:c>
      <ns0:c r="L24" s="3">
        <ns0:f>'销售费用'!L24+'管理费用'!L24+'蓝恐龙费用'!L24</ns0:f>
        <ns0:v>948.19</ns0:v>
      </ns0:c>
      <ns0:c r="M24" s="3">
        <ns0:f>'销售费用'!M24+'管理费用'!M24+'蓝恐龙费用'!M24</ns0:f>
        <ns0:v>931.94</ns0:v>
      </ns0:c>
      <ns0:c r="N24" s="3">
        <ns0:f>'销售费用'!N24+'管理费用'!N24+'蓝恐龙费用'!N24</ns0:f>
        <ns0:v>857.29</ns0:v>
      </ns0:c>
      <ns0:c r="O24" s="3">
        <ns0:f>SUM(C24:N24)</ns0:f>
        <ns0:v>8837.34</ns0:v>
      </ns0:c>
      <ns0:c r="P24" s="2"/>
      <ns0:c r="Q24" s="2"/>
      <ns0:c r="R24" s="2"/>
      <ns0:c r="S24" s="2"/>
      <ns0:c r="T24" s="2"/>
      <ns0:c r="U24" s="2"/>
      <ns0:c r="V24" s="2"/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 t="inlineStr">
        <ns0:is>
          <ns0:t>业务招待费</ns0:t>
        </ns0:is>
      </ns0:c>
      <ns0:c r="B25" s="2" t="inlineStr">
        <ns0:is>
          <ns0:t>业务招待费</ns0:t>
        </ns0:is>
      </ns0:c>
      <ns0:c r="C25" s="3">
        <ns0:f>'销售费用'!C25+'管理费用'!C25+'蓝恐龙费用'!C25</ns0:f>
        <ns0:v>1462.56</ns0:v>
      </ns0:c>
      <ns0:c r="D25" s="3">
        <ns0:f>'销售费用'!D25+'管理费用'!D25+'蓝恐龙费用'!D25</ns0:f>
        <ns0:v>675.85</ns0:v>
      </ns0:c>
      <ns0:c r="E25" s="3">
        <ns0:f>'销售费用'!E25+'管理费用'!E25+'蓝恐龙费用'!E25</ns0:f>
        <ns0:v>607.54</ns0:v>
      </ns0:c>
      <ns0:c r="F25" s="3">
        <ns0:f>'销售费用'!F25+'管理费用'!F25+'蓝恐龙费用'!F25</ns0:f>
        <ns0:v>579.44</ns0:v>
      </ns0:c>
      <ns0:c r="G25" s="3">
        <ns0:f>'销售费用'!G25+'管理费用'!G25+'蓝恐龙费用'!G25</ns0:f>
        <ns0:v>853.77</ns0:v>
      </ns0:c>
      <ns0:c r="H25" s="3">
        <ns0:f>'销售费用'!H25+'管理费用'!H25+'蓝恐龙费用'!H25</ns0:f>
        <ns0:v>806.64</ns0:v>
      </ns0:c>
      <ns0:c r="I25" s="3">
        <ns0:f>'销售费用'!I25+'管理费用'!I25+'蓝恐龙费用'!I25</ns0:f>
        <ns0:v>1085.08</ns0:v>
      </ns0:c>
      <ns0:c r="J25" s="3">
        <ns0:f>'销售费用'!J25+'管理费用'!J25+'蓝恐龙费用'!J25</ns0:f>
        <ns0:v>787.05</ns0:v>
      </ns0:c>
      <ns0:c r="K25" s="3">
        <ns0:f>'销售费用'!K25+'管理费用'!K25+'蓝恐龙费用'!K25</ns0:f>
        <ns0:v>580.74</ns0:v>
      </ns0:c>
      <ns0:c r="L25" s="3">
        <ns0:f>'销售费用'!L25+'管理费用'!L25+'蓝恐龙费用'!L25</ns0:f>
        <ns0:v>682.39</ns0:v>
      </ns0:c>
      <ns0:c r="M25" s="3">
        <ns0:f>'销售费用'!M25+'管理费用'!M25+'蓝恐龙费用'!M25</ns0:f>
        <ns0:v>612.54</ns0:v>
      </ns0:c>
      <ns0:c r="N25" s="3">
        <ns0:f>'销售费用'!N25+'管理费用'!N25+'蓝恐龙费用'!N25</ns0:f>
        <ns0:v>711.60</ns0:v>
      </ns0:c>
      <ns0:c r="O25" s="3">
        <ns0:f>SUM(C25:N25)</ns0:f>
        <ns0:v>9445.20</ns0:v>
      </ns0:c>
      <ns0:c r="P25" s="2"/>
      <ns0:c r="Q25" s="2"/>
      <ns0:c r="R25" s="2"/>
      <ns0:c r="S25" s="2"/>
      <ns0:c r="T25" s="2"/>
      <ns0:c r="U25" s="2"/>
      <ns0:c r="V25" s="2"/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 t="inlineStr">
        <ns0:is>
          <ns0:t>市内交通费</ns0:t>
        </ns0:is>
      </ns0:c>
      <ns0:c r="B26" s="2" t="inlineStr">
        <ns0:is>
          <ns0:t>市内交通费</ns0:t>
        </ns0:is>
      </ns0:c>
      <ns0:c r="C26" s="3">
        <ns0:f>'销售费用'!C26+'管理费用'!C26+'蓝恐龙费用'!C26</ns0:f>
        <ns0:v>995.73</ns0:v>
      </ns0:c>
      <ns0:c r="D26" s="3">
        <ns0:f>'销售费用'!D26+'管理费用'!D26+'蓝恐龙费用'!D26</ns0:f>
        <ns0:v>1227.87</ns0:v>
      </ns0:c>
      <ns0:c r="E26" s="3">
        <ns0:f>'销售费用'!E26+'管理费用'!E26+'蓝恐龙费用'!E26</ns0:f>
        <ns0:v>726.76</ns0:v>
      </ns0:c>
      <ns0:c r="F26" s="3">
        <ns0:f>'销售费用'!F26+'管理费用'!F26+'蓝恐龙费用'!F26</ns0:f>
        <ns0:v>671.22</ns0:v>
      </ns0:c>
      <ns0:c r="G26" s="3">
        <ns0:f>'销售费用'!G26+'管理费用'!G26+'蓝恐龙费用'!G26</ns0:f>
        <ns0:v>631.11</ns0:v>
      </ns0:c>
      <ns0:c r="H26" s="3">
        <ns0:f>'销售费用'!H26+'管理费用'!H26+'蓝恐龙费用'!H26</ns0:f>
        <ns0:v>442.78</ns0:v>
      </ns0:c>
      <ns0:c r="I26" s="3">
        <ns0:f>'销售费用'!I26+'管理费用'!I26+'蓝恐龙费用'!I26</ns0:f>
        <ns0:v>1036.72</ns0:v>
      </ns0:c>
      <ns0:c r="J26" s="3">
        <ns0:f>'销售费用'!J26+'管理费用'!J26+'蓝恐龙费用'!J26</ns0:f>
        <ns0:v>785.88</ns0:v>
      </ns0:c>
      <ns0:c r="K26" s="3">
        <ns0:f>'销售费用'!K26+'管理费用'!K26+'蓝恐龙费用'!K26</ns0:f>
        <ns0:v>744.24</ns0:v>
      </ns0:c>
      <ns0:c r="L26" s="3">
        <ns0:f>'销售费用'!L26+'管理费用'!L26+'蓝恐龙费用'!L26</ns0:f>
        <ns0:v>487.87</ns0:v>
      </ns0:c>
      <ns0:c r="M26" s="3">
        <ns0:f>'销售费用'!M26+'管理费用'!M26+'蓝恐龙费用'!M26</ns0:f>
        <ns0:v>419.94</ns0:v>
      </ns0:c>
      <ns0:c r="N26" s="3">
        <ns0:f>'销售费用'!N26+'管理费用'!N26+'蓝恐龙费用'!N26</ns0:f>
        <ns0:v>566.89</ns0:v>
      </ns0:c>
      <ns0:c r="O26" s="3">
        <ns0:f>SUM(C26:N26)</ns0:f>
        <ns0:v>8737.01</ns0:v>
      </ns0:c>
      <ns0:c r="P26" s="2"/>
      <ns0:c r="Q26" s="2"/>
      <ns0:c r="R26" s="2"/>
      <ns0:c r="S26" s="2"/>
      <ns0:c r="T26" s="2"/>
      <ns0:c r="U26" s="2"/>
      <ns0:c r="V26" s="2"/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 t="inlineStr">
        <ns0:is>
          <ns0:t>调研费用</ns0:t>
        </ns0:is>
      </ns0:c>
      <ns0:c r="B27" s="2" t="inlineStr">
        <ns0:is>
          <ns0:t>调研费用</ns0:t>
        </ns0:is>
      </ns0:c>
      <ns0:c r="C27" s="3">
        <ns0:f>'销售费用'!C27+'管理费用'!C27+'蓝恐龙费用'!C27</ns0:f>
        <ns0:v>639.65</ns0:v>
      </ns0:c>
      <ns0:c r="D27" s="3">
        <ns0:f>'销售费用'!D27+'管理费用'!D27+'蓝恐龙费用'!D27</ns0:f>
        <ns0:v>810.57</ns0:v>
      </ns0:c>
      <ns0:c r="E27" s="3">
        <ns0:f>'销售费用'!E27+'管理费用'!E27+'蓝恐龙费用'!E27</ns0:f>
        <ns0:v>1157.87</ns0:v>
      </ns0:c>
      <ns0:c r="F27" s="3">
        <ns0:f>'销售费用'!F27+'管理费用'!F27+'蓝恐龙费用'!F27</ns0:f>
        <ns0:v>620.03</ns0:v>
      </ns0:c>
      <ns0:c r="G27" s="3">
        <ns0:f>'销售费用'!G27+'管理费用'!G27+'蓝恐龙费用'!G27</ns0:f>
        <ns0:v>551.68</ns0:v>
      </ns0:c>
      <ns0:c r="H27" s="3">
        <ns0:f>'销售费用'!H27+'管理费用'!H27+'蓝恐龙费用'!H27</ns0:f>
        <ns0:v>458.81</ns0:v>
      </ns0:c>
      <ns0:c r="I27" s="3">
        <ns0:f>'销售费用'!I27+'管理费用'!I27+'蓝恐龙费用'!I27</ns0:f>
        <ns0:v>483.92</ns0:v>
      </ns0:c>
      <ns0:c r="J27" s="3">
        <ns0:f>'销售费用'!J27+'管理费用'!J27+'蓝恐龙费用'!J27</ns0:f>
        <ns0:v>539.08</ns0:v>
      </ns0:c>
      <ns0:c r="K27" s="3">
        <ns0:f>'销售费用'!K27+'管理费用'!K27+'蓝恐龙费用'!K27</ns0:f>
        <ns0:v>436.90</ns0:v>
      </ns0:c>
      <ns0:c r="L27" s="3">
        <ns0:f>'销售费用'!L27+'管理费用'!L27+'蓝恐龙费用'!L27</ns0:f>
        <ns0:v>761.37</ns0:v>
      </ns0:c>
      <ns0:c r="M27" s="3">
        <ns0:f>'销售费用'!M27+'管理费用'!M27+'蓝恐龙费用'!M27</ns0:f>
        <ns0:v>1078.25</ns0:v>
      </ns0:c>
      <ns0:c r="N27" s="3">
        <ns0:f>'销售费用'!N27+'管理费用'!N27+'蓝恐龙费用'!N27</ns0:f>
        <ns0:v>806.56</ns0:v>
      </ns0:c>
      <ns0:c r="O27" s="3">
        <ns0:f>SUM(C27:N27)</ns0:f>
        <ns0:v>8344.69</ns0:v>
      </ns0:c>
      <ns0:c r="P27" s="2"/>
      <ns0:c r="Q27" s="2"/>
      <ns0:c r="R27" s="2"/>
      <ns0:c r="S27" s="2"/>
      <ns0:c r="T27" s="2"/>
      <ns0:c r="U27" s="2"/>
      <ns0:c r="V27" s="2"/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 t="inlineStr">
        <ns0:is>
          <ns0:t>手续费</ns0:t>
        </ns0:is>
      </ns0:c>
      <ns0:c r="B28" s="2" t="inlineStr">
        <ns0:is>
          <ns0:t>手续费</ns0:t>
        </ns0:is>
      </ns0:c>
      <ns0:c r="C28" s="3">
        <ns0:f>'销售费用'!C28+'管理费用'!C28+'蓝恐龙费用'!C28</ns0:f>
        <ns0:v>565.14</ns0:v>
      </ns0:c>
      <ns0:c r="D28" s="3">
        <ns0:f>'销售费用'!D28+'管理费用'!D28+'蓝恐龙费用'!D28</ns0:f>
        <ns0:v>564.59</ns0:v>
      </ns0:c>
      <ns0:c r="E28" s="3">
        <ns0:f>'销售费用'!E28+'管理费用'!E28+'蓝恐龙费用'!E28</ns0:f>
        <ns0:v>473.23</ns0:v>
      </ns0:c>
      <ns0:c r="F28" s="3">
        <ns0:f>'销售费用'!F28+'管理费用'!F28+'蓝恐龙费用'!F28</ns0:f>
        <ns0:v>777.27</ns0:v>
      </ns0:c>
      <ns0:c r="G28" s="3">
        <ns0:f>'销售费用'!G28+'管理费用'!G28+'蓝恐龙费用'!G28</ns0:f>
        <ns0:v>795.35</ns0:v>
      </ns0:c>
      <ns0:c r="H28" s="3">
        <ns0:f>'销售费用'!H28+'管理费用'!H28+'蓝恐龙费用'!H28</ns0:f>
        <ns0:v>770.53</ns0:v>
      </ns0:c>
      <ns0:c r="I28" s="3">
        <ns0:f>'销售费用'!I28+'管理费用'!I28+'蓝恐龙费用'!I28</ns0:f>
        <ns0:v>1069.57</ns0:v>
      </ns0:c>
      <ns0:c r="J28" s="3">
        <ns0:f>'销售费用'!J28+'管理费用'!J28+'蓝恐龙费用'!J28</ns0:f>
        <ns0:v>551.89</ns0:v>
      </ns0:c>
      <ns0:c r="K28" s="3">
        <ns0:f>'销售费用'!K28+'管理费用'!K28+'蓝恐龙费用'!K28</ns0:f>
        <ns0:v>639.94</ns0:v>
      </ns0:c>
      <ns0:c r="L28" s="3">
        <ns0:f>'销售费用'!L28+'管理费用'!L28+'蓝恐龙费用'!L28</ns0:f>
        <ns0:v>1040.72</ns0:v>
      </ns0:c>
      <ns0:c r="M28" s="3">
        <ns0:f>'销售费用'!M28+'管理费用'!M28+'蓝恐龙费用'!M28</ns0:f>
        <ns0:v>879.69</ns0:v>
      </ns0:c>
      <ns0:c r="N28" s="3">
        <ns0:f>'销售费用'!N28+'管理费用'!N28+'蓝恐龙费用'!N28</ns0:f>
        <ns0:v>1086.19</ns0:v>
      </ns0:c>
      <ns0:c r="O28" s="3">
        <ns0:f>SUM(C28:N28)</ns0:f>
        <ns0:v>9214.11</ns0:v>
      </ns0:c>
      <ns0:c r="P28" s="2"/>
      <ns0:c r="Q28" s="2"/>
      <ns0:c r="R28" s="2"/>
      <ns0:c r="S28" s="2"/>
      <ns0:c r="T28" s="2"/>
      <ns0:c r="U28" s="2"/>
      <ns0:c r="V28" s="2"/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 t="inlineStr">
        <ns0:is>
          <ns0:t>利息收入</ns0:t>
        </ns0:is>
      </ns0:c>
      <ns0:c r="C29" s="3">
        <ns0:f>'销售费用'!C29+'管理费用'!C29+'蓝恐龙费用'!C29</ns0:f>
        <ns0:v>0</ns0:v>
      </ns0:c>
      <ns0:c r="D29" s="3">
        <ns0:f>'销售费用'!D29+'管理费用'!D29+'蓝恐龙费用'!D29</ns0:f>
        <ns0:v>0</ns0:v>
      </ns0:c>
      <ns0:c r="E29" s="3">
        <ns0:f>'销售费用'!E29+'管理费用'!E29+'蓝恐龙费用'!E29</ns0:f>
        <ns0:v>0</ns0:v>
      </ns0:c>
      <ns0:c r="F29" s="3">
        <ns0:f>'销售费用'!F29+'管理费用'!F29+'蓝恐龙费用'!F29</ns0:f>
        <ns0:v>0</ns0:v>
      </ns0:c>
      <ns0:c r="G29" s="3">
        <ns0:f>'销售费用'!G29+'管理费用'!G29+'蓝恐龙费用'!G29</ns0:f>
        <ns0:v>0</ns0:v>
      </ns0:c>
      <ns0:c r="H29" s="3">
        <ns0:f>'销售费用'!H29+'管理费用'!H29+'蓝恐龙费用'!H29</ns0:f>
        <ns0:v>0</ns0:v>
      </ns0:c>
      <ns0:c r="I29" s="3">
        <ns0:f>'销售费用'!I29+'管理费用'!I29+'蓝恐龙费用'!I29</ns0:f>
        <ns0:v>0</ns0:v>
      </ns0:c>
      <ns0:c r="J29" s="3">
        <ns0:f>'销售费用'!J29+'管理费用'!J29+'蓝恐龙费用'!J29</ns0:f>
        <ns0:v>0</ns0:v>
      </ns0:c>
      <ns0:c r="K29" s="3">
        <ns0:f>'销售费用'!K29+'管理费用'!K29+'蓝恐龙费用'!K29</ns0:f>
        <ns0:v>0</ns0:v>
      </ns0:c>
      <ns0:c r="L29" s="3">
        <ns0:f>'销售费用'!L29+'管理费用'!L29+'蓝恐龙费用'!L29</ns0:f>
        <ns0:v>0</ns0:v>
      </ns0:c>
      <ns0:c r="M29" s="3">
        <ns0:f>'销售费用'!M29+'管理费用'!M29+'蓝恐龙费用'!M29</ns0:f>
        <ns0:v>0</ns0:v>
      </ns0:c>
      <ns0:c r="N29" s="3">
        <ns0:f>'销售费用'!N29+'管理费用'!N29+'蓝恐龙费用'!N29</ns0:f>
        <ns0:v>0</ns0:v>
      </ns0:c>
      <ns0:c r="O29" s="3">
        <ns0:f>SUM(C29:N29)</ns0:f>
        <ns0:v>0</ns0:v>
      </ns0:c>
      <ns0:c r="P29" s="2"/>
      <ns0:c r="Q29" s="2"/>
      <ns0:c r="R29" s="2"/>
      <ns0:c r="S29" s="2"/>
      <ns0:c r="T29" s="2"/>
      <ns0:c r="U29" s="2"/>
      <ns0:c r="V29" s="2"/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 t="inlineStr">
        <ns0:is>
          <ns0:t>利息支出</ns0:t>
        </ns0:is>
      </ns0:c>
      <ns0:c r="C30" s="6">
        <ns0:f>'销售费用'!C30+'管理费用'!C30+'蓝恐龙费用'!C30</ns0:f>
        <ns0:v>660.68</ns0:v>
      </ns0:c>
      <ns0:c r="D30" s="6">
        <ns0:f>'销售费用'!D30+'管理费用'!D30+'蓝恐龙费用'!D30</ns0:f>
        <ns0:v>758.58</ns0:v>
      </ns0:c>
      <ns0:c r="E30" s="6">
        <ns0:f>'销售费用'!E30+'管理费用'!E30+'蓝恐龙费用'!E30</ns0:f>
        <ns0:v>496.95</ns0:v>
      </ns0:c>
      <ns0:c r="F30" s="6">
        <ns0:f>'销售费用'!F30+'管理费用'!F30+'蓝恐龙费用'!F30</ns0:f>
        <ns0:v>474.58</ns0:v>
      </ns0:c>
      <ns0:c r="G30" s="6">
        <ns0:f>'销售费用'!G30+'管理费用'!G30+'蓝恐龙费用'!G30</ns0:f>
        <ns0:v>722.82</ns0:v>
      </ns0:c>
      <ns0:c r="H30" s="6">
        <ns0:f>'销售费用'!H30+'管理费用'!H30+'蓝恐龙费用'!H30</ns0:f>
        <ns0:v>523.58</ns0:v>
      </ns0:c>
      <ns0:c r="I30" s="6">
        <ns0:f>'销售费用'!I30+'管理费用'!I30+'蓝恐龙费用'!I30</ns0:f>
        <ns0:v>1081.95</ns0:v>
      </ns0:c>
      <ns0:c r="J30" s="6">
        <ns0:f>'销售费用'!J30+'管理费用'!J30+'蓝恐龙费用'!J30</ns0:f>
        <ns0:v>450.63</ns0:v>
      </ns0:c>
      <ns0:c r="K30" s="6">
        <ns0:f>'销售费用'!K30+'管理费用'!K30+'蓝恐龙费用'!K30</ns0:f>
        <ns0:v>597.71</ns0:v>
      </ns0:c>
      <ns0:c r="L30" s="6">
        <ns0:f>'销售费用'!L30+'管理费用'!L30+'蓝恐龙费用'!L30</ns0:f>
        <ns0:v>693.06</ns0:v>
      </ns0:c>
      <ns0:c r="M30" s="6">
        <ns0:f>'销售费用'!M30+'管理费用'!M30+'蓝恐龙费用'!M30</ns0:f>
        <ns0:v>613.40</ns0:v>
      </ns0:c>
      <ns0:c r="N30" s="6">
        <ns0:f>'销售费用'!N30+'管理费用'!N30+'蓝恐龙费用'!N30</ns0:f>
        <ns0:v>826.42</ns0:v>
      </ns0:c>
      <ns0:c r="O30" s="6">
        <ns0:f>SUM(C30:N30)</ns0:f>
        <ns0:v>7900.36</ns0:v>
      </ns0:c>
      <ns0:c r="P30" s="2"/>
      <ns0:c r="Q30" s="2"/>
      <ns0:c r="R30" s="2"/>
      <ns0:c r="S30" s="2"/>
      <ns0:c r="T30" s="2"/>
      <ns0:c r="U30" s="2"/>
      <ns0:c r="V30" s="2"/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 t="inlineStr">
        <ns0:is>
          <ns0:t>税金</ns0:t>
        </ns0:is>
      </ns0:c>
      <ns0:c r="B31" s="2" t="inlineStr">
        <ns0:is>
          <ns0:t>车船税</ns0:t>
        </ns0:is>
      </ns0:c>
      <ns0:c r="C31" s="3">
        <ns0:f>'销售费用'!C31+'管理费用'!C31+'蓝恐龙费用'!C31</ns0:f>
        <ns0:v>893.80</ns0:v>
      </ns0:c>
      <ns0:c r="D31" s="3">
        <ns0:f>'销售费用'!D31+'管理费用'!D31+'蓝恐龙费用'!D31</ns0:f>
        <ns0:v>1035.53</ns0:v>
      </ns0:c>
      <ns0:c r="E31" s="3">
        <ns0:f>'销售费用'!E31+'管理费用'!E31+'蓝恐龙费用'!E31</ns0:f>
        <ns0:v>505.62</ns0:v>
      </ns0:c>
      <ns0:c r="F31" s="3">
        <ns0:f>'销售费用'!F31+'管理费用'!F31+'蓝恐龙费用'!F31</ns0:f>
        <ns0:v>778.07</ns0:v>
      </ns0:c>
      <ns0:c r="G31" s="3">
        <ns0:f>'销售费用'!G31+'管理费用'!G31+'蓝恐龙费用'!G31</ns0:f>
        <ns0:v>786.43</ns0:v>
      </ns0:c>
      <ns0:c r="H31" s="3">
        <ns0:f>'销售费用'!H31+'管理费用'!H31+'蓝恐龙费用'!H31</ns0:f>
        <ns0:v>605.64</ns0:v>
      </ns0:c>
      <ns0:c r="I31" s="3">
        <ns0:f>'销售费用'!I31+'管理费用'!I31+'蓝恐龙费用'!I31</ns0:f>
        <ns0:v>848.62</ns0:v>
      </ns0:c>
      <ns0:c r="J31" s="3">
        <ns0:f>'销售费用'!J31+'管理费用'!J31+'蓝恐龙费用'!J31</ns0:f>
        <ns0:v>880.81</ns0:v>
      </ns0:c>
      <ns0:c r="K31" s="3">
        <ns0:f>'销售费用'!K31+'管理费用'!K31+'蓝恐龙费用'!K31</ns0:f>
        <ns0:v>712.60</ns0:v>
      </ns0:c>
      <ns0:c r="L31" s="3">
        <ns0:f>'销售费用'!L31+'管理费用'!L31+'蓝恐龙费用'!L31</ns0:f>
        <ns0:v>574.24</ns0:v>
      </ns0:c>
      <ns0:c r="M31" s="3">
        <ns0:f>'销售费用'!M31+'管理费用'!M31+'蓝恐龙费用'!M31</ns0:f>
        <ns0:v>839.32</ns0:v>
      </ns0:c>
      <ns0:c r="N31" s="3">
        <ns0:f>'销售费用'!N31+'管理费用'!N31+'蓝恐龙费用'!N31</ns0:f>
        <ns0:v>769.51</ns0:v>
      </ns0:c>
      <ns0:c r="O31" s="3">
        <ns0:f>SUM(C31:N31)</ns0:f>
        <ns0:v>9230.19</ns0:v>
      </ns0:c>
      <ns0:c r="P31" s="2"/>
      <ns0:c r="Q31" s="2"/>
      <ns0:c r="R31" s="2"/>
      <ns0:c r="S31" s="2"/>
      <ns0:c r="T31" s="2"/>
      <ns0:c r="U31" s="2"/>
      <ns0:c r="V31" s="2"/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 t="inlineStr">
        <ns0:is>
          <ns0:t>印花税</ns0:t>
        </ns0:is>
      </ns0:c>
      <ns0:c r="C32" s="3">
        <ns0:f>'销售费用'!C32+'管理费用'!C32+'蓝恐龙费用'!C32</ns0:f>
        <ns0:v>310.85</ns0:v>
      </ns0:c>
      <ns0:c r="D32" s="3">
        <ns0:f>'销售费用'!D32+'管理费用'!D32+'蓝恐龙费用'!D32</ns0:f>
        <ns0:v>814.67</ns0:v>
      </ns0:c>
      <ns0:c r="E32" s="3">
        <ns0:f>'销售费用'!E32+'管理费用'!E32+'蓝恐龙费用'!E32</ns0:f>
        <ns0:v>656.12</ns0:v>
      </ns0:c>
      <ns0:c r="F32" s="3">
        <ns0:f>'销售费用'!F32+'管理费用'!F32+'蓝恐龙费用'!F32</ns0:f>
        <ns0:v>671.28</ns0:v>
      </ns0:c>
      <ns0:c r="G32" s="3">
        <ns0:f>'销售费用'!G32+'管理费用'!G32+'蓝恐龙费用'!G32</ns0:f>
        <ns0:v>742.29</ns0:v>
      </ns0:c>
      <ns0:c r="H32" s="3">
        <ns0:f>'销售费用'!H32+'管理费用'!H32+'蓝恐龙费用'!H32</ns0:f>
        <ns0:v>514.41</ns0:v>
      </ns0:c>
      <ns0:c r="I32" s="3">
        <ns0:f>'销售费用'!I32+'管理费用'!I32+'蓝恐龙费用'!I32</ns0:f>
        <ns0:v>814.32</ns0:v>
      </ns0:c>
      <ns0:c r="J32" s="3">
        <ns0:f>'销售费用'!J32+'管理费用'!J32+'蓝恐龙费用'!J32</ns0:f>
        <ns0:v>535.48</ns0:v>
      </ns0:c>
      <ns0:c r="K32" s="3">
        <ns0:f>'销售费用'!K32+'管理费用'!K32+'蓝恐龙费用'!K32</ns0:f>
        <ns0:v>865.59</ns0:v>
      </ns0:c>
      <ns0:c r="L32" s="3">
        <ns0:f>'销售费用'!L32+'管理费用'!L32+'蓝恐龙费用'!L32</ns0:f>
        <ns0:v>563.92</ns0:v>
      </ns0:c>
      <ns0:c r="M32" s="3">
        <ns0:f>'销售费用'!M32+'管理费用'!M32+'蓝恐龙费用'!M32</ns0:f>
        <ns0:v>810.86</ns0:v>
      </ns0:c>
      <ns0:c r="N32" s="3">
        <ns0:f>'销售费用'!N32+'管理费用'!N32+'蓝恐龙费用'!N32</ns0:f>
        <ns0:v>760.59</ns0:v>
      </ns0:c>
      <ns0:c r="O32" s="3">
        <ns0:f>SUM(C32:N32)</ns0:f>
        <ns0:v>8060.38</ns0:v>
      </ns0:c>
      <ns0:c r="P32" s="2"/>
      <ns0:c r="Q32" s="2"/>
      <ns0:c r="R32" s="2"/>
      <ns0:c r="S32" s="2"/>
      <ns0:c r="T32" s="2"/>
      <ns0:c r="U32" s="2"/>
      <ns0:c r="V32" s="2"/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 t="inlineStr">
        <ns0:is>
          <ns0:t>其他</ns0:t>
        </ns0:is>
      </ns0:c>
      <ns0:c r="B33" s="2" t="inlineStr">
        <ns0:is>
          <ns0:t>其他</ns0:t>
        </ns0:is>
      </ns0:c>
      <ns0:c r="C33" s="3">
        <ns0:f>'销售费用'!C33+'管理费用'!C33+'蓝恐龙费用'!C33</ns0:f>
        <ns0:v>438.22</ns0:v>
      </ns0:c>
      <ns0:c r="D33" s="3">
        <ns0:f>'销售费用'!D33+'管理费用'!D33+'蓝恐龙费用'!D33</ns0:f>
        <ns0:v>1117.26</ns0:v>
      </ns0:c>
      <ns0:c r="E33" s="3">
        <ns0:f>'销售费用'!E33+'管理费用'!E33+'蓝恐龙费用'!E33</ns0:f>
        <ns0:v>669.63</ns0:v>
      </ns0:c>
      <ns0:c r="F33" s="3">
        <ns0:f>'销售费用'!F33+'管理费用'!F33+'蓝恐龙费用'!F33</ns0:f>
        <ns0:v>641.59</ns0:v>
      </ns0:c>
      <ns0:c r="G33" s="3">
        <ns0:f>'销售费用'!G33+'管理费用'!G33+'蓝恐龙费用'!G33</ns0:f>
        <ns0:v>1018.92</ns0:v>
      </ns0:c>
      <ns0:c r="H33" s="3">
        <ns0:f>'销售费用'!H33+'管理费用'!H33+'蓝恐龙费用'!H33</ns0:f>
        <ns0:v>412.67</ns0:v>
      </ns0:c>
      <ns0:c r="I33" s="3">
        <ns0:f>'销售费用'!I33+'管理费用'!I33+'蓝恐龙费用'!I33</ns0:f>
        <ns0:v>573.49</ns0:v>
      </ns0:c>
      <ns0:c r="J33" s="3">
        <ns0:f>'销售费用'!J33+'管理费用'!J33+'蓝恐龙费用'!J33</ns0:f>
        <ns0:v>408.34</ns0:v>
      </ns0:c>
      <ns0:c r="K33" s="3">
        <ns0:f>'销售费用'!K33+'管理费用'!K33+'蓝恐龙费用'!K33</ns0:f>
        <ns0:v>587.06</ns0:v>
      </ns0:c>
      <ns0:c r="L33" s="3">
        <ns0:f>'销售费用'!L33+'管理费用'!L33+'蓝恐龙费用'!L33</ns0:f>
        <ns0:v>974.05</ns0:v>
      </ns0:c>
      <ns0:c r="M33" s="3">
        <ns0:f>'销售费用'!M33+'管理费用'!M33+'蓝恐龙费用'!M33</ns0:f>
        <ns0:v>634.16</ns0:v>
      </ns0:c>
      <ns0:c r="N33" s="3">
        <ns0:f>'销售费用'!N33+'管理费用'!N33+'蓝恐龙费用'!N33</ns0:f>
        <ns0:v>495.62</ns0:v>
      </ns0:c>
      <ns0:c r="O33" s="3">
        <ns0:f>SUM(C33:N33)</ns0:f>
        <ns0:v>7971.01</ns0:v>
      </ns0:c>
      <ns0:c r="P33" s="2"/>
      <ns0:c r="Q33" s="2"/>
      <ns0:c r="R33" s="2"/>
      <ns0:c r="S33" s="2"/>
      <ns0:c r="T33" s="2"/>
      <ns0:c r="U33" s="2"/>
      <ns0:c r="V33" s="2"/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 t="inlineStr">
        <ns0:is>
          <ns0:t>合计</ns0:t>
        </ns0:is>
      </ns0:c>
      <ns0:c r="B34" s="2"/>
      <ns0:c r="C34" s="3">
        <ns0:f>SUM(C4:C33)</ns0:f>
        <ns0:v>20650.46</ns0:v>
      </ns0:c>
      <ns0:c r="D34" s="3">
        <ns0:f>SUM(D4:D33)</ns0:f>
        <ns0:v>21614.47</ns0:v>
      </ns0:c>
      <ns0:c r="E34" s="3">
        <ns0:f>SUM(E4:E33)</ns0:f>
        <ns0:v>22356.13</ns0:v>
      </ns0:c>
      <ns0:c r="F34" s="3">
        <ns0:f>SUM(F4:F33)</ns0:f>
        <ns0:v>21390.96</ns0:v>
      </ns0:c>
      <ns0:c r="G34" s="3">
        <ns0:f>SUM(G4:G33)</ns0:f>
        <ns0:v>22710.17</ns0:v>
      </ns0:c>
      <ns0:c r="H34" s="3">
        <ns0:f>SUM(H4:H33)</ns0:f>
        <ns0:v>19828.02</ns0:v>
      </ns0:c>
      <ns0:c r="I34" s="3">
        <ns0:f>SUM(I4:I33)</ns0:f>
        <ns0:v>24128.76</ns0:v>
      </ns0:c>
      <ns0:c r="J34" s="3">
        <ns0:f>SUM(J4:J33)</ns0:f>
        <ns0:v>20622.58</ns0:v>
      </ns0:c>
      <ns0:c r="K34" s="3">
        <ns0:f>SUM(K4:K33)</ns0:f>
        <ns0:v>21806.47</ns0:v>
      </ns0:c>
      <ns0:c r="L34" s="3">
        <ns0:f>SUM(L4:L33)</ns0:f>
        <ns0:v>22006.04</ns0:v>
      </ns0:c>
      <ns0:c r="M34" s="3">
        <ns0:f>SUM(M4:M33)</ns0:f>
        <ns0:v>21567.04</ns0:v>
      </ns0:c>
      <ns0:c r="N34" s="3">
        <ns0:f>SUM(N4:N33)</ns0:f>
        <ns0:v>24371.44</ns0:v>
      </ns0:c>
      <ns0:c r="O34" s="3"/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 t="inlineStr">
        <ns0:is>
          <ns0:t>增值税附加</ns0:t>
        </ns0:is>
      </ns0:c>
      <ns0:c r="B35" s="2"/>
      <ns0:c r="C35" s="3"/>
      <ns0:c r="D35" s="3"/>
      <ns0:c r="E35" s="3"/>
      <ns0:c r="F35" s="3"/>
      <ns0:c r="G35" s="3"/>
      <ns0:c r="H35" s="3"/>
      <ns0:c r="I35" s="3"/>
      <ns0:c r="J35" s="3"/>
      <ns0:c r="K35" s="3"/>
      <ns0:c r="L35" s="3"/>
      <ns0:c r="M35" s="3"/>
      <ns0:c r="N35" s="3"/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 t="inlineStr">
        <ns0:is>
          <ns0:t>三费及税金合计</ns0:t>
        </ns0:is>
      </ns0:c>
      <ns0:c r="B36" s="2"/>
      <ns0:c r="C36" s="3"/>
      <ns0:c r="D36" s="3"/>
      <ns0:c r="E36" s="3"/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/>
      <ns0:c r="C37" s="3"/>
      <ns0:c r="D37" s="3"/>
      <ns0:c r="E37" s="3"/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/>
      <ns0:c r="C60" s="6"/>
      <ns0:c r="D60" s="6"/>
      <ns0:c r="E60" s="6"/>
      <ns0:c r="F60" s="6"/>
      <ns0:c r="G60" s="6"/>
      <ns0:c r="H60" s="6"/>
      <ns0:c r="I60" s="6"/>
      <ns0:c r="J60" s="6"/>
      <ns0:c r="K60" s="6"/>
      <ns0:c r="L60" s="6"/>
      <ns0:c r="M60" s="6"/>
      <ns0:c r="N60" s="6"/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/>
      <ns0:c r="C61" s="3"/>
      <ns0:c r="D61" s="3"/>
      <ns0:c r="E61" s="3"/>
      <ns0:c r="F61" s="3"/>
      <ns0:c r="G61" s="3"/>
      <ns0:c r="H61" s="3"/>
      <ns0:c r="I61" s="3"/>
      <ns0:c r="J61" s="3"/>
      <ns0:c r="K61" s="3"/>
      <ns0:c r="L61" s="3"/>
      <ns0:c r="M61" s="3"/>
      <ns0:c r="N61" s="3"/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/>
      <ns0:c r="C62" s="3"/>
      <ns0:c r="D62" s="3"/>
      <ns0:c r="E62" s="3"/>
      <ns0:c r="F62" s="3"/>
      <ns0:c r="G62" s="3"/>
      <ns0:c r="H62" s="3"/>
      <ns0:c r="I62" s="3"/>
      <ns0:c r="J62" s="3"/>
      <ns0:c r="K62" s="3"/>
      <ns0:c r="L62" s="3"/>
      <ns0:c r="M62" s="3"/>
      <ns0:c r="N62" s="3"/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/>
      <ns0:c r="C63" s="3"/>
      <ns0:c r="D63" s="3"/>
      <ns0:c r="E63" s="3"/>
      <ns0:c r="F63" s="3"/>
      <ns0:c r="G63" s="3"/>
      <ns0:c r="H63" s="3"/>
      <ns0:c r="I63" s="3"/>
      <ns0:c r="J63" s="3"/>
      <ns0:c r="K63" s="3"/>
      <ns0:c r="L63" s="3"/>
      <ns0:c r="M63" s="3"/>
      <ns0:c r="N63" s="3"/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/>
      <ns0:c r="C64" s="3"/>
      <ns0:c r="D64" s="3"/>
      <ns0:c r="E64" s="3"/>
      <ns0:c r="F64" s="3"/>
      <ns0:c r="G64" s="3"/>
      <ns0:c r="H64" s="3"/>
      <ns0:c r="I64" s="3"/>
      <ns0:c r="J64" s="3"/>
      <ns0:c r="K64" s="3"/>
      <ns0:c r="L64" s="3"/>
      <ns0:c r="M64" s="3"/>
      <ns0:c r="N64" s="3"/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/>
      <ns0:c r="C65" s="3"/>
      <ns0:c r="D65" s="3"/>
      <ns0:c r="E65" s="3"/>
      <ns0:c r="F65" s="3"/>
      <ns0:c r="G65" s="3"/>
      <ns0:c r="H65" s="3"/>
      <ns0:c r="I65" s="3"/>
      <ns0:c r="J65" s="3"/>
      <ns0:c r="K65" s="3"/>
      <ns0:c r="L65" s="3"/>
      <ns0:c r="M65" s="3"/>
      <ns0:c r="N65" s="3"/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/>
      <ns0:c r="C66" s="3"/>
      <ns0:c r="D66" s="3"/>
      <ns0:c r="E66" s="3"/>
      <ns0:c r="F66" s="3"/>
      <ns0:c r="G66" s="3"/>
      <ns0:c r="H66" s="3"/>
      <ns0:c r="I66" s="3"/>
      <ns0:c r="J66" s="3"/>
      <ns0:c r="K66" s="3"/>
      <ns0:c r="L66" s="3"/>
      <ns0:c r="M66" s="3"/>
      <ns0:c r="N66" s="3"/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/>
      <ns0:c r="C67" s="3"/>
      <ns0:c r="D67" s="3"/>
      <ns0:c r="E67" s="3"/>
      <ns0:c r="F67" s="3"/>
      <ns0:c r="G67" s="3"/>
      <ns0:c r="H67" s="3"/>
      <ns0:c r="I67" s="3"/>
      <ns0:c r="J67" s="3"/>
      <ns0:c r="K67" s="3"/>
      <ns0:c r="L67" s="3"/>
      <ns0:c r="M67" s="3"/>
      <ns0:c r="N67" s="3"/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/>
      <ns0:c r="C68" s="3"/>
      <ns0:c r="D68" s="3"/>
      <ns0:c r="E68" s="3"/>
      <ns0:c r="F68" s="3"/>
      <ns0:c r="G68" s="3"/>
      <ns0:c r="H68" s="3"/>
      <ns0:c r="I68" s="3"/>
      <ns0:c r="J68" s="3"/>
      <ns0:c r="K68" s="3"/>
      <ns0:c r="L68" s="3"/>
      <ns0:c r="M68" s="3"/>
      <ns0:c r="N68" s="3"/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 t="inlineStr">
        <ns0:is>
          <ns0:t>预算基础月度勾稽</ns0:t>
        </ns0:is>
      </ns0:c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/>
      <ns0:c r="C204" s="3"/>
      <ns0:c r="D204" s="3"/>
      <ns0:c r="E204" s="3"/>
      <ns0:c r="F204" s="3"/>
      <ns0:c r="G204" s="3"/>
      <ns0:c r="H204" s="3"/>
      <ns0:c r="I204" s="3"/>
      <ns0:c r="J204" s="3"/>
      <ns0:c r="K204" s="3"/>
      <ns0:c r="L204" s="3"/>
      <ns0:c r="M204" s="3"/>
      <ns0:c r="N204" s="3"/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/>
      <ns0:c r="C205" s="3"/>
      <ns0:c r="D205" s="3"/>
      <ns0:c r="E205" s="3"/>
      <ns0:c r="F205" s="3"/>
      <ns0:c r="G205" s="3"/>
      <ns0:c r="H205" s="3"/>
      <ns0:c r="I205" s="3"/>
      <ns0:c r="J205" s="3"/>
      <ns0:c r="K205" s="3"/>
      <ns0:c r="L205" s="3"/>
      <ns0:c r="M205" s="3"/>
      <ns0:c r="N205" s="3"/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/>
      <ns0:c r="C206" s="3"/>
      <ns0:c r="D206" s="3"/>
      <ns0:c r="E206" s="3"/>
      <ns0:c r="F206" s="3"/>
      <ns0:c r="G206" s="3"/>
      <ns0:c r="H206" s="3"/>
      <ns0:c r="I206" s="3"/>
      <ns0:c r="J206" s="3"/>
      <ns0:c r="K206" s="3"/>
      <ns0:c r="L206" s="3"/>
      <ns0:c r="M206" s="3"/>
      <ns0:c r="N206" s="3"/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/>
      <ns0:c r="C207" s="3"/>
      <ns0:c r="D207" s="3"/>
      <ns0:c r="E207" s="3"/>
      <ns0:c r="F207" s="3"/>
      <ns0:c r="G207" s="3"/>
      <ns0:c r="H207" s="3"/>
      <ns0:c r="I207" s="3"/>
      <ns0:c r="J207" s="3"/>
      <ns0:c r="K207" s="3"/>
      <ns0:c r="L207" s="3"/>
      <ns0:c r="M207" s="3"/>
      <ns0:c r="N207" s="3"/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/>
      <ns0:c r="C208" s="3"/>
      <ns0:c r="D208" s="3"/>
      <ns0:c r="E208" s="3"/>
      <ns0:c r="F208" s="3"/>
      <ns0:c r="G208" s="3"/>
      <ns0:c r="H208" s="3"/>
      <ns0:c r="I208" s="3"/>
      <ns0:c r="J208" s="3"/>
      <ns0:c r="K208" s="3"/>
      <ns0:c r="L208" s="3"/>
      <ns0:c r="M208" s="3"/>
      <ns0:c r="N208" s="3"/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/>
      <ns0:c r="C209" s="3"/>
      <ns0:c r="D209" s="3"/>
      <ns0:c r="E209" s="3"/>
      <ns0:c r="F209" s="3"/>
      <ns0:c r="G209" s="3"/>
      <ns0:c r="H209" s="3"/>
      <ns0:c r="I209" s="3"/>
      <ns0:c r="J209" s="3"/>
      <ns0:c r="K209" s="3"/>
      <ns0:c r="L209" s="3"/>
      <ns0:c r="M209" s="3"/>
      <ns0:c r="N209" s="3"/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/>
      <ns0:c r="C210" s="3"/>
      <ns0:c r="D210" s="3"/>
      <ns0:c r="E210" s="3"/>
      <ns0:c r="F210" s="3"/>
      <ns0:c r="G210" s="3"/>
      <ns0:c r="H210" s="3"/>
      <ns0:c r="I210" s="3"/>
      <ns0:c r="J210" s="3"/>
      <ns0:c r="K210" s="3"/>
      <ns0:c r="L210" s="3"/>
      <ns0:c r="M210" s="3"/>
      <ns0:c r="N210" s="3"/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/>
      <ns0:c r="C211" s="3"/>
      <ns0:c r="D211" s="3"/>
      <ns0:c r="E211" s="3"/>
      <ns0:c r="F211" s="3"/>
      <ns0:c r="G211" s="3"/>
      <ns0:c r="H211" s="3"/>
      <ns0:c r="I211" s="3"/>
      <ns0:c r="J211" s="3"/>
      <ns0:c r="K211" s="3"/>
      <ns0:c r="L211" s="3"/>
      <ns0:c r="M211" s="3"/>
      <ns0:c r="N211" s="3"/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/>
      <ns0:c r="C212" s="3"/>
      <ns0:c r="D212" s="3"/>
      <ns0:c r="E212" s="3"/>
      <ns0:c r="F212" s="3"/>
      <ns0:c r="G212" s="3"/>
      <ns0:c r="H212" s="3"/>
      <ns0:c r="I212" s="3"/>
      <ns0:c r="J212" s="3"/>
      <ns0:c r="K212" s="3"/>
      <ns0:c r="L212" s="3"/>
      <ns0:c r="M212" s="3"/>
      <ns0:c r="N212" s="3"/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/>
      <ns0:c r="C213" s="3"/>
      <ns0:c r="D213" s="3"/>
      <ns0:c r="E213" s="3"/>
      <ns0:c r="F213" s="3"/>
      <ns0:c r="G213" s="3"/>
      <ns0:c r="H213" s="3"/>
      <ns0:c r="I213" s="3"/>
      <ns0:c r="J213" s="3"/>
      <ns0:c r="K213" s="3"/>
      <ns0:c r="L213" s="3"/>
      <ns0:c r="M213" s="3"/>
      <ns0:c r="N213" s="3"/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/>
      <ns0:c r="C214" s="3"/>
      <ns0:c r="D214" s="3"/>
      <ns0:c r="E214" s="3"/>
      <ns0:c r="F214" s="3"/>
      <ns0:c r="G214" s="3"/>
      <ns0:c r="H214" s="3"/>
      <ns0:c r="I214" s="3"/>
      <ns0:c r="J214" s="3"/>
      <ns0:c r="K214" s="3"/>
      <ns0:c r="L214" s="3"/>
      <ns0:c r="M214" s="3"/>
      <ns0:c r="N214" s="3"/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/>
      <ns0:c r="C215" s="3"/>
      <ns0:c r="D215" s="3"/>
      <ns0:c r="E215" s="3"/>
      <ns0:c r="F215" s="3"/>
      <ns0:c r="G215" s="3"/>
      <ns0:c r="H215" s="3"/>
      <ns0:c r="I215" s="3"/>
      <ns0:c r="J215" s="3"/>
      <ns0:c r="K215" s="3"/>
      <ns0:c r="L215" s="3"/>
      <ns0:c r="M215" s="3"/>
      <ns0:c r="N215" s="3"/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/>
      <ns0:c r="C216" s="3"/>
      <ns0:c r="D216" s="3"/>
      <ns0:c r="E216" s="3"/>
      <ns0:c r="F216" s="3"/>
      <ns0:c r="G216" s="3"/>
      <ns0:c r="H216" s="3"/>
      <ns0:c r="I216" s="3"/>
      <ns0:c r="J216" s="3"/>
      <ns0:c r="K216" s="3"/>
      <ns0:c r="L216" s="3"/>
      <ns0:c r="M216" s="3"/>
      <ns0:c r="N216" s="3"/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/>
      <ns0:c r="C217" s="3"/>
      <ns0:c r="D217" s="3"/>
      <ns0:c r="E217" s="3"/>
      <ns0:c r="F217" s="3"/>
      <ns0:c r="G217" s="3"/>
      <ns0:c r="H217" s="3"/>
      <ns0:c r="I217" s="3"/>
      <ns0:c r="J217" s="3"/>
      <ns0:c r="K217" s="3"/>
      <ns0:c r="L217" s="3"/>
      <ns0:c r="M217" s="3"/>
      <ns0:c r="N217" s="3"/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/>
      <ns0:c r="C218" s="3"/>
      <ns0:c r="D218" s="3"/>
      <ns0:c r="E218" s="3"/>
      <ns0:c r="F218" s="3"/>
      <ns0:c r="G218" s="3"/>
      <ns0:c r="H218" s="3"/>
      <ns0:c r="I218" s="3"/>
      <ns0:c r="J218" s="3"/>
      <ns0:c r="K218" s="3"/>
      <ns0:c r="L218" s="3"/>
      <ns0:c r="M218" s="3"/>
      <ns0:c r="N218" s="3"/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/>
      <ns0:c r="C219" s="3"/>
      <ns0:c r="D219" s="3"/>
      <ns0:c r="E219" s="3"/>
      <ns0:c r="F219" s="3"/>
      <ns0:c r="G219" s="3"/>
      <ns0:c r="H219" s="3"/>
      <ns0:c r="I219" s="3"/>
      <ns0:c r="J219" s="3"/>
      <ns0:c r="K219" s="3"/>
      <ns0:c r="L219" s="3"/>
      <ns0:c r="M219" s="3"/>
      <ns0:c r="N219" s="3"/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/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/>
      <ns0:c r="C221" s="3"/>
      <ns0:c r="D221" s="3"/>
      <ns0:c r="E221" s="3"/>
      <ns0:c r="F221" s="3"/>
      <ns0:c r="G221" s="3"/>
      <ns0:c r="H221" s="3"/>
      <ns0:c r="I221" s="3"/>
      <ns0:c r="J221" s="3"/>
      <ns0:c r="K221" s="3"/>
      <ns0:c r="L221" s="3"/>
      <ns0:c r="M221" s="3"/>
      <ns0:c r="N221" s="3"/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/>
      <ns0:c r="C222" s="3"/>
      <ns0:c r="D222" s="3"/>
      <ns0:c r="E222" s="3"/>
      <ns0:c r="F222" s="3"/>
      <ns0:c r="G222" s="3"/>
      <ns0:c r="H222" s="3"/>
      <ns0:c r="I222" s="3"/>
      <ns0:c r="J222" s="3"/>
      <ns0:c r="K222" s="3"/>
      <ns0:c r="L222" s="3"/>
      <ns0:c r="M222" s="3"/>
      <ns0:c r="N222" s="3"/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/>
      <ns0:c r="C223" s="3"/>
      <ns0:c r="D223" s="3"/>
      <ns0:c r="E223" s="3"/>
      <ns0:c r="F223" s="3"/>
      <ns0:c r="G223" s="3"/>
      <ns0:c r="H223" s="3"/>
      <ns0:c r="I223" s="3"/>
      <ns0:c r="J223" s="3"/>
      <ns0:c r="K223" s="3"/>
      <ns0:c r="L223" s="3"/>
      <ns0:c r="M223" s="3"/>
      <ns0:c r="N223" s="3"/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/>
      <ns0:c r="C224" s="3"/>
      <ns0:c r="D224" s="3"/>
      <ns0:c r="E224" s="3"/>
      <ns0:c r="F224" s="3"/>
      <ns0:c r="G224" s="3"/>
      <ns0:c r="H224" s="3"/>
      <ns0:c r="I224" s="3"/>
      <ns0:c r="J224" s="3"/>
      <ns0:c r="K224" s="3"/>
      <ns0:c r="L224" s="3"/>
      <ns0:c r="M224" s="3"/>
      <ns0:c r="N224" s="3"/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/>
      <ns0:c r="C225" s="3"/>
      <ns0:c r="D225" s="3"/>
      <ns0:c r="E225" s="3"/>
      <ns0:c r="F225" s="3"/>
      <ns0:c r="G225" s="3"/>
      <ns0:c r="H225" s="3"/>
      <ns0:c r="I225" s="3"/>
      <ns0:c r="J225" s="3"/>
      <ns0:c r="K225" s="3"/>
      <ns0:c r="L225" s="3"/>
      <ns0:c r="M225" s="3"/>
      <ns0:c r="N225" s="3"/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/>
      <ns0:c r="C226" s="3"/>
      <ns0:c r="D226" s="3"/>
      <ns0:c r="E226" s="3"/>
      <ns0:c r="F226" s="3"/>
      <ns0:c r="G226" s="3"/>
      <ns0:c r="H226" s="3"/>
      <ns0:c r="I226" s="3"/>
      <ns0:c r="J226" s="3"/>
      <ns0:c r="K226" s="3"/>
      <ns0:c r="L226" s="3"/>
      <ns0:c r="M226" s="3"/>
      <ns0:c r="N226" s="3"/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/>
      <ns0:c r="C227" s="3"/>
      <ns0:c r="D227" s="3"/>
      <ns0:c r="E227" s="3"/>
      <ns0:c r="F227" s="3"/>
      <ns0:c r="G227" s="3"/>
      <ns0:c r="H227" s="3"/>
      <ns0:c r="I227" s="3"/>
      <ns0:c r="J227" s="3"/>
      <ns0:c r="K227" s="3"/>
      <ns0:c r="L227" s="3"/>
      <ns0:c r="M227" s="3"/>
      <ns0:c r="N227" s="3"/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/>
      <ns0:c r="C228" s="3"/>
      <ns0:c r="D228" s="3"/>
      <ns0:c r="E228" s="3"/>
      <ns0:c r="F228" s="3"/>
      <ns0:c r="G228" s="3"/>
      <ns0:c r="H228" s="3"/>
      <ns0:c r="I228" s="3"/>
      <ns0:c r="J228" s="3"/>
      <ns0:c r="K228" s="3"/>
      <ns0:c r="L228" s="3"/>
      <ns0:c r="M228" s="3"/>
      <ns0:c r="N228" s="3"/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/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/>
      <ns0:c r="C230" s="3"/>
      <ns0:c r="D230" s="3"/>
      <ns0:c r="E230" s="3"/>
      <ns0:c r="F230" s="3"/>
      <ns0:c r="G230" s="3"/>
      <ns0:c r="H230" s="3"/>
      <ns0:c r="I230" s="3"/>
      <ns0:c r="J230" s="3"/>
      <ns0:c r="K230" s="3"/>
      <ns0:c r="L230" s="3"/>
      <ns0:c r="M230" s="3"/>
      <ns0:c r="N230" s="3"/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/>
      <ns0:c r="C231" s="3"/>
      <ns0:c r="D231" s="3"/>
      <ns0:c r="E231" s="3"/>
      <ns0:c r="F231" s="3"/>
      <ns0:c r="G231" s="3"/>
      <ns0:c r="H231" s="3"/>
      <ns0:c r="I231" s="3"/>
      <ns0:c r="J231" s="3"/>
      <ns0:c r="K231" s="3"/>
      <ns0:c r="L231" s="3"/>
      <ns0:c r="M231" s="3"/>
      <ns0:c r="N231" s="3"/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/>
      <ns0:c r="C232" s="3"/>
      <ns0:c r="D232" s="3"/>
      <ns0:c r="E232" s="3"/>
      <ns0:c r="F232" s="3"/>
      <ns0:c r="G232" s="3"/>
      <ns0:c r="H232" s="3"/>
      <ns0:c r="I232" s="3"/>
      <ns0:c r="J232" s="3"/>
      <ns0:c r="K232" s="3"/>
      <ns0:c r="L232" s="3"/>
      <ns0:c r="M232" s="3"/>
      <ns0:c r="N232" s="3"/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/>
      <ns0:c r="C233" s="3"/>
      <ns0:c r="D233" s="3"/>
      <ns0:c r="E233" s="3"/>
      <ns0:c r="F233" s="3"/>
      <ns0:c r="G233" s="3"/>
      <ns0:c r="H233" s="3"/>
      <ns0:c r="I233" s="3"/>
      <ns0:c r="J233" s="3"/>
      <ns0:c r="K233" s="3"/>
      <ns0:c r="L233" s="3"/>
      <ns0:c r="M233" s="3"/>
      <ns0:c r="N233" s="3"/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/>
      <ns0:c r="C324" s="3"/>
      <ns0:c r="D324" s="3"/>
      <ns0:c r="E324" s="3"/>
      <ns0:c r="F324" s="3"/>
      <ns0:c r="G324" s="3"/>
      <ns0:c r="H324" s="3"/>
      <ns0:c r="I324" s="3"/>
      <ns0:c r="J324" s="3"/>
      <ns0:c r="K324" s="3"/>
      <ns0:c r="L324" s="3"/>
      <ns0:c r="M324" s="3"/>
      <ns0:c r="N324" s="3"/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/>
      <ns0:c r="C325" s="3"/>
      <ns0:c r="D325" s="3"/>
      <ns0:c r="E325" s="3"/>
      <ns0:c r="F325" s="3"/>
      <ns0:c r="G325" s="3"/>
      <ns0:c r="H325" s="3"/>
      <ns0:c r="I325" s="3"/>
      <ns0:c r="J325" s="3"/>
      <ns0:c r="K325" s="3"/>
      <ns0:c r="L325" s="3"/>
      <ns0:c r="M325" s="3"/>
      <ns0:c r="N325" s="3"/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/>
      <ns0:c r="C326" s="3"/>
      <ns0:c r="D326" s="3"/>
      <ns0:c r="E326" s="3"/>
      <ns0:c r="F326" s="3"/>
      <ns0:c r="G326" s="3"/>
      <ns0:c r="H326" s="3"/>
      <ns0:c r="I326" s="3"/>
      <ns0:c r="J326" s="3"/>
      <ns0:c r="K326" s="3"/>
      <ns0:c r="L326" s="3"/>
      <ns0:c r="M326" s="3"/>
      <ns0:c r="N326" s="3"/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/>
      <ns0:c r="C327" s="3"/>
      <ns0:c r="D327" s="3"/>
      <ns0:c r="E327" s="3"/>
      <ns0:c r="F327" s="3"/>
      <ns0:c r="G327" s="3"/>
      <ns0:c r="H327" s="3"/>
      <ns0:c r="I327" s="3"/>
      <ns0:c r="J327" s="3"/>
      <ns0:c r="K327" s="3"/>
      <ns0:c r="L327" s="3"/>
      <ns0:c r="M327" s="3"/>
      <ns0:c r="N327" s="3"/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/>
      <ns0:c r="C328" s="3"/>
      <ns0:c r="D328" s="3"/>
      <ns0:c r="E328" s="3"/>
      <ns0:c r="F328" s="3"/>
      <ns0:c r="G328" s="3"/>
      <ns0:c r="H328" s="3"/>
      <ns0:c r="I328" s="3"/>
      <ns0:c r="J328" s="3"/>
      <ns0:c r="K328" s="3"/>
      <ns0:c r="L328" s="3"/>
      <ns0:c r="M328" s="3"/>
      <ns0:c r="N328" s="3"/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/>
      <ns0:c r="C329" s="3"/>
      <ns0:c r="D329" s="3"/>
      <ns0:c r="E329" s="3"/>
      <ns0:c r="F329" s="3"/>
      <ns0:c r="G329" s="3"/>
      <ns0:c r="H329" s="3"/>
      <ns0:c r="I329" s="3"/>
      <ns0:c r="J329" s="3"/>
      <ns0:c r="K329" s="3"/>
      <ns0:c r="L329" s="3"/>
      <ns0:c r="M329" s="3"/>
      <ns0:c r="N329" s="3"/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/>
      <ns0:c r="C330" s="3"/>
      <ns0:c r="D330" s="3"/>
      <ns0:c r="E330" s="3"/>
      <ns0:c r="F330" s="3"/>
      <ns0:c r="G330" s="3"/>
      <ns0:c r="H330" s="3"/>
      <ns0:c r="I330" s="3"/>
      <ns0:c r="J330" s="3"/>
      <ns0:c r="K330" s="3"/>
      <ns0:c r="L330" s="3"/>
      <ns0:c r="M330" s="3"/>
      <ns0:c r="N330" s="3"/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/>
      <ns0:c r="C331" s="3"/>
      <ns0:c r="D331" s="3"/>
      <ns0:c r="E331" s="3"/>
      <ns0:c r="F331" s="3"/>
      <ns0:c r="G331" s="3"/>
      <ns0:c r="H331" s="3"/>
      <ns0:c r="I331" s="3"/>
      <ns0:c r="J331" s="3"/>
      <ns0:c r="K331" s="3"/>
      <ns0:c r="L331" s="3"/>
      <ns0:c r="M331" s="3"/>
      <ns0:c r="N331" s="3"/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/>
      <ns0:c r="C332" s="3"/>
      <ns0:c r="D332" s="3"/>
      <ns0:c r="E332" s="3"/>
      <ns0:c r="F332" s="3"/>
      <ns0:c r="G332" s="3"/>
      <ns0:c r="H332" s="3"/>
      <ns0:c r="I332" s="3"/>
      <ns0:c r="J332" s="3"/>
      <ns0:c r="K332" s="3"/>
      <ns0:c r="L332" s="3"/>
      <ns0:c r="M332" s="3"/>
      <ns0:c r="N332" s="3"/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/>
      <ns0:c r="C333" s="3"/>
      <ns0:c r="D333" s="3"/>
      <ns0:c r="E333" s="3"/>
      <ns0:c r="F333" s="3"/>
      <ns0:c r="G333" s="3"/>
      <ns0:c r="H333" s="3"/>
      <ns0:c r="I333" s="3"/>
      <ns0:c r="J333" s="3"/>
      <ns0:c r="K333" s="3"/>
      <ns0:c r="L333" s="3"/>
      <ns0:c r="M333" s="3"/>
      <ns0:c r="N333" s="3"/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/>
      <ns0:c r="C334" s="3"/>
      <ns0:c r="D334" s="3"/>
      <ns0:c r="E334" s="3"/>
      <ns0:c r="F334" s="3"/>
      <ns0:c r="G334" s="3"/>
      <ns0:c r="H334" s="3"/>
      <ns0:c r="I334" s="3"/>
      <ns0:c r="J334" s="3"/>
      <ns0:c r="K334" s="3"/>
      <ns0:c r="L334" s="3"/>
      <ns0:c r="M334" s="3"/>
      <ns0:c r="N334" s="3"/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/>
      <ns0:c r="C335" s="3"/>
      <ns0:c r="D335" s="3"/>
      <ns0:c r="E335" s="3"/>
      <ns0:c r="F335" s="3"/>
      <ns0:c r="G335" s="3"/>
      <ns0:c r="H335" s="3"/>
      <ns0:c r="I335" s="3"/>
      <ns0:c r="J335" s="3"/>
      <ns0:c r="K335" s="3"/>
      <ns0:c r="L335" s="3"/>
      <ns0:c r="M335" s="3"/>
      <ns0:c r="N335" s="3"/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/>
      <ns0:c r="C336" s="3"/>
      <ns0:c r="D336" s="3"/>
      <ns0:c r="E336" s="3"/>
      <ns0:c r="F336" s="3"/>
      <ns0:c r="G336" s="3"/>
      <ns0:c r="H336" s="3"/>
      <ns0:c r="I336" s="3"/>
      <ns0:c r="J336" s="3"/>
      <ns0:c r="K336" s="3"/>
      <ns0:c r="L336" s="3"/>
      <ns0:c r="M336" s="3"/>
      <ns0:c r="N336" s="3"/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/>
      <ns0:c r="C337" s="3"/>
      <ns0:c r="D337" s="3"/>
      <ns0:c r="E337" s="3"/>
      <ns0:c r="F337" s="3"/>
      <ns0:c r="G337" s="3"/>
      <ns0:c r="H337" s="3"/>
      <ns0:c r="I337" s="3"/>
      <ns0:c r="J337" s="3"/>
      <ns0:c r="K337" s="3"/>
      <ns0:c r="L337" s="3"/>
      <ns0:c r="M337" s="3"/>
      <ns0:c r="N337" s="3"/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/>
      <ns0:c r="C338" s="3"/>
      <ns0:c r="D338" s="3"/>
      <ns0:c r="E338" s="3"/>
      <ns0:c r="F338" s="3"/>
      <ns0:c r="G338" s="3"/>
      <ns0:c r="H338" s="3"/>
      <ns0:c r="I338" s="3"/>
      <ns0:c r="J338" s="3"/>
      <ns0:c r="K338" s="3"/>
      <ns0:c r="L338" s="3"/>
      <ns0:c r="M338" s="3"/>
      <ns0:c r="N338" s="3"/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/>
      <ns0:c r="C339" s="3"/>
      <ns0:c r="D339" s="3"/>
      <ns0:c r="E339" s="3"/>
      <ns0:c r="F339" s="3"/>
      <ns0:c r="G339" s="3"/>
      <ns0:c r="H339" s="3"/>
      <ns0:c r="I339" s="3"/>
      <ns0:c r="J339" s="3"/>
      <ns0:c r="K339" s="3"/>
      <ns0:c r="L339" s="3"/>
      <ns0:c r="M339" s="3"/>
      <ns0:c r="N339" s="3"/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/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/>
      <ns0:c r="C341" s="3"/>
      <ns0:c r="D341" s="3"/>
      <ns0:c r="E341" s="3"/>
      <ns0:c r="F341" s="3"/>
      <ns0:c r="G341" s="3"/>
      <ns0:c r="H341" s="3"/>
      <ns0:c r="I341" s="3"/>
      <ns0:c r="J341" s="3"/>
      <ns0:c r="K341" s="3"/>
      <ns0:c r="L341" s="3"/>
      <ns0:c r="M341" s="3"/>
      <ns0:c r="N341" s="3"/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/>
      <ns0:c r="C342" s="3"/>
      <ns0:c r="D342" s="3"/>
      <ns0:c r="E342" s="3"/>
      <ns0:c r="F342" s="3"/>
      <ns0:c r="G342" s="3"/>
      <ns0:c r="H342" s="3"/>
      <ns0:c r="I342" s="3"/>
      <ns0:c r="J342" s="3"/>
      <ns0:c r="K342" s="3"/>
      <ns0:c r="L342" s="3"/>
      <ns0:c r="M342" s="3"/>
      <ns0:c r="N342" s="3"/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/>
      <ns0:c r="C343" s="3"/>
      <ns0:c r="D343" s="3"/>
      <ns0:c r="E343" s="3"/>
      <ns0:c r="F343" s="3"/>
      <ns0:c r="G343" s="3"/>
      <ns0:c r="H343" s="3"/>
      <ns0:c r="I343" s="3"/>
      <ns0:c r="J343" s="3"/>
      <ns0:c r="K343" s="3"/>
      <ns0:c r="L343" s="3"/>
      <ns0:c r="M343" s="3"/>
      <ns0:c r="N343" s="3"/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/>
      <ns0:c r="C344" s="3"/>
      <ns0:c r="D344" s="3"/>
      <ns0:c r="E344" s="3"/>
      <ns0:c r="F344" s="3"/>
      <ns0:c r="G344" s="3"/>
      <ns0:c r="H344" s="3"/>
      <ns0:c r="I344" s="3"/>
      <ns0:c r="J344" s="3"/>
      <ns0:c r="K344" s="3"/>
      <ns0:c r="L344" s="3"/>
      <ns0:c r="M344" s="3"/>
      <ns0:c r="N344" s="3"/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/>
      <ns0:c r="C345" s="3"/>
      <ns0:c r="D345" s="3"/>
      <ns0:c r="E345" s="3"/>
      <ns0:c r="F345" s="3"/>
      <ns0:c r="G345" s="3"/>
      <ns0:c r="H345" s="3"/>
      <ns0:c r="I345" s="3"/>
      <ns0:c r="J345" s="3"/>
      <ns0:c r="K345" s="3"/>
      <ns0:c r="L345" s="3"/>
      <ns0:c r="M345" s="3"/>
      <ns0:c r="N345" s="3"/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/>
      <ns0:c r="C346" s="3"/>
      <ns0:c r="D346" s="3"/>
      <ns0:c r="E346" s="3"/>
      <ns0:c r="F346" s="3"/>
      <ns0:c r="G346" s="3"/>
      <ns0:c r="H346" s="3"/>
      <ns0:c r="I346" s="3"/>
      <ns0:c r="J346" s="3"/>
      <ns0:c r="K346" s="3"/>
      <ns0:c r="L346" s="3"/>
      <ns0:c r="M346" s="3"/>
      <ns0:c r="N346" s="3"/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/>
      <ns0:c r="C347" s="3"/>
      <ns0:c r="D347" s="3"/>
      <ns0:c r="E347" s="3"/>
      <ns0:c r="F347" s="3"/>
      <ns0:c r="G347" s="3"/>
      <ns0:c r="H347" s="3"/>
      <ns0:c r="I347" s="3"/>
      <ns0:c r="J347" s="3"/>
      <ns0:c r="K347" s="3"/>
      <ns0:c r="L347" s="3"/>
      <ns0:c r="M347" s="3"/>
      <ns0:c r="N347" s="3"/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/>
      <ns0:c r="C348" s="3"/>
      <ns0:c r="D348" s="3"/>
      <ns0:c r="E348" s="3"/>
      <ns0:c r="F348" s="3"/>
      <ns0:c r="G348" s="3"/>
      <ns0:c r="H348" s="3"/>
      <ns0:c r="I348" s="3"/>
      <ns0:c r="J348" s="3"/>
      <ns0:c r="K348" s="3"/>
      <ns0:c r="L348" s="3"/>
      <ns0:c r="M348" s="3"/>
      <ns0:c r="N348" s="3"/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/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/>
      <ns0:c r="C350" s="3"/>
      <ns0:c r="D350" s="3"/>
      <ns0:c r="E350" s="3"/>
      <ns0:c r="F350" s="3"/>
      <ns0:c r="G350" s="3"/>
      <ns0:c r="H350" s="3"/>
      <ns0:c r="I350" s="3"/>
      <ns0:c r="J350" s="3"/>
      <ns0:c r="K350" s="3"/>
      <ns0:c r="L350" s="3"/>
      <ns0:c r="M350" s="3"/>
      <ns0:c r="N350" s="3"/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/>
      <ns0:c r="C351" s="3"/>
      <ns0:c r="D351" s="3"/>
      <ns0:c r="E351" s="3"/>
      <ns0:c r="F351" s="3"/>
      <ns0:c r="G351" s="3"/>
      <ns0:c r="H351" s="3"/>
      <ns0:c r="I351" s="3"/>
      <ns0:c r="J351" s="3"/>
      <ns0:c r="K351" s="3"/>
      <ns0:c r="L351" s="3"/>
      <ns0:c r="M351" s="3"/>
      <ns0:c r="N351" s="3"/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/>
      <ns0:c r="C352" s="3"/>
      <ns0:c r="D352" s="3"/>
      <ns0:c r="E352" s="3"/>
      <ns0:c r="F352" s="3"/>
      <ns0:c r="G352" s="3"/>
      <ns0:c r="H352" s="3"/>
      <ns0:c r="I352" s="3"/>
      <ns0:c r="J352" s="3"/>
      <ns0:c r="K352" s="3"/>
      <ns0:c r="L352" s="3"/>
      <ns0:c r="M352" s="3"/>
      <ns0:c r="N352" s="3"/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/>
      <ns0:c r="C353" s="3"/>
      <ns0:c r="D353" s="3"/>
      <ns0:c r="E353" s="3"/>
      <ns0:c r="F353" s="3"/>
      <ns0:c r="G353" s="3"/>
      <ns0:c r="H353" s="3"/>
      <ns0:c r="I353" s="3"/>
      <ns0:c r="J353" s="3"/>
      <ns0:c r="K353" s="3"/>
      <ns0:c r="L353" s="3"/>
      <ns0:c r="M353" s="3"/>
      <ns0:c r="N353" s="3"/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mergeCells>
    <ns0:mergeCell ref="A1:C1"/>
    <ns0:mergeCell ref="C2:N2"/>
    <ns0:mergeCell ref="A25:B25"/>
    <ns0:mergeCell ref="A26:B26"/>
    <ns0:mergeCell ref="A27:B27"/>
    <ns0:mergeCell ref="A33:B33"/>
    <ns0:mergeCell ref="A34:B34"/>
    <ns0:mergeCell ref="A35:B35"/>
    <ns0:mergeCell ref="A36:B36"/>
    <ns0:mergeCell ref="A42:B42"/>
    <ns0:mergeCell ref="A43:B43"/>
    <ns0:mergeCell ref="A44:B44"/>
    <ns0:mergeCell ref="A45:B45"/>
    <ns0:mergeCell ref="A4:A10"/>
    <ns0:mergeCell ref="A11:A20"/>
    <ns0:mergeCell ref="A21:A24"/>
    <ns0:mergeCell ref="A29:A30"/>
    <ns0:mergeCell ref="A31:A32"/>
    <ns0:mergeCell ref="O2:O3"/>
    <ns0:mergeCell ref="A2:B3"/>
  </ns0:mergeCells>
  <ns0:pageMargins left="0.7" right="0.7" top="0.75" bottom="0.75" header="0.3" footer="0.3"/>
</ns0:worksheet>
</file>

<file path=xl/worksheets/sheet11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9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20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/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/>
      <ns0:c r="B2" s="2" t="inlineStr">
        <ns0:is>
          <ns0:t>日期</ns0:t>
        </ns0:is>
      </ns0:c>
      <ns0:c r="C2" s="3"/>
      <ns0:c r="D2" s="3"/>
      <ns0:c r="E2" s="3"/>
      <ns0:c r="F2" s="3"/>
      <ns0:c r="G2" s="3"/>
      <ns0:c r="H2" s="3" t="inlineStr">
        <ns0:is>
          <ns0:t>金额</ns0:t>
        </ns0:is>
      </ns0:c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E-5f17fa2948</ns0:t>
        </ns0:is>
      </ns0:c>
    </ns0:row>
    <ns0:row r="3" ht="20" customHeight="1">
      <ns0:c r="A3" s="2"/>
      <ns0:c r="B3" s="2"/>
      <ns0:c r="C3" s="6"/>
      <ns0:c r="D3" s="6"/>
      <ns0:c r="E3" s="6"/>
      <ns0:c r="F3" s="6"/>
      <ns0:c r="G3" s="6"/>
      <ns0:c r="H3" s="6"/>
      <ns0:c r="I3" s="6"/>
      <ns0:c r="J3" s="6"/>
      <ns0:c r="K3" s="6"/>
      <ns0:c r="L3" s="6"/>
      <ns0:c r="M3" s="6"/>
      <ns0:c r="N3" s="6"/>
      <ns0:c r="O3" s="6"/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主体乙</ns0:t>
        </ns0:is>
      </ns0:c>
    </ns0:row>
    <ns0:row r="4" ht="20" customHeight="1">
      <ns0:c r="A4" s="2"/>
      <ns0:c r="B4" s="2"/>
      <ns0:c r="C4" s="3"/>
      <ns0:c r="D4" s="3"/>
      <ns0:c r="E4" s="3"/>
      <ns0:c r="F4" s="3"/>
      <ns0:c r="G4" s="3"/>
      <ns0:c r="H4" s="3"/>
      <ns0:c r="I4" s="3"/>
      <ns0:c r="J4" s="3"/>
      <ns0:c r="K4" s="3"/>
      <ns0:c r="L4" s="3"/>
      <ns0:c r="M4" s="3"/>
      <ns0:c r="N4" s="3"/>
      <ns0:c r="O4" s="3"/>
      <ns0:c r="P4" s="2"/>
      <ns0:c r="Q4" s="2"/>
      <ns0:c r="R4" s="2"/>
      <ns0:c r="S4" s="2"/>
      <ns0:c r="T4" s="2"/>
      <ns0:c r="U4" s="2"/>
      <ns0:c r="V4" s="2"/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S-03e3bfa6bf</ns0:t>
        </ns0:is>
      </ns0:c>
    </ns0:row>
    <ns0:row r="5" ht="20" customHeight="1">
      <ns0:c r="A5" s="2"/>
      <ns0:c r="B5" s="2"/>
      <ns0:c r="C5" s="3"/>
      <ns0:c r="D5" s="3"/>
      <ns0:c r="E5" s="3"/>
      <ns0:c r="F5" s="3"/>
      <ns0:c r="G5" s="3"/>
      <ns0:c r="H5" s="3"/>
      <ns0:c r="I5" s="3"/>
      <ns0:c r="J5" s="3"/>
      <ns0:c r="K5" s="3"/>
      <ns0:c r="L5" s="3"/>
      <ns0:c r="M5" s="3"/>
      <ns0:c r="N5" s="3"/>
      <ns0:c r="O5" s="3"/>
      <ns0:c r="P5" s="2"/>
      <ns0:c r="Q5" s="2"/>
      <ns0:c r="R5" s="2"/>
      <ns0:c r="S5" s="2"/>
      <ns0:c r="T5" s="2"/>
      <ns0:c r="U5" s="2"/>
      <ns0:c r="V5" s="2"/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扩展情景</ns0:t>
        </ns0:is>
      </ns0:c>
    </ns0:row>
    <ns0:row r="6" ht="20" customHeight="1">
      <ns0:c r="A6" s="2"/>
      <ns0:c r="B6" s="2"/>
      <ns0:c r="C6" s="3"/>
      <ns0:c r="D6" s="3"/>
      <ns0:c r="E6" s="3"/>
      <ns0:c r="F6" s="3"/>
      <ns0:c r="G6" s="3"/>
      <ns0:c r="H6" s="3"/>
      <ns0:c r="I6" s="3"/>
      <ns0:c r="J6" s="3"/>
      <ns0:c r="K6" s="3"/>
      <ns0:c r="L6" s="3"/>
      <ns0:c r="M6" s="3"/>
      <ns0:c r="N6" s="3"/>
      <ns0:c r="O6" s="3"/>
      <ns0:c r="P6" s="2"/>
      <ns0:c r="Q6" s="2"/>
      <ns0:c r="R6" s="2"/>
      <ns0:c r="S6" s="2"/>
      <ns0:c r="T6" s="2"/>
      <ns0:c r="U6" s="2"/>
      <ns0:c r="V6" s="2"/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/>
      <ns0:c r="B7" s="2"/>
      <ns0:c r="C7" s="3"/>
      <ns0:c r="D7" s="3"/>
      <ns0:c r="E7" s="3"/>
      <ns0:c r="F7" s="3"/>
      <ns0:c r="G7" s="3"/>
      <ns0:c r="H7" s="3"/>
      <ns0:c r="I7" s="3"/>
      <ns0:c r="J7" s="3"/>
      <ns0:c r="K7" s="3"/>
      <ns0:c r="L7" s="3"/>
      <ns0:c r="M7" s="3"/>
      <ns0:c r="N7" s="3"/>
      <ns0:c r="O7" s="3"/>
      <ns0:c r="P7" s="2"/>
      <ns0:c r="Q7" s="2"/>
      <ns0:c r="R7" s="2"/>
      <ns0:c r="S7" s="2"/>
      <ns0:c r="T7" s="2"/>
      <ns0:c r="U7" s="2"/>
      <ns0:c r="V7" s="2"/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季度</ns0:t>
        </ns0:is>
      </ns0:c>
    </ns0:row>
    <ns0:row r="8" ht="20" customHeight="1">
      <ns0:c r="A8" s="2"/>
      <ns0:c r="B8" s="2"/>
      <ns0:c r="C8" s="3"/>
      <ns0:c r="D8" s="3"/>
      <ns0:c r="E8" s="3"/>
      <ns0:c r="F8" s="3"/>
      <ns0:c r="G8" s="3"/>
      <ns0:c r="H8" s="3"/>
      <ns0:c r="I8" s="3"/>
      <ns0:c r="J8" s="3"/>
      <ns0:c r="K8" s="3"/>
      <ns0:c r="L8" s="3"/>
      <ns0:c r="M8" s="3"/>
      <ns0:c r="N8" s="3"/>
      <ns0:c r="O8" s="3"/>
      <ns0:c r="P8" s="2"/>
      <ns0:c r="Q8" s="2"/>
      <ns0:c r="R8" s="2"/>
      <ns0:c r="S8" s="2"/>
      <ns0:c r="T8" s="2"/>
      <ns0:c r="U8" s="2"/>
      <ns0:c r="V8" s="2"/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/>
      <ns0:c r="B9" s="2"/>
      <ns0:c r="C9" s="3"/>
      <ns0:c r="D9" s="3"/>
      <ns0:c r="E9" s="3"/>
      <ns0:c r="F9" s="3"/>
      <ns0:c r="G9" s="3"/>
      <ns0:c r="H9" s="3"/>
      <ns0:c r="I9" s="3"/>
      <ns0:c r="J9" s="3"/>
      <ns0:c r="K9" s="3"/>
      <ns0:c r="L9" s="3"/>
      <ns0:c r="M9" s="3"/>
      <ns0:c r="N9" s="3"/>
      <ns0:c r="O9" s="3"/>
      <ns0:c r="P9" s="2"/>
      <ns0:c r="Q9" s="2"/>
      <ns0:c r="R9" s="2"/>
      <ns0:c r="S9" s="2"/>
      <ns0:c r="T9" s="2"/>
      <ns0:c r="U9" s="2"/>
      <ns0:c r="V9" s="2"/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/>
      <ns0:c r="B10" s="2"/>
      <ns0:c r="C10" s="3"/>
      <ns0:c r="D10" s="3"/>
      <ns0:c r="E10" s="3"/>
      <ns0:c r="F10" s="3"/>
      <ns0:c r="G10" s="3"/>
      <ns0:c r="H10" s="3"/>
      <ns0:c r="I10" s="3"/>
      <ns0:c r="J10" s="3"/>
      <ns0:c r="K10" s="3"/>
      <ns0:c r="L10" s="3"/>
      <ns0:c r="M10" s="3"/>
      <ns0:c r="N10" s="3"/>
      <ns0:c r="O10" s="3"/>
      <ns0:c r="P10" s="2"/>
      <ns0:c r="Q10" s="2"/>
      <ns0:c r="R10" s="2"/>
      <ns0:c r="S10" s="2"/>
      <ns0:c r="T10" s="2"/>
      <ns0:c r="U10" s="2"/>
      <ns0:c r="V10" s="2"/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/>
      <ns0:c r="B11" s="2"/>
      <ns0:c r="C11" s="3"/>
      <ns0:c r="D11" s="3"/>
      <ns0:c r="E11" s="3"/>
      <ns0:c r="F11" s="3"/>
      <ns0:c r="G11" s="3"/>
      <ns0:c r="H11" s="3"/>
      <ns0:c r="I11" s="3"/>
      <ns0:c r="J11" s="3"/>
      <ns0:c r="K11" s="3"/>
      <ns0:c r="L11" s="3"/>
      <ns0:c r="M11" s="3"/>
      <ns0:c r="N11" s="3"/>
      <ns0:c r="O11" s="3"/>
      <ns0:c r="P11" s="2"/>
      <ns0:c r="Q11" s="2"/>
      <ns0:c r="R11" s="2"/>
      <ns0:c r="S11" s="2"/>
      <ns0:c r="T11" s="2"/>
      <ns0:c r="U11" s="2"/>
      <ns0:c r="V11" s="2"/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/>
      <ns0:c r="B12" s="2"/>
      <ns0:c r="C12" s="3"/>
      <ns0:c r="D12" s="3"/>
      <ns0:c r="E12" s="3"/>
      <ns0:c r="F12" s="3"/>
      <ns0:c r="G12" s="3"/>
      <ns0:c r="H12" s="3"/>
      <ns0:c r="I12" s="3"/>
      <ns0:c r="J12" s="3"/>
      <ns0:c r="K12" s="3"/>
      <ns0:c r="L12" s="3"/>
      <ns0:c r="M12" s="3"/>
      <ns0:c r="N12" s="3"/>
      <ns0:c r="O12" s="3"/>
      <ns0:c r="P12" s="2"/>
      <ns0:c r="Q12" s="2"/>
      <ns0:c r="R12" s="2"/>
      <ns0:c r="S12" s="2"/>
      <ns0:c r="T12" s="2"/>
      <ns0:c r="U12" s="2"/>
      <ns0:c r="V12" s="2"/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/>
      <ns0:c r="B13" s="2"/>
      <ns0:c r="C13" s="3"/>
      <ns0:c r="D13" s="3"/>
      <ns0:c r="E13" s="3"/>
      <ns0:c r="F13" s="3"/>
      <ns0:c r="G13" s="3"/>
      <ns0:c r="H13" s="3"/>
      <ns0:c r="I13" s="3"/>
      <ns0:c r="J13" s="3"/>
      <ns0:c r="K13" s="3"/>
      <ns0:c r="L13" s="3"/>
      <ns0:c r="M13" s="3"/>
      <ns0:c r="N13" s="3"/>
      <ns0:c r="O13" s="3"/>
      <ns0:c r="P13" s="2"/>
      <ns0:c r="Q13" s="2"/>
      <ns0:c r="R13" s="2"/>
      <ns0:c r="S13" s="2"/>
      <ns0:c r="T13" s="2"/>
      <ns0:c r="U13" s="2"/>
      <ns0:c r="V13" s="2"/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/>
      <ns0:c r="B14" s="2"/>
      <ns0:c r="C14" s="3"/>
      <ns0:c r="D14" s="3"/>
      <ns0:c r="E14" s="3"/>
      <ns0:c r="F14" s="3"/>
      <ns0:c r="G14" s="3"/>
      <ns0:c r="H14" s="3"/>
      <ns0:c r="I14" s="3"/>
      <ns0:c r="J14" s="3"/>
      <ns0:c r="K14" s="3"/>
      <ns0:c r="L14" s="3"/>
      <ns0:c r="M14" s="3"/>
      <ns0:c r="N14" s="3"/>
      <ns0:c r="O14" s="3"/>
      <ns0:c r="P14" s="2"/>
      <ns0:c r="Q14" s="2"/>
      <ns0:c r="R14" s="2"/>
      <ns0:c r="S14" s="2"/>
      <ns0:c r="T14" s="2"/>
      <ns0:c r="U14" s="2"/>
      <ns0:c r="V14" s="2"/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/>
      <ns0:c r="B15" s="2"/>
      <ns0:c r="C15" s="3"/>
      <ns0:c r="D15" s="3"/>
      <ns0:c r="E15" s="3"/>
      <ns0:c r="F15" s="3"/>
      <ns0:c r="G15" s="3"/>
      <ns0:c r="H15" s="3"/>
      <ns0:c r="I15" s="3"/>
      <ns0:c r="J15" s="3"/>
      <ns0:c r="K15" s="3"/>
      <ns0:c r="L15" s="3"/>
      <ns0:c r="M15" s="3"/>
      <ns0:c r="N15" s="3"/>
      <ns0:c r="O15" s="3"/>
      <ns0:c r="P15" s="2"/>
      <ns0:c r="Q15" s="2"/>
      <ns0:c r="R15" s="2"/>
      <ns0:c r="S15" s="2"/>
      <ns0:c r="T15" s="2"/>
      <ns0:c r="U15" s="2"/>
      <ns0:c r="V15" s="2"/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/>
      <ns0:c r="B16" s="2"/>
      <ns0:c r="C16" s="3"/>
      <ns0:c r="D16" s="3"/>
      <ns0:c r="E16" s="3"/>
      <ns0:c r="F16" s="3"/>
      <ns0:c r="G16" s="3"/>
      <ns0:c r="H16" s="3"/>
      <ns0:c r="I16" s="3"/>
      <ns0:c r="J16" s="3"/>
      <ns0:c r="K16" s="3"/>
      <ns0:c r="L16" s="3"/>
      <ns0:c r="M16" s="3"/>
      <ns0:c r="N16" s="3"/>
      <ns0:c r="O16" s="3"/>
      <ns0:c r="P16" s="2"/>
      <ns0:c r="Q16" s="2"/>
      <ns0:c r="R16" s="2"/>
      <ns0:c r="S16" s="2"/>
      <ns0:c r="T16" s="2"/>
      <ns0:c r="U16" s="2"/>
      <ns0:c r="V16" s="2"/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预算基础</ns0:t>
        </ns0:is>
      </ns0:c>
    </ns0:row>
    <ns0:row r="17" ht="20" customHeight="1">
      <ns0:c r="A17" s="2"/>
      <ns0:c r="B17" s="2"/>
      <ns0:c r="C17" s="3"/>
      <ns0:c r="D17" s="3"/>
      <ns0:c r="E17" s="3"/>
      <ns0:c r="F17" s="3"/>
      <ns0:c r="G17" s="3"/>
      <ns0:c r="H17" s="3"/>
      <ns0:c r="I17" s="3"/>
      <ns0:c r="J17" s="3"/>
      <ns0:c r="K17" s="3"/>
      <ns0:c r="L17" s="3"/>
      <ns0:c r="M17" s="3"/>
      <ns0:c r="N17" s="3"/>
      <ns0:c r="O17" s="3"/>
      <ns0:c r="P17" s="2"/>
      <ns0:c r="Q17" s="2"/>
      <ns0:c r="R17" s="2"/>
      <ns0:c r="S17" s="2"/>
      <ns0:c r="T17" s="2"/>
      <ns0:c r="U17" s="2"/>
      <ns0:c r="V17" s="2"/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蓝色为预算基础输入参数；示例数值为占位；金额单位：元</ns0:t>
        </ns0:is>
      </ns0:c>
    </ns0:row>
    <ns0:row r="18" ht="20" customHeight="1">
      <ns0:c r="A18" s="2"/>
      <ns0:c r="B18" s="2"/>
      <ns0:c r="C18" s="3"/>
      <ns0:c r="D18" s="3"/>
      <ns0:c r="E18" s="3"/>
      <ns0:c r="F18" s="3"/>
      <ns0:c r="G18" s="3"/>
      <ns0:c r="H18" s="3"/>
      <ns0:c r="I18" s="3"/>
      <ns0:c r="J18" s="3"/>
      <ns0:c r="K18" s="3"/>
      <ns0:c r="L18" s="3"/>
      <ns0:c r="M18" s="3"/>
      <ns0:c r="N18" s="3"/>
      <ns0:c r="O18" s="3"/>
      <ns0:c r="P18" s="2"/>
      <ns0:c r="Q18" s="2"/>
      <ns0:c r="R18" s="2"/>
      <ns0:c r="S18" s="2"/>
      <ns0:c r="T18" s="2"/>
      <ns0:c r="U18" s="2"/>
      <ns0:c r="V18" s="2"/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/>
      <ns0:c r="B19" s="2"/>
      <ns0:c r="C19" s="3"/>
      <ns0:c r="D19" s="3"/>
      <ns0:c r="E19" s="3"/>
      <ns0:c r="F19" s="3"/>
      <ns0:c r="G19" s="3"/>
      <ns0:c r="H19" s="3"/>
      <ns0:c r="I19" s="3"/>
      <ns0:c r="J19" s="3"/>
      <ns0:c r="K19" s="3"/>
      <ns0:c r="L19" s="3"/>
      <ns0:c r="M19" s="3"/>
      <ns0:c r="N19" s="3"/>
      <ns0:c r="O19" s="3"/>
      <ns0:c r="P19" s="2"/>
      <ns0:c r="Q19" s="2"/>
      <ns0:c r="R19" s="2"/>
      <ns0:c r="S19" s="2"/>
      <ns0:c r="T19" s="2"/>
      <ns0:c r="U19" s="2"/>
      <ns0:c r="V19" s="2"/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/>
      <ns0:c r="B20" s="2" t="inlineStr">
        <ns0:is>
          <ns0:t>摘要</ns0:t>
        </ns0:is>
      </ns0:c>
      <ns0:c r="C20" s="3"/>
      <ns0:c r="D20" s="3"/>
      <ns0:c r="E20" s="3"/>
      <ns0:c r="F20" s="3"/>
      <ns0:c r="G20" s="3"/>
      <ns0:c r="H20" s="3"/>
      <ns0:c r="I20" s="3"/>
      <ns0:c r="J20" s="3"/>
      <ns0:c r="K20" s="3"/>
      <ns0:c r="L20" s="3"/>
      <ns0:c r="M20" s="3"/>
      <ns0:c r="N20" s="3"/>
      <ns0:c r="O20" s="3" t="inlineStr">
        <ns0:is>
          <ns0:t>合计</ns0:t>
        </ns0:is>
      </ns0:c>
      <ns0:c r="P20" s="2"/>
      <ns0:c r="Q20" s="2"/>
      <ns0:c r="R20" s="2"/>
      <ns0:c r="S20" s="2"/>
      <ns0:c r="T20" s="2"/>
      <ns0:c r="U20" s="2"/>
      <ns0:c r="V20" s="2"/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/>
      <ns0:c r="B21" s="2"/>
      <ns0:c r="C21" s="3"/>
      <ns0:c r="D21" s="3"/>
      <ns0:c r="E21" s="3"/>
      <ns0:c r="F21" s="3"/>
      <ns0:c r="G21" s="3"/>
      <ns0:c r="H21" s="3"/>
      <ns0:c r="I21" s="3"/>
      <ns0:c r="J21" s="3"/>
      <ns0:c r="K21" s="3"/>
      <ns0:c r="L21" s="3"/>
      <ns0:c r="M21" s="3"/>
      <ns0:c r="N21" s="3"/>
      <ns0:c r="O21" s="3"/>
      <ns0:c r="P21" s="2"/>
      <ns0:c r="Q21" s="2"/>
      <ns0:c r="R21" s="2"/>
      <ns0:c r="S21" s="2"/>
      <ns0:c r="T21" s="2"/>
      <ns0:c r="U21" s="2"/>
      <ns0:c r="V21" s="2"/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/>
      <ns0:c r="B22" s="2"/>
      <ns0:c r="C22" s="3"/>
      <ns0:c r="D22" s="3"/>
      <ns0:c r="E22" s="3"/>
      <ns0:c r="F22" s="3"/>
      <ns0:c r="G22" s="3"/>
      <ns0:c r="H22" s="3"/>
      <ns0:c r="I22" s="3"/>
      <ns0:c r="J22" s="3"/>
      <ns0:c r="K22" s="3"/>
      <ns0:c r="L22" s="3"/>
      <ns0:c r="M22" s="3"/>
      <ns0:c r="N22" s="3"/>
      <ns0:c r="O22" s="3"/>
      <ns0:c r="P22" s="2"/>
      <ns0:c r="Q22" s="2"/>
      <ns0:c r="R22" s="2"/>
      <ns0:c r="S22" s="2"/>
      <ns0:c r="T22" s="2"/>
      <ns0:c r="U22" s="2"/>
      <ns0:c r="V22" s="2"/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/>
      <ns0:c r="B23" s="2"/>
      <ns0:c r="C23" s="3"/>
      <ns0:c r="D23" s="3"/>
      <ns0:c r="E23" s="3"/>
      <ns0:c r="F23" s="3"/>
      <ns0:c r="G23" s="3"/>
      <ns0:c r="H23" s="3"/>
      <ns0:c r="I23" s="3"/>
      <ns0:c r="J23" s="3"/>
      <ns0:c r="K23" s="3"/>
      <ns0:c r="L23" s="3"/>
      <ns0:c r="M23" s="3"/>
      <ns0:c r="N23" s="3"/>
      <ns0:c r="O23" s="3"/>
      <ns0:c r="P23" s="2"/>
      <ns0:c r="Q23" s="2"/>
      <ns0:c r="R23" s="2"/>
      <ns0:c r="S23" s="2"/>
      <ns0:c r="T23" s="2"/>
      <ns0:c r="U23" s="2"/>
      <ns0:c r="V23" s="2"/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/>
      <ns0:c r="C24" s="3"/>
      <ns0:c r="D24" s="3"/>
      <ns0:c r="E24" s="3"/>
      <ns0:c r="F24" s="3"/>
      <ns0:c r="G24" s="3"/>
      <ns0:c r="H24" s="3"/>
      <ns0:c r="I24" s="3"/>
      <ns0:c r="J24" s="3"/>
      <ns0:c r="K24" s="3"/>
      <ns0:c r="L24" s="3"/>
      <ns0:c r="M24" s="3"/>
      <ns0:c r="N24" s="3"/>
      <ns0:c r="O24" s="3"/>
      <ns0:c r="P24" s="2"/>
      <ns0:c r="Q24" s="2"/>
      <ns0:c r="R24" s="2"/>
      <ns0:c r="S24" s="2"/>
      <ns0:c r="T24" s="2"/>
      <ns0:c r="U24" s="2"/>
      <ns0:c r="V24" s="2"/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/>
      <ns0:c r="B25" s="2"/>
      <ns0:c r="C25" s="3"/>
      <ns0:c r="D25" s="3"/>
      <ns0:c r="E25" s="3"/>
      <ns0:c r="F25" s="3"/>
      <ns0:c r="G25" s="3"/>
      <ns0:c r="H25" s="3"/>
      <ns0:c r="I25" s="3"/>
      <ns0:c r="J25" s="3"/>
      <ns0:c r="K25" s="3"/>
      <ns0:c r="L25" s="3"/>
      <ns0:c r="M25" s="3"/>
      <ns0:c r="N25" s="3"/>
      <ns0:c r="O25" s="3"/>
      <ns0:c r="P25" s="2"/>
      <ns0:c r="Q25" s="2"/>
      <ns0:c r="R25" s="2"/>
      <ns0:c r="S25" s="2"/>
      <ns0:c r="T25" s="2"/>
      <ns0:c r="U25" s="2"/>
      <ns0:c r="V25" s="2"/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/>
      <ns0:c r="B26" s="2"/>
      <ns0:c r="C26" s="3"/>
      <ns0:c r="D26" s="3"/>
      <ns0:c r="E26" s="3"/>
      <ns0:c r="F26" s="3"/>
      <ns0:c r="G26" s="3"/>
      <ns0:c r="H26" s="3"/>
      <ns0:c r="I26" s="3"/>
      <ns0:c r="J26" s="3"/>
      <ns0:c r="K26" s="3"/>
      <ns0:c r="L26" s="3"/>
      <ns0:c r="M26" s="3"/>
      <ns0:c r="N26" s="3"/>
      <ns0:c r="O26" s="3"/>
      <ns0:c r="P26" s="2"/>
      <ns0:c r="Q26" s="2"/>
      <ns0:c r="R26" s="2"/>
      <ns0:c r="S26" s="2"/>
      <ns0:c r="T26" s="2"/>
      <ns0:c r="U26" s="2"/>
      <ns0:c r="V26" s="2"/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/>
      <ns0:c r="B27" s="2"/>
      <ns0:c r="C27" s="3"/>
      <ns0:c r="D27" s="3"/>
      <ns0:c r="E27" s="3"/>
      <ns0:c r="F27" s="3"/>
      <ns0:c r="G27" s="3"/>
      <ns0:c r="H27" s="3"/>
      <ns0:c r="I27" s="3"/>
      <ns0:c r="J27" s="3"/>
      <ns0:c r="K27" s="3"/>
      <ns0:c r="L27" s="3"/>
      <ns0:c r="M27" s="3"/>
      <ns0:c r="N27" s="3"/>
      <ns0:c r="O27" s="3"/>
      <ns0:c r="P27" s="2"/>
      <ns0:c r="Q27" s="2"/>
      <ns0:c r="R27" s="2"/>
      <ns0:c r="S27" s="2"/>
      <ns0:c r="T27" s="2"/>
      <ns0:c r="U27" s="2"/>
      <ns0:c r="V27" s="2"/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/>
      <ns0:c r="B28" s="2"/>
      <ns0:c r="C28" s="3"/>
      <ns0:c r="D28" s="3"/>
      <ns0:c r="E28" s="3"/>
      <ns0:c r="F28" s="3"/>
      <ns0:c r="G28" s="3"/>
      <ns0:c r="H28" s="3"/>
      <ns0:c r="I28" s="3"/>
      <ns0:c r="J28" s="3"/>
      <ns0:c r="K28" s="3"/>
      <ns0:c r="L28" s="3"/>
      <ns0:c r="M28" s="3"/>
      <ns0:c r="N28" s="3"/>
      <ns0:c r="O28" s="3"/>
      <ns0:c r="P28" s="2"/>
      <ns0:c r="Q28" s="2"/>
      <ns0:c r="R28" s="2"/>
      <ns0:c r="S28" s="2"/>
      <ns0:c r="T28" s="2"/>
      <ns0:c r="U28" s="2"/>
      <ns0:c r="V28" s="2"/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/>
      <ns0:c r="C29" s="3"/>
      <ns0:c r="D29" s="3"/>
      <ns0:c r="E29" s="3"/>
      <ns0:c r="F29" s="3"/>
      <ns0:c r="G29" s="3"/>
      <ns0:c r="H29" s="3"/>
      <ns0:c r="I29" s="3"/>
      <ns0:c r="J29" s="3"/>
      <ns0:c r="K29" s="3"/>
      <ns0:c r="L29" s="3"/>
      <ns0:c r="M29" s="3"/>
      <ns0:c r="N29" s="3"/>
      <ns0:c r="O29" s="3"/>
      <ns0:c r="P29" s="2"/>
      <ns0:c r="Q29" s="2"/>
      <ns0:c r="R29" s="2"/>
      <ns0:c r="S29" s="2"/>
      <ns0:c r="T29" s="2"/>
      <ns0:c r="U29" s="2"/>
      <ns0:c r="V29" s="2"/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 t="inlineStr">
        <ns0:is>
          <ns0:t>预算基础内部底稿</ns0:t>
        </ns0:is>
      </ns0:c>
      <ns0:c r="C30" s="6"/>
      <ns0:c r="D30" s="6"/>
      <ns0:c r="E30" s="6"/>
      <ns0:c r="F30" s="6"/>
      <ns0:c r="G30" s="6"/>
      <ns0:c r="H30" s="6"/>
      <ns0:c r="I30" s="6"/>
      <ns0:c r="J30" s="6"/>
      <ns0:c r="K30" s="6"/>
      <ns0:c r="L30" s="6"/>
      <ns0:c r="M30" s="6"/>
      <ns0:c r="N30" s="6"/>
      <ns0:c r="O30" s="6"/>
      <ns0:c r="P30" s="2"/>
      <ns0:c r="Q30" s="2"/>
      <ns0:c r="R30" s="2"/>
      <ns0:c r="S30" s="2"/>
      <ns0:c r="T30" s="2"/>
      <ns0:c r="U30" s="2"/>
      <ns0:c r="V30" s="2"/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/>
      <ns0:c r="B31" s="2" t="inlineStr">
        <ns0:is>
          <ns0:t>摊销资产原值</ns0:t>
        </ns0:is>
      </ns0:c>
      <ns0:c r="C31" s="4">
        <ns0:v>101965.02</ns0:v>
      </ns0:c>
      <ns0:c r="D31" s="3">
        <ns0:f>$C$31</ns0:f>
        <ns0:v>101965.02</ns0:v>
      </ns0:c>
      <ns0:c r="E31" s="3">
        <ns0:f>$C$31</ns0:f>
        <ns0:v>101965.02</ns0:v>
      </ns0:c>
      <ns0:c r="F31" s="3">
        <ns0:f>$C$31</ns0:f>
        <ns0:v>101965.02</ns0:v>
      </ns0:c>
      <ns0:c r="G31" s="3">
        <ns0:f>$C$31</ns0:f>
        <ns0:v>101965.02</ns0:v>
      </ns0:c>
      <ns0:c r="H31" s="3">
        <ns0:f>$C$31</ns0:f>
        <ns0:v>101965.02</ns0:v>
      </ns0:c>
      <ns0:c r="I31" s="3">
        <ns0:f>$C$31</ns0:f>
        <ns0:v>101965.02</ns0:v>
      </ns0:c>
      <ns0:c r="J31" s="3">
        <ns0:f>$C$31</ns0:f>
        <ns0:v>101965.02</ns0:v>
      </ns0:c>
      <ns0:c r="K31" s="3">
        <ns0:f>$C$31</ns0:f>
        <ns0:v>101965.02</ns0:v>
      </ns0:c>
      <ns0:c r="L31" s="3">
        <ns0:f>$C$31</ns0:f>
        <ns0:v>101965.02</ns0:v>
      </ns0:c>
      <ns0:c r="M31" s="3">
        <ns0:f>$C$31</ns0:f>
        <ns0:v>101965.02</ns0:v>
      </ns0:c>
      <ns0:c r="N31" s="3">
        <ns0:f>$C$31</ns0:f>
        <ns0:v>101965.02</ns0:v>
      </ns0:c>
      <ns0:c r="O31" s="3"/>
      <ns0:c r="P31" s="2"/>
      <ns0:c r="Q31" s="2"/>
      <ns0:c r="R31" s="2"/>
      <ns0:c r="S31" s="2"/>
      <ns0:c r="T31" s="2"/>
      <ns0:c r="U31" s="2"/>
      <ns0:c r="V31" s="2"/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 t="inlineStr">
        <ns0:is>
          <ns0:t>摊销月数</ns0:t>
        </ns0:is>
      </ns0:c>
      <ns0:c r="C32" s="4">
        <ns0:v>57</ns0:v>
      </ns0:c>
      <ns0:c r="D32" s="3">
        <ns0:f>$C$32</ns0:f>
        <ns0:v>57</ns0:v>
      </ns0:c>
      <ns0:c r="E32" s="3">
        <ns0:f>$C$32</ns0:f>
        <ns0:v>57</ns0:v>
      </ns0:c>
      <ns0:c r="F32" s="3">
        <ns0:f>$C$32</ns0:f>
        <ns0:v>57</ns0:v>
      </ns0:c>
      <ns0:c r="G32" s="3">
        <ns0:f>$C$32</ns0:f>
        <ns0:v>57</ns0:v>
      </ns0:c>
      <ns0:c r="H32" s="3">
        <ns0:f>$C$32</ns0:f>
        <ns0:v>57</ns0:v>
      </ns0:c>
      <ns0:c r="I32" s="3">
        <ns0:f>$C$32</ns0:f>
        <ns0:v>57</ns0:v>
      </ns0:c>
      <ns0:c r="J32" s="3">
        <ns0:f>$C$32</ns0:f>
        <ns0:v>57</ns0:v>
      </ns0:c>
      <ns0:c r="K32" s="3">
        <ns0:f>$C$32</ns0:f>
        <ns0:v>57</ns0:v>
      </ns0:c>
      <ns0:c r="L32" s="3">
        <ns0:f>$C$32</ns0:f>
        <ns0:v>57</ns0:v>
      </ns0:c>
      <ns0:c r="M32" s="3">
        <ns0:f>$C$32</ns0:f>
        <ns0:v>57</ns0:v>
      </ns0:c>
      <ns0:c r="N32" s="3">
        <ns0:f>$C$32</ns0:f>
        <ns0:v>57</ns0:v>
      </ns0:c>
      <ns0:c r="O32" s="3"/>
      <ns0:c r="P32" s="2"/>
      <ns0:c r="Q32" s="2"/>
      <ns0:c r="R32" s="2"/>
      <ns0:c r="S32" s="2"/>
      <ns0:c r="T32" s="2"/>
      <ns0:c r="U32" s="2"/>
      <ns0:c r="V32" s="2"/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/>
      <ns0:c r="B33" s="2" t="inlineStr">
        <ns0:is>
          <ns0:t>本月摊销</ns0:t>
        </ns0:is>
      </ns0:c>
      <ns0:c r="C33" s="3">
        <ns0:f>ROUND(C31/C32,2)</ns0:f>
        <ns0:v>1788.86</ns0:v>
      </ns0:c>
      <ns0:c r="D33" s="3">
        <ns0:f>ROUND(D31/D32,2)</ns0:f>
        <ns0:v>1788.86</ns0:v>
      </ns0:c>
      <ns0:c r="E33" s="3">
        <ns0:f>ROUND(E31/E32,2)</ns0:f>
        <ns0:v>1788.86</ns0:v>
      </ns0:c>
      <ns0:c r="F33" s="3">
        <ns0:f>ROUND(F31/F32,2)</ns0:f>
        <ns0:v>1788.86</ns0:v>
      </ns0:c>
      <ns0:c r="G33" s="3">
        <ns0:f>ROUND(G31/G32,2)</ns0:f>
        <ns0:v>1788.86</ns0:v>
      </ns0:c>
      <ns0:c r="H33" s="3">
        <ns0:f>ROUND(H31/H32,2)</ns0:f>
        <ns0:v>1788.86</ns0:v>
      </ns0:c>
      <ns0:c r="I33" s="3">
        <ns0:f>ROUND(I31/I32,2)</ns0:f>
        <ns0:v>1788.86</ns0:v>
      </ns0:c>
      <ns0:c r="J33" s="3">
        <ns0:f>ROUND(J31/J32,2)</ns0:f>
        <ns0:v>1788.86</ns0:v>
      </ns0:c>
      <ns0:c r="K33" s="3">
        <ns0:f>ROUND(K31/K32,2)</ns0:f>
        <ns0:v>1788.86</ns0:v>
      </ns0:c>
      <ns0:c r="L33" s="3">
        <ns0:f>ROUND(L31/L32,2)</ns0:f>
        <ns0:v>1788.86</ns0:v>
      </ns0:c>
      <ns0:c r="M33" s="3">
        <ns0:f>ROUND(M31/M32,2)</ns0:f>
        <ns0:v>1788.86</ns0:v>
      </ns0:c>
      <ns0:c r="N33" s="3">
        <ns0:f>ROUND(N31/N32,2)</ns0:f>
        <ns0:v>1788.86</ns0:v>
      </ns0:c>
      <ns0:c r="O33" s="3"/>
      <ns0:c r="P33" s="2"/>
      <ns0:c r="Q33" s="2"/>
      <ns0:c r="R33" s="2"/>
      <ns0:c r="S33" s="2"/>
      <ns0:c r="T33" s="2"/>
      <ns0:c r="U33" s="2"/>
      <ns0:c r="V33" s="2"/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/>
      <ns0:c r="B34" s="2" t="inlineStr">
        <ns0:is>
          <ns0:t>累计已摊销</ns0:t>
        </ns0:is>
      </ns0:c>
      <ns0:c r="C34" s="3">
        <ns0:f>SUM($C33:C33)</ns0:f>
        <ns0:v>1788.86</ns0:v>
      </ns0:c>
      <ns0:c r="D34" s="3">
        <ns0:f>SUM($C33:D33)</ns0:f>
        <ns0:v>3577.72</ns0:v>
      </ns0:c>
      <ns0:c r="E34" s="3">
        <ns0:f>SUM($C33:E33)</ns0:f>
        <ns0:v>5366.58</ns0:v>
      </ns0:c>
      <ns0:c r="F34" s="3">
        <ns0:f>SUM($C33:F33)</ns0:f>
        <ns0:v>7155.44</ns0:v>
      </ns0:c>
      <ns0:c r="G34" s="3">
        <ns0:f>SUM($C33:G33)</ns0:f>
        <ns0:v>8944.30</ns0:v>
      </ns0:c>
      <ns0:c r="H34" s="3">
        <ns0:f>SUM($C33:H33)</ns0:f>
        <ns0:v>10733.16</ns0:v>
      </ns0:c>
      <ns0:c r="I34" s="3">
        <ns0:f>SUM($C33:I33)</ns0:f>
        <ns0:v>12522.02</ns0:v>
      </ns0:c>
      <ns0:c r="J34" s="3">
        <ns0:f>SUM($C33:J33)</ns0:f>
        <ns0:v>14310.88</ns0:v>
      </ns0:c>
      <ns0:c r="K34" s="3">
        <ns0:f>SUM($C33:K33)</ns0:f>
        <ns0:v>16099.74</ns0:v>
      </ns0:c>
      <ns0:c r="L34" s="3">
        <ns0:f>SUM($C33:L33)</ns0:f>
        <ns0:v>17888.60</ns0:v>
      </ns0:c>
      <ns0:c r="M34" s="3">
        <ns0:f>SUM($C33:M33)</ns0:f>
        <ns0:v>19677.46</ns0:v>
      </ns0:c>
      <ns0:c r="N34" s="3">
        <ns0:f>SUM($C33:N33)</ns0:f>
        <ns0:v>21466.32</ns0:v>
      </ns0:c>
      <ns0:c r="O34" s="3"/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/>
      <ns0:c r="B35" s="2" t="inlineStr">
        <ns0:is>
          <ns0:t>尚未摊销</ns0:t>
        </ns0:is>
      </ns0:c>
      <ns0:c r="C35" s="3">
        <ns0:f>C31-C34</ns0:f>
        <ns0:v>100176.16</ns0:v>
      </ns0:c>
      <ns0:c r="D35" s="3">
        <ns0:f>D31-D34</ns0:f>
        <ns0:v>98387.30</ns0:v>
      </ns0:c>
      <ns0:c r="E35" s="3">
        <ns0:f>E31-E34</ns0:f>
        <ns0:v>96598.44</ns0:v>
      </ns0:c>
      <ns0:c r="F35" s="3">
        <ns0:f>F31-F34</ns0:f>
        <ns0:v>94809.58</ns0:v>
      </ns0:c>
      <ns0:c r="G35" s="3">
        <ns0:f>G31-G34</ns0:f>
        <ns0:v>93020.72</ns0:v>
      </ns0:c>
      <ns0:c r="H35" s="3">
        <ns0:f>H31-H34</ns0:f>
        <ns0:v>91231.86</ns0:v>
      </ns0:c>
      <ns0:c r="I35" s="3">
        <ns0:f>I31-I34</ns0:f>
        <ns0:v>89443.00</ns0:v>
      </ns0:c>
      <ns0:c r="J35" s="3">
        <ns0:f>J31-J34</ns0:f>
        <ns0:v>87654.14</ns0:v>
      </ns0:c>
      <ns0:c r="K35" s="3">
        <ns0:f>K31-K34</ns0:f>
        <ns0:v>85865.28</ns0:v>
      </ns0:c>
      <ns0:c r="L35" s="3">
        <ns0:f>L31-L34</ns0:f>
        <ns0:v>84076.42</ns0:v>
      </ns0:c>
      <ns0:c r="M35" s="3">
        <ns0:f>M31-M34</ns0:f>
        <ns0:v>82287.56</ns0:v>
      </ns0:c>
      <ns0:c r="N35" s="3">
        <ns0:f>N31-N34</ns0:f>
        <ns0:v>80498.70</ns0:v>
      </ns0:c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/>
      <ns0:c r="B36" s="2" t="inlineStr">
        <ns0:is>
          <ns0:t>摊销起始日</ns0:t>
        </ns0:is>
      </ns0:c>
      <ns0:c r="C36" s="3" t="inlineStr">
        <ns0:is>
          <ns0:t>2027-01-01</ns0:t>
        </ns0:is>
      </ns0:c>
      <ns0:c r="D36" s="3"/>
      <ns0:c r="E36" s="3"/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/>
      <ns0:c r="C37" s="3"/>
      <ns0:c r="D37" s="3"/>
      <ns0:c r="E37" s="3"/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/>
      <ns0:c r="C60" s="6"/>
      <ns0:c r="D60" s="6"/>
      <ns0:c r="E60" s="6"/>
      <ns0:c r="F60" s="6"/>
      <ns0:c r="G60" s="6"/>
      <ns0:c r="H60" s="6"/>
      <ns0:c r="I60" s="6"/>
      <ns0:c r="J60" s="6"/>
      <ns0:c r="K60" s="6"/>
      <ns0:c r="L60" s="6"/>
      <ns0:c r="M60" s="6"/>
      <ns0:c r="N60" s="6"/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/>
      <ns0:c r="C61" s="3"/>
      <ns0:c r="D61" s="3"/>
      <ns0:c r="E61" s="3"/>
      <ns0:c r="F61" s="3"/>
      <ns0:c r="G61" s="3"/>
      <ns0:c r="H61" s="3"/>
      <ns0:c r="I61" s="3"/>
      <ns0:c r="J61" s="3"/>
      <ns0:c r="K61" s="3"/>
      <ns0:c r="L61" s="3"/>
      <ns0:c r="M61" s="3"/>
      <ns0:c r="N61" s="3"/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/>
      <ns0:c r="C62" s="3"/>
      <ns0:c r="D62" s="3"/>
      <ns0:c r="E62" s="3"/>
      <ns0:c r="F62" s="3"/>
      <ns0:c r="G62" s="3"/>
      <ns0:c r="H62" s="3"/>
      <ns0:c r="I62" s="3"/>
      <ns0:c r="J62" s="3"/>
      <ns0:c r="K62" s="3"/>
      <ns0:c r="L62" s="3"/>
      <ns0:c r="M62" s="3"/>
      <ns0:c r="N62" s="3"/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/>
      <ns0:c r="C63" s="3"/>
      <ns0:c r="D63" s="3"/>
      <ns0:c r="E63" s="3"/>
      <ns0:c r="F63" s="3"/>
      <ns0:c r="G63" s="3"/>
      <ns0:c r="H63" s="3"/>
      <ns0:c r="I63" s="3"/>
      <ns0:c r="J63" s="3"/>
      <ns0:c r="K63" s="3"/>
      <ns0:c r="L63" s="3"/>
      <ns0:c r="M63" s="3"/>
      <ns0:c r="N63" s="3"/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/>
      <ns0:c r="C64" s="3"/>
      <ns0:c r="D64" s="3"/>
      <ns0:c r="E64" s="3"/>
      <ns0:c r="F64" s="3"/>
      <ns0:c r="G64" s="3"/>
      <ns0:c r="H64" s="3"/>
      <ns0:c r="I64" s="3"/>
      <ns0:c r="J64" s="3"/>
      <ns0:c r="K64" s="3"/>
      <ns0:c r="L64" s="3"/>
      <ns0:c r="M64" s="3"/>
      <ns0:c r="N64" s="3"/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/>
      <ns0:c r="C65" s="3"/>
      <ns0:c r="D65" s="3"/>
      <ns0:c r="E65" s="3"/>
      <ns0:c r="F65" s="3"/>
      <ns0:c r="G65" s="3"/>
      <ns0:c r="H65" s="3"/>
      <ns0:c r="I65" s="3"/>
      <ns0:c r="J65" s="3"/>
      <ns0:c r="K65" s="3"/>
      <ns0:c r="L65" s="3"/>
      <ns0:c r="M65" s="3"/>
      <ns0:c r="N65" s="3"/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/>
      <ns0:c r="C66" s="3"/>
      <ns0:c r="D66" s="3"/>
      <ns0:c r="E66" s="3"/>
      <ns0:c r="F66" s="3"/>
      <ns0:c r="G66" s="3"/>
      <ns0:c r="H66" s="3"/>
      <ns0:c r="I66" s="3"/>
      <ns0:c r="J66" s="3"/>
      <ns0:c r="K66" s="3"/>
      <ns0:c r="L66" s="3"/>
      <ns0:c r="M66" s="3"/>
      <ns0:c r="N66" s="3"/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/>
      <ns0:c r="C67" s="3"/>
      <ns0:c r="D67" s="3"/>
      <ns0:c r="E67" s="3"/>
      <ns0:c r="F67" s="3"/>
      <ns0:c r="G67" s="3"/>
      <ns0:c r="H67" s="3"/>
      <ns0:c r="I67" s="3"/>
      <ns0:c r="J67" s="3"/>
      <ns0:c r="K67" s="3"/>
      <ns0:c r="L67" s="3"/>
      <ns0:c r="M67" s="3"/>
      <ns0:c r="N67" s="3"/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/>
      <ns0:c r="C68" s="3"/>
      <ns0:c r="D68" s="3"/>
      <ns0:c r="E68" s="3"/>
      <ns0:c r="F68" s="3"/>
      <ns0:c r="G68" s="3"/>
      <ns0:c r="H68" s="3"/>
      <ns0:c r="I68" s="3"/>
      <ns0:c r="J68" s="3"/>
      <ns0:c r="K68" s="3"/>
      <ns0:c r="L68" s="3"/>
      <ns0:c r="M68" s="3"/>
      <ns0:c r="N68" s="3"/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/>
      <ns0:c r="C204" s="3"/>
      <ns0:c r="D204" s="3"/>
      <ns0:c r="E204" s="3"/>
      <ns0:c r="F204" s="3"/>
      <ns0:c r="G204" s="3"/>
      <ns0:c r="H204" s="3"/>
      <ns0:c r="I204" s="3"/>
      <ns0:c r="J204" s="3"/>
      <ns0:c r="K204" s="3"/>
      <ns0:c r="L204" s="3"/>
      <ns0:c r="M204" s="3"/>
      <ns0:c r="N204" s="3"/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/>
      <ns0:c r="C205" s="3"/>
      <ns0:c r="D205" s="3"/>
      <ns0:c r="E205" s="3"/>
      <ns0:c r="F205" s="3"/>
      <ns0:c r="G205" s="3"/>
      <ns0:c r="H205" s="3"/>
      <ns0:c r="I205" s="3"/>
      <ns0:c r="J205" s="3"/>
      <ns0:c r="K205" s="3"/>
      <ns0:c r="L205" s="3"/>
      <ns0:c r="M205" s="3"/>
      <ns0:c r="N205" s="3"/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/>
      <ns0:c r="C206" s="3"/>
      <ns0:c r="D206" s="3"/>
      <ns0:c r="E206" s="3"/>
      <ns0:c r="F206" s="3"/>
      <ns0:c r="G206" s="3"/>
      <ns0:c r="H206" s="3"/>
      <ns0:c r="I206" s="3"/>
      <ns0:c r="J206" s="3"/>
      <ns0:c r="K206" s="3"/>
      <ns0:c r="L206" s="3"/>
      <ns0:c r="M206" s="3"/>
      <ns0:c r="N206" s="3"/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/>
      <ns0:c r="C207" s="3"/>
      <ns0:c r="D207" s="3"/>
      <ns0:c r="E207" s="3"/>
      <ns0:c r="F207" s="3"/>
      <ns0:c r="G207" s="3"/>
      <ns0:c r="H207" s="3"/>
      <ns0:c r="I207" s="3"/>
      <ns0:c r="J207" s="3"/>
      <ns0:c r="K207" s="3"/>
      <ns0:c r="L207" s="3"/>
      <ns0:c r="M207" s="3"/>
      <ns0:c r="N207" s="3"/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/>
      <ns0:c r="C208" s="3"/>
      <ns0:c r="D208" s="3"/>
      <ns0:c r="E208" s="3"/>
      <ns0:c r="F208" s="3"/>
      <ns0:c r="G208" s="3"/>
      <ns0:c r="H208" s="3"/>
      <ns0:c r="I208" s="3"/>
      <ns0:c r="J208" s="3"/>
      <ns0:c r="K208" s="3"/>
      <ns0:c r="L208" s="3"/>
      <ns0:c r="M208" s="3"/>
      <ns0:c r="N208" s="3"/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/>
      <ns0:c r="C209" s="3"/>
      <ns0:c r="D209" s="3"/>
      <ns0:c r="E209" s="3"/>
      <ns0:c r="F209" s="3"/>
      <ns0:c r="G209" s="3"/>
      <ns0:c r="H209" s="3"/>
      <ns0:c r="I209" s="3"/>
      <ns0:c r="J209" s="3"/>
      <ns0:c r="K209" s="3"/>
      <ns0:c r="L209" s="3"/>
      <ns0:c r="M209" s="3"/>
      <ns0:c r="N209" s="3"/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/>
      <ns0:c r="C210" s="3"/>
      <ns0:c r="D210" s="3"/>
      <ns0:c r="E210" s="3"/>
      <ns0:c r="F210" s="3"/>
      <ns0:c r="G210" s="3"/>
      <ns0:c r="H210" s="3"/>
      <ns0:c r="I210" s="3"/>
      <ns0:c r="J210" s="3"/>
      <ns0:c r="K210" s="3"/>
      <ns0:c r="L210" s="3"/>
      <ns0:c r="M210" s="3"/>
      <ns0:c r="N210" s="3"/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/>
      <ns0:c r="C211" s="3"/>
      <ns0:c r="D211" s="3"/>
      <ns0:c r="E211" s="3"/>
      <ns0:c r="F211" s="3"/>
      <ns0:c r="G211" s="3"/>
      <ns0:c r="H211" s="3"/>
      <ns0:c r="I211" s="3"/>
      <ns0:c r="J211" s="3"/>
      <ns0:c r="K211" s="3"/>
      <ns0:c r="L211" s="3"/>
      <ns0:c r="M211" s="3"/>
      <ns0:c r="N211" s="3"/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/>
      <ns0:c r="C212" s="3"/>
      <ns0:c r="D212" s="3"/>
      <ns0:c r="E212" s="3"/>
      <ns0:c r="F212" s="3"/>
      <ns0:c r="G212" s="3"/>
      <ns0:c r="H212" s="3"/>
      <ns0:c r="I212" s="3"/>
      <ns0:c r="J212" s="3"/>
      <ns0:c r="K212" s="3"/>
      <ns0:c r="L212" s="3"/>
      <ns0:c r="M212" s="3"/>
      <ns0:c r="N212" s="3"/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/>
      <ns0:c r="C213" s="3"/>
      <ns0:c r="D213" s="3"/>
      <ns0:c r="E213" s="3"/>
      <ns0:c r="F213" s="3"/>
      <ns0:c r="G213" s="3"/>
      <ns0:c r="H213" s="3"/>
      <ns0:c r="I213" s="3"/>
      <ns0:c r="J213" s="3"/>
      <ns0:c r="K213" s="3"/>
      <ns0:c r="L213" s="3"/>
      <ns0:c r="M213" s="3"/>
      <ns0:c r="N213" s="3"/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/>
      <ns0:c r="C214" s="3"/>
      <ns0:c r="D214" s="3"/>
      <ns0:c r="E214" s="3"/>
      <ns0:c r="F214" s="3"/>
      <ns0:c r="G214" s="3"/>
      <ns0:c r="H214" s="3"/>
      <ns0:c r="I214" s="3"/>
      <ns0:c r="J214" s="3"/>
      <ns0:c r="K214" s="3"/>
      <ns0:c r="L214" s="3"/>
      <ns0:c r="M214" s="3"/>
      <ns0:c r="N214" s="3"/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/>
      <ns0:c r="C215" s="3"/>
      <ns0:c r="D215" s="3"/>
      <ns0:c r="E215" s="3"/>
      <ns0:c r="F215" s="3"/>
      <ns0:c r="G215" s="3"/>
      <ns0:c r="H215" s="3"/>
      <ns0:c r="I215" s="3"/>
      <ns0:c r="J215" s="3"/>
      <ns0:c r="K215" s="3"/>
      <ns0:c r="L215" s="3"/>
      <ns0:c r="M215" s="3"/>
      <ns0:c r="N215" s="3"/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/>
      <ns0:c r="C216" s="3"/>
      <ns0:c r="D216" s="3"/>
      <ns0:c r="E216" s="3"/>
      <ns0:c r="F216" s="3"/>
      <ns0:c r="G216" s="3"/>
      <ns0:c r="H216" s="3"/>
      <ns0:c r="I216" s="3"/>
      <ns0:c r="J216" s="3"/>
      <ns0:c r="K216" s="3"/>
      <ns0:c r="L216" s="3"/>
      <ns0:c r="M216" s="3"/>
      <ns0:c r="N216" s="3"/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/>
      <ns0:c r="C217" s="3"/>
      <ns0:c r="D217" s="3"/>
      <ns0:c r="E217" s="3"/>
      <ns0:c r="F217" s="3"/>
      <ns0:c r="G217" s="3"/>
      <ns0:c r="H217" s="3"/>
      <ns0:c r="I217" s="3"/>
      <ns0:c r="J217" s="3"/>
      <ns0:c r="K217" s="3"/>
      <ns0:c r="L217" s="3"/>
      <ns0:c r="M217" s="3"/>
      <ns0:c r="N217" s="3"/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/>
      <ns0:c r="C218" s="3"/>
      <ns0:c r="D218" s="3"/>
      <ns0:c r="E218" s="3"/>
      <ns0:c r="F218" s="3"/>
      <ns0:c r="G218" s="3"/>
      <ns0:c r="H218" s="3"/>
      <ns0:c r="I218" s="3"/>
      <ns0:c r="J218" s="3"/>
      <ns0:c r="K218" s="3"/>
      <ns0:c r="L218" s="3"/>
      <ns0:c r="M218" s="3"/>
      <ns0:c r="N218" s="3"/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/>
      <ns0:c r="C219" s="3"/>
      <ns0:c r="D219" s="3"/>
      <ns0:c r="E219" s="3"/>
      <ns0:c r="F219" s="3"/>
      <ns0:c r="G219" s="3"/>
      <ns0:c r="H219" s="3"/>
      <ns0:c r="I219" s="3"/>
      <ns0:c r="J219" s="3"/>
      <ns0:c r="K219" s="3"/>
      <ns0:c r="L219" s="3"/>
      <ns0:c r="M219" s="3"/>
      <ns0:c r="N219" s="3"/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/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/>
      <ns0:c r="C221" s="3"/>
      <ns0:c r="D221" s="3"/>
      <ns0:c r="E221" s="3"/>
      <ns0:c r="F221" s="3"/>
      <ns0:c r="G221" s="3"/>
      <ns0:c r="H221" s="3"/>
      <ns0:c r="I221" s="3"/>
      <ns0:c r="J221" s="3"/>
      <ns0:c r="K221" s="3"/>
      <ns0:c r="L221" s="3"/>
      <ns0:c r="M221" s="3"/>
      <ns0:c r="N221" s="3"/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/>
      <ns0:c r="C222" s="3"/>
      <ns0:c r="D222" s="3"/>
      <ns0:c r="E222" s="3"/>
      <ns0:c r="F222" s="3"/>
      <ns0:c r="G222" s="3"/>
      <ns0:c r="H222" s="3"/>
      <ns0:c r="I222" s="3"/>
      <ns0:c r="J222" s="3"/>
      <ns0:c r="K222" s="3"/>
      <ns0:c r="L222" s="3"/>
      <ns0:c r="M222" s="3"/>
      <ns0:c r="N222" s="3"/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/>
      <ns0:c r="C223" s="3"/>
      <ns0:c r="D223" s="3"/>
      <ns0:c r="E223" s="3"/>
      <ns0:c r="F223" s="3"/>
      <ns0:c r="G223" s="3"/>
      <ns0:c r="H223" s="3"/>
      <ns0:c r="I223" s="3"/>
      <ns0:c r="J223" s="3"/>
      <ns0:c r="K223" s="3"/>
      <ns0:c r="L223" s="3"/>
      <ns0:c r="M223" s="3"/>
      <ns0:c r="N223" s="3"/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/>
      <ns0:c r="C224" s="3"/>
      <ns0:c r="D224" s="3"/>
      <ns0:c r="E224" s="3"/>
      <ns0:c r="F224" s="3"/>
      <ns0:c r="G224" s="3"/>
      <ns0:c r="H224" s="3"/>
      <ns0:c r="I224" s="3"/>
      <ns0:c r="J224" s="3"/>
      <ns0:c r="K224" s="3"/>
      <ns0:c r="L224" s="3"/>
      <ns0:c r="M224" s="3"/>
      <ns0:c r="N224" s="3"/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/>
      <ns0:c r="C225" s="3"/>
      <ns0:c r="D225" s="3"/>
      <ns0:c r="E225" s="3"/>
      <ns0:c r="F225" s="3"/>
      <ns0:c r="G225" s="3"/>
      <ns0:c r="H225" s="3"/>
      <ns0:c r="I225" s="3"/>
      <ns0:c r="J225" s="3"/>
      <ns0:c r="K225" s="3"/>
      <ns0:c r="L225" s="3"/>
      <ns0:c r="M225" s="3"/>
      <ns0:c r="N225" s="3"/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/>
      <ns0:c r="C226" s="3"/>
      <ns0:c r="D226" s="3"/>
      <ns0:c r="E226" s="3"/>
      <ns0:c r="F226" s="3"/>
      <ns0:c r="G226" s="3"/>
      <ns0:c r="H226" s="3"/>
      <ns0:c r="I226" s="3"/>
      <ns0:c r="J226" s="3"/>
      <ns0:c r="K226" s="3"/>
      <ns0:c r="L226" s="3"/>
      <ns0:c r="M226" s="3"/>
      <ns0:c r="N226" s="3"/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/>
      <ns0:c r="C227" s="3"/>
      <ns0:c r="D227" s="3"/>
      <ns0:c r="E227" s="3"/>
      <ns0:c r="F227" s="3"/>
      <ns0:c r="G227" s="3"/>
      <ns0:c r="H227" s="3"/>
      <ns0:c r="I227" s="3"/>
      <ns0:c r="J227" s="3"/>
      <ns0:c r="K227" s="3"/>
      <ns0:c r="L227" s="3"/>
      <ns0:c r="M227" s="3"/>
      <ns0:c r="N227" s="3"/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/>
      <ns0:c r="C228" s="3"/>
      <ns0:c r="D228" s="3"/>
      <ns0:c r="E228" s="3"/>
      <ns0:c r="F228" s="3"/>
      <ns0:c r="G228" s="3"/>
      <ns0:c r="H228" s="3"/>
      <ns0:c r="I228" s="3"/>
      <ns0:c r="J228" s="3"/>
      <ns0:c r="K228" s="3"/>
      <ns0:c r="L228" s="3"/>
      <ns0:c r="M228" s="3"/>
      <ns0:c r="N228" s="3"/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/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/>
      <ns0:c r="C230" s="3"/>
      <ns0:c r="D230" s="3"/>
      <ns0:c r="E230" s="3"/>
      <ns0:c r="F230" s="3"/>
      <ns0:c r="G230" s="3"/>
      <ns0:c r="H230" s="3"/>
      <ns0:c r="I230" s="3"/>
      <ns0:c r="J230" s="3"/>
      <ns0:c r="K230" s="3"/>
      <ns0:c r="L230" s="3"/>
      <ns0:c r="M230" s="3"/>
      <ns0:c r="N230" s="3"/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/>
      <ns0:c r="C231" s="3"/>
      <ns0:c r="D231" s="3"/>
      <ns0:c r="E231" s="3"/>
      <ns0:c r="F231" s="3"/>
      <ns0:c r="G231" s="3"/>
      <ns0:c r="H231" s="3"/>
      <ns0:c r="I231" s="3"/>
      <ns0:c r="J231" s="3"/>
      <ns0:c r="K231" s="3"/>
      <ns0:c r="L231" s="3"/>
      <ns0:c r="M231" s="3"/>
      <ns0:c r="N231" s="3"/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/>
      <ns0:c r="C232" s="3"/>
      <ns0:c r="D232" s="3"/>
      <ns0:c r="E232" s="3"/>
      <ns0:c r="F232" s="3"/>
      <ns0:c r="G232" s="3"/>
      <ns0:c r="H232" s="3"/>
      <ns0:c r="I232" s="3"/>
      <ns0:c r="J232" s="3"/>
      <ns0:c r="K232" s="3"/>
      <ns0:c r="L232" s="3"/>
      <ns0:c r="M232" s="3"/>
      <ns0:c r="N232" s="3"/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/>
      <ns0:c r="C233" s="3"/>
      <ns0:c r="D233" s="3"/>
      <ns0:c r="E233" s="3"/>
      <ns0:c r="F233" s="3"/>
      <ns0:c r="G233" s="3"/>
      <ns0:c r="H233" s="3"/>
      <ns0:c r="I233" s="3"/>
      <ns0:c r="J233" s="3"/>
      <ns0:c r="K233" s="3"/>
      <ns0:c r="L233" s="3"/>
      <ns0:c r="M233" s="3"/>
      <ns0:c r="N233" s="3"/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/>
      <ns0:c r="C324" s="3"/>
      <ns0:c r="D324" s="3"/>
      <ns0:c r="E324" s="3"/>
      <ns0:c r="F324" s="3"/>
      <ns0:c r="G324" s="3"/>
      <ns0:c r="H324" s="3"/>
      <ns0:c r="I324" s="3"/>
      <ns0:c r="J324" s="3"/>
      <ns0:c r="K324" s="3"/>
      <ns0:c r="L324" s="3"/>
      <ns0:c r="M324" s="3"/>
      <ns0:c r="N324" s="3"/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/>
      <ns0:c r="C325" s="3"/>
      <ns0:c r="D325" s="3"/>
      <ns0:c r="E325" s="3"/>
      <ns0:c r="F325" s="3"/>
      <ns0:c r="G325" s="3"/>
      <ns0:c r="H325" s="3"/>
      <ns0:c r="I325" s="3"/>
      <ns0:c r="J325" s="3"/>
      <ns0:c r="K325" s="3"/>
      <ns0:c r="L325" s="3"/>
      <ns0:c r="M325" s="3"/>
      <ns0:c r="N325" s="3"/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/>
      <ns0:c r="C326" s="3"/>
      <ns0:c r="D326" s="3"/>
      <ns0:c r="E326" s="3"/>
      <ns0:c r="F326" s="3"/>
      <ns0:c r="G326" s="3"/>
      <ns0:c r="H326" s="3"/>
      <ns0:c r="I326" s="3"/>
      <ns0:c r="J326" s="3"/>
      <ns0:c r="K326" s="3"/>
      <ns0:c r="L326" s="3"/>
      <ns0:c r="M326" s="3"/>
      <ns0:c r="N326" s="3"/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/>
      <ns0:c r="C327" s="3"/>
      <ns0:c r="D327" s="3"/>
      <ns0:c r="E327" s="3"/>
      <ns0:c r="F327" s="3"/>
      <ns0:c r="G327" s="3"/>
      <ns0:c r="H327" s="3"/>
      <ns0:c r="I327" s="3"/>
      <ns0:c r="J327" s="3"/>
      <ns0:c r="K327" s="3"/>
      <ns0:c r="L327" s="3"/>
      <ns0:c r="M327" s="3"/>
      <ns0:c r="N327" s="3"/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/>
      <ns0:c r="C328" s="3"/>
      <ns0:c r="D328" s="3"/>
      <ns0:c r="E328" s="3"/>
      <ns0:c r="F328" s="3"/>
      <ns0:c r="G328" s="3"/>
      <ns0:c r="H328" s="3"/>
      <ns0:c r="I328" s="3"/>
      <ns0:c r="J328" s="3"/>
      <ns0:c r="K328" s="3"/>
      <ns0:c r="L328" s="3"/>
      <ns0:c r="M328" s="3"/>
      <ns0:c r="N328" s="3"/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/>
      <ns0:c r="C329" s="3"/>
      <ns0:c r="D329" s="3"/>
      <ns0:c r="E329" s="3"/>
      <ns0:c r="F329" s="3"/>
      <ns0:c r="G329" s="3"/>
      <ns0:c r="H329" s="3"/>
      <ns0:c r="I329" s="3"/>
      <ns0:c r="J329" s="3"/>
      <ns0:c r="K329" s="3"/>
      <ns0:c r="L329" s="3"/>
      <ns0:c r="M329" s="3"/>
      <ns0:c r="N329" s="3"/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/>
      <ns0:c r="C330" s="3"/>
      <ns0:c r="D330" s="3"/>
      <ns0:c r="E330" s="3"/>
      <ns0:c r="F330" s="3"/>
      <ns0:c r="G330" s="3"/>
      <ns0:c r="H330" s="3"/>
      <ns0:c r="I330" s="3"/>
      <ns0:c r="J330" s="3"/>
      <ns0:c r="K330" s="3"/>
      <ns0:c r="L330" s="3"/>
      <ns0:c r="M330" s="3"/>
      <ns0:c r="N330" s="3"/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/>
      <ns0:c r="C331" s="3"/>
      <ns0:c r="D331" s="3"/>
      <ns0:c r="E331" s="3"/>
      <ns0:c r="F331" s="3"/>
      <ns0:c r="G331" s="3"/>
      <ns0:c r="H331" s="3"/>
      <ns0:c r="I331" s="3"/>
      <ns0:c r="J331" s="3"/>
      <ns0:c r="K331" s="3"/>
      <ns0:c r="L331" s="3"/>
      <ns0:c r="M331" s="3"/>
      <ns0:c r="N331" s="3"/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/>
      <ns0:c r="C332" s="3"/>
      <ns0:c r="D332" s="3"/>
      <ns0:c r="E332" s="3"/>
      <ns0:c r="F332" s="3"/>
      <ns0:c r="G332" s="3"/>
      <ns0:c r="H332" s="3"/>
      <ns0:c r="I332" s="3"/>
      <ns0:c r="J332" s="3"/>
      <ns0:c r="K332" s="3"/>
      <ns0:c r="L332" s="3"/>
      <ns0:c r="M332" s="3"/>
      <ns0:c r="N332" s="3"/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/>
      <ns0:c r="C333" s="3"/>
      <ns0:c r="D333" s="3"/>
      <ns0:c r="E333" s="3"/>
      <ns0:c r="F333" s="3"/>
      <ns0:c r="G333" s="3"/>
      <ns0:c r="H333" s="3"/>
      <ns0:c r="I333" s="3"/>
      <ns0:c r="J333" s="3"/>
      <ns0:c r="K333" s="3"/>
      <ns0:c r="L333" s="3"/>
      <ns0:c r="M333" s="3"/>
      <ns0:c r="N333" s="3"/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/>
      <ns0:c r="C334" s="3"/>
      <ns0:c r="D334" s="3"/>
      <ns0:c r="E334" s="3"/>
      <ns0:c r="F334" s="3"/>
      <ns0:c r="G334" s="3"/>
      <ns0:c r="H334" s="3"/>
      <ns0:c r="I334" s="3"/>
      <ns0:c r="J334" s="3"/>
      <ns0:c r="K334" s="3"/>
      <ns0:c r="L334" s="3"/>
      <ns0:c r="M334" s="3"/>
      <ns0:c r="N334" s="3"/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/>
      <ns0:c r="C335" s="3"/>
      <ns0:c r="D335" s="3"/>
      <ns0:c r="E335" s="3"/>
      <ns0:c r="F335" s="3"/>
      <ns0:c r="G335" s="3"/>
      <ns0:c r="H335" s="3"/>
      <ns0:c r="I335" s="3"/>
      <ns0:c r="J335" s="3"/>
      <ns0:c r="K335" s="3"/>
      <ns0:c r="L335" s="3"/>
      <ns0:c r="M335" s="3"/>
      <ns0:c r="N335" s="3"/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/>
      <ns0:c r="C336" s="3"/>
      <ns0:c r="D336" s="3"/>
      <ns0:c r="E336" s="3"/>
      <ns0:c r="F336" s="3"/>
      <ns0:c r="G336" s="3"/>
      <ns0:c r="H336" s="3"/>
      <ns0:c r="I336" s="3"/>
      <ns0:c r="J336" s="3"/>
      <ns0:c r="K336" s="3"/>
      <ns0:c r="L336" s="3"/>
      <ns0:c r="M336" s="3"/>
      <ns0:c r="N336" s="3"/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/>
      <ns0:c r="C337" s="3"/>
      <ns0:c r="D337" s="3"/>
      <ns0:c r="E337" s="3"/>
      <ns0:c r="F337" s="3"/>
      <ns0:c r="G337" s="3"/>
      <ns0:c r="H337" s="3"/>
      <ns0:c r="I337" s="3"/>
      <ns0:c r="J337" s="3"/>
      <ns0:c r="K337" s="3"/>
      <ns0:c r="L337" s="3"/>
      <ns0:c r="M337" s="3"/>
      <ns0:c r="N337" s="3"/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/>
      <ns0:c r="C338" s="3"/>
      <ns0:c r="D338" s="3"/>
      <ns0:c r="E338" s="3"/>
      <ns0:c r="F338" s="3"/>
      <ns0:c r="G338" s="3"/>
      <ns0:c r="H338" s="3"/>
      <ns0:c r="I338" s="3"/>
      <ns0:c r="J338" s="3"/>
      <ns0:c r="K338" s="3"/>
      <ns0:c r="L338" s="3"/>
      <ns0:c r="M338" s="3"/>
      <ns0:c r="N338" s="3"/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/>
      <ns0:c r="C339" s="3"/>
      <ns0:c r="D339" s="3"/>
      <ns0:c r="E339" s="3"/>
      <ns0:c r="F339" s="3"/>
      <ns0:c r="G339" s="3"/>
      <ns0:c r="H339" s="3"/>
      <ns0:c r="I339" s="3"/>
      <ns0:c r="J339" s="3"/>
      <ns0:c r="K339" s="3"/>
      <ns0:c r="L339" s="3"/>
      <ns0:c r="M339" s="3"/>
      <ns0:c r="N339" s="3"/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/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/>
      <ns0:c r="C341" s="3"/>
      <ns0:c r="D341" s="3"/>
      <ns0:c r="E341" s="3"/>
      <ns0:c r="F341" s="3"/>
      <ns0:c r="G341" s="3"/>
      <ns0:c r="H341" s="3"/>
      <ns0:c r="I341" s="3"/>
      <ns0:c r="J341" s="3"/>
      <ns0:c r="K341" s="3"/>
      <ns0:c r="L341" s="3"/>
      <ns0:c r="M341" s="3"/>
      <ns0:c r="N341" s="3"/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/>
      <ns0:c r="C342" s="3"/>
      <ns0:c r="D342" s="3"/>
      <ns0:c r="E342" s="3"/>
      <ns0:c r="F342" s="3"/>
      <ns0:c r="G342" s="3"/>
      <ns0:c r="H342" s="3"/>
      <ns0:c r="I342" s="3"/>
      <ns0:c r="J342" s="3"/>
      <ns0:c r="K342" s="3"/>
      <ns0:c r="L342" s="3"/>
      <ns0:c r="M342" s="3"/>
      <ns0:c r="N342" s="3"/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/>
      <ns0:c r="C343" s="3"/>
      <ns0:c r="D343" s="3"/>
      <ns0:c r="E343" s="3"/>
      <ns0:c r="F343" s="3"/>
      <ns0:c r="G343" s="3"/>
      <ns0:c r="H343" s="3"/>
      <ns0:c r="I343" s="3"/>
      <ns0:c r="J343" s="3"/>
      <ns0:c r="K343" s="3"/>
      <ns0:c r="L343" s="3"/>
      <ns0:c r="M343" s="3"/>
      <ns0:c r="N343" s="3"/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/>
      <ns0:c r="C344" s="3"/>
      <ns0:c r="D344" s="3"/>
      <ns0:c r="E344" s="3"/>
      <ns0:c r="F344" s="3"/>
      <ns0:c r="G344" s="3"/>
      <ns0:c r="H344" s="3"/>
      <ns0:c r="I344" s="3"/>
      <ns0:c r="J344" s="3"/>
      <ns0:c r="K344" s="3"/>
      <ns0:c r="L344" s="3"/>
      <ns0:c r="M344" s="3"/>
      <ns0:c r="N344" s="3"/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/>
      <ns0:c r="C345" s="3"/>
      <ns0:c r="D345" s="3"/>
      <ns0:c r="E345" s="3"/>
      <ns0:c r="F345" s="3"/>
      <ns0:c r="G345" s="3"/>
      <ns0:c r="H345" s="3"/>
      <ns0:c r="I345" s="3"/>
      <ns0:c r="J345" s="3"/>
      <ns0:c r="K345" s="3"/>
      <ns0:c r="L345" s="3"/>
      <ns0:c r="M345" s="3"/>
      <ns0:c r="N345" s="3"/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/>
      <ns0:c r="C346" s="3"/>
      <ns0:c r="D346" s="3"/>
      <ns0:c r="E346" s="3"/>
      <ns0:c r="F346" s="3"/>
      <ns0:c r="G346" s="3"/>
      <ns0:c r="H346" s="3"/>
      <ns0:c r="I346" s="3"/>
      <ns0:c r="J346" s="3"/>
      <ns0:c r="K346" s="3"/>
      <ns0:c r="L346" s="3"/>
      <ns0:c r="M346" s="3"/>
      <ns0:c r="N346" s="3"/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/>
      <ns0:c r="C347" s="3"/>
      <ns0:c r="D347" s="3"/>
      <ns0:c r="E347" s="3"/>
      <ns0:c r="F347" s="3"/>
      <ns0:c r="G347" s="3"/>
      <ns0:c r="H347" s="3"/>
      <ns0:c r="I347" s="3"/>
      <ns0:c r="J347" s="3"/>
      <ns0:c r="K347" s="3"/>
      <ns0:c r="L347" s="3"/>
      <ns0:c r="M347" s="3"/>
      <ns0:c r="N347" s="3"/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/>
      <ns0:c r="C348" s="3"/>
      <ns0:c r="D348" s="3"/>
      <ns0:c r="E348" s="3"/>
      <ns0:c r="F348" s="3"/>
      <ns0:c r="G348" s="3"/>
      <ns0:c r="H348" s="3"/>
      <ns0:c r="I348" s="3"/>
      <ns0:c r="J348" s="3"/>
      <ns0:c r="K348" s="3"/>
      <ns0:c r="L348" s="3"/>
      <ns0:c r="M348" s="3"/>
      <ns0:c r="N348" s="3"/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/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/>
      <ns0:c r="C350" s="3"/>
      <ns0:c r="D350" s="3"/>
      <ns0:c r="E350" s="3"/>
      <ns0:c r="F350" s="3"/>
      <ns0:c r="G350" s="3"/>
      <ns0:c r="H350" s="3"/>
      <ns0:c r="I350" s="3"/>
      <ns0:c r="J350" s="3"/>
      <ns0:c r="K350" s="3"/>
      <ns0:c r="L350" s="3"/>
      <ns0:c r="M350" s="3"/>
      <ns0:c r="N350" s="3"/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/>
      <ns0:c r="C351" s="3"/>
      <ns0:c r="D351" s="3"/>
      <ns0:c r="E351" s="3"/>
      <ns0:c r="F351" s="3"/>
      <ns0:c r="G351" s="3"/>
      <ns0:c r="H351" s="3"/>
      <ns0:c r="I351" s="3"/>
      <ns0:c r="J351" s="3"/>
      <ns0:c r="K351" s="3"/>
      <ns0:c r="L351" s="3"/>
      <ns0:c r="M351" s="3"/>
      <ns0:c r="N351" s="3"/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/>
      <ns0:c r="C352" s="3"/>
      <ns0:c r="D352" s="3"/>
      <ns0:c r="E352" s="3"/>
      <ns0:c r="F352" s="3"/>
      <ns0:c r="G352" s="3"/>
      <ns0:c r="H352" s="3"/>
      <ns0:c r="I352" s="3"/>
      <ns0:c r="J352" s="3"/>
      <ns0:c r="K352" s="3"/>
      <ns0:c r="L352" s="3"/>
      <ns0:c r="M352" s="3"/>
      <ns0:c r="N352" s="3"/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/>
      <ns0:c r="C353" s="3"/>
      <ns0:c r="D353" s="3"/>
      <ns0:c r="E353" s="3"/>
      <ns0:c r="F353" s="3"/>
      <ns0:c r="G353" s="3"/>
      <ns0:c r="H353" s="3"/>
      <ns0:c r="I353" s="3"/>
      <ns0:c r="J353" s="3"/>
      <ns0:c r="K353" s="3"/>
      <ns0:c r="L353" s="3"/>
      <ns0:c r="M353" s="3"/>
      <ns0:c r="N353" s="3"/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pageMargins left="0.7" right="0.7" top="0.75" bottom="0.75" header="0.3" footer="0.3"/>
</ns0:worksheet>
</file>

<file path=xl/worksheets/sheet12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25.75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20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 t="inlineStr">
        <ns0:is>
          <ns0:t>摘要</ns0:t>
        </ns0:is>
      </ns0:c>
      <ns0:c r="B1" s="2" t="inlineStr">
        <ns0:is>
          <ns0:t>科目</ns0:t>
        </ns0:is>
      </ns0:c>
      <ns0:c r="C1" s="3" t="inlineStr">
        <ns0:is>
          <ns0:t>借方</ns0:t>
        </ns0:is>
      </ns0:c>
      <ns0:c r="D1" s="3" t="inlineStr">
        <ns0:is>
          <ns0:t>贷方</ns0:t>
        </ns0:is>
      </ns0:c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/>
      <ns0:c r="B2" s="2" t="inlineStr">
        <ns0:is>
          <ns0:t>管理费用</ns0:t>
        </ns0:is>
      </ns0:c>
      <ns0:c r="C2" s="3"/>
      <ns0:c r="D2" s="3"/>
      <ns0:c r="E2" s="3"/>
      <ns0:c r="F2" s="3"/>
      <ns0:c r="G2" s="3"/>
      <ns0:c r="H2" s="3"/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E-5f17fa2948</ns0:t>
        </ns0:is>
      </ns0:c>
    </ns0:row>
    <ns0:row r="3" ht="20" customHeight="1">
      <ns0:c r="A3" s="2"/>
      <ns0:c r="B3" s="2"/>
      <ns0:c r="C3" s="6"/>
      <ns0:c r="D3" s="6"/>
      <ns0:c r="E3" s="6"/>
      <ns0:c r="F3" s="6"/>
      <ns0:c r="G3" s="6"/>
      <ns0:c r="H3" s="6"/>
      <ns0:c r="I3" s="6"/>
      <ns0:c r="J3" s="6"/>
      <ns0:c r="K3" s="6"/>
      <ns0:c r="L3" s="6"/>
      <ns0:c r="M3" s="6"/>
      <ns0:c r="N3" s="6"/>
      <ns0:c r="O3" s="6"/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主体乙</ns0:t>
        </ns0:is>
      </ns0:c>
    </ns0:row>
    <ns0:row r="4" ht="20" customHeight="1">
      <ns0:c r="A4" s="2"/>
      <ns0:c r="B4" s="2"/>
      <ns0:c r="C4" s="3"/>
      <ns0:c r="D4" s="3"/>
      <ns0:c r="E4" s="3"/>
      <ns0:c r="F4" s="3"/>
      <ns0:c r="G4" s="3"/>
      <ns0:c r="H4" s="3"/>
      <ns0:c r="I4" s="3"/>
      <ns0:c r="J4" s="3"/>
      <ns0:c r="K4" s="3"/>
      <ns0:c r="L4" s="3"/>
      <ns0:c r="M4" s="3"/>
      <ns0:c r="N4" s="3"/>
      <ns0:c r="O4" s="3"/>
      <ns0:c r="P4" s="2"/>
      <ns0:c r="Q4" s="2"/>
      <ns0:c r="R4" s="2"/>
      <ns0:c r="S4" s="2"/>
      <ns0:c r="T4" s="2"/>
      <ns0:c r="U4" s="2"/>
      <ns0:c r="V4" s="2"/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S-03e3bfa6bf</ns0:t>
        </ns0:is>
      </ns0:c>
    </ns0:row>
    <ns0:row r="5" ht="20" customHeight="1">
      <ns0:c r="A5" s="2"/>
      <ns0:c r="B5" s="2"/>
      <ns0:c r="C5" s="3"/>
      <ns0:c r="D5" s="3"/>
      <ns0:c r="E5" s="3"/>
      <ns0:c r="F5" s="3"/>
      <ns0:c r="G5" s="3"/>
      <ns0:c r="H5" s="3"/>
      <ns0:c r="I5" s="3"/>
      <ns0:c r="J5" s="3"/>
      <ns0:c r="K5" s="3"/>
      <ns0:c r="L5" s="3"/>
      <ns0:c r="M5" s="3"/>
      <ns0:c r="N5" s="3"/>
      <ns0:c r="O5" s="3"/>
      <ns0:c r="P5" s="2"/>
      <ns0:c r="Q5" s="2"/>
      <ns0:c r="R5" s="2"/>
      <ns0:c r="S5" s="2"/>
      <ns0:c r="T5" s="2"/>
      <ns0:c r="U5" s="2"/>
      <ns0:c r="V5" s="2"/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扩展情景</ns0:t>
        </ns0:is>
      </ns0:c>
    </ns0:row>
    <ns0:row r="6" ht="20" customHeight="1">
      <ns0:c r="A6" s="2"/>
      <ns0:c r="B6" s="2"/>
      <ns0:c r="C6" s="3"/>
      <ns0:c r="D6" s="3"/>
      <ns0:c r="E6" s="3"/>
      <ns0:c r="F6" s="3"/>
      <ns0:c r="G6" s="3"/>
      <ns0:c r="H6" s="3"/>
      <ns0:c r="I6" s="3"/>
      <ns0:c r="J6" s="3"/>
      <ns0:c r="K6" s="3"/>
      <ns0:c r="L6" s="3"/>
      <ns0:c r="M6" s="3"/>
      <ns0:c r="N6" s="3"/>
      <ns0:c r="O6" s="3"/>
      <ns0:c r="P6" s="2"/>
      <ns0:c r="Q6" s="2"/>
      <ns0:c r="R6" s="2"/>
      <ns0:c r="S6" s="2"/>
      <ns0:c r="T6" s="2"/>
      <ns0:c r="U6" s="2"/>
      <ns0:c r="V6" s="2"/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/>
      <ns0:c r="B7" s="2"/>
      <ns0:c r="C7" s="3"/>
      <ns0:c r="D7" s="3"/>
      <ns0:c r="E7" s="3"/>
      <ns0:c r="F7" s="3"/>
      <ns0:c r="G7" s="3"/>
      <ns0:c r="H7" s="3"/>
      <ns0:c r="I7" s="3"/>
      <ns0:c r="J7" s="3"/>
      <ns0:c r="K7" s="3"/>
      <ns0:c r="L7" s="3"/>
      <ns0:c r="M7" s="3"/>
      <ns0:c r="N7" s="3"/>
      <ns0:c r="O7" s="3"/>
      <ns0:c r="P7" s="2"/>
      <ns0:c r="Q7" s="2"/>
      <ns0:c r="R7" s="2"/>
      <ns0:c r="S7" s="2"/>
      <ns0:c r="T7" s="2"/>
      <ns0:c r="U7" s="2"/>
      <ns0:c r="V7" s="2"/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季度</ns0:t>
        </ns0:is>
      </ns0:c>
    </ns0:row>
    <ns0:row r="8" ht="20" customHeight="1">
      <ns0:c r="A8" s="2"/>
      <ns0:c r="B8" s="2" t="inlineStr">
        <ns0:is>
          <ns0:t>财务费用</ns0:t>
        </ns0:is>
      </ns0:c>
      <ns0:c r="C8" s="3"/>
      <ns0:c r="D8" s="3"/>
      <ns0:c r="E8" s="3"/>
      <ns0:c r="F8" s="3"/>
      <ns0:c r="G8" s="3"/>
      <ns0:c r="H8" s="3"/>
      <ns0:c r="I8" s="3"/>
      <ns0:c r="J8" s="3"/>
      <ns0:c r="K8" s="3"/>
      <ns0:c r="L8" s="3"/>
      <ns0:c r="M8" s="3"/>
      <ns0:c r="N8" s="3"/>
      <ns0:c r="O8" s="3"/>
      <ns0:c r="P8" s="2"/>
      <ns0:c r="Q8" s="2"/>
      <ns0:c r="R8" s="2"/>
      <ns0:c r="S8" s="2"/>
      <ns0:c r="T8" s="2"/>
      <ns0:c r="U8" s="2"/>
      <ns0:c r="V8" s="2"/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/>
      <ns0:c r="B9" s="2"/>
      <ns0:c r="C9" s="3"/>
      <ns0:c r="D9" s="3"/>
      <ns0:c r="E9" s="3"/>
      <ns0:c r="F9" s="3"/>
      <ns0:c r="G9" s="3"/>
      <ns0:c r="H9" s="3"/>
      <ns0:c r="I9" s="3"/>
      <ns0:c r="J9" s="3"/>
      <ns0:c r="K9" s="3"/>
      <ns0:c r="L9" s="3"/>
      <ns0:c r="M9" s="3"/>
      <ns0:c r="N9" s="3"/>
      <ns0:c r="O9" s="3"/>
      <ns0:c r="P9" s="2"/>
      <ns0:c r="Q9" s="2"/>
      <ns0:c r="R9" s="2"/>
      <ns0:c r="S9" s="2"/>
      <ns0:c r="T9" s="2"/>
      <ns0:c r="U9" s="2"/>
      <ns0:c r="V9" s="2"/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/>
      <ns0:c r="B10" s="2"/>
      <ns0:c r="C10" s="3"/>
      <ns0:c r="D10" s="3"/>
      <ns0:c r="E10" s="3"/>
      <ns0:c r="F10" s="3"/>
      <ns0:c r="G10" s="3"/>
      <ns0:c r="H10" s="3"/>
      <ns0:c r="I10" s="3"/>
      <ns0:c r="J10" s="3"/>
      <ns0:c r="K10" s="3"/>
      <ns0:c r="L10" s="3"/>
      <ns0:c r="M10" s="3"/>
      <ns0:c r="N10" s="3"/>
      <ns0:c r="O10" s="3"/>
      <ns0:c r="P10" s="2"/>
      <ns0:c r="Q10" s="2"/>
      <ns0:c r="R10" s="2"/>
      <ns0:c r="S10" s="2"/>
      <ns0:c r="T10" s="2"/>
      <ns0:c r="U10" s="2"/>
      <ns0:c r="V10" s="2"/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/>
      <ns0:c r="B11" s="2" t="inlineStr">
        <ns0:is>
          <ns0:t>财务费用</ns0:t>
        </ns0:is>
      </ns0:c>
      <ns0:c r="C11" s="3"/>
      <ns0:c r="D11" s="3"/>
      <ns0:c r="E11" s="3"/>
      <ns0:c r="F11" s="3"/>
      <ns0:c r="G11" s="3"/>
      <ns0:c r="H11" s="3"/>
      <ns0:c r="I11" s="3"/>
      <ns0:c r="J11" s="3"/>
      <ns0:c r="K11" s="3"/>
      <ns0:c r="L11" s="3"/>
      <ns0:c r="M11" s="3"/>
      <ns0:c r="N11" s="3"/>
      <ns0:c r="O11" s="3"/>
      <ns0:c r="P11" s="2"/>
      <ns0:c r="Q11" s="2"/>
      <ns0:c r="R11" s="2"/>
      <ns0:c r="S11" s="2"/>
      <ns0:c r="T11" s="2"/>
      <ns0:c r="U11" s="2"/>
      <ns0:c r="V11" s="2"/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/>
      <ns0:c r="B12" s="2" t="inlineStr">
        <ns0:is>
          <ns0:t>财务费用</ns0:t>
        </ns0:is>
      </ns0:c>
      <ns0:c r="C12" s="3"/>
      <ns0:c r="D12" s="3"/>
      <ns0:c r="E12" s="3"/>
      <ns0:c r="F12" s="3"/>
      <ns0:c r="G12" s="3"/>
      <ns0:c r="H12" s="3"/>
      <ns0:c r="I12" s="3"/>
      <ns0:c r="J12" s="3"/>
      <ns0:c r="K12" s="3"/>
      <ns0:c r="L12" s="3"/>
      <ns0:c r="M12" s="3"/>
      <ns0:c r="N12" s="3"/>
      <ns0:c r="O12" s="3"/>
      <ns0:c r="P12" s="2"/>
      <ns0:c r="Q12" s="2"/>
      <ns0:c r="R12" s="2"/>
      <ns0:c r="S12" s="2"/>
      <ns0:c r="T12" s="2"/>
      <ns0:c r="U12" s="2"/>
      <ns0:c r="V12" s="2"/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/>
      <ns0:c r="B13" s="2"/>
      <ns0:c r="C13" s="3"/>
      <ns0:c r="D13" s="3"/>
      <ns0:c r="E13" s="3"/>
      <ns0:c r="F13" s="3"/>
      <ns0:c r="G13" s="3"/>
      <ns0:c r="H13" s="3"/>
      <ns0:c r="I13" s="3"/>
      <ns0:c r="J13" s="3"/>
      <ns0:c r="K13" s="3"/>
      <ns0:c r="L13" s="3"/>
      <ns0:c r="M13" s="3"/>
      <ns0:c r="N13" s="3"/>
      <ns0:c r="O13" s="3"/>
      <ns0:c r="P13" s="2"/>
      <ns0:c r="Q13" s="2"/>
      <ns0:c r="R13" s="2"/>
      <ns0:c r="S13" s="2"/>
      <ns0:c r="T13" s="2"/>
      <ns0:c r="U13" s="2"/>
      <ns0:c r="V13" s="2"/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/>
      <ns0:c r="B14" s="2"/>
      <ns0:c r="C14" s="3"/>
      <ns0:c r="D14" s="3"/>
      <ns0:c r="E14" s="3"/>
      <ns0:c r="F14" s="3"/>
      <ns0:c r="G14" s="3"/>
      <ns0:c r="H14" s="3"/>
      <ns0:c r="I14" s="3"/>
      <ns0:c r="J14" s="3"/>
      <ns0:c r="K14" s="3"/>
      <ns0:c r="L14" s="3"/>
      <ns0:c r="M14" s="3"/>
      <ns0:c r="N14" s="3"/>
      <ns0:c r="O14" s="3"/>
      <ns0:c r="P14" s="2"/>
      <ns0:c r="Q14" s="2"/>
      <ns0:c r="R14" s="2"/>
      <ns0:c r="S14" s="2"/>
      <ns0:c r="T14" s="2"/>
      <ns0:c r="U14" s="2"/>
      <ns0:c r="V14" s="2"/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/>
      <ns0:c r="B15" s="2"/>
      <ns0:c r="C15" s="3"/>
      <ns0:c r="D15" s="3"/>
      <ns0:c r="E15" s="3"/>
      <ns0:c r="F15" s="3"/>
      <ns0:c r="G15" s="3"/>
      <ns0:c r="H15" s="3"/>
      <ns0:c r="I15" s="3"/>
      <ns0:c r="J15" s="3"/>
      <ns0:c r="K15" s="3"/>
      <ns0:c r="L15" s="3"/>
      <ns0:c r="M15" s="3"/>
      <ns0:c r="N15" s="3"/>
      <ns0:c r="O15" s="3"/>
      <ns0:c r="P15" s="2"/>
      <ns0:c r="Q15" s="2"/>
      <ns0:c r="R15" s="2"/>
      <ns0:c r="S15" s="2"/>
      <ns0:c r="T15" s="2"/>
      <ns0:c r="U15" s="2"/>
      <ns0:c r="V15" s="2"/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/>
      <ns0:c r="B16" s="2"/>
      <ns0:c r="C16" s="3"/>
      <ns0:c r="D16" s="3"/>
      <ns0:c r="E16" s="3"/>
      <ns0:c r="F16" s="3"/>
      <ns0:c r="G16" s="3"/>
      <ns0:c r="H16" s="3"/>
      <ns0:c r="I16" s="3"/>
      <ns0:c r="J16" s="3"/>
      <ns0:c r="K16" s="3"/>
      <ns0:c r="L16" s="3"/>
      <ns0:c r="M16" s="3"/>
      <ns0:c r="N16" s="3"/>
      <ns0:c r="O16" s="3"/>
      <ns0:c r="P16" s="2"/>
      <ns0:c r="Q16" s="2"/>
      <ns0:c r="R16" s="2"/>
      <ns0:c r="S16" s="2"/>
      <ns0:c r="T16" s="2"/>
      <ns0:c r="U16" s="2"/>
      <ns0:c r="V16" s="2"/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预算基础</ns0:t>
        </ns0:is>
      </ns0:c>
    </ns0:row>
    <ns0:row r="17" ht="20" customHeight="1">
      <ns0:c r="A17" s="2"/>
      <ns0:c r="B17" s="2"/>
      <ns0:c r="C17" s="3"/>
      <ns0:c r="D17" s="3"/>
      <ns0:c r="E17" s="3"/>
      <ns0:c r="F17" s="3"/>
      <ns0:c r="G17" s="3"/>
      <ns0:c r="H17" s="3"/>
      <ns0:c r="I17" s="3"/>
      <ns0:c r="J17" s="3"/>
      <ns0:c r="K17" s="3"/>
      <ns0:c r="L17" s="3"/>
      <ns0:c r="M17" s="3"/>
      <ns0:c r="N17" s="3"/>
      <ns0:c r="O17" s="3"/>
      <ns0:c r="P17" s="2"/>
      <ns0:c r="Q17" s="2"/>
      <ns0:c r="R17" s="2"/>
      <ns0:c r="S17" s="2"/>
      <ns0:c r="T17" s="2"/>
      <ns0:c r="U17" s="2"/>
      <ns0:c r="V17" s="2"/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蓝色为预算基础输入参数；示例数值为占位；金额单位：元</ns0:t>
        </ns0:is>
      </ns0:c>
    </ns0:row>
    <ns0:row r="18" ht="20" customHeight="1">
      <ns0:c r="A18" s="2"/>
      <ns0:c r="B18" s="2"/>
      <ns0:c r="C18" s="3"/>
      <ns0:c r="D18" s="3"/>
      <ns0:c r="E18" s="3"/>
      <ns0:c r="F18" s="3"/>
      <ns0:c r="G18" s="3"/>
      <ns0:c r="H18" s="3"/>
      <ns0:c r="I18" s="3"/>
      <ns0:c r="J18" s="3"/>
      <ns0:c r="K18" s="3"/>
      <ns0:c r="L18" s="3"/>
      <ns0:c r="M18" s="3"/>
      <ns0:c r="N18" s="3"/>
      <ns0:c r="O18" s="3"/>
      <ns0:c r="P18" s="2"/>
      <ns0:c r="Q18" s="2"/>
      <ns0:c r="R18" s="2"/>
      <ns0:c r="S18" s="2"/>
      <ns0:c r="T18" s="2"/>
      <ns0:c r="U18" s="2"/>
      <ns0:c r="V18" s="2"/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/>
      <ns0:c r="B19" s="2"/>
      <ns0:c r="C19" s="3"/>
      <ns0:c r="D19" s="3"/>
      <ns0:c r="E19" s="3"/>
      <ns0:c r="F19" s="3"/>
      <ns0:c r="G19" s="3"/>
      <ns0:c r="H19" s="3"/>
      <ns0:c r="I19" s="3"/>
      <ns0:c r="J19" s="3"/>
      <ns0:c r="K19" s="3"/>
      <ns0:c r="L19" s="3"/>
      <ns0:c r="M19" s="3"/>
      <ns0:c r="N19" s="3"/>
      <ns0:c r="O19" s="3"/>
      <ns0:c r="P19" s="2"/>
      <ns0:c r="Q19" s="2"/>
      <ns0:c r="R19" s="2"/>
      <ns0:c r="S19" s="2"/>
      <ns0:c r="T19" s="2"/>
      <ns0:c r="U19" s="2"/>
      <ns0:c r="V19" s="2"/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/>
      <ns0:c r="B20" s="2"/>
      <ns0:c r="C20" s="3"/>
      <ns0:c r="D20" s="3"/>
      <ns0:c r="E20" s="3"/>
      <ns0:c r="F20" s="3"/>
      <ns0:c r="G20" s="3"/>
      <ns0:c r="H20" s="3"/>
      <ns0:c r="I20" s="3"/>
      <ns0:c r="J20" s="3"/>
      <ns0:c r="K20" s="3"/>
      <ns0:c r="L20" s="3"/>
      <ns0:c r="M20" s="3"/>
      <ns0:c r="N20" s="3"/>
      <ns0:c r="O20" s="3"/>
      <ns0:c r="P20" s="2"/>
      <ns0:c r="Q20" s="2"/>
      <ns0:c r="R20" s="2"/>
      <ns0:c r="S20" s="2"/>
      <ns0:c r="T20" s="2"/>
      <ns0:c r="U20" s="2"/>
      <ns0:c r="V20" s="2"/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/>
      <ns0:c r="B21" s="2"/>
      <ns0:c r="C21" s="3"/>
      <ns0:c r="D21" s="3"/>
      <ns0:c r="E21" s="3"/>
      <ns0:c r="F21" s="3"/>
      <ns0:c r="G21" s="3"/>
      <ns0:c r="H21" s="3"/>
      <ns0:c r="I21" s="3"/>
      <ns0:c r="J21" s="3"/>
      <ns0:c r="K21" s="3"/>
      <ns0:c r="L21" s="3"/>
      <ns0:c r="M21" s="3"/>
      <ns0:c r="N21" s="3"/>
      <ns0:c r="O21" s="3"/>
      <ns0:c r="P21" s="2"/>
      <ns0:c r="Q21" s="2"/>
      <ns0:c r="R21" s="2"/>
      <ns0:c r="S21" s="2"/>
      <ns0:c r="T21" s="2"/>
      <ns0:c r="U21" s="2"/>
      <ns0:c r="V21" s="2"/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/>
      <ns0:c r="B22" s="2"/>
      <ns0:c r="C22" s="3"/>
      <ns0:c r="D22" s="3"/>
      <ns0:c r="E22" s="3"/>
      <ns0:c r="F22" s="3"/>
      <ns0:c r="G22" s="3"/>
      <ns0:c r="H22" s="3"/>
      <ns0:c r="I22" s="3"/>
      <ns0:c r="J22" s="3"/>
      <ns0:c r="K22" s="3"/>
      <ns0:c r="L22" s="3"/>
      <ns0:c r="M22" s="3"/>
      <ns0:c r="N22" s="3"/>
      <ns0:c r="O22" s="3"/>
      <ns0:c r="P22" s="2"/>
      <ns0:c r="Q22" s="2"/>
      <ns0:c r="R22" s="2"/>
      <ns0:c r="S22" s="2"/>
      <ns0:c r="T22" s="2"/>
      <ns0:c r="U22" s="2"/>
      <ns0:c r="V22" s="2"/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/>
      <ns0:c r="B23" s="2"/>
      <ns0:c r="C23" s="3"/>
      <ns0:c r="D23" s="3"/>
      <ns0:c r="E23" s="3"/>
      <ns0:c r="F23" s="3"/>
      <ns0:c r="G23" s="3"/>
      <ns0:c r="H23" s="3"/>
      <ns0:c r="I23" s="3"/>
      <ns0:c r="J23" s="3"/>
      <ns0:c r="K23" s="3"/>
      <ns0:c r="L23" s="3"/>
      <ns0:c r="M23" s="3"/>
      <ns0:c r="N23" s="3"/>
      <ns0:c r="O23" s="3"/>
      <ns0:c r="P23" s="2"/>
      <ns0:c r="Q23" s="2"/>
      <ns0:c r="R23" s="2"/>
      <ns0:c r="S23" s="2"/>
      <ns0:c r="T23" s="2"/>
      <ns0:c r="U23" s="2"/>
      <ns0:c r="V23" s="2"/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/>
      <ns0:c r="C24" s="3"/>
      <ns0:c r="D24" s="3"/>
      <ns0:c r="E24" s="3"/>
      <ns0:c r="F24" s="3"/>
      <ns0:c r="G24" s="3"/>
      <ns0:c r="H24" s="3"/>
      <ns0:c r="I24" s="3"/>
      <ns0:c r="J24" s="3"/>
      <ns0:c r="K24" s="3"/>
      <ns0:c r="L24" s="3"/>
      <ns0:c r="M24" s="3"/>
      <ns0:c r="N24" s="3"/>
      <ns0:c r="O24" s="3"/>
      <ns0:c r="P24" s="2"/>
      <ns0:c r="Q24" s="2"/>
      <ns0:c r="R24" s="2"/>
      <ns0:c r="S24" s="2"/>
      <ns0:c r="T24" s="2"/>
      <ns0:c r="U24" s="2"/>
      <ns0:c r="V24" s="2"/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/>
      <ns0:c r="B25" s="2"/>
      <ns0:c r="C25" s="3"/>
      <ns0:c r="D25" s="3"/>
      <ns0:c r="E25" s="3"/>
      <ns0:c r="F25" s="3"/>
      <ns0:c r="G25" s="3"/>
      <ns0:c r="H25" s="3"/>
      <ns0:c r="I25" s="3"/>
      <ns0:c r="J25" s="3"/>
      <ns0:c r="K25" s="3"/>
      <ns0:c r="L25" s="3"/>
      <ns0:c r="M25" s="3"/>
      <ns0:c r="N25" s="3"/>
      <ns0:c r="O25" s="3"/>
      <ns0:c r="P25" s="2"/>
      <ns0:c r="Q25" s="2"/>
      <ns0:c r="R25" s="2"/>
      <ns0:c r="S25" s="2"/>
      <ns0:c r="T25" s="2"/>
      <ns0:c r="U25" s="2"/>
      <ns0:c r="V25" s="2"/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/>
      <ns0:c r="B26" s="2"/>
      <ns0:c r="C26" s="3"/>
      <ns0:c r="D26" s="3"/>
      <ns0:c r="E26" s="3"/>
      <ns0:c r="F26" s="3"/>
      <ns0:c r="G26" s="3"/>
      <ns0:c r="H26" s="3"/>
      <ns0:c r="I26" s="3"/>
      <ns0:c r="J26" s="3"/>
      <ns0:c r="K26" s="3"/>
      <ns0:c r="L26" s="3"/>
      <ns0:c r="M26" s="3"/>
      <ns0:c r="N26" s="3"/>
      <ns0:c r="O26" s="3"/>
      <ns0:c r="P26" s="2"/>
      <ns0:c r="Q26" s="2"/>
      <ns0:c r="R26" s="2"/>
      <ns0:c r="S26" s="2"/>
      <ns0:c r="T26" s="2"/>
      <ns0:c r="U26" s="2"/>
      <ns0:c r="V26" s="2"/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/>
      <ns0:c r="B27" s="2"/>
      <ns0:c r="C27" s="3"/>
      <ns0:c r="D27" s="3"/>
      <ns0:c r="E27" s="3"/>
      <ns0:c r="F27" s="3"/>
      <ns0:c r="G27" s="3"/>
      <ns0:c r="H27" s="3"/>
      <ns0:c r="I27" s="3"/>
      <ns0:c r="J27" s="3"/>
      <ns0:c r="K27" s="3"/>
      <ns0:c r="L27" s="3"/>
      <ns0:c r="M27" s="3"/>
      <ns0:c r="N27" s="3"/>
      <ns0:c r="O27" s="3"/>
      <ns0:c r="P27" s="2"/>
      <ns0:c r="Q27" s="2"/>
      <ns0:c r="R27" s="2"/>
      <ns0:c r="S27" s="2"/>
      <ns0:c r="T27" s="2"/>
      <ns0:c r="U27" s="2"/>
      <ns0:c r="V27" s="2"/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/>
      <ns0:c r="B28" s="2"/>
      <ns0:c r="C28" s="3"/>
      <ns0:c r="D28" s="3"/>
      <ns0:c r="E28" s="3"/>
      <ns0:c r="F28" s="3"/>
      <ns0:c r="G28" s="3"/>
      <ns0:c r="H28" s="3"/>
      <ns0:c r="I28" s="3"/>
      <ns0:c r="J28" s="3"/>
      <ns0:c r="K28" s="3"/>
      <ns0:c r="L28" s="3"/>
      <ns0:c r="M28" s="3"/>
      <ns0:c r="N28" s="3"/>
      <ns0:c r="O28" s="3"/>
      <ns0:c r="P28" s="2"/>
      <ns0:c r="Q28" s="2"/>
      <ns0:c r="R28" s="2"/>
      <ns0:c r="S28" s="2"/>
      <ns0:c r="T28" s="2"/>
      <ns0:c r="U28" s="2"/>
      <ns0:c r="V28" s="2"/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 t="inlineStr">
        <ns0:is>
          <ns0:t>财务费用</ns0:t>
        </ns0:is>
      </ns0:c>
      <ns0:c r="C29" s="3"/>
      <ns0:c r="D29" s="3"/>
      <ns0:c r="E29" s="3"/>
      <ns0:c r="F29" s="3"/>
      <ns0:c r="G29" s="3"/>
      <ns0:c r="H29" s="3"/>
      <ns0:c r="I29" s="3"/>
      <ns0:c r="J29" s="3"/>
      <ns0:c r="K29" s="3"/>
      <ns0:c r="L29" s="3"/>
      <ns0:c r="M29" s="3"/>
      <ns0:c r="N29" s="3"/>
      <ns0:c r="O29" s="3"/>
      <ns0:c r="P29" s="2"/>
      <ns0:c r="Q29" s="2"/>
      <ns0:c r="R29" s="2"/>
      <ns0:c r="S29" s="2"/>
      <ns0:c r="T29" s="2"/>
      <ns0:c r="U29" s="2"/>
      <ns0:c r="V29" s="2"/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/>
      <ns0:c r="C30" s="6"/>
      <ns0:c r="D30" s="6"/>
      <ns0:c r="E30" s="6"/>
      <ns0:c r="F30" s="6"/>
      <ns0:c r="G30" s="6"/>
      <ns0:c r="H30" s="6"/>
      <ns0:c r="I30" s="6"/>
      <ns0:c r="J30" s="6"/>
      <ns0:c r="K30" s="6"/>
      <ns0:c r="L30" s="6"/>
      <ns0:c r="M30" s="6"/>
      <ns0:c r="N30" s="6"/>
      <ns0:c r="O30" s="6"/>
      <ns0:c r="P30" s="2"/>
      <ns0:c r="Q30" s="2"/>
      <ns0:c r="R30" s="2"/>
      <ns0:c r="S30" s="2"/>
      <ns0:c r="T30" s="2"/>
      <ns0:c r="U30" s="2"/>
      <ns0:c r="V30" s="2"/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/>
      <ns0:c r="B31" s="2"/>
      <ns0:c r="C31" s="3"/>
      <ns0:c r="D31" s="3"/>
      <ns0:c r="E31" s="3"/>
      <ns0:c r="F31" s="3"/>
      <ns0:c r="G31" s="3"/>
      <ns0:c r="H31" s="3"/>
      <ns0:c r="I31" s="3"/>
      <ns0:c r="J31" s="3"/>
      <ns0:c r="K31" s="3"/>
      <ns0:c r="L31" s="3"/>
      <ns0:c r="M31" s="3"/>
      <ns0:c r="N31" s="3"/>
      <ns0:c r="O31" s="3"/>
      <ns0:c r="P31" s="2"/>
      <ns0:c r="Q31" s="2"/>
      <ns0:c r="R31" s="2"/>
      <ns0:c r="S31" s="2"/>
      <ns0:c r="T31" s="2"/>
      <ns0:c r="U31" s="2"/>
      <ns0:c r="V31" s="2"/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 t="inlineStr">
        <ns0:is>
          <ns0:t>财务费用</ns0:t>
        </ns0:is>
      </ns0:c>
      <ns0:c r="C32" s="3"/>
      <ns0:c r="D32" s="3"/>
      <ns0:c r="E32" s="3"/>
      <ns0:c r="F32" s="3"/>
      <ns0:c r="G32" s="3"/>
      <ns0:c r="H32" s="3"/>
      <ns0:c r="I32" s="3"/>
      <ns0:c r="J32" s="3"/>
      <ns0:c r="K32" s="3"/>
      <ns0:c r="L32" s="3"/>
      <ns0:c r="M32" s="3"/>
      <ns0:c r="N32" s="3"/>
      <ns0:c r="O32" s="3"/>
      <ns0:c r="P32" s="2"/>
      <ns0:c r="Q32" s="2"/>
      <ns0:c r="R32" s="2"/>
      <ns0:c r="S32" s="2"/>
      <ns0:c r="T32" s="2"/>
      <ns0:c r="U32" s="2"/>
      <ns0:c r="V32" s="2"/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/>
      <ns0:c r="B33" s="2" t="inlineStr">
        <ns0:is>
          <ns0:t>管理费用</ns0:t>
        </ns0:is>
      </ns0:c>
      <ns0:c r="C33" s="3"/>
      <ns0:c r="D33" s="3"/>
      <ns0:c r="E33" s="3"/>
      <ns0:c r="F33" s="3"/>
      <ns0:c r="G33" s="3"/>
      <ns0:c r="H33" s="3"/>
      <ns0:c r="I33" s="3"/>
      <ns0:c r="J33" s="3"/>
      <ns0:c r="K33" s="3"/>
      <ns0:c r="L33" s="3"/>
      <ns0:c r="M33" s="3"/>
      <ns0:c r="N33" s="3"/>
      <ns0:c r="O33" s="3"/>
      <ns0:c r="P33" s="2"/>
      <ns0:c r="Q33" s="2"/>
      <ns0:c r="R33" s="2"/>
      <ns0:c r="S33" s="2"/>
      <ns0:c r="T33" s="2"/>
      <ns0:c r="U33" s="2"/>
      <ns0:c r="V33" s="2"/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/>
      <ns0:c r="B34" s="2"/>
      <ns0:c r="C34" s="3"/>
      <ns0:c r="D34" s="3"/>
      <ns0:c r="E34" s="3"/>
      <ns0:c r="F34" s="3"/>
      <ns0:c r="G34" s="3"/>
      <ns0:c r="H34" s="3"/>
      <ns0:c r="I34" s="3"/>
      <ns0:c r="J34" s="3"/>
      <ns0:c r="K34" s="3"/>
      <ns0:c r="L34" s="3"/>
      <ns0:c r="M34" s="3"/>
      <ns0:c r="N34" s="3"/>
      <ns0:c r="O34" s="3"/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/>
      <ns0:c r="B35" s="2" t="inlineStr">
        <ns0:is>
          <ns0:t>管理费用</ns0:t>
        </ns0:is>
      </ns0:c>
      <ns0:c r="C35" s="3"/>
      <ns0:c r="D35" s="3"/>
      <ns0:c r="E35" s="3"/>
      <ns0:c r="F35" s="3"/>
      <ns0:c r="G35" s="3"/>
      <ns0:c r="H35" s="3"/>
      <ns0:c r="I35" s="3"/>
      <ns0:c r="J35" s="3"/>
      <ns0:c r="K35" s="3"/>
      <ns0:c r="L35" s="3"/>
      <ns0:c r="M35" s="3"/>
      <ns0:c r="N35" s="3"/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/>
      <ns0:c r="B36" s="2"/>
      <ns0:c r="C36" s="3"/>
      <ns0:c r="D36" s="3"/>
      <ns0:c r="E36" s="3"/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/>
      <ns0:c r="C37" s="3"/>
      <ns0:c r="D37" s="3"/>
      <ns0:c r="E37" s="3"/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 t="inlineStr">
        <ns0:is>
          <ns0:t>管理费用</ns0:t>
        </ns0:is>
      </ns0:c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 t="inlineStr">
        <ns0:is>
          <ns0:t>管理费用</ns0:t>
        </ns0:is>
      </ns0:c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 t="inlineStr">
        <ns0:is>
          <ns0:t>管理费用</ns0:t>
        </ns0:is>
      </ns0:c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 t="inlineStr">
        <ns0:is>
          <ns0:t>管理费用</ns0:t>
        </ns0:is>
      </ns0:c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/>
      <ns0:c r="C60" s="6"/>
      <ns0:c r="D60" s="6"/>
      <ns0:c r="E60" s="6"/>
      <ns0:c r="F60" s="6"/>
      <ns0:c r="G60" s="6"/>
      <ns0:c r="H60" s="6"/>
      <ns0:c r="I60" s="6"/>
      <ns0:c r="J60" s="6"/>
      <ns0:c r="K60" s="6"/>
      <ns0:c r="L60" s="6"/>
      <ns0:c r="M60" s="6"/>
      <ns0:c r="N60" s="6"/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/>
      <ns0:c r="C61" s="3"/>
      <ns0:c r="D61" s="3"/>
      <ns0:c r="E61" s="3"/>
      <ns0:c r="F61" s="3"/>
      <ns0:c r="G61" s="3"/>
      <ns0:c r="H61" s="3"/>
      <ns0:c r="I61" s="3"/>
      <ns0:c r="J61" s="3"/>
      <ns0:c r="K61" s="3"/>
      <ns0:c r="L61" s="3"/>
      <ns0:c r="M61" s="3"/>
      <ns0:c r="N61" s="3"/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/>
      <ns0:c r="C62" s="3"/>
      <ns0:c r="D62" s="3"/>
      <ns0:c r="E62" s="3"/>
      <ns0:c r="F62" s="3"/>
      <ns0:c r="G62" s="3"/>
      <ns0:c r="H62" s="3"/>
      <ns0:c r="I62" s="3"/>
      <ns0:c r="J62" s="3"/>
      <ns0:c r="K62" s="3"/>
      <ns0:c r="L62" s="3"/>
      <ns0:c r="M62" s="3"/>
      <ns0:c r="N62" s="3"/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/>
      <ns0:c r="C63" s="3"/>
      <ns0:c r="D63" s="3"/>
      <ns0:c r="E63" s="3"/>
      <ns0:c r="F63" s="3"/>
      <ns0:c r="G63" s="3"/>
      <ns0:c r="H63" s="3"/>
      <ns0:c r="I63" s="3"/>
      <ns0:c r="J63" s="3"/>
      <ns0:c r="K63" s="3"/>
      <ns0:c r="L63" s="3"/>
      <ns0:c r="M63" s="3"/>
      <ns0:c r="N63" s="3"/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/>
      <ns0:c r="C64" s="3"/>
      <ns0:c r="D64" s="3"/>
      <ns0:c r="E64" s="3"/>
      <ns0:c r="F64" s="3"/>
      <ns0:c r="G64" s="3"/>
      <ns0:c r="H64" s="3"/>
      <ns0:c r="I64" s="3"/>
      <ns0:c r="J64" s="3"/>
      <ns0:c r="K64" s="3"/>
      <ns0:c r="L64" s="3"/>
      <ns0:c r="M64" s="3"/>
      <ns0:c r="N64" s="3"/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/>
      <ns0:c r="C65" s="3"/>
      <ns0:c r="D65" s="3"/>
      <ns0:c r="E65" s="3"/>
      <ns0:c r="F65" s="3"/>
      <ns0:c r="G65" s="3"/>
      <ns0:c r="H65" s="3"/>
      <ns0:c r="I65" s="3"/>
      <ns0:c r="J65" s="3"/>
      <ns0:c r="K65" s="3"/>
      <ns0:c r="L65" s="3"/>
      <ns0:c r="M65" s="3"/>
      <ns0:c r="N65" s="3"/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/>
      <ns0:c r="C66" s="3"/>
      <ns0:c r="D66" s="3"/>
      <ns0:c r="E66" s="3"/>
      <ns0:c r="F66" s="3"/>
      <ns0:c r="G66" s="3"/>
      <ns0:c r="H66" s="3"/>
      <ns0:c r="I66" s="3"/>
      <ns0:c r="J66" s="3"/>
      <ns0:c r="K66" s="3"/>
      <ns0:c r="L66" s="3"/>
      <ns0:c r="M66" s="3"/>
      <ns0:c r="N66" s="3"/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/>
      <ns0:c r="C67" s="3"/>
      <ns0:c r="D67" s="3"/>
      <ns0:c r="E67" s="3"/>
      <ns0:c r="F67" s="3"/>
      <ns0:c r="G67" s="3"/>
      <ns0:c r="H67" s="3"/>
      <ns0:c r="I67" s="3"/>
      <ns0:c r="J67" s="3"/>
      <ns0:c r="K67" s="3"/>
      <ns0:c r="L67" s="3"/>
      <ns0:c r="M67" s="3"/>
      <ns0:c r="N67" s="3"/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/>
      <ns0:c r="C68" s="3"/>
      <ns0:c r="D68" s="3"/>
      <ns0:c r="E68" s="3"/>
      <ns0:c r="F68" s="3"/>
      <ns0:c r="G68" s="3"/>
      <ns0:c r="H68" s="3"/>
      <ns0:c r="I68" s="3"/>
      <ns0:c r="J68" s="3"/>
      <ns0:c r="K68" s="3"/>
      <ns0:c r="L68" s="3"/>
      <ns0:c r="M68" s="3"/>
      <ns0:c r="N68" s="3"/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 t="inlineStr">
        <ns0:is>
          <ns0:t>管理费用</ns0:t>
        </ns0:is>
      </ns0:c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 t="inlineStr">
        <ns0:is>
          <ns0:t>利息支出</ns0:t>
        </ns0:is>
      </ns0:c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 t="inlineStr">
        <ns0:is>
          <ns0:t>财务费用</ns0:t>
        </ns0:is>
      </ns0:c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 t="inlineStr">
        <ns0:is>
          <ns0:t>期间</ns0:t>
        </ns0:is>
      </ns0:c>
      <ns0:c r="B150" s="2" t="inlineStr">
        <ns0:is>
          <ns0:t>科目</ns0:t>
        </ns0:is>
      </ns0:c>
      <ns0:c r="C150" s="3" t="inlineStr">
        <ns0:is>
          <ns0:t>借方</ns0:t>
        </ns0:is>
      </ns0:c>
      <ns0:c r="D150" s="3" t="inlineStr">
        <ns0:is>
          <ns0:t>贷方</ns0:t>
        </ns0:is>
      </ns0:c>
      <ns0:c r="E150" s="3" t="inlineStr">
        <ns0:is>
          <ns0:t>说明</ns0:t>
        </ns0:is>
      </ns0:c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 t="inlineStr">
        <ns0:is>
          <ns0:t>2027-01</ns0:t>
        </ns0:is>
      </ns0:c>
      <ns0:c r="B151" s="2" t="inlineStr">
        <ns0:is>
          <ns0:t>银行存款</ns0:t>
        </ns0:is>
      </ns0:c>
      <ns0:c r="C151" s="3">
        <ns0:f>'利润表'!C61</ns0:f>
        <ns0:v>467361.50</ns0:v>
      </ns0:c>
      <ns0:c r="D151" s="3">
        <ns0:f>0</ns0:f>
        <ns0:v>0</ns0:v>
      </ns0:c>
      <ns0:c r="E151" s="3" t="inlineStr">
        <ns0:is>
          <ns0:t>占位收入分录，非完整总账</ns0:t>
        </ns0:is>
      </ns0:c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 t="inlineStr">
        <ns0:is>
          <ns0:t>主营业务收入</ns0:t>
        </ns0:is>
      </ns0:c>
      <ns0:c r="C152" s="3">
        <ns0:f>0</ns0:f>
        <ns0:v>0</ns0:v>
      </ns0:c>
      <ns0:c r="D152" s="3">
        <ns0:f>C151</ns0:f>
        <ns0:v>467361.50</ns0:v>
      </ns0:c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 t="inlineStr">
        <ns0:is>
          <ns0:t>2027-02</ns0:t>
        </ns0:is>
      </ns0:c>
      <ns0:c r="B153" s="2" t="inlineStr">
        <ns0:is>
          <ns0:t>银行存款</ns0:t>
        </ns0:is>
      </ns0:c>
      <ns0:c r="C153" s="3">
        <ns0:f>'利润表'!D61</ns0:f>
        <ns0:v>375509.79</ns0:v>
      </ns0:c>
      <ns0:c r="D153" s="3">
        <ns0:f>0</ns0:f>
        <ns0:v>0</ns0:v>
      </ns0:c>
      <ns0:c r="E153" s="3" t="inlineStr">
        <ns0:is>
          <ns0:t>占位收入分录，非完整总账</ns0:t>
        </ns0:is>
      </ns0:c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 t="inlineStr">
        <ns0:is>
          <ns0:t>主营业务收入</ns0:t>
        </ns0:is>
      </ns0:c>
      <ns0:c r="C154" s="3">
        <ns0:f>0</ns0:f>
        <ns0:v>0</ns0:v>
      </ns0:c>
      <ns0:c r="D154" s="3">
        <ns0:f>C153</ns0:f>
        <ns0:v>375509.79</ns0:v>
      </ns0:c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 t="inlineStr">
        <ns0:is>
          <ns0:t>2027-03</ns0:t>
        </ns0:is>
      </ns0:c>
      <ns0:c r="B155" s="2" t="inlineStr">
        <ns0:is>
          <ns0:t>银行存款</ns0:t>
        </ns0:is>
      </ns0:c>
      <ns0:c r="C155" s="3">
        <ns0:f>'利润表'!E61</ns0:f>
        <ns0:v>525981.56</ns0:v>
      </ns0:c>
      <ns0:c r="D155" s="3">
        <ns0:f>0</ns0:f>
        <ns0:v>0</ns0:v>
      </ns0:c>
      <ns0:c r="E155" s="3" t="inlineStr">
        <ns0:is>
          <ns0:t>占位收入分录，非完整总账</ns0:t>
        </ns0:is>
      </ns0:c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 t="inlineStr">
        <ns0:is>
          <ns0:t>主营业务收入</ns0:t>
        </ns0:is>
      </ns0:c>
      <ns0:c r="C156" s="3">
        <ns0:f>0</ns0:f>
        <ns0:v>0</ns0:v>
      </ns0:c>
      <ns0:c r="D156" s="3">
        <ns0:f>C155</ns0:f>
        <ns0:v>525981.56</ns0:v>
      </ns0:c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 t="inlineStr">
        <ns0:is>
          <ns0:t>2027-04</ns0:t>
        </ns0:is>
      </ns0:c>
      <ns0:c r="B157" s="2" t="inlineStr">
        <ns0:is>
          <ns0:t>银行存款</ns0:t>
        </ns0:is>
      </ns0:c>
      <ns0:c r="C157" s="3">
        <ns0:f>'利润表'!F61</ns0:f>
        <ns0:v>320905.29</ns0:v>
      </ns0:c>
      <ns0:c r="D157" s="3">
        <ns0:f>0</ns0:f>
        <ns0:v>0</ns0:v>
      </ns0:c>
      <ns0:c r="E157" s="3" t="inlineStr">
        <ns0:is>
          <ns0:t>占位收入分录，非完整总账</ns0:t>
        </ns0:is>
      </ns0:c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 t="inlineStr">
        <ns0:is>
          <ns0:t>主营业务收入</ns0:t>
        </ns0:is>
      </ns0:c>
      <ns0:c r="C158" s="3">
        <ns0:f>0</ns0:f>
        <ns0:v>0</ns0:v>
      </ns0:c>
      <ns0:c r="D158" s="3">
        <ns0:f>C157</ns0:f>
        <ns0:v>320905.29</ns0:v>
      </ns0:c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 t="inlineStr">
        <ns0:is>
          <ns0:t>2027-05</ns0:t>
        </ns0:is>
      </ns0:c>
      <ns0:c r="B159" s="2" t="inlineStr">
        <ns0:is>
          <ns0:t>银行存款</ns0:t>
        </ns0:is>
      </ns0:c>
      <ns0:c r="C159" s="3">
        <ns0:f>'利润表'!G61</ns0:f>
        <ns0:v>551813.28</ns0:v>
      </ns0:c>
      <ns0:c r="D159" s="3">
        <ns0:f>0</ns0:f>
        <ns0:v>0</ns0:v>
      </ns0:c>
      <ns0:c r="E159" s="3" t="inlineStr">
        <ns0:is>
          <ns0:t>占位收入分录，非完整总账</ns0:t>
        </ns0:is>
      </ns0:c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 t="inlineStr">
        <ns0:is>
          <ns0:t>主营业务收入</ns0:t>
        </ns0:is>
      </ns0:c>
      <ns0:c r="C160" s="3">
        <ns0:f>0</ns0:f>
        <ns0:v>0</ns0:v>
      </ns0:c>
      <ns0:c r="D160" s="3">
        <ns0:f>C159</ns0:f>
        <ns0:v>551813.28</ns0:v>
      </ns0:c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 t="inlineStr">
        <ns0:is>
          <ns0:t>2027-06</ns0:t>
        </ns0:is>
      </ns0:c>
      <ns0:c r="B161" s="2" t="inlineStr">
        <ns0:is>
          <ns0:t>银行存款</ns0:t>
        </ns0:is>
      </ns0:c>
      <ns0:c r="C161" s="3">
        <ns0:f>'利润表'!H61</ns0:f>
        <ns0:v>400759.10</ns0:v>
      </ns0:c>
      <ns0:c r="D161" s="3">
        <ns0:f>0</ns0:f>
        <ns0:v>0</ns0:v>
      </ns0:c>
      <ns0:c r="E161" s="3" t="inlineStr">
        <ns0:is>
          <ns0:t>占位收入分录，非完整总账</ns0:t>
        </ns0:is>
      </ns0:c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 t="inlineStr">
        <ns0:is>
          <ns0:t>主营业务收入</ns0:t>
        </ns0:is>
      </ns0:c>
      <ns0:c r="C162" s="3">
        <ns0:f>0</ns0:f>
        <ns0:v>0</ns0:v>
      </ns0:c>
      <ns0:c r="D162" s="3">
        <ns0:f>C161</ns0:f>
        <ns0:v>400759.10</ns0:v>
      </ns0:c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 t="inlineStr">
        <ns0:is>
          <ns0:t>2027-07</ns0:t>
        </ns0:is>
      </ns0:c>
      <ns0:c r="B163" s="2" t="inlineStr">
        <ns0:is>
          <ns0:t>银行存款</ns0:t>
        </ns0:is>
      </ns0:c>
      <ns0:c r="C163" s="3">
        <ns0:f>'利润表'!I61</ns0:f>
        <ns0:v>383810.11</ns0:v>
      </ns0:c>
      <ns0:c r="D163" s="3">
        <ns0:f>0</ns0:f>
        <ns0:v>0</ns0:v>
      </ns0:c>
      <ns0:c r="E163" s="3" t="inlineStr">
        <ns0:is>
          <ns0:t>占位收入分录，非完整总账</ns0:t>
        </ns0:is>
      </ns0:c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 t="inlineStr">
        <ns0:is>
          <ns0:t>主营业务收入</ns0:t>
        </ns0:is>
      </ns0:c>
      <ns0:c r="C164" s="3">
        <ns0:f>0</ns0:f>
        <ns0:v>0</ns0:v>
      </ns0:c>
      <ns0:c r="D164" s="3">
        <ns0:f>C163</ns0:f>
        <ns0:v>383810.11</ns0:v>
      </ns0:c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 t="inlineStr">
        <ns0:is>
          <ns0:t>2027-08</ns0:t>
        </ns0:is>
      </ns0:c>
      <ns0:c r="B165" s="2" t="inlineStr">
        <ns0:is>
          <ns0:t>银行存款</ns0:t>
        </ns0:is>
      </ns0:c>
      <ns0:c r="C165" s="3">
        <ns0:f>'利润表'!J61</ns0:f>
        <ns0:v>502083.48</ns0:v>
      </ns0:c>
      <ns0:c r="D165" s="3">
        <ns0:f>0</ns0:f>
        <ns0:v>0</ns0:v>
      </ns0:c>
      <ns0:c r="E165" s="3" t="inlineStr">
        <ns0:is>
          <ns0:t>占位收入分录，非完整总账</ns0:t>
        </ns0:is>
      </ns0:c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 t="inlineStr">
        <ns0:is>
          <ns0:t>主营业务收入</ns0:t>
        </ns0:is>
      </ns0:c>
      <ns0:c r="C166" s="3">
        <ns0:f>0</ns0:f>
        <ns0:v>0</ns0:v>
      </ns0:c>
      <ns0:c r="D166" s="3">
        <ns0:f>C165</ns0:f>
        <ns0:v>502083.48</ns0:v>
      </ns0:c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 t="inlineStr">
        <ns0:is>
          <ns0:t>2027-09</ns0:t>
        </ns0:is>
      </ns0:c>
      <ns0:c r="B167" s="2" t="inlineStr">
        <ns0:is>
          <ns0:t>银行存款</ns0:t>
        </ns0:is>
      </ns0:c>
      <ns0:c r="C167" s="3">
        <ns0:f>'利润表'!K61</ns0:f>
        <ns0:v>366949.12</ns0:v>
      </ns0:c>
      <ns0:c r="D167" s="3">
        <ns0:f>0</ns0:f>
        <ns0:v>0</ns0:v>
      </ns0:c>
      <ns0:c r="E167" s="3" t="inlineStr">
        <ns0:is>
          <ns0:t>占位收入分录，非完整总账</ns0:t>
        </ns0:is>
      </ns0:c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 t="inlineStr">
        <ns0:is>
          <ns0:t>主营业务收入</ns0:t>
        </ns0:is>
      </ns0:c>
      <ns0:c r="C168" s="3">
        <ns0:f>0</ns0:f>
        <ns0:v>0</ns0:v>
      </ns0:c>
      <ns0:c r="D168" s="3">
        <ns0:f>C167</ns0:f>
        <ns0:v>366949.12</ns0:v>
      </ns0:c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 t="inlineStr">
        <ns0:is>
          <ns0:t>2027-10</ns0:t>
        </ns0:is>
      </ns0:c>
      <ns0:c r="B169" s="2" t="inlineStr">
        <ns0:is>
          <ns0:t>银行存款</ns0:t>
        </ns0:is>
      </ns0:c>
      <ns0:c r="C169" s="3">
        <ns0:f>'利润表'!L61</ns0:f>
        <ns0:v>380238.43</ns0:v>
      </ns0:c>
      <ns0:c r="D169" s="3">
        <ns0:f>0</ns0:f>
        <ns0:v>0</ns0:v>
      </ns0:c>
      <ns0:c r="E169" s="3" t="inlineStr">
        <ns0:is>
          <ns0:t>占位收入分录，非完整总账</ns0:t>
        </ns0:is>
      </ns0:c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 t="inlineStr">
        <ns0:is>
          <ns0:t>主营业务收入</ns0:t>
        </ns0:is>
      </ns0:c>
      <ns0:c r="C170" s="3">
        <ns0:f>0</ns0:f>
        <ns0:v>0</ns0:v>
      </ns0:c>
      <ns0:c r="D170" s="3">
        <ns0:f>C169</ns0:f>
        <ns0:v>380238.43</ns0:v>
      </ns0:c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 t="inlineStr">
        <ns0:is>
          <ns0:t>2027-11</ns0:t>
        </ns0:is>
      </ns0:c>
      <ns0:c r="B171" s="2" t="inlineStr">
        <ns0:is>
          <ns0:t>银行存款</ns0:t>
        </ns0:is>
      </ns0:c>
      <ns0:c r="C171" s="3">
        <ns0:f>'利润表'!M61</ns0:f>
        <ns0:v>331310.06</ns0:v>
      </ns0:c>
      <ns0:c r="D171" s="3">
        <ns0:f>0</ns0:f>
        <ns0:v>0</ns0:v>
      </ns0:c>
      <ns0:c r="E171" s="3" t="inlineStr">
        <ns0:is>
          <ns0:t>占位收入分录，非完整总账</ns0:t>
        </ns0:is>
      </ns0:c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 t="inlineStr">
        <ns0:is>
          <ns0:t>主营业务收入</ns0:t>
        </ns0:is>
      </ns0:c>
      <ns0:c r="C172" s="3">
        <ns0:f>0</ns0:f>
        <ns0:v>0</ns0:v>
      </ns0:c>
      <ns0:c r="D172" s="3">
        <ns0:f>C171</ns0:f>
        <ns0:v>331310.06</ns0:v>
      </ns0:c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 t="inlineStr">
        <ns0:is>
          <ns0:t>2027-12</ns0:t>
        </ns0:is>
      </ns0:c>
      <ns0:c r="B173" s="2" t="inlineStr">
        <ns0:is>
          <ns0:t>银行存款</ns0:t>
        </ns0:is>
      </ns0:c>
      <ns0:c r="C173" s="3">
        <ns0:f>'利润表'!N61</ns0:f>
        <ns0:v>437933.73</ns0:v>
      </ns0:c>
      <ns0:c r="D173" s="3">
        <ns0:f>0</ns0:f>
        <ns0:v>0</ns0:v>
      </ns0:c>
      <ns0:c r="E173" s="3" t="inlineStr">
        <ns0:is>
          <ns0:t>占位收入分录，非完整总账</ns0:t>
        </ns0:is>
      </ns0:c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 t="inlineStr">
        <ns0:is>
          <ns0:t>主营业务收入</ns0:t>
        </ns0:is>
      </ns0:c>
      <ns0:c r="C174" s="3">
        <ns0:f>0</ns0:f>
        <ns0:v>0</ns0:v>
      </ns0:c>
      <ns0:c r="D174" s="3">
        <ns0:f>C173</ns0:f>
        <ns0:v>437933.73</ns0:v>
      </ns0:c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/>
      <ns0:c r="C204" s="3"/>
      <ns0:c r="D204" s="3"/>
      <ns0:c r="E204" s="3"/>
      <ns0:c r="F204" s="3"/>
      <ns0:c r="G204" s="3"/>
      <ns0:c r="H204" s="3"/>
      <ns0:c r="I204" s="3"/>
      <ns0:c r="J204" s="3"/>
      <ns0:c r="K204" s="3"/>
      <ns0:c r="L204" s="3"/>
      <ns0:c r="M204" s="3"/>
      <ns0:c r="N204" s="3"/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/>
      <ns0:c r="C205" s="3"/>
      <ns0:c r="D205" s="3"/>
      <ns0:c r="E205" s="3"/>
      <ns0:c r="F205" s="3"/>
      <ns0:c r="G205" s="3"/>
      <ns0:c r="H205" s="3"/>
      <ns0:c r="I205" s="3"/>
      <ns0:c r="J205" s="3"/>
      <ns0:c r="K205" s="3"/>
      <ns0:c r="L205" s="3"/>
      <ns0:c r="M205" s="3"/>
      <ns0:c r="N205" s="3"/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/>
      <ns0:c r="C206" s="3"/>
      <ns0:c r="D206" s="3"/>
      <ns0:c r="E206" s="3"/>
      <ns0:c r="F206" s="3"/>
      <ns0:c r="G206" s="3"/>
      <ns0:c r="H206" s="3"/>
      <ns0:c r="I206" s="3"/>
      <ns0:c r="J206" s="3"/>
      <ns0:c r="K206" s="3"/>
      <ns0:c r="L206" s="3"/>
      <ns0:c r="M206" s="3"/>
      <ns0:c r="N206" s="3"/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/>
      <ns0:c r="C207" s="3"/>
      <ns0:c r="D207" s="3"/>
      <ns0:c r="E207" s="3"/>
      <ns0:c r="F207" s="3"/>
      <ns0:c r="G207" s="3"/>
      <ns0:c r="H207" s="3"/>
      <ns0:c r="I207" s="3"/>
      <ns0:c r="J207" s="3"/>
      <ns0:c r="K207" s="3"/>
      <ns0:c r="L207" s="3"/>
      <ns0:c r="M207" s="3"/>
      <ns0:c r="N207" s="3"/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/>
      <ns0:c r="C208" s="3"/>
      <ns0:c r="D208" s="3"/>
      <ns0:c r="E208" s="3"/>
      <ns0:c r="F208" s="3"/>
      <ns0:c r="G208" s="3"/>
      <ns0:c r="H208" s="3"/>
      <ns0:c r="I208" s="3"/>
      <ns0:c r="J208" s="3"/>
      <ns0:c r="K208" s="3"/>
      <ns0:c r="L208" s="3"/>
      <ns0:c r="M208" s="3"/>
      <ns0:c r="N208" s="3"/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/>
      <ns0:c r="C209" s="3"/>
      <ns0:c r="D209" s="3"/>
      <ns0:c r="E209" s="3"/>
      <ns0:c r="F209" s="3"/>
      <ns0:c r="G209" s="3"/>
      <ns0:c r="H209" s="3"/>
      <ns0:c r="I209" s="3"/>
      <ns0:c r="J209" s="3"/>
      <ns0:c r="K209" s="3"/>
      <ns0:c r="L209" s="3"/>
      <ns0:c r="M209" s="3"/>
      <ns0:c r="N209" s="3"/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/>
      <ns0:c r="C210" s="3"/>
      <ns0:c r="D210" s="3"/>
      <ns0:c r="E210" s="3"/>
      <ns0:c r="F210" s="3"/>
      <ns0:c r="G210" s="3"/>
      <ns0:c r="H210" s="3"/>
      <ns0:c r="I210" s="3"/>
      <ns0:c r="J210" s="3"/>
      <ns0:c r="K210" s="3"/>
      <ns0:c r="L210" s="3"/>
      <ns0:c r="M210" s="3"/>
      <ns0:c r="N210" s="3"/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/>
      <ns0:c r="C211" s="3"/>
      <ns0:c r="D211" s="3"/>
      <ns0:c r="E211" s="3"/>
      <ns0:c r="F211" s="3"/>
      <ns0:c r="G211" s="3"/>
      <ns0:c r="H211" s="3"/>
      <ns0:c r="I211" s="3"/>
      <ns0:c r="J211" s="3"/>
      <ns0:c r="K211" s="3"/>
      <ns0:c r="L211" s="3"/>
      <ns0:c r="M211" s="3"/>
      <ns0:c r="N211" s="3"/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/>
      <ns0:c r="C212" s="3"/>
      <ns0:c r="D212" s="3"/>
      <ns0:c r="E212" s="3"/>
      <ns0:c r="F212" s="3"/>
      <ns0:c r="G212" s="3"/>
      <ns0:c r="H212" s="3"/>
      <ns0:c r="I212" s="3"/>
      <ns0:c r="J212" s="3"/>
      <ns0:c r="K212" s="3"/>
      <ns0:c r="L212" s="3"/>
      <ns0:c r="M212" s="3"/>
      <ns0:c r="N212" s="3"/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/>
      <ns0:c r="C213" s="3"/>
      <ns0:c r="D213" s="3"/>
      <ns0:c r="E213" s="3"/>
      <ns0:c r="F213" s="3"/>
      <ns0:c r="G213" s="3"/>
      <ns0:c r="H213" s="3"/>
      <ns0:c r="I213" s="3"/>
      <ns0:c r="J213" s="3"/>
      <ns0:c r="K213" s="3"/>
      <ns0:c r="L213" s="3"/>
      <ns0:c r="M213" s="3"/>
      <ns0:c r="N213" s="3"/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/>
      <ns0:c r="C214" s="3"/>
      <ns0:c r="D214" s="3"/>
      <ns0:c r="E214" s="3"/>
      <ns0:c r="F214" s="3"/>
      <ns0:c r="G214" s="3"/>
      <ns0:c r="H214" s="3"/>
      <ns0:c r="I214" s="3"/>
      <ns0:c r="J214" s="3"/>
      <ns0:c r="K214" s="3"/>
      <ns0:c r="L214" s="3"/>
      <ns0:c r="M214" s="3"/>
      <ns0:c r="N214" s="3"/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/>
      <ns0:c r="C215" s="3"/>
      <ns0:c r="D215" s="3"/>
      <ns0:c r="E215" s="3"/>
      <ns0:c r="F215" s="3"/>
      <ns0:c r="G215" s="3"/>
      <ns0:c r="H215" s="3"/>
      <ns0:c r="I215" s="3"/>
      <ns0:c r="J215" s="3"/>
      <ns0:c r="K215" s="3"/>
      <ns0:c r="L215" s="3"/>
      <ns0:c r="M215" s="3"/>
      <ns0:c r="N215" s="3"/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/>
      <ns0:c r="C216" s="3"/>
      <ns0:c r="D216" s="3"/>
      <ns0:c r="E216" s="3"/>
      <ns0:c r="F216" s="3"/>
      <ns0:c r="G216" s="3"/>
      <ns0:c r="H216" s="3"/>
      <ns0:c r="I216" s="3"/>
      <ns0:c r="J216" s="3"/>
      <ns0:c r="K216" s="3"/>
      <ns0:c r="L216" s="3"/>
      <ns0:c r="M216" s="3"/>
      <ns0:c r="N216" s="3"/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/>
      <ns0:c r="C217" s="3"/>
      <ns0:c r="D217" s="3"/>
      <ns0:c r="E217" s="3"/>
      <ns0:c r="F217" s="3"/>
      <ns0:c r="G217" s="3"/>
      <ns0:c r="H217" s="3"/>
      <ns0:c r="I217" s="3"/>
      <ns0:c r="J217" s="3"/>
      <ns0:c r="K217" s="3"/>
      <ns0:c r="L217" s="3"/>
      <ns0:c r="M217" s="3"/>
      <ns0:c r="N217" s="3"/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/>
      <ns0:c r="C218" s="3"/>
      <ns0:c r="D218" s="3"/>
      <ns0:c r="E218" s="3"/>
      <ns0:c r="F218" s="3"/>
      <ns0:c r="G218" s="3"/>
      <ns0:c r="H218" s="3"/>
      <ns0:c r="I218" s="3"/>
      <ns0:c r="J218" s="3"/>
      <ns0:c r="K218" s="3"/>
      <ns0:c r="L218" s="3"/>
      <ns0:c r="M218" s="3"/>
      <ns0:c r="N218" s="3"/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/>
      <ns0:c r="C219" s="3"/>
      <ns0:c r="D219" s="3"/>
      <ns0:c r="E219" s="3"/>
      <ns0:c r="F219" s="3"/>
      <ns0:c r="G219" s="3"/>
      <ns0:c r="H219" s="3"/>
      <ns0:c r="I219" s="3"/>
      <ns0:c r="J219" s="3"/>
      <ns0:c r="K219" s="3"/>
      <ns0:c r="L219" s="3"/>
      <ns0:c r="M219" s="3"/>
      <ns0:c r="N219" s="3"/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/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/>
      <ns0:c r="C221" s="3"/>
      <ns0:c r="D221" s="3"/>
      <ns0:c r="E221" s="3"/>
      <ns0:c r="F221" s="3"/>
      <ns0:c r="G221" s="3"/>
      <ns0:c r="H221" s="3"/>
      <ns0:c r="I221" s="3"/>
      <ns0:c r="J221" s="3"/>
      <ns0:c r="K221" s="3"/>
      <ns0:c r="L221" s="3"/>
      <ns0:c r="M221" s="3"/>
      <ns0:c r="N221" s="3"/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/>
      <ns0:c r="C222" s="3"/>
      <ns0:c r="D222" s="3"/>
      <ns0:c r="E222" s="3"/>
      <ns0:c r="F222" s="3"/>
      <ns0:c r="G222" s="3"/>
      <ns0:c r="H222" s="3"/>
      <ns0:c r="I222" s="3"/>
      <ns0:c r="J222" s="3"/>
      <ns0:c r="K222" s="3"/>
      <ns0:c r="L222" s="3"/>
      <ns0:c r="M222" s="3"/>
      <ns0:c r="N222" s="3"/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/>
      <ns0:c r="C223" s="3"/>
      <ns0:c r="D223" s="3"/>
      <ns0:c r="E223" s="3"/>
      <ns0:c r="F223" s="3"/>
      <ns0:c r="G223" s="3"/>
      <ns0:c r="H223" s="3"/>
      <ns0:c r="I223" s="3"/>
      <ns0:c r="J223" s="3"/>
      <ns0:c r="K223" s="3"/>
      <ns0:c r="L223" s="3"/>
      <ns0:c r="M223" s="3"/>
      <ns0:c r="N223" s="3"/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/>
      <ns0:c r="C224" s="3"/>
      <ns0:c r="D224" s="3"/>
      <ns0:c r="E224" s="3"/>
      <ns0:c r="F224" s="3"/>
      <ns0:c r="G224" s="3"/>
      <ns0:c r="H224" s="3"/>
      <ns0:c r="I224" s="3"/>
      <ns0:c r="J224" s="3"/>
      <ns0:c r="K224" s="3"/>
      <ns0:c r="L224" s="3"/>
      <ns0:c r="M224" s="3"/>
      <ns0:c r="N224" s="3"/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/>
      <ns0:c r="C225" s="3"/>
      <ns0:c r="D225" s="3"/>
      <ns0:c r="E225" s="3"/>
      <ns0:c r="F225" s="3"/>
      <ns0:c r="G225" s="3"/>
      <ns0:c r="H225" s="3"/>
      <ns0:c r="I225" s="3"/>
      <ns0:c r="J225" s="3"/>
      <ns0:c r="K225" s="3"/>
      <ns0:c r="L225" s="3"/>
      <ns0:c r="M225" s="3"/>
      <ns0:c r="N225" s="3"/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/>
      <ns0:c r="C226" s="3"/>
      <ns0:c r="D226" s="3"/>
      <ns0:c r="E226" s="3"/>
      <ns0:c r="F226" s="3"/>
      <ns0:c r="G226" s="3"/>
      <ns0:c r="H226" s="3"/>
      <ns0:c r="I226" s="3"/>
      <ns0:c r="J226" s="3"/>
      <ns0:c r="K226" s="3"/>
      <ns0:c r="L226" s="3"/>
      <ns0:c r="M226" s="3"/>
      <ns0:c r="N226" s="3"/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/>
      <ns0:c r="C227" s="3"/>
      <ns0:c r="D227" s="3"/>
      <ns0:c r="E227" s="3"/>
      <ns0:c r="F227" s="3"/>
      <ns0:c r="G227" s="3"/>
      <ns0:c r="H227" s="3"/>
      <ns0:c r="I227" s="3"/>
      <ns0:c r="J227" s="3"/>
      <ns0:c r="K227" s="3"/>
      <ns0:c r="L227" s="3"/>
      <ns0:c r="M227" s="3"/>
      <ns0:c r="N227" s="3"/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/>
      <ns0:c r="C228" s="3"/>
      <ns0:c r="D228" s="3"/>
      <ns0:c r="E228" s="3"/>
      <ns0:c r="F228" s="3"/>
      <ns0:c r="G228" s="3"/>
      <ns0:c r="H228" s="3"/>
      <ns0:c r="I228" s="3"/>
      <ns0:c r="J228" s="3"/>
      <ns0:c r="K228" s="3"/>
      <ns0:c r="L228" s="3"/>
      <ns0:c r="M228" s="3"/>
      <ns0:c r="N228" s="3"/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/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/>
      <ns0:c r="C230" s="3"/>
      <ns0:c r="D230" s="3"/>
      <ns0:c r="E230" s="3"/>
      <ns0:c r="F230" s="3"/>
      <ns0:c r="G230" s="3"/>
      <ns0:c r="H230" s="3"/>
      <ns0:c r="I230" s="3"/>
      <ns0:c r="J230" s="3"/>
      <ns0:c r="K230" s="3"/>
      <ns0:c r="L230" s="3"/>
      <ns0:c r="M230" s="3"/>
      <ns0:c r="N230" s="3"/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/>
      <ns0:c r="C231" s="3"/>
      <ns0:c r="D231" s="3"/>
      <ns0:c r="E231" s="3"/>
      <ns0:c r="F231" s="3"/>
      <ns0:c r="G231" s="3"/>
      <ns0:c r="H231" s="3"/>
      <ns0:c r="I231" s="3"/>
      <ns0:c r="J231" s="3"/>
      <ns0:c r="K231" s="3"/>
      <ns0:c r="L231" s="3"/>
      <ns0:c r="M231" s="3"/>
      <ns0:c r="N231" s="3"/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/>
      <ns0:c r="C232" s="3"/>
      <ns0:c r="D232" s="3"/>
      <ns0:c r="E232" s="3"/>
      <ns0:c r="F232" s="3"/>
      <ns0:c r="G232" s="3"/>
      <ns0:c r="H232" s="3"/>
      <ns0:c r="I232" s="3"/>
      <ns0:c r="J232" s="3"/>
      <ns0:c r="K232" s="3"/>
      <ns0:c r="L232" s="3"/>
      <ns0:c r="M232" s="3"/>
      <ns0:c r="N232" s="3"/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/>
      <ns0:c r="C233" s="3"/>
      <ns0:c r="D233" s="3"/>
      <ns0:c r="E233" s="3"/>
      <ns0:c r="F233" s="3"/>
      <ns0:c r="G233" s="3"/>
      <ns0:c r="H233" s="3"/>
      <ns0:c r="I233" s="3"/>
      <ns0:c r="J233" s="3"/>
      <ns0:c r="K233" s="3"/>
      <ns0:c r="L233" s="3"/>
      <ns0:c r="M233" s="3"/>
      <ns0:c r="N233" s="3"/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/>
      <ns0:c r="C324" s="3"/>
      <ns0:c r="D324" s="3"/>
      <ns0:c r="E324" s="3"/>
      <ns0:c r="F324" s="3"/>
      <ns0:c r="G324" s="3"/>
      <ns0:c r="H324" s="3"/>
      <ns0:c r="I324" s="3"/>
      <ns0:c r="J324" s="3"/>
      <ns0:c r="K324" s="3"/>
      <ns0:c r="L324" s="3"/>
      <ns0:c r="M324" s="3"/>
      <ns0:c r="N324" s="3"/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/>
      <ns0:c r="C325" s="3"/>
      <ns0:c r="D325" s="3"/>
      <ns0:c r="E325" s="3"/>
      <ns0:c r="F325" s="3"/>
      <ns0:c r="G325" s="3"/>
      <ns0:c r="H325" s="3"/>
      <ns0:c r="I325" s="3"/>
      <ns0:c r="J325" s="3"/>
      <ns0:c r="K325" s="3"/>
      <ns0:c r="L325" s="3"/>
      <ns0:c r="M325" s="3"/>
      <ns0:c r="N325" s="3"/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/>
      <ns0:c r="C326" s="3"/>
      <ns0:c r="D326" s="3"/>
      <ns0:c r="E326" s="3"/>
      <ns0:c r="F326" s="3"/>
      <ns0:c r="G326" s="3"/>
      <ns0:c r="H326" s="3"/>
      <ns0:c r="I326" s="3"/>
      <ns0:c r="J326" s="3"/>
      <ns0:c r="K326" s="3"/>
      <ns0:c r="L326" s="3"/>
      <ns0:c r="M326" s="3"/>
      <ns0:c r="N326" s="3"/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/>
      <ns0:c r="C327" s="3"/>
      <ns0:c r="D327" s="3"/>
      <ns0:c r="E327" s="3"/>
      <ns0:c r="F327" s="3"/>
      <ns0:c r="G327" s="3"/>
      <ns0:c r="H327" s="3"/>
      <ns0:c r="I327" s="3"/>
      <ns0:c r="J327" s="3"/>
      <ns0:c r="K327" s="3"/>
      <ns0:c r="L327" s="3"/>
      <ns0:c r="M327" s="3"/>
      <ns0:c r="N327" s="3"/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/>
      <ns0:c r="C328" s="3"/>
      <ns0:c r="D328" s="3"/>
      <ns0:c r="E328" s="3"/>
      <ns0:c r="F328" s="3"/>
      <ns0:c r="G328" s="3"/>
      <ns0:c r="H328" s="3"/>
      <ns0:c r="I328" s="3"/>
      <ns0:c r="J328" s="3"/>
      <ns0:c r="K328" s="3"/>
      <ns0:c r="L328" s="3"/>
      <ns0:c r="M328" s="3"/>
      <ns0:c r="N328" s="3"/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/>
      <ns0:c r="C329" s="3"/>
      <ns0:c r="D329" s="3"/>
      <ns0:c r="E329" s="3"/>
      <ns0:c r="F329" s="3"/>
      <ns0:c r="G329" s="3"/>
      <ns0:c r="H329" s="3"/>
      <ns0:c r="I329" s="3"/>
      <ns0:c r="J329" s="3"/>
      <ns0:c r="K329" s="3"/>
      <ns0:c r="L329" s="3"/>
      <ns0:c r="M329" s="3"/>
      <ns0:c r="N329" s="3"/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/>
      <ns0:c r="C330" s="3"/>
      <ns0:c r="D330" s="3"/>
      <ns0:c r="E330" s="3"/>
      <ns0:c r="F330" s="3"/>
      <ns0:c r="G330" s="3"/>
      <ns0:c r="H330" s="3"/>
      <ns0:c r="I330" s="3"/>
      <ns0:c r="J330" s="3"/>
      <ns0:c r="K330" s="3"/>
      <ns0:c r="L330" s="3"/>
      <ns0:c r="M330" s="3"/>
      <ns0:c r="N330" s="3"/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/>
      <ns0:c r="C331" s="3"/>
      <ns0:c r="D331" s="3"/>
      <ns0:c r="E331" s="3"/>
      <ns0:c r="F331" s="3"/>
      <ns0:c r="G331" s="3"/>
      <ns0:c r="H331" s="3"/>
      <ns0:c r="I331" s="3"/>
      <ns0:c r="J331" s="3"/>
      <ns0:c r="K331" s="3"/>
      <ns0:c r="L331" s="3"/>
      <ns0:c r="M331" s="3"/>
      <ns0:c r="N331" s="3"/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/>
      <ns0:c r="C332" s="3"/>
      <ns0:c r="D332" s="3"/>
      <ns0:c r="E332" s="3"/>
      <ns0:c r="F332" s="3"/>
      <ns0:c r="G332" s="3"/>
      <ns0:c r="H332" s="3"/>
      <ns0:c r="I332" s="3"/>
      <ns0:c r="J332" s="3"/>
      <ns0:c r="K332" s="3"/>
      <ns0:c r="L332" s="3"/>
      <ns0:c r="M332" s="3"/>
      <ns0:c r="N332" s="3"/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/>
      <ns0:c r="C333" s="3"/>
      <ns0:c r="D333" s="3"/>
      <ns0:c r="E333" s="3"/>
      <ns0:c r="F333" s="3"/>
      <ns0:c r="G333" s="3"/>
      <ns0:c r="H333" s="3"/>
      <ns0:c r="I333" s="3"/>
      <ns0:c r="J333" s="3"/>
      <ns0:c r="K333" s="3"/>
      <ns0:c r="L333" s="3"/>
      <ns0:c r="M333" s="3"/>
      <ns0:c r="N333" s="3"/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/>
      <ns0:c r="C334" s="3"/>
      <ns0:c r="D334" s="3"/>
      <ns0:c r="E334" s="3"/>
      <ns0:c r="F334" s="3"/>
      <ns0:c r="G334" s="3"/>
      <ns0:c r="H334" s="3"/>
      <ns0:c r="I334" s="3"/>
      <ns0:c r="J334" s="3"/>
      <ns0:c r="K334" s="3"/>
      <ns0:c r="L334" s="3"/>
      <ns0:c r="M334" s="3"/>
      <ns0:c r="N334" s="3"/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/>
      <ns0:c r="C335" s="3"/>
      <ns0:c r="D335" s="3"/>
      <ns0:c r="E335" s="3"/>
      <ns0:c r="F335" s="3"/>
      <ns0:c r="G335" s="3"/>
      <ns0:c r="H335" s="3"/>
      <ns0:c r="I335" s="3"/>
      <ns0:c r="J335" s="3"/>
      <ns0:c r="K335" s="3"/>
      <ns0:c r="L335" s="3"/>
      <ns0:c r="M335" s="3"/>
      <ns0:c r="N335" s="3"/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/>
      <ns0:c r="C336" s="3"/>
      <ns0:c r="D336" s="3"/>
      <ns0:c r="E336" s="3"/>
      <ns0:c r="F336" s="3"/>
      <ns0:c r="G336" s="3"/>
      <ns0:c r="H336" s="3"/>
      <ns0:c r="I336" s="3"/>
      <ns0:c r="J336" s="3"/>
      <ns0:c r="K336" s="3"/>
      <ns0:c r="L336" s="3"/>
      <ns0:c r="M336" s="3"/>
      <ns0:c r="N336" s="3"/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/>
      <ns0:c r="C337" s="3"/>
      <ns0:c r="D337" s="3"/>
      <ns0:c r="E337" s="3"/>
      <ns0:c r="F337" s="3"/>
      <ns0:c r="G337" s="3"/>
      <ns0:c r="H337" s="3"/>
      <ns0:c r="I337" s="3"/>
      <ns0:c r="J337" s="3"/>
      <ns0:c r="K337" s="3"/>
      <ns0:c r="L337" s="3"/>
      <ns0:c r="M337" s="3"/>
      <ns0:c r="N337" s="3"/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/>
      <ns0:c r="C338" s="3"/>
      <ns0:c r="D338" s="3"/>
      <ns0:c r="E338" s="3"/>
      <ns0:c r="F338" s="3"/>
      <ns0:c r="G338" s="3"/>
      <ns0:c r="H338" s="3"/>
      <ns0:c r="I338" s="3"/>
      <ns0:c r="J338" s="3"/>
      <ns0:c r="K338" s="3"/>
      <ns0:c r="L338" s="3"/>
      <ns0:c r="M338" s="3"/>
      <ns0:c r="N338" s="3"/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/>
      <ns0:c r="C339" s="3"/>
      <ns0:c r="D339" s="3"/>
      <ns0:c r="E339" s="3"/>
      <ns0:c r="F339" s="3"/>
      <ns0:c r="G339" s="3"/>
      <ns0:c r="H339" s="3"/>
      <ns0:c r="I339" s="3"/>
      <ns0:c r="J339" s="3"/>
      <ns0:c r="K339" s="3"/>
      <ns0:c r="L339" s="3"/>
      <ns0:c r="M339" s="3"/>
      <ns0:c r="N339" s="3"/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/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/>
      <ns0:c r="C341" s="3"/>
      <ns0:c r="D341" s="3"/>
      <ns0:c r="E341" s="3"/>
      <ns0:c r="F341" s="3"/>
      <ns0:c r="G341" s="3"/>
      <ns0:c r="H341" s="3"/>
      <ns0:c r="I341" s="3"/>
      <ns0:c r="J341" s="3"/>
      <ns0:c r="K341" s="3"/>
      <ns0:c r="L341" s="3"/>
      <ns0:c r="M341" s="3"/>
      <ns0:c r="N341" s="3"/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/>
      <ns0:c r="C342" s="3"/>
      <ns0:c r="D342" s="3"/>
      <ns0:c r="E342" s="3"/>
      <ns0:c r="F342" s="3"/>
      <ns0:c r="G342" s="3"/>
      <ns0:c r="H342" s="3"/>
      <ns0:c r="I342" s="3"/>
      <ns0:c r="J342" s="3"/>
      <ns0:c r="K342" s="3"/>
      <ns0:c r="L342" s="3"/>
      <ns0:c r="M342" s="3"/>
      <ns0:c r="N342" s="3"/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/>
      <ns0:c r="C343" s="3"/>
      <ns0:c r="D343" s="3"/>
      <ns0:c r="E343" s="3"/>
      <ns0:c r="F343" s="3"/>
      <ns0:c r="G343" s="3"/>
      <ns0:c r="H343" s="3"/>
      <ns0:c r="I343" s="3"/>
      <ns0:c r="J343" s="3"/>
      <ns0:c r="K343" s="3"/>
      <ns0:c r="L343" s="3"/>
      <ns0:c r="M343" s="3"/>
      <ns0:c r="N343" s="3"/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/>
      <ns0:c r="C344" s="3"/>
      <ns0:c r="D344" s="3"/>
      <ns0:c r="E344" s="3"/>
      <ns0:c r="F344" s="3"/>
      <ns0:c r="G344" s="3"/>
      <ns0:c r="H344" s="3"/>
      <ns0:c r="I344" s="3"/>
      <ns0:c r="J344" s="3"/>
      <ns0:c r="K344" s="3"/>
      <ns0:c r="L344" s="3"/>
      <ns0:c r="M344" s="3"/>
      <ns0:c r="N344" s="3"/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/>
      <ns0:c r="C345" s="3"/>
      <ns0:c r="D345" s="3"/>
      <ns0:c r="E345" s="3"/>
      <ns0:c r="F345" s="3"/>
      <ns0:c r="G345" s="3"/>
      <ns0:c r="H345" s="3"/>
      <ns0:c r="I345" s="3"/>
      <ns0:c r="J345" s="3"/>
      <ns0:c r="K345" s="3"/>
      <ns0:c r="L345" s="3"/>
      <ns0:c r="M345" s="3"/>
      <ns0:c r="N345" s="3"/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/>
      <ns0:c r="C346" s="3"/>
      <ns0:c r="D346" s="3"/>
      <ns0:c r="E346" s="3"/>
      <ns0:c r="F346" s="3"/>
      <ns0:c r="G346" s="3"/>
      <ns0:c r="H346" s="3"/>
      <ns0:c r="I346" s="3"/>
      <ns0:c r="J346" s="3"/>
      <ns0:c r="K346" s="3"/>
      <ns0:c r="L346" s="3"/>
      <ns0:c r="M346" s="3"/>
      <ns0:c r="N346" s="3"/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/>
      <ns0:c r="C347" s="3"/>
      <ns0:c r="D347" s="3"/>
      <ns0:c r="E347" s="3"/>
      <ns0:c r="F347" s="3"/>
      <ns0:c r="G347" s="3"/>
      <ns0:c r="H347" s="3"/>
      <ns0:c r="I347" s="3"/>
      <ns0:c r="J347" s="3"/>
      <ns0:c r="K347" s="3"/>
      <ns0:c r="L347" s="3"/>
      <ns0:c r="M347" s="3"/>
      <ns0:c r="N347" s="3"/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/>
      <ns0:c r="C348" s="3"/>
      <ns0:c r="D348" s="3"/>
      <ns0:c r="E348" s="3"/>
      <ns0:c r="F348" s="3"/>
      <ns0:c r="G348" s="3"/>
      <ns0:c r="H348" s="3"/>
      <ns0:c r="I348" s="3"/>
      <ns0:c r="J348" s="3"/>
      <ns0:c r="K348" s="3"/>
      <ns0:c r="L348" s="3"/>
      <ns0:c r="M348" s="3"/>
      <ns0:c r="N348" s="3"/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/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/>
      <ns0:c r="C350" s="3"/>
      <ns0:c r="D350" s="3"/>
      <ns0:c r="E350" s="3"/>
      <ns0:c r="F350" s="3"/>
      <ns0:c r="G350" s="3"/>
      <ns0:c r="H350" s="3"/>
      <ns0:c r="I350" s="3"/>
      <ns0:c r="J350" s="3"/>
      <ns0:c r="K350" s="3"/>
      <ns0:c r="L350" s="3"/>
      <ns0:c r="M350" s="3"/>
      <ns0:c r="N350" s="3"/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/>
      <ns0:c r="C351" s="3"/>
      <ns0:c r="D351" s="3"/>
      <ns0:c r="E351" s="3"/>
      <ns0:c r="F351" s="3"/>
      <ns0:c r="G351" s="3"/>
      <ns0:c r="H351" s="3"/>
      <ns0:c r="I351" s="3"/>
      <ns0:c r="J351" s="3"/>
      <ns0:c r="K351" s="3"/>
      <ns0:c r="L351" s="3"/>
      <ns0:c r="M351" s="3"/>
      <ns0:c r="N351" s="3"/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/>
      <ns0:c r="C352" s="3"/>
      <ns0:c r="D352" s="3"/>
      <ns0:c r="E352" s="3"/>
      <ns0:c r="F352" s="3"/>
      <ns0:c r="G352" s="3"/>
      <ns0:c r="H352" s="3"/>
      <ns0:c r="I352" s="3"/>
      <ns0:c r="J352" s="3"/>
      <ns0:c r="K352" s="3"/>
      <ns0:c r="L352" s="3"/>
      <ns0:c r="M352" s="3"/>
      <ns0:c r="N352" s="3"/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/>
      <ns0:c r="C353" s="3"/>
      <ns0:c r="D353" s="3"/>
      <ns0:c r="E353" s="3"/>
      <ns0:c r="F353" s="3"/>
      <ns0:c r="G353" s="3"/>
      <ns0:c r="H353" s="3"/>
      <ns0:c r="I353" s="3"/>
      <ns0:c r="J353" s="3"/>
      <ns0:c r="K353" s="3"/>
      <ns0:c r="L353" s="3"/>
      <ns0:c r="M353" s="3"/>
      <ns0:c r="N353" s="3"/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pageMargins left="0.7" right="0.7" top="0.75" bottom="0.75" header="0.3" footer="0.3"/>
</ns0:worksheet>
</file>