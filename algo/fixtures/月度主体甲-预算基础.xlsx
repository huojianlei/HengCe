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635b32f7cc40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润表" sheetId="1" r:id="Rf414777375414dac"/>
    <x:sheet xmlns:r="http://schemas.openxmlformats.org/officeDocument/2006/relationships" name="资产负债表" sheetId="2" r:id="R00c0f526b23b43c4"/>
    <x:sheet xmlns:r="http://schemas.openxmlformats.org/officeDocument/2006/relationships" name="现金流量表" sheetId="3" r:id="Rccbc93688e7a497d"/>
    <x:sheet xmlns:r="http://schemas.openxmlformats.org/officeDocument/2006/relationships" name="收入非主控" sheetId="4" r:id="Ra2a83754d2244b73"/>
    <x:sheet xmlns:r="http://schemas.openxmlformats.org/officeDocument/2006/relationships" name="收入主控" sheetId="5" r:id="Red42a0f6e957476f"/>
    <x:sheet xmlns:r="http://schemas.openxmlformats.org/officeDocument/2006/relationships" name="税金及附加" sheetId="6" r:id="R0f7b400d563f44ab"/>
    <x:sheet xmlns:r="http://schemas.openxmlformats.org/officeDocument/2006/relationships" name="销售费用" sheetId="7" r:id="R39efd9f0c3294386"/>
    <x:sheet xmlns:r="http://schemas.openxmlformats.org/officeDocument/2006/relationships" name="管理费用" sheetId="8" r:id="R373373aede304fa3"/>
    <x:sheet xmlns:r="http://schemas.openxmlformats.org/officeDocument/2006/relationships" name="蓝恐龙费用" sheetId="9" r:id="R41ca02ad8afe4fdc"/>
    <x:sheet xmlns:r="http://schemas.openxmlformats.org/officeDocument/2006/relationships" name="费用表月度汇总" sheetId="10" r:id="R79efa3ebd04a4966"/>
    <x:sheet xmlns:r="http://schemas.openxmlformats.org/officeDocument/2006/relationships" name="摊销明细" sheetId="11" r:id="R8b0c6f9619c64f08"/>
    <x:sheet xmlns:r="http://schemas.openxmlformats.org/officeDocument/2006/relationships" name="分录" sheetId="12" r:id="Rf22370c557d44e9b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1">
    <x:numFmt numFmtId="200" formatCode="#,##0.00;(#,##0.00);&quot;—&quot;"/>
  </x:numFmts>
  <x:fonts count="3">
    <x:font>
      <x:sz val="11"/>
      <x:name val="Carlito"/>
    </x:font>
    <x:font>
      <x:sz val="10"/>
      <x:name val="Microsoft YaHei"/>
    </x:font>
    <x:font>
      <x:sz val="10"/>
      <x:color rgb="FF0000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E5EAF0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bd0a177816467f" /><Relationship Type="http://schemas.openxmlformats.org/officeDocument/2006/relationships/theme" Target="/xl/theme/theme1.xml" Id="Rd49473a9c7ec4176" /><Relationship Type="http://schemas.openxmlformats.org/officeDocument/2006/relationships/sharedStrings" Target="/xl/sharedStrings.xml" Id="R546b070d7c944874" /><Relationship Type="http://schemas.openxmlformats.org/officeDocument/2006/relationships/worksheet" Target="/xl/worksheets/sheet1.xml" Id="Rf414777375414dac" /><Relationship Type="http://schemas.openxmlformats.org/officeDocument/2006/relationships/worksheet" Target="/xl/worksheets/sheet2.xml" Id="R00c0f526b23b43c4" /><Relationship Type="http://schemas.openxmlformats.org/officeDocument/2006/relationships/worksheet" Target="/xl/worksheets/sheet3.xml" Id="Rccbc93688e7a497d" /><Relationship Type="http://schemas.openxmlformats.org/officeDocument/2006/relationships/worksheet" Target="/xl/worksheets/sheet4.xml" Id="Ra2a83754d2244b73" /><Relationship Type="http://schemas.openxmlformats.org/officeDocument/2006/relationships/worksheet" Target="/xl/worksheets/sheet5.xml" Id="Red42a0f6e957476f" /><Relationship Type="http://schemas.openxmlformats.org/officeDocument/2006/relationships/worksheet" Target="/xl/worksheets/sheet6.xml" Id="R0f7b400d563f44ab" /><Relationship Type="http://schemas.openxmlformats.org/officeDocument/2006/relationships/worksheet" Target="/xl/worksheets/sheet7.xml" Id="R39efd9f0c3294386" /><Relationship Type="http://schemas.openxmlformats.org/officeDocument/2006/relationships/worksheet" Target="/xl/worksheets/sheet8.xml" Id="R373373aede304fa3" /><Relationship Type="http://schemas.openxmlformats.org/officeDocument/2006/relationships/worksheet" Target="/xl/worksheets/sheet9.xml" Id="R41ca02ad8afe4fdc" /><Relationship Type="http://schemas.openxmlformats.org/officeDocument/2006/relationships/worksheet" Target="/xl/worksheets/sheet10.xml" Id="R79efa3ebd04a4966" /><Relationship Type="http://schemas.openxmlformats.org/officeDocument/2006/relationships/worksheet" Target="/xl/worksheets/sheet11.xml" Id="R8b0c6f9619c64f08" /><Relationship Type="http://schemas.openxmlformats.org/officeDocument/2006/relationships/worksheet" Target="/xl/worksheets/sheet12.xml" Id="Rf22370c557d44e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0.25" hidden="0" customWidth="1"/>
    <ns0:col min="17" max="17" width="10.25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利润表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目</ns0:t>
        </ns0:is>
      </ns0:c>
      <ns0:c r="B2" s="2" t="inlineStr">
        <ns0:is>
          <ns0:t>行数</ns0:t>
        </ns0:is>
      </ns0:c>
      <ns0:c r="C2" s="3" t="inlineStr">
        <ns0:is>
          <ns0:t>主体甲 / 基础情景</ns0:t>
        </ns0:is>
      </ns0:c>
      <ns0:c r="D2" s="3"/>
      <ns0:c r="E2" s="3"/>
      <ns0:c r="F2" s="3" t="inlineStr">
        <ns0:is>
          <ns0:t>其他主体费用计入管理费用展示</ns0:t>
        </ns0:is>
      </ns0:c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全年预算基础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一、营业收入</ns0:t>
        </ns0:is>
      </ns0:c>
      <ns0:c r="B4" s="2"/>
      <ns0:c r="C4" s="3">
        <ns0:f>SUM(C61:N61)</ns0:f>
        <ns0:v>5082058.22</ns0:v>
      </ns0:c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 t="inlineStr">
        <ns0:is>
          <ns0:t>减：营业成本</ns0:t>
        </ns0:is>
      </ns0:c>
      <ns0:c r="B5" s="2"/>
      <ns0:c r="C5" s="3">
        <ns0:f>SUM(C62:N62)</ns0:f>
        <ns0:v>1755108.35</ns0:v>
      </ns0:c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 t="inlineStr">
        <ns0:is>
          <ns0:t>营业税金及附加</ns0:t>
        </ns0:is>
      </ns0:c>
      <ns0:c r="B6" s="2"/>
      <ns0:c r="C6" s="3">
        <ns0:f>SUM(C63:N63)</ns0:f>
        <ns0:v>40453.19</ns0:v>
      </ns0:c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销售费用</ns0:t>
        </ns0:is>
      </ns0:c>
      <ns0:c r="B7" s="2"/>
      <ns0:c r="C7" s="3">
        <ns0:f>SUM(C64:N64)</ns0:f>
        <ns0:v>86136.64</ns0:v>
      </ns0:c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 t="inlineStr">
        <ns0:is>
          <ns0:t>管理费用</ns0:t>
        </ns0:is>
      </ns0:c>
      <ns0:c r="B8" s="2"/>
      <ns0:c r="C8" s="3">
        <ns0:f>SUM(C65:N66)</ns0:f>
        <ns0:v>175252.30</ns0:v>
      </ns0:c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财务费用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资产减值损失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加：公允价值变动收益（损失以“-”号填列）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投资收益（损失以“-”号填列）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其中:对联营企业和合营企业的投资收益</ns0:t>
        </ns0:is>
      </ns0:c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二、营业利润（亏损以“-”号填列）</ns0:t>
        </ns0:is>
      </ns0:c>
      <ns0:c r="B14" s="2"/>
      <ns0:c r="C14" s="3">
        <ns0:f>SUM(C67:N67)</ns0:f>
        <ns0:v>3025107.74</ns0:v>
      </ns0:c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加：营业外收入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减：营业外支出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 t="inlineStr">
        <ns0:is>
          <ns0:t>其中：非流动资产处置损失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 t="inlineStr">
        <ns0:is>
          <ns0:t>三、利润总额（亏损总额以“-”号填列）</ns0:t>
        </ns0:is>
      </ns0:c>
      <ns0:c r="B18" s="2"/>
      <ns0:c r="C18" s="3">
        <ns0:f>SUM(C67:N67)</ns0:f>
        <ns0:v>3025107.74</ns0:v>
      </ns0:c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减：所得税费用</ns0:t>
        </ns0:is>
      </ns0:c>
      <ns0:c r="B19" s="2"/>
      <ns0:c r="C19" s="3">
        <ns0:f>SUM(C68:N68)</ns0:f>
        <ns0:v>659019.73</ns0:v>
      </ns0:c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四、净利润（净亏损以“-”号填列）</ns0:t>
        </ns0:is>
      </ns0:c>
      <ns0:c r="B20" s="2"/>
      <ns0:c r="C20" s="3">
        <ns0:f>SUM(C69:N69)</ns0:f>
        <ns0:v>2366088.01</ns0:v>
      </ns0:c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五、每股收益：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（一）基本每股收益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（二）稀释每股收益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预算基础月度勾稽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营业收入</ns0:t>
        </ns0:is>
      </ns0:c>
      <ns0:c r="C61" s="3">
        <ns0:f>'收入非主控'!C33+'收入主控'!C33</ns0:f>
        <ns0:v>416496.37</ns0:v>
      </ns0:c>
      <ns0:c r="D61" s="3">
        <ns0:f>'收入非主控'!D33+'收入主控'!D33</ns0:f>
        <ns0:v>426309.96</ns0:v>
      </ns0:c>
      <ns0:c r="E61" s="3">
        <ns0:f>'收入非主控'!E33+'收入主控'!E33</ns0:f>
        <ns0:v>541668.41</ns0:v>
      </ns0:c>
      <ns0:c r="F61" s="3">
        <ns0:f>'收入非主控'!F33+'收入主控'!F33</ns0:f>
        <ns0:v>371482.46</ns0:v>
      </ns0:c>
      <ns0:c r="G61" s="3">
        <ns0:f>'收入非主控'!G33+'收入主控'!G33</ns0:f>
        <ns0:v>538739.24</ns0:v>
      </ns0:c>
      <ns0:c r="H61" s="3">
        <ns0:f>'收入非主控'!H33+'收入主控'!H33</ns0:f>
        <ns0:v>352406.42</ns0:v>
      </ns0:c>
      <ns0:c r="I61" s="3">
        <ns0:f>'收入非主控'!I33+'收入主控'!I33</ns0:f>
        <ns0:v>453371.40</ns0:v>
      </ns0:c>
      <ns0:c r="J61" s="3">
        <ns0:f>'收入非主控'!J33+'收入主控'!J33</ns0:f>
        <ns0:v>499484.22</ns0:v>
      </ns0:c>
      <ns0:c r="K61" s="3">
        <ns0:f>'收入非主控'!K33+'收入主控'!K33</ns0:f>
        <ns0:v>336576.43</ns0:v>
      </ns0:c>
      <ns0:c r="L61" s="3">
        <ns0:f>'收入非主控'!L33+'收入主控'!L33</ns0:f>
        <ns0:v>347698.43</ns0:v>
      </ns0:c>
      <ns0:c r="M61" s="3">
        <ns0:f>'收入非主控'!M33+'收入主控'!M33</ns0:f>
        <ns0:v>332772.05</ns0:v>
      </ns0:c>
      <ns0:c r="N61" s="3">
        <ns0:f>'收入非主控'!N33+'收入主控'!N33</ns0:f>
        <ns0:v>465052.83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营业成本</ns0:t>
        </ns0:is>
      </ns0:c>
      <ns0:c r="C62" s="3">
        <ns0:f>'收入非主控'!C36+'收入主控'!C36</ns0:f>
        <ns0:v>148739.02</ns0:v>
      </ns0:c>
      <ns0:c r="D62" s="3">
        <ns0:f>'收入非主控'!D36+'收入主控'!D36</ns0:f>
        <ns0:v>181677.74</ns0:v>
      </ns0:c>
      <ns0:c r="E62" s="3">
        <ns0:f>'收入非主控'!E36+'收入主控'!E36</ns0:f>
        <ns0:v>221174.77</ns0:v>
      </ns0:c>
      <ns0:c r="F62" s="3">
        <ns0:f>'收入非主控'!F36+'收入主控'!F36</ns0:f>
        <ns0:v>143799.20</ns0:v>
      </ns0:c>
      <ns0:c r="G62" s="3">
        <ns0:f>'收入非主控'!G36+'收入主控'!G36</ns0:f>
        <ns0:v>134302.35</ns0:v>
      </ns0:c>
      <ns0:c r="H62" s="3">
        <ns0:f>'收入非主控'!H36+'收入主控'!H36</ns0:f>
        <ns0:v>125442.21</ns0:v>
      </ns0:c>
      <ns0:c r="I62" s="3">
        <ns0:f>'收入非主控'!I36+'收入主控'!I36</ns0:f>
        <ns0:v>164747.26</ns0:v>
      </ns0:c>
      <ns0:c r="J62" s="3">
        <ns0:f>'收入非主控'!J36+'收入主控'!J36</ns0:f>
        <ns0:v>120707.21</ns0:v>
      </ns0:c>
      <ns0:c r="K62" s="3">
        <ns0:f>'收入非主控'!K36+'收入主控'!K36</ns0:f>
        <ns0:v>103739.15</ns0:v>
      </ns0:c>
      <ns0:c r="L62" s="3">
        <ns0:f>'收入非主控'!L36+'收入主控'!L36</ns0:f>
        <ns0:v>102779.99</ns0:v>
      </ns0:c>
      <ns0:c r="M62" s="3">
        <ns0:f>'收入非主控'!M36+'收入主控'!M36</ns0:f>
        <ns0:v>138906.16</ns0:v>
      </ns0:c>
      <ns0:c r="N62" s="3">
        <ns0:f>'收入非主控'!N36+'收入主控'!N36</ns0:f>
        <ns0:v>169093.29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税金及附加</ns0:t>
        </ns0:is>
      </ns0:c>
      <ns0:c r="C63" s="3">
        <ns0:f>'税金及附加'!C33</ns0:f>
        <ns0:v>3315.31</ns0:v>
      </ns0:c>
      <ns0:c r="D63" s="3">
        <ns0:f>'税金及附加'!D33</ns0:f>
        <ns0:v>3393.43</ns0:v>
      </ns0:c>
      <ns0:c r="E63" s="3">
        <ns0:f>'税金及附加'!E33</ns0:f>
        <ns0:v>4311.68</ns0:v>
      </ns0:c>
      <ns0:c r="F63" s="3">
        <ns0:f>'税金及附加'!F33</ns0:f>
        <ns0:v>2957.00</ns0:v>
      </ns0:c>
      <ns0:c r="G63" s="3">
        <ns0:f>'税金及附加'!G33</ns0:f>
        <ns0:v>4288.36</ns0:v>
      </ns0:c>
      <ns0:c r="H63" s="3">
        <ns0:f>'税金及附加'!H33</ns0:f>
        <ns0:v>2805.16</ns0:v>
      </ns0:c>
      <ns0:c r="I63" s="3">
        <ns0:f>'税金及附加'!I33</ns0:f>
        <ns0:v>3608.84</ns0:v>
      </ns0:c>
      <ns0:c r="J63" s="3">
        <ns0:f>'税金及附加'!J33</ns0:f>
        <ns0:v>3975.89</ns0:v>
      </ns0:c>
      <ns0:c r="K63" s="3">
        <ns0:f>'税金及附加'!K33</ns0:f>
        <ns0:v>2679.15</ns0:v>
      </ns0:c>
      <ns0:c r="L63" s="3">
        <ns0:f>'税金及附加'!L33</ns0:f>
        <ns0:v>2767.68</ns0:v>
      </ns0:c>
      <ns0:c r="M63" s="3">
        <ns0:f>'税金及附加'!M33</ns0:f>
        <ns0:v>2648.87</ns0:v>
      </ns0:c>
      <ns0:c r="N63" s="3">
        <ns0:f>'税金及附加'!N33</ns0:f>
        <ns0:v>3701.82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销售费用</ns0:t>
        </ns0:is>
      </ns0:c>
      <ns0:c r="C64" s="3">
        <ns0:f>'销售费用'!C34</ns0:f>
        <ns0:v>6480.40</ns0:v>
      </ns0:c>
      <ns0:c r="D64" s="3">
        <ns0:f>'销售费用'!D34</ns0:f>
        <ns0:v>6671.91</ns0:v>
      </ns0:c>
      <ns0:c r="E64" s="3">
        <ns0:f>'销售费用'!E34</ns0:f>
        <ns0:v>7757.05</ns0:v>
      </ns0:c>
      <ns0:c r="F64" s="3">
        <ns0:f>'销售费用'!F34</ns0:f>
        <ns0:v>6413.46</ns0:v>
      </ns0:c>
      <ns0:c r="G64" s="3">
        <ns0:f>'销售费用'!G34</ns0:f>
        <ns0:v>7499.62</ns0:v>
      </ns0:c>
      <ns0:c r="H64" s="3">
        <ns0:f>'销售费用'!H34</ns0:f>
        <ns0:v>6150.17</ns0:v>
      </ns0:c>
      <ns0:c r="I64" s="3">
        <ns0:f>'销售费用'!I34</ns0:f>
        <ns0:v>8434.01</ns0:v>
      </ns0:c>
      <ns0:c r="J64" s="3">
        <ns0:f>'销售费用'!J34</ns0:f>
        <ns0:v>6882.30</ns0:v>
      </ns0:c>
      <ns0:c r="K64" s="3">
        <ns0:f>'销售费用'!K34</ns0:f>
        <ns0:v>7211.50</ns0:v>
      </ns0:c>
      <ns0:c r="L64" s="3">
        <ns0:f>'销售费用'!L34</ns0:f>
        <ns0:v>7782.42</ns0:v>
      </ns0:c>
      <ns0:c r="M64" s="3">
        <ns0:f>'销售费用'!M34</ns0:f>
        <ns0:v>7187.57</ns0:v>
      </ns0:c>
      <ns0:c r="N64" s="3">
        <ns0:f>'销售费用'!N34</ns0:f>
        <ns0:v>7666.23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管理费用</ns0:t>
        </ns0:is>
      </ns0:c>
      <ns0:c r="C65" s="3">
        <ns0:f>'管理费用'!C34</ns0:f>
        <ns0:v>7124.99</ns0:v>
      </ns0:c>
      <ns0:c r="D65" s="3">
        <ns0:f>'管理费用'!D34</ns0:f>
        <ns0:v>7857.59</ns0:v>
      </ns0:c>
      <ns0:c r="E65" s="3">
        <ns0:f>'管理费用'!E34</ns0:f>
        <ns0:v>7831.33</ns0:v>
      </ns0:c>
      <ns0:c r="F65" s="3">
        <ns0:f>'管理费用'!F34</ns0:f>
        <ns0:v>7358.56</ns0:v>
      </ns0:c>
      <ns0:c r="G65" s="3">
        <ns0:f>'管理费用'!G34</ns0:f>
        <ns0:v>7592.36</ns0:v>
      </ns0:c>
      <ns0:c r="H65" s="3">
        <ns0:f>'管理费用'!H34</ns0:f>
        <ns0:v>6747.53</ns0:v>
      </ns0:c>
      <ns0:c r="I65" s="3">
        <ns0:f>'管理费用'!I34</ns0:f>
        <ns0:v>7272.97</ns0:v>
      </ns0:c>
      <ns0:c r="J65" s="3">
        <ns0:f>'管理费用'!J34</ns0:f>
        <ns0:v>6889.76</ns0:v>
      </ns0:c>
      <ns0:c r="K65" s="3">
        <ns0:f>'管理费用'!K34</ns0:f>
        <ns0:v>6630.60</ns0:v>
      </ns0:c>
      <ns0:c r="L65" s="3">
        <ns0:f>'管理费用'!L34</ns0:f>
        <ns0:v>6587.33</ns0:v>
      </ns0:c>
      <ns0:c r="M65" s="3">
        <ns0:f>'管理费用'!M34</ns0:f>
        <ns0:v>7212.13</ns0:v>
      </ns0:c>
      <ns0:c r="N65" s="3">
        <ns0:f>'管理费用'!N34</ns0:f>
        <ns0:v>8284.81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其他主体费用</ns0:t>
        </ns0:is>
      </ns0:c>
      <ns0:c r="C66" s="3">
        <ns0:f>'蓝恐龙费用'!C34</ns0:f>
        <ns0:v>6203.67</ns0:v>
      </ns0:c>
      <ns0:c r="D66" s="3">
        <ns0:f>'蓝恐龙费用'!D34</ns0:f>
        <ns0:v>6998.35</ns0:v>
      </ns0:c>
      <ns0:c r="E66" s="3">
        <ns0:f>'蓝恐龙费用'!E34</ns0:f>
        <ns0:v>6995.35</ns0:v>
      </ns0:c>
      <ns0:c r="F66" s="3">
        <ns0:f>'蓝恐龙费用'!F34</ns0:f>
        <ns0:v>7436.88</ns0:v>
      </ns0:c>
      <ns0:c r="G66" s="3">
        <ns0:f>'蓝恐龙费用'!G34</ns0:f>
        <ns0:v>8264.92</ns0:v>
      </ns0:c>
      <ns0:c r="H66" s="3">
        <ns0:f>'蓝恐龙费用'!H34</ns0:f>
        <ns0:v>6982.92</ns0:v>
      </ns0:c>
      <ns0:c r="I66" s="3">
        <ns0:f>'蓝恐龙费用'!I34</ns0:f>
        <ns0:v>8336.89</ns0:v>
      </ns0:c>
      <ns0:c r="J66" s="3">
        <ns0:f>'蓝恐龙费用'!J34</ns0:f>
        <ns0:v>6889.94</ns0:v>
      </ns0:c>
      <ns0:c r="K66" s="3">
        <ns0:f>'蓝恐龙费用'!K34</ns0:f>
        <ns0:v>7959.48</ns0:v>
      </ns0:c>
      <ns0:c r="L66" s="3">
        <ns0:f>'蓝恐龙费用'!L34</ns0:f>
        <ns0:v>6791.20</ns0:v>
      </ns0:c>
      <ns0:c r="M66" s="3">
        <ns0:f>'蓝恐龙费用'!M34</ns0:f>
        <ns0:v>6479.20</ns0:v>
      </ns0:c>
      <ns0:c r="N66" s="3">
        <ns0:f>'蓝恐龙费用'!N34</ns0:f>
        <ns0:v>8523.54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税前利润</ns0:t>
        </ns0:is>
      </ns0:c>
      <ns0:c r="C67" s="3">
        <ns0:f>C61-SUM(C62:C66)</ns0:f>
        <ns0:v>244632.98</ns0:v>
      </ns0:c>
      <ns0:c r="D67" s="3">
        <ns0:f>D61-SUM(D62:D66)</ns0:f>
        <ns0:v>219710.94</ns0:v>
      </ns0:c>
      <ns0:c r="E67" s="3">
        <ns0:f>E61-SUM(E62:E66)</ns0:f>
        <ns0:v>293598.23</ns0:v>
      </ns0:c>
      <ns0:c r="F67" s="3">
        <ns0:f>F61-SUM(F62:F66)</ns0:f>
        <ns0:v>203517.36</ns0:v>
      </ns0:c>
      <ns0:c r="G67" s="3">
        <ns0:f>G61-SUM(G62:G66)</ns0:f>
        <ns0:v>376791.63</ns0:v>
      </ns0:c>
      <ns0:c r="H67" s="3">
        <ns0:f>H61-SUM(H62:H66)</ns0:f>
        <ns0:v>204278.43</ns0:v>
      </ns0:c>
      <ns0:c r="I67" s="3">
        <ns0:f>I61-SUM(I62:I66)</ns0:f>
        <ns0:v>260971.43</ns0:v>
      </ns0:c>
      <ns0:c r="J67" s="3">
        <ns0:f>J61-SUM(J62:J66)</ns0:f>
        <ns0:v>354139.12</ns0:v>
      </ns0:c>
      <ns0:c r="K67" s="3">
        <ns0:f>K61-SUM(K62:K66)</ns0:f>
        <ns0:v>208356.55</ns0:v>
      </ns0:c>
      <ns0:c r="L67" s="3">
        <ns0:f>L61-SUM(L62:L66)</ns0:f>
        <ns0:v>220989.81</ns0:v>
      </ns0:c>
      <ns0:c r="M67" s="3">
        <ns0:f>M61-SUM(M62:M66)</ns0:f>
        <ns0:v>170338.12</ns0:v>
      </ns0:c>
      <ns0:c r="N67" s="3">
        <ns0:f>N61-SUM(N62:N66)</ns0:f>
        <ns0:v>267783.14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所得税费用</ns0:t>
        </ns0:is>
      </ns0:c>
      <ns0:c r="C68" s="3">
        <ns0:f>ROUND(MAX(C67,0)*$C$200,2)</ns0:f>
        <ns0:v>53293.29</ns0:v>
      </ns0:c>
      <ns0:c r="D68" s="3">
        <ns0:f>ROUND(MAX(D67,0)*$C$200,2)</ns0:f>
        <ns0:v>47864.03</ns0:v>
      </ns0:c>
      <ns0:c r="E68" s="3">
        <ns0:f>ROUND(MAX(E67,0)*$C$200,2)</ns0:f>
        <ns0:v>63960.37</ns0:v>
      </ns0:c>
      <ns0:c r="F68" s="3">
        <ns0:f>ROUND(MAX(F67,0)*$C$200,2)</ns0:f>
        <ns0:v>44336.26</ns0:v>
      </ns0:c>
      <ns0:c r="G68" s="3">
        <ns0:f>ROUND(MAX(G67,0)*$C$200,2)</ns0:f>
        <ns0:v>82084.06</ns0:v>
      </ns0:c>
      <ns0:c r="H68" s="3">
        <ns0:f>ROUND(MAX(H67,0)*$C$200,2)</ns0:f>
        <ns0:v>44502.06</ns0:v>
      </ns0:c>
      <ns0:c r="I68" s="3">
        <ns0:f>ROUND(MAX(I67,0)*$C$200,2)</ns0:f>
        <ns0:v>56852.63</ns0:v>
      </ns0:c>
      <ns0:c r="J68" s="3">
        <ns0:f>ROUND(MAX(J67,0)*$C$200,2)</ns0:f>
        <ns0:v>77149.21</ns0:v>
      </ns0:c>
      <ns0:c r="K68" s="3">
        <ns0:f>ROUND(MAX(K67,0)*$C$200,2)</ns0:f>
        <ns0:v>45390.47</ns0:v>
      </ns0:c>
      <ns0:c r="L68" s="3">
        <ns0:f>ROUND(MAX(L67,0)*$C$200,2)</ns0:f>
        <ns0:v>48142.63</ns0:v>
      </ns0:c>
      <ns0:c r="M68" s="3">
        <ns0:f>ROUND(MAX(M67,0)*$C$200,2)</ns0:f>
        <ns0:v>37108.16</ns0:v>
      </ns0:c>
      <ns0:c r="N68" s="3">
        <ns0:f>ROUND(MAX(N67,0)*$C$200,2)</ns0:f>
        <ns0:v>58336.56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 t="inlineStr">
        <ns0:is>
          <ns0:t>净利润</ns0:t>
        </ns0:is>
      </ns0:c>
      <ns0:c r="C69" s="3">
        <ns0:f>C67-C68</ns0:f>
        <ns0:v>191339.69</ns0:v>
      </ns0:c>
      <ns0:c r="D69" s="3">
        <ns0:f>D67-D68</ns0:f>
        <ns0:v>171846.91</ns0:v>
      </ns0:c>
      <ns0:c r="E69" s="3">
        <ns0:f>E67-E68</ns0:f>
        <ns0:v>229637.86</ns0:v>
      </ns0:c>
      <ns0:c r="F69" s="3">
        <ns0:f>F67-F68</ns0:f>
        <ns0:v>159181.10</ns0:v>
      </ns0:c>
      <ns0:c r="G69" s="3">
        <ns0:f>G67-G68</ns0:f>
        <ns0:v>294707.57</ns0:v>
      </ns0:c>
      <ns0:c r="H69" s="3">
        <ns0:f>H67-H68</ns0:f>
        <ns0:v>159776.37</ns0:v>
      </ns0:c>
      <ns0:c r="I69" s="3">
        <ns0:f>I67-I68</ns0:f>
        <ns0:v>204118.80</ns0:v>
      </ns0:c>
      <ns0:c r="J69" s="3">
        <ns0:f>J67-J68</ns0:f>
        <ns0:v>276989.91</ns0:v>
      </ns0:c>
      <ns0:c r="K69" s="3">
        <ns0:f>K67-K68</ns0:f>
        <ns0:v>162966.08</ns0:v>
      </ns0:c>
      <ns0:c r="L69" s="3">
        <ns0:f>L67-L68</ns0:f>
        <ns0:v>172847.18</ns0:v>
      </ns0:c>
      <ns0:c r="M69" s="3">
        <ns0:f>M67-M68</ns0:f>
        <ns0:v>133229.96</ns0:v>
      </ns0:c>
      <ns0:c r="N69" s="3">
        <ns0:f>N67-N68</ns0:f>
        <ns0:v>209446.58</ns0:v>
      </ns0:c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所得税率（演示假设）</ns0:t>
        </ns0:is>
      </ns0:c>
      <ns0:c r="C200" s="4">
        <ns0:v>0.21785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  <ns0:mergeCell ref="C2:E2"/>
    <ns0:mergeCell ref="F2:H2"/>
    <ns0:mergeCell ref="A27:H27"/>
    <ns0:mergeCell ref="A2:A3"/>
    <ns0:mergeCell ref="B2:B3"/>
  </ns0:mergeCell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资 产 负 债 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资产</ns0:t>
        </ns0:is>
      </ns0:c>
      <ns0:c r="B2" s="2" t="inlineStr">
        <ns0:is>
          <ns0:t>行次</ns0:t>
        </ns0:is>
      </ns0:c>
      <ns0:c r="C2" s="3" t="inlineStr">
        <ns0:is>
          <ns0:t>年初数</ns0:t>
        </ns0:is>
      </ns0:c>
      <ns0:c r="D2" s="3" t="inlineStr">
        <ns0:is>
          <ns0:t>期末数</ns0:t>
        </ns0:is>
      </ns0:c>
      <ns0:c r="E2" s="3" t="inlineStr">
        <ns0:is>
          <ns0:t>负债和所有者权益        (或股东权益)</ns0:t>
        </ns0:is>
      </ns0:c>
      <ns0:c r="F2" s="3" t="inlineStr">
        <ns0:is>
          <ns0:t>行次</ns0:t>
        </ns0:is>
      </ns0:c>
      <ns0:c r="G2" s="3" t="inlineStr">
        <ns0:is>
          <ns0:t>全年预算基础</ns0:t>
        </ns0:is>
      </ns0:c>
      <ns0:c r="H2" s="3" t="inlineStr">
        <ns0:is>
          <ns0:t>非本次输入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 t="inlineStr">
        <ns0:is>
          <ns0:t>流动资产：</ns0:t>
        </ns0:is>
      </ns0:c>
      <ns0:c r="B3" s="2"/>
      <ns0:c r="C3" s="6" t="inlineStr">
        <ns0:is>
          <ns0:t>全年预算基础</ns0:t>
        </ns0:is>
      </ns0:c>
      <ns0:c r="D3" s="6" t="inlineStr">
        <ns0:is>
          <ns0:t>非本次输入</ns0:t>
        </ns0:is>
      </ns0:c>
      <ns0:c r="E3" s="6" t="inlineStr">
        <ns0:is>
          <ns0:t>流动负债：</ns0:t>
        </ns0:is>
      </ns0:c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货币资金</ns0:t>
        </ns0:is>
      </ns0:c>
      <ns0:c r="B4" s="2"/>
      <ns0:c r="C4" s="3">
        <ns0:f>N61</ns0:f>
        <ns0:v>2534777.79</ns0:v>
      </ns0:c>
      <ns0:c r="D4" s="3"/>
      <ns0:c r="E4" s="3" t="inlineStr">
        <ns0:is>
          <ns0:t>短期借款</ns0:t>
        </ns0:is>
      </ns0:c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 t="inlineStr">
        <ns0:is>
          <ns0:t>短期投资</ns0:t>
        </ns0:is>
      </ns0:c>
      <ns0:c r="B5" s="2"/>
      <ns0:c r="C5" s="3"/>
      <ns0:c r="D5" s="3"/>
      <ns0:c r="E5" s="3" t="inlineStr">
        <ns0:is>
          <ns0:t>应付票据</ns0:t>
        </ns0:is>
      </ns0:c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 t="inlineStr">
        <ns0:is>
          <ns0:t>应收票据</ns0:t>
        </ns0:is>
      </ns0:c>
      <ns0:c r="B6" s="2"/>
      <ns0:c r="C6" s="3"/>
      <ns0:c r="D6" s="3"/>
      <ns0:c r="E6" s="3" t="inlineStr">
        <ns0:is>
          <ns0:t>应付账款</ns0:t>
        </ns0:is>
      </ns0:c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应收股利</ns0:t>
        </ns0:is>
      </ns0:c>
      <ns0:c r="B7" s="2"/>
      <ns0:c r="C7" s="3"/>
      <ns0:c r="D7" s="3"/>
      <ns0:c r="E7" s="3" t="inlineStr">
        <ns0:is>
          <ns0:t>预收账款</ns0:t>
        </ns0:is>
      </ns0:c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 t="inlineStr">
        <ns0:is>
          <ns0:t>应收利息</ns0:t>
        </ns0:is>
      </ns0:c>
      <ns0:c r="B8" s="2"/>
      <ns0:c r="C8" s="3"/>
      <ns0:c r="D8" s="3"/>
      <ns0:c r="E8" s="3" t="inlineStr">
        <ns0:is>
          <ns0:t>应付工资</ns0:t>
        </ns0:is>
      </ns0:c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应收账款</ns0:t>
        </ns0:is>
      </ns0:c>
      <ns0:c r="B9" s="2"/>
      <ns0:c r="C9" s="3"/>
      <ns0:c r="D9" s="3"/>
      <ns0:c r="E9" s="3" t="inlineStr">
        <ns0:is>
          <ns0:t>应付福利费</ns0:t>
        </ns0:is>
      </ns0:c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其他应收款</ns0:t>
        </ns0:is>
      </ns0:c>
      <ns0:c r="B10" s="2"/>
      <ns0:c r="C10" s="3"/>
      <ns0:c r="D10" s="3"/>
      <ns0:c r="E10" s="3" t="inlineStr">
        <ns0:is>
          <ns0:t>应付利息</ns0:t>
        </ns0:is>
      </ns0:c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预付账款</ns0:t>
        </ns0:is>
      </ns0:c>
      <ns0:c r="B11" s="2"/>
      <ns0:c r="C11" s="3"/>
      <ns0:c r="D11" s="3"/>
      <ns0:c r="E11" s="3" t="inlineStr">
        <ns0:is>
          <ns0:t>应交税金</ns0:t>
        </ns0:is>
      </ns0:c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应收补贴款</ns0:t>
        </ns0:is>
      </ns0:c>
      <ns0:c r="B12" s="2"/>
      <ns0:c r="C12" s="3"/>
      <ns0:c r="D12" s="3"/>
      <ns0:c r="E12" s="3" t="inlineStr">
        <ns0:is>
          <ns0:t>其他应交款</ns0:t>
        </ns0:is>
      </ns0:c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存货</ns0:t>
        </ns0:is>
      </ns0:c>
      <ns0:c r="B13" s="2"/>
      <ns0:c r="C13" s="3"/>
      <ns0:c r="D13" s="3"/>
      <ns0:c r="E13" s="3" t="inlineStr">
        <ns0:is>
          <ns0:t>其他应付款</ns0:t>
        </ns0:is>
      </ns0:c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待摊费用</ns0:t>
        </ns0:is>
      </ns0:c>
      <ns0:c r="B14" s="2"/>
      <ns0:c r="C14" s="3"/>
      <ns0:c r="D14" s="3"/>
      <ns0:c r="E14" s="3" t="inlineStr">
        <ns0:is>
          <ns0:t>预提费用</ns0:t>
        </ns0:is>
      </ns0:c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一年内到期的长期债券投资</ns0:t>
        </ns0:is>
      </ns0:c>
      <ns0:c r="B15" s="2"/>
      <ns0:c r="C15" s="3"/>
      <ns0:c r="D15" s="3"/>
      <ns0:c r="E15" s="3" t="inlineStr">
        <ns0:is>
          <ns0:t>预计负债</ns0:t>
        </ns0:is>
      </ns0:c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其他流动资产</ns0:t>
        </ns0:is>
      </ns0:c>
      <ns0:c r="B16" s="2"/>
      <ns0:c r="C16" s="3"/>
      <ns0:c r="D16" s="3"/>
      <ns0:c r="E16" s="3" t="inlineStr">
        <ns0:is>
          <ns0:t>一年内到期的长期负债</ns0:t>
        </ns0:is>
      </ns0:c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 t="inlineStr">
        <ns0:is>
          <ns0:t>流动资产合计</ns0:t>
        </ns0:is>
      </ns0:c>
      <ns0:c r="B17" s="2"/>
      <ns0:c r="C17" s="3"/>
      <ns0:c r="D17" s="3"/>
      <ns0:c r="E17" s="3" t="inlineStr">
        <ns0:is>
          <ns0:t>其他流动负债</ns0:t>
        </ns0:is>
      </ns0:c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 t="inlineStr">
        <ns0:is>
          <ns0:t>长期资产：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长期股权投资</ns0:t>
        </ns0:is>
      </ns0:c>
      <ns0:c r="B19" s="2"/>
      <ns0:c r="C19" s="3"/>
      <ns0:c r="D19" s="3"/>
      <ns0:c r="E19" s="3" t="inlineStr">
        <ns0:is>
          <ns0:t>流动负债合计</ns0:t>
        </ns0:is>
      </ns0:c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长期债券投资</ns0:t>
        </ns0:is>
      </ns0:c>
      <ns0:c r="B20" s="2"/>
      <ns0:c r="C20" s="3"/>
      <ns0:c r="D20" s="3"/>
      <ns0:c r="E20" s="3" t="inlineStr">
        <ns0:is>
          <ns0:t>长期负债：</ns0:t>
        </ns0:is>
      </ns0:c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长期投资合计</ns0:t>
        </ns0:is>
      </ns0:c>
      <ns0:c r="B21" s="2"/>
      <ns0:c r="C21" s="3"/>
      <ns0:c r="D21" s="3"/>
      <ns0:c r="E21" s="3" t="inlineStr">
        <ns0:is>
          <ns0:t>长期借款</ns0:t>
        </ns0:is>
      </ns0:c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固定资产：</ns0:t>
        </ns0:is>
      </ns0:c>
      <ns0:c r="B22" s="2"/>
      <ns0:c r="C22" s="3"/>
      <ns0:c r="D22" s="3"/>
      <ns0:c r="E22" s="3" t="inlineStr">
        <ns0:is>
          <ns0:t>应付债券</ns0:t>
        </ns0:is>
      </ns0:c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固定资产原价</ns0:t>
        </ns0:is>
      </ns0:c>
      <ns0:c r="B23" s="2"/>
      <ns0:c r="C23" s="3"/>
      <ns0:c r="D23" s="3"/>
      <ns0:c r="E23" s="3" t="inlineStr">
        <ns0:is>
          <ns0:t>长期应付款</ns0:t>
        </ns0:is>
      </ns0:c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减：累计折旧</ns0:t>
        </ns0:is>
      </ns0:c>
      <ns0:c r="B24" s="2"/>
      <ns0:c r="C24" s="3"/>
      <ns0:c r="D24" s="3"/>
      <ns0:c r="E24" s="3" t="inlineStr">
        <ns0:is>
          <ns0:t>专项应付款</ns0:t>
        </ns0:is>
      </ns0:c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固定资产净值</ns0:t>
        </ns0:is>
      </ns0:c>
      <ns0:c r="B25" s="2"/>
      <ns0:c r="C25" s="3"/>
      <ns0:c r="D25" s="3"/>
      <ns0:c r="E25" s="3" t="inlineStr">
        <ns0:is>
          <ns0:t>其他长期负债</ns0:t>
        </ns0:is>
      </ns0:c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减：固定资产减值准备</ns0:t>
        </ns0:is>
      </ns0:c>
      <ns0:c r="B26" s="2"/>
      <ns0:c r="C26" s="3"/>
      <ns0:c r="D26" s="3"/>
      <ns0:c r="E26" s="3" t="inlineStr">
        <ns0:is>
          <ns0:t>长期负债合计</ns0:t>
        </ns0:is>
      </ns0:c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固定资产净额</ns0:t>
        </ns0:is>
      </ns0:c>
      <ns0:c r="B27" s="2"/>
      <ns0:c r="C27" s="3"/>
      <ns0:c r="D27" s="3"/>
      <ns0:c r="E27" s="3" t="inlineStr">
        <ns0:is>
          <ns0:t>递延税项：</ns0:t>
        </ns0:is>
      </ns0:c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工程物资</ns0:t>
        </ns0:is>
      </ns0:c>
      <ns0:c r="B28" s="2"/>
      <ns0:c r="C28" s="3"/>
      <ns0:c r="D28" s="3"/>
      <ns0:c r="E28" s="3" t="inlineStr">
        <ns0:is>
          <ns0:t>递延税款贷项</ns0:t>
        </ns0:is>
      </ns0:c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在建工程</ns0:t>
        </ns0:is>
      </ns0:c>
      <ns0:c r="B29" s="2"/>
      <ns0:c r="C29" s="3"/>
      <ns0:c r="D29" s="3"/>
      <ns0:c r="E29" s="3" t="inlineStr">
        <ns0:is>
          <ns0:t>负债合计</ns0:t>
        </ns0:is>
      </ns0:c>
      <ns0:c r="F29" s="3"/>
      <ns0:c r="G29" s="3">
        <ns0:f>N64</ns0:f>
        <ns0:v>0</ns0:v>
      </ns0:c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固定资产清理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固定资产合计</ns0:t>
        </ns0:is>
      </ns0:c>
      <ns0:c r="B31" s="2"/>
      <ns0:c r="C31" s="3"/>
      <ns0:c r="D31" s="3"/>
      <ns0:c r="E31" s="3" t="inlineStr">
        <ns0:is>
          <ns0:t>所有者权益(或股东权益)：</ns0:t>
        </ns0:is>
      </ns0:c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无形资产及其他资产：</ns0:t>
        </ns0:is>
      </ns0:c>
      <ns0:c r="B32" s="2"/>
      <ns0:c r="C32" s="3"/>
      <ns0:c r="D32" s="3"/>
      <ns0:c r="E32" s="3" t="inlineStr">
        <ns0:is>
          <ns0:t>实收资本(或股本)</ns0:t>
        </ns0:is>
      </ns0:c>
      <ns0:c r="F32" s="3"/>
      <ns0:c r="G32" s="3">
        <ns0:f>N65</ns0:f>
        <ns0:v>246714.46</ns0:v>
      </ns0:c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无形资产</ns0:t>
        </ns0:is>
      </ns0:c>
      <ns0:c r="B33" s="2"/>
      <ns0:c r="C33" s="3"/>
      <ns0:c r="D33" s="3"/>
      <ns0:c r="E33" s="3" t="inlineStr">
        <ns0:is>
          <ns0:t>减：已归还投资</ns0:t>
        </ns0:is>
      </ns0:c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长期待摊费用</ns0:t>
        </ns0:is>
      </ns0:c>
      <ns0:c r="B34" s="2"/>
      <ns0:c r="C34" s="3">
        <ns0:f>N62</ns0:f>
        <ns0:v>78024.68</ns0:v>
      </ns0:c>
      <ns0:c r="D34" s="3"/>
      <ns0:c r="E34" s="3" t="inlineStr">
        <ns0:is>
          <ns0:t>实收资本(或股本)净额</ns0:t>
        </ns0:is>
      </ns0:c>
      <ns0:c r="F34" s="3"/>
      <ns0:c r="G34" s="3">
        <ns0:f>N65</ns0:f>
        <ns0:v>246714.46</ns0:v>
      </ns0:c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其他长期资产</ns0:t>
        </ns0:is>
      </ns0:c>
      <ns0:c r="B35" s="2"/>
      <ns0:c r="C35" s="3"/>
      <ns0:c r="D35" s="3"/>
      <ns0:c r="E35" s="3" t="inlineStr">
        <ns0:is>
          <ns0:t>资本公积</ns0:t>
        </ns0:is>
      </ns0:c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无形资产及其他资产合计</ns0:t>
        </ns0:is>
      </ns0:c>
      <ns0:c r="B36" s="2"/>
      <ns0:c r="C36" s="3"/>
      <ns0:c r="D36" s="3"/>
      <ns0:c r="E36" s="3" t="inlineStr">
        <ns0:is>
          <ns0:t>盈余公积</ns0:t>
        </ns0:is>
      </ns0:c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 t="inlineStr">
        <ns0:is>
          <ns0:t>其中：法定公益金</ns0:t>
        </ns0:is>
      </ns0:c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递延税款：</ns0:t>
        </ns0:is>
      </ns0:c>
      <ns0:c r="B38" s="2"/>
      <ns0:c r="C38" s="3"/>
      <ns0:c r="D38" s="3"/>
      <ns0:c r="E38" s="3" t="inlineStr">
        <ns0:is>
          <ns0:t>未分配利润</ns0:t>
        </ns0:is>
      </ns0:c>
      <ns0:c r="F38" s="3"/>
      <ns0:c r="G38" s="3">
        <ns0:f>N66</ns0:f>
        <ns0:v>2366088.01</ns0:v>
      </ns0:c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递延税款借项</ns0:t>
        </ns0:is>
      </ns0:c>
      <ns0:c r="B39" s="2"/>
      <ns0:c r="C39" s="3"/>
      <ns0:c r="D39" s="3"/>
      <ns0:c r="E39" s="3" t="inlineStr">
        <ns0:is>
          <ns0:t>所有者权益(或股东权益)合计</ns0:t>
        </ns0:is>
      </ns0:c>
      <ns0:c r="F39" s="3"/>
      <ns0:c r="G39" s="3">
        <ns0:f>N67</ns0:f>
        <ns0:v>2612802.47</ns0:v>
      </ns0:c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资产总计</ns0:t>
        </ns0:is>
      </ns0:c>
      <ns0:c r="B40" s="2"/>
      <ns0:c r="C40" s="3">
        <ns0:f>N63</ns0:f>
        <ns0:v>2612802.47</ns0:v>
      </ns0:c>
      <ns0:c r="D40" s="3"/>
      <ns0:c r="E40" s="3" t="inlineStr">
        <ns0:is>
          <ns0:t>负债和所有者权益(或股东权益)总计</ns0:t>
        </ns0:is>
      </ns0:c>
      <ns0:c r="F40" s="3"/>
      <ns0:c r="G40" s="3">
        <ns0:f>N68</ns0:f>
        <ns0:v>2612802.47</ns0:v>
      </ns0:c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预算基础月度勾稽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货币资金</ns0:t>
        </ns0:is>
      </ns0:c>
      <ns0:c r="C61" s="3">
        <ns0:f>'现金流量表'!C68</ns0:f>
        <ns0:v>343200.46</ns0:v>
      </ns0:c>
      <ns0:c r="D61" s="3">
        <ns0:f>'现金流量表'!D68</ns0:f>
        <ns0:v>516577.28</ns0:v>
      </ns0:c>
      <ns0:c r="E61" s="3">
        <ns0:f>'现金流量表'!E68</ns0:f>
        <ns0:v>747745.05</ns0:v>
      </ns0:c>
      <ns0:c r="F61" s="3">
        <ns0:f>'现金流量表'!F68</ns0:f>
        <ns0:v>908456.06</ns0:v>
      </ns0:c>
      <ns0:c r="G61" s="3">
        <ns0:f>'现金流量表'!G68</ns0:f>
        <ns0:v>1204693.54</ns0:v>
      </ns0:c>
      <ns0:c r="H61" s="3">
        <ns0:f>'现金流量表'!H68</ns0:f>
        <ns0:v>1365999.82</ns0:v>
      </ns0:c>
      <ns0:c r="I61" s="3">
        <ns0:f>'现金流量表'!I68</ns0:f>
        <ns0:v>1571648.53</ns0:v>
      </ns0:c>
      <ns0:c r="J61" s="3">
        <ns0:f>'现金流量表'!J68</ns0:f>
        <ns0:v>1850168.35</ns0:v>
      </ns0:c>
      <ns0:c r="K61" s="3">
        <ns0:f>'现金流量表'!K68</ns0:f>
        <ns0:v>2014664.34</ns0:v>
      </ns0:c>
      <ns0:c r="L61" s="3">
        <ns0:f>'现金流量表'!L68</ns0:f>
        <ns0:v>2189041.43</ns0:v>
      </ns0:c>
      <ns0:c r="M61" s="3">
        <ns0:f>'现金流量表'!M68</ns0:f>
        <ns0:v>2323801.30</ns0:v>
      </ns0:c>
      <ns0:c r="N61" s="3">
        <ns0:f>'现金流量表'!N68</ns0:f>
        <ns0:v>2534777.79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未摊销资产</ns0:t>
        </ns0:is>
      </ns0:c>
      <ns0:c r="C62" s="3">
        <ns0:f>'摊销明细'!$C$31-SUM('现金流量表'!$C62:C62)</ns0:f>
        <ns0:v>94853.69</ns0:v>
      </ns0:c>
      <ns0:c r="D62" s="3">
        <ns0:f>'摊销明细'!$C$31-SUM('现金流量表'!$C62:D62)</ns0:f>
        <ns0:v>93323.78</ns0:v>
      </ns0:c>
      <ns0:c r="E62" s="3">
        <ns0:f>'摊销明细'!$C$31-SUM('现金流量表'!$C62:E62)</ns0:f>
        <ns0:v>91793.87</ns0:v>
      </ns0:c>
      <ns0:c r="F62" s="3">
        <ns0:f>'摊销明细'!$C$31-SUM('现金流量表'!$C62:F62)</ns0:f>
        <ns0:v>90263.96</ns0:v>
      </ns0:c>
      <ns0:c r="G62" s="3">
        <ns0:f>'摊销明细'!$C$31-SUM('现金流量表'!$C62:G62)</ns0:f>
        <ns0:v>88734.05</ns0:v>
      </ns0:c>
      <ns0:c r="H62" s="3">
        <ns0:f>'摊销明细'!$C$31-SUM('现金流量表'!$C62:H62)</ns0:f>
        <ns0:v>87204.14</ns0:v>
      </ns0:c>
      <ns0:c r="I62" s="3">
        <ns0:f>'摊销明细'!$C$31-SUM('现金流量表'!$C62:I62)</ns0:f>
        <ns0:v>85674.23</ns0:v>
      </ns0:c>
      <ns0:c r="J62" s="3">
        <ns0:f>'摊销明细'!$C$31-SUM('现金流量表'!$C62:J62)</ns0:f>
        <ns0:v>84144.32</ns0:v>
      </ns0:c>
      <ns0:c r="K62" s="3">
        <ns0:f>'摊销明细'!$C$31-SUM('现金流量表'!$C62:K62)</ns0:f>
        <ns0:v>82614.41</ns0:v>
      </ns0:c>
      <ns0:c r="L62" s="3">
        <ns0:f>'摊销明细'!$C$31-SUM('现金流量表'!$C62:L62)</ns0:f>
        <ns0:v>81084.50</ns0:v>
      </ns0:c>
      <ns0:c r="M62" s="3">
        <ns0:f>'摊销明细'!$C$31-SUM('现金流量表'!$C62:M62)</ns0:f>
        <ns0:v>79554.59</ns0:v>
      </ns0:c>
      <ns0:c r="N62" s="3">
        <ns0:f>'摊销明细'!$C$31-SUM('现金流量表'!$C62:N62)</ns0:f>
        <ns0:v>78024.68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资产总额</ns0:t>
        </ns0:is>
      </ns0:c>
      <ns0:c r="C63" s="3">
        <ns0:f>SUM(C61:C62)</ns0:f>
        <ns0:v>438054.15</ns0:v>
      </ns0:c>
      <ns0:c r="D63" s="3">
        <ns0:f>SUM(D61:D62)</ns0:f>
        <ns0:v>609901.06</ns0:v>
      </ns0:c>
      <ns0:c r="E63" s="3">
        <ns0:f>SUM(E61:E62)</ns0:f>
        <ns0:v>839538.92</ns0:v>
      </ns0:c>
      <ns0:c r="F63" s="3">
        <ns0:f>SUM(F61:F62)</ns0:f>
        <ns0:v>998720.02</ns0:v>
      </ns0:c>
      <ns0:c r="G63" s="3">
        <ns0:f>SUM(G61:G62)</ns0:f>
        <ns0:v>1293427.59</ns0:v>
      </ns0:c>
      <ns0:c r="H63" s="3">
        <ns0:f>SUM(H61:H62)</ns0:f>
        <ns0:v>1453203.96</ns0:v>
      </ns0:c>
      <ns0:c r="I63" s="3">
        <ns0:f>SUM(I61:I62)</ns0:f>
        <ns0:v>1657322.76</ns0:v>
      </ns0:c>
      <ns0:c r="J63" s="3">
        <ns0:f>SUM(J61:J62)</ns0:f>
        <ns0:v>1934312.67</ns0:v>
      </ns0:c>
      <ns0:c r="K63" s="3">
        <ns0:f>SUM(K61:K62)</ns0:f>
        <ns0:v>2097278.75</ns0:v>
      </ns0:c>
      <ns0:c r="L63" s="3">
        <ns0:f>SUM(L61:L62)</ns0:f>
        <ns0:v>2270125.93</ns0:v>
      </ns0:c>
      <ns0:c r="M63" s="3">
        <ns0:f>SUM(M61:M62)</ns0:f>
        <ns0:v>2403355.89</ns0:v>
      </ns0:c>
      <ns0:c r="N63" s="3">
        <ns0:f>SUM(N61:N62)</ns0:f>
        <ns0:v>2612802.47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负债总额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实收资本</ns0:t>
        </ns0:is>
      </ns0:c>
      <ns0:c r="C65" s="3">
        <ns0:f>$C$200+'摊销明细'!$C$31</ns0:f>
        <ns0:v>246714.46</ns0:v>
      </ns0:c>
      <ns0:c r="D65" s="3">
        <ns0:f>$C$200+'摊销明细'!$C$31</ns0:f>
        <ns0:v>246714.46</ns0:v>
      </ns0:c>
      <ns0:c r="E65" s="3">
        <ns0:f>$C$200+'摊销明细'!$C$31</ns0:f>
        <ns0:v>246714.46</ns0:v>
      </ns0:c>
      <ns0:c r="F65" s="3">
        <ns0:f>$C$200+'摊销明细'!$C$31</ns0:f>
        <ns0:v>246714.46</ns0:v>
      </ns0:c>
      <ns0:c r="G65" s="3">
        <ns0:f>$C$200+'摊销明细'!$C$31</ns0:f>
        <ns0:v>246714.46</ns0:v>
      </ns0:c>
      <ns0:c r="H65" s="3">
        <ns0:f>$C$200+'摊销明细'!$C$31</ns0:f>
        <ns0:v>246714.46</ns0:v>
      </ns0:c>
      <ns0:c r="I65" s="3">
        <ns0:f>$C$200+'摊销明细'!$C$31</ns0:f>
        <ns0:v>246714.46</ns0:v>
      </ns0:c>
      <ns0:c r="J65" s="3">
        <ns0:f>$C$200+'摊销明细'!$C$31</ns0:f>
        <ns0:v>246714.46</ns0:v>
      </ns0:c>
      <ns0:c r="K65" s="3">
        <ns0:f>$C$200+'摊销明细'!$C$31</ns0:f>
        <ns0:v>246714.46</ns0:v>
      </ns0:c>
      <ns0:c r="L65" s="3">
        <ns0:f>$C$200+'摊销明细'!$C$31</ns0:f>
        <ns0:v>246714.46</ns0:v>
      </ns0:c>
      <ns0:c r="M65" s="3">
        <ns0:f>$C$200+'摊销明细'!$C$31</ns0:f>
        <ns0:v>246714.46</ns0:v>
      </ns0:c>
      <ns0:c r="N65" s="3">
        <ns0:f>$C$200+'摊销明细'!$C$31</ns0:f>
        <ns0:v>246714.46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累计未分配利润</ns0:t>
        </ns0:is>
      </ns0:c>
      <ns0:c r="C66" s="3">
        <ns0:f>SUM('利润表'!$C69:C69)</ns0:f>
        <ns0:v>191339.69</ns0:v>
      </ns0:c>
      <ns0:c r="D66" s="3">
        <ns0:f>SUM('利润表'!$C69:D69)</ns0:f>
        <ns0:v>363186.60</ns0:v>
      </ns0:c>
      <ns0:c r="E66" s="3">
        <ns0:f>SUM('利润表'!$C69:E69)</ns0:f>
        <ns0:v>592824.46</ns0:v>
      </ns0:c>
      <ns0:c r="F66" s="3">
        <ns0:f>SUM('利润表'!$C69:F69)</ns0:f>
        <ns0:v>752005.56</ns0:v>
      </ns0:c>
      <ns0:c r="G66" s="3">
        <ns0:f>SUM('利润表'!$C69:G69)</ns0:f>
        <ns0:v>1046713.13</ns0:v>
      </ns0:c>
      <ns0:c r="H66" s="3">
        <ns0:f>SUM('利润表'!$C69:H69)</ns0:f>
        <ns0:v>1206489.50</ns0:v>
      </ns0:c>
      <ns0:c r="I66" s="3">
        <ns0:f>SUM('利润表'!$C69:I69)</ns0:f>
        <ns0:v>1410608.30</ns0:v>
      </ns0:c>
      <ns0:c r="J66" s="3">
        <ns0:f>SUM('利润表'!$C69:J69)</ns0:f>
        <ns0:v>1687598.21</ns0:v>
      </ns0:c>
      <ns0:c r="K66" s="3">
        <ns0:f>SUM('利润表'!$C69:K69)</ns0:f>
        <ns0:v>1850564.29</ns0:v>
      </ns0:c>
      <ns0:c r="L66" s="3">
        <ns0:f>SUM('利润表'!$C69:L69)</ns0:f>
        <ns0:v>2023411.47</ns0:v>
      </ns0:c>
      <ns0:c r="M66" s="3">
        <ns0:f>SUM('利润表'!$C69:M69)</ns0:f>
        <ns0:v>2156641.43</ns0:v>
      </ns0:c>
      <ns0:c r="N66" s="3">
        <ns0:f>SUM('利润表'!$C69:N69)</ns0:f>
        <ns0:v>2366088.01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所有者权益</ns0:t>
        </ns0:is>
      </ns0:c>
      <ns0:c r="C67" s="3">
        <ns0:f>SUM(C65:C66)</ns0:f>
        <ns0:v>438054.15</ns0:v>
      </ns0:c>
      <ns0:c r="D67" s="3">
        <ns0:f>SUM(D65:D66)</ns0:f>
        <ns0:v>609901.06</ns0:v>
      </ns0:c>
      <ns0:c r="E67" s="3">
        <ns0:f>SUM(E65:E66)</ns0:f>
        <ns0:v>839538.92</ns0:v>
      </ns0:c>
      <ns0:c r="F67" s="3">
        <ns0:f>SUM(F65:F66)</ns0:f>
        <ns0:v>998720.02</ns0:v>
      </ns0:c>
      <ns0:c r="G67" s="3">
        <ns0:f>SUM(G65:G66)</ns0:f>
        <ns0:v>1293427.59</ns0:v>
      </ns0:c>
      <ns0:c r="H67" s="3">
        <ns0:f>SUM(H65:H66)</ns0:f>
        <ns0:v>1453203.96</ns0:v>
      </ns0:c>
      <ns0:c r="I67" s="3">
        <ns0:f>SUM(I65:I66)</ns0:f>
        <ns0:v>1657322.76</ns0:v>
      </ns0:c>
      <ns0:c r="J67" s="3">
        <ns0:f>SUM(J65:J66)</ns0:f>
        <ns0:v>1934312.67</ns0:v>
      </ns0:c>
      <ns0:c r="K67" s="3">
        <ns0:f>SUM(K65:K66)</ns0:f>
        <ns0:v>2097278.75</ns0:v>
      </ns0:c>
      <ns0:c r="L67" s="3">
        <ns0:f>SUM(L65:L66)</ns0:f>
        <ns0:v>2270125.93</ns0:v>
      </ns0:c>
      <ns0:c r="M67" s="3">
        <ns0:f>SUM(M65:M66)</ns0:f>
        <ns0:v>2403355.89</ns0:v>
      </ns0:c>
      <ns0:c r="N67" s="3">
        <ns0:f>SUM(N65:N66)</ns0:f>
        <ns0:v>2612802.47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负债及权益合计</ns0:t>
        </ns0:is>
      </ns0:c>
      <ns0:c r="C68" s="3">
        <ns0:f>SUM(C64,C67)</ns0:f>
        <ns0:v>438054.15</ns0:v>
      </ns0:c>
      <ns0:c r="D68" s="3">
        <ns0:f>SUM(D64,D67)</ns0:f>
        <ns0:v>609901.06</ns0:v>
      </ns0:c>
      <ns0:c r="E68" s="3">
        <ns0:f>SUM(E64,E67)</ns0:f>
        <ns0:v>839538.92</ns0:v>
      </ns0:c>
      <ns0:c r="F68" s="3">
        <ns0:f>SUM(F64,F67)</ns0:f>
        <ns0:v>998720.02</ns0:v>
      </ns0:c>
      <ns0:c r="G68" s="3">
        <ns0:f>SUM(G64,G67)</ns0:f>
        <ns0:v>1293427.59</ns0:v>
      </ns0:c>
      <ns0:c r="H68" s="3">
        <ns0:f>SUM(H64,H67)</ns0:f>
        <ns0:v>1453203.96</ns0:v>
      </ns0:c>
      <ns0:c r="I68" s="3">
        <ns0:f>SUM(I64,I67)</ns0:f>
        <ns0:v>1657322.76</ns0:v>
      </ns0:c>
      <ns0:c r="J68" s="3">
        <ns0:f>SUM(J64,J67)</ns0:f>
        <ns0:v>1934312.67</ns0:v>
      </ns0:c>
      <ns0:c r="K68" s="3">
        <ns0:f>SUM(K64,K67)</ns0:f>
        <ns0:v>2097278.75</ns0:v>
      </ns0:c>
      <ns0:c r="L68" s="3">
        <ns0:f>SUM(L64,L67)</ns0:f>
        <ns0:v>2270125.93</ns0:v>
      </ns0:c>
      <ns0:c r="M68" s="3">
        <ns0:f>SUM(M64,M67)</ns0:f>
        <ns0:v>2403355.89</ns0:v>
      </ns0:c>
      <ns0:c r="N68" s="3">
        <ns0:f>SUM(N64,N67)</ns0:f>
        <ns0:v>2612802.47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期初现金（投入资本）</ns0:t>
        </ns0:is>
      </ns0:c>
      <ns0:c r="C200" s="4">
        <ns0:v>150330.86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现金流量表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 目</ns0:t>
        </ns0:is>
      </ns0:c>
      <ns0:c r="B2" s="2" t="inlineStr">
        <ns0:is>
          <ns0:t>行次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 t="inlineStr">
        <ns0:is>
          <ns0:t>一、经营活动产生的现金流量：</ns0:t>
        </ns0:is>
      </ns0:c>
      <ns0:c r="B3" s="2"/>
      <ns0:c r="C3" s="6" t="inlineStr">
        <ns0:is>
          <ns0:t>全年预算基础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销售商品、提供劳务收到的现金</ns0:t>
        </ns0:is>
      </ns0:c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 t="inlineStr">
        <ns0:is>
          <ns0:t>收到的税费返还</ns0:t>
        </ns0:is>
      </ns0:c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 t="inlineStr">
        <ns0:is>
          <ns0:t>收到其他与经营活动有关的现金</ns0:t>
        </ns0:is>
      </ns0:c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经营活动现金流入小计</ns0:t>
        </ns0:is>
      </ns0:c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 t="inlineStr">
        <ns0:is>
          <ns0:t>购买商品、接受劳务支付的现金（04）</ns0:t>
        </ns0:is>
      </ns0:c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支付给职工以及为职工支付的现金（05）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支付的各项税费（06）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支付其他与经营活动有关的现金（07）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经营活动现金流出小计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经营活动产生的现金流量净额</ns0:t>
        </ns0:is>
      </ns0:c>
      <ns0:c r="B13" s="2"/>
      <ns0:c r="C13" s="3">
        <ns0:f>SUM(C63:N63)</ns0:f>
        <ns0:v>2384446.93</ns0:v>
      </ns0:c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二、投资活动产生的现金流量：</ns0:t>
        </ns0:is>
      </ns0:c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收回投资收到的现金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取得投资收益收到的现金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 t="inlineStr">
        <ns0:is>
          <ns0:t>处置固定资产、无形资产和其他长期资产收回的现金净额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 t="inlineStr">
        <ns0:is>
          <ns0:t>处置子公司及其他营业单位收到的现金净额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收到其他与投资活动有关的现金</ns0:t>
        </ns0:is>
      </ns0:c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投资活动现金流入小计</ns0:t>
        </ns0:is>
      </ns0:c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购建固定资产、无形资产和其他长期资产支付的现金（13）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投资支付的现金（14）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取得子公司及其他营业单位支付的现金净额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支付其他与投资活动有关的现金</ns0:t>
        </ns0:is>
      </ns0:c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投资活动现金流出小计</ns0:t>
        </ns0:is>
      </ns0:c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投资活动产生的现金流量净额</ns0:t>
        </ns0:is>
      </ns0:c>
      <ns0:c r="B26" s="2"/>
      <ns0:c r="C26" s="3">
        <ns0:f>SUM(C64:N64)</ns0:f>
        <ns0:v>0</ns0:v>
      </ns0:c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三、筹资活动产生的现金流量：</ns0:t>
        </ns0:is>
      </ns0:c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吸收投资收到的现金</ns0:t>
        </ns0:is>
      </ns0:c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取得借款收到的现金</ns0:t>
        </ns0:is>
      </ns0:c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收到其他与筹资活动有关的现金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筹资活动现金流入小计</ns0:t>
        </ns0:is>
      </ns0:c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偿还债务支付的现金</ns0:t>
        </ns0:is>
      </ns0:c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分配股利、利润或偿付利息支付的现金</ns0:t>
        </ns0:is>
      </ns0:c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支付其他与筹资活动有关的现金</ns0:t>
        </ns0:is>
      </ns0:c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筹资活动现金流出小计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筹资活动产生的现金流量净额</ns0:t>
        </ns0:is>
      </ns0:c>
      <ns0:c r="B36" s="2"/>
      <ns0:c r="C36" s="3">
        <ns0:f>SUM(C65:N65)</ns0:f>
        <ns0:v>0</ns0:v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 t="inlineStr">
        <ns0:is>
          <ns0:t>四、汇率变动对现金及现金等价物的影响</ns0:t>
        </ns0:is>
      </ns0:c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五、现金及现金等价物净增加额</ns0:t>
        </ns0:is>
      </ns0:c>
      <ns0:c r="B38" s="2"/>
      <ns0:c r="C38" s="3">
        <ns0:f>SUM(C66:N66)</ns0:f>
        <ns0:v>2384446.93</ns0:v>
      </ns0:c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加：期初现金及现金等价物余额</ns0:t>
        </ns0:is>
      </ns0:c>
      <ns0:c r="B39" s="2"/>
      <ns0:c r="C39" s="3">
        <ns0:f>C67</ns0:f>
        <ns0:v>150330.86</ns0:v>
      </ns0:c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六、期末现金及现金等价物余额</ns0:t>
        </ns0:is>
      </ns0:c>
      <ns0:c r="B40" s="2"/>
      <ns0:c r="C40" s="3">
        <ns0:f>N68</ns0:f>
        <ns0:v>2534777.79</ns0:v>
      </ns0:c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预算基础月度勾稽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净利润</ns0:t>
        </ns0:is>
      </ns0:c>
      <ns0:c r="C61" s="3">
        <ns0:f>'利润表'!C69</ns0:f>
        <ns0:v>191339.69</ns0:v>
      </ns0:c>
      <ns0:c r="D61" s="3">
        <ns0:f>'利润表'!D69</ns0:f>
        <ns0:v>171846.91</ns0:v>
      </ns0:c>
      <ns0:c r="E61" s="3">
        <ns0:f>'利润表'!E69</ns0:f>
        <ns0:v>229637.86</ns0:v>
      </ns0:c>
      <ns0:c r="F61" s="3">
        <ns0:f>'利润表'!F69</ns0:f>
        <ns0:v>159181.10</ns0:v>
      </ns0:c>
      <ns0:c r="G61" s="3">
        <ns0:f>'利润表'!G69</ns0:f>
        <ns0:v>294707.57</ns0:v>
      </ns0:c>
      <ns0:c r="H61" s="3">
        <ns0:f>'利润表'!H69</ns0:f>
        <ns0:v>159776.37</ns0:v>
      </ns0:c>
      <ns0:c r="I61" s="3">
        <ns0:f>'利润表'!I69</ns0:f>
        <ns0:v>204118.80</ns0:v>
      </ns0:c>
      <ns0:c r="J61" s="3">
        <ns0:f>'利润表'!J69</ns0:f>
        <ns0:v>276989.91</ns0:v>
      </ns0:c>
      <ns0:c r="K61" s="3">
        <ns0:f>'利润表'!K69</ns0:f>
        <ns0:v>162966.08</ns0:v>
      </ns0:c>
      <ns0:c r="L61" s="3">
        <ns0:f>'利润表'!L69</ns0:f>
        <ns0:v>172847.18</ns0:v>
      </ns0:c>
      <ns0:c r="M61" s="3">
        <ns0:f>'利润表'!M69</ns0:f>
        <ns0:v>133229.96</ns0:v>
      </ns0:c>
      <ns0:c r="N61" s="3">
        <ns0:f>'利润表'!N69</ns0:f>
        <ns0:v>209446.58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折旧摊销加回</ns0:t>
        </ns0:is>
      </ns0:c>
      <ns0:c r="C62" s="3">
        <ns0:f>'销售费用'!C20+'管理费用'!C20+'蓝恐龙费用'!C20</ns0:f>
        <ns0:v>1529.91</ns0:v>
      </ns0:c>
      <ns0:c r="D62" s="3">
        <ns0:f>'销售费用'!D20+'管理费用'!D20+'蓝恐龙费用'!D20</ns0:f>
        <ns0:v>1529.91</ns0:v>
      </ns0:c>
      <ns0:c r="E62" s="3">
        <ns0:f>'销售费用'!E20+'管理费用'!E20+'蓝恐龙费用'!E20</ns0:f>
        <ns0:v>1529.91</ns0:v>
      </ns0:c>
      <ns0:c r="F62" s="3">
        <ns0:f>'销售费用'!F20+'管理费用'!F20+'蓝恐龙费用'!F20</ns0:f>
        <ns0:v>1529.91</ns0:v>
      </ns0:c>
      <ns0:c r="G62" s="3">
        <ns0:f>'销售费用'!G20+'管理费用'!G20+'蓝恐龙费用'!G20</ns0:f>
        <ns0:v>1529.91</ns0:v>
      </ns0:c>
      <ns0:c r="H62" s="3">
        <ns0:f>'销售费用'!H20+'管理费用'!H20+'蓝恐龙费用'!H20</ns0:f>
        <ns0:v>1529.91</ns0:v>
      </ns0:c>
      <ns0:c r="I62" s="3">
        <ns0:f>'销售费用'!I20+'管理费用'!I20+'蓝恐龙费用'!I20</ns0:f>
        <ns0:v>1529.91</ns0:v>
      </ns0:c>
      <ns0:c r="J62" s="3">
        <ns0:f>'销售费用'!J20+'管理费用'!J20+'蓝恐龙费用'!J20</ns0:f>
        <ns0:v>1529.91</ns0:v>
      </ns0:c>
      <ns0:c r="K62" s="3">
        <ns0:f>'销售费用'!K20+'管理费用'!K20+'蓝恐龙费用'!K20</ns0:f>
        <ns0:v>1529.91</ns0:v>
      </ns0:c>
      <ns0:c r="L62" s="3">
        <ns0:f>'销售费用'!L20+'管理费用'!L20+'蓝恐龙费用'!L20</ns0:f>
        <ns0:v>1529.91</ns0:v>
      </ns0:c>
      <ns0:c r="M62" s="3">
        <ns0:f>'销售费用'!M20+'管理费用'!M20+'蓝恐龙费用'!M20</ns0:f>
        <ns0:v>1529.91</ns0:v>
      </ns0:c>
      <ns0:c r="N62" s="3">
        <ns0:f>'销售费用'!N20+'管理费用'!N20+'蓝恐龙费用'!N20</ns0:f>
        <ns0:v>1529.91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经营现金净流量</ns0:t>
        </ns0:is>
      </ns0:c>
      <ns0:c r="C63" s="3">
        <ns0:f>SUM(C61:C62)</ns0:f>
        <ns0:v>192869.60</ns0:v>
      </ns0:c>
      <ns0:c r="D63" s="3">
        <ns0:f>SUM(D61:D62)</ns0:f>
        <ns0:v>173376.82</ns0:v>
      </ns0:c>
      <ns0:c r="E63" s="3">
        <ns0:f>SUM(E61:E62)</ns0:f>
        <ns0:v>231167.77</ns0:v>
      </ns0:c>
      <ns0:c r="F63" s="3">
        <ns0:f>SUM(F61:F62)</ns0:f>
        <ns0:v>160711.01</ns0:v>
      </ns0:c>
      <ns0:c r="G63" s="3">
        <ns0:f>SUM(G61:G62)</ns0:f>
        <ns0:v>296237.48</ns0:v>
      </ns0:c>
      <ns0:c r="H63" s="3">
        <ns0:f>SUM(H61:H62)</ns0:f>
        <ns0:v>161306.28</ns0:v>
      </ns0:c>
      <ns0:c r="I63" s="3">
        <ns0:f>SUM(I61:I62)</ns0:f>
        <ns0:v>205648.71</ns0:v>
      </ns0:c>
      <ns0:c r="J63" s="3">
        <ns0:f>SUM(J61:J62)</ns0:f>
        <ns0:v>278519.82</ns0:v>
      </ns0:c>
      <ns0:c r="K63" s="3">
        <ns0:f>SUM(K61:K62)</ns0:f>
        <ns0:v>164495.99</ns0:v>
      </ns0:c>
      <ns0:c r="L63" s="3">
        <ns0:f>SUM(L61:L62)</ns0:f>
        <ns0:v>174377.09</ns0:v>
      </ns0:c>
      <ns0:c r="M63" s="3">
        <ns0:f>SUM(M61:M62)</ns0:f>
        <ns0:v>134759.87</ns0:v>
      </ns0:c>
      <ns0:c r="N63" s="3">
        <ns0:f>SUM(N61:N62)</ns0:f>
        <ns0:v>210976.49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投资现金净流量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筹资现金净流量</ns0:t>
        </ns0:is>
      </ns0:c>
      <ns0:c r="C65" s="3">
        <ns0:f>0</ns0:f>
        <ns0:v>0</ns0:v>
      </ns0:c>
      <ns0:c r="D65" s="3">
        <ns0:f>0</ns0:f>
        <ns0:v>0</ns0:v>
      </ns0:c>
      <ns0:c r="E65" s="3">
        <ns0:f>0</ns0:f>
        <ns0:v>0</ns0:v>
      </ns0:c>
      <ns0:c r="F65" s="3">
        <ns0:f>0</ns0:f>
        <ns0:v>0</ns0:v>
      </ns0:c>
      <ns0:c r="G65" s="3">
        <ns0:f>0</ns0:f>
        <ns0:v>0</ns0:v>
      </ns0:c>
      <ns0:c r="H65" s="3">
        <ns0:f>0</ns0:f>
        <ns0:v>0</ns0:v>
      </ns0:c>
      <ns0:c r="I65" s="3">
        <ns0:f>0</ns0:f>
        <ns0:v>0</ns0:v>
      </ns0:c>
      <ns0:c r="J65" s="3">
        <ns0:f>0</ns0:f>
        <ns0:v>0</ns0:v>
      </ns0:c>
      <ns0:c r="K65" s="3">
        <ns0:f>0</ns0:f>
        <ns0:v>0</ns0:v>
      </ns0:c>
      <ns0:c r="L65" s="3">
        <ns0:f>0</ns0:f>
        <ns0:v>0</ns0:v>
      </ns0:c>
      <ns0:c r="M65" s="3">
        <ns0:f>0</ns0:f>
        <ns0:v>0</ns0:v>
      </ns0:c>
      <ns0:c r="N65" s="3">
        <ns0:f>0</ns0:f>
        <ns0:v>0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现金净增加</ns0:t>
        </ns0:is>
      </ns0:c>
      <ns0:c r="C66" s="3">
        <ns0:f>SUM(C63:C65)</ns0:f>
        <ns0:v>192869.60</ns0:v>
      </ns0:c>
      <ns0:c r="D66" s="3">
        <ns0:f>SUM(D63:D65)</ns0:f>
        <ns0:v>173376.82</ns0:v>
      </ns0:c>
      <ns0:c r="E66" s="3">
        <ns0:f>SUM(E63:E65)</ns0:f>
        <ns0:v>231167.77</ns0:v>
      </ns0:c>
      <ns0:c r="F66" s="3">
        <ns0:f>SUM(F63:F65)</ns0:f>
        <ns0:v>160711.01</ns0:v>
      </ns0:c>
      <ns0:c r="G66" s="3">
        <ns0:f>SUM(G63:G65)</ns0:f>
        <ns0:v>296237.48</ns0:v>
      </ns0:c>
      <ns0:c r="H66" s="3">
        <ns0:f>SUM(H63:H65)</ns0:f>
        <ns0:v>161306.28</ns0:v>
      </ns0:c>
      <ns0:c r="I66" s="3">
        <ns0:f>SUM(I63:I65)</ns0:f>
        <ns0:v>205648.71</ns0:v>
      </ns0:c>
      <ns0:c r="J66" s="3">
        <ns0:f>SUM(J63:J65)</ns0:f>
        <ns0:v>278519.82</ns0:v>
      </ns0:c>
      <ns0:c r="K66" s="3">
        <ns0:f>SUM(K63:K65)</ns0:f>
        <ns0:v>164495.99</ns0:v>
      </ns0:c>
      <ns0:c r="L66" s="3">
        <ns0:f>SUM(L63:L65)</ns0:f>
        <ns0:v>174377.09</ns0:v>
      </ns0:c>
      <ns0:c r="M66" s="3">
        <ns0:f>SUM(M63:M65)</ns0:f>
        <ns0:v>134759.87</ns0:v>
      </ns0:c>
      <ns0:c r="N66" s="3">
        <ns0:f>SUM(N63:N65)</ns0:f>
        <ns0:v>210976.49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期初现金</ns0:t>
        </ns0:is>
      </ns0:c>
      <ns0:c r="C67" s="3">
        <ns0:f>'资产负债表'!$C$200</ns0:f>
        <ns0:v>150330.86</ns0:v>
      </ns0:c>
      <ns0:c r="D67" s="3">
        <ns0:f>C68</ns0:f>
        <ns0:v>343200.46</ns0:v>
      </ns0:c>
      <ns0:c r="E67" s="3">
        <ns0:f>D68</ns0:f>
        <ns0:v>516577.28</ns0:v>
      </ns0:c>
      <ns0:c r="F67" s="3">
        <ns0:f>E68</ns0:f>
        <ns0:v>747745.05</ns0:v>
      </ns0:c>
      <ns0:c r="G67" s="3">
        <ns0:f>F68</ns0:f>
        <ns0:v>908456.06</ns0:v>
      </ns0:c>
      <ns0:c r="H67" s="3">
        <ns0:f>G68</ns0:f>
        <ns0:v>1204693.54</ns0:v>
      </ns0:c>
      <ns0:c r="I67" s="3">
        <ns0:f>H68</ns0:f>
        <ns0:v>1365999.82</ns0:v>
      </ns0:c>
      <ns0:c r="J67" s="3">
        <ns0:f>I68</ns0:f>
        <ns0:v>1571648.53</ns0:v>
      </ns0:c>
      <ns0:c r="K67" s="3">
        <ns0:f>J68</ns0:f>
        <ns0:v>1850168.35</ns0:v>
      </ns0:c>
      <ns0:c r="L67" s="3">
        <ns0:f>K68</ns0:f>
        <ns0:v>2014664.34</ns0:v>
      </ns0:c>
      <ns0:c r="M67" s="3">
        <ns0:f>L68</ns0:f>
        <ns0:v>2189041.43</ns0:v>
      </ns0:c>
      <ns0:c r="N67" s="3">
        <ns0:f>M68</ns0:f>
        <ns0:v>2323801.30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期末现金</ns0:t>
        </ns0:is>
      </ns0:c>
      <ns0:c r="C68" s="3">
        <ns0:f>SUM(C66:C67)</ns0:f>
        <ns0:v>343200.46</ns0:v>
      </ns0:c>
      <ns0:c r="D68" s="3">
        <ns0:f>SUM(D66:D67)</ns0:f>
        <ns0:v>516577.28</ns0:v>
      </ns0:c>
      <ns0:c r="E68" s="3">
        <ns0:f>SUM(E66:E67)</ns0:f>
        <ns0:v>747745.05</ns0:v>
      </ns0:c>
      <ns0:c r="F68" s="3">
        <ns0:f>SUM(F66:F67)</ns0:f>
        <ns0:v>908456.06</ns0:v>
      </ns0:c>
      <ns0:c r="G68" s="3">
        <ns0:f>SUM(G66:G67)</ns0:f>
        <ns0:v>1204693.54</ns0:v>
      </ns0:c>
      <ns0:c r="H68" s="3">
        <ns0:f>SUM(H66:H67)</ns0:f>
        <ns0:v>1365999.82</ns0:v>
      </ns0:c>
      <ns0:c r="I68" s="3">
        <ns0:f>SUM(I66:I67)</ns0:f>
        <ns0:v>1571648.53</ns0:v>
      </ns0:c>
      <ns0:c r="J68" s="3">
        <ns0:f>SUM(J66:J67)</ns0:f>
        <ns0:v>1850168.35</ns0:v>
      </ns0:c>
      <ns0:c r="K68" s="3">
        <ns0:f>SUM(K66:K67)</ns0:f>
        <ns0:v>2014664.34</ns0:v>
      </ns0:c>
      <ns0:c r="L68" s="3">
        <ns0:f>SUM(L66:L67)</ns0:f>
        <ns0:v>2189041.43</ns0:v>
      </ns0:c>
      <ns0:c r="M68" s="3">
        <ns0:f>SUM(M66:M67)</ns0:f>
        <ns0:v>2323801.30</ns0:v>
      </ns0:c>
      <ns0:c r="N68" s="3">
        <ns0:f>SUM(N66:N67)</ns0:f>
        <ns0:v>2534777.79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D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.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5.75" hidden="0" customWidth="1"/>
    <ns0:col min="17" max="17" width="14.875" hidden="0" customWidth="1"/>
    <ns0:col min="18" max="18" width="9" hidden="0" customWidth="1"/>
    <ns0:col min="19" max="19" width="12.875" hidden="0" customWidth="1"/>
    <ns0:col min="20" max="20" width="15.75" hidden="0" customWidth="1"/>
    <ns0:col min="21" max="21" width="15.75" hidden="0" customWidth="1"/>
    <ns0:col min="22" max="22" width="18.25" hidden="0" customWidth="1"/>
    <ns0:col min="50" max="50" width="20" hidden="0" customWidth="1"/>
    <ns0:col min="51" max="51" width="65" hidden="0" customWidth="1"/>
    <ns0:col min="23" max="23" width="18.875" hidden="0" customWidth="1"/>
    <ns0:col min="24" max="24" width="11.625" hidden="0" customWidth="1"/>
    <ns0:col min="25" max="25" width="18.25" hidden="0" customWidth="1"/>
    <ns0:col min="26" max="26" width="18.25" hidden="0" customWidth="1"/>
    <ns0:col min="27" max="27" width="13" hidden="0" customWidth="1"/>
    <ns0:col min="28" max="28" width="13" hidden="0" customWidth="1"/>
    <ns0:col min="29" max="29" width="13.125" hidden="0" customWidth="1"/>
    <ns0:col min="30" max="30" width="13.125" hidden="0" customWidth="1"/>
    <ns0:col min="31" max="31" width="11.625" hidden="0" customWidth="1"/>
    <ns0:col min="32" max="32" width="11.625" hidden="0" customWidth="1"/>
    <ns0:col min="33" max="33" width="11.125" hidden="0" customWidth="1"/>
    <ns0:col min="34" max="34" width="14.6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 t="inlineStr">
        <ns0:is>
          <ns0:t>电视剧</ns0:t>
        </ns0:is>
      </ns0:c>
      <ns0:c r="C3" s="6"/>
      <ns0:c r="D3" s="6" t="inlineStr">
        <ns0:is>
          <ns0:t>项目名称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2345.60</ns0:v>
      </ns0:c>
      <ns0:c r="D31" s="4">
        <ns0:v>2047.06</ns0:v>
      </ns0:c>
      <ns0:c r="E31" s="4">
        <ns0:v>2173.52</ns0:v>
      </ns0:c>
      <ns0:c r="F31" s="4">
        <ns0:v>1490.01</ns0:v>
      </ns0:c>
      <ns0:c r="G31" s="4">
        <ns0:v>2431.02</ns0:v>
      </ns0:c>
      <ns0:c r="H31" s="4">
        <ns0:v>2014.09</ns0:v>
      </ns0:c>
      <ns0:c r="I31" s="4">
        <ns0:v>1908.04</ns0:v>
      </ns0:c>
      <ns0:c r="J31" s="4">
        <ns0:v>2465.30</ns0:v>
      </ns0:c>
      <ns0:c r="K31" s="4">
        <ns0:v>2342.56</ns0:v>
      </ns0:c>
      <ns0:c r="L31" s="4">
        <ns0:v>1784.94</ns0:v>
      </ns0:c>
      <ns0:c r="M31" s="4">
        <ns0:v>1563.53</ns0:v>
      </ns0:c>
      <ns0:c r="N31" s="4">
        <ns0:v>1949.81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111.76</ns0:v>
      </ns0:c>
      <ns0:c r="D32" s="4">
        <ns0:v>104.19</ns0:v>
      </ns0:c>
      <ns0:c r="E32" s="4">
        <ns0:v>118.52</ns0:v>
      </ns0:c>
      <ns0:c r="F32" s="4">
        <ns0:v>87.22</ns0:v>
      </ns0:c>
      <ns0:c r="G32" s="4">
        <ns0:v>118.22</ns0:v>
      </ns0:c>
      <ns0:c r="H32" s="4">
        <ns0:v>98.75</ns0:v>
      </ns0:c>
      <ns0:c r="I32" s="4">
        <ns0:v>117.49</ns0:v>
      </ns0:c>
      <ns0:c r="J32" s="4">
        <ns0:v>107.96</ns0:v>
      </ns0:c>
      <ns0:c r="K32" s="4">
        <ns0:v>74.13</ns0:v>
      </ns0:c>
      <ns0:c r="L32" s="4">
        <ns0:v>84.57</ns0:v>
      </ns0:c>
      <ns0:c r="M32" s="4">
        <ns0:v>107.44</ns0:v>
      </ns0:c>
      <ns0:c r="N32" s="4">
        <ns0:v>110.98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262144.26</ns0:v>
      </ns0:c>
      <ns0:c r="D33" s="3">
        <ns0:f>ROUND(D31*D32,2)</ns0:f>
        <ns0:v>213283.18</ns0:v>
      </ns0:c>
      <ns0:c r="E33" s="3">
        <ns0:f>ROUND(E31*E32,2)</ns0:f>
        <ns0:v>257605.59</ns0:v>
      </ns0:c>
      <ns0:c r="F33" s="3">
        <ns0:f>ROUND(F31*F32,2)</ns0:f>
        <ns0:v>129958.67</ns0:v>
      </ns0:c>
      <ns0:c r="G33" s="3">
        <ns0:f>ROUND(G31*G32,2)</ns0:f>
        <ns0:v>287395.18</ns0:v>
      </ns0:c>
      <ns0:c r="H33" s="3">
        <ns0:f>ROUND(H31*H32,2)</ns0:f>
        <ns0:v>198891.39</ns0:v>
      </ns0:c>
      <ns0:c r="I33" s="3">
        <ns0:f>ROUND(I31*I32,2)</ns0:f>
        <ns0:v>224175.62</ns0:v>
      </ns0:c>
      <ns0:c r="J33" s="3">
        <ns0:f>ROUND(J31*J32,2)</ns0:f>
        <ns0:v>266153.79</ns0:v>
      </ns0:c>
      <ns0:c r="K33" s="3">
        <ns0:f>ROUND(K31*K32,2)</ns0:f>
        <ns0:v>173653.97</ns0:v>
      </ns0:c>
      <ns0:c r="L33" s="3">
        <ns0:f>ROUND(L31*L32,2)</ns0:f>
        <ns0:v>150952.38</ns0:v>
      </ns0:c>
      <ns0:c r="M33" s="3">
        <ns0:f>ROUND(M31*M32,2)</ns0:f>
        <ns0:v>167985.66</ns0:v>
      </ns0:c>
      <ns0:c r="N33" s="3">
        <ns0:f>ROUND(N31*N32,2)</ns0:f>
        <ns0:v>216389.91</ns0:v>
      </ns0:c>
      <ns0:c r="O33" s="3">
        <ns0:f>SUM(C33:N33)</ns0:f>
        <ns0:v>2548589.60</ns0:v>
      </ns0:c>
      <ns0:c r="P33" s="2" t="inlineStr">
        <ns0:is>
          <ns0:t>REV1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812.42</ns0:v>
      </ns0:c>
      <ns0:c r="D34" s="4">
        <ns0:v>913.36</ns0:v>
      </ns0:c>
      <ns0:c r="E34" s="4">
        <ns0:v>841.98</ns0:v>
      </ns0:c>
      <ns0:c r="F34" s="4">
        <ns0:v>786.08</ns0:v>
      </ns0:c>
      <ns0:c r="G34" s="4">
        <ns0:v>558.50</ns0:v>
      </ns0:c>
      <ns0:c r="H34" s="4">
        <ns0:v>751.35</ns0:v>
      </ns0:c>
      <ns0:c r="I34" s="4">
        <ns0:v>674.41</ns0:v>
      </ns0:c>
      <ns0:c r="J34" s="4">
        <ns0:v>609.03</ns0:v>
      </ns0:c>
      <ns0:c r="K34" s="4">
        <ns0:v>689.94</ns0:v>
      </ns0:c>
      <ns0:c r="L34" s="4">
        <ns0:v>627.98</ns0:v>
      </ns0:c>
      <ns0:c r="M34" s="4">
        <ns0:v>645.79</ns0:v>
      </ns0:c>
      <ns0:c r="N34" s="4">
        <ns0:v>757.58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111.76</ns0:v>
      </ns0:c>
      <ns0:c r="D35" s="3">
        <ns0:f>D32</ns0:f>
        <ns0:v>104.19</ns0:v>
      </ns0:c>
      <ns0:c r="E35" s="3">
        <ns0:f>E32</ns0:f>
        <ns0:v>118.52</ns0:v>
      </ns0:c>
      <ns0:c r="F35" s="3">
        <ns0:f>F32</ns0:f>
        <ns0:v>87.22</ns0:v>
      </ns0:c>
      <ns0:c r="G35" s="3">
        <ns0:f>G32</ns0:f>
        <ns0:v>118.22</ns0:v>
      </ns0:c>
      <ns0:c r="H35" s="3">
        <ns0:f>H32</ns0:f>
        <ns0:v>98.75</ns0:v>
      </ns0:c>
      <ns0:c r="I35" s="3">
        <ns0:f>I32</ns0:f>
        <ns0:v>117.49</ns0:v>
      </ns0:c>
      <ns0:c r="J35" s="3">
        <ns0:f>J32</ns0:f>
        <ns0:v>107.96</ns0:v>
      </ns0:c>
      <ns0:c r="K35" s="3">
        <ns0:f>K32</ns0:f>
        <ns0:v>74.13</ns0:v>
      </ns0:c>
      <ns0:c r="L35" s="3">
        <ns0:f>L32</ns0:f>
        <ns0:v>84.57</ns0:v>
      </ns0:c>
      <ns0:c r="M35" s="3">
        <ns0:f>M32</ns0:f>
        <ns0:v>107.44</ns0:v>
      </ns0:c>
      <ns0:c r="N35" s="3">
        <ns0:f>N32</ns0:f>
        <ns0:v>110.98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90796.06</ns0:v>
      </ns0:c>
      <ns0:c r="D36" s="3">
        <ns0:f>ROUND(D34*D35,2)</ns0:f>
        <ns0:v>95162.98</ns0:v>
      </ns0:c>
      <ns0:c r="E36" s="3">
        <ns0:f>ROUND(E34*E35,2)</ns0:f>
        <ns0:v>99791.47</ns0:v>
      </ns0:c>
      <ns0:c r="F36" s="3">
        <ns0:f>ROUND(F34*F35,2)</ns0:f>
        <ns0:v>68561.90</ns0:v>
      </ns0:c>
      <ns0:c r="G36" s="3">
        <ns0:f>ROUND(G34*G35,2)</ns0:f>
        <ns0:v>66025.87</ns0:v>
      </ns0:c>
      <ns0:c r="H36" s="3">
        <ns0:f>ROUND(H34*H35,2)</ns0:f>
        <ns0:v>74195.81</ns0:v>
      </ns0:c>
      <ns0:c r="I36" s="3">
        <ns0:f>ROUND(I34*I35,2)</ns0:f>
        <ns0:v>79236.43</ns0:v>
      </ns0:c>
      <ns0:c r="J36" s="3">
        <ns0:f>ROUND(J34*J35,2)</ns0:f>
        <ns0:v>65750.88</ns0:v>
      </ns0:c>
      <ns0:c r="K36" s="3">
        <ns0:f>ROUND(K34*K35,2)</ns0:f>
        <ns0:v>51145.25</ns0:v>
      </ns0:c>
      <ns0:c r="L36" s="3">
        <ns0:f>ROUND(L34*L35,2)</ns0:f>
        <ns0:v>53108.27</ns0:v>
      </ns0:c>
      <ns0:c r="M36" s="3">
        <ns0:f>ROUND(M34*M35,2)</ns0:f>
        <ns0:v>69383.68</ns0:v>
      </ns0:c>
      <ns0:c r="N36" s="3">
        <ns0:f>ROUND(N34*N35,2)</ns0:f>
        <ns0:v>84076.23</ns0:v>
      </ns0:c>
      <ns0:c r="O36" s="3">
        <ns0:f>SUM(C36:N36)</ns0:f>
        <ns0:v>897234.83</ns0:v>
      </ns0:c>
      <ns0:c r="P36" s="2" t="inlineStr">
        <ns0:is>
          <ns0:t>COGS1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90796.06</ns0:v>
      </ns0:c>
      <ns0:c r="D37" s="3">
        <ns0:f>D36</ns0:f>
        <ns0:v>95162.98</ns0:v>
      </ns0:c>
      <ns0:c r="E37" s="3">
        <ns0:f>E36</ns0:f>
        <ns0:v>99791.47</ns0:v>
      </ns0:c>
      <ns0:c r="F37" s="3">
        <ns0:f>F36</ns0:f>
        <ns0:v>68561.90</ns0:v>
      </ns0:c>
      <ns0:c r="G37" s="3">
        <ns0:f>G36</ns0:f>
        <ns0:v>66025.87</ns0:v>
      </ns0:c>
      <ns0:c r="H37" s="3">
        <ns0:f>H36</ns0:f>
        <ns0:v>74195.81</ns0:v>
      </ns0:c>
      <ns0:c r="I37" s="3">
        <ns0:f>I36</ns0:f>
        <ns0:v>79236.43</ns0:v>
      </ns0:c>
      <ns0:c r="J37" s="3">
        <ns0:f>J36</ns0:f>
        <ns0:v>65750.88</ns0:v>
      </ns0:c>
      <ns0:c r="K37" s="3">
        <ns0:f>K36</ns0:f>
        <ns0:v>51145.25</ns0:v>
      </ns0:c>
      <ns0:c r="L37" s="3">
        <ns0:f>L36</ns0:f>
        <ns0:v>53108.27</ns0:v>
      </ns0:c>
      <ns0:c r="M37" s="3">
        <ns0:f>M36</ns0:f>
        <ns0:v>69383.68</ns0:v>
      </ns0:c>
      <ns0:c r="N37" s="3">
        <ns0:f>N36</ns0:f>
        <ns0:v>84076.23</ns0:v>
      </ns0:c>
      <ns0:c r="O37" s="3">
        <ns0:f>SUM(C37:N37)</ns0:f>
        <ns0:v>897234.83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N3:O3"/>
    <ns0:mergeCell ref="R3:S3"/>
  </ns0:mergeCell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0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11.125" hidden="0" customWidth="1"/>
    <ns0:col min="18" max="18" width="11.125" hidden="0" customWidth="1"/>
    <ns0:col min="19" max="19" width="14.625" hidden="0" customWidth="1"/>
    <ns0:col min="20" max="20" width="17.25" hidden="0" customWidth="1"/>
    <ns0:col min="21" max="21" width="20" hidden="0" customWidth="1"/>
    <ns0:col min="22" max="22" width="17.25" hidden="0" customWidth="1"/>
    <ns0:col min="50" max="50" width="20" hidden="0" customWidth="1"/>
    <ns0:col min="51" max="51" width="65" hidden="0" customWidth="1"/>
    <ns0:col min="23" max="23" width="13" hidden="0" customWidth="1"/>
    <ns0:col min="24" max="24" width="13" hidden="0" customWidth="1"/>
    <ns0:col min="25" max="25" width="13" hidden="0" customWidth="1"/>
    <ns0:col min="26" max="26" width="17.25" hidden="0" customWidth="1"/>
    <ns0:col min="27" max="27" width="17.25" hidden="0" customWidth="1"/>
    <ns0:col min="28" max="28" width="17.25" hidden="0" customWidth="1"/>
    <ns0:col min="29" max="29" width="17.25" hidden="0" customWidth="1"/>
    <ns0:col min="30" max="30" width="17.25" hidden="0" customWidth="1"/>
    <ns0:col min="31" max="31" width="17.25" hidden="0" customWidth="1"/>
    <ns0:col min="32" max="32" width="16.1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项目名称</ns0:t>
        </ns0:is>
      </ns0:c>
      <ns0:c r="C2" s="3"/>
      <ns0:c r="D2" s="3" t="inlineStr">
        <ns0:is>
          <ns0:t>投资比例</ns0:t>
        </ns0:is>
      </ns0:c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 t="inlineStr">
        <ns0:is>
          <ns0:t>成本</ns0:t>
        </ns0:is>
      </ns0:c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1608.84</ns0:v>
      </ns0:c>
      <ns0:c r="D31" s="4">
        <ns0:v>1882.86</ns0:v>
      </ns0:c>
      <ns0:c r="E31" s="4">
        <ns0:v>2107.76</ns0:v>
      </ns0:c>
      <ns0:c r="F31" s="4">
        <ns0:v>2220.50</ns0:v>
      </ns0:c>
      <ns0:c r="G31" s="4">
        <ns0:v>2218.59</ns0:v>
      </ns0:c>
      <ns0:c r="H31" s="4">
        <ns0:v>1739.35</ns0:v>
      </ns0:c>
      <ns0:c r="I31" s="4">
        <ns0:v>1945.80</ns0:v>
      </ns0:c>
      <ns0:c r="J31" s="4">
        <ns0:v>2066.70</ns0:v>
      </ns0:c>
      <ns0:c r="K31" s="4">
        <ns0:v>1982.99</ns0:v>
      </ns0:c>
      <ns0:c r="L31" s="4">
        <ns0:v>2376.16</ns0:v>
      </ns0:c>
      <ns0:c r="M31" s="4">
        <ns0:v>1766.01</ns0:v>
      </ns0:c>
      <ns0:c r="N31" s="4">
        <ns0:v>1844.27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95.94</ns0:v>
      </ns0:c>
      <ns0:c r="D32" s="4">
        <ns0:v>113.14</ns0:v>
      </ns0:c>
      <ns0:c r="E32" s="4">
        <ns0:v>134.77</ns0:v>
      </ns0:c>
      <ns0:c r="F32" s="4">
        <ns0:v>108.77</ns0:v>
      </ns0:c>
      <ns0:c r="G32" s="4">
        <ns0:v>113.29</ns0:v>
      </ns0:c>
      <ns0:c r="H32" s="4">
        <ns0:v>88.26</ns0:v>
      </ns0:c>
      <ns0:c r="I32" s="4">
        <ns0:v>117.79</ns0:v>
      </ns0:c>
      <ns0:c r="J32" s="4">
        <ns0:v>112.90</ns0:v>
      </ns0:c>
      <ns0:c r="K32" s="4">
        <ns0:v>82.16</ns0:v>
      </ns0:c>
      <ns0:c r="L32" s="4">
        <ns0:v>82.80</ns0:v>
      </ns0:c>
      <ns0:c r="M32" s="4">
        <ns0:v>93.31</ns0:v>
      </ns0:c>
      <ns0:c r="N32" s="4">
        <ns0:v>134.83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154352.11</ns0:v>
      </ns0:c>
      <ns0:c r="D33" s="3">
        <ns0:f>ROUND(D31*D32,2)</ns0:f>
        <ns0:v>213026.78</ns0:v>
      </ns0:c>
      <ns0:c r="E33" s="3">
        <ns0:f>ROUND(E31*E32,2)</ns0:f>
        <ns0:v>284062.82</ns0:v>
      </ns0:c>
      <ns0:c r="F33" s="3">
        <ns0:f>ROUND(F31*F32,2)</ns0:f>
        <ns0:v>241523.79</ns0:v>
      </ns0:c>
      <ns0:c r="G33" s="3">
        <ns0:f>ROUND(G31*G32,2)</ns0:f>
        <ns0:v>251344.06</ns0:v>
      </ns0:c>
      <ns0:c r="H33" s="3">
        <ns0:f>ROUND(H31*H32,2)</ns0:f>
        <ns0:v>153515.03</ns0:v>
      </ns0:c>
      <ns0:c r="I33" s="3">
        <ns0:f>ROUND(I31*I32,2)</ns0:f>
        <ns0:v>229195.78</ns0:v>
      </ns0:c>
      <ns0:c r="J33" s="3">
        <ns0:f>ROUND(J31*J32,2)</ns0:f>
        <ns0:v>233330.43</ns0:v>
      </ns0:c>
      <ns0:c r="K33" s="3">
        <ns0:f>ROUND(K31*K32,2)</ns0:f>
        <ns0:v>162922.46</ns0:v>
      </ns0:c>
      <ns0:c r="L33" s="3">
        <ns0:f>ROUND(L31*L32,2)</ns0:f>
        <ns0:v>196746.05</ns0:v>
      </ns0:c>
      <ns0:c r="M33" s="3">
        <ns0:f>ROUND(M31*M32,2)</ns0:f>
        <ns0:v>164786.39</ns0:v>
      </ns0:c>
      <ns0:c r="N33" s="3">
        <ns0:f>ROUND(N31*N32,2)</ns0:f>
        <ns0:v>248662.92</ns0:v>
      </ns0:c>
      <ns0:c r="O33" s="3">
        <ns0:f>SUM(C33:N33)</ns0:f>
        <ns0:v>2533468.62</ns0:v>
      </ns0:c>
      <ns0:c r="P33" s="2" t="inlineStr">
        <ns0:is>
          <ns0:t>REV2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603.95</ns0:v>
      </ns0:c>
      <ns0:c r="D34" s="4">
        <ns0:v>764.67</ns0:v>
      </ns0:c>
      <ns0:c r="E34" s="4">
        <ns0:v>900.67</ns0:v>
      </ns0:c>
      <ns0:c r="F34" s="4">
        <ns0:v>691.71</ns0:v>
      </ns0:c>
      <ns0:c r="G34" s="4">
        <ns0:v>602.67</ns0:v>
      </ns0:c>
      <ns0:c r="H34" s="4">
        <ns0:v>580.63</ns0:v>
      </ns0:c>
      <ns0:c r="I34" s="4">
        <ns0:v>725.96</ns0:v>
      </ns0:c>
      <ns0:c r="J34" s="4">
        <ns0:v>486.77</ns0:v>
      </ns0:c>
      <ns0:c r="K34" s="4">
        <ns0:v>640.14</ns0:v>
      </ns0:c>
      <ns0:c r="L34" s="4">
        <ns0:v>599.90</ns0:v>
      </ns0:c>
      <ns0:c r="M34" s="4">
        <ns0:v>745.07</ns0:v>
      </ns0:c>
      <ns0:c r="N34" s="4">
        <ns0:v>630.55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95.94</ns0:v>
      </ns0:c>
      <ns0:c r="D35" s="3">
        <ns0:f>D32</ns0:f>
        <ns0:v>113.14</ns0:v>
      </ns0:c>
      <ns0:c r="E35" s="3">
        <ns0:f>E32</ns0:f>
        <ns0:v>134.77</ns0:v>
      </ns0:c>
      <ns0:c r="F35" s="3">
        <ns0:f>F32</ns0:f>
        <ns0:v>108.77</ns0:v>
      </ns0:c>
      <ns0:c r="G35" s="3">
        <ns0:f>G32</ns0:f>
        <ns0:v>113.29</ns0:v>
      </ns0:c>
      <ns0:c r="H35" s="3">
        <ns0:f>H32</ns0:f>
        <ns0:v>88.26</ns0:v>
      </ns0:c>
      <ns0:c r="I35" s="3">
        <ns0:f>I32</ns0:f>
        <ns0:v>117.79</ns0:v>
      </ns0:c>
      <ns0:c r="J35" s="3">
        <ns0:f>J32</ns0:f>
        <ns0:v>112.90</ns0:v>
      </ns0:c>
      <ns0:c r="K35" s="3">
        <ns0:f>K32</ns0:f>
        <ns0:v>82.16</ns0:v>
      </ns0:c>
      <ns0:c r="L35" s="3">
        <ns0:f>L32</ns0:f>
        <ns0:v>82.80</ns0:v>
      </ns0:c>
      <ns0:c r="M35" s="3">
        <ns0:f>M32</ns0:f>
        <ns0:v>93.31</ns0:v>
      </ns0:c>
      <ns0:c r="N35" s="3">
        <ns0:f>N32</ns0:f>
        <ns0:v>134.83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57942.96</ns0:v>
      </ns0:c>
      <ns0:c r="D36" s="3">
        <ns0:f>ROUND(D34*D35,2)</ns0:f>
        <ns0:v>86514.76</ns0:v>
      </ns0:c>
      <ns0:c r="E36" s="3">
        <ns0:f>ROUND(E34*E35,2)</ns0:f>
        <ns0:v>121383.30</ns0:v>
      </ns0:c>
      <ns0:c r="F36" s="3">
        <ns0:f>ROUND(F34*F35,2)</ns0:f>
        <ns0:v>75237.30</ns0:v>
      </ns0:c>
      <ns0:c r="G36" s="3">
        <ns0:f>ROUND(G34*G35,2)</ns0:f>
        <ns0:v>68276.48</ns0:v>
      </ns0:c>
      <ns0:c r="H36" s="3">
        <ns0:f>ROUND(H34*H35,2)</ns0:f>
        <ns0:v>51246.40</ns0:v>
      </ns0:c>
      <ns0:c r="I36" s="3">
        <ns0:f>ROUND(I34*I35,2)</ns0:f>
        <ns0:v>85510.83</ns0:v>
      </ns0:c>
      <ns0:c r="J36" s="3">
        <ns0:f>ROUND(J34*J35,2)</ns0:f>
        <ns0:v>54956.33</ns0:v>
      </ns0:c>
      <ns0:c r="K36" s="3">
        <ns0:f>ROUND(K34*K35,2)</ns0:f>
        <ns0:v>52593.90</ns0:v>
      </ns0:c>
      <ns0:c r="L36" s="3">
        <ns0:f>ROUND(L34*L35,2)</ns0:f>
        <ns0:v>49671.72</ns0:v>
      </ns0:c>
      <ns0:c r="M36" s="3">
        <ns0:f>ROUND(M34*M35,2)</ns0:f>
        <ns0:v>69522.48</ns0:v>
      </ns0:c>
      <ns0:c r="N36" s="3">
        <ns0:f>ROUND(N34*N35,2)</ns0:f>
        <ns0:v>85017.06</ns0:v>
      </ns0:c>
      <ns0:c r="O36" s="3">
        <ns0:f>SUM(C36:N36)</ns0:f>
        <ns0:v>857873.52</ns0:v>
      </ns0:c>
      <ns0:c r="P36" s="2" t="inlineStr">
        <ns0:is>
          <ns0:t>COGS2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57942.96</ns0:v>
      </ns0:c>
      <ns0:c r="D37" s="3">
        <ns0:f>D36</ns0:f>
        <ns0:v>86514.76</ns0:v>
      </ns0:c>
      <ns0:c r="E37" s="3">
        <ns0:f>E36</ns0:f>
        <ns0:v>121383.30</ns0:v>
      </ns0:c>
      <ns0:c r="F37" s="3">
        <ns0:f>F36</ns0:f>
        <ns0:v>75237.30</ns0:v>
      </ns0:c>
      <ns0:c r="G37" s="3">
        <ns0:f>G36</ns0:f>
        <ns0:v>68276.48</ns0:v>
      </ns0:c>
      <ns0:c r="H37" s="3">
        <ns0:f>H36</ns0:f>
        <ns0:v>51246.40</ns0:v>
      </ns0:c>
      <ns0:c r="I37" s="3">
        <ns0:f>I36</ns0:f>
        <ns0:v>85510.83</ns0:v>
      </ns0:c>
      <ns0:c r="J37" s="3">
        <ns0:f>J36</ns0:f>
        <ns0:v>54956.33</ns0:v>
      </ns0:c>
      <ns0:c r="K37" s="3">
        <ns0:f>K36</ns0:f>
        <ns0:v>52593.90</ns0:v>
      </ns0:c>
      <ns0:c r="L37" s="3">
        <ns0:f>L36</ns0:f>
        <ns0:v>49671.72</ns0:v>
      </ns0:c>
      <ns0:c r="M37" s="3">
        <ns0:f>M36</ns0:f>
        <ns0:v>69522.48</ns0:v>
      </ns0:c>
      <ns0:c r="N37" s="3">
        <ns0:f>N36</ns0:f>
        <ns0:v>85017.06</ns0:v>
      </ns0:c>
      <ns0:c r="O37" s="3">
        <ns0:f>SUM(C37:N37)</ns0:f>
        <ns0:v>857873.52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L2:M2"/>
    <ns0:mergeCell ref="P2:Q2"/>
  </ns0:mergeCell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税金及附加</ns0:t>
        </ns0:is>
      </ns0:c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预算基础（月度，元）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综合附加率（演示假设）</ns0:t>
        </ns0:is>
      </ns0:c>
      <ns0:c r="C31" s="4">
        <ns0:v>0.00796</ns0:v>
      </ns0:c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计税收入</ns0:t>
        </ns0:is>
      </ns0:c>
      <ns0:c r="C32" s="3">
        <ns0:f>'收入非主控'!C33+'收入主控'!C33</ns0:f>
        <ns0:v>416496.37</ns0:v>
      </ns0:c>
      <ns0:c r="D32" s="3">
        <ns0:f>'收入非主控'!D33+'收入主控'!D33</ns0:f>
        <ns0:v>426309.96</ns0:v>
      </ns0:c>
      <ns0:c r="E32" s="3">
        <ns0:f>'收入非主控'!E33+'收入主控'!E33</ns0:f>
        <ns0:v>541668.41</ns0:v>
      </ns0:c>
      <ns0:c r="F32" s="3">
        <ns0:f>'收入非主控'!F33+'收入主控'!F33</ns0:f>
        <ns0:v>371482.46</ns0:v>
      </ns0:c>
      <ns0:c r="G32" s="3">
        <ns0:f>'收入非主控'!G33+'收入主控'!G33</ns0:f>
        <ns0:v>538739.24</ns0:v>
      </ns0:c>
      <ns0:c r="H32" s="3">
        <ns0:f>'收入非主控'!H33+'收入主控'!H33</ns0:f>
        <ns0:v>352406.42</ns0:v>
      </ns0:c>
      <ns0:c r="I32" s="3">
        <ns0:f>'收入非主控'!I33+'收入主控'!I33</ns0:f>
        <ns0:v>453371.40</ns0:v>
      </ns0:c>
      <ns0:c r="J32" s="3">
        <ns0:f>'收入非主控'!J33+'收入主控'!J33</ns0:f>
        <ns0:v>499484.22</ns0:v>
      </ns0:c>
      <ns0:c r="K32" s="3">
        <ns0:f>'收入非主控'!K33+'收入主控'!K33</ns0:f>
        <ns0:v>336576.43</ns0:v>
      </ns0:c>
      <ns0:c r="L32" s="3">
        <ns0:f>'收入非主控'!L33+'收入主控'!L33</ns0:f>
        <ns0:v>347698.43</ns0:v>
      </ns0:c>
      <ns0:c r="M32" s="3">
        <ns0:f>'收入非主控'!M33+'收入主控'!M33</ns0:f>
        <ns0:v>332772.05</ns0:v>
      </ns0:c>
      <ns0:c r="N32" s="3">
        <ns0:f>'收入非主控'!N33+'收入主控'!N33</ns0:f>
        <ns0:v>465052.83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税金及附加</ns0:t>
        </ns0:is>
      </ns0:c>
      <ns0:c r="C33" s="3">
        <ns0:f>ROUND(C32*$C$31,2)</ns0:f>
        <ns0:v>3315.31</ns0:v>
      </ns0:c>
      <ns0:c r="D33" s="3">
        <ns0:f>ROUND(D32*$C$31,2)</ns0:f>
        <ns0:v>3393.43</ns0:v>
      </ns0:c>
      <ns0:c r="E33" s="3">
        <ns0:f>ROUND(E32*$C$31,2)</ns0:f>
        <ns0:v>4311.68</ns0:v>
      </ns0:c>
      <ns0:c r="F33" s="3">
        <ns0:f>ROUND(F32*$C$31,2)</ns0:f>
        <ns0:v>2957.00</ns0:v>
      </ns0:c>
      <ns0:c r="G33" s="3">
        <ns0:f>ROUND(G32*$C$31,2)</ns0:f>
        <ns0:v>4288.36</ns0:v>
      </ns0:c>
      <ns0:c r="H33" s="3">
        <ns0:f>ROUND(H32*$C$31,2)</ns0:f>
        <ns0:v>2805.16</ns0:v>
      </ns0:c>
      <ns0:c r="I33" s="3">
        <ns0:f>ROUND(I32*$C$31,2)</ns0:f>
        <ns0:v>3608.84</ns0:v>
      </ns0:c>
      <ns0:c r="J33" s="3">
        <ns0:f>ROUND(J32*$C$31,2)</ns0:f>
        <ns0:v>3975.89</ns0:v>
      </ns0:c>
      <ns0:c r="K33" s="3">
        <ns0:f>ROUND(K32*$C$31,2)</ns0:f>
        <ns0:v>2679.15</ns0:v>
      </ns0:c>
      <ns0:c r="L33" s="3">
        <ns0:f>ROUND(L32*$C$31,2)</ns0:f>
        <ns0:v>2767.68</ns0:v>
      </ns0:c>
      <ns0:c r="M33" s="3">
        <ns0:f>ROUND(M32*$C$31,2)</ns0:f>
        <ns0:v>2648.87</ns0:v>
      </ns0:c>
      <ns0:c r="N33" s="3">
        <ns0:f>ROUND(N32*$C$31,2)</ns0:f>
        <ns0:v>3701.82</ns0:v>
      </ns0:c>
      <ns0:c r="O33" s="3"/>
      <ns0:c r="P33" s="2" t="inlineStr">
        <ns0:is>
          <ns0:t>TAX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4.875" hidden="0" customWidth="1"/>
    <ns0:col min="17" max="17" width="9" hidden="0" customWidth="1"/>
    <ns0:col min="18" max="18" width="9.625" hidden="0" customWidth="1"/>
    <ns0:col min="19" max="19" width="9" hidden="0" customWidth="1"/>
    <ns0:col min="20" max="20" width="9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销售费用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预算基础（月度，元）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63.39</ns0:v>
      </ns0:c>
      <ns0:c r="D4" s="3">
        <ns0:f>ROUND(D204*D324,2)</ns0:f>
        <ns0:v>111.10</ns0:v>
      </ns0:c>
      <ns0:c r="E4" s="3">
        <ns0:f>ROUND(E204*E324,2)</ns0:f>
        <ns0:v>344.12</ns0:v>
      </ns0:c>
      <ns0:c r="F4" s="3">
        <ns0:f>ROUND(F204*F324,2)</ns0:f>
        <ns0:v>63.27</ns0:v>
      </ns0:c>
      <ns0:c r="G4" s="3">
        <ns0:f>ROUND(G204*G324,2)</ns0:f>
        <ns0:v>265.06</ns0:v>
      </ns0:c>
      <ns0:c r="H4" s="3">
        <ns0:f>ROUND(H204*H324,2)</ns0:f>
        <ns0:v>159.17</ns0:v>
      </ns0:c>
      <ns0:c r="I4" s="3">
        <ns0:f>ROUND(I204*I324,2)</ns0:f>
        <ns0:v>346.74</ns0:v>
      </ns0:c>
      <ns0:c r="J4" s="3">
        <ns0:f>ROUND(J204*J324,2)</ns0:f>
        <ns0:v>377.20</ns0:v>
      </ns0:c>
      <ns0:c r="K4" s="3">
        <ns0:f>ROUND(K204*K324,2)</ns0:f>
        <ns0:v>265.28</ns0:v>
      </ns0:c>
      <ns0:c r="L4" s="3">
        <ns0:f>ROUND(L204*L324,2)</ns0:f>
        <ns0:v>363.71</ns0:v>
      </ns0:c>
      <ns0:c r="M4" s="3">
        <ns0:f>ROUND(M204*M324,2)</ns0:f>
        <ns0:v>87.04</ns0:v>
      </ns0:c>
      <ns0:c r="N4" s="3">
        <ns0:f>ROUND(N204*N324,2)</ns0:f>
        <ns0:v>103.71</ns0:v>
      </ns0:c>
      <ns0:c r="O4" s="3">
        <ns0:f>SUM(C4:N4)</ns0:f>
        <ns0:v>2549.79</ns0:v>
      </ns0:c>
      <ns0:c r="P4" s="2" t="inlineStr">
        <ns0:is>
          <ns0:t>EXP1.004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305.80</ns0:v>
      </ns0:c>
      <ns0:c r="D5" s="3">
        <ns0:f>ROUND(D205*D325,2)</ns0:f>
        <ns0:v>76.58</ns0:v>
      </ns0:c>
      <ns0:c r="E5" s="3">
        <ns0:f>ROUND(E205*E325,2)</ns0:f>
        <ns0:v>332.30</ns0:v>
      </ns0:c>
      <ns0:c r="F5" s="3">
        <ns0:f>ROUND(F205*F325,2)</ns0:f>
        <ns0:v>259.51</ns0:v>
      </ns0:c>
      <ns0:c r="G5" s="3">
        <ns0:f>ROUND(G205*G325,2)</ns0:f>
        <ns0:v>499.83</ns0:v>
      </ns0:c>
      <ns0:c r="H5" s="3">
        <ns0:f>ROUND(H205*H325,2)</ns0:f>
        <ns0:v>186.04</ns0:v>
      </ns0:c>
      <ns0:c r="I5" s="3">
        <ns0:f>ROUND(I205*I325,2)</ns0:f>
        <ns0:v>357.85</ns0:v>
      </ns0:c>
      <ns0:c r="J5" s="3">
        <ns0:f>ROUND(J205*J325,2)</ns0:f>
        <ns0:v>82.08</ns0:v>
      </ns0:c>
      <ns0:c r="K5" s="3">
        <ns0:f>ROUND(K205*K325,2)</ns0:f>
        <ns0:v>479.20</ns0:v>
      </ns0:c>
      <ns0:c r="L5" s="3">
        <ns0:f>ROUND(L205*L325,2)</ns0:f>
        <ns0:v>103.41</ns0:v>
      </ns0:c>
      <ns0:c r="M5" s="3">
        <ns0:f>ROUND(M205*M325,2)</ns0:f>
        <ns0:v>114.40</ns0:v>
      </ns0:c>
      <ns0:c r="N5" s="3">
        <ns0:f>ROUND(N205*N325,2)</ns0:f>
        <ns0:v>114.06</ns0:v>
      </ns0:c>
      <ns0:c r="O5" s="3">
        <ns0:f>SUM(C5:N5)</ns0:f>
        <ns0:v>2911.06</ns0:v>
      </ns0:c>
      <ns0:c r="P5" s="2" t="inlineStr">
        <ns0:is>
          <ns0:t>EXP1.005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212.77</ns0:v>
      </ns0:c>
      <ns0:c r="D6" s="3">
        <ns0:f>ROUND(D206*D326,2)</ns0:f>
        <ns0:v>186.91</ns0:v>
      </ns0:c>
      <ns0:c r="E6" s="3">
        <ns0:f>ROUND(E206*E326,2)</ns0:f>
        <ns0:v>114.23</ns0:v>
      </ns0:c>
      <ns0:c r="F6" s="3">
        <ns0:f>ROUND(F206*F326,2)</ns0:f>
        <ns0:v>106.11</ns0:v>
      </ns0:c>
      <ns0:c r="G6" s="3">
        <ns0:f>ROUND(G206*G326,2)</ns0:f>
        <ns0:v>453.26</ns0:v>
      </ns0:c>
      <ns0:c r="H6" s="3">
        <ns0:f>ROUND(H206*H326,2)</ns0:f>
        <ns0:v>136.79</ns0:v>
      </ns0:c>
      <ns0:c r="I6" s="3">
        <ns0:f>ROUND(I206*I326,2)</ns0:f>
        <ns0:v>240.45</ns0:v>
      </ns0:c>
      <ns0:c r="J6" s="3">
        <ns0:f>ROUND(J206*J326,2)</ns0:f>
        <ns0:v>351.16</ns0:v>
      </ns0:c>
      <ns0:c r="K6" s="3">
        <ns0:f>ROUND(K206*K326,2)</ns0:f>
        <ns0:v>251.79</ns0:v>
      </ns0:c>
      <ns0:c r="L6" s="3">
        <ns0:f>ROUND(L206*L326,2)</ns0:f>
        <ns0:v>154.04</ns0:v>
      </ns0:c>
      <ns0:c r="M6" s="3">
        <ns0:f>ROUND(M206*M326,2)</ns0:f>
        <ns0:v>203.76</ns0:v>
      </ns0:c>
      <ns0:c r="N6" s="3">
        <ns0:f>ROUND(N206*N326,2)</ns0:f>
        <ns0:v>153.71</ns0:v>
      </ns0:c>
      <ns0:c r="O6" s="3">
        <ns0:f>SUM(C6:N6)</ns0:f>
        <ns0:v>2564.98</ns0:v>
      </ns0:c>
      <ns0:c r="P6" s="2" t="inlineStr">
        <ns0:is>
          <ns0:t>EXP1.006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232.23</ns0:v>
      </ns0:c>
      <ns0:c r="D7" s="3">
        <ns0:f>ROUND(D207*D327,2)</ns0:f>
        <ns0:v>174.26</ns0:v>
      </ns0:c>
      <ns0:c r="E7" s="3">
        <ns0:f>ROUND(E207*E327,2)</ns0:f>
        <ns0:v>101.10</ns0:v>
      </ns0:c>
      <ns0:c r="F7" s="3">
        <ns0:f>ROUND(F207*F327,2)</ns0:f>
        <ns0:v>229.07</ns0:v>
      </ns0:c>
      <ns0:c r="G7" s="3">
        <ns0:f>ROUND(G207*G327,2)</ns0:f>
        <ns0:v>369.72</ns0:v>
      </ns0:c>
      <ns0:c r="H7" s="3">
        <ns0:f>ROUND(H207*H327,2)</ns0:f>
        <ns0:v>132.10</ns0:v>
      </ns0:c>
      <ns0:c r="I7" s="3">
        <ns0:f>ROUND(I207*I327,2)</ns0:f>
        <ns0:v>427.92</ns0:v>
      </ns0:c>
      <ns0:c r="J7" s="3">
        <ns0:f>ROUND(J207*J327,2)</ns0:f>
        <ns0:v>328.92</ns0:v>
      </ns0:c>
      <ns0:c r="K7" s="3">
        <ns0:f>ROUND(K207*K327,2)</ns0:f>
        <ns0:v>133.48</ns0:v>
      </ns0:c>
      <ns0:c r="L7" s="3">
        <ns0:f>ROUND(L207*L327,2)</ns0:f>
        <ns0:v>105.16</ns0:v>
      </ns0:c>
      <ns0:c r="M7" s="3">
        <ns0:f>ROUND(M207*M327,2)</ns0:f>
        <ns0:v>441.77</ns0:v>
      </ns0:c>
      <ns0:c r="N7" s="3">
        <ns0:f>ROUND(N207*N327,2)</ns0:f>
        <ns0:v>305.70</ns0:v>
      </ns0:c>
      <ns0:c r="O7" s="3">
        <ns0:f>SUM(C7:N7)</ns0:f>
        <ns0:v>2981.43</ns0:v>
      </ns0:c>
      <ns0:c r="P7" s="2" t="inlineStr">
        <ns0:is>
          <ns0:t>EXP1.007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428.02</ns0:v>
      </ns0:c>
      <ns0:c r="D8" s="3">
        <ns0:f>ROUND(D208*D328,2)</ns0:f>
        <ns0:v>368.72</ns0:v>
      </ns0:c>
      <ns0:c r="E8" s="3">
        <ns0:f>ROUND(E208*E328,2)</ns0:f>
        <ns0:v>161.22</ns0:v>
      </ns0:c>
      <ns0:c r="F8" s="3">
        <ns0:f>ROUND(F208*F328,2)</ns0:f>
        <ns0:v>102.56</ns0:v>
      </ns0:c>
      <ns0:c r="G8" s="3">
        <ns0:f>ROUND(G208*G328,2)</ns0:f>
        <ns0:v>184.37</ns0:v>
      </ns0:c>
      <ns0:c r="H8" s="3">
        <ns0:f>ROUND(H208*H328,2)</ns0:f>
        <ns0:v>333.54</ns0:v>
      </ns0:c>
      <ns0:c r="I8" s="3">
        <ns0:f>ROUND(I208*I328,2)</ns0:f>
        <ns0:v>142.88</ns0:v>
      </ns0:c>
      <ns0:c r="J8" s="3">
        <ns0:f>ROUND(J208*J328,2)</ns0:f>
        <ns0:v>137.89</ns0:v>
      </ns0:c>
      <ns0:c r="K8" s="3">
        <ns0:f>ROUND(K208*K328,2)</ns0:f>
        <ns0:v>261.71</ns0:v>
      </ns0:c>
      <ns0:c r="L8" s="3">
        <ns0:f>ROUND(L208*L328,2)</ns0:f>
        <ns0:v>219.34</ns0:v>
      </ns0:c>
      <ns0:c r="M8" s="3">
        <ns0:f>ROUND(M208*M328,2)</ns0:f>
        <ns0:v>217.00</ns0:v>
      </ns0:c>
      <ns0:c r="N8" s="3">
        <ns0:f>ROUND(N208*N328,2)</ns0:f>
        <ns0:v>177.50</ns0:v>
      </ns0:c>
      <ns0:c r="O8" s="3">
        <ns0:f>SUM(C8:N8)</ns0:f>
        <ns0:v>2734.75</ns0:v>
      </ns0:c>
      <ns0:c r="P8" s="2" t="inlineStr">
        <ns0:is>
          <ns0:t>EXP1.008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107.53</ns0:v>
      </ns0:c>
      <ns0:c r="D9" s="3">
        <ns0:f>ROUND(D209*D329,2)</ns0:f>
        <ns0:v>332.42</ns0:v>
      </ns0:c>
      <ns0:c r="E9" s="3">
        <ns0:f>ROUND(E209*E329,2)</ns0:f>
        <ns0:v>295.32</ns0:v>
      </ns0:c>
      <ns0:c r="F9" s="3">
        <ns0:f>ROUND(F209*F329,2)</ns0:f>
        <ns0:v>157.56</ns0:v>
      </ns0:c>
      <ns0:c r="G9" s="3">
        <ns0:f>ROUND(G209*G329,2)</ns0:f>
        <ns0:v>244.96</ns0:v>
      </ns0:c>
      <ns0:c r="H9" s="3">
        <ns0:f>ROUND(H209*H329,2)</ns0:f>
        <ns0:v>314.49</ns0:v>
      </ns0:c>
      <ns0:c r="I9" s="3">
        <ns0:f>ROUND(I209*I329,2)</ns0:f>
        <ns0:v>237.92</ns0:v>
      </ns0:c>
      <ns0:c r="J9" s="3">
        <ns0:f>ROUND(J209*J329,2)</ns0:f>
        <ns0:v>133.70</ns0:v>
      </ns0:c>
      <ns0:c r="K9" s="3">
        <ns0:f>ROUND(K209*K329,2)</ns0:f>
        <ns0:v>148.57</ns0:v>
      </ns0:c>
      <ns0:c r="L9" s="3">
        <ns0:f>ROUND(L209*L329,2)</ns0:f>
        <ns0:v>138.94</ns0:v>
      </ns0:c>
      <ns0:c r="M9" s="3">
        <ns0:f>ROUND(M209*M329,2)</ns0:f>
        <ns0:v>343.48</ns0:v>
      </ns0:c>
      <ns0:c r="N9" s="3">
        <ns0:f>ROUND(N209*N329,2)</ns0:f>
        <ns0:v>391.01</ns0:v>
      </ns0:c>
      <ns0:c r="O9" s="3">
        <ns0:f>SUM(C9:N9)</ns0:f>
        <ns0:v>2845.90</ns0:v>
      </ns0:c>
      <ns0:c r="P9" s="2" t="inlineStr">
        <ns0:is>
          <ns0:t>EXP1.009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166.69</ns0:v>
      </ns0:c>
      <ns0:c r="D10" s="3">
        <ns0:f>ROUND(D210*D330,2)</ns0:f>
        <ns0:v>415.51</ns0:v>
      </ns0:c>
      <ns0:c r="E10" s="3">
        <ns0:f>ROUND(E210*E330,2)</ns0:f>
        <ns0:v>454.95</ns0:v>
      </ns0:c>
      <ns0:c r="F10" s="3">
        <ns0:f>ROUND(F210*F330,2)</ns0:f>
        <ns0:v>299.52</ns0:v>
      </ns0:c>
      <ns0:c r="G10" s="3">
        <ns0:f>ROUND(G210*G330,2)</ns0:f>
        <ns0:v>50.44</ns0:v>
      </ns0:c>
      <ns0:c r="H10" s="3">
        <ns0:f>ROUND(H210*H330,2)</ns0:f>
        <ns0:v>253.70</ns0:v>
      </ns0:c>
      <ns0:c r="I10" s="3">
        <ns0:f>ROUND(I210*I330,2)</ns0:f>
        <ns0:v>176.72</ns0:v>
      </ns0:c>
      <ns0:c r="J10" s="3">
        <ns0:f>ROUND(J210*J330,2)</ns0:f>
        <ns0:v>203.74</ns0:v>
      </ns0:c>
      <ns0:c r="K10" s="3">
        <ns0:f>ROUND(K210*K330,2)</ns0:f>
        <ns0:v>333.98</ns0:v>
      </ns0:c>
      <ns0:c r="L10" s="3">
        <ns0:f>ROUND(L210*L330,2)</ns0:f>
        <ns0:v>413.94</ns0:v>
      </ns0:c>
      <ns0:c r="M10" s="3">
        <ns0:f>ROUND(M210*M330,2)</ns0:f>
        <ns0:v>169.79</ns0:v>
      </ns0:c>
      <ns0:c r="N10" s="3">
        <ns0:f>ROUND(N210*N330,2)</ns0:f>
        <ns0:v>218.10</ns0:v>
      </ns0:c>
      <ns0:c r="O10" s="3">
        <ns0:f>SUM(C10:N10)</ns0:f>
        <ns0:v>3157.08</ns0:v>
      </ns0:c>
      <ns0:c r="P10" s="2" t="inlineStr">
        <ns0:is>
          <ns0:t>EXP1.010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143.89</ns0:v>
      </ns0:c>
      <ns0:c r="D11" s="3">
        <ns0:f>ROUND(D211*D331,2)</ns0:f>
        <ns0:v>356.03</ns0:v>
      </ns0:c>
      <ns0:c r="E11" s="3">
        <ns0:f>ROUND(E211*E331,2)</ns0:f>
        <ns0:v>237.70</ns0:v>
      </ns0:c>
      <ns0:c r="F11" s="3">
        <ns0:f>ROUND(F211*F331,2)</ns0:f>
        <ns0:v>202.63</ns0:v>
      </ns0:c>
      <ns0:c r="G11" s="3">
        <ns0:f>ROUND(G211*G331,2)</ns0:f>
        <ns0:v>304.75</ns0:v>
      </ns0:c>
      <ns0:c r="H11" s="3">
        <ns0:f>ROUND(H211*H331,2)</ns0:f>
        <ns0:v>563.36</ns0:v>
      </ns0:c>
      <ns0:c r="I11" s="3">
        <ns0:f>ROUND(I211*I331,2)</ns0:f>
        <ns0:v>475.76</ns0:v>
      </ns0:c>
      <ns0:c r="J11" s="3">
        <ns0:f>ROUND(J211*J331,2)</ns0:f>
        <ns0:v>194.47</ns0:v>
      </ns0:c>
      <ns0:c r="K11" s="3">
        <ns0:f>ROUND(K211*K331,2)</ns0:f>
        <ns0:v>100.19</ns0:v>
      </ns0:c>
      <ns0:c r="L11" s="3">
        <ns0:f>ROUND(L211*L331,2)</ns0:f>
        <ns0:v>81.89</ns0:v>
      </ns0:c>
      <ns0:c r="M11" s="3">
        <ns0:f>ROUND(M211*M331,2)</ns0:f>
        <ns0:v>189.83</ns0:v>
      </ns0:c>
      <ns0:c r="N11" s="3">
        <ns0:f>ROUND(N211*N331,2)</ns0:f>
        <ns0:v>493.12</ns0:v>
      </ns0:c>
      <ns0:c r="O11" s="3">
        <ns0:f>SUM(C11:N11)</ns0:f>
        <ns0:v>3343.62</ns0:v>
      </ns0:c>
      <ns0:c r="P11" s="2" t="inlineStr">
        <ns0:is>
          <ns0:t>EXP1.011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211.30</ns0:v>
      </ns0:c>
      <ns0:c r="D12" s="3">
        <ns0:f>ROUND(D212*D332,2)</ns0:f>
        <ns0:v>107.31</ns0:v>
      </ns0:c>
      <ns0:c r="E12" s="3">
        <ns0:f>ROUND(E212*E332,2)</ns0:f>
        <ns0:v>398.32</ns0:v>
      </ns0:c>
      <ns0:c r="F12" s="3">
        <ns0:f>ROUND(F212*F332,2)</ns0:f>
        <ns0:v>205.74</ns0:v>
      </ns0:c>
      <ns0:c r="G12" s="3">
        <ns0:f>ROUND(G212*G332,2)</ns0:f>
        <ns0:v>228.83</ns0:v>
      </ns0:c>
      <ns0:c r="H12" s="3">
        <ns0:f>ROUND(H212*H332,2)</ns0:f>
        <ns0:v>454.98</ns0:v>
      </ns0:c>
      <ns0:c r="I12" s="3">
        <ns0:f>ROUND(I212*I332,2)</ns0:f>
        <ns0:v>143.47</ns0:v>
      </ns0:c>
      <ns0:c r="J12" s="3">
        <ns0:f>ROUND(J212*J332,2)</ns0:f>
        <ns0:v>115.80</ns0:v>
      </ns0:c>
      <ns0:c r="K12" s="3">
        <ns0:f>ROUND(K212*K332,2)</ns0:f>
        <ns0:v>241.33</ns0:v>
      </ns0:c>
      <ns0:c r="L12" s="3">
        <ns0:f>ROUND(L212*L332,2)</ns0:f>
        <ns0:v>514.60</ns0:v>
      </ns0:c>
      <ns0:c r="M12" s="3">
        <ns0:f>ROUND(M212*M332,2)</ns0:f>
        <ns0:v>375.04</ns0:v>
      </ns0:c>
      <ns0:c r="N12" s="3">
        <ns0:f>ROUND(N212*N332,2)</ns0:f>
        <ns0:v>159.07</ns0:v>
      </ns0:c>
      <ns0:c r="O12" s="3">
        <ns0:f>SUM(C12:N12)</ns0:f>
        <ns0:v>3155.79</ns0:v>
      </ns0:c>
      <ns0:c r="P12" s="2" t="inlineStr">
        <ns0:is>
          <ns0:t>EXP1.012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624.03</ns0:v>
      </ns0:c>
      <ns0:c r="D13" s="3">
        <ns0:f>ROUND(D213*D333,2)</ns0:f>
        <ns0:v>97.84</ns0:v>
      </ns0:c>
      <ns0:c r="E13" s="3">
        <ns0:f>ROUND(E213*E333,2)</ns0:f>
        <ns0:v>183.56</ns0:v>
      </ns0:c>
      <ns0:c r="F13" s="3">
        <ns0:f>ROUND(F213*F333,2)</ns0:f>
        <ns0:v>189.86</ns0:v>
      </ns0:c>
      <ns0:c r="G13" s="3">
        <ns0:f>ROUND(G213*G333,2)</ns0:f>
        <ns0:v>74.32</ns0:v>
      </ns0:c>
      <ns0:c r="H13" s="3">
        <ns0:f>ROUND(H213*H333,2)</ns0:f>
        <ns0:v>106.80</ns0:v>
      </ns0:c>
      <ns0:c r="I13" s="3">
        <ns0:f>ROUND(I213*I333,2)</ns0:f>
        <ns0:v>291.51</ns0:v>
      </ns0:c>
      <ns0:c r="J13" s="3">
        <ns0:f>ROUND(J213*J333,2)</ns0:f>
        <ns0:v>180.11</ns0:v>
      </ns0:c>
      <ns0:c r="K13" s="3">
        <ns0:f>ROUND(K213*K333,2)</ns0:f>
        <ns0:v>180.02</ns0:v>
      </ns0:c>
      <ns0:c r="L13" s="3">
        <ns0:f>ROUND(L213*L333,2)</ns0:f>
        <ns0:v>490.21</ns0:v>
      </ns0:c>
      <ns0:c r="M13" s="3">
        <ns0:f>ROUND(M213*M333,2)</ns0:f>
        <ns0:v>130.08</ns0:v>
      </ns0:c>
      <ns0:c r="N13" s="3">
        <ns0:f>ROUND(N213*N333,2)</ns0:f>
        <ns0:v>172.88</ns0:v>
      </ns0:c>
      <ns0:c r="O13" s="3">
        <ns0:f>SUM(C13:N13)</ns0:f>
        <ns0:v>2721.22</ns0:v>
      </ns0:c>
      <ns0:c r="P13" s="2" t="inlineStr">
        <ns0:is>
          <ns0:t>EXP1.013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60.28</ns0:v>
      </ns0:c>
      <ns0:c r="D14" s="3">
        <ns0:f>ROUND(D214*D334,2)</ns0:f>
        <ns0:v>335.79</ns0:v>
      </ns0:c>
      <ns0:c r="E14" s="3">
        <ns0:f>ROUND(E214*E334,2)</ns0:f>
        <ns0:v>404.06</ns0:v>
      </ns0:c>
      <ns0:c r="F14" s="3">
        <ns0:f>ROUND(F214*F334,2)</ns0:f>
        <ns0:v>332.06</ns0:v>
      </ns0:c>
      <ns0:c r="G14" s="3">
        <ns0:f>ROUND(G214*G334,2)</ns0:f>
        <ns0:v>45.77</ns0:v>
      </ns0:c>
      <ns0:c r="H14" s="3">
        <ns0:f>ROUND(H214*H334,2)</ns0:f>
        <ns0:v>200.31</ns0:v>
      </ns0:c>
      <ns0:c r="I14" s="3">
        <ns0:f>ROUND(I214*I334,2)</ns0:f>
        <ns0:v>317.13</ns0:v>
      </ns0:c>
      <ns0:c r="J14" s="3">
        <ns0:f>ROUND(J214*J334,2)</ns0:f>
        <ns0:v>177.82</ns0:v>
      </ns0:c>
      <ns0:c r="K14" s="3">
        <ns0:f>ROUND(K214*K334,2)</ns0:f>
        <ns0:v>432.75</ns0:v>
      </ns0:c>
      <ns0:c r="L14" s="3">
        <ns0:f>ROUND(L214*L334,2)</ns0:f>
        <ns0:v>235.78</ns0:v>
      </ns0:c>
      <ns0:c r="M14" s="3">
        <ns0:f>ROUND(M214*M334,2)</ns0:f>
        <ns0:v>215.10</ns0:v>
      </ns0:c>
      <ns0:c r="N14" s="3">
        <ns0:f>ROUND(N214*N334,2)</ns0:f>
        <ns0:v>125.78</ns0:v>
      </ns0:c>
      <ns0:c r="O14" s="3">
        <ns0:f>SUM(C14:N14)</ns0:f>
        <ns0:v>2882.63</ns0:v>
      </ns0:c>
      <ns0:c r="P14" s="2" t="inlineStr">
        <ns0:is>
          <ns0:t>EXP1.014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238.17</ns0:v>
      </ns0:c>
      <ns0:c r="D15" s="3">
        <ns0:f>ROUND(D215*D335,2)</ns0:f>
        <ns0:v>143.09</ns0:v>
      </ns0:c>
      <ns0:c r="E15" s="3">
        <ns0:f>ROUND(E215*E335,2)</ns0:f>
        <ns0:v>379.40</ns0:v>
      </ns0:c>
      <ns0:c r="F15" s="3">
        <ns0:f>ROUND(F215*F335,2)</ns0:f>
        <ns0:v>74.49</ns0:v>
      </ns0:c>
      <ns0:c r="G15" s="3">
        <ns0:f>ROUND(G215*G335,2)</ns0:f>
        <ns0:v>106.79</ns0:v>
      </ns0:c>
      <ns0:c r="H15" s="3">
        <ns0:f>ROUND(H215*H335,2)</ns0:f>
        <ns0:v>151.94</ns0:v>
      </ns0:c>
      <ns0:c r="I15" s="3">
        <ns0:f>ROUND(I215*I335,2)</ns0:f>
        <ns0:v>101.30</ns0:v>
      </ns0:c>
      <ns0:c r="J15" s="3">
        <ns0:f>ROUND(J215*J335,2)</ns0:f>
        <ns0:v>200.23</ns0:v>
      </ns0:c>
      <ns0:c r="K15" s="3">
        <ns0:f>ROUND(K215*K335,2)</ns0:f>
        <ns0:v>115.08</ns0:v>
      </ns0:c>
      <ns0:c r="L15" s="3">
        <ns0:f>ROUND(L215*L335,2)</ns0:f>
        <ns0:v>227.41</ns0:v>
      </ns0:c>
      <ns0:c r="M15" s="3">
        <ns0:f>ROUND(M215*M335,2)</ns0:f>
        <ns0:v>207.98</ns0:v>
      </ns0:c>
      <ns0:c r="N15" s="3">
        <ns0:f>ROUND(N215*N335,2)</ns0:f>
        <ns0:v>356.95</ns0:v>
      </ns0:c>
      <ns0:c r="O15" s="3">
        <ns0:f>SUM(C15:N15)</ns0:f>
        <ns0:v>2302.83</ns0:v>
      </ns0:c>
      <ns0:c r="P15" s="2" t="inlineStr">
        <ns0:is>
          <ns0:t>EXP1.015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231.28</ns0:v>
      </ns0:c>
      <ns0:c r="D16" s="3">
        <ns0:f>ROUND(D216*D336,2)</ns0:f>
        <ns0:v>130.03</ns0:v>
      </ns0:c>
      <ns0:c r="E16" s="3">
        <ns0:f>ROUND(E216*E336,2)</ns0:f>
        <ns0:v>283.41</ns0:v>
      </ns0:c>
      <ns0:c r="F16" s="3">
        <ns0:f>ROUND(F216*F336,2)</ns0:f>
        <ns0:v>393.93</ns0:v>
      </ns0:c>
      <ns0:c r="G16" s="3">
        <ns0:f>ROUND(G216*G336,2)</ns0:f>
        <ns0:v>130.83</ns0:v>
      </ns0:c>
      <ns0:c r="H16" s="3">
        <ns0:f>ROUND(H216*H336,2)</ns0:f>
        <ns0:v>335.70</ns0:v>
      </ns0:c>
      <ns0:c r="I16" s="3">
        <ns0:f>ROUND(I216*I336,2)</ns0:f>
        <ns0:v>104.95</ns0:v>
      </ns0:c>
      <ns0:c r="J16" s="3">
        <ns0:f>ROUND(J216*J336,2)</ns0:f>
        <ns0:v>190.79</ns0:v>
      </ns0:c>
      <ns0:c r="K16" s="3">
        <ns0:f>ROUND(K216*K336,2)</ns0:f>
        <ns0:v>232.31</ns0:v>
      </ns0:c>
      <ns0:c r="L16" s="3">
        <ns0:f>ROUND(L216*L336,2)</ns0:f>
        <ns0:v>383.47</ns0:v>
      </ns0:c>
      <ns0:c r="M16" s="3">
        <ns0:f>ROUND(M216*M336,2)</ns0:f>
        <ns0:v>147.90</ns0:v>
      </ns0:c>
      <ns0:c r="N16" s="3">
        <ns0:f>ROUND(N216*N336,2)</ns0:f>
        <ns0:v>444.84</ns0:v>
      </ns0:c>
      <ns0:c r="O16" s="3">
        <ns0:f>SUM(C16:N16)</ns0:f>
        <ns0:v>3009.44</ns0:v>
      </ns0:c>
      <ns0:c r="P16" s="2" t="inlineStr">
        <ns0:is>
          <ns0:t>EXP1.016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136.33</ns0:v>
      </ns0:c>
      <ns0:c r="D17" s="3">
        <ns0:f>ROUND(D217*D337,2)</ns0:f>
        <ns0:v>281.76</ns0:v>
      </ns0:c>
      <ns0:c r="E17" s="3">
        <ns0:f>ROUND(E217*E337,2)</ns0:f>
        <ns0:v>313.84</ns0:v>
      </ns0:c>
      <ns0:c r="F17" s="3">
        <ns0:f>ROUND(F217*F337,2)</ns0:f>
        <ns0:v>122.09</ns0:v>
      </ns0:c>
      <ns0:c r="G17" s="3">
        <ns0:f>ROUND(G217*G337,2)</ns0:f>
        <ns0:v>131.32</ns0:v>
      </ns0:c>
      <ns0:c r="H17" s="3">
        <ns0:f>ROUND(H217*H337,2)</ns0:f>
        <ns0:v>136.24</ns0:v>
      </ns0:c>
      <ns0:c r="I17" s="3">
        <ns0:f>ROUND(I217*I337,2)</ns0:f>
        <ns0:v>617.61</ns0:v>
      </ns0:c>
      <ns0:c r="J17" s="3">
        <ns0:f>ROUND(J217*J337,2)</ns0:f>
        <ns0:v>304.11</ns0:v>
      </ns0:c>
      <ns0:c r="K17" s="3">
        <ns0:f>ROUND(K217*K337,2)</ns0:f>
        <ns0:v>121.76</ns0:v>
      </ns0:c>
      <ns0:c r="L17" s="3">
        <ns0:f>ROUND(L217*L337,2)</ns0:f>
        <ns0:v>217.30</ns0:v>
      </ns0:c>
      <ns0:c r="M17" s="3">
        <ns0:f>ROUND(M217*M337,2)</ns0:f>
        <ns0:v>200.28</ns0:v>
      </ns0:c>
      <ns0:c r="N17" s="3">
        <ns0:f>ROUND(N217*N337,2)</ns0:f>
        <ns0:v>171.11</ns0:v>
      </ns0:c>
      <ns0:c r="O17" s="3">
        <ns0:f>SUM(C17:N17)</ns0:f>
        <ns0:v>2753.75</ns0:v>
      </ns0:c>
      <ns0:c r="P17" s="2" t="inlineStr">
        <ns0:is>
          <ns0:t>EXP1.017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184.64</ns0:v>
      </ns0:c>
      <ns0:c r="D18" s="3">
        <ns0:f>ROUND(D218*D338,2)</ns0:f>
        <ns0:v>226.95</ns0:v>
      </ns0:c>
      <ns0:c r="E18" s="3">
        <ns0:f>ROUND(E218*E338,2)</ns0:f>
        <ns0:v>459.73</ns0:v>
      </ns0:c>
      <ns0:c r="F18" s="3">
        <ns0:f>ROUND(F218*F338,2)</ns0:f>
        <ns0:v>470.29</ns0:v>
      </ns0:c>
      <ns0:c r="G18" s="3">
        <ns0:f>ROUND(G218*G338,2)</ns0:f>
        <ns0:v>123.21</ns0:v>
      </ns0:c>
      <ns0:c r="H18" s="3">
        <ns0:f>ROUND(H218*H338,2)</ns0:f>
        <ns0:v>129.64</ns0:v>
      </ns0:c>
      <ns0:c r="I18" s="3">
        <ns0:f>ROUND(I218*I338,2)</ns0:f>
        <ns0:v>168.80</ns0:v>
      </ns0:c>
      <ns0:c r="J18" s="3">
        <ns0:f>ROUND(J218*J338,2)</ns0:f>
        <ns0:v>262.14</ns0:v>
      </ns0:c>
      <ns0:c r="K18" s="3">
        <ns0:f>ROUND(K218*K338,2)</ns0:f>
        <ns0:v>89.74</ns0:v>
      </ns0:c>
      <ns0:c r="L18" s="3">
        <ns0:f>ROUND(L218*L338,2)</ns0:f>
        <ns0:v>207.55</ns0:v>
      </ns0:c>
      <ns0:c r="M18" s="3">
        <ns0:f>ROUND(M218*M338,2)</ns0:f>
        <ns0:v>191.22</ns0:v>
      </ns0:c>
      <ns0:c r="N18" s="3">
        <ns0:f>ROUND(N218*N338,2)</ns0:f>
        <ns0:v>402.00</ns0:v>
      </ns0:c>
      <ns0:c r="O18" s="3">
        <ns0:f>SUM(C18:N18)</ns0:f>
        <ns0:v>2915.91</ns0:v>
      </ns0:c>
      <ns0:c r="P18" s="2" t="inlineStr">
        <ns0:is>
          <ns0:t>EXP1.018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98.19</ns0:v>
      </ns0:c>
      <ns0:c r="D19" s="3">
        <ns0:f>ROUND(D219*D339,2)</ns0:f>
        <ns0:v>238.57</ns0:v>
      </ns0:c>
      <ns0:c r="E19" s="3">
        <ns0:f>ROUND(E219*E339,2)</ns0:f>
        <ns0:v>107.29</ns0:v>
      </ns0:c>
      <ns0:c r="F19" s="3">
        <ns0:f>ROUND(F219*F339,2)</ns0:f>
        <ns0:v>316.75</ns0:v>
      </ns0:c>
      <ns0:c r="G19" s="3">
        <ns0:f>ROUND(G219*G339,2)</ns0:f>
        <ns0:v>153.26</ns0:v>
      </ns0:c>
      <ns0:c r="H19" s="3">
        <ns0:f>ROUND(H219*H339,2)</ns0:f>
        <ns0:v>131.99</ns0:v>
      </ns0:c>
      <ns0:c r="I19" s="3">
        <ns0:f>ROUND(I219*I339,2)</ns0:f>
        <ns0:v>206.69</ns0:v>
      </ns0:c>
      <ns0:c r="J19" s="3">
        <ns0:f>ROUND(J219*J339,2)</ns0:f>
        <ns0:v>118.21</ns0:v>
      </ns0:c>
      <ns0:c r="K19" s="3">
        <ns0:f>ROUND(K219*K339,2)</ns0:f>
        <ns0:v>479.44</ns0:v>
      </ns0:c>
      <ns0:c r="L19" s="3">
        <ns0:f>ROUND(L219*L339,2)</ns0:f>
        <ns0:v>93.84</ns0:v>
      </ns0:c>
      <ns0:c r="M19" s="3">
        <ns0:f>ROUND(M219*M339,2)</ns0:f>
        <ns0:v>215.48</ns0:v>
      </ns0:c>
      <ns0:c r="N19" s="3">
        <ns0:f>ROUND(N219*N339,2)</ns0:f>
        <ns0:v>386.31</ns0:v>
      </ns0:c>
      <ns0:c r="O19" s="3">
        <ns0:f>SUM(C19:N19)</ns0:f>
        <ns0:v>2546.02</ns0:v>
      </ns0:c>
      <ns0:c r="P19" s="2" t="inlineStr">
        <ns0:is>
          <ns0:t>EXP1.019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509.97</ns0:v>
      </ns0:c>
      <ns0:c r="D20" s="3">
        <ns0:f>ROUND('摊销明细'!D33/3,2)</ns0:f>
        <ns0:v>509.97</ns0:v>
      </ns0:c>
      <ns0:c r="E20" s="3">
        <ns0:f>ROUND('摊销明细'!E33/3,2)</ns0:f>
        <ns0:v>509.97</ns0:v>
      </ns0:c>
      <ns0:c r="F20" s="3">
        <ns0:f>ROUND('摊销明细'!F33/3,2)</ns0:f>
        <ns0:v>509.97</ns0:v>
      </ns0:c>
      <ns0:c r="G20" s="3">
        <ns0:f>ROUND('摊销明细'!G33/3,2)</ns0:f>
        <ns0:v>509.97</ns0:v>
      </ns0:c>
      <ns0:c r="H20" s="3">
        <ns0:f>ROUND('摊销明细'!H33/3,2)</ns0:f>
        <ns0:v>509.97</ns0:v>
      </ns0:c>
      <ns0:c r="I20" s="3">
        <ns0:f>ROUND('摊销明细'!I33/3,2)</ns0:f>
        <ns0:v>509.97</ns0:v>
      </ns0:c>
      <ns0:c r="J20" s="3">
        <ns0:f>ROUND('摊销明细'!J33/3,2)</ns0:f>
        <ns0:v>509.97</ns0:v>
      </ns0:c>
      <ns0:c r="K20" s="3">
        <ns0:f>ROUND('摊销明细'!K33/3,2)</ns0:f>
        <ns0:v>509.97</ns0:v>
      </ns0:c>
      <ns0:c r="L20" s="3">
        <ns0:f>ROUND('摊销明细'!L33/3,2)</ns0:f>
        <ns0:v>509.97</ns0:v>
      </ns0:c>
      <ns0:c r="M20" s="3">
        <ns0:f>ROUND('摊销明细'!M33/3,2)</ns0:f>
        <ns0:v>509.97</ns0:v>
      </ns0:c>
      <ns0:c r="N20" s="3">
        <ns0:f>ROUND('摊销明细'!N33/3,2)</ns0:f>
        <ns0:v>509.97</ns0:v>
      </ns0:c>
      <ns0:c r="O20" s="3">
        <ns0:f>SUM(C20:N20)</ns0:f>
        <ns0:v>6119.64</ns0:v>
      </ns0:c>
      <ns0:c r="P20" s="2" t="inlineStr">
        <ns0:is>
          <ns0:t>EXP1.020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389.92</ns0:v>
      </ns0:c>
      <ns0:c r="D21" s="3">
        <ns0:f>ROUND(D221*D341,2)</ns0:f>
        <ns0:v>161.47</ns0:v>
      </ns0:c>
      <ns0:c r="E21" s="3">
        <ns0:f>ROUND(E221*E341,2)</ns0:f>
        <ns0:v>607.53</ns0:v>
      </ns0:c>
      <ns0:c r="F21" s="3">
        <ns0:f>ROUND(F221*F341,2)</ns0:f>
        <ns0:v>183.07</ns0:v>
      </ns0:c>
      <ns0:c r="G21" s="3">
        <ns0:f>ROUND(G221*G341,2)</ns0:f>
        <ns0:v>192.43</ns0:v>
      </ns0:c>
      <ns0:c r="H21" s="3">
        <ns0:f>ROUND(H221*H341,2)</ns0:f>
        <ns0:v>323.79</ns0:v>
      </ns0:c>
      <ns0:c r="I21" s="3">
        <ns0:f>ROUND(I221*I341,2)</ns0:f>
        <ns0:v>214.46</ns0:v>
      </ns0:c>
      <ns0:c r="J21" s="3">
        <ns0:f>ROUND(J221*J341,2)</ns0:f>
        <ns0:v>449.40</ns0:v>
      </ns0:c>
      <ns0:c r="K21" s="3">
        <ns0:f>ROUND(K221*K341,2)</ns0:f>
        <ns0:v>196.24</ns0:v>
      </ns0:c>
      <ns0:c r="L21" s="3">
        <ns0:f>ROUND(L221*L341,2)</ns0:f>
        <ns0:v>236.71</ns0:v>
      </ns0:c>
      <ns0:c r="M21" s="3">
        <ns0:f>ROUND(M221*M341,2)</ns0:f>
        <ns0:v>87.16</ns0:v>
      </ns0:c>
      <ns0:c r="N21" s="3">
        <ns0:f>ROUND(N221*N341,2)</ns0:f>
        <ns0:v>79.29</ns0:v>
      </ns0:c>
      <ns0:c r="O21" s="3">
        <ns0:f>SUM(C21:N21)</ns0:f>
        <ns0:v>3121.47</ns0:v>
      </ns0:c>
      <ns0:c r="P21" s="2" t="inlineStr">
        <ns0:is>
          <ns0:t>EXP1.021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197.34</ns0:v>
      </ns0:c>
      <ns0:c r="D22" s="3">
        <ns0:f>ROUND(D222*D342,2)</ns0:f>
        <ns0:v>116.31</ns0:v>
      </ns0:c>
      <ns0:c r="E22" s="3">
        <ns0:f>ROUND(E222*E342,2)</ns0:f>
        <ns0:v>439.49</ns0:v>
      </ns0:c>
      <ns0:c r="F22" s="3">
        <ns0:f>ROUND(F222*F342,2)</ns0:f>
        <ns0:v>254.16</ns0:v>
      </ns0:c>
      <ns0:c r="G22" s="3">
        <ns0:f>ROUND(G222*G342,2)</ns0:f>
        <ns0:v>169.49</ns0:v>
      </ns0:c>
      <ns0:c r="H22" s="3">
        <ns0:f>ROUND(H222*H342,2)</ns0:f>
        <ns0:v>224.25</ns0:v>
      </ns0:c>
      <ns0:c r="I22" s="3">
        <ns0:f>ROUND(I222*I342,2)</ns0:f>
        <ns0:v>159.49</ns0:v>
      </ns0:c>
      <ns0:c r="J22" s="3">
        <ns0:f>ROUND(J222*J342,2)</ns0:f>
        <ns0:v>269.39</ns0:v>
      </ns0:c>
      <ns0:c r="K22" s="3">
        <ns0:f>ROUND(K222*K342,2)</ns0:f>
        <ns0:v>170.75</ns0:v>
      </ns0:c>
      <ns0:c r="L22" s="3">
        <ns0:f>ROUND(L222*L342,2)</ns0:f>
        <ns0:v>104.15</ns0:v>
      </ns0:c>
      <ns0:c r="M22" s="3">
        <ns0:f>ROUND(M222*M342,2)</ns0:f>
        <ns0:v>298.19</ns0:v>
      </ns0:c>
      <ns0:c r="N22" s="3">
        <ns0:f>ROUND(N222*N342,2)</ns0:f>
        <ns0:v>411.05</ns0:v>
      </ns0:c>
      <ns0:c r="O22" s="3">
        <ns0:f>SUM(C22:N22)</ns0:f>
        <ns0:v>2814.06</ns0:v>
      </ns0:c>
      <ns0:c r="P22" s="2" t="inlineStr">
        <ns0:is>
          <ns0:t>EXP1.022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88.45</ns0:v>
      </ns0:c>
      <ns0:c r="D23" s="3">
        <ns0:f>ROUND(D223*D343,2)</ns0:f>
        <ns0:v>93.72</ns0:v>
      </ns0:c>
      <ns0:c r="E23" s="3">
        <ns0:f>ROUND(E223*E343,2)</ns0:f>
        <ns0:v>133.76</ns0:v>
      </ns0:c>
      <ns0:c r="F23" s="3">
        <ns0:f>ROUND(F223*F343,2)</ns0:f>
        <ns0:v>62.87</ns0:v>
      </ns0:c>
      <ns0:c r="G23" s="3">
        <ns0:f>ROUND(G223*G343,2)</ns0:f>
        <ns0:v>592.92</ns0:v>
      </ns0:c>
      <ns0:c r="H23" s="3">
        <ns0:f>ROUND(H223*H343,2)</ns0:f>
        <ns0:v>176.09</ns0:v>
      </ns0:c>
      <ns0:c r="I23" s="3">
        <ns0:f>ROUND(I223*I343,2)</ns0:f>
        <ns0:v>188.42</ns0:v>
      </ns0:c>
      <ns0:c r="J23" s="3">
        <ns0:f>ROUND(J223*J343,2)</ns0:f>
        <ns0:v>456.38</ns0:v>
      </ns0:c>
      <ns0:c r="K23" s="3">
        <ns0:f>ROUND(K223*K343,2)</ns0:f>
        <ns0:v>92.85</ns0:v>
      </ns0:c>
      <ns0:c r="L23" s="3">
        <ns0:f>ROUND(L223*L343,2)</ns0:f>
        <ns0:v>283.33</ns0:v>
      </ns0:c>
      <ns0:c r="M23" s="3">
        <ns0:f>ROUND(M223*M343,2)</ns0:f>
        <ns0:v>174.45</ns0:v>
      </ns0:c>
      <ns0:c r="N23" s="3">
        <ns0:f>ROUND(N223*N343,2)</ns0:f>
        <ns0:v>262.70</ns0:v>
      </ns0:c>
      <ns0:c r="O23" s="3">
        <ns0:f>SUM(C23:N23)</ns0:f>
        <ns0:v>2605.94</ns0:v>
      </ns0:c>
      <ns0:c r="P23" s="2" t="inlineStr">
        <ns0:is>
          <ns0:t>EXP1.023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82.35</ns0:v>
      </ns0:c>
      <ns0:c r="D24" s="3">
        <ns0:f>ROUND(D224*D344,2)</ns0:f>
        <ns0:v>299.61</ns0:v>
      </ns0:c>
      <ns0:c r="E24" s="3">
        <ns0:f>ROUND(E224*E344,2)</ns0:f>
        <ns0:v>180.40</ns0:v>
      </ns0:c>
      <ns0:c r="F24" s="3">
        <ns0:f>ROUND(F224*F344,2)</ns0:f>
        <ns0:v>192.53</ns0:v>
      </ns0:c>
      <ns0:c r="G24" s="3">
        <ns0:f>ROUND(G224*G344,2)</ns0:f>
        <ns0:v>580.01</ns0:v>
      </ns0:c>
      <ns0:c r="H24" s="3">
        <ns0:f>ROUND(H224*H344,2)</ns0:f>
        <ns0:v>237.39</ns0:v>
      </ns0:c>
      <ns0:c r="I24" s="3">
        <ns0:f>ROUND(I224*I344,2)</ns0:f>
        <ns0:v>307.93</ns0:v>
      </ns0:c>
      <ns0:c r="J24" s="3">
        <ns0:f>ROUND(J224*J344,2)</ns0:f>
        <ns0:v>191.79</ns0:v>
      </ns0:c>
      <ns0:c r="K24" s="3">
        <ns0:f>ROUND(K224*K344,2)</ns0:f>
        <ns0:v>437.39</ns0:v>
      </ns0:c>
      <ns0:c r="L24" s="3">
        <ns0:f>ROUND(L224*L344,2)</ns0:f>
        <ns0:v>373.25</ns0:v>
      </ns0:c>
      <ns0:c r="M24" s="3">
        <ns0:f>ROUND(M224*M344,2)</ns0:f>
        <ns0:v>275.44</ns0:v>
      </ns0:c>
      <ns0:c r="N24" s="3">
        <ns0:f>ROUND(N224*N344,2)</ns0:f>
        <ns0:v>535.86</ns0:v>
      </ns0:c>
      <ns0:c r="O24" s="3">
        <ns0:f>SUM(C24:N24)</ns0:f>
        <ns0:v>3693.95</ns0:v>
      </ns0:c>
      <ns0:c r="P24" s="2" t="inlineStr">
        <ns0:is>
          <ns0:t>EXP1.024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336.59</ns0:v>
      </ns0:c>
      <ns0:c r="D25" s="3">
        <ns0:f>ROUND(D225*D345,2)</ns0:f>
        <ns0:v>304.81</ns0:v>
      </ns0:c>
      <ns0:c r="E25" s="3">
        <ns0:f>ROUND(E225*E345,2)</ns0:f>
        <ns0:v>111.30</ns0:v>
      </ns0:c>
      <ns0:c r="F25" s="3">
        <ns0:f>ROUND(F225*F345,2)</ns0:f>
        <ns0:v>251.85</ns0:v>
      </ns0:c>
      <ns0:c r="G25" s="3">
        <ns0:f>ROUND(G225*G345,2)</ns0:f>
        <ns0:v>179.78</ns0:v>
      </ns0:c>
      <ns0:c r="H25" s="3">
        <ns0:f>ROUND(H225*H345,2)</ns0:f>
        <ns0:v>92.54</ns0:v>
      </ns0:c>
      <ns0:c r="I25" s="3">
        <ns0:f>ROUND(I225*I345,2)</ns0:f>
        <ns0:v>254.97</ns0:v>
      </ns0:c>
      <ns0:c r="J25" s="3">
        <ns0:f>ROUND(J225*J345,2)</ns0:f>
        <ns0:v>244.35</ns0:v>
      </ns0:c>
      <ns0:c r="K25" s="3">
        <ns0:f>ROUND(K225*K345,2)</ns0:f>
        <ns0:v>70.96</ns0:v>
      </ns0:c>
      <ns0:c r="L25" s="3">
        <ns0:f>ROUND(L225*L345,2)</ns0:f>
        <ns0:v>458.64</ns0:v>
      </ns0:c>
      <ns0:c r="M25" s="3">
        <ns0:f>ROUND(M225*M345,2)</ns0:f>
        <ns0:v>417.11</ns0:v>
      </ns0:c>
      <ns0:c r="N25" s="3">
        <ns0:f>ROUND(N225*N345,2)</ns0:f>
        <ns0:v>235.89</ns0:v>
      </ns0:c>
      <ns0:c r="O25" s="3">
        <ns0:f>SUM(C25:N25)</ns0:f>
        <ns0:v>2958.79</ns0:v>
      </ns0:c>
      <ns0:c r="P25" s="2" t="inlineStr">
        <ns0:is>
          <ns0:t>EXP1.025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581.59</ns0:v>
      </ns0:c>
      <ns0:c r="D26" s="3">
        <ns0:f>ROUND(D226*D346,2)</ns0:f>
        <ns0:v>570.85</ns0:v>
      </ns0:c>
      <ns0:c r="E26" s="3">
        <ns0:f>ROUND(E226*E346,2)</ns0:f>
        <ns0:v>97.40</ns0:v>
      </ns0:c>
      <ns0:c r="F26" s="3">
        <ns0:f>ROUND(F226*F346,2)</ns0:f>
        <ns0:v>303.54</ns0:v>
      </ns0:c>
      <ns0:c r="G26" s="3">
        <ns0:f>ROUND(G226*G346,2)</ns0:f>
        <ns0:v>314.45</ns0:v>
      </ns0:c>
      <ns0:c r="H26" s="3">
        <ns0:f>ROUND(H226*H346,2)</ns0:f>
        <ns0:v>150.29</ns0:v>
      </ns0:c>
      <ns0:c r="I26" s="3">
        <ns0:f>ROUND(I226*I346,2)</ns0:f>
        <ns0:v>248.88</ns0:v>
      </ns0:c>
      <ns0:c r="J26" s="3">
        <ns0:f>ROUND(J226*J346,2)</ns0:f>
        <ns0:v>369.41</ns0:v>
      </ns0:c>
      <ns0:c r="K26" s="3">
        <ns0:f>ROUND(K226*K346,2)</ns0:f>
        <ns0:v>329.94</ns0:v>
      </ns0:c>
      <ns0:c r="L26" s="3">
        <ns0:f>ROUND(L226*L346,2)</ns0:f>
        <ns0:v>349.99</ns0:v>
      </ns0:c>
      <ns0:c r="M26" s="3">
        <ns0:f>ROUND(M226*M346,2)</ns0:f>
        <ns0:v>81.48</ns0:v>
      </ns0:c>
      <ns0:c r="N26" s="3">
        <ns0:f>ROUND(N226*N346,2)</ns0:f>
        <ns0:v>60.36</ns0:v>
      </ns0:c>
      <ns0:c r="O26" s="3">
        <ns0:f>SUM(C26:N26)</ns0:f>
        <ns0:v>3458.18</ns0:v>
      </ns0:c>
      <ns0:c r="P26" s="2" t="inlineStr">
        <ns0:is>
          <ns0:t>EXP1.026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164.60</ns0:v>
      </ns0:c>
      <ns0:c r="D27" s="3">
        <ns0:f>ROUND(D227*D347,2)</ns0:f>
        <ns0:v>150.43</ns0:v>
      </ns0:c>
      <ns0:c r="E27" s="3">
        <ns0:f>ROUND(E227*E347,2)</ns0:f>
        <ns0:v>375.27</ns0:v>
      </ns0:c>
      <ns0:c r="F27" s="3">
        <ns0:f>ROUND(F227*F347,2)</ns0:f>
        <ns0:v>223.55</ns0:v>
      </ns0:c>
      <ns0:c r="G27" s="3">
        <ns0:f>ROUND(G227*G347,2)</ns0:f>
        <ns0:v>226.01</ns0:v>
      </ns0:c>
      <ns0:c r="H27" s="3">
        <ns0:f>ROUND(H227*H347,2)</ns0:f>
        <ns0:v>85.24</ns0:v>
      </ns0:c>
      <ns0:c r="I27" s="3">
        <ns0:f>ROUND(I227*I347,2)</ns0:f>
        <ns0:v>221.69</ns0:v>
      </ns0:c>
      <ns0:c r="J27" s="3">
        <ns0:f>ROUND(J227*J347,2)</ns0:f>
        <ns0:v>211.05</ns0:v>
      </ns0:c>
      <ns0:c r="K27" s="3">
        <ns0:f>ROUND(K227*K347,2)</ns0:f>
        <ns0:v>99.23</ns0:v>
      </ns0:c>
      <ns0:c r="L27" s="3">
        <ns0:f>ROUND(L227*L347,2)</ns0:f>
        <ns0:v>382.97</ns0:v>
      </ns0:c>
      <ns0:c r="M27" s="3">
        <ns0:f>ROUND(M227*M347,2)</ns0:f>
        <ns0:v>464.80</ns0:v>
      </ns0:c>
      <ns0:c r="N27" s="3">
        <ns0:f>ROUND(N227*N347,2)</ns0:f>
        <ns0:v>221.41</ns0:v>
      </ns0:c>
      <ns0:c r="O27" s="3">
        <ns0:f>SUM(C27:N27)</ns0:f>
        <ns0:v>2826.25</ns0:v>
      </ns0:c>
      <ns0:c r="P27" s="2" t="inlineStr">
        <ns0:is>
          <ns0:t>EXP1.027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170.87</ns0:v>
      </ns0:c>
      <ns0:c r="D28" s="3">
        <ns0:f>ROUND(D228*D348,2)</ns0:f>
        <ns0:v>169.11</ns0:v>
      </ns0:c>
      <ns0:c r="E28" s="3">
        <ns0:f>ROUND(E228*E348,2)</ns0:f>
        <ns0:v>137.47</ns0:v>
      </ns0:c>
      <ns0:c r="F28" s="3">
        <ns0:f>ROUND(F228*F348,2)</ns0:f>
        <ns0:v>290.25</ns0:v>
      </ns0:c>
      <ns0:c r="G28" s="3">
        <ns0:f>ROUND(G228*G348,2)</ns0:f>
        <ns0:v>314.97</ns0:v>
      </ns0:c>
      <ns0:c r="H28" s="3">
        <ns0:f>ROUND(H228*H348,2)</ns0:f>
        <ns0:v>106.66</ns0:v>
      </ns0:c>
      <ns0:c r="I28" s="3">
        <ns0:f>ROUND(I228*I348,2)</ns0:f>
        <ns0:v>488.51</ns0:v>
      </ns0:c>
      <ns0:c r="J28" s="3">
        <ns0:f>ROUND(J228*J348,2)</ns0:f>
        <ns0:v>255.80</ns0:v>
      </ns0:c>
      <ns0:c r="K28" s="3">
        <ns0:f>ROUND(K228*K348,2)</ns0:f>
        <ns0:v>392.36</ns0:v>
      </ns0:c>
      <ns0:c r="L28" s="3">
        <ns0:f>ROUND(L228*L348,2)</ns0:f>
        <ns0:v>195.52</ns0:v>
      </ns0:c>
      <ns0:c r="M28" s="3">
        <ns0:f>ROUND(M228*M348,2)</ns0:f>
        <ns0:v>356.80</ns0:v>
      </ns0:c>
      <ns0:c r="N28" s="3">
        <ns0:f>ROUND(N228*N348,2)</ns0:f>
        <ns0:v>215.93</ns0:v>
      </ns0:c>
      <ns0:c r="O28" s="3">
        <ns0:f>SUM(C28:N28)</ns0:f>
        <ns0:v>3094.25</ns0:v>
      </ns0:c>
      <ns0:c r="P28" s="2" t="inlineStr">
        <ns0:is>
          <ns0:t>EXP1.028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EXP1.029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70.68</ns0:v>
      </ns0:c>
      <ns0:c r="D30" s="6">
        <ns0:f>ROUND(D230*D350,2)</ns0:f>
        <ns0:v>187.55</ns0:v>
      </ns0:c>
      <ns0:c r="E30" s="6">
        <ns0:f>ROUND(E230*E350,2)</ns0:f>
        <ns0:v>80.56</ns0:v>
      </ns0:c>
      <ns0:c r="F30" s="6">
        <ns0:f>ROUND(F230*F350,2)</ns0:f>
        <ns0:v>130.73</ns0:v>
      </ns0:c>
      <ns0:c r="G30" s="6">
        <ns0:f>ROUND(G230*G350,2)</ns0:f>
        <ns0:v>132.53</ns0:v>
      </ns0:c>
      <ns0:c r="H30" s="6">
        <ns0:f>ROUND(H230*H350,2)</ns0:f>
        <ns0:v>73.30</ns0:v>
      </ns0:c>
      <ns0:c r="I30" s="6">
        <ns0:f>ROUND(I230*I350,2)</ns0:f>
        <ns0:v>200.05</ns0:v>
      </ns0:c>
      <ns0:c r="J30" s="6">
        <ns0:f>ROUND(J230*J350,2)</ns0:f>
        <ns0:v>188.59</ns0:v>
      </ns0:c>
      <ns0:c r="K30" s="6">
        <ns0:f>ROUND(K230*K350,2)</ns0:f>
        <ns0:v>190.19</ns0:v>
      </ns0:c>
      <ns0:c r="L30" s="6">
        <ns0:f>ROUND(L230*L350,2)</ns0:f>
        <ns0:v>226.87</ns0:v>
      </ns0:c>
      <ns0:c r="M30" s="6">
        <ns0:f>ROUND(M230*M350,2)</ns0:f>
        <ns0:v>256.91</ns0:v>
      </ns0:c>
      <ns0:c r="N30" s="6">
        <ns0:f>ROUND(N230*N350,2)</ns0:f>
        <ns0:v>107.58</ns0:v>
      </ns0:c>
      <ns0:c r="O30" s="6">
        <ns0:f>SUM(C30:N30)</ns0:f>
        <ns0:v>1845.54</ns0:v>
      </ns0:c>
      <ns0:c r="P30" s="2" t="inlineStr">
        <ns0:is>
          <ns0:t>EXP1.030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263.19</ns0:v>
      </ns0:c>
      <ns0:c r="D31" s="3">
        <ns0:f>ROUND(D231*D351,2)</ns0:f>
        <ns0:v>214.21</ns0:v>
      </ns0:c>
      <ns0:c r="E31" s="3">
        <ns0:f>ROUND(E231*E351,2)</ns0:f>
        <ns0:v>181.67</ns0:v>
      </ns0:c>
      <ns0:c r="F31" s="3">
        <ns0:f>ROUND(F231*F351,2)</ns0:f>
        <ns0:v>280.14</ns0:v>
      </ns0:c>
      <ns0:c r="G31" s="3">
        <ns0:f>ROUND(G231*G351,2)</ns0:f>
        <ns0:v>203.74</ns0:v>
      </ns0:c>
      <ns0:c r="H31" s="3">
        <ns0:f>ROUND(H231*H351,2)</ns0:f>
        <ns0:v>296.97</ns0:v>
      </ns0:c>
      <ns0:c r="I31" s="3">
        <ns0:f>ROUND(I231*I351,2)</ns0:f>
        <ns0:v>501.71</ns0:v>
      </ns0:c>
      <ns0:c r="J31" s="3">
        <ns0:f>ROUND(J231*J351,2)</ns0:f>
        <ns0:v>205.35</ns0:v>
      </ns0:c>
      <ns0:c r="K31" s="3">
        <ns0:f>ROUND(K231*K351,2)</ns0:f>
        <ns0:v>368.42</ns0:v>
      </ns0:c>
      <ns0:c r="L31" s="3">
        <ns0:f>ROUND(L231*L351,2)</ns0:f>
        <ns0:v>342.91</ns0:v>
      </ns0:c>
      <ns0:c r="M31" s="3">
        <ns0:f>ROUND(M231*M351,2)</ns0:f>
        <ns0:v>155.93</ns0:v>
      </ns0:c>
      <ns0:c r="N31" s="3">
        <ns0:f>ROUND(N231*N351,2)</ns0:f>
        <ns0:v>312.27</ns0:v>
      </ns0:c>
      <ns0:c r="O31" s="3">
        <ns0:f>SUM(C31:N31)</ns0:f>
        <ns0:v>3326.51</ns0:v>
      </ns0:c>
      <ns0:c r="P31" s="2" t="inlineStr">
        <ns0:is>
          <ns0:t>EXP1.031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119.84</ns0:v>
      </ns0:c>
      <ns0:c r="D32" s="3">
        <ns0:f>ROUND(D232*D352,2)</ns0:f>
        <ns0:v>186.09</ns0:v>
      </ns0:c>
      <ns0:c r="E32" s="3">
        <ns0:f>ROUND(E232*E352,2)</ns0:f>
        <ns0:v>53.15</ns0:v>
      </ns0:c>
      <ns0:c r="F32" s="3">
        <ns0:f>ROUND(F232*F352,2)</ns0:f>
        <ns0:v>70.76</ns0:v>
      </ns0:c>
      <ns0:c r="G32" s="3">
        <ns0:f>ROUND(G232*G352,2)</ns0:f>
        <ns0:v>354.78</ns0:v>
      </ns0:c>
      <ns0:c r="H32" s="3">
        <ns0:f>ROUND(H232*H352,2)</ns0:f>
        <ns0:v>73.22</ns0:v>
      </ns0:c>
      <ns0:c r="I32" s="3">
        <ns0:f>ROUND(I232*I352,2)</ns0:f>
        <ns0:v>480.90</ns0:v>
      </ns0:c>
      <ns0:c r="J32" s="3">
        <ns0:f>ROUND(J232*J352,2)</ns0:f>
        <ns0:v>112.96</ns0:v>
      </ns0:c>
      <ns0:c r="K32" s="3">
        <ns0:f>ROUND(K232*K352,2)</ns0:f>
        <ns0:v>273.35</ns0:v>
      </ns0:c>
      <ns0:c r="L32" s="3">
        <ns0:f>ROUND(L232*L352,2)</ns0:f>
        <ns0:v>246.20</ns0:v>
      </ns0:c>
      <ns0:c r="M32" s="3">
        <ns0:f>ROUND(M232*M352,2)</ns0:f>
        <ns0:v>344.72</ns0:v>
      </ns0:c>
      <ns0:c r="N32" s="3">
        <ns0:f>ROUND(N232*N352,2)</ns0:f>
        <ns0:v>280.10</ns0:v>
      </ns0:c>
      <ns0:c r="O32" s="3">
        <ns0:f>SUM(C32:N32)</ns0:f>
        <ns0:v>2596.07</ns0:v>
      </ns0:c>
      <ns0:c r="P32" s="2" t="inlineStr">
        <ns0:is>
          <ns0:t>EXP1.032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60.47</ns0:v>
      </ns0:c>
      <ns0:c r="D33" s="3">
        <ns0:f>ROUND(D233*D353,2)</ns0:f>
        <ns0:v>124.91</ns0:v>
      </ns0:c>
      <ns0:c r="E33" s="3">
        <ns0:f>ROUND(E233*E353,2)</ns0:f>
        <ns0:v>278.53</ns0:v>
      </ns0:c>
      <ns0:c r="F33" s="3">
        <ns0:f>ROUND(F233*F353,2)</ns0:f>
        <ns0:v>134.60</ns0:v>
      </ns0:c>
      <ns0:c r="G33" s="3">
        <ns0:f>ROUND(G233*G353,2)</ns0:f>
        <ns0:v>361.82</ns0:v>
      </ns0:c>
      <ns0:c r="H33" s="3">
        <ns0:f>ROUND(H233*H353,2)</ns0:f>
        <ns0:v>73.67</ns0:v>
      </ns0:c>
      <ns0:c r="I33" s="3">
        <ns0:f>ROUND(I233*I353,2)</ns0:f>
        <ns0:v>299.33</ns0:v>
      </ns0:c>
      <ns0:c r="J33" s="3">
        <ns0:f>ROUND(J233*J353,2)</ns0:f>
        <ns0:v>59.49</ns0:v>
      </ns0:c>
      <ns0:c r="K33" s="3">
        <ns0:f>ROUND(K233*K353,2)</ns0:f>
        <ns0:v>213.22</ns0:v>
      </ns0:c>
      <ns0:c r="L33" s="3">
        <ns0:f>ROUND(L233*L353,2)</ns0:f>
        <ns0:v>121.32</ns0:v>
      </ns0:c>
      <ns0:c r="M33" s="3">
        <ns0:f>ROUND(M233*M353,2)</ns0:f>
        <ns0:v>314.46</ns0:v>
      </ns0:c>
      <ns0:c r="N33" s="3">
        <ns0:f>ROUND(N233*N353,2)</ns0:f>
        <ns0:v>257.97</ns0:v>
      </ns0:c>
      <ns0:c r="O33" s="3">
        <ns0:f>SUM(C33:N33)</ns0:f>
        <ns0:v>2299.79</ns0:v>
      </ns0:c>
      <ns0:c r="P33" s="2" t="inlineStr">
        <ns0:is>
          <ns0:t>EXP1.033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6480.40</ns0:v>
      </ns0:c>
      <ns0:c r="D34" s="3">
        <ns0:f>SUM(D4:D33)</ns0:f>
        <ns0:v>6671.91</ns0:v>
      </ns0:c>
      <ns0:c r="E34" s="3">
        <ns0:f>SUM(E4:E33)</ns0:f>
        <ns0:v>7757.05</ns0:v>
      </ns0:c>
      <ns0:c r="F34" s="3">
        <ns0:f>SUM(F4:F33)</ns0:f>
        <ns0:v>6413.46</ns0:v>
      </ns0:c>
      <ns0:c r="G34" s="3">
        <ns0:f>SUM(G4:G33)</ns0:f>
        <ns0:v>7499.62</ns0:v>
      </ns0:c>
      <ns0:c r="H34" s="3">
        <ns0:f>SUM(H4:H33)</ns0:f>
        <ns0:v>6150.17</ns0:v>
      </ns0:c>
      <ns0:c r="I34" s="3">
        <ns0:f>SUM(I4:I33)</ns0:f>
        <ns0:v>8434.01</ns0:v>
      </ns0:c>
      <ns0:c r="J34" s="3">
        <ns0:f>SUM(J4:J33)</ns0:f>
        <ns0:v>6882.30</ns0:v>
      </ns0:c>
      <ns0:c r="K34" s="3">
        <ns0:f>SUM(K4:K33)</ns0:f>
        <ns0:v>7211.50</ns0:v>
      </ns0:c>
      <ns0:c r="L34" s="3">
        <ns0:f>SUM(L4:L33)</ns0:f>
        <ns0:v>7782.42</ns0:v>
      </ns0:c>
      <ns0:c r="M34" s="3">
        <ns0:f>SUM(M4:M33)</ns0:f>
        <ns0:v>7187.57</ns0:v>
      </ns0:c>
      <ns0:c r="N34" s="3">
        <ns0:f>SUM(N4:N33)</ns0:f>
        <ns0:v>7666.23</ns0:v>
      </ns0:c>
      <ns0:c r="O34" s="3">
        <ns0:f>SUM(C34:N34)</ns0:f>
        <ns0:v>86136.64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22.32</ns0:v>
      </ns0:c>
      <ns0:c r="D204" s="4">
        <ns0:v>26.58</ns0:v>
      </ns0:c>
      <ns0:c r="E204" s="4">
        <ns0:v>66.56</ns0:v>
      </ns0:c>
      <ns0:c r="F204" s="4">
        <ns0:v>24.24</ns0:v>
      </ns0:c>
      <ns0:c r="G204" s="4">
        <ns0:v>48.28</ns0:v>
      </ns0:c>
      <ns0:c r="H204" s="4">
        <ns0:v>33.44</ns0:v>
      </ns0:c>
      <ns0:c r="I204" s="4">
        <ns0:v>68.39</ns0:v>
      </ns0:c>
      <ns0:c r="J204" s="4">
        <ns0:v>48.86</ns0:v>
      </ns0:c>
      <ns0:c r="K204" s="4">
        <ns0:v>38.67</ns0:v>
      </ns0:c>
      <ns0:c r="L204" s="4">
        <ns0:v>42.89</ns0:v>
      </ns0:c>
      <ns0:c r="M204" s="4">
        <ns0:v>25.60</ns0:v>
      </ns0:c>
      <ns0:c r="N204" s="4">
        <ns0:v>20.70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38.66</ns0:v>
      </ns0:c>
      <ns0:c r="D205" s="4">
        <ns0:v>25.87</ns0:v>
      </ns0:c>
      <ns0:c r="E205" s="4">
        <ns0:v>48.30</ns0:v>
      </ns0:c>
      <ns0:c r="F205" s="4">
        <ns0:v>39.62</ns0:v>
      </ns0:c>
      <ns0:c r="G205" s="4">
        <ns0:v>58.12</ns0:v>
      </ns0:c>
      <ns0:c r="H205" s="4">
        <ns0:v>32.87</ns0:v>
      </ns0:c>
      <ns0:c r="I205" s="4">
        <ns0:v>45.82</ns0:v>
      </ns0:c>
      <ns0:c r="J205" s="4">
        <ns0:v>31.21</ns0:v>
      </ns0:c>
      <ns0:c r="K205" s="4">
        <ns0:v>60.89</ns0:v>
      </ns0:c>
      <ns0:c r="L205" s="4">
        <ns0:v>40.08</ns0:v>
      </ns0:c>
      <ns0:c r="M205" s="4">
        <ns0:v>44.17</ns0:v>
      </ns0:c>
      <ns0:c r="N205" s="4">
        <ns0:v>43.70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33.35</ns0:v>
      </ns0:c>
      <ns0:c r="D206" s="4">
        <ns0:v>23.54</ns0:v>
      </ns0:c>
      <ns0:c r="E206" s="4">
        <ns0:v>29.67</ns0:v>
      </ns0:c>
      <ns0:c r="F206" s="4">
        <ns0:v>29.64</ns0:v>
      </ns0:c>
      <ns0:c r="G206" s="4">
        <ns0:v>52.34</ns0:v>
      </ns0:c>
      <ns0:c r="H206" s="4">
        <ns0:v>18.92</ns0:v>
      </ns0:c>
      <ns0:c r="I206" s="4">
        <ns0:v>33.12</ns0:v>
      </ns0:c>
      <ns0:c r="J206" s="4">
        <ns0:v>49.88</ns0:v>
      </ns0:c>
      <ns0:c r="K206" s="4">
        <ns0:v>27.73</ns0:v>
      </ns0:c>
      <ns0:c r="L206" s="4">
        <ns0:v>22.26</ns0:v>
      </ns0:c>
      <ns0:c r="M206" s="4">
        <ns0:v>31.64</ns0:v>
      </ns0:c>
      <ns0:c r="N206" s="4">
        <ns0:v>29.56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46.54</ns0:v>
      </ns0:c>
      <ns0:c r="D207" s="4">
        <ns0:v>41.59</ns0:v>
      </ns0:c>
      <ns0:c r="E207" s="4">
        <ns0:v>52.93</ns0:v>
      </ns0:c>
      <ns0:c r="F207" s="4">
        <ns0:v>32.96</ns0:v>
      </ns0:c>
      <ns0:c r="G207" s="4">
        <ns0:v>60.61</ns0:v>
      </ns0:c>
      <ns0:c r="H207" s="4">
        <ns0:v>22.39</ns0:v>
      </ns0:c>
      <ns0:c r="I207" s="4">
        <ns0:v>66.55</ns0:v>
      </ns0:c>
      <ns0:c r="J207" s="4">
        <ns0:v>47.60</ns0:v>
      </ns0:c>
      <ns0:c r="K207" s="4">
        <ns0:v>22.21</ns0:v>
      </ns0:c>
      <ns0:c r="L207" s="4">
        <ns0:v>31.02</ns0:v>
      </ns0:c>
      <ns0:c r="M207" s="4">
        <ns0:v>51.79</ns0:v>
      </ns0:c>
      <ns0:c r="N207" s="4">
        <ns0:v>36.48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57.53</ns0:v>
      </ns0:c>
      <ns0:c r="D208" s="4">
        <ns0:v>50.44</ns0:v>
      </ns0:c>
      <ns0:c r="E208" s="4">
        <ns0:v>33.31</ns0:v>
      </ns0:c>
      <ns0:c r="F208" s="4">
        <ns0:v>46.20</ns0:v>
      </ns0:c>
      <ns0:c r="G208" s="4">
        <ns0:v>31.57</ns0:v>
      </ns0:c>
      <ns0:c r="H208" s="4">
        <ns0:v>40.38</ns0:v>
      </ns0:c>
      <ns0:c r="I208" s="4">
        <ns0:v>27.01</ns0:v>
      </ns0:c>
      <ns0:c r="J208" s="4">
        <ns0:v>51.07</ns0:v>
      </ns0:c>
      <ns0:c r="K208" s="4">
        <ns0:v>46.32</ns0:v>
      </ns0:c>
      <ns0:c r="L208" s="4">
        <ns0:v>31.20</ns0:v>
      </ns0:c>
      <ns0:c r="M208" s="4">
        <ns0:v>57.56</ns0:v>
      </ns0:c>
      <ns0:c r="N208" s="4">
        <ns0:v>60.58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42.84</ns0:v>
      </ns0:c>
      <ns0:c r="D209" s="4">
        <ns0:v>68.40</ns0:v>
      </ns0:c>
      <ns0:c r="E209" s="4">
        <ns0:v>68.68</ns0:v>
      </ns0:c>
      <ns0:c r="F209" s="4">
        <ns0:v>47.60</ns0:v>
      </ns0:c>
      <ns0:c r="G209" s="4">
        <ns0:v>57.10</ns0:v>
      </ns0:c>
      <ns0:c r="H209" s="4">
        <ns0:v>45.25</ns0:v>
      </ns0:c>
      <ns0:c r="I209" s="4">
        <ns0:v>33.09</ns0:v>
      </ns0:c>
      <ns0:c r="J209" s="4">
        <ns0:v>61.33</ns0:v>
      </ns0:c>
      <ns0:c r="K209" s="4">
        <ns0:v>23.25</ns0:v>
      </ns0:c>
      <ns0:c r="L209" s="4">
        <ns0:v>33.24</ns0:v>
      </ns0:c>
      <ns0:c r="M209" s="4">
        <ns0:v>59.22</ns0:v>
      </ns0:c>
      <ns0:c r="N209" s="4">
        <ns0:v>49.06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64.11</ns0:v>
      </ns0:c>
      <ns0:c r="D210" s="4">
        <ns0:v>57.71</ns0:v>
      </ns0:c>
      <ns0:c r="E210" s="4">
        <ns0:v>54.55</ns0:v>
      </ns0:c>
      <ns0:c r="F210" s="4">
        <ns0:v>55.57</ns0:v>
      </ns0:c>
      <ns0:c r="G210" s="4">
        <ns0:v>19.55</ns0:v>
      </ns0:c>
      <ns0:c r="H210" s="4">
        <ns0:v>38.44</ns0:v>
      </ns0:c>
      <ns0:c r="I210" s="4">
        <ns0:v>52.13</ns0:v>
      </ns0:c>
      <ns0:c r="J210" s="4">
        <ns0:v>35.31</ns0:v>
      </ns0:c>
      <ns0:c r="K210" s="4">
        <ns0:v>46.58</ns0:v>
      </ns0:c>
      <ns0:c r="L210" s="4">
        <ns0:v>50.79</ns0:v>
      </ns0:c>
      <ns0:c r="M210" s="4">
        <ns0:v>63.12</ns0:v>
      </ns0:c>
      <ns0:c r="N210" s="4">
        <ns0:v>44.42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21.16</ns0:v>
      </ns0:c>
      <ns0:c r="D211" s="4">
        <ns0:v>57.24</ns0:v>
      </ns0:c>
      <ns0:c r="E211" s="4">
        <ns0:v>24.76</ns0:v>
      </ns0:c>
      <ns0:c r="F211" s="4">
        <ns0:v>23.48</ns0:v>
      </ns0:c>
      <ns0:c r="G211" s="4">
        <ns0:v>33.60</ns0:v>
      </ns0:c>
      <ns0:c r="H211" s="4">
        <ns0:v>57.02</ns0:v>
      </ns0:c>
      <ns0:c r="I211" s="4">
        <ns0:v>67.58</ns0:v>
      </ns0:c>
      <ns0:c r="J211" s="4">
        <ns0:v>40.77</ns0:v>
      </ns0:c>
      <ns0:c r="K211" s="4">
        <ns0:v>18.02</ns0:v>
      </ns0:c>
      <ns0:c r="L211" s="4">
        <ns0:v>29.35</ns0:v>
      </ns0:c>
      <ns0:c r="M211" s="4">
        <ns0:v>43.64</ns0:v>
      </ns0:c>
      <ns0:c r="N211" s="4">
        <ns0:v>61.41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22.36</ns0:v>
      </ns0:c>
      <ns0:c r="D212" s="4">
        <ns0:v>21.99</ns0:v>
      </ns0:c>
      <ns0:c r="E212" s="4">
        <ns0:v>53.61</ns0:v>
      </ns0:c>
      <ns0:c r="F212" s="4">
        <ns0:v>37.96</ns0:v>
      </ns0:c>
      <ns0:c r="G212" s="4">
        <ns0:v>35.98</ns0:v>
      </ns0:c>
      <ns0:c r="H212" s="4">
        <ns0:v>65.09</ns0:v>
      </ns0:c>
      <ns0:c r="I212" s="4">
        <ns0:v>23.29</ns0:v>
      </ns0:c>
      <ns0:c r="J212" s="4">
        <ns0:v>35.09</ns0:v>
      </ns0:c>
      <ns0:c r="K212" s="4">
        <ns0:v>25.06</ns0:v>
      </ns0:c>
      <ns0:c r="L212" s="4">
        <ns0:v>62.30</ns0:v>
      </ns0:c>
      <ns0:c r="M212" s="4">
        <ns0:v>45.35</ns0:v>
      </ns0:c>
      <ns0:c r="N212" s="4">
        <ns0:v>20.42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62.78</ns0:v>
      </ns0:c>
      <ns0:c r="D213" s="4">
        <ns0:v>38.98</ns0:v>
      </ns0:c>
      <ns0:c r="E213" s="4">
        <ns0:v>22.69</ns0:v>
      </ns0:c>
      <ns0:c r="F213" s="4">
        <ns0:v>41.82</ns0:v>
      </ns0:c>
      <ns0:c r="G213" s="4">
        <ns0:v>33.18</ns0:v>
      </ns0:c>
      <ns0:c r="H213" s="4">
        <ns0:v>25.55</ns0:v>
      </ns0:c>
      <ns0:c r="I213" s="4">
        <ns0:v>37.76</ns0:v>
      </ns0:c>
      <ns0:c r="J213" s="4">
        <ns0:v>34.77</ns0:v>
      </ns0:c>
      <ns0:c r="K213" s="4">
        <ns0:v>44.45</ns0:v>
      </ns0:c>
      <ns0:c r="L213" s="4">
        <ns0:v>57.74</ns0:v>
      </ns0:c>
      <ns0:c r="M213" s="4">
        <ns0:v>19.68</ns0:v>
      </ns0:c>
      <ns0:c r="N213" s="4">
        <ns0:v>50.11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19.96</ns0:v>
      </ns0:c>
      <ns0:c r="D214" s="4">
        <ns0:v>50.80</ns0:v>
      </ns0:c>
      <ns0:c r="E214" s="4">
        <ns0:v>50.07</ns0:v>
      </ns0:c>
      <ns0:c r="F214" s="4">
        <ns0:v>49.71</ns0:v>
      </ns0:c>
      <ns0:c r="G214" s="4">
        <ns0:v>19.15</ns0:v>
      </ns0:c>
      <ns0:c r="H214" s="4">
        <ns0:v>63.19</ns0:v>
      </ns0:c>
      <ns0:c r="I214" s="4">
        <ns0:v>51.65</ns0:v>
      </ns0:c>
      <ns0:c r="J214" s="4">
        <ns0:v>30.50</ns0:v>
      </ns0:c>
      <ns0:c r="K214" s="4">
        <ns0:v>58.01</ns0:v>
      </ns0:c>
      <ns0:c r="L214" s="4">
        <ns0:v>33.78</ns0:v>
      </ns0:c>
      <ns0:c r="M214" s="4">
        <ns0:v>49.11</ns0:v>
      </ns0:c>
      <ns0:c r="N214" s="4">
        <ns0:v>17.47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67.28</ns0:v>
      </ns0:c>
      <ns0:c r="D215" s="4">
        <ns0:v>56.78</ns0:v>
      </ns0:c>
      <ns0:c r="E215" s="4">
        <ns0:v>49.66</ns0:v>
      </ns0:c>
      <ns0:c r="F215" s="4">
        <ns0:v>34.97</ns0:v>
      </ns0:c>
      <ns0:c r="G215" s="4">
        <ns0:v>43.06</ns0:v>
      </ns0:c>
      <ns0:c r="H215" s="4">
        <ns0:v>57.77</ns0:v>
      </ns0:c>
      <ns0:c r="I215" s="4">
        <ns0:v>45.02</ns0:v>
      </ns0:c>
      <ns0:c r="J215" s="4">
        <ns0:v>52.97</ns0:v>
      </ns0:c>
      <ns0:c r="K215" s="4">
        <ns0:v>20.26</ns0:v>
      </ns0:c>
      <ns0:c r="L215" s="4">
        <ns0:v>58.61</ns0:v>
      </ns0:c>
      <ns0:c r="M215" s="4">
        <ns0:v>25.24</ns0:v>
      </ns0:c>
      <ns0:c r="N215" s="4">
        <ns0:v>57.48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59.00</ns0:v>
      </ns0:c>
      <ns0:c r="D216" s="4">
        <ns0:v>30.31</ns0:v>
      </ns0:c>
      <ns0:c r="E216" s="4">
        <ns0:v>33.86</ns0:v>
      </ns0:c>
      <ns0:c r="F216" s="4">
        <ns0:v>46.29</ns0:v>
      </ns0:c>
      <ns0:c r="G216" s="4">
        <ns0:v>15.65</ns0:v>
      </ns0:c>
      <ns0:c r="H216" s="4">
        <ns0:v>68.37</ns0:v>
      </ns0:c>
      <ns0:c r="I216" s="4">
        <ns0:v>19.84</ns0:v>
      </ns0:c>
      <ns0:c r="J216" s="4">
        <ns0:v>26.28</ns0:v>
      </ns0:c>
      <ns0:c r="K216" s="4">
        <ns0:v>44.59</ns0:v>
      </ns0:c>
      <ns0:c r="L216" s="4">
        <ns0:v>61.95</ns0:v>
      </ns0:c>
      <ns0:c r="M216" s="4">
        <ns0:v>26.94</ns0:v>
      </ns0:c>
      <ns0:c r="N216" s="4">
        <ns0:v>65.61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22.76</ns0:v>
      </ns0:c>
      <ns0:c r="D217" s="4">
        <ns0:v>66.14</ns0:v>
      </ns0:c>
      <ns0:c r="E217" s="4">
        <ns0:v>34.91</ns0:v>
      </ns0:c>
      <ns0:c r="F217" s="4">
        <ns0:v>28.46</ns0:v>
      </ns0:c>
      <ns0:c r="G217" s="4">
        <ns0:v>22.22</ns0:v>
      </ns0:c>
      <ns0:c r="H217" s="4">
        <ns0:v>25.95</ns0:v>
      </ns0:c>
      <ns0:c r="I217" s="4">
        <ns0:v>68.93</ns0:v>
      </ns0:c>
      <ns0:c r="J217" s="4">
        <ns0:v>53.26</ns0:v>
      </ns0:c>
      <ns0:c r="K217" s="4">
        <ns0:v>59.98</ns0:v>
      </ns0:c>
      <ns0:c r="L217" s="4">
        <ns0:v>32.05</ns0:v>
      </ns0:c>
      <ns0:c r="M217" s="4">
        <ns0:v>27.36</ns0:v>
      </ns0:c>
      <ns0:c r="N217" s="4">
        <ns0:v>49.31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26.72</ns0:v>
      </ns0:c>
      <ns0:c r="D218" s="4">
        <ns0:v>64.11</ns0:v>
      </ns0:c>
      <ns0:c r="E218" s="4">
        <ns0:v>59.55</ns0:v>
      </ns0:c>
      <ns0:c r="F218" s="4">
        <ns0:v>67.57</ns0:v>
      </ns0:c>
      <ns0:c r="G218" s="4">
        <ns0:v>44.32</ns0:v>
      </ns0:c>
      <ns0:c r="H218" s="4">
        <ns0:v>40.26</ns0:v>
      </ns0:c>
      <ns0:c r="I218" s="4">
        <ns0:v>29.51</ns0:v>
      </ns0:c>
      <ns0:c r="J218" s="4">
        <ns0:v>51.30</ns0:v>
      </ns0:c>
      <ns0:c r="K218" s="4">
        <ns0:v>23.13</ns0:v>
      </ns0:c>
      <ns0:c r="L218" s="4">
        <ns0:v>57.02</ns0:v>
      </ns0:c>
      <ns0:c r="M218" s="4">
        <ns0:v>26.23</ns0:v>
      </ns0:c>
      <ns0:c r="N218" s="4">
        <ns0:v>64.63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38.81</ns0:v>
      </ns0:c>
      <ns0:c r="D219" s="4">
        <ns0:v>33.46</ns0:v>
      </ns0:c>
      <ns0:c r="E219" s="4">
        <ns0:v>32.91</ns0:v>
      </ns0:c>
      <ns0:c r="F219" s="4">
        <ns0:v>60.68</ns0:v>
      </ns0:c>
      <ns0:c r="G219" s="4">
        <ns0:v>31.73</ns0:v>
      </ns0:c>
      <ns0:c r="H219" s="4">
        <ns0:v>41.77</ns0:v>
      </ns0:c>
      <ns0:c r="I219" s="4">
        <ns0:v>32.86</ns0:v>
      </ns0:c>
      <ns0:c r="J219" s="4">
        <ns0:v>36.94</ns0:v>
      </ns0:c>
      <ns0:c r="K219" s="4">
        <ns0:v>60.08</ns0:v>
      </ns0:c>
      <ns0:c r="L219" s="4">
        <ns0:v>18.15</ns0:v>
      </ns0:c>
      <ns0:c r="M219" s="4">
        <ns0:v>37.28</ns0:v>
      </ns0:c>
      <ns0:c r="N219" s="4">
        <ns0:v>55.03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54.08</ns0:v>
      </ns0:c>
      <ns0:c r="D221" s="4">
        <ns0:v>25.59</ns0:v>
      </ns0:c>
      <ns0:c r="E221" s="4">
        <ns0:v>68.57</ns0:v>
      </ns0:c>
      <ns0:c r="F221" s="4">
        <ns0:v>33.53</ns0:v>
      </ns0:c>
      <ns0:c r="G221" s="4">
        <ns0:v>25.32</ns0:v>
      </ns0:c>
      <ns0:c r="H221" s="4">
        <ns0:v>56.41</ns0:v>
      </ns0:c>
      <ns0:c r="I221" s="4">
        <ns0:v>54.02</ns0:v>
      </ns0:c>
      <ns0:c r="J221" s="4">
        <ns0:v>70.66</ns0:v>
      </ns0:c>
      <ns0:c r="K221" s="4">
        <ns0:v>31.55</ns0:v>
      </ns0:c>
      <ns0:c r="L221" s="4">
        <ns0:v>46.78</ns0:v>
      </ns0:c>
      <ns0:c r="M221" s="4">
        <ns0:v>28.67</ns0:v>
      </ns0:c>
      <ns0:c r="N221" s="4">
        <ns0:v>36.04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34.32</ns0:v>
      </ns0:c>
      <ns0:c r="D222" s="4">
        <ns0:v>50.35</ns0:v>
      </ns0:c>
      <ns0:c r="E222" s="4">
        <ns0:v>56.49</ns0:v>
      </ns0:c>
      <ns0:c r="F222" s="4">
        <ns0:v>64.02</ns0:v>
      </ns0:c>
      <ns0:c r="G222" s="4">
        <ns0:v>59.89</ns0:v>
      </ns0:c>
      <ns0:c r="H222" s="4">
        <ns0:v>30.02</ns0:v>
      </ns0:c>
      <ns0:c r="I222" s="4">
        <ns0:v>61.58</ns0:v>
      </ns0:c>
      <ns0:c r="J222" s="4">
        <ns0:v>38.43</ns0:v>
      </ns0:c>
      <ns0:c r="K222" s="4">
        <ns0:v>52.70</ns0:v>
      </ns0:c>
      <ns0:c r="L222" s="4">
        <ns0:v>25.34</ns0:v>
      </ns0:c>
      <ns0:c r="M222" s="4">
        <ns0:v>36.10</ns0:v>
      </ns0:c>
      <ns0:c r="N222" s="4">
        <ns0:v>57.09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41.72</ns0:v>
      </ns0:c>
      <ns0:c r="D223" s="4">
        <ns0:v>35.77</ns0:v>
      </ns0:c>
      <ns0:c r="E223" s="4">
        <ns0:v>47.10</ns0:v>
      </ns0:c>
      <ns0:c r="F223" s="4">
        <ns0:v>26.64</ns0:v>
      </ns0:c>
      <ns0:c r="G223" s="4">
        <ns0:v>73.02</ns0:v>
      </ns0:c>
      <ns0:c r="H223" s="4">
        <ns0:v>61.57</ns0:v>
      </ns0:c>
      <ns0:c r="I223" s="4">
        <ns0:v>27.15</ns0:v>
      </ns0:c>
      <ns0:c r="J223" s="4">
        <ns0:v>70.32</ns0:v>
      </ns0:c>
      <ns0:c r="K223" s="4">
        <ns0:v>28.57</ns0:v>
      </ns0:c>
      <ns0:c r="L223" s="4">
        <ns0:v>58.54</ns0:v>
      </ns0:c>
      <ns0:c r="M223" s="4">
        <ns0:v>32.73</ns0:v>
      </ns0:c>
      <ns0:c r="N223" s="4">
        <ns0:v>52.02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18.59</ns0:v>
      </ns0:c>
      <ns0:c r="D224" s="4">
        <ns0:v>32.78</ns0:v>
      </ns0:c>
      <ns0:c r="E224" s="4">
        <ns0:v>21.92</ns0:v>
      </ns0:c>
      <ns0:c r="F224" s="4">
        <ns0:v>29.62</ns0:v>
      </ns0:c>
      <ns0:c r="G224" s="4">
        <ns0:v>71.08</ns0:v>
      </ns0:c>
      <ns0:c r="H224" s="4">
        <ns0:v>34.01</ns0:v>
      </ns0:c>
      <ns0:c r="I224" s="4">
        <ns0:v>61.34</ns0:v>
      </ns0:c>
      <ns0:c r="J224" s="4">
        <ns0:v>46.55</ns0:v>
      </ns0:c>
      <ns0:c r="K224" s="4">
        <ns0:v>56.51</ns0:v>
      </ns0:c>
      <ns0:c r="L224" s="4">
        <ns0:v>43.30</ns0:v>
      </ns0:c>
      <ns0:c r="M224" s="4">
        <ns0:v>63.32</ns0:v>
      </ns0:c>
      <ns0:c r="N224" s="4">
        <ns0:v>53.64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43.77</ns0:v>
      </ns0:c>
      <ns0:c r="D225" s="4">
        <ns0:v>41.87</ns0:v>
      </ns0:c>
      <ns0:c r="E225" s="4">
        <ns0:v>29.84</ns0:v>
      </ns0:c>
      <ns0:c r="F225" s="4">
        <ns0:v>69.38</ns0:v>
      </ns0:c>
      <ns0:c r="G225" s="4">
        <ns0:v>31.54</ns0:v>
      </ns0:c>
      <ns0:c r="H225" s="4">
        <ns0:v>35.73</ns0:v>
      </ns0:c>
      <ns0:c r="I225" s="4">
        <ns0:v>45.53</ns0:v>
      </ns0:c>
      <ns0:c r="J225" s="4">
        <ns0:v>27.99</ns0:v>
      </ns0:c>
      <ns0:c r="K225" s="4">
        <ns0:v>24.81</ns0:v>
      </ns0:c>
      <ns0:c r="L225" s="4">
        <ns0:v>49.21</ns0:v>
      </ns0:c>
      <ns0:c r="M225" s="4">
        <ns0:v>48.11</ns0:v>
      </ns0:c>
      <ns0:c r="N225" s="4">
        <ns0:v>63.24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67.47</ns0:v>
      </ns0:c>
      <ns0:c r="D226" s="4">
        <ns0:v>61.78</ns0:v>
      </ns0:c>
      <ns0:c r="E226" s="4">
        <ns0:v>36.48</ns0:v>
      </ns0:c>
      <ns0:c r="F226" s="4">
        <ns0:v>37.29</ns0:v>
      </ns0:c>
      <ns0:c r="G226" s="4">
        <ns0:v>33.17</ns0:v>
      </ns0:c>
      <ns0:c r="H226" s="4">
        <ns0:v>25.43</ns0:v>
      </ns0:c>
      <ns0:c r="I226" s="4">
        <ns0:v>30.65</ns0:v>
      </ns0:c>
      <ns0:c r="J226" s="4">
        <ns0:v>57.54</ns0:v>
      </ns0:c>
      <ns0:c r="K226" s="4">
        <ns0:v>38.32</ns0:v>
      </ns0:c>
      <ns0:c r="L226" s="4">
        <ns0:v>36.88</ns0:v>
      </ns0:c>
      <ns0:c r="M226" s="4">
        <ns0:v>17.79</ns0:v>
      </ns0:c>
      <ns0:c r="N226" s="4">
        <ns0:v>22.95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28.33</ns0:v>
      </ns0:c>
      <ns0:c r="D227" s="4">
        <ns0:v>21.77</ns0:v>
      </ns0:c>
      <ns0:c r="E227" s="4">
        <ns0:v>56.01</ns0:v>
      </ns0:c>
      <ns0:c r="F227" s="4">
        <ns0:v>44.98</ns0:v>
      </ns0:c>
      <ns0:c r="G227" s="4">
        <ns0:v>60.43</ns0:v>
      </ns0:c>
      <ns0:c r="H227" s="4">
        <ns0:v>34.51</ns0:v>
      </ns0:c>
      <ns0:c r="I227" s="4">
        <ns0:v>32.65</ns0:v>
      </ns0:c>
      <ns0:c r="J227" s="4">
        <ns0:v>22.99</ns0:v>
      </ns0:c>
      <ns0:c r="K227" s="4">
        <ns0:v>39.85</ns0:v>
      </ns0:c>
      <ns0:c r="L227" s="4">
        <ns0:v>43.03</ns0:v>
      </ns0:c>
      <ns0:c r="M227" s="4">
        <ns0:v>65.65</ns0:v>
      </ns0:c>
      <ns0:c r="N227" s="4">
        <ns0:v>27.47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25.85</ns0:v>
      </ns0:c>
      <ns0:c r="D228" s="4">
        <ns0:v>22.28</ns0:v>
      </ns0:c>
      <ns0:c r="E228" s="4">
        <ns0:v>46.13</ns0:v>
      </ns0:c>
      <ns0:c r="F228" s="4">
        <ns0:v>48.70</ns0:v>
      </ns0:c>
      <ns0:c r="G228" s="4">
        <ns0:v>44.30</ns0:v>
      </ns0:c>
      <ns0:c r="H228" s="4">
        <ns0:v>18.17</ns0:v>
      </ns0:c>
      <ns0:c r="I228" s="4">
        <ns0:v>50.31</ns0:v>
      </ns0:c>
      <ns0:c r="J228" s="4">
        <ns0:v>55.13</ns0:v>
      </ns0:c>
      <ns0:c r="K228" s="4">
        <ns0:v>62.28</ns0:v>
      </ns0:c>
      <ns0:c r="L228" s="4">
        <ns0:v>21.16</ns0:v>
      </ns0:c>
      <ns0:c r="M228" s="4">
        <ns0:v>39.08</ns0:v>
      </ns0:c>
      <ns0:c r="N228" s="4">
        <ns0:v>35.81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21.29</ns0:v>
      </ns0:c>
      <ns0:c r="D230" s="4">
        <ns0:v>27.26</ns0:v>
      </ns0:c>
      <ns0:c r="E230" s="4">
        <ns0:v>22.01</ns0:v>
      </ns0:c>
      <ns0:c r="F230" s="4">
        <ns0:v>43.87</ns0:v>
      </ns0:c>
      <ns0:c r="G230" s="4">
        <ns0:v>36.61</ns0:v>
      </ns0:c>
      <ns0:c r="H230" s="4">
        <ns0:v>25.72</ns0:v>
      </ns0:c>
      <ns0:c r="I230" s="4">
        <ns0:v>48.09</ns0:v>
      </ns0:c>
      <ns0:c r="J230" s="4">
        <ns0:v>42.19</ns0:v>
      </ns0:c>
      <ns0:c r="K230" s="4">
        <ns0:v>52.83</ns0:v>
      </ns0:c>
      <ns0:c r="L230" s="4">
        <ns0:v>36.71</ns0:v>
      </ns0:c>
      <ns0:c r="M230" s="4">
        <ns0:v>31.60</ns0:v>
      </ns0:c>
      <ns0:c r="N230" s="4">
        <ns0:v>21.91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42.45</ns0:v>
      </ns0:c>
      <ns0:c r="D231" s="4">
        <ns0:v>50.05</ns0:v>
      </ns0:c>
      <ns0:c r="E231" s="4">
        <ns0:v>30.43</ns0:v>
      </ns0:c>
      <ns0:c r="F231" s="4">
        <ns0:v>34.50</ns0:v>
      </ns0:c>
      <ns0:c r="G231" s="4">
        <ns0:v>41.75</ns0:v>
      </ns0:c>
      <ns0:c r="H231" s="4">
        <ns0:v>54.69</ns0:v>
      </ns0:c>
      <ns0:c r="I231" s="4">
        <ns0:v>64.24</ns0:v>
      </ns0:c>
      <ns0:c r="J231" s="4">
        <ns0:v>33.83</ns0:v>
      </ns0:c>
      <ns0:c r="K231" s="4">
        <ns0:v>48.54</ns0:v>
      </ns0:c>
      <ns0:c r="L231" s="4">
        <ns0:v>56.68</ns0:v>
      </ns0:c>
      <ns0:c r="M231" s="4">
        <ns0:v>20.93</ns0:v>
      </ns0:c>
      <ns0:c r="N231" s="4">
        <ns0:v>44.42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21.67</ns0:v>
      </ns0:c>
      <ns0:c r="D232" s="4">
        <ns0:v>49.89</ns0:v>
      </ns0:c>
      <ns0:c r="E232" s="4">
        <ns0:v>23.21</ns0:v>
      </ns0:c>
      <ns0:c r="F232" s="4">
        <ns0:v>33.22</ns0:v>
      </ns0:c>
      <ns0:c r="G232" s="4">
        <ns0:v>52.02</ns0:v>
      </ns0:c>
      <ns0:c r="H232" s="4">
        <ns0:v>16.20</ns0:v>
      </ns0:c>
      <ns0:c r="I232" s="4">
        <ns0:v>63.36</ns0:v>
      </ns0:c>
      <ns0:c r="J232" s="4">
        <ns0:v>31.29</ns0:v>
      </ns0:c>
      <ns0:c r="K232" s="4">
        <ns0:v>41.48</ns0:v>
      </ns0:c>
      <ns0:c r="L232" s="4">
        <ns0:v>58.48</ns0:v>
      </ns0:c>
      <ns0:c r="M232" s="4">
        <ns0:v>37.51</ns0:v>
      </ns0:c>
      <ns0:c r="N232" s="4">
        <ns0:v>51.87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22.48</ns0:v>
      </ns0:c>
      <ns0:c r="D233" s="4">
        <ns0:v>61.53</ns0:v>
      </ns0:c>
      <ns0:c r="E233" s="4">
        <ns0:v>34.86</ns0:v>
      </ns0:c>
      <ns0:c r="F233" s="4">
        <ns0:v>19.94</ns0:v>
      </ns0:c>
      <ns0:c r="G233" s="4">
        <ns0:v>57.16</ns0:v>
      </ns0:c>
      <ns0:c r="H233" s="4">
        <ns0:v>19.91</ns0:v>
      </ns0:c>
      <ns0:c r="I233" s="4">
        <ns0:v>31.81</ns0:v>
      </ns0:c>
      <ns0:c r="J233" s="4">
        <ns0:v>20.80</ns0:v>
      </ns0:c>
      <ns0:c r="K233" s="4">
        <ns0:v>25.72</ns0:v>
      </ns0:c>
      <ns0:c r="L233" s="4">
        <ns0:v>30.56</ns0:v>
      </ns0:c>
      <ns0:c r="M233" s="4">
        <ns0:v>59.67</ns0:v>
      </ns0:c>
      <ns0:c r="N233" s="4">
        <ns0:v>35.78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2.84</ns0:v>
      </ns0:c>
      <ns0:c r="D324" s="4">
        <ns0:v>4.18</ns0:v>
      </ns0:c>
      <ns0:c r="E324" s="4">
        <ns0:v>5.17</ns0:v>
      </ns0:c>
      <ns0:c r="F324" s="4">
        <ns0:v>2.61</ns0:v>
      </ns0:c>
      <ns0:c r="G324" s="4">
        <ns0:v>5.49</ns0:v>
      </ns0:c>
      <ns0:c r="H324" s="4">
        <ns0:v>4.76</ns0:v>
      </ns0:c>
      <ns0:c r="I324" s="4">
        <ns0:v>5.07</ns0:v>
      </ns0:c>
      <ns0:c r="J324" s="4">
        <ns0:v>7.72</ns0:v>
      </ns0:c>
      <ns0:c r="K324" s="4">
        <ns0:v>6.86</ns0:v>
      </ns0:c>
      <ns0:c r="L324" s="4">
        <ns0:v>8.48</ns0:v>
      </ns0:c>
      <ns0:c r="M324" s="4">
        <ns0:v>3.40</ns0:v>
      </ns0:c>
      <ns0:c r="N324" s="4">
        <ns0:v>5.01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7.91</ns0:v>
      </ns0:c>
      <ns0:c r="D325" s="4">
        <ns0:v>2.96</ns0:v>
      </ns0:c>
      <ns0:c r="E325" s="4">
        <ns0:v>6.88</ns0:v>
      </ns0:c>
      <ns0:c r="F325" s="4">
        <ns0:v>6.55</ns0:v>
      </ns0:c>
      <ns0:c r="G325" s="4">
        <ns0:v>8.60</ns0:v>
      </ns0:c>
      <ns0:c r="H325" s="4">
        <ns0:v>5.66</ns0:v>
      </ns0:c>
      <ns0:c r="I325" s="4">
        <ns0:v>7.81</ns0:v>
      </ns0:c>
      <ns0:c r="J325" s="4">
        <ns0:v>2.63</ns0:v>
      </ns0:c>
      <ns0:c r="K325" s="4">
        <ns0:v>7.87</ns0:v>
      </ns0:c>
      <ns0:c r="L325" s="4">
        <ns0:v>2.58</ns0:v>
      </ns0:c>
      <ns0:c r="M325" s="4">
        <ns0:v>2.59</ns0:v>
      </ns0:c>
      <ns0:c r="N325" s="4">
        <ns0:v>2.61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6.38</ns0:v>
      </ns0:c>
      <ns0:c r="D326" s="4">
        <ns0:v>7.94</ns0:v>
      </ns0:c>
      <ns0:c r="E326" s="4">
        <ns0:v>3.85</ns0:v>
      </ns0:c>
      <ns0:c r="F326" s="4">
        <ns0:v>3.58</ns0:v>
      </ns0:c>
      <ns0:c r="G326" s="4">
        <ns0:v>8.66</ns0:v>
      </ns0:c>
      <ns0:c r="H326" s="4">
        <ns0:v>7.23</ns0:v>
      </ns0:c>
      <ns0:c r="I326" s="4">
        <ns0:v>7.26</ns0:v>
      </ns0:c>
      <ns0:c r="J326" s="4">
        <ns0:v>7.04</ns0:v>
      </ns0:c>
      <ns0:c r="K326" s="4">
        <ns0:v>9.08</ns0:v>
      </ns0:c>
      <ns0:c r="L326" s="4">
        <ns0:v>6.92</ns0:v>
      </ns0:c>
      <ns0:c r="M326" s="4">
        <ns0:v>6.44</ns0:v>
      </ns0:c>
      <ns0:c r="N326" s="4">
        <ns0:v>5.20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4.99</ns0:v>
      </ns0:c>
      <ns0:c r="D327" s="4">
        <ns0:v>4.19</ns0:v>
      </ns0:c>
      <ns0:c r="E327" s="4">
        <ns0:v>1.91</ns0:v>
      </ns0:c>
      <ns0:c r="F327" s="4">
        <ns0:v>6.95</ns0:v>
      </ns0:c>
      <ns0:c r="G327" s="4">
        <ns0:v>6.10</ns0:v>
      </ns0:c>
      <ns0:c r="H327" s="4">
        <ns0:v>5.90</ns0:v>
      </ns0:c>
      <ns0:c r="I327" s="4">
        <ns0:v>6.43</ns0:v>
      </ns0:c>
      <ns0:c r="J327" s="4">
        <ns0:v>6.91</ns0:v>
      </ns0:c>
      <ns0:c r="K327" s="4">
        <ns0:v>6.01</ns0:v>
      </ns0:c>
      <ns0:c r="L327" s="4">
        <ns0:v>3.39</ns0:v>
      </ns0:c>
      <ns0:c r="M327" s="4">
        <ns0:v>8.53</ns0:v>
      </ns0:c>
      <ns0:c r="N327" s="4">
        <ns0:v>8.38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7.44</ns0:v>
      </ns0:c>
      <ns0:c r="D328" s="4">
        <ns0:v>7.31</ns0:v>
      </ns0:c>
      <ns0:c r="E328" s="4">
        <ns0:v>4.84</ns0:v>
      </ns0:c>
      <ns0:c r="F328" s="4">
        <ns0:v>2.22</ns0:v>
      </ns0:c>
      <ns0:c r="G328" s="4">
        <ns0:v>5.84</ns0:v>
      </ns0:c>
      <ns0:c r="H328" s="4">
        <ns0:v>8.26</ns0:v>
      </ns0:c>
      <ns0:c r="I328" s="4">
        <ns0:v>5.29</ns0:v>
      </ns0:c>
      <ns0:c r="J328" s="4">
        <ns0:v>2.70</ns0:v>
      </ns0:c>
      <ns0:c r="K328" s="4">
        <ns0:v>5.65</ns0:v>
      </ns0:c>
      <ns0:c r="L328" s="4">
        <ns0:v>7.03</ns0:v>
      </ns0:c>
      <ns0:c r="M328" s="4">
        <ns0:v>3.77</ns0:v>
      </ns0:c>
      <ns0:c r="N328" s="4">
        <ns0:v>2.93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2.51</ns0:v>
      </ns0:c>
      <ns0:c r="D329" s="4">
        <ns0:v>4.86</ns0:v>
      </ns0:c>
      <ns0:c r="E329" s="4">
        <ns0:v>4.30</ns0:v>
      </ns0:c>
      <ns0:c r="F329" s="4">
        <ns0:v>3.31</ns0:v>
      </ns0:c>
      <ns0:c r="G329" s="4">
        <ns0:v>4.29</ns0:v>
      </ns0:c>
      <ns0:c r="H329" s="4">
        <ns0:v>6.95</ns0:v>
      </ns0:c>
      <ns0:c r="I329" s="4">
        <ns0:v>7.19</ns0:v>
      </ns0:c>
      <ns0:c r="J329" s="4">
        <ns0:v>2.18</ns0:v>
      </ns0:c>
      <ns0:c r="K329" s="4">
        <ns0:v>6.39</ns0:v>
      </ns0:c>
      <ns0:c r="L329" s="4">
        <ns0:v>4.18</ns0:v>
      </ns0:c>
      <ns0:c r="M329" s="4">
        <ns0:v>5.80</ns0:v>
      </ns0:c>
      <ns0:c r="N329" s="4">
        <ns0:v>7.97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2.60</ns0:v>
      </ns0:c>
      <ns0:c r="D330" s="4">
        <ns0:v>7.20</ns0:v>
      </ns0:c>
      <ns0:c r="E330" s="4">
        <ns0:v>8.34</ns0:v>
      </ns0:c>
      <ns0:c r="F330" s="4">
        <ns0:v>5.39</ns0:v>
      </ns0:c>
      <ns0:c r="G330" s="4">
        <ns0:v>2.58</ns0:v>
      </ns0:c>
      <ns0:c r="H330" s="4">
        <ns0:v>6.60</ns0:v>
      </ns0:c>
      <ns0:c r="I330" s="4">
        <ns0:v>3.39</ns0:v>
      </ns0:c>
      <ns0:c r="J330" s="4">
        <ns0:v>5.77</ns0:v>
      </ns0:c>
      <ns0:c r="K330" s="4">
        <ns0:v>7.17</ns0:v>
      </ns0:c>
      <ns0:c r="L330" s="4">
        <ns0:v>8.15</ns0:v>
      </ns0:c>
      <ns0:c r="M330" s="4">
        <ns0:v>2.69</ns0:v>
      </ns0:c>
      <ns0:c r="N330" s="4">
        <ns0:v>4.91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6.80</ns0:v>
      </ns0:c>
      <ns0:c r="D331" s="4">
        <ns0:v>6.22</ns0:v>
      </ns0:c>
      <ns0:c r="E331" s="4">
        <ns0:v>9.60</ns0:v>
      </ns0:c>
      <ns0:c r="F331" s="4">
        <ns0:v>8.63</ns0:v>
      </ns0:c>
      <ns0:c r="G331" s="4">
        <ns0:v>9.07</ns0:v>
      </ns0:c>
      <ns0:c r="H331" s="4">
        <ns0:v>9.88</ns0:v>
      </ns0:c>
      <ns0:c r="I331" s="4">
        <ns0:v>7.04</ns0:v>
      </ns0:c>
      <ns0:c r="J331" s="4">
        <ns0:v>4.77</ns0:v>
      </ns0:c>
      <ns0:c r="K331" s="4">
        <ns0:v>5.56</ns0:v>
      </ns0:c>
      <ns0:c r="L331" s="4">
        <ns0:v>2.79</ns0:v>
      </ns0:c>
      <ns0:c r="M331" s="4">
        <ns0:v>4.35</ns0:v>
      </ns0:c>
      <ns0:c r="N331" s="4">
        <ns0:v>8.03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9.45</ns0:v>
      </ns0:c>
      <ns0:c r="D332" s="4">
        <ns0:v>4.88</ns0:v>
      </ns0:c>
      <ns0:c r="E332" s="4">
        <ns0:v>7.43</ns0:v>
      </ns0:c>
      <ns0:c r="F332" s="4">
        <ns0:v>5.42</ns0:v>
      </ns0:c>
      <ns0:c r="G332" s="4">
        <ns0:v>6.36</ns0:v>
      </ns0:c>
      <ns0:c r="H332" s="4">
        <ns0:v>6.99</ns0:v>
      </ns0:c>
      <ns0:c r="I332" s="4">
        <ns0:v>6.16</ns0:v>
      </ns0:c>
      <ns0:c r="J332" s="4">
        <ns0:v>3.30</ns0:v>
      </ns0:c>
      <ns0:c r="K332" s="4">
        <ns0:v>9.63</ns0:v>
      </ns0:c>
      <ns0:c r="L332" s="4">
        <ns0:v>8.26</ns0:v>
      </ns0:c>
      <ns0:c r="M332" s="4">
        <ns0:v>8.27</ns0:v>
      </ns0:c>
      <ns0:c r="N332" s="4">
        <ns0:v>7.79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9.94</ns0:v>
      </ns0:c>
      <ns0:c r="D333" s="4">
        <ns0:v>2.51</ns0:v>
      </ns0:c>
      <ns0:c r="E333" s="4">
        <ns0:v>8.09</ns0:v>
      </ns0:c>
      <ns0:c r="F333" s="4">
        <ns0:v>4.54</ns0:v>
      </ns0:c>
      <ns0:c r="G333" s="4">
        <ns0:v>2.24</ns0:v>
      </ns0:c>
      <ns0:c r="H333" s="4">
        <ns0:v>4.18</ns0:v>
      </ns0:c>
      <ns0:c r="I333" s="4">
        <ns0:v>7.72</ns0:v>
      </ns0:c>
      <ns0:c r="J333" s="4">
        <ns0:v>5.18</ns0:v>
      </ns0:c>
      <ns0:c r="K333" s="4">
        <ns0:v>4.05</ns0:v>
      </ns0:c>
      <ns0:c r="L333" s="4">
        <ns0:v>8.49</ns0:v>
      </ns0:c>
      <ns0:c r="M333" s="4">
        <ns0:v>6.61</ns0:v>
      </ns0:c>
      <ns0:c r="N333" s="4">
        <ns0:v>3.45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3.02</ns0:v>
      </ns0:c>
      <ns0:c r="D334" s="4">
        <ns0:v>6.61</ns0:v>
      </ns0:c>
      <ns0:c r="E334" s="4">
        <ns0:v>8.07</ns0:v>
      </ns0:c>
      <ns0:c r="F334" s="4">
        <ns0:v>6.68</ns0:v>
      </ns0:c>
      <ns0:c r="G334" s="4">
        <ns0:v>2.39</ns0:v>
      </ns0:c>
      <ns0:c r="H334" s="4">
        <ns0:v>3.17</ns0:v>
      </ns0:c>
      <ns0:c r="I334" s="4">
        <ns0:v>6.14</ns0:v>
      </ns0:c>
      <ns0:c r="J334" s="4">
        <ns0:v>5.83</ns0:v>
      </ns0:c>
      <ns0:c r="K334" s="4">
        <ns0:v>7.46</ns0:v>
      </ns0:c>
      <ns0:c r="L334" s="4">
        <ns0:v>6.98</ns0:v>
      </ns0:c>
      <ns0:c r="M334" s="4">
        <ns0:v>4.38</ns0:v>
      </ns0:c>
      <ns0:c r="N334" s="4">
        <ns0:v>7.20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3.54</ns0:v>
      </ns0:c>
      <ns0:c r="D335" s="4">
        <ns0:v>2.52</ns0:v>
      </ns0:c>
      <ns0:c r="E335" s="4">
        <ns0:v>7.64</ns0:v>
      </ns0:c>
      <ns0:c r="F335" s="4">
        <ns0:v>2.13</ns0:v>
      </ns0:c>
      <ns0:c r="G335" s="4">
        <ns0:v>2.48</ns0:v>
      </ns0:c>
      <ns0:c r="H335" s="4">
        <ns0:v>2.63</ns0:v>
      </ns0:c>
      <ns0:c r="I335" s="4">
        <ns0:v>2.25</ns0:v>
      </ns0:c>
      <ns0:c r="J335" s="4">
        <ns0:v>3.78</ns0:v>
      </ns0:c>
      <ns0:c r="K335" s="4">
        <ns0:v>5.68</ns0:v>
      </ns0:c>
      <ns0:c r="L335" s="4">
        <ns0:v>3.88</ns0:v>
      </ns0:c>
      <ns0:c r="M335" s="4">
        <ns0:v>8.24</ns0:v>
      </ns0:c>
      <ns0:c r="N335" s="4">
        <ns0:v>6.21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3.92</ns0:v>
      </ns0:c>
      <ns0:c r="D336" s="4">
        <ns0:v>4.29</ns0:v>
      </ns0:c>
      <ns0:c r="E336" s="4">
        <ns0:v>8.37</ns0:v>
      </ns0:c>
      <ns0:c r="F336" s="4">
        <ns0:v>8.51</ns0:v>
      </ns0:c>
      <ns0:c r="G336" s="4">
        <ns0:v>8.36</ns0:v>
      </ns0:c>
      <ns0:c r="H336" s="4">
        <ns0:v>4.91</ns0:v>
      </ns0:c>
      <ns0:c r="I336" s="4">
        <ns0:v>5.29</ns0:v>
      </ns0:c>
      <ns0:c r="J336" s="4">
        <ns0:v>7.26</ns0:v>
      </ns0:c>
      <ns0:c r="K336" s="4">
        <ns0:v>5.21</ns0:v>
      </ns0:c>
      <ns0:c r="L336" s="4">
        <ns0:v>6.19</ns0:v>
      </ns0:c>
      <ns0:c r="M336" s="4">
        <ns0:v>5.49</ns0:v>
      </ns0:c>
      <ns0:c r="N336" s="4">
        <ns0:v>6.78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5.99</ns0:v>
      </ns0:c>
      <ns0:c r="D337" s="4">
        <ns0:v>4.26</ns0:v>
      </ns0:c>
      <ns0:c r="E337" s="4">
        <ns0:v>8.99</ns0:v>
      </ns0:c>
      <ns0:c r="F337" s="4">
        <ns0:v>4.29</ns0:v>
      </ns0:c>
      <ns0:c r="G337" s="4">
        <ns0:v>5.91</ns0:v>
      </ns0:c>
      <ns0:c r="H337" s="4">
        <ns0:v>5.25</ns0:v>
      </ns0:c>
      <ns0:c r="I337" s="4">
        <ns0:v>8.96</ns0:v>
      </ns0:c>
      <ns0:c r="J337" s="4">
        <ns0:v>5.71</ns0:v>
      </ns0:c>
      <ns0:c r="K337" s="4">
        <ns0:v>2.03</ns0:v>
      </ns0:c>
      <ns0:c r="L337" s="4">
        <ns0:v>6.78</ns0:v>
      </ns0:c>
      <ns0:c r="M337" s="4">
        <ns0:v>7.32</ns0:v>
      </ns0:c>
      <ns0:c r="N337" s="4">
        <ns0:v>3.47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6.91</ns0:v>
      </ns0:c>
      <ns0:c r="D338" s="4">
        <ns0:v>3.54</ns0:v>
      </ns0:c>
      <ns0:c r="E338" s="4">
        <ns0:v>7.72</ns0:v>
      </ns0:c>
      <ns0:c r="F338" s="4">
        <ns0:v>6.96</ns0:v>
      </ns0:c>
      <ns0:c r="G338" s="4">
        <ns0:v>2.78</ns0:v>
      </ns0:c>
      <ns0:c r="H338" s="4">
        <ns0:v>3.22</ns0:v>
      </ns0:c>
      <ns0:c r="I338" s="4">
        <ns0:v>5.72</ns0:v>
      </ns0:c>
      <ns0:c r="J338" s="4">
        <ns0:v>5.11</ns0:v>
      </ns0:c>
      <ns0:c r="K338" s="4">
        <ns0:v>3.88</ns0:v>
      </ns0:c>
      <ns0:c r="L338" s="4">
        <ns0:v>3.64</ns0:v>
      </ns0:c>
      <ns0:c r="M338" s="4">
        <ns0:v>7.29</ns0:v>
      </ns0:c>
      <ns0:c r="N338" s="4">
        <ns0:v>6.22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2.53</ns0:v>
      </ns0:c>
      <ns0:c r="D339" s="4">
        <ns0:v>7.13</ns0:v>
      </ns0:c>
      <ns0:c r="E339" s="4">
        <ns0:v>3.26</ns0:v>
      </ns0:c>
      <ns0:c r="F339" s="4">
        <ns0:v>5.22</ns0:v>
      </ns0:c>
      <ns0:c r="G339" s="4">
        <ns0:v>4.83</ns0:v>
      </ns0:c>
      <ns0:c r="H339" s="4">
        <ns0:v>3.16</ns0:v>
      </ns0:c>
      <ns0:c r="I339" s="4">
        <ns0:v>6.29</ns0:v>
      </ns0:c>
      <ns0:c r="J339" s="4">
        <ns0:v>3.20</ns0:v>
      </ns0:c>
      <ns0:c r="K339" s="4">
        <ns0:v>7.98</ns0:v>
      </ns0:c>
      <ns0:c r="L339" s="4">
        <ns0:v>5.17</ns0:v>
      </ns0:c>
      <ns0:c r="M339" s="4">
        <ns0:v>5.78</ns0:v>
      </ns0:c>
      <ns0:c r="N339" s="4">
        <ns0:v>7.02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7.21</ns0:v>
      </ns0:c>
      <ns0:c r="D341" s="4">
        <ns0:v>6.31</ns0:v>
      </ns0:c>
      <ns0:c r="E341" s="4">
        <ns0:v>8.86</ns0:v>
      </ns0:c>
      <ns0:c r="F341" s="4">
        <ns0:v>5.46</ns0:v>
      </ns0:c>
      <ns0:c r="G341" s="4">
        <ns0:v>7.60</ns0:v>
      </ns0:c>
      <ns0:c r="H341" s="4">
        <ns0:v>5.74</ns0:v>
      </ns0:c>
      <ns0:c r="I341" s="4">
        <ns0:v>3.97</ns0:v>
      </ns0:c>
      <ns0:c r="J341" s="4">
        <ns0:v>6.36</ns0:v>
      </ns0:c>
      <ns0:c r="K341" s="4">
        <ns0:v>6.22</ns0:v>
      </ns0:c>
      <ns0:c r="L341" s="4">
        <ns0:v>5.06</ns0:v>
      </ns0:c>
      <ns0:c r="M341" s="4">
        <ns0:v>3.04</ns0:v>
      </ns0:c>
      <ns0:c r="N341" s="4">
        <ns0:v>2.20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5.75</ns0:v>
      </ns0:c>
      <ns0:c r="D342" s="4">
        <ns0:v>2.31</ns0:v>
      </ns0:c>
      <ns0:c r="E342" s="4">
        <ns0:v>7.78</ns0:v>
      </ns0:c>
      <ns0:c r="F342" s="4">
        <ns0:v>3.97</ns0:v>
      </ns0:c>
      <ns0:c r="G342" s="4">
        <ns0:v>2.83</ns0:v>
      </ns0:c>
      <ns0:c r="H342" s="4">
        <ns0:v>7.47</ns0:v>
      </ns0:c>
      <ns0:c r="I342" s="4">
        <ns0:v>2.59</ns0:v>
      </ns0:c>
      <ns0:c r="J342" s="4">
        <ns0:v>7.01</ns0:v>
      </ns0:c>
      <ns0:c r="K342" s="4">
        <ns0:v>3.24</ns0:v>
      </ns0:c>
      <ns0:c r="L342" s="4">
        <ns0:v>4.11</ns0:v>
      </ns0:c>
      <ns0:c r="M342" s="4">
        <ns0:v>8.26</ns0:v>
      </ns0:c>
      <ns0:c r="N342" s="4">
        <ns0:v>7.20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2.12</ns0:v>
      </ns0:c>
      <ns0:c r="D343" s="4">
        <ns0:v>2.62</ns0:v>
      </ns0:c>
      <ns0:c r="E343" s="4">
        <ns0:v>2.84</ns0:v>
      </ns0:c>
      <ns0:c r="F343" s="4">
        <ns0:v>2.36</ns0:v>
      </ns0:c>
      <ns0:c r="G343" s="4">
        <ns0:v>8.12</ns0:v>
      </ns0:c>
      <ns0:c r="H343" s="4">
        <ns0:v>2.86</ns0:v>
      </ns0:c>
      <ns0:c r="I343" s="4">
        <ns0:v>6.94</ns0:v>
      </ns0:c>
      <ns0:c r="J343" s="4">
        <ns0:v>6.49</ns0:v>
      </ns0:c>
      <ns0:c r="K343" s="4">
        <ns0:v>3.25</ns0:v>
      </ns0:c>
      <ns0:c r="L343" s="4">
        <ns0:v>4.84</ns0:v>
      </ns0:c>
      <ns0:c r="M343" s="4">
        <ns0:v>5.33</ns0:v>
      </ns0:c>
      <ns0:c r="N343" s="4">
        <ns0:v>5.05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4.43</ns0:v>
      </ns0:c>
      <ns0:c r="D344" s="4">
        <ns0:v>9.14</ns0:v>
      </ns0:c>
      <ns0:c r="E344" s="4">
        <ns0:v>8.23</ns0:v>
      </ns0:c>
      <ns0:c r="F344" s="4">
        <ns0:v>6.50</ns0:v>
      </ns0:c>
      <ns0:c r="G344" s="4">
        <ns0:v>8.16</ns0:v>
      </ns0:c>
      <ns0:c r="H344" s="4">
        <ns0:v>6.98</ns0:v>
      </ns0:c>
      <ns0:c r="I344" s="4">
        <ns0:v>5.02</ns0:v>
      </ns0:c>
      <ns0:c r="J344" s="4">
        <ns0:v>4.12</ns0:v>
      </ns0:c>
      <ns0:c r="K344" s="4">
        <ns0:v>7.74</ns0:v>
      </ns0:c>
      <ns0:c r="L344" s="4">
        <ns0:v>8.62</ns0:v>
      </ns0:c>
      <ns0:c r="M344" s="4">
        <ns0:v>4.35</ns0:v>
      </ns0:c>
      <ns0:c r="N344" s="4">
        <ns0:v>9.99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7.69</ns0:v>
      </ns0:c>
      <ns0:c r="D345" s="4">
        <ns0:v>7.28</ns0:v>
      </ns0:c>
      <ns0:c r="E345" s="4">
        <ns0:v>3.73</ns0:v>
      </ns0:c>
      <ns0:c r="F345" s="4">
        <ns0:v>3.63</ns0:v>
      </ns0:c>
      <ns0:c r="G345" s="4">
        <ns0:v>5.70</ns0:v>
      </ns0:c>
      <ns0:c r="H345" s="4">
        <ns0:v>2.59</ns0:v>
      </ns0:c>
      <ns0:c r="I345" s="4">
        <ns0:v>5.60</ns0:v>
      </ns0:c>
      <ns0:c r="J345" s="4">
        <ns0:v>8.73</ns0:v>
      </ns0:c>
      <ns0:c r="K345" s="4">
        <ns0:v>2.86</ns0:v>
      </ns0:c>
      <ns0:c r="L345" s="4">
        <ns0:v>9.32</ns0:v>
      </ns0:c>
      <ns0:c r="M345" s="4">
        <ns0:v>8.67</ns0:v>
      </ns0:c>
      <ns0:c r="N345" s="4">
        <ns0:v>3.73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8.62</ns0:v>
      </ns0:c>
      <ns0:c r="D346" s="4">
        <ns0:v>9.24</ns0:v>
      </ns0:c>
      <ns0:c r="E346" s="4">
        <ns0:v>2.67</ns0:v>
      </ns0:c>
      <ns0:c r="F346" s="4">
        <ns0:v>8.14</ns0:v>
      </ns0:c>
      <ns0:c r="G346" s="4">
        <ns0:v>9.48</ns0:v>
      </ns0:c>
      <ns0:c r="H346" s="4">
        <ns0:v>5.91</ns0:v>
      </ns0:c>
      <ns0:c r="I346" s="4">
        <ns0:v>8.12</ns0:v>
      </ns0:c>
      <ns0:c r="J346" s="4">
        <ns0:v>6.42</ns0:v>
      </ns0:c>
      <ns0:c r="K346" s="4">
        <ns0:v>8.61</ns0:v>
      </ns0:c>
      <ns0:c r="L346" s="4">
        <ns0:v>9.49</ns0:v>
      </ns0:c>
      <ns0:c r="M346" s="4">
        <ns0:v>4.58</ns0:v>
      </ns0:c>
      <ns0:c r="N346" s="4">
        <ns0:v>2.63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5.81</ns0:v>
      </ns0:c>
      <ns0:c r="D347" s="4">
        <ns0:v>6.91</ns0:v>
      </ns0:c>
      <ns0:c r="E347" s="4">
        <ns0:v>6.70</ns0:v>
      </ns0:c>
      <ns0:c r="F347" s="4">
        <ns0:v>4.97</ns0:v>
      </ns0:c>
      <ns0:c r="G347" s="4">
        <ns0:v>3.74</ns0:v>
      </ns0:c>
      <ns0:c r="H347" s="4">
        <ns0:v>2.47</ns0:v>
      </ns0:c>
      <ns0:c r="I347" s="4">
        <ns0:v>6.79</ns0:v>
      </ns0:c>
      <ns0:c r="J347" s="4">
        <ns0:v>9.18</ns0:v>
      </ns0:c>
      <ns0:c r="K347" s="4">
        <ns0:v>2.49</ns0:v>
      </ns0:c>
      <ns0:c r="L347" s="4">
        <ns0:v>8.90</ns0:v>
      </ns0:c>
      <ns0:c r="M347" s="4">
        <ns0:v>7.08</ns0:v>
      </ns0:c>
      <ns0:c r="N347" s="4">
        <ns0:v>8.06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6.61</ns0:v>
      </ns0:c>
      <ns0:c r="D348" s="4">
        <ns0:v>7.59</ns0:v>
      </ns0:c>
      <ns0:c r="E348" s="4">
        <ns0:v>2.98</ns0:v>
      </ns0:c>
      <ns0:c r="F348" s="4">
        <ns0:v>5.96</ns0:v>
      </ns0:c>
      <ns0:c r="G348" s="4">
        <ns0:v>7.11</ns0:v>
      </ns0:c>
      <ns0:c r="H348" s="4">
        <ns0:v>5.87</ns0:v>
      </ns0:c>
      <ns0:c r="I348" s="4">
        <ns0:v>9.71</ns0:v>
      </ns0:c>
      <ns0:c r="J348" s="4">
        <ns0:v>4.64</ns0:v>
      </ns0:c>
      <ns0:c r="K348" s="4">
        <ns0:v>6.30</ns0:v>
      </ns0:c>
      <ns0:c r="L348" s="4">
        <ns0:v>9.24</ns0:v>
      </ns0:c>
      <ns0:c r="M348" s="4">
        <ns0:v>9.13</ns0:v>
      </ns0:c>
      <ns0:c r="N348" s="4">
        <ns0:v>6.03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3.32</ns0:v>
      </ns0:c>
      <ns0:c r="D350" s="4">
        <ns0:v>6.88</ns0:v>
      </ns0:c>
      <ns0:c r="E350" s="4">
        <ns0:v>3.66</ns0:v>
      </ns0:c>
      <ns0:c r="F350" s="4">
        <ns0:v>2.98</ns0:v>
      </ns0:c>
      <ns0:c r="G350" s="4">
        <ns0:v>3.62</ns0:v>
      </ns0:c>
      <ns0:c r="H350" s="4">
        <ns0:v>2.85</ns0:v>
      </ns0:c>
      <ns0:c r="I350" s="4">
        <ns0:v>4.16</ns0:v>
      </ns0:c>
      <ns0:c r="J350" s="4">
        <ns0:v>4.47</ns0:v>
      </ns0:c>
      <ns0:c r="K350" s="4">
        <ns0:v>3.60</ns0:v>
      </ns0:c>
      <ns0:c r="L350" s="4">
        <ns0:v>6.18</ns0:v>
      </ns0:c>
      <ns0:c r="M350" s="4">
        <ns0:v>8.13</ns0:v>
      </ns0:c>
      <ns0:c r="N350" s="4">
        <ns0:v>4.91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6.20</ns0:v>
      </ns0:c>
      <ns0:c r="D351" s="4">
        <ns0:v>4.28</ns0:v>
      </ns0:c>
      <ns0:c r="E351" s="4">
        <ns0:v>5.97</ns0:v>
      </ns0:c>
      <ns0:c r="F351" s="4">
        <ns0:v>8.12</ns0:v>
      </ns0:c>
      <ns0:c r="G351" s="4">
        <ns0:v>4.88</ns0:v>
      </ns0:c>
      <ns0:c r="H351" s="4">
        <ns0:v>5.43</ns0:v>
      </ns0:c>
      <ns0:c r="I351" s="4">
        <ns0:v>7.81</ns0:v>
      </ns0:c>
      <ns0:c r="J351" s="4">
        <ns0:v>6.07</ns0:v>
      </ns0:c>
      <ns0:c r="K351" s="4">
        <ns0:v>7.59</ns0:v>
      </ns0:c>
      <ns0:c r="L351" s="4">
        <ns0:v>6.05</ns0:v>
      </ns0:c>
      <ns0:c r="M351" s="4">
        <ns0:v>7.45</ns0:v>
      </ns0:c>
      <ns0:c r="N351" s="4">
        <ns0:v>7.03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5.53</ns0:v>
      </ns0:c>
      <ns0:c r="D352" s="4">
        <ns0:v>3.73</ns0:v>
      </ns0:c>
      <ns0:c r="E352" s="4">
        <ns0:v>2.29</ns0:v>
      </ns0:c>
      <ns0:c r="F352" s="4">
        <ns0:v>2.13</ns0:v>
      </ns0:c>
      <ns0:c r="G352" s="4">
        <ns0:v>6.82</ns0:v>
      </ns0:c>
      <ns0:c r="H352" s="4">
        <ns0:v>4.52</ns0:v>
      </ns0:c>
      <ns0:c r="I352" s="4">
        <ns0:v>7.59</ns0:v>
      </ns0:c>
      <ns0:c r="J352" s="4">
        <ns0:v>3.61</ns0:v>
      </ns0:c>
      <ns0:c r="K352" s="4">
        <ns0:v>6.59</ns0:v>
      </ns0:c>
      <ns0:c r="L352" s="4">
        <ns0:v>4.21</ns0:v>
      </ns0:c>
      <ns0:c r="M352" s="4">
        <ns0:v>9.19</ns0:v>
      </ns0:c>
      <ns0:c r="N352" s="4">
        <ns0:v>5.40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2.69</ns0:v>
      </ns0:c>
      <ns0:c r="D353" s="4">
        <ns0:v>2.03</ns0:v>
      </ns0:c>
      <ns0:c r="E353" s="4">
        <ns0:v>7.99</ns0:v>
      </ns0:c>
      <ns0:c r="F353" s="4">
        <ns0:v>6.75</ns0:v>
      </ns0:c>
      <ns0:c r="G353" s="4">
        <ns0:v>6.33</ns0:v>
      </ns0:c>
      <ns0:c r="H353" s="4">
        <ns0:v>3.70</ns0:v>
      </ns0:c>
      <ns0:c r="I353" s="4">
        <ns0:v>9.41</ns0:v>
      </ns0:c>
      <ns0:c r="J353" s="4">
        <ns0:v>2.86</ns0:v>
      </ns0:c>
      <ns0:c r="K353" s="4">
        <ns0:v>8.29</ns0:v>
      </ns0:c>
      <ns0:c r="L353" s="4">
        <ns0:v>3.97</ns0:v>
      </ns0:c>
      <ns0:c r="M353" s="4">
        <ns0:v>5.27</ns0:v>
      </ns0:c>
      <ns0:c r="N353" s="4">
        <ns0:v>7.21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9" hidden="0" customWidth="1"/>
    <ns0:col min="19" max="19" width="9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管理费用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预算基础（月度，元）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392.85</ns0:v>
      </ns0:c>
      <ns0:c r="D4" s="3">
        <ns0:f>ROUND(D204*D324,2)</ns0:f>
        <ns0:v>156.41</ns0:v>
      </ns0:c>
      <ns0:c r="E4" s="3">
        <ns0:f>ROUND(E204*E324,2)</ns0:f>
        <ns0:v>128.31</ns0:v>
      </ns0:c>
      <ns0:c r="F4" s="3">
        <ns0:f>ROUND(F204*F324,2)</ns0:f>
        <ns0:v>257.76</ns0:v>
      </ns0:c>
      <ns0:c r="G4" s="3">
        <ns0:f>ROUND(G204*G324,2)</ns0:f>
        <ns0:v>174.88</ns0:v>
      </ns0:c>
      <ns0:c r="H4" s="3">
        <ns0:f>ROUND(H204*H324,2)</ns0:f>
        <ns0:v>254.45</ns0:v>
      </ns0:c>
      <ns0:c r="I4" s="3">
        <ns0:f>ROUND(I204*I324,2)</ns0:f>
        <ns0:v>98.86</ns0:v>
      </ns0:c>
      <ns0:c r="J4" s="3">
        <ns0:f>ROUND(J204*J324,2)</ns0:f>
        <ns0:v>180.77</ns0:v>
      </ns0:c>
      <ns0:c r="K4" s="3">
        <ns0:f>ROUND(K204*K324,2)</ns0:f>
        <ns0:v>165.82</ns0:v>
      </ns0:c>
      <ns0:c r="L4" s="3">
        <ns0:f>ROUND(L204*L324,2)</ns0:f>
        <ns0:v>169.57</ns0:v>
      </ns0:c>
      <ns0:c r="M4" s="3">
        <ns0:f>ROUND(M204*M324,2)</ns0:f>
        <ns0:v>512.37</ns0:v>
      </ns0:c>
      <ns0:c r="N4" s="3">
        <ns0:f>ROUND(N204*N324,2)</ns0:f>
        <ns0:v>348.28</ns0:v>
      </ns0:c>
      <ns0:c r="O4" s="3">
        <ns0:f>SUM(C4:N4)</ns0:f>
        <ns0:v>2840.33</ns0:v>
      </ns0:c>
      <ns0:c r="P4" s="2" t="inlineStr">
        <ns0:is>
          <ns0:t>EXP2.004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138.16</ns0:v>
      </ns0:c>
      <ns0:c r="D5" s="3">
        <ns0:f>ROUND(D205*D325,2)</ns0:f>
        <ns0:v>228.66</ns0:v>
      </ns0:c>
      <ns0:c r="E5" s="3">
        <ns0:f>ROUND(E205*E325,2)</ns0:f>
        <ns0:v>419.30</ns0:v>
      </ns0:c>
      <ns0:c r="F5" s="3">
        <ns0:f>ROUND(F205*F325,2)</ns0:f>
        <ns0:v>95.05</ns0:v>
      </ns0:c>
      <ns0:c r="G5" s="3">
        <ns0:f>ROUND(G205*G325,2)</ns0:f>
        <ns0:v>374.71</ns0:v>
      </ns0:c>
      <ns0:c r="H5" s="3">
        <ns0:f>ROUND(H205*H325,2)</ns0:f>
        <ns0:v>137.78</ns0:v>
      </ns0:c>
      <ns0:c r="I5" s="3">
        <ns0:f>ROUND(I205*I325,2)</ns0:f>
        <ns0:v>61.08</ns0:v>
      </ns0:c>
      <ns0:c r="J5" s="3">
        <ns0:f>ROUND(J205*J325,2)</ns0:f>
        <ns0:v>198.93</ns0:v>
      </ns0:c>
      <ns0:c r="K5" s="3">
        <ns0:f>ROUND(K205*K325,2)</ns0:f>
        <ns0:v>354.32</ns0:v>
      </ns0:c>
      <ns0:c r="L5" s="3">
        <ns0:f>ROUND(L205*L325,2)</ns0:f>
        <ns0:v>130.42</ns0:v>
      </ns0:c>
      <ns0:c r="M5" s="3">
        <ns0:f>ROUND(M205*M325,2)</ns0:f>
        <ns0:v>279.89</ns0:v>
      </ns0:c>
      <ns0:c r="N5" s="3">
        <ns0:f>ROUND(N205*N325,2)</ns0:f>
        <ns0:v>147.42</ns0:v>
      </ns0:c>
      <ns0:c r="O5" s="3">
        <ns0:f>SUM(C5:N5)</ns0:f>
        <ns0:v>2565.72</ns0:v>
      </ns0:c>
      <ns0:c r="P5" s="2" t="inlineStr">
        <ns0:is>
          <ns0:t>EXP2.005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105.13</ns0:v>
      </ns0:c>
      <ns0:c r="D6" s="3">
        <ns0:f>ROUND(D206*D326,2)</ns0:f>
        <ns0:v>78.24</ns0:v>
      </ns0:c>
      <ns0:c r="E6" s="3">
        <ns0:f>ROUND(E206*E326,2)</ns0:f>
        <ns0:v>226.79</ns0:v>
      </ns0:c>
      <ns0:c r="F6" s="3">
        <ns0:f>ROUND(F206*F326,2)</ns0:f>
        <ns0:v>288.29</ns0:v>
      </ns0:c>
      <ns0:c r="G6" s="3">
        <ns0:f>ROUND(G206*G326,2)</ns0:f>
        <ns0:v>333.82</ns0:v>
      </ns0:c>
      <ns0:c r="H6" s="3">
        <ns0:f>ROUND(H206*H326,2)</ns0:f>
        <ns0:v>153.37</ns0:v>
      </ns0:c>
      <ns0:c r="I6" s="3">
        <ns0:f>ROUND(I206*I326,2)</ns0:f>
        <ns0:v>61.92</ns0:v>
      </ns0:c>
      <ns0:c r="J6" s="3">
        <ns0:f>ROUND(J206*J326,2)</ns0:f>
        <ns0:v>120.98</ns0:v>
      </ns0:c>
      <ns0:c r="K6" s="3">
        <ns0:f>ROUND(K206*K326,2)</ns0:f>
        <ns0:v>69.97</ns0:v>
      </ns0:c>
      <ns0:c r="L6" s="3">
        <ns0:f>ROUND(L206*L326,2)</ns0:f>
        <ns0:v>319.46</ns0:v>
      </ns0:c>
      <ns0:c r="M6" s="3">
        <ns0:f>ROUND(M206*M326,2)</ns0:f>
        <ns0:v>170.19</ns0:v>
      </ns0:c>
      <ns0:c r="N6" s="3">
        <ns0:f>ROUND(N206*N326,2)</ns0:f>
        <ns0:v>260.29</ns0:v>
      </ns0:c>
      <ns0:c r="O6" s="3">
        <ns0:f>SUM(C6:N6)</ns0:f>
        <ns0:v>2188.45</ns0:v>
      </ns0:c>
      <ns0:c r="P6" s="2" t="inlineStr">
        <ns0:is>
          <ns0:t>EXP2.006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182.03</ns0:v>
      </ns0:c>
      <ns0:c r="D7" s="3">
        <ns0:f>ROUND(D207*D327,2)</ns0:f>
        <ns0:v>114.15</ns0:v>
      </ns0:c>
      <ns0:c r="E7" s="3">
        <ns0:f>ROUND(E207*E327,2)</ns0:f>
        <ns0:v>175.87</ns0:v>
      </ns0:c>
      <ns0:c r="F7" s="3">
        <ns0:f>ROUND(F207*F327,2)</ns0:f>
        <ns0:v>405.68</ns0:v>
      </ns0:c>
      <ns0:c r="G7" s="3">
        <ns0:f>ROUND(G207*G327,2)</ns0:f>
        <ns0:v>169.24</ns0:v>
      </ns0:c>
      <ns0:c r="H7" s="3">
        <ns0:f>ROUND(H207*H327,2)</ns0:f>
        <ns0:v>321.61</ns0:v>
      </ns0:c>
      <ns0:c r="I7" s="3">
        <ns0:f>ROUND(I207*I327,2)</ns0:f>
        <ns0:v>517.86</ns0:v>
      </ns0:c>
      <ns0:c r="J7" s="3">
        <ns0:f>ROUND(J207*J327,2)</ns0:f>
        <ns0:v>297.31</ns0:v>
      </ns0:c>
      <ns0:c r="K7" s="3">
        <ns0:f>ROUND(K207*K327,2)</ns0:f>
        <ns0:v>346.87</ns0:v>
      </ns0:c>
      <ns0:c r="L7" s="3">
        <ns0:f>ROUND(L207*L327,2)</ns0:f>
        <ns0:v>385.30</ns0:v>
      </ns0:c>
      <ns0:c r="M7" s="3">
        <ns0:f>ROUND(M207*M327,2)</ns0:f>
        <ns0:v>418.98</ns0:v>
      </ns0:c>
      <ns0:c r="N7" s="3">
        <ns0:f>ROUND(N207*N327,2)</ns0:f>
        <ns0:v>471.33</ns0:v>
      </ns0:c>
      <ns0:c r="O7" s="3">
        <ns0:f>SUM(C7:N7)</ns0:f>
        <ns0:v>3806.23</ns0:v>
      </ns0:c>
      <ns0:c r="P7" s="2" t="inlineStr">
        <ns0:is>
          <ns0:t>EXP2.007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136.87</ns0:v>
      </ns0:c>
      <ns0:c r="D8" s="3">
        <ns0:f>ROUND(D208*D328,2)</ns0:f>
        <ns0:v>386.39</ns0:v>
      </ns0:c>
      <ns0:c r="E8" s="3">
        <ns0:f>ROUND(E208*E328,2)</ns0:f>
        <ns0:v>369.83</ns0:v>
      </ns0:c>
      <ns0:c r="F8" s="3">
        <ns0:f>ROUND(F208*F328,2)</ns0:f>
        <ns0:v>99.65</ns0:v>
      </ns0:c>
      <ns0:c r="G8" s="3">
        <ns0:f>ROUND(G208*G328,2)</ns0:f>
        <ns0:v>183.71</ns0:v>
      </ns0:c>
      <ns0:c r="H8" s="3">
        <ns0:f>ROUND(H208*H328,2)</ns0:f>
        <ns0:v>426.87</ns0:v>
      </ns0:c>
      <ns0:c r="I8" s="3">
        <ns0:f>ROUND(I208*I328,2)</ns0:f>
        <ns0:v>246.54</ns0:v>
      </ns0:c>
      <ns0:c r="J8" s="3">
        <ns0:f>ROUND(J208*J328,2)</ns0:f>
        <ns0:v>338.78</ns0:v>
      </ns0:c>
      <ns0:c r="K8" s="3">
        <ns0:f>ROUND(K208*K328,2)</ns0:f>
        <ns0:v>236.12</ns0:v>
      </ns0:c>
      <ns0:c r="L8" s="3">
        <ns0:f>ROUND(L208*L328,2)</ns0:f>
        <ns0:v>499.71</ns0:v>
      </ns0:c>
      <ns0:c r="M8" s="3">
        <ns0:f>ROUND(M208*M328,2)</ns0:f>
        <ns0:v>174.80</ns0:v>
      </ns0:c>
      <ns0:c r="N8" s="3">
        <ns0:f>ROUND(N208*N328,2)</ns0:f>
        <ns0:v>375.27</ns0:v>
      </ns0:c>
      <ns0:c r="O8" s="3">
        <ns0:f>SUM(C8:N8)</ns0:f>
        <ns0:v>3474.54</ns0:v>
      </ns0:c>
      <ns0:c r="P8" s="2" t="inlineStr">
        <ns0:is>
          <ns0:t>EXP2.008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403.57</ns0:v>
      </ns0:c>
      <ns0:c r="D9" s="3">
        <ns0:f>ROUND(D209*D329,2)</ns0:f>
        <ns0:v>151.87</ns0:v>
      </ns0:c>
      <ns0:c r="E9" s="3">
        <ns0:f>ROUND(E209*E329,2)</ns0:f>
        <ns0:v>363.03</ns0:v>
      </ns0:c>
      <ns0:c r="F9" s="3">
        <ns0:f>ROUND(F209*F329,2)</ns0:f>
        <ns0:v>346.65</ns0:v>
      </ns0:c>
      <ns0:c r="G9" s="3">
        <ns0:f>ROUND(G209*G329,2)</ns0:f>
        <ns0:v>252.09</ns0:v>
      </ns0:c>
      <ns0:c r="H9" s="3">
        <ns0:f>ROUND(H209*H329,2)</ns0:f>
        <ns0:v>141.34</ns0:v>
      </ns0:c>
      <ns0:c r="I9" s="3">
        <ns0:f>ROUND(I209*I329,2)</ns0:f>
        <ns0:v>310.61</ns0:v>
      </ns0:c>
      <ns0:c r="J9" s="3">
        <ns0:f>ROUND(J209*J329,2)</ns0:f>
        <ns0:v>108.00</ns0:v>
      </ns0:c>
      <ns0:c r="K9" s="3">
        <ns0:f>ROUND(K209*K329,2)</ns0:f>
        <ns0:v>306.66</ns0:v>
      </ns0:c>
      <ns0:c r="L9" s="3">
        <ns0:f>ROUND(L209*L329,2)</ns0:f>
        <ns0:v>74.00</ns0:v>
      </ns0:c>
      <ns0:c r="M9" s="3">
        <ns0:f>ROUND(M209*M329,2)</ns0:f>
        <ns0:v>256.16</ns0:v>
      </ns0:c>
      <ns0:c r="N9" s="3">
        <ns0:f>ROUND(N209*N329,2)</ns0:f>
        <ns0:v>289.66</ns0:v>
      </ns0:c>
      <ns0:c r="O9" s="3">
        <ns0:f>SUM(C9:N9)</ns0:f>
        <ns0:v>3003.64</ns0:v>
      </ns0:c>
      <ns0:c r="P9" s="2" t="inlineStr">
        <ns0:is>
          <ns0:t>EXP2.009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390.90</ns0:v>
      </ns0:c>
      <ns0:c r="D10" s="3">
        <ns0:f>ROUND(D210*D330,2)</ns0:f>
        <ns0:v>372.83</ns0:v>
      </ns0:c>
      <ns0:c r="E10" s="3">
        <ns0:f>ROUND(E210*E330,2)</ns0:f>
        <ns0:v>110.75</ns0:v>
      </ns0:c>
      <ns0:c r="F10" s="3">
        <ns0:f>ROUND(F210*F330,2)</ns0:f>
        <ns0:v>290.49</ns0:v>
      </ns0:c>
      <ns0:c r="G10" s="3">
        <ns0:f>ROUND(G210*G330,2)</ns0:f>
        <ns0:v>437.07</ns0:v>
      </ns0:c>
      <ns0:c r="H10" s="3">
        <ns0:f>ROUND(H210*H330,2)</ns0:f>
        <ns0:v>192.82</ns0:v>
      </ns0:c>
      <ns0:c r="I10" s="3">
        <ns0:f>ROUND(I210*I330,2)</ns0:f>
        <ns0:v>143.85</ns0:v>
      </ns0:c>
      <ns0:c r="J10" s="3">
        <ns0:f>ROUND(J210*J330,2)</ns0:f>
        <ns0:v>134.87</ns0:v>
      </ns0:c>
      <ns0:c r="K10" s="3">
        <ns0:f>ROUND(K210*K330,2)</ns0:f>
        <ns0:v>155.10</ns0:v>
      </ns0:c>
      <ns0:c r="L10" s="3">
        <ns0:f>ROUND(L210*L330,2)</ns0:f>
        <ns0:v>339.90</ns0:v>
      </ns0:c>
      <ns0:c r="M10" s="3">
        <ns0:f>ROUND(M210*M330,2)</ns0:f>
        <ns0:v>97.30</ns0:v>
      </ns0:c>
      <ns0:c r="N10" s="3">
        <ns0:f>ROUND(N210*N330,2)</ns0:f>
        <ns0:v>140.01</ns0:v>
      </ns0:c>
      <ns0:c r="O10" s="3">
        <ns0:f>SUM(C10:N10)</ns0:f>
        <ns0:v>2805.89</ns0:v>
      </ns0:c>
      <ns0:c r="P10" s="2" t="inlineStr">
        <ns0:is>
          <ns0:t>EXP2.010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225.88</ns0:v>
      </ns0:c>
      <ns0:c r="D11" s="3">
        <ns0:f>ROUND(D211*D331,2)</ns0:f>
        <ns0:v>479.77</ns0:v>
      </ns0:c>
      <ns0:c r="E11" s="3">
        <ns0:f>ROUND(E211*E331,2)</ns0:f>
        <ns0:v>105.83</ns0:v>
      </ns0:c>
      <ns0:c r="F11" s="3">
        <ns0:f>ROUND(F211*F331,2)</ns0:f>
        <ns0:v>214.35</ns0:v>
      </ns0:c>
      <ns0:c r="G11" s="3">
        <ns0:f>ROUND(G211*G331,2)</ns0:f>
        <ns0:v>176.85</ns0:v>
      </ns0:c>
      <ns0:c r="H11" s="3">
        <ns0:f>ROUND(H211*H331,2)</ns0:f>
        <ns0:v>378.37</ns0:v>
      </ns0:c>
      <ns0:c r="I11" s="3">
        <ns0:f>ROUND(I211*I331,2)</ns0:f>
        <ns0:v>63.46</ns0:v>
      </ns0:c>
      <ns0:c r="J11" s="3">
        <ns0:f>ROUND(J211*J331,2)</ns0:f>
        <ns0:v>212.95</ns0:v>
      </ns0:c>
      <ns0:c r="K11" s="3">
        <ns0:f>ROUND(K211*K331,2)</ns0:f>
        <ns0:v>85.31</ns0:v>
      </ns0:c>
      <ns0:c r="L11" s="3">
        <ns0:f>ROUND(L211*L331,2)</ns0:f>
        <ns0:v>179.41</ns0:v>
      </ns0:c>
      <ns0:c r="M11" s="3">
        <ns0:f>ROUND(M211*M331,2)</ns0:f>
        <ns0:v>146.39</ns0:v>
      </ns0:c>
      <ns0:c r="N11" s="3">
        <ns0:f>ROUND(N211*N331,2)</ns0:f>
        <ns0:v>196.67</ns0:v>
      </ns0:c>
      <ns0:c r="O11" s="3">
        <ns0:f>SUM(C11:N11)</ns0:f>
        <ns0:v>2465.24</ns0:v>
      </ns0:c>
      <ns0:c r="P11" s="2" t="inlineStr">
        <ns0:is>
          <ns0:t>EXP2.011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93.13</ns0:v>
      </ns0:c>
      <ns0:c r="D12" s="3">
        <ns0:f>ROUND(D212*D332,2)</ns0:f>
        <ns0:v>137.50</ns0:v>
      </ns0:c>
      <ns0:c r="E12" s="3">
        <ns0:f>ROUND(E212*E332,2)</ns0:f>
        <ns0:v>489.25</ns0:v>
      </ns0:c>
      <ns0:c r="F12" s="3">
        <ns0:f>ROUND(F212*F332,2)</ns0:f>
        <ns0:v>233.57</ns0:v>
      </ns0:c>
      <ns0:c r="G12" s="3">
        <ns0:f>ROUND(G212*G332,2)</ns0:f>
        <ns0:v>94.35</ns0:v>
      </ns0:c>
      <ns0:c r="H12" s="3">
        <ns0:f>ROUND(H212*H332,2)</ns0:f>
        <ns0:v>89.65</ns0:v>
      </ns0:c>
      <ns0:c r="I12" s="3">
        <ns0:f>ROUND(I212*I332,2)</ns0:f>
        <ns0:v>433.22</ns0:v>
      </ns0:c>
      <ns0:c r="J12" s="3">
        <ns0:f>ROUND(J212*J332,2)</ns0:f>
        <ns0:v>147.83</ns0:v>
      </ns0:c>
      <ns0:c r="K12" s="3">
        <ns0:f>ROUND(K212*K332,2)</ns0:f>
        <ns0:v>335.19</ns0:v>
      </ns0:c>
      <ns0:c r="L12" s="3">
        <ns0:f>ROUND(L212*L332,2)</ns0:f>
        <ns0:v>278.93</ns0:v>
      </ns0:c>
      <ns0:c r="M12" s="3">
        <ns0:f>ROUND(M212*M332,2)</ns0:f>
        <ns0:v>409.86</ns0:v>
      </ns0:c>
      <ns0:c r="N12" s="3">
        <ns0:f>ROUND(N212*N332,2)</ns0:f>
        <ns0:v>237.56</ns0:v>
      </ns0:c>
      <ns0:c r="O12" s="3">
        <ns0:f>SUM(C12:N12)</ns0:f>
        <ns0:v>2980.04</ns0:v>
      </ns0:c>
      <ns0:c r="P12" s="2" t="inlineStr">
        <ns0:is>
          <ns0:t>EXP2.012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264.85</ns0:v>
      </ns0:c>
      <ns0:c r="D13" s="3">
        <ns0:f>ROUND(D213*D333,2)</ns0:f>
        <ns0:v>320.18</ns0:v>
      </ns0:c>
      <ns0:c r="E13" s="3">
        <ns0:f>ROUND(E213*E333,2)</ns0:f>
        <ns0:v>201.20</ns0:v>
      </ns0:c>
      <ns0:c r="F13" s="3">
        <ns0:f>ROUND(F213*F333,2)</ns0:f>
        <ns0:v>90.24</ns0:v>
      </ns0:c>
      <ns0:c r="G13" s="3">
        <ns0:f>ROUND(G213*G333,2)</ns0:f>
        <ns0:v>210.21</ns0:v>
      </ns0:c>
      <ns0:c r="H13" s="3">
        <ns0:f>ROUND(H213*H333,2)</ns0:f>
        <ns0:v>296.03</ns0:v>
      </ns0:c>
      <ns0:c r="I13" s="3">
        <ns0:f>ROUND(I213*I333,2)</ns0:f>
        <ns0:v>163.12</ns0:v>
      </ns0:c>
      <ns0:c r="J13" s="3">
        <ns0:f>ROUND(J213*J333,2)</ns0:f>
        <ns0:v>222.15</ns0:v>
      </ns0:c>
      <ns0:c r="K13" s="3">
        <ns0:f>ROUND(K213*K333,2)</ns0:f>
        <ns0:v>393.61</ns0:v>
      </ns0:c>
      <ns0:c r="L13" s="3">
        <ns0:f>ROUND(L213*L333,2)</ns0:f>
        <ns0:v>219.76</ns0:v>
      </ns0:c>
      <ns0:c r="M13" s="3">
        <ns0:f>ROUND(M213*M333,2)</ns0:f>
        <ns0:v>228.88</ns0:v>
      </ns0:c>
      <ns0:c r="N13" s="3">
        <ns0:f>ROUND(N213*N333,2)</ns0:f>
        <ns0:v>144.62</ns0:v>
      </ns0:c>
      <ns0:c r="O13" s="3">
        <ns0:f>SUM(C13:N13)</ns0:f>
        <ns0:v>2754.85</ns0:v>
      </ns0:c>
      <ns0:c r="P13" s="2" t="inlineStr">
        <ns0:is>
          <ns0:t>EXP2.013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338.99</ns0:v>
      </ns0:c>
      <ns0:c r="D14" s="3">
        <ns0:f>ROUND(D214*D334,2)</ns0:f>
        <ns0:v>235.99</ns0:v>
      </ns0:c>
      <ns0:c r="E14" s="3">
        <ns0:f>ROUND(E214*E334,2)</ns0:f>
        <ns0:v>140.73</ns0:v>
      </ns0:c>
      <ns0:c r="F14" s="3">
        <ns0:f>ROUND(F214*F334,2)</ns0:f>
        <ns0:v>392.54</ns0:v>
      </ns0:c>
      <ns0:c r="G14" s="3">
        <ns0:f>ROUND(G214*G334,2)</ns0:f>
        <ns0:v>191.16</ns0:v>
      </ns0:c>
      <ns0:c r="H14" s="3">
        <ns0:f>ROUND(H214*H334,2)</ns0:f>
        <ns0:v>185.19</ns0:v>
      </ns0:c>
      <ns0:c r="I14" s="3">
        <ns0:f>ROUND(I214*I334,2)</ns0:f>
        <ns0:v>117.98</ns0:v>
      </ns0:c>
      <ns0:c r="J14" s="3">
        <ns0:f>ROUND(J214*J334,2)</ns0:f>
        <ns0:v>136.79</ns0:v>
      </ns0:c>
      <ns0:c r="K14" s="3">
        <ns0:f>ROUND(K214*K334,2)</ns0:f>
        <ns0:v>167.33</ns0:v>
      </ns0:c>
      <ns0:c r="L14" s="3">
        <ns0:f>ROUND(L214*L334,2)</ns0:f>
        <ns0:v>207.80</ns0:v>
      </ns0:c>
      <ns0:c r="M14" s="3">
        <ns0:f>ROUND(M214*M334,2)</ns0:f>
        <ns0:v>218.93</ns0:v>
      </ns0:c>
      <ns0:c r="N14" s="3">
        <ns0:f>ROUND(N214*N334,2)</ns0:f>
        <ns0:v>121.91</ns0:v>
      </ns0:c>
      <ns0:c r="O14" s="3">
        <ns0:f>SUM(C14:N14)</ns0:f>
        <ns0:v>2455.34</ns0:v>
      </ns0:c>
      <ns0:c r="P14" s="2" t="inlineStr">
        <ns0:is>
          <ns0:t>EXP2.014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248.36</ns0:v>
      </ns0:c>
      <ns0:c r="D15" s="3">
        <ns0:f>ROUND(D215*D335,2)</ns0:f>
        <ns0:v>115.52</ns0:v>
      </ns0:c>
      <ns0:c r="E15" s="3">
        <ns0:f>ROUND(E215*E335,2)</ns0:f>
        <ns0:v>328.78</ns0:v>
      </ns0:c>
      <ns0:c r="F15" s="3">
        <ns0:f>ROUND(F215*F335,2)</ns0:f>
        <ns0:v>259.05</ns0:v>
      </ns0:c>
      <ns0:c r="G15" s="3">
        <ns0:f>ROUND(G215*G335,2)</ns0:f>
        <ns0:v>299.06</ns0:v>
      </ns0:c>
      <ns0:c r="H15" s="3">
        <ns0:f>ROUND(H215*H335,2)</ns0:f>
        <ns0:v>299.71</ns0:v>
      </ns0:c>
      <ns0:c r="I15" s="3">
        <ns0:f>ROUND(I215*I335,2)</ns0:f>
        <ns0:v>386.63</ns0:v>
      </ns0:c>
      <ns0:c r="J15" s="3">
        <ns0:f>ROUND(J215*J335,2)</ns0:f>
        <ns0:v>473.46</ns0:v>
      </ns0:c>
      <ns0:c r="K15" s="3">
        <ns0:f>ROUND(K215*K335,2)</ns0:f>
        <ns0:v>171.63</ns0:v>
      </ns0:c>
      <ns0:c r="L15" s="3">
        <ns0:f>ROUND(L215*L335,2)</ns0:f>
        <ns0:v>208.30</ns0:v>
      </ns0:c>
      <ns0:c r="M15" s="3">
        <ns0:f>ROUND(M215*M335,2)</ns0:f>
        <ns0:v>130.91</ns0:v>
      </ns0:c>
      <ns0:c r="N15" s="3">
        <ns0:f>ROUND(N215*N335,2)</ns0:f>
        <ns0:v>290.79</ns0:v>
      </ns0:c>
      <ns0:c r="O15" s="3">
        <ns0:f>SUM(C15:N15)</ns0:f>
        <ns0:v>3212.20</ns0:v>
      </ns0:c>
      <ns0:c r="P15" s="2" t="inlineStr">
        <ns0:is>
          <ns0:t>EXP2.015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355.88</ns0:v>
      </ns0:c>
      <ns0:c r="D16" s="3">
        <ns0:f>ROUND(D216*D336,2)</ns0:f>
        <ns0:v>98.35</ns0:v>
      </ns0:c>
      <ns0:c r="E16" s="3">
        <ns0:f>ROUND(E216*E336,2)</ns0:f>
        <ns0:v>122.34</ns0:v>
      </ns0:c>
      <ns0:c r="F16" s="3">
        <ns0:f>ROUND(F216*F336,2)</ns0:f>
        <ns0:v>316.34</ns0:v>
      </ns0:c>
      <ns0:c r="G16" s="3">
        <ns0:f>ROUND(G216*G336,2)</ns0:f>
        <ns0:v>179.44</ns0:v>
      </ns0:c>
      <ns0:c r="H16" s="3">
        <ns0:f>ROUND(H216*H336,2)</ns0:f>
        <ns0:v>112.37</ns0:v>
      </ns0:c>
      <ns0:c r="I16" s="3">
        <ns0:f>ROUND(I216*I336,2)</ns0:f>
        <ns0:v>122.96</ns0:v>
      </ns0:c>
      <ns0:c r="J16" s="3">
        <ns0:f>ROUND(J216*J336,2)</ns0:f>
        <ns0:v>86.68</ns0:v>
      </ns0:c>
      <ns0:c r="K16" s="3">
        <ns0:f>ROUND(K216*K336,2)</ns0:f>
        <ns0:v>457.92</ns0:v>
      </ns0:c>
      <ns0:c r="L16" s="3">
        <ns0:f>ROUND(L216*L336,2)</ns0:f>
        <ns0:v>243.72</ns0:v>
      </ns0:c>
      <ns0:c r="M16" s="3">
        <ns0:f>ROUND(M216*M336,2)</ns0:f>
        <ns0:v>421.48</ns0:v>
      </ns0:c>
      <ns0:c r="N16" s="3">
        <ns0:f>ROUND(N216*N336,2)</ns0:f>
        <ns0:v>444.17</ns0:v>
      </ns0:c>
      <ns0:c r="O16" s="3">
        <ns0:f>SUM(C16:N16)</ns0:f>
        <ns0:v>2961.65</ns0:v>
      </ns0:c>
      <ns0:c r="P16" s="2" t="inlineStr">
        <ns0:is>
          <ns0:t>EXP2.016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82.73</ns0:v>
      </ns0:c>
      <ns0:c r="D17" s="3">
        <ns0:f>ROUND(D217*D337,2)</ns0:f>
        <ns0:v>207.33</ns0:v>
      </ns0:c>
      <ns0:c r="E17" s="3">
        <ns0:f>ROUND(E217*E337,2)</ns0:f>
        <ns0:v>399.22</ns0:v>
      </ns0:c>
      <ns0:c r="F17" s="3">
        <ns0:f>ROUND(F217*F337,2)</ns0:f>
        <ns0:v>192.07</ns0:v>
      </ns0:c>
      <ns0:c r="G17" s="3">
        <ns0:f>ROUND(G217*G337,2)</ns0:f>
        <ns0:v>182.38</ns0:v>
      </ns0:c>
      <ns0:c r="H17" s="3">
        <ns0:f>ROUND(H217*H337,2)</ns0:f>
        <ns0:v>181.92</ns0:v>
      </ns0:c>
      <ns0:c r="I17" s="3">
        <ns0:f>ROUND(I217*I337,2)</ns0:f>
        <ns0:v>182.67</ns0:v>
      </ns0:c>
      <ns0:c r="J17" s="3">
        <ns0:f>ROUND(J217*J337,2)</ns0:f>
        <ns0:v>270.53</ns0:v>
      </ns0:c>
      <ns0:c r="K17" s="3">
        <ns0:f>ROUND(K217*K337,2)</ns0:f>
        <ns0:v>215.75</ns0:v>
      </ns0:c>
      <ns0:c r="L17" s="3">
        <ns0:f>ROUND(L217*L337,2)</ns0:f>
        <ns0:v>369.91</ns0:v>
      </ns0:c>
      <ns0:c r="M17" s="3">
        <ns0:f>ROUND(M217*M337,2)</ns0:f>
        <ns0:v>247.83</ns0:v>
      </ns0:c>
      <ns0:c r="N17" s="3">
        <ns0:f>ROUND(N217*N337,2)</ns0:f>
        <ns0:v>107.92</ns0:v>
      </ns0:c>
      <ns0:c r="O17" s="3">
        <ns0:f>SUM(C17:N17)</ns0:f>
        <ns0:v>2640.26</ns0:v>
      </ns0:c>
      <ns0:c r="P17" s="2" t="inlineStr">
        <ns0:is>
          <ns0:t>EXP2.017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90.95</ns0:v>
      </ns0:c>
      <ns0:c r="D18" s="3">
        <ns0:f>ROUND(D218*D338,2)</ns0:f>
        <ns0:v>472.23</ns0:v>
      </ns0:c>
      <ns0:c r="E18" s="3">
        <ns0:f>ROUND(E218*E338,2)</ns0:f>
        <ns0:v>396.31</ns0:v>
      </ns0:c>
      <ns0:c r="F18" s="3">
        <ns0:f>ROUND(F218*F338,2)</ns0:f>
        <ns0:v>120.47</ns0:v>
      </ns0:c>
      <ns0:c r="G18" s="3">
        <ns0:f>ROUND(G218*G338,2)</ns0:f>
        <ns0:v>129.63</ns0:v>
      </ns0:c>
      <ns0:c r="H18" s="3">
        <ns0:f>ROUND(H218*H338,2)</ns0:f>
        <ns0:v>92.93</ns0:v>
      </ns0:c>
      <ns0:c r="I18" s="3">
        <ns0:f>ROUND(I218*I338,2)</ns0:f>
        <ns0:v>256.52</ns0:v>
      </ns0:c>
      <ns0:c r="J18" s="3">
        <ns0:f>ROUND(J218*J338,2)</ns0:f>
        <ns0:v>183.83</ns0:v>
      </ns0:c>
      <ns0:c r="K18" s="3">
        <ns0:f>ROUND(K218*K338,2)</ns0:f>
        <ns0:v>171.97</ns0:v>
      </ns0:c>
      <ns0:c r="L18" s="3">
        <ns0:f>ROUND(L218*L338,2)</ns0:f>
        <ns0:v>70.92</ns0:v>
      </ns0:c>
      <ns0:c r="M18" s="3">
        <ns0:f>ROUND(M218*M338,2)</ns0:f>
        <ns0:v>151.25</ns0:v>
      </ns0:c>
      <ns0:c r="N18" s="3">
        <ns0:f>ROUND(N218*N338,2)</ns0:f>
        <ns0:v>474.84</ns0:v>
      </ns0:c>
      <ns0:c r="O18" s="3">
        <ns0:f>SUM(C18:N18)</ns0:f>
        <ns0:v>2611.85</ns0:v>
      </ns0:c>
      <ns0:c r="P18" s="2" t="inlineStr">
        <ns0:is>
          <ns0:t>EXP2.018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162.16</ns0:v>
      </ns0:c>
      <ns0:c r="D19" s="3">
        <ns0:f>ROUND(D219*D339,2)</ns0:f>
        <ns0:v>147.27</ns0:v>
      </ns0:c>
      <ns0:c r="E19" s="3">
        <ns0:f>ROUND(E219*E339,2)</ns0:f>
        <ns0:v>608.02</ns0:v>
      </ns0:c>
      <ns0:c r="F19" s="3">
        <ns0:f>ROUND(F219*F339,2)</ns0:f>
        <ns0:v>142.13</ns0:v>
      </ns0:c>
      <ns0:c r="G19" s="3">
        <ns0:f>ROUND(G219*G339,2)</ns0:f>
        <ns0:v>436.64</ns0:v>
      </ns0:c>
      <ns0:c r="H19" s="3">
        <ns0:f>ROUND(H219*H339,2)</ns0:f>
        <ns0:v>116.25</ns0:v>
      </ns0:c>
      <ns0:c r="I19" s="3">
        <ns0:f>ROUND(I219*I339,2)</ns0:f>
        <ns0:v>70.11</ns0:v>
      </ns0:c>
      <ns0:c r="J19" s="3">
        <ns0:f>ROUND(J219*J339,2)</ns0:f>
        <ns0:v>226.03</ns0:v>
      </ns0:c>
      <ns0:c r="K19" s="3">
        <ns0:f>ROUND(K219*K339,2)</ns0:f>
        <ns0:v>93.62</ns0:v>
      </ns0:c>
      <ns0:c r="L19" s="3">
        <ns0:f>ROUND(L219*L339,2)</ns0:f>
        <ns0:v>171.78</ns0:v>
      </ns0:c>
      <ns0:c r="M19" s="3">
        <ns0:f>ROUND(M219*M339,2)</ns0:f>
        <ns0:v>245.83</ns0:v>
      </ns0:c>
      <ns0:c r="N19" s="3">
        <ns0:f>ROUND(N219*N339,2)</ns0:f>
        <ns0:v>465.76</ns0:v>
      </ns0:c>
      <ns0:c r="O19" s="3">
        <ns0:f>SUM(C19:N19)</ns0:f>
        <ns0:v>2885.60</ns0:v>
      </ns0:c>
      <ns0:c r="P19" s="2" t="inlineStr">
        <ns0:is>
          <ns0:t>EXP2.019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509.97</ns0:v>
      </ns0:c>
      <ns0:c r="D20" s="3">
        <ns0:f>ROUND('摊销明细'!D33/3,2)</ns0:f>
        <ns0:v>509.97</ns0:v>
      </ns0:c>
      <ns0:c r="E20" s="3">
        <ns0:f>ROUND('摊销明细'!E33/3,2)</ns0:f>
        <ns0:v>509.97</ns0:v>
      </ns0:c>
      <ns0:c r="F20" s="3">
        <ns0:f>ROUND('摊销明细'!F33/3,2)</ns0:f>
        <ns0:v>509.97</ns0:v>
      </ns0:c>
      <ns0:c r="G20" s="3">
        <ns0:f>ROUND('摊销明细'!G33/3,2)</ns0:f>
        <ns0:v>509.97</ns0:v>
      </ns0:c>
      <ns0:c r="H20" s="3">
        <ns0:f>ROUND('摊销明细'!H33/3,2)</ns0:f>
        <ns0:v>509.97</ns0:v>
      </ns0:c>
      <ns0:c r="I20" s="3">
        <ns0:f>ROUND('摊销明细'!I33/3,2)</ns0:f>
        <ns0:v>509.97</ns0:v>
      </ns0:c>
      <ns0:c r="J20" s="3">
        <ns0:f>ROUND('摊销明细'!J33/3,2)</ns0:f>
        <ns0:v>509.97</ns0:v>
      </ns0:c>
      <ns0:c r="K20" s="3">
        <ns0:f>ROUND('摊销明细'!K33/3,2)</ns0:f>
        <ns0:v>509.97</ns0:v>
      </ns0:c>
      <ns0:c r="L20" s="3">
        <ns0:f>ROUND('摊销明细'!L33/3,2)</ns0:f>
        <ns0:v>509.97</ns0:v>
      </ns0:c>
      <ns0:c r="M20" s="3">
        <ns0:f>ROUND('摊销明细'!M33/3,2)</ns0:f>
        <ns0:v>509.97</ns0:v>
      </ns0:c>
      <ns0:c r="N20" s="3">
        <ns0:f>ROUND('摊销明细'!N33/3,2)</ns0:f>
        <ns0:v>509.97</ns0:v>
      </ns0:c>
      <ns0:c r="O20" s="3">
        <ns0:f>SUM(C20:N20)</ns0:f>
        <ns0:v>6119.64</ns0:v>
      </ns0:c>
      <ns0:c r="P20" s="2" t="inlineStr">
        <ns0:is>
          <ns0:t>EXP2.020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279.80</ns0:v>
      </ns0:c>
      <ns0:c r="D21" s="3">
        <ns0:f>ROUND(D221*D341,2)</ns0:f>
        <ns0:v>227.41</ns0:v>
      </ns0:c>
      <ns0:c r="E21" s="3">
        <ns0:f>ROUND(E221*E341,2)</ns0:f>
        <ns0:v>325.80</ns0:v>
      </ns0:c>
      <ns0:c r="F21" s="3">
        <ns0:f>ROUND(F221*F341,2)</ns0:f>
        <ns0:v>422.81</ns0:v>
      </ns0:c>
      <ns0:c r="G21" s="3">
        <ns0:f>ROUND(G221*G341,2)</ns0:f>
        <ns0:v>365.37</ns0:v>
      </ns0:c>
      <ns0:c r="H21" s="3">
        <ns0:f>ROUND(H221*H341,2)</ns0:f>
        <ns0:v>337.01</ns0:v>
      </ns0:c>
      <ns0:c r="I21" s="3">
        <ns0:f>ROUND(I221*I341,2)</ns0:f>
        <ns0:v>267.09</ns0:v>
      </ns0:c>
      <ns0:c r="J21" s="3">
        <ns0:f>ROUND(J221*J341,2)</ns0:f>
        <ns0:v>79.22</ns0:v>
      </ns0:c>
      <ns0:c r="K21" s="3">
        <ns0:f>ROUND(K221*K341,2)</ns0:f>
        <ns0:v>277.20</ns0:v>
      </ns0:c>
      <ns0:c r="L21" s="3">
        <ns0:f>ROUND(L221*L341,2)</ns0:f>
        <ns0:v>293.19</ns0:v>
      </ns0:c>
      <ns0:c r="M21" s="3">
        <ns0:f>ROUND(M221*M341,2)</ns0:f>
        <ns0:v>368.25</ns0:v>
      </ns0:c>
      <ns0:c r="N21" s="3">
        <ns0:f>ROUND(N221*N341,2)</ns0:f>
        <ns0:v>115.09</ns0:v>
      </ns0:c>
      <ns0:c r="O21" s="3">
        <ns0:f>SUM(C21:N21)</ns0:f>
        <ns0:v>3358.24</ns0:v>
      </ns0:c>
      <ns0:c r="P21" s="2" t="inlineStr">
        <ns0:is>
          <ns0:t>EXP2.021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149.01</ns0:v>
      </ns0:c>
      <ns0:c r="D22" s="3">
        <ns0:f>ROUND(D222*D342,2)</ns0:f>
        <ns0:v>144.64</ns0:v>
      </ns0:c>
      <ns0:c r="E22" s="3">
        <ns0:f>ROUND(E222*E342,2)</ns0:f>
        <ns0:v>137.46</ns0:v>
      </ns0:c>
      <ns0:c r="F22" s="3">
        <ns0:f>ROUND(F222*F342,2)</ns0:f>
        <ns0:v>239.62</ns0:v>
      </ns0:c>
      <ns0:c r="G22" s="3">
        <ns0:f>ROUND(G222*G342,2)</ns0:f>
        <ns0:v>321.53</ns0:v>
      </ns0:c>
      <ns0:c r="H22" s="3">
        <ns0:f>ROUND(H222*H342,2)</ns0:f>
        <ns0:v>167.32</ns0:v>
      </ns0:c>
      <ns0:c r="I22" s="3">
        <ns0:f>ROUND(I222*I342,2)</ns0:f>
        <ns0:v>283.92</ns0:v>
      </ns0:c>
      <ns0:c r="J22" s="3">
        <ns0:f>ROUND(J222*J342,2)</ns0:f>
        <ns0:v>584.56</ns0:v>
      </ns0:c>
      <ns0:c r="K22" s="3">
        <ns0:f>ROUND(K222*K342,2)</ns0:f>
        <ns0:v>269.07</ns0:v>
      </ns0:c>
      <ns0:c r="L22" s="3">
        <ns0:f>ROUND(L222*L342,2)</ns0:f>
        <ns0:v>290.33</ns0:v>
      </ns0:c>
      <ns0:c r="M22" s="3">
        <ns0:f>ROUND(M222*M342,2)</ns0:f>
        <ns0:v>341.06</ns0:v>
      </ns0:c>
      <ns0:c r="N22" s="3">
        <ns0:f>ROUND(N222*N342,2)</ns0:f>
        <ns0:v>215.18</ns0:v>
      </ns0:c>
      <ns0:c r="O22" s="3">
        <ns0:f>SUM(C22:N22)</ns0:f>
        <ns0:v>3143.70</ns0:v>
      </ns0:c>
      <ns0:c r="P22" s="2" t="inlineStr">
        <ns0:is>
          <ns0:t>EXP2.022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524.63</ns0:v>
      </ns0:c>
      <ns0:c r="D23" s="3">
        <ns0:f>ROUND(D223*D343,2)</ns0:f>
        <ns0:v>303.89</ns0:v>
      </ns0:c>
      <ns0:c r="E23" s="3">
        <ns0:f>ROUND(E223*E343,2)</ns0:f>
        <ns0:v>413.11</ns0:v>
      </ns0:c>
      <ns0:c r="F23" s="3">
        <ns0:f>ROUND(F223*F343,2)</ns0:f>
        <ns0:v>49.34</ns0:v>
      </ns0:c>
      <ns0:c r="G23" s="3">
        <ns0:f>ROUND(G223*G343,2)</ns0:f>
        <ns0:v>425.72</ns0:v>
      </ns0:c>
      <ns0:c r="H23" s="3">
        <ns0:f>ROUND(H223*H343,2)</ns0:f>
        <ns0:v>365.09</ns0:v>
      </ns0:c>
      <ns0:c r="I23" s="3">
        <ns0:f>ROUND(I223*I343,2)</ns0:f>
        <ns0:v>84.07</ns0:v>
      </ns0:c>
      <ns0:c r="J23" s="3">
        <ns0:f>ROUND(J223*J343,2)</ns0:f>
        <ns0:v>588.68</ns0:v>
      </ns0:c>
      <ns0:c r="K23" s="3">
        <ns0:f>ROUND(K223*K343,2)</ns0:f>
        <ns0:v>213.63</ns0:v>
      </ns0:c>
      <ns0:c r="L23" s="3">
        <ns0:f>ROUND(L223*L343,2)</ns0:f>
        <ns0:v>87.90</ns0:v>
      </ns0:c>
      <ns0:c r="M23" s="3">
        <ns0:f>ROUND(M223*M343,2)</ns0:f>
        <ns0:v>234.39</ns0:v>
      </ns0:c>
      <ns0:c r="N23" s="3">
        <ns0:f>ROUND(N223*N343,2)</ns0:f>
        <ns0:v>350.13</ns0:v>
      </ns0:c>
      <ns0:c r="O23" s="3">
        <ns0:f>SUM(C23:N23)</ns0:f>
        <ns0:v>3640.58</ns0:v>
      </ns0:c>
      <ns0:c r="P23" s="2" t="inlineStr">
        <ns0:is>
          <ns0:t>EXP2.023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89.00</ns0:v>
      </ns0:c>
      <ns0:c r="D24" s="3">
        <ns0:f>ROUND(D224*D344,2)</ns0:f>
        <ns0:v>245.23</ns0:v>
      </ns0:c>
      <ns0:c r="E24" s="3">
        <ns0:f>ROUND(E224*E344,2)</ns0:f>
        <ns0:v>209.35</ns0:v>
      </ns0:c>
      <ns0:c r="F24" s="3">
        <ns0:f>ROUND(F224*F344,2)</ns0:f>
        <ns0:v>190.64</ns0:v>
      </ns0:c>
      <ns0:c r="G24" s="3">
        <ns0:f>ROUND(G224*G344,2)</ns0:f>
        <ns0:v>58.55</ns0:v>
      </ns0:c>
      <ns0:c r="H24" s="3">
        <ns0:f>ROUND(H224*H344,2)</ns0:f>
        <ns0:v>109.55</ns0:v>
      </ns0:c>
      <ns0:c r="I24" s="3">
        <ns0:f>ROUND(I224*I344,2)</ns0:f>
        <ns0:v>413.31</ns0:v>
      </ns0:c>
      <ns0:c r="J24" s="3">
        <ns0:f>ROUND(J224*J344,2)</ns0:f>
        <ns0:v>259.35</ns0:v>
      </ns0:c>
      <ns0:c r="K24" s="3">
        <ns0:f>ROUND(K224*K344,2)</ns0:f>
        <ns0:v>268.48</ns0:v>
      </ns0:c>
      <ns0:c r="L24" s="3">
        <ns0:f>ROUND(L224*L344,2)</ns0:f>
        <ns0:v>177.00</ns0:v>
      </ns0:c>
      <ns0:c r="M24" s="3">
        <ns0:f>ROUND(M224*M344,2)</ns0:f>
        <ns0:v>342.01</ns0:v>
      </ns0:c>
      <ns0:c r="N24" s="3">
        <ns0:f>ROUND(N224*N344,2)</ns0:f>
        <ns0:v>183.54</ns0:v>
      </ns0:c>
      <ns0:c r="O24" s="3">
        <ns0:f>SUM(C24:N24)</ns0:f>
        <ns0:v>2546.01</ns0:v>
      </ns0:c>
      <ns0:c r="P24" s="2" t="inlineStr">
        <ns0:is>
          <ns0:t>EXP2.024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247.51</ns0:v>
      </ns0:c>
      <ns0:c r="D25" s="3">
        <ns0:f>ROUND(D225*D345,2)</ns0:f>
        <ns0:v>301.10</ns0:v>
      </ns0:c>
      <ns0:c r="E25" s="3">
        <ns0:f>ROUND(E225*E345,2)</ns0:f>
        <ns0:v>224.28</ns0:v>
      </ns0:c>
      <ns0:c r="F25" s="3">
        <ns0:f>ROUND(F225*F345,2)</ns0:f>
        <ns0:v>190.58</ns0:v>
      </ns0:c>
      <ns0:c r="G25" s="3">
        <ns0:f>ROUND(G225*G345,2)</ns0:f>
        <ns0:v>555.82</ns0:v>
      </ns0:c>
      <ns0:c r="H25" s="3">
        <ns0:f>ROUND(H225*H345,2)</ns0:f>
        <ns0:v>407.73</ns0:v>
      </ns0:c>
      <ns0:c r="I25" s="3">
        <ns0:f>ROUND(I225*I345,2)</ns0:f>
        <ns0:v>444.52</ns0:v>
      </ns0:c>
      <ns0:c r="J25" s="3">
        <ns0:f>ROUND(J225*J345,2)</ns0:f>
        <ns0:v>186.69</ns0:v>
      </ns0:c>
      <ns0:c r="K25" s="3">
        <ns0:f>ROUND(K225*K345,2)</ns0:f>
        <ns0:v>210.64</ns0:v>
      </ns0:c>
      <ns0:c r="L25" s="3">
        <ns0:f>ROUND(L225*L345,2)</ns0:f>
        <ns0:v>102.00</ns0:v>
      </ns0:c>
      <ns0:c r="M25" s="3">
        <ns0:f>ROUND(M225*M345,2)</ns0:f>
        <ns0:v>54.85</ns0:v>
      </ns0:c>
      <ns0:c r="N25" s="3">
        <ns0:f>ROUND(N225*N345,2)</ns0:f>
        <ns0:v>136.49</ns0:v>
      </ns0:c>
      <ns0:c r="O25" s="3">
        <ns0:f>SUM(C25:N25)</ns0:f>
        <ns0:v>3062.21</ns0:v>
      </ns0:c>
      <ns0:c r="P25" s="2" t="inlineStr">
        <ns0:is>
          <ns0:t>EXP2.025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192.28</ns0:v>
      </ns0:c>
      <ns0:c r="D26" s="3">
        <ns0:f>ROUND(D226*D346,2)</ns0:f>
        <ns0:v>382.29</ns0:v>
      </ns0:c>
      <ns0:c r="E26" s="3">
        <ns0:f>ROUND(E226*E346,2)</ns0:f>
        <ns0:v>228.97</ns0:v>
      </ns0:c>
      <ns0:c r="F26" s="3">
        <ns0:f>ROUND(F226*F346,2)</ns0:f>
        <ns0:v>289.53</ns0:v>
      </ns0:c>
      <ns0:c r="G26" s="3">
        <ns0:f>ROUND(G226*G346,2)</ns0:f>
        <ns0:v>99.80</ns0:v>
      </ns0:c>
      <ns0:c r="H26" s="3">
        <ns0:f>ROUND(H226*H346,2)</ns0:f>
        <ns0:v>118.64</ns0:v>
      </ns0:c>
      <ns0:c r="I26" s="3">
        <ns0:f>ROUND(I226*I346,2)</ns0:f>
        <ns0:v>465.02</ns0:v>
      </ns0:c>
      <ns0:c r="J26" s="3">
        <ns0:f>ROUND(J226*J346,2)</ns0:f>
        <ns0:v>199.57</ns0:v>
      </ns0:c>
      <ns0:c r="K26" s="3">
        <ns0:f>ROUND(K226*K346,2)</ns0:f>
        <ns0:v>318.00</ns0:v>
      </ns0:c>
      <ns0:c r="L26" s="3">
        <ns0:f>ROUND(L226*L346,2)</ns0:f>
        <ns0:v>163.65</ns0:v>
      </ns0:c>
      <ns0:c r="M26" s="3">
        <ns0:f>ROUND(M226*M346,2)</ns0:f>
        <ns0:v>204.40</ns0:v>
      </ns0:c>
      <ns0:c r="N26" s="3">
        <ns0:f>ROUND(N226*N346,2)</ns0:f>
        <ns0:v>143.75</ns0:v>
      </ns0:c>
      <ns0:c r="O26" s="3">
        <ns0:f>SUM(C26:N26)</ns0:f>
        <ns0:v>2805.90</ns0:v>
      </ns0:c>
      <ns0:c r="P26" s="2" t="inlineStr">
        <ns0:is>
          <ns0:t>EXP2.026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122.69</ns0:v>
      </ns0:c>
      <ns0:c r="D27" s="3">
        <ns0:f>ROUND(D227*D347,2)</ns0:f>
        <ns0:v>120.30</ns0:v>
      </ns0:c>
      <ns0:c r="E27" s="3">
        <ns0:f>ROUND(E227*E347,2)</ns0:f>
        <ns0:v>227.18</ns0:v>
      </ns0:c>
      <ns0:c r="F27" s="3">
        <ns0:f>ROUND(F227*F347,2)</ns0:f>
        <ns0:v>416.60</ns0:v>
      </ns0:c>
      <ns0:c r="G27" s="3">
        <ns0:f>ROUND(G227*G347,2)</ns0:f>
        <ns0:v>142.58</ns0:v>
      </ns0:c>
      <ns0:c r="H27" s="3">
        <ns0:f>ROUND(H227*H347,2)</ns0:f>
        <ns0:v>118.96</ns0:v>
      </ns0:c>
      <ns0:c r="I27" s="3">
        <ns0:f>ROUND(I227*I347,2)</ns0:f>
        <ns0:v>169.52</ns0:v>
      </ns0:c>
      <ns0:c r="J27" s="3">
        <ns0:f>ROUND(J227*J347,2)</ns0:f>
        <ns0:v>212.84</ns0:v>
      </ns0:c>
      <ns0:c r="K27" s="3">
        <ns0:f>ROUND(K227*K347,2)</ns0:f>
        <ns0:v>211.52</ns0:v>
      </ns0:c>
      <ns0:c r="L27" s="3">
        <ns0:f>ROUND(L227*L347,2)</ns0:f>
        <ns0:v>133.86</ns0:v>
      </ns0:c>
      <ns0:c r="M27" s="3">
        <ns0:f>ROUND(M227*M347,2)</ns0:f>
        <ns0:v>46.41</ns0:v>
      </ns0:c>
      <ns0:c r="N27" s="3">
        <ns0:f>ROUND(N227*N347,2)</ns0:f>
        <ns0:v>337.25</ns0:v>
      </ns0:c>
      <ns0:c r="O27" s="3">
        <ns0:f>SUM(C27:N27)</ns0:f>
        <ns0:v>2259.71</ns0:v>
      </ns0:c>
      <ns0:c r="P27" s="2" t="inlineStr">
        <ns0:is>
          <ns0:t>EXP2.027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279.94</ns0:v>
      </ns0:c>
      <ns0:c r="D28" s="3">
        <ns0:f>ROUND(D228*D348,2)</ns0:f>
        <ns0:v>192.14</ns0:v>
      </ns0:c>
      <ns0:c r="E28" s="3">
        <ns0:f>ROUND(E228*E348,2)</ns0:f>
        <ns0:v>242.41</ns0:v>
      </ns0:c>
      <ns0:c r="F28" s="3">
        <ns0:f>ROUND(F228*F348,2)</ns0:f>
        <ns0:v>295.79</ns0:v>
      </ns0:c>
      <ns0:c r="G28" s="3">
        <ns0:f>ROUND(G228*G348,2)</ns0:f>
        <ns0:v>312.32</ns0:v>
      </ns0:c>
      <ns0:c r="H28" s="3">
        <ns0:f>ROUND(H228*H348,2)</ns0:f>
        <ns0:v>400.83</ns0:v>
      </ns0:c>
      <ns0:c r="I28" s="3">
        <ns0:f>ROUND(I228*I348,2)</ns0:f>
        <ns0:v>393.24</ns0:v>
      </ns0:c>
      <ns0:c r="J28" s="3">
        <ns0:f>ROUND(J228*J348,2)</ns0:f>
        <ns0:v>96.91</ns0:v>
      </ns0:c>
      <ns0:c r="K28" s="3">
        <ns0:f>ROUND(K228*K348,2)</ns0:f>
        <ns0:v>131.47</ns0:v>
      </ns0:c>
      <ns0:c r="L28" s="3">
        <ns0:f>ROUND(L228*L348,2)</ns0:f>
        <ns0:v>146.38</ns0:v>
      </ns0:c>
      <ns0:c r="M28" s="3">
        <ns0:f>ROUND(M228*M348,2)</ns0:f>
        <ns0:v>108.71</ns0:v>
      </ns0:c>
      <ns0:c r="N28" s="3">
        <ns0:f>ROUND(N228*N348,2)</ns0:f>
        <ns0:v>572.82</ns0:v>
      </ns0:c>
      <ns0:c r="O28" s="3">
        <ns0:f>SUM(C28:N28)</ns0:f>
        <ns0:v>3172.96</ns0:v>
      </ns0:c>
      <ns0:c r="P28" s="2" t="inlineStr">
        <ns0:is>
          <ns0:t>EXP2.028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EXP2.029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466.68</ns0:v>
      </ns0:c>
      <ns0:c r="D30" s="6">
        <ns0:f>ROUND(D230*D350,2)</ns0:f>
        <ns0:v>340.74</ns0:v>
      </ns0:c>
      <ns0:c r="E30" s="6">
        <ns0:f>ROUND(E230*E350,2)</ns0:f>
        <ns0:v>152.92</ns0:v>
      </ns0:c>
      <ns0:c r="F30" s="6">
        <ns0:f>ROUND(F230*F350,2)</ns0:f>
        <ns0:v>47.02</ns0:v>
      </ns0:c>
      <ns0:c r="G30" s="6">
        <ns0:f>ROUND(G230*G350,2)</ns0:f>
        <ns0:v>120.48</ns0:v>
      </ns0:c>
      <ns0:c r="H30" s="6">
        <ns0:f>ROUND(H230*H350,2)</ns0:f>
        <ns0:v>55.72</ns0:v>
      </ns0:c>
      <ns0:c r="I30" s="6">
        <ns0:f>ROUND(I230*I350,2)</ns0:f>
        <ns0:v>225.63</ns0:v>
      </ns0:c>
      <ns0:c r="J30" s="6">
        <ns0:f>ROUND(J230*J350,2)</ns0:f>
        <ns0:v>81.25</ns0:v>
      </ns0:c>
      <ns0:c r="K30" s="6">
        <ns0:f>ROUND(K230*K350,2)</ns0:f>
        <ns0:v>163.52</ns0:v>
      </ns0:c>
      <ns0:c r="L30" s="6">
        <ns0:f>ROUND(L230*L350,2)</ns0:f>
        <ns0:v>192.55</ns0:v>
      </ns0:c>
      <ns0:c r="M30" s="6">
        <ns0:f>ROUND(M230*M350,2)</ns0:f>
        <ns0:v>192.90</ns0:v>
      </ns0:c>
      <ns0:c r="N30" s="6">
        <ns0:f>ROUND(N230*N350,2)</ns0:f>
        <ns0:v>537.51</ns0:v>
      </ns0:c>
      <ns0:c r="O30" s="6">
        <ns0:f>SUM(C30:N30)</ns0:f>
        <ns0:v>2576.92</ns0:v>
      </ns0:c>
      <ns0:c r="P30" s="2" t="inlineStr">
        <ns0:is>
          <ns0:t>EXP2.030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359.12</ns0:v>
      </ns0:c>
      <ns0:c r="D31" s="3">
        <ns0:f>ROUND(D231*D351,2)</ns0:f>
        <ns0:v>578.69</ns0:v>
      </ns0:c>
      <ns0:c r="E31" s="3">
        <ns0:f>ROUND(E231*E351,2)</ns0:f>
        <ns0:v>105.81</ns0:v>
      </ns0:c>
      <ns0:c r="F31" s="3">
        <ns0:f>ROUND(F231*F351,2)</ns0:f>
        <ns0:v>365.89</ns0:v>
      </ns0:c>
      <ns0:c r="G31" s="3">
        <ns0:f>ROUND(G231*G351,2)</ns0:f>
        <ns0:v>326.47</ns0:v>
      </ns0:c>
      <ns0:c r="H31" s="3">
        <ns0:f>ROUND(H231*H351,2)</ns0:f>
        <ns0:v>254.14</ns0:v>
      </ns0:c>
      <ns0:c r="I31" s="3">
        <ns0:f>ROUND(I231*I351,2)</ns0:f>
        <ns0:v>349.78</ns0:v>
      </ns0:c>
      <ns0:c r="J31" s="3">
        <ns0:f>ROUND(J231*J351,2)</ns0:f>
        <ns0:v>250.86</ns0:v>
      </ns0:c>
      <ns0:c r="K31" s="3">
        <ns0:f>ROUND(K231*K351,2)</ns0:f>
        <ns0:v>73.03</ns0:v>
      </ns0:c>
      <ns0:c r="L31" s="3">
        <ns0:f>ROUND(L231*L351,2)</ns0:f>
        <ns0:v>147.37</ns0:v>
      </ns0:c>
      <ns0:c r="M31" s="3">
        <ns0:f>ROUND(M231*M351,2)</ns0:f>
        <ns0:v>322.01</ns0:v>
      </ns0:c>
      <ns0:c r="N31" s="3">
        <ns0:f>ROUND(N231*N351,2)</ns0:f>
        <ns0:v>198.84</ns0:v>
      </ns0:c>
      <ns0:c r="O31" s="3">
        <ns0:f>SUM(C31:N31)</ns0:f>
        <ns0:v>3332.01</ns0:v>
      </ns0:c>
      <ns0:c r="P31" s="2" t="inlineStr">
        <ns0:is>
          <ns0:t>EXP2.031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157.44</ns0:v>
      </ns0:c>
      <ns0:c r="D32" s="3">
        <ns0:f>ROUND(D232*D352,2)</ns0:f>
        <ns0:v>444.45</ns0:v>
      </ns0:c>
      <ns0:c r="E32" s="3">
        <ns0:f>ROUND(E232*E352,2)</ns0:f>
        <ns0:v>187.43</ns0:v>
      </ns0:c>
      <ns0:c r="F32" s="3">
        <ns0:f>ROUND(F232*F352,2)</ns0:f>
        <ns0:v>316.93</ns0:v>
      </ns0:c>
      <ns0:c r="G32" s="3">
        <ns0:f>ROUND(G232*G352,2)</ns0:f>
        <ns0:v>220.84</ns0:v>
      </ns0:c>
      <ns0:c r="H32" s="3">
        <ns0:f>ROUND(H232*H352,2)</ns0:f>
        <ns0:v>330.42</ns0:v>
      </ns0:c>
      <ns0:c r="I32" s="3">
        <ns0:f>ROUND(I232*I352,2)</ns0:f>
        <ns0:v>240.14</ns0:v>
      </ns0:c>
      <ns0:c r="J32" s="3">
        <ns0:f>ROUND(J232*J352,2)</ns0:f>
        <ns0:v>259.46</ns0:v>
      </ns0:c>
      <ns0:c r="K32" s="3">
        <ns0:f>ROUND(K232*K352,2)</ns0:f>
        <ns0:v>137.45</ns0:v>
      </ns0:c>
      <ns0:c r="L32" s="3">
        <ns0:f>ROUND(L232*L352,2)</ns0:f>
        <ns0:v>100.11</ns0:v>
      </ns0:c>
      <ns0:c r="M32" s="3">
        <ns0:f>ROUND(M232*M352,2)</ns0:f>
        <ns0:v>223.00</ns0:v>
      </ns0:c>
      <ns0:c r="N32" s="3">
        <ns0:f>ROUND(N232*N352,2)</ns0:f>
        <ns0:v>278.17</ns0:v>
      </ns0:c>
      <ns0:c r="O32" s="3">
        <ns0:f>SUM(C32:N32)</ns0:f>
        <ns0:v>2895.84</ns0:v>
      </ns0:c>
      <ns0:c r="P32" s="2" t="inlineStr">
        <ns0:is>
          <ns0:t>EXP2.032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134.48</ns0:v>
      </ns0:c>
      <ns0:c r="D33" s="3">
        <ns0:f>ROUND(D233*D353,2)</ns0:f>
        <ns0:v>364.05</ns0:v>
      </ns0:c>
      <ns0:c r="E33" s="3">
        <ns0:f>ROUND(E233*E353,2)</ns0:f>
        <ns0:v>281.08</ns0:v>
      </ns0:c>
      <ns0:c r="F33" s="3">
        <ns0:f>ROUND(F233*F353,2)</ns0:f>
        <ns0:v>279.51</ns0:v>
      </ns0:c>
      <ns0:c r="G33" s="3">
        <ns0:f>ROUND(G233*G353,2)</ns0:f>
        <ns0:v>307.67</ns0:v>
      </ns0:c>
      <ns0:c r="H33" s="3">
        <ns0:f>ROUND(H233*H353,2)</ns0:f>
        <ns0:v>191.49</ns0:v>
      </ns0:c>
      <ns0:c r="I33" s="3">
        <ns0:f>ROUND(I233*I353,2)</ns0:f>
        <ns0:v>189.37</ns0:v>
      </ns0:c>
      <ns0:c r="J33" s="3">
        <ns0:f>ROUND(J233*J353,2)</ns0:f>
        <ns0:v>240.51</ns0:v>
      </ns0:c>
      <ns0:c r="K33" s="3">
        <ns0:f>ROUND(K233*K353,2)</ns0:f>
        <ns0:v>119.43</ns0:v>
      </ns0:c>
      <ns0:c r="L33" s="3">
        <ns0:f>ROUND(L233*L353,2)</ns0:f>
        <ns0:v>374.13</ns0:v>
      </ns0:c>
      <ns0:c r="M33" s="3">
        <ns0:f>ROUND(M233*M353,2)</ns0:f>
        <ns0:v>153.12</ns0:v>
      </ns0:c>
      <ns0:c r="N33" s="3">
        <ns0:f>ROUND(N233*N353,2)</ns0:f>
        <ns0:v>189.57</ns0:v>
      </ns0:c>
      <ns0:c r="O33" s="3">
        <ns0:f>SUM(C33:N33)</ns0:f>
        <ns0:v>2824.41</ns0:v>
      </ns0:c>
      <ns0:c r="P33" s="2" t="inlineStr">
        <ns0:is>
          <ns0:t>EXP2.033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7124.99</ns0:v>
      </ns0:c>
      <ns0:c r="D34" s="3">
        <ns0:f>SUM(D4:D33)</ns0:f>
        <ns0:v>7857.59</ns0:v>
      </ns0:c>
      <ns0:c r="E34" s="3">
        <ns0:f>SUM(E4:E33)</ns0:f>
        <ns0:v>7831.33</ns0:v>
      </ns0:c>
      <ns0:c r="F34" s="3">
        <ns0:f>SUM(F4:F33)</ns0:f>
        <ns0:v>7358.56</ns0:v>
      </ns0:c>
      <ns0:c r="G34" s="3">
        <ns0:f>SUM(G4:G33)</ns0:f>
        <ns0:v>7592.36</ns0:v>
      </ns0:c>
      <ns0:c r="H34" s="3">
        <ns0:f>SUM(H4:H33)</ns0:f>
        <ns0:v>6747.53</ns0:v>
      </ns0:c>
      <ns0:c r="I34" s="3">
        <ns0:f>SUM(I4:I33)</ns0:f>
        <ns0:v>7272.97</ns0:v>
      </ns0:c>
      <ns0:c r="J34" s="3">
        <ns0:f>SUM(J4:J33)</ns0:f>
        <ns0:v>6889.76</ns0:v>
      </ns0:c>
      <ns0:c r="K34" s="3">
        <ns0:f>SUM(K4:K33)</ns0:f>
        <ns0:v>6630.60</ns0:v>
      </ns0:c>
      <ns0:c r="L34" s="3">
        <ns0:f>SUM(L4:L33)</ns0:f>
        <ns0:v>6587.33</ns0:v>
      </ns0:c>
      <ns0:c r="M34" s="3">
        <ns0:f>SUM(M4:M33)</ns0:f>
        <ns0:v>7212.13</ns0:v>
      </ns0:c>
      <ns0:c r="N34" s="3">
        <ns0:f>SUM(N4:N33)</ns0:f>
        <ns0:v>8284.81</ns0:v>
      </ns0:c>
      <ns0:c r="O34" s="3">
        <ns0:f>SUM(C34:N34)</ns0:f>
        <ns0:v>87389.96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52.31</ns0:v>
      </ns0:c>
      <ns0:c r="D204" s="4">
        <ns0:v>37.24</ns0:v>
      </ns0:c>
      <ns0:c r="E204" s="4">
        <ns0:v>25.11</ns0:v>
      </ns0:c>
      <ns0:c r="F204" s="4">
        <ns0:v>45.54</ns0:v>
      </ns0:c>
      <ns0:c r="G204" s="4">
        <ns0:v>18.16</ns0:v>
      </ns0:c>
      <ns0:c r="H204" s="4">
        <ns0:v>68.77</ns0:v>
      </ns0:c>
      <ns0:c r="I204" s="4">
        <ns0:v>35.18</ns0:v>
      </ns0:c>
      <ns0:c r="J204" s="4">
        <ns0:v>29.49</ns0:v>
      </ns0:c>
      <ns0:c r="K204" s="4">
        <ns0:v>59.22</ns0:v>
      </ns0:c>
      <ns0:c r="L204" s="4">
        <ns0:v>40.86</ns0:v>
      </ns0:c>
      <ns0:c r="M204" s="4">
        <ns0:v>62.03</ns0:v>
      </ns0:c>
      <ns0:c r="N204" s="4">
        <ns0:v>54.59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71.96</ns0:v>
      </ns0:c>
      <ns0:c r="D205" s="4">
        <ns0:v>41.65</ns0:v>
      </ns0:c>
      <ns0:c r="E205" s="4">
        <ns0:v>65.21</ns0:v>
      </ns0:c>
      <ns0:c r="F205" s="4">
        <ns0:v>21.36</ns0:v>
      </ns0:c>
      <ns0:c r="G205" s="4">
        <ns0:v>63.51</ns0:v>
      </ns0:c>
      <ns0:c r="H205" s="4">
        <ns0:v>38.92</ns0:v>
      </ns0:c>
      <ns0:c r="I205" s="4">
        <ns0:v>31.65</ns0:v>
      </ns0:c>
      <ns0:c r="J205" s="4">
        <ns0:v>43.53</ns0:v>
      </ns0:c>
      <ns0:c r="K205" s="4">
        <ns0:v>45.66</ns0:v>
      </ns0:c>
      <ns0:c r="L205" s="4">
        <ns0:v>53.67</ns0:v>
      </ns0:c>
      <ns0:c r="M205" s="4">
        <ns0:v>31.03</ns0:v>
      </ns0:c>
      <ns0:c r="N205" s="4">
        <ns0:v>30.84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38.51</ns0:v>
      </ns0:c>
      <ns0:c r="D206" s="4">
        <ns0:v>28.45</ns0:v>
      </ns0:c>
      <ns0:c r="E206" s="4">
        <ns0:v>53.87</ns0:v>
      </ns0:c>
      <ns0:c r="F206" s="4">
        <ns0:v>39.33</ns0:v>
      </ns0:c>
      <ns0:c r="G206" s="4">
        <ns0:v>50.81</ns0:v>
      </ns0:c>
      <ns0:c r="H206" s="4">
        <ns0:v>58.99</ns0:v>
      </ns0:c>
      <ns0:c r="I206" s="4">
        <ns0:v>21.06</ns0:v>
      </ns0:c>
      <ns0:c r="J206" s="4">
        <ns0:v>30.17</ns0:v>
      </ns0:c>
      <ns0:c r="K206" s="4">
        <ns0:v>19.33</ns0:v>
      </ns0:c>
      <ns0:c r="L206" s="4">
        <ns0:v>50.87</ns0:v>
      </ns0:c>
      <ns0:c r="M206" s="4">
        <ns0:v>31.99</ns0:v>
      </ns0:c>
      <ns0:c r="N206" s="4">
        <ns0:v>42.60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29.36</ns0:v>
      </ns0:c>
      <ns0:c r="D207" s="4">
        <ns0:v>17.14</ns0:v>
      </ns0:c>
      <ns0:c r="E207" s="4">
        <ns0:v>25.16</ns0:v>
      </ns0:c>
      <ns0:c r="F207" s="4">
        <ns0:v>75.97</ns0:v>
      </ns0:c>
      <ns0:c r="G207" s="4">
        <ns0:v>20.10</ns0:v>
      </ns0:c>
      <ns0:c r="H207" s="4">
        <ns0:v>50.33</ns0:v>
      </ns0:c>
      <ns0:c r="I207" s="4">
        <ns0:v>68.50</ns0:v>
      </ns0:c>
      <ns0:c r="J207" s="4">
        <ns0:v>61.81</ns0:v>
      </ns0:c>
      <ns0:c r="K207" s="4">
        <ns0:v>53.12</ns0:v>
      </ns0:c>
      <ns0:c r="L207" s="4">
        <ns0:v>65.75</ns0:v>
      </ns0:c>
      <ns0:c r="M207" s="4">
        <ns0:v>64.26</ns0:v>
      </ns0:c>
      <ns0:c r="N207" s="4">
        <ns0:v>57.20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20.49</ns0:v>
      </ns0:c>
      <ns0:c r="D208" s="4">
        <ns0:v>66.85</ns0:v>
      </ns0:c>
      <ns0:c r="E208" s="4">
        <ns0:v>56.81</ns0:v>
      </ns0:c>
      <ns0:c r="F208" s="4">
        <ns0:v>34.60</ns0:v>
      </ns0:c>
      <ns0:c r="G208" s="4">
        <ns0:v>34.21</ns0:v>
      </ns0:c>
      <ns0:c r="H208" s="4">
        <ns0:v>49.81</ns0:v>
      </ns0:c>
      <ns0:c r="I208" s="4">
        <ns0:v>46.87</ns0:v>
      </ns0:c>
      <ns0:c r="J208" s="4">
        <ns0:v>51.96</ns0:v>
      </ns0:c>
      <ns0:c r="K208" s="4">
        <ns0:v>57.59</ns0:v>
      </ns0:c>
      <ns0:c r="L208" s="4">
        <ns0:v>51.41</ns0:v>
      </ns0:c>
      <ns0:c r="M208" s="4">
        <ns0:v>20.76</ns0:v>
      </ns0:c>
      <ns0:c r="N208" s="4">
        <ns0:v>56.01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54.39</ns0:v>
      </ns0:c>
      <ns0:c r="D209" s="4">
        <ns0:v>25.96</ns0:v>
      </ns0:c>
      <ns0:c r="E209" s="4">
        <ns0:v>59.03</ns0:v>
      </ns0:c>
      <ns0:c r="F209" s="4">
        <ns0:v>48.28</ns0:v>
      </ns0:c>
      <ns0:c r="G209" s="4">
        <ns0:v>49.43</ns0:v>
      </ns0:c>
      <ns0:c r="H209" s="4">
        <ns0:v>34.39</ns0:v>
      </ns0:c>
      <ns0:c r="I209" s="4">
        <ns0:v>41.25</ns0:v>
      </ns0:c>
      <ns0:c r="J209" s="4">
        <ns0:v>38.85</ns0:v>
      </ns0:c>
      <ns0:c r="K209" s="4">
        <ns0:v>42.77</ns0:v>
      </ns0:c>
      <ns0:c r="L209" s="4">
        <ns0:v>29.72</ns0:v>
      </ns0:c>
      <ns0:c r="M209" s="4">
        <ns0:v>37.56</ns0:v>
      </ns0:c>
      <ns0:c r="N209" s="4">
        <ns0:v>35.11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44.22</ns0:v>
      </ns0:c>
      <ns0:c r="D210" s="4">
        <ns0:v>55.73</ns0:v>
      </ns0:c>
      <ns0:c r="E210" s="4">
        <ns0:v>22.42</ns0:v>
      </ns0:c>
      <ns0:c r="F210" s="4">
        <ns0:v>63.15</ns0:v>
      </ns0:c>
      <ns0:c r="G210" s="4">
        <ns0:v>68.08</ns0:v>
      </ns0:c>
      <ns0:c r="H210" s="4">
        <ns0:v>59.33</ns0:v>
      </ns0:c>
      <ns0:c r="I210" s="4">
        <ns0:v>44.26</ns0:v>
      </ns0:c>
      <ns0:c r="J210" s="4">
        <ns0:v>17.05</ns0:v>
      </ns0:c>
      <ns0:c r="K210" s="4">
        <ns0:v>35.09</ns0:v>
      </ns0:c>
      <ns0:c r="L210" s="4">
        <ns0:v>54.21</ns0:v>
      </ns0:c>
      <ns0:c r="M210" s="4">
        <ns0:v>18.82</ns0:v>
      </ns0:c>
      <ns0:c r="N210" s="4">
        <ns0:v>58.58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36.61</ns0:v>
      </ns0:c>
      <ns0:c r="D211" s="4">
        <ns0:v>66.45</ns0:v>
      </ns0:c>
      <ns0:c r="E211" s="4">
        <ns0:v>27.56</ns0:v>
      </ns0:c>
      <ns0:c r="F211" s="4">
        <ns0:v>24.78</ns0:v>
      </ns0:c>
      <ns0:c r="G211" s="4">
        <ns0:v>24.16</ns0:v>
      </ns0:c>
      <ns0:c r="H211" s="4">
        <ns0:v>68.67</ns0:v>
      </ns0:c>
      <ns0:c r="I211" s="4">
        <ns0:v>21.66</ns0:v>
      </ns0:c>
      <ns0:c r="J211" s="4">
        <ns0:v>43.46</ns0:v>
      </ns0:c>
      <ns0:c r="K211" s="4">
        <ns0:v>31.95</ns0:v>
      </ns0:c>
      <ns0:c r="L211" s="4">
        <ns0:v>26.50</ns0:v>
      </ns0:c>
      <ns0:c r="M211" s="4">
        <ns0:v>27.16</ns0:v>
      </ns0:c>
      <ns0:c r="N211" s="4">
        <ns0:v>54.33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28.48</ns0:v>
      </ns0:c>
      <ns0:c r="D212" s="4">
        <ns0:v>20.77</ns0:v>
      </ns0:c>
      <ns0:c r="E212" s="4">
        <ns0:v>61.31</ns0:v>
      </ns0:c>
      <ns0:c r="F212" s="4">
        <ns0:v>35.66</ns0:v>
      </ns0:c>
      <ns0:c r="G212" s="4">
        <ns0:v>21.54</ns0:v>
      </ns0:c>
      <ns0:c r="H212" s="4">
        <ns0:v>19.79</ns0:v>
      </ns0:c>
      <ns0:c r="I212" s="4">
        <ns0:v>58.15</ns0:v>
      </ns0:c>
      <ns0:c r="J212" s="4">
        <ns0:v>28.32</ns0:v>
      </ns0:c>
      <ns0:c r="K212" s="4">
        <ns0:v>55.22</ns0:v>
      </ns0:c>
      <ns0:c r="L212" s="4">
        <ns0:v>41.14</ns0:v>
      </ns0:c>
      <ns0:c r="M212" s="4">
        <ns0:v>60.90</ns0:v>
      </ns0:c>
      <ns0:c r="N212" s="4">
        <ns0:v>62.68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35.22</ns0:v>
      </ns0:c>
      <ns0:c r="D213" s="4">
        <ns0:v>55.49</ns0:v>
      </ns0:c>
      <ns0:c r="E213" s="4">
        <ns0:v>32.40</ns0:v>
      </ns0:c>
      <ns0:c r="F213" s="4">
        <ns0:v>18.12</ns0:v>
      </ns0:c>
      <ns0:c r="G213" s="4">
        <ns0:v>59.38</ns0:v>
      </ns0:c>
      <ns0:c r="H213" s="4">
        <ns0:v>63.12</ns0:v>
      </ns0:c>
      <ns0:c r="I213" s="4">
        <ns0:v>31.86</ns0:v>
      </ns0:c>
      <ns0:c r="J213" s="4">
        <ns0:v>34.93</ns0:v>
      </ns0:c>
      <ns0:c r="K213" s="4">
        <ns0:v>54.82</ns0:v>
      </ns0:c>
      <ns0:c r="L213" s="4">
        <ns0:v>37.31</ns0:v>
      </ns0:c>
      <ns0:c r="M213" s="4">
        <ns0:v>53.98</ns0:v>
      </ns0:c>
      <ns0:c r="N213" s="4">
        <ns0:v>54.78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47.88</ns0:v>
      </ns0:c>
      <ns0:c r="D214" s="4">
        <ns0:v>50.86</ns0:v>
      </ns0:c>
      <ns0:c r="E214" s="4">
        <ns0:v>21.92</ns0:v>
      </ns0:c>
      <ns0:c r="F214" s="4">
        <ns0:v>42.30</ns0:v>
      </ns0:c>
      <ns0:c r="G214" s="4">
        <ns0:v>28.92</ns0:v>
      </ns0:c>
      <ns0:c r="H214" s="4">
        <ns0:v>22.02</ns0:v>
      </ns0:c>
      <ns0:c r="I214" s="4">
        <ns0:v>44.86</ns0:v>
      </ns0:c>
      <ns0:c r="J214" s="4">
        <ns0:v>52.61</ns0:v>
      </ns0:c>
      <ns0:c r="K214" s="4">
        <ns0:v>27.12</ns0:v>
      </ns0:c>
      <ns0:c r="L214" s="4">
        <ns0:v>54.54</ns0:v>
      </ns0:c>
      <ns0:c r="M214" s="4">
        <ns0:v>53.79</ns0:v>
      </ns0:c>
      <ns0:c r="N214" s="4">
        <ns0:v>54.67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36.31</ns0:v>
      </ns0:c>
      <ns0:c r="D215" s="4">
        <ns0:v>36.79</ns0:v>
      </ns0:c>
      <ns0:c r="E215" s="4">
        <ns0:v>53.46</ns0:v>
      </ns0:c>
      <ns0:c r="F215" s="4">
        <ns0:v>64.60</ns0:v>
      </ns0:c>
      <ns0:c r="G215" s="4">
        <ns0:v>42.30</ns0:v>
      </ns0:c>
      <ns0:c r="H215" s="4">
        <ns0:v>65.87</ns0:v>
      </ns0:c>
      <ns0:c r="I215" s="4">
        <ns0:v>59.85</ns0:v>
      </ns0:c>
      <ns0:c r="J215" s="4">
        <ns0:v>61.89</ns0:v>
      </ns0:c>
      <ns0:c r="K215" s="4">
        <ns0:v>26.65</ns0:v>
      </ns0:c>
      <ns0:c r="L215" s="4">
        <ns0:v>28.11</ns0:v>
      </ns0:c>
      <ns0:c r="M215" s="4">
        <ns0:v>47.09</ns0:v>
      </ns0:c>
      <ns0:c r="N215" s="4">
        <ns0:v>40.22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53.84</ns0:v>
      </ns0:c>
      <ns0:c r="D216" s="4">
        <ns0:v>30.83</ns0:v>
      </ns0:c>
      <ns0:c r="E216" s="4">
        <ns0:v>26.48</ns0:v>
      </ns0:c>
      <ns0:c r="F216" s="4">
        <ns0:v>54.92</ns0:v>
      </ns0:c>
      <ns0:c r="G216" s="4">
        <ns0:v>31.76</ns0:v>
      </ns0:c>
      <ns0:c r="H216" s="4">
        <ns0:v>45.31</ns0:v>
      </ns0:c>
      <ns0:c r="I216" s="4">
        <ns0:v>21.61</ns0:v>
      </ns0:c>
      <ns0:c r="J216" s="4">
        <ns0:v>33.86</ns0:v>
      </ns0:c>
      <ns0:c r="K216" s="4">
        <ns0:v>47.90</ns0:v>
      </ns0:c>
      <ns0:c r="L216" s="4">
        <ns0:v>60.03</ns0:v>
      </ns0:c>
      <ns0:c r="M216" s="4">
        <ns0:v>60.47</ns0:v>
      </ns0:c>
      <ns0:c r="N216" s="4">
        <ns0:v>59.70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16.48</ns0:v>
      </ns0:c>
      <ns0:c r="D217" s="4">
        <ns0:v>40.18</ns0:v>
      </ns0:c>
      <ns0:c r="E217" s="4">
        <ns0:v>43.87</ns0:v>
      </ns0:c>
      <ns0:c r="F217" s="4">
        <ns0:v>24.72</ns0:v>
      </ns0:c>
      <ns0:c r="G217" s="4">
        <ns0:v>22.00</ns0:v>
      </ns0:c>
      <ns0:c r="H217" s="4">
        <ns0:v>49.84</ns0:v>
      </ns0:c>
      <ns0:c r="I217" s="4">
        <ns0:v>40.06</ns0:v>
      </ns0:c>
      <ns0:c r="J217" s="4">
        <ns0:v>44.79</ns0:v>
      </ns0:c>
      <ns0:c r="K217" s="4">
        <ns0:v>28.50</ns0:v>
      </ns0:c>
      <ns0:c r="L217" s="4">
        <ns0:v>62.17</ns0:v>
      </ns0:c>
      <ns0:c r="M217" s="4">
        <ns0:v>36.99</ns0:v>
      </ns0:c>
      <ns0:c r="N217" s="4">
        <ns0:v>15.64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22.13</ns0:v>
      </ns0:c>
      <ns0:c r="D218" s="4">
        <ns0:v>73.10</ns0:v>
      </ns0:c>
      <ns0:c r="E218" s="4">
        <ns0:v>55.35</ns0:v>
      </ns0:c>
      <ns0:c r="F218" s="4">
        <ns0:v>34.03</ns0:v>
      </ns0:c>
      <ns0:c r="G218" s="4">
        <ns0:v>27.12</ns0:v>
      </ns0:c>
      <ns0:c r="H218" s="4">
        <ns0:v>34.29</ns0:v>
      </ns0:c>
      <ns0:c r="I218" s="4">
        <ns0:v>47.68</ns0:v>
      </ns0:c>
      <ns0:c r="J218" s="4">
        <ns0:v>44.51</ns0:v>
      </ns0:c>
      <ns0:c r="K218" s="4">
        <ns0:v>61.86</ns0:v>
      </ns0:c>
      <ns0:c r="L218" s="4">
        <ns0:v>18.47</ns0:v>
      </ns0:c>
      <ns0:c r="M218" s="4">
        <ns0:v>25.42</ns0:v>
      </ns0:c>
      <ns0:c r="N218" s="4">
        <ns0:v>60.03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25.18</ns0:v>
      </ns0:c>
      <ns0:c r="D219" s="4">
        <ns0:v>33.32</ns0:v>
      </ns0:c>
      <ns0:c r="E219" s="4">
        <ns0:v>71.03</ns0:v>
      </ns0:c>
      <ns0:c r="F219" s="4">
        <ns0:v>18.95</ns0:v>
      </ns0:c>
      <ns0:c r="G219" s="4">
        <ns0:v>71.23</ns0:v>
      </ns0:c>
      <ns0:c r="H219" s="4">
        <ns0:v>53.08</ns0:v>
      </ns0:c>
      <ns0:c r="I219" s="4">
        <ns0:v>19.00</ns0:v>
      </ns0:c>
      <ns0:c r="J219" s="4">
        <ns0:v>40.58</ns0:v>
      </ns0:c>
      <ns0:c r="K219" s="4">
        <ns0:v>24.13</ns0:v>
      </ns0:c>
      <ns0:c r="L219" s="4">
        <ns0:v>28.92</ns0:v>
      </ns0:c>
      <ns0:c r="M219" s="4">
        <ns0:v>43.51</ns0:v>
      </ns0:c>
      <ns0:c r="N219" s="4">
        <ns0:v>62.94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51.34</ns0:v>
      </ns0:c>
      <ns0:c r="D221" s="4">
        <ns0:v>58.31</ns0:v>
      </ns0:c>
      <ns0:c r="E221" s="4">
        <ns0:v>35.49</ns0:v>
      </ns0:c>
      <ns0:c r="F221" s="4">
        <ns0:v>55.56</ns0:v>
      </ns0:c>
      <ns0:c r="G221" s="4">
        <ns0:v>54.29</ns0:v>
      </ns0:c>
      <ns0:c r="H221" s="4">
        <ns0:v>46.04</ns0:v>
      </ns0:c>
      <ns0:c r="I221" s="4">
        <ns0:v>35.19</ns0:v>
      </ns0:c>
      <ns0:c r="J221" s="4">
        <ns0:v>17.26</ns0:v>
      </ns0:c>
      <ns0:c r="K221" s="4">
        <ns0:v>61.60</ns0:v>
      </ns0:c>
      <ns0:c r="L221" s="4">
        <ns0:v>36.74</ns0:v>
      </ns0:c>
      <ns0:c r="M221" s="4">
        <ns0:v>56.48</ns0:v>
      </ns0:c>
      <ns0:c r="N221" s="4">
        <ns0:v>31.36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55.60</ns0:v>
      </ns0:c>
      <ns0:c r="D222" s="4">
        <ns0:v>29.64</ns0:v>
      </ns0:c>
      <ns0:c r="E222" s="4">
        <ns0:v>19.36</ns0:v>
      </ns0:c>
      <ns0:c r="F222" s="4">
        <ns0:v>38.90</ns0:v>
      </ns0:c>
      <ns0:c r="G222" s="4">
        <ns0:v>35.45</ns0:v>
      </ns0:c>
      <ns0:c r="H222" s="4">
        <ns0:v>23.60</ns0:v>
      </ns0:c>
      <ns0:c r="I222" s="4">
        <ns0:v>36.54</ns0:v>
      </ns0:c>
      <ns0:c r="J222" s="4">
        <ns0:v>64.45</ns0:v>
      </ns0:c>
      <ns0:c r="K222" s="4">
        <ns0:v>58.62</ns0:v>
      </ns0:c>
      <ns0:c r="L222" s="4">
        <ns0:v>70.64</ns0:v>
      </ns0:c>
      <ns0:c r="M222" s="4">
        <ns0:v>52.31</ns0:v>
      </ns0:c>
      <ns0:c r="N222" s="4">
        <ns0:v>40.07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76.70</ns0:v>
      </ns0:c>
      <ns0:c r="D223" s="4">
        <ns0:v>37.15</ns0:v>
      </ns0:c>
      <ns0:c r="E223" s="4">
        <ns0:v>60.22</ns0:v>
      </ns0:c>
      <ns0:c r="F223" s="4">
        <ns0:v>17.62</ns0:v>
      </ns0:c>
      <ns0:c r="G223" s="4">
        <ns0:v>60.30</ns0:v>
      </ns0:c>
      <ns0:c r="H223" s="4">
        <ns0:v>70.48</ns0:v>
      </ns0:c>
      <ns0:c r="I223" s="4">
        <ns0:v>36.71</ns0:v>
      </ns0:c>
      <ns0:c r="J223" s="4">
        <ns0:v>67.82</ns0:v>
      </ns0:c>
      <ns0:c r="K223" s="4">
        <ns0:v>23.58</ns0:v>
      </ns0:c>
      <ns0:c r="L223" s="4">
        <ns0:v>25.26</ns0:v>
      </ns0:c>
      <ns0:c r="M223" s="4">
        <ns0:v>45.69</ns0:v>
      </ns0:c>
      <ns0:c r="N223" s="4">
        <ns0:v>46.13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18.62</ns0:v>
      </ns0:c>
      <ns0:c r="D224" s="4">
        <ns0:v>47.99</ns0:v>
      </ns0:c>
      <ns0:c r="E224" s="4">
        <ns0:v>40.26</ns0:v>
      </ns0:c>
      <ns0:c r="F224" s="4">
        <ns0:v>40.05</ns0:v>
      </ns0:c>
      <ns0:c r="G224" s="4">
        <ns0:v>17.07</ns0:v>
      </ns0:c>
      <ns0:c r="H224" s="4">
        <ns0:v>18.32</ns0:v>
      </ns0:c>
      <ns0:c r="I224" s="4">
        <ns0:v>48.97</ns0:v>
      </ns0:c>
      <ns0:c r="J224" s="4">
        <ns0:v>56.75</ns0:v>
      </ns0:c>
      <ns0:c r="K224" s="4">
        <ns0:v>56.05</ns0:v>
      </ns0:c>
      <ns0:c r="L224" s="4">
        <ns0:v>20.16</ns0:v>
      </ns0:c>
      <ns0:c r="M224" s="4">
        <ns0:v>37.46</ns0:v>
      </ns0:c>
      <ns0:c r="N224" s="4">
        <ns0:v>34.63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51.35</ns0:v>
      </ns0:c>
      <ns0:c r="D225" s="4">
        <ns0:v>40.04</ns0:v>
      </ns0:c>
      <ns0:c r="E225" s="4">
        <ns0:v>66.95</ns0:v>
      </ns0:c>
      <ns0:c r="F225" s="4">
        <ns0:v>31.71</ns0:v>
      </ns0:c>
      <ns0:c r="G225" s="4">
        <ns0:v>67.29</ns0:v>
      </ns0:c>
      <ns0:c r="H225" s="4">
        <ns0:v>46.92</ns0:v>
      </ns0:c>
      <ns0:c r="I225" s="4">
        <ns0:v>51.39</ns0:v>
      </ns0:c>
      <ns0:c r="J225" s="4">
        <ns0:v>51.43</ns0:v>
      </ns0:c>
      <ns0:c r="K225" s="4">
        <ns0:v>38.09</ns0:v>
      </ns0:c>
      <ns0:c r="L225" s="4">
        <ns0:v>17.20</ns0:v>
      </ns0:c>
      <ns0:c r="M225" s="4">
        <ns0:v>23.44</ns0:v>
      </ns0:c>
      <ns0:c r="N225" s="4">
        <ns0:v>25.85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42.54</ns0:v>
      </ns0:c>
      <ns0:c r="D226" s="4">
        <ns0:v>57.66</ns0:v>
      </ns0:c>
      <ns0:c r="E226" s="4">
        <ns0:v>30.57</ns0:v>
      </ns0:c>
      <ns0:c r="F226" s="4">
        <ns0:v>41.01</ns0:v>
      </ns0:c>
      <ns0:c r="G226" s="4">
        <ns0:v>40.08</ns0:v>
      </ns0:c>
      <ns0:c r="H226" s="4">
        <ns0:v>26.66</ns0:v>
      </ns0:c>
      <ns0:c r="I226" s="4">
        <ns0:v>64.14</ns0:v>
      </ns0:c>
      <ns0:c r="J226" s="4">
        <ns0:v>40.98</ns0:v>
      </ns0:c>
      <ns0:c r="K226" s="4">
        <ns0:v>39.80</ns0:v>
      </ns0:c>
      <ns0:c r="L226" s="4">
        <ns0:v>44.96</ns0:v>
      </ns0:c>
      <ns0:c r="M226" s="4">
        <ns0:v>47.87</ns0:v>
      </ns0:c>
      <ns0:c r="N226" s="4">
        <ns0:v>27.75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41.45</ns0:v>
      </ns0:c>
      <ns0:c r="D227" s="4">
        <ns0:v>51.41</ns0:v>
      </ns0:c>
      <ns0:c r="E227" s="4">
        <ns0:v>50.04</ns0:v>
      </ns0:c>
      <ns0:c r="F227" s="4">
        <ns0:v>54.60</ns0:v>
      </ns0:c>
      <ns0:c r="G227" s="4">
        <ns0:v>17.69</ns0:v>
      </ns0:c>
      <ns0:c r="H227" s="4">
        <ns0:v>24.94</ns0:v>
      </ns0:c>
      <ns0:c r="I227" s="4">
        <ns0:v>56.32</ns0:v>
      </ns0:c>
      <ns0:c r="J227" s="4">
        <ns0:v>24.38</ns0:v>
      </ns0:c>
      <ns0:c r="K227" s="4">
        <ns0:v>69.35</ns0:v>
      </ns0:c>
      <ns0:c r="L227" s="4">
        <ns0:v>48.15</ns0:v>
      </ns0:c>
      <ns0:c r="M227" s="4">
        <ns0:v>23.80</ns0:v>
      </ns0:c>
      <ns0:c r="N227" s="4">
        <ns0:v>71.30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35.48</ns0:v>
      </ns0:c>
      <ns0:c r="D228" s="4">
        <ns0:v>51.10</ns0:v>
      </ns0:c>
      <ns0:c r="E228" s="4">
        <ns0:v>45.48</ns0:v>
      </ns0:c>
      <ns0:c r="F228" s="4">
        <ns0:v>36.79</ns0:v>
      </ns0:c>
      <ns0:c r="G228" s="4">
        <ns0:v>59.49</ns0:v>
      </ns0:c>
      <ns0:c r="H228" s="4">
        <ns0:v>62.63</ns0:v>
      </ns0:c>
      <ns0:c r="I228" s="4">
        <ns0:v>68.27</ns0:v>
      </ns0:c>
      <ns0:c r="J228" s="4">
        <ns0:v>42.69</ns0:v>
      </ns0:c>
      <ns0:c r="K228" s="4">
        <ns0:v>19.74</ns0:v>
      </ns0:c>
      <ns0:c r="L228" s="4">
        <ns0:v>51.36</ns0:v>
      </ns0:c>
      <ns0:c r="M228" s="4">
        <ns0:v>23.13</ns0:v>
      </ns0:c>
      <ns0:c r="N228" s="4">
        <ns0:v>60.17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59.45</ns0:v>
      </ns0:c>
      <ns0:c r="D230" s="4">
        <ns0:v>46.87</ns0:v>
      </ns0:c>
      <ns0:c r="E230" s="4">
        <ns0:v>65.63</ns0:v>
      </ns0:c>
      <ns0:c r="F230" s="4">
        <ns0:v>23.87</ns0:v>
      </ns0:c>
      <ns0:c r="G230" s="4">
        <ns0:v>36.51</ns0:v>
      </ns0:c>
      <ns0:c r="H230" s="4">
        <ns0:v>19.62</ns0:v>
      </ns0:c>
      <ns0:c r="I230" s="4">
        <ns0:v>25.38</ns0:v>
      </ns0:c>
      <ns0:c r="J230" s="4">
        <ns0:v>17.78</ns0:v>
      </ns0:c>
      <ns0:c r="K230" s="4">
        <ns0:v>23.26</ns0:v>
      </ns0:c>
      <ns0:c r="L230" s="4">
        <ns0:v>50.94</ns0:v>
      </ns0:c>
      <ns0:c r="M230" s="4">
        <ns0:v>51.44</ns0:v>
      </ns0:c>
      <ns0:c r="N230" s="4">
        <ns0:v>58.68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53.68</ns0:v>
      </ns0:c>
      <ns0:c r="D231" s="4">
        <ns0:v>66.90</ns0:v>
      </ns0:c>
      <ns0:c r="E231" s="4">
        <ns0:v>39.93</ns0:v>
      </ns0:c>
      <ns0:c r="F231" s="4">
        <ns0:v>60.88</ns0:v>
      </ns0:c>
      <ns0:c r="G231" s="4">
        <ns0:v>47.73</ns0:v>
      </ns0:c>
      <ns0:c r="H231" s="4">
        <ns0:v>37.65</ns0:v>
      </ns0:c>
      <ns0:c r="I231" s="4">
        <ns0:v>76.04</ns0:v>
      </ns0:c>
      <ns0:c r="J231" s="4">
        <ns0:v>40.01</ns0:v>
      </ns0:c>
      <ns0:c r="K231" s="4">
        <ns0:v>18.63</ns0:v>
      </ns0:c>
      <ns0:c r="L231" s="4">
        <ns0:v>26.99</ns0:v>
      </ns0:c>
      <ns0:c r="M231" s="4">
        <ns0:v>52.36</ns0:v>
      </ns0:c>
      <ns0:c r="N231" s="4">
        <ns0:v>53.74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22.05</ns0:v>
      </ns0:c>
      <ns0:c r="D232" s="4">
        <ns0:v>66.04</ns0:v>
      </ns0:c>
      <ns0:c r="E232" s="4">
        <ns0:v>29.75</ns0:v>
      </ns0:c>
      <ns0:c r="F232" s="4">
        <ns0:v>58.80</ns0:v>
      </ns0:c>
      <ns0:c r="G232" s="4">
        <ns0:v>28.24</ns0:v>
      </ns0:c>
      <ns0:c r="H232" s="4">
        <ns0:v>55.72</ns0:v>
      </ns0:c>
      <ns0:c r="I232" s="4">
        <ns0:v>33.87</ns0:v>
      </ns0:c>
      <ns0:c r="J232" s="4">
        <ns0:v>46.25</ns0:v>
      </ns0:c>
      <ns0:c r="K232" s="4">
        <ns0:v>36.75</ns0:v>
      </ns0:c>
      <ns0:c r="L232" s="4">
        <ns0:v>42.60</ns0:v>
      </ns0:c>
      <ns0:c r="M232" s="4">
        <ns0:v>32.04</ns0:v>
      </ns0:c>
      <ns0:c r="N232" s="4">
        <ns0:v>35.39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52.53</ns0:v>
      </ns0:c>
      <ns0:c r="D233" s="4">
        <ns0:v>56.18</ns0:v>
      </ns0:c>
      <ns0:c r="E233" s="4">
        <ns0:v>55.33</ns0:v>
      </ns0:c>
      <ns0:c r="F233" s="4">
        <ns0:v>49.21</ns0:v>
      </ns0:c>
      <ns0:c r="G233" s="4">
        <ns0:v>39.75</ns0:v>
      </ns0:c>
      <ns0:c r="H233" s="4">
        <ns0:v>46.82</ns0:v>
      </ns0:c>
      <ns0:c r="I233" s="4">
        <ns0:v>27.89</ns0:v>
      </ns0:c>
      <ns0:c r="J233" s="4">
        <ns0:v>68.52</ns0:v>
      </ns0:c>
      <ns0:c r="K233" s="4">
        <ns0:v>16.68</ns0:v>
      </ns0:c>
      <ns0:c r="L233" s="4">
        <ns0:v>56.60</ns0:v>
      </ns0:c>
      <ns0:c r="M233" s="4">
        <ns0:v>17.42</ns0:v>
      </ns0:c>
      <ns0:c r="N233" s="4">
        <ns0:v>21.04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7.51</ns0:v>
      </ns0:c>
      <ns0:c r="D324" s="4">
        <ns0:v>4.20</ns0:v>
      </ns0:c>
      <ns0:c r="E324" s="4">
        <ns0:v>5.11</ns0:v>
      </ns0:c>
      <ns0:c r="F324" s="4">
        <ns0:v>5.66</ns0:v>
      </ns0:c>
      <ns0:c r="G324" s="4">
        <ns0:v>9.63</ns0:v>
      </ns0:c>
      <ns0:c r="H324" s="4">
        <ns0:v>3.70</ns0:v>
      </ns0:c>
      <ns0:c r="I324" s="4">
        <ns0:v>2.81</ns0:v>
      </ns0:c>
      <ns0:c r="J324" s="4">
        <ns0:v>6.13</ns0:v>
      </ns0:c>
      <ns0:c r="K324" s="4">
        <ns0:v>2.80</ns0:v>
      </ns0:c>
      <ns0:c r="L324" s="4">
        <ns0:v>4.15</ns0:v>
      </ns0:c>
      <ns0:c r="M324" s="4">
        <ns0:v>8.26</ns0:v>
      </ns0:c>
      <ns0:c r="N324" s="4">
        <ns0:v>6.38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1.92</ns0:v>
      </ns0:c>
      <ns0:c r="D325" s="4">
        <ns0:v>5.49</ns0:v>
      </ns0:c>
      <ns0:c r="E325" s="4">
        <ns0:v>6.43</ns0:v>
      </ns0:c>
      <ns0:c r="F325" s="4">
        <ns0:v>4.45</ns0:v>
      </ns0:c>
      <ns0:c r="G325" s="4">
        <ns0:v>5.90</ns0:v>
      </ns0:c>
      <ns0:c r="H325" s="4">
        <ns0:v>3.54</ns0:v>
      </ns0:c>
      <ns0:c r="I325" s="4">
        <ns0:v>1.93</ns0:v>
      </ns0:c>
      <ns0:c r="J325" s="4">
        <ns0:v>4.57</ns0:v>
      </ns0:c>
      <ns0:c r="K325" s="4">
        <ns0:v>7.76</ns0:v>
      </ns0:c>
      <ns0:c r="L325" s="4">
        <ns0:v>2.43</ns0:v>
      </ns0:c>
      <ns0:c r="M325" s="4">
        <ns0:v>9.02</ns0:v>
      </ns0:c>
      <ns0:c r="N325" s="4">
        <ns0:v>4.78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2.73</ns0:v>
      </ns0:c>
      <ns0:c r="D326" s="4">
        <ns0:v>2.75</ns0:v>
      </ns0:c>
      <ns0:c r="E326" s="4">
        <ns0:v>4.21</ns0:v>
      </ns0:c>
      <ns0:c r="F326" s="4">
        <ns0:v>7.33</ns0:v>
      </ns0:c>
      <ns0:c r="G326" s="4">
        <ns0:v>6.57</ns0:v>
      </ns0:c>
      <ns0:c r="H326" s="4">
        <ns0:v>2.60</ns0:v>
      </ns0:c>
      <ns0:c r="I326" s="4">
        <ns0:v>2.94</ns0:v>
      </ns0:c>
      <ns0:c r="J326" s="4">
        <ns0:v>4.01</ns0:v>
      </ns0:c>
      <ns0:c r="K326" s="4">
        <ns0:v>3.62</ns0:v>
      </ns0:c>
      <ns0:c r="L326" s="4">
        <ns0:v>6.28</ns0:v>
      </ns0:c>
      <ns0:c r="M326" s="4">
        <ns0:v>5.32</ns0:v>
      </ns0:c>
      <ns0:c r="N326" s="4">
        <ns0:v>6.11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6.20</ns0:v>
      </ns0:c>
      <ns0:c r="D327" s="4">
        <ns0:v>6.66</ns0:v>
      </ns0:c>
      <ns0:c r="E327" s="4">
        <ns0:v>6.99</ns0:v>
      </ns0:c>
      <ns0:c r="F327" s="4">
        <ns0:v>5.34</ns0:v>
      </ns0:c>
      <ns0:c r="G327" s="4">
        <ns0:v>8.42</ns0:v>
      </ns0:c>
      <ns0:c r="H327" s="4">
        <ns0:v>6.39</ns0:v>
      </ns0:c>
      <ns0:c r="I327" s="4">
        <ns0:v>7.56</ns0:v>
      </ns0:c>
      <ns0:c r="J327" s="4">
        <ns0:v>4.81</ns0:v>
      </ns0:c>
      <ns0:c r="K327" s="4">
        <ns0:v>6.53</ns0:v>
      </ns0:c>
      <ns0:c r="L327" s="4">
        <ns0:v>5.86</ns0:v>
      </ns0:c>
      <ns0:c r="M327" s="4">
        <ns0:v>6.52</ns0:v>
      </ns0:c>
      <ns0:c r="N327" s="4">
        <ns0:v>8.24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6.68</ns0:v>
      </ns0:c>
      <ns0:c r="D328" s="4">
        <ns0:v>5.78</ns0:v>
      </ns0:c>
      <ns0:c r="E328" s="4">
        <ns0:v>6.51</ns0:v>
      </ns0:c>
      <ns0:c r="F328" s="4">
        <ns0:v>2.88</ns0:v>
      </ns0:c>
      <ns0:c r="G328" s="4">
        <ns0:v>5.37</ns0:v>
      </ns0:c>
      <ns0:c r="H328" s="4">
        <ns0:v>8.57</ns0:v>
      </ns0:c>
      <ns0:c r="I328" s="4">
        <ns0:v>5.26</ns0:v>
      </ns0:c>
      <ns0:c r="J328" s="4">
        <ns0:v>6.52</ns0:v>
      </ns0:c>
      <ns0:c r="K328" s="4">
        <ns0:v>4.10</ns0:v>
      </ns0:c>
      <ns0:c r="L328" s="4">
        <ns0:v>9.72</ns0:v>
      </ns0:c>
      <ns0:c r="M328" s="4">
        <ns0:v>8.42</ns0:v>
      </ns0:c>
      <ns0:c r="N328" s="4">
        <ns0:v>6.70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7.42</ns0:v>
      </ns0:c>
      <ns0:c r="D329" s="4">
        <ns0:v>5.85</ns0:v>
      </ns0:c>
      <ns0:c r="E329" s="4">
        <ns0:v>6.15</ns0:v>
      </ns0:c>
      <ns0:c r="F329" s="4">
        <ns0:v>7.18</ns0:v>
      </ns0:c>
      <ns0:c r="G329" s="4">
        <ns0:v>5.10</ns0:v>
      </ns0:c>
      <ns0:c r="H329" s="4">
        <ns0:v>4.11</ns0:v>
      </ns0:c>
      <ns0:c r="I329" s="4">
        <ns0:v>7.53</ns0:v>
      </ns0:c>
      <ns0:c r="J329" s="4">
        <ns0:v>2.78</ns0:v>
      </ns0:c>
      <ns0:c r="K329" s="4">
        <ns0:v>7.17</ns0:v>
      </ns0:c>
      <ns0:c r="L329" s="4">
        <ns0:v>2.49</ns0:v>
      </ns0:c>
      <ns0:c r="M329" s="4">
        <ns0:v>6.82</ns0:v>
      </ns0:c>
      <ns0:c r="N329" s="4">
        <ns0:v>8.25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8.84</ns0:v>
      </ns0:c>
      <ns0:c r="D330" s="4">
        <ns0:v>6.69</ns0:v>
      </ns0:c>
      <ns0:c r="E330" s="4">
        <ns0:v>4.94</ns0:v>
      </ns0:c>
      <ns0:c r="F330" s="4">
        <ns0:v>4.60</ns0:v>
      </ns0:c>
      <ns0:c r="G330" s="4">
        <ns0:v>6.42</ns0:v>
      </ns0:c>
      <ns0:c r="H330" s="4">
        <ns0:v>3.25</ns0:v>
      </ns0:c>
      <ns0:c r="I330" s="4">
        <ns0:v>3.25</ns0:v>
      </ns0:c>
      <ns0:c r="J330" s="4">
        <ns0:v>7.91</ns0:v>
      </ns0:c>
      <ns0:c r="K330" s="4">
        <ns0:v>4.42</ns0:v>
      </ns0:c>
      <ns0:c r="L330" s="4">
        <ns0:v>6.27</ns0:v>
      </ns0:c>
      <ns0:c r="M330" s="4">
        <ns0:v>5.17</ns0:v>
      </ns0:c>
      <ns0:c r="N330" s="4">
        <ns0:v>2.39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6.17</ns0:v>
      </ns0:c>
      <ns0:c r="D331" s="4">
        <ns0:v>7.22</ns0:v>
      </ns0:c>
      <ns0:c r="E331" s="4">
        <ns0:v>3.84</ns0:v>
      </ns0:c>
      <ns0:c r="F331" s="4">
        <ns0:v>8.65</ns0:v>
      </ns0:c>
      <ns0:c r="G331" s="4">
        <ns0:v>7.32</ns0:v>
      </ns0:c>
      <ns0:c r="H331" s="4">
        <ns0:v>5.51</ns0:v>
      </ns0:c>
      <ns0:c r="I331" s="4">
        <ns0:v>2.93</ns0:v>
      </ns0:c>
      <ns0:c r="J331" s="4">
        <ns0:v>4.90</ns0:v>
      </ns0:c>
      <ns0:c r="K331" s="4">
        <ns0:v>2.67</ns0:v>
      </ns0:c>
      <ns0:c r="L331" s="4">
        <ns0:v>6.77</ns0:v>
      </ns0:c>
      <ns0:c r="M331" s="4">
        <ns0:v>5.39</ns0:v>
      </ns0:c>
      <ns0:c r="N331" s="4">
        <ns0:v>3.62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3.27</ns0:v>
      </ns0:c>
      <ns0:c r="D332" s="4">
        <ns0:v>6.62</ns0:v>
      </ns0:c>
      <ns0:c r="E332" s="4">
        <ns0:v>7.98</ns0:v>
      </ns0:c>
      <ns0:c r="F332" s="4">
        <ns0:v>6.55</ns0:v>
      </ns0:c>
      <ns0:c r="G332" s="4">
        <ns0:v>4.38</ns0:v>
      </ns0:c>
      <ns0:c r="H332" s="4">
        <ns0:v>4.53</ns0:v>
      </ns0:c>
      <ns0:c r="I332" s="4">
        <ns0:v>7.45</ns0:v>
      </ns0:c>
      <ns0:c r="J332" s="4">
        <ns0:v>5.22</ns0:v>
      </ns0:c>
      <ns0:c r="K332" s="4">
        <ns0:v>6.07</ns0:v>
      </ns0:c>
      <ns0:c r="L332" s="4">
        <ns0:v>6.78</ns0:v>
      </ns0:c>
      <ns0:c r="M332" s="4">
        <ns0:v>6.73</ns0:v>
      </ns0:c>
      <ns0:c r="N332" s="4">
        <ns0:v>3.79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7.52</ns0:v>
      </ns0:c>
      <ns0:c r="D333" s="4">
        <ns0:v>5.77</ns0:v>
      </ns0:c>
      <ns0:c r="E333" s="4">
        <ns0:v>6.21</ns0:v>
      </ns0:c>
      <ns0:c r="F333" s="4">
        <ns0:v>4.98</ns0:v>
      </ns0:c>
      <ns0:c r="G333" s="4">
        <ns0:v>3.54</ns0:v>
      </ns0:c>
      <ns0:c r="H333" s="4">
        <ns0:v>4.69</ns0:v>
      </ns0:c>
      <ns0:c r="I333" s="4">
        <ns0:v>5.12</ns0:v>
      </ns0:c>
      <ns0:c r="J333" s="4">
        <ns0:v>6.36</ns0:v>
      </ns0:c>
      <ns0:c r="K333" s="4">
        <ns0:v>7.18</ns0:v>
      </ns0:c>
      <ns0:c r="L333" s="4">
        <ns0:v>5.89</ns0:v>
      </ns0:c>
      <ns0:c r="M333" s="4">
        <ns0:v>4.24</ns0:v>
      </ns0:c>
      <ns0:c r="N333" s="4">
        <ns0:v>2.64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7.08</ns0:v>
      </ns0:c>
      <ns0:c r="D334" s="4">
        <ns0:v>4.64</ns0:v>
      </ns0:c>
      <ns0:c r="E334" s="4">
        <ns0:v>6.42</ns0:v>
      </ns0:c>
      <ns0:c r="F334" s="4">
        <ns0:v>9.28</ns0:v>
      </ns0:c>
      <ns0:c r="G334" s="4">
        <ns0:v>6.61</ns0:v>
      </ns0:c>
      <ns0:c r="H334" s="4">
        <ns0:v>8.41</ns0:v>
      </ns0:c>
      <ns0:c r="I334" s="4">
        <ns0:v>2.63</ns0:v>
      </ns0:c>
      <ns0:c r="J334" s="4">
        <ns0:v>2.60</ns0:v>
      </ns0:c>
      <ns0:c r="K334" s="4">
        <ns0:v>6.17</ns0:v>
      </ns0:c>
      <ns0:c r="L334" s="4">
        <ns0:v>3.81</ns0:v>
      </ns0:c>
      <ns0:c r="M334" s="4">
        <ns0:v>4.07</ns0:v>
      </ns0:c>
      <ns0:c r="N334" s="4">
        <ns0:v>2.23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6.84</ns0:v>
      </ns0:c>
      <ns0:c r="D335" s="4">
        <ns0:v>3.14</ns0:v>
      </ns0:c>
      <ns0:c r="E335" s="4">
        <ns0:v>6.15</ns0:v>
      </ns0:c>
      <ns0:c r="F335" s="4">
        <ns0:v>4.01</ns0:v>
      </ns0:c>
      <ns0:c r="G335" s="4">
        <ns0:v>7.07</ns0:v>
      </ns0:c>
      <ns0:c r="H335" s="4">
        <ns0:v>4.55</ns0:v>
      </ns0:c>
      <ns0:c r="I335" s="4">
        <ns0:v>6.46</ns0:v>
      </ns0:c>
      <ns0:c r="J335" s="4">
        <ns0:v>7.65</ns0:v>
      </ns0:c>
      <ns0:c r="K335" s="4">
        <ns0:v>6.44</ns0:v>
      </ns0:c>
      <ns0:c r="L335" s="4">
        <ns0:v>7.41</ns0:v>
      </ns0:c>
      <ns0:c r="M335" s="4">
        <ns0:v>2.78</ns0:v>
      </ns0:c>
      <ns0:c r="N335" s="4">
        <ns0:v>7.23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6.61</ns0:v>
      </ns0:c>
      <ns0:c r="D336" s="4">
        <ns0:v>3.19</ns0:v>
      </ns0:c>
      <ns0:c r="E336" s="4">
        <ns0:v>4.62</ns0:v>
      </ns0:c>
      <ns0:c r="F336" s="4">
        <ns0:v>5.76</ns0:v>
      </ns0:c>
      <ns0:c r="G336" s="4">
        <ns0:v>5.65</ns0:v>
      </ns0:c>
      <ns0:c r="H336" s="4">
        <ns0:v>2.48</ns0:v>
      </ns0:c>
      <ns0:c r="I336" s="4">
        <ns0:v>5.69</ns0:v>
      </ns0:c>
      <ns0:c r="J336" s="4">
        <ns0:v>2.56</ns0:v>
      </ns0:c>
      <ns0:c r="K336" s="4">
        <ns0:v>9.56</ns0:v>
      </ns0:c>
      <ns0:c r="L336" s="4">
        <ns0:v>4.06</ns0:v>
      </ns0:c>
      <ns0:c r="M336" s="4">
        <ns0:v>6.97</ns0:v>
      </ns0:c>
      <ns0:c r="N336" s="4">
        <ns0:v>7.44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5.02</ns0:v>
      </ns0:c>
      <ns0:c r="D337" s="4">
        <ns0:v>5.16</ns0:v>
      </ns0:c>
      <ns0:c r="E337" s="4">
        <ns0:v>9.10</ns0:v>
      </ns0:c>
      <ns0:c r="F337" s="4">
        <ns0:v>7.77</ns0:v>
      </ns0:c>
      <ns0:c r="G337" s="4">
        <ns0:v>8.29</ns0:v>
      </ns0:c>
      <ns0:c r="H337" s="4">
        <ns0:v>3.65</ns0:v>
      </ns0:c>
      <ns0:c r="I337" s="4">
        <ns0:v>4.56</ns0:v>
      </ns0:c>
      <ns0:c r="J337" s="4">
        <ns0:v>6.04</ns0:v>
      </ns0:c>
      <ns0:c r="K337" s="4">
        <ns0:v>7.57</ns0:v>
      </ns0:c>
      <ns0:c r="L337" s="4">
        <ns0:v>5.95</ns0:v>
      </ns0:c>
      <ns0:c r="M337" s="4">
        <ns0:v>6.70</ns0:v>
      </ns0:c>
      <ns0:c r="N337" s="4">
        <ns0:v>6.90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4.11</ns0:v>
      </ns0:c>
      <ns0:c r="D338" s="4">
        <ns0:v>6.46</ns0:v>
      </ns0:c>
      <ns0:c r="E338" s="4">
        <ns0:v>7.16</ns0:v>
      </ns0:c>
      <ns0:c r="F338" s="4">
        <ns0:v>3.54</ns0:v>
      </ns0:c>
      <ns0:c r="G338" s="4">
        <ns0:v>4.78</ns0:v>
      </ns0:c>
      <ns0:c r="H338" s="4">
        <ns0:v>2.71</ns0:v>
      </ns0:c>
      <ns0:c r="I338" s="4">
        <ns0:v>5.38</ns0:v>
      </ns0:c>
      <ns0:c r="J338" s="4">
        <ns0:v>4.13</ns0:v>
      </ns0:c>
      <ns0:c r="K338" s="4">
        <ns0:v>2.78</ns0:v>
      </ns0:c>
      <ns0:c r="L338" s="4">
        <ns0:v>3.84</ns0:v>
      </ns0:c>
      <ns0:c r="M338" s="4">
        <ns0:v>5.95</ns0:v>
      </ns0:c>
      <ns0:c r="N338" s="4">
        <ns0:v>7.91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6.44</ns0:v>
      </ns0:c>
      <ns0:c r="D339" s="4">
        <ns0:v>4.42</ns0:v>
      </ns0:c>
      <ns0:c r="E339" s="4">
        <ns0:v>8.56</ns0:v>
      </ns0:c>
      <ns0:c r="F339" s="4">
        <ns0:v>7.50</ns0:v>
      </ns0:c>
      <ns0:c r="G339" s="4">
        <ns0:v>6.13</ns0:v>
      </ns0:c>
      <ns0:c r="H339" s="4">
        <ns0:v>2.19</ns0:v>
      </ns0:c>
      <ns0:c r="I339" s="4">
        <ns0:v>3.69</ns0:v>
      </ns0:c>
      <ns0:c r="J339" s="4">
        <ns0:v>5.57</ns0:v>
      </ns0:c>
      <ns0:c r="K339" s="4">
        <ns0:v>3.88</ns0:v>
      </ns0:c>
      <ns0:c r="L339" s="4">
        <ns0:v>5.94</ns0:v>
      </ns0:c>
      <ns0:c r="M339" s="4">
        <ns0:v>5.65</ns0:v>
      </ns0:c>
      <ns0:c r="N339" s="4">
        <ns0:v>7.40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5.45</ns0:v>
      </ns0:c>
      <ns0:c r="D341" s="4">
        <ns0:v>3.90</ns0:v>
      </ns0:c>
      <ns0:c r="E341" s="4">
        <ns0:v>9.18</ns0:v>
      </ns0:c>
      <ns0:c r="F341" s="4">
        <ns0:v>7.61</ns0:v>
      </ns0:c>
      <ns0:c r="G341" s="4">
        <ns0:v>6.73</ns0:v>
      </ns0:c>
      <ns0:c r="H341" s="4">
        <ns0:v>7.32</ns0:v>
      </ns0:c>
      <ns0:c r="I341" s="4">
        <ns0:v>7.59</ns0:v>
      </ns0:c>
      <ns0:c r="J341" s="4">
        <ns0:v>4.59</ns0:v>
      </ns0:c>
      <ns0:c r="K341" s="4">
        <ns0:v>4.50</ns0:v>
      </ns0:c>
      <ns0:c r="L341" s="4">
        <ns0:v>7.98</ns0:v>
      </ns0:c>
      <ns0:c r="M341" s="4">
        <ns0:v>6.52</ns0:v>
      </ns0:c>
      <ns0:c r="N341" s="4">
        <ns0:v>3.67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2.68</ns0:v>
      </ns0:c>
      <ns0:c r="D342" s="4">
        <ns0:v>4.88</ns0:v>
      </ns0:c>
      <ns0:c r="E342" s="4">
        <ns0:v>7.10</ns0:v>
      </ns0:c>
      <ns0:c r="F342" s="4">
        <ns0:v>6.16</ns0:v>
      </ns0:c>
      <ns0:c r="G342" s="4">
        <ns0:v>9.07</ns0:v>
      </ns0:c>
      <ns0:c r="H342" s="4">
        <ns0:v>7.09</ns0:v>
      </ns0:c>
      <ns0:c r="I342" s="4">
        <ns0:v>7.77</ns0:v>
      </ns0:c>
      <ns0:c r="J342" s="4">
        <ns0:v>9.07</ns0:v>
      </ns0:c>
      <ns0:c r="K342" s="4">
        <ns0:v>4.59</ns0:v>
      </ns0:c>
      <ns0:c r="L342" s="4">
        <ns0:v>4.11</ns0:v>
      </ns0:c>
      <ns0:c r="M342" s="4">
        <ns0:v>6.52</ns0:v>
      </ns0:c>
      <ns0:c r="N342" s="4">
        <ns0:v>5.37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6.84</ns0:v>
      </ns0:c>
      <ns0:c r="D343" s="4">
        <ns0:v>8.18</ns0:v>
      </ns0:c>
      <ns0:c r="E343" s="4">
        <ns0:v>6.86</ns0:v>
      </ns0:c>
      <ns0:c r="F343" s="4">
        <ns0:v>2.80</ns0:v>
      </ns0:c>
      <ns0:c r="G343" s="4">
        <ns0:v>7.06</ns0:v>
      </ns0:c>
      <ns0:c r="H343" s="4">
        <ns0:v>5.18</ns0:v>
      </ns0:c>
      <ns0:c r="I343" s="4">
        <ns0:v>2.29</ns0:v>
      </ns0:c>
      <ns0:c r="J343" s="4">
        <ns0:v>8.68</ns0:v>
      </ns0:c>
      <ns0:c r="K343" s="4">
        <ns0:v>9.06</ns0:v>
      </ns0:c>
      <ns0:c r="L343" s="4">
        <ns0:v>3.48</ns0:v>
      </ns0:c>
      <ns0:c r="M343" s="4">
        <ns0:v>5.13</ns0:v>
      </ns0:c>
      <ns0:c r="N343" s="4">
        <ns0:v>7.59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4.78</ns0:v>
      </ns0:c>
      <ns0:c r="D344" s="4">
        <ns0:v>5.11</ns0:v>
      </ns0:c>
      <ns0:c r="E344" s="4">
        <ns0:v>5.20</ns0:v>
      </ns0:c>
      <ns0:c r="F344" s="4">
        <ns0:v>4.76</ns0:v>
      </ns0:c>
      <ns0:c r="G344" s="4">
        <ns0:v>3.43</ns0:v>
      </ns0:c>
      <ns0:c r="H344" s="4">
        <ns0:v>5.98</ns0:v>
      </ns0:c>
      <ns0:c r="I344" s="4">
        <ns0:v>8.44</ns0:v>
      </ns0:c>
      <ns0:c r="J344" s="4">
        <ns0:v>4.57</ns0:v>
      </ns0:c>
      <ns0:c r="K344" s="4">
        <ns0:v>4.79</ns0:v>
      </ns0:c>
      <ns0:c r="L344" s="4">
        <ns0:v>8.78</ns0:v>
      </ns0:c>
      <ns0:c r="M344" s="4">
        <ns0:v>9.13</ns0:v>
      </ns0:c>
      <ns0:c r="N344" s="4">
        <ns0:v>5.30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4.82</ns0:v>
      </ns0:c>
      <ns0:c r="D345" s="4">
        <ns0:v>7.52</ns0:v>
      </ns0:c>
      <ns0:c r="E345" s="4">
        <ns0:v>3.35</ns0:v>
      </ns0:c>
      <ns0:c r="F345" s="4">
        <ns0:v>6.01</ns0:v>
      </ns0:c>
      <ns0:c r="G345" s="4">
        <ns0:v>8.26</ns0:v>
      </ns0:c>
      <ns0:c r="H345" s="4">
        <ns0:v>8.69</ns0:v>
      </ns0:c>
      <ns0:c r="I345" s="4">
        <ns0:v>8.65</ns0:v>
      </ns0:c>
      <ns0:c r="J345" s="4">
        <ns0:v>3.63</ns0:v>
      </ns0:c>
      <ns0:c r="K345" s="4">
        <ns0:v>5.53</ns0:v>
      </ns0:c>
      <ns0:c r="L345" s="4">
        <ns0:v>5.93</ns0:v>
      </ns0:c>
      <ns0:c r="M345" s="4">
        <ns0:v>2.34</ns0:v>
      </ns0:c>
      <ns0:c r="N345" s="4">
        <ns0:v>5.28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4.52</ns0:v>
      </ns0:c>
      <ns0:c r="D346" s="4">
        <ns0:v>6.63</ns0:v>
      </ns0:c>
      <ns0:c r="E346" s="4">
        <ns0:v>7.49</ns0:v>
      </ns0:c>
      <ns0:c r="F346" s="4">
        <ns0:v>7.06</ns0:v>
      </ns0:c>
      <ns0:c r="G346" s="4">
        <ns0:v>2.49</ns0:v>
      </ns0:c>
      <ns0:c r="H346" s="4">
        <ns0:v>4.45</ns0:v>
      </ns0:c>
      <ns0:c r="I346" s="4">
        <ns0:v>7.25</ns0:v>
      </ns0:c>
      <ns0:c r="J346" s="4">
        <ns0:v>4.87</ns0:v>
      </ns0:c>
      <ns0:c r="K346" s="4">
        <ns0:v>7.99</ns0:v>
      </ns0:c>
      <ns0:c r="L346" s="4">
        <ns0:v>3.64</ns0:v>
      </ns0:c>
      <ns0:c r="M346" s="4">
        <ns0:v>4.27</ns0:v>
      </ns0:c>
      <ns0:c r="N346" s="4">
        <ns0:v>5.18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2.96</ns0:v>
      </ns0:c>
      <ns0:c r="D347" s="4">
        <ns0:v>2.34</ns0:v>
      </ns0:c>
      <ns0:c r="E347" s="4">
        <ns0:v>4.54</ns0:v>
      </ns0:c>
      <ns0:c r="F347" s="4">
        <ns0:v>7.63</ns0:v>
      </ns0:c>
      <ns0:c r="G347" s="4">
        <ns0:v>8.06</ns0:v>
      </ns0:c>
      <ns0:c r="H347" s="4">
        <ns0:v>4.77</ns0:v>
      </ns0:c>
      <ns0:c r="I347" s="4">
        <ns0:v>3.01</ns0:v>
      </ns0:c>
      <ns0:c r="J347" s="4">
        <ns0:v>8.73</ns0:v>
      </ns0:c>
      <ns0:c r="K347" s="4">
        <ns0:v>3.05</ns0:v>
      </ns0:c>
      <ns0:c r="L347" s="4">
        <ns0:v>2.78</ns0:v>
      </ns0:c>
      <ns0:c r="M347" s="4">
        <ns0:v>1.95</ns0:v>
      </ns0:c>
      <ns0:c r="N347" s="4">
        <ns0:v>4.73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7.89</ns0:v>
      </ns0:c>
      <ns0:c r="D348" s="4">
        <ns0:v>3.76</ns0:v>
      </ns0:c>
      <ns0:c r="E348" s="4">
        <ns0:v>5.33</ns0:v>
      </ns0:c>
      <ns0:c r="F348" s="4">
        <ns0:v>8.04</ns0:v>
      </ns0:c>
      <ns0:c r="G348" s="4">
        <ns0:v>5.25</ns0:v>
      </ns0:c>
      <ns0:c r="H348" s="4">
        <ns0:v>6.40</ns0:v>
      </ns0:c>
      <ns0:c r="I348" s="4">
        <ns0:v>5.76</ns0:v>
      </ns0:c>
      <ns0:c r="J348" s="4">
        <ns0:v>2.27</ns0:v>
      </ns0:c>
      <ns0:c r="K348" s="4">
        <ns0:v>6.66</ns0:v>
      </ns0:c>
      <ns0:c r="L348" s="4">
        <ns0:v>2.85</ns0:v>
      </ns0:c>
      <ns0:c r="M348" s="4">
        <ns0:v>4.70</ns0:v>
      </ns0:c>
      <ns0:c r="N348" s="4">
        <ns0:v>9.52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7.85</ns0:v>
      </ns0:c>
      <ns0:c r="D350" s="4">
        <ns0:v>7.27</ns0:v>
      </ns0:c>
      <ns0:c r="E350" s="4">
        <ns0:v>2.33</ns0:v>
      </ns0:c>
      <ns0:c r="F350" s="4">
        <ns0:v>1.97</ns0:v>
      </ns0:c>
      <ns0:c r="G350" s="4">
        <ns0:v>3.30</ns0:v>
      </ns0:c>
      <ns0:c r="H350" s="4">
        <ns0:v>2.84</ns0:v>
      </ns0:c>
      <ns0:c r="I350" s="4">
        <ns0:v>8.89</ns0:v>
      </ns0:c>
      <ns0:c r="J350" s="4">
        <ns0:v>4.57</ns0:v>
      </ns0:c>
      <ns0:c r="K350" s="4">
        <ns0:v>7.03</ns0:v>
      </ns0:c>
      <ns0:c r="L350" s="4">
        <ns0:v>3.78</ns0:v>
      </ns0:c>
      <ns0:c r="M350" s="4">
        <ns0:v>3.75</ns0:v>
      </ns0:c>
      <ns0:c r="N350" s="4">
        <ns0:v>9.16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6.69</ns0:v>
      </ns0:c>
      <ns0:c r="D351" s="4">
        <ns0:v>8.65</ns0:v>
      </ns0:c>
      <ns0:c r="E351" s="4">
        <ns0:v>2.65</ns0:v>
      </ns0:c>
      <ns0:c r="F351" s="4">
        <ns0:v>6.01</ns0:v>
      </ns0:c>
      <ns0:c r="G351" s="4">
        <ns0:v>6.84</ns0:v>
      </ns0:c>
      <ns0:c r="H351" s="4">
        <ns0:v>6.75</ns0:v>
      </ns0:c>
      <ns0:c r="I351" s="4">
        <ns0:v>4.60</ns0:v>
      </ns0:c>
      <ns0:c r="J351" s="4">
        <ns0:v>6.27</ns0:v>
      </ns0:c>
      <ns0:c r="K351" s="4">
        <ns0:v>3.92</ns0:v>
      </ns0:c>
      <ns0:c r="L351" s="4">
        <ns0:v>5.46</ns0:v>
      </ns0:c>
      <ns0:c r="M351" s="4">
        <ns0:v>6.15</ns0:v>
      </ns0:c>
      <ns0:c r="N351" s="4">
        <ns0:v>3.70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7.14</ns0:v>
      </ns0:c>
      <ns0:c r="D352" s="4">
        <ns0:v>6.73</ns0:v>
      </ns0:c>
      <ns0:c r="E352" s="4">
        <ns0:v>6.30</ns0:v>
      </ns0:c>
      <ns0:c r="F352" s="4">
        <ns0:v>5.39</ns0:v>
      </ns0:c>
      <ns0:c r="G352" s="4">
        <ns0:v>7.82</ns0:v>
      </ns0:c>
      <ns0:c r="H352" s="4">
        <ns0:v>5.93</ns0:v>
      </ns0:c>
      <ns0:c r="I352" s="4">
        <ns0:v>7.09</ns0:v>
      </ns0:c>
      <ns0:c r="J352" s="4">
        <ns0:v>5.61</ns0:v>
      </ns0:c>
      <ns0:c r="K352" s="4">
        <ns0:v>3.74</ns0:v>
      </ns0:c>
      <ns0:c r="L352" s="4">
        <ns0:v>2.35</ns0:v>
      </ns0:c>
      <ns0:c r="M352" s="4">
        <ns0:v>6.96</ns0:v>
      </ns0:c>
      <ns0:c r="N352" s="4">
        <ns0:v>7.86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2.56</ns0:v>
      </ns0:c>
      <ns0:c r="D353" s="4">
        <ns0:v>6.48</ns0:v>
      </ns0:c>
      <ns0:c r="E353" s="4">
        <ns0:v>5.08</ns0:v>
      </ns0:c>
      <ns0:c r="F353" s="4">
        <ns0:v>5.68</ns0:v>
      </ns0:c>
      <ns0:c r="G353" s="4">
        <ns0:v>7.74</ns0:v>
      </ns0:c>
      <ns0:c r="H353" s="4">
        <ns0:v>4.09</ns0:v>
      </ns0:c>
      <ns0:c r="I353" s="4">
        <ns0:v>6.79</ns0:v>
      </ns0:c>
      <ns0:c r="J353" s="4">
        <ns0:v>3.51</ns0:v>
      </ns0:c>
      <ns0:c r="K353" s="4">
        <ns0:v>7.16</ns0:v>
      </ns0:c>
      <ns0:c r="L353" s="4">
        <ns0:v>6.61</ns0:v>
      </ns0:c>
      <ns0:c r="M353" s="4">
        <ns0:v>8.79</ns0:v>
      </ns0:c>
      <ns0:c r="N353" s="4">
        <ns0:v>9.01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9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其他主体费用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预算基础（月度，元）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129.98</ns0:v>
      </ns0:c>
      <ns0:c r="D4" s="3">
        <ns0:f>ROUND(D204*D324,2)</ns0:f>
        <ns0:v>100.91</ns0:v>
      </ns0:c>
      <ns0:c r="E4" s="3">
        <ns0:f>ROUND(E204*E324,2)</ns0:f>
        <ns0:v>189.64</ns0:v>
      </ns0:c>
      <ns0:c r="F4" s="3">
        <ns0:f>ROUND(F204*F324,2)</ns0:f>
        <ns0:v>327.26</ns0:v>
      </ns0:c>
      <ns0:c r="G4" s="3">
        <ns0:f>ROUND(G204*G324,2)</ns0:f>
        <ns0:v>51.56</ns0:v>
      </ns0:c>
      <ns0:c r="H4" s="3">
        <ns0:f>ROUND(H204*H324,2)</ns0:f>
        <ns0:v>243.24</ns0:v>
      </ns0:c>
      <ns0:c r="I4" s="3">
        <ns0:f>ROUND(I204*I324,2)</ns0:f>
        <ns0:v>482.05</ns0:v>
      </ns0:c>
      <ns0:c r="J4" s="3">
        <ns0:f>ROUND(J204*J324,2)</ns0:f>
        <ns0:v>330.85</ns0:v>
      </ns0:c>
      <ns0:c r="K4" s="3">
        <ns0:f>ROUND(K204*K324,2)</ns0:f>
        <ns0:v>223.02</ns0:v>
      </ns0:c>
      <ns0:c r="L4" s="3">
        <ns0:f>ROUND(L204*L324,2)</ns0:f>
        <ns0:v>145.83</ns0:v>
      </ns0:c>
      <ns0:c r="M4" s="3">
        <ns0:f>ROUND(M204*M324,2)</ns0:f>
        <ns0:v>272.24</ns0:v>
      </ns0:c>
      <ns0:c r="N4" s="3">
        <ns0:f>ROUND(N204*N324,2)</ns0:f>
        <ns0:v>180.41</ns0:v>
      </ns0:c>
      <ns0:c r="O4" s="3">
        <ns0:f>SUM(C4:N4)</ns0:f>
        <ns0:v>2676.99</ns0:v>
      </ns0:c>
      <ns0:c r="P4" s="2" t="inlineStr">
        <ns0:is>
          <ns0:t>EXP3.004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304.16</ns0:v>
      </ns0:c>
      <ns0:c r="D5" s="3">
        <ns0:f>ROUND(D205*D325,2)</ns0:f>
        <ns0:v>95.74</ns0:v>
      </ns0:c>
      <ns0:c r="E5" s="3">
        <ns0:f>ROUND(E205*E325,2)</ns0:f>
        <ns0:v>315.08</ns0:v>
      </ns0:c>
      <ns0:c r="F5" s="3">
        <ns0:f>ROUND(F205*F325,2)</ns0:f>
        <ns0:v>92.74</ns0:v>
      </ns0:c>
      <ns0:c r="G5" s="3">
        <ns0:f>ROUND(G205*G325,2)</ns0:f>
        <ns0:v>394.86</ns0:v>
      </ns0:c>
      <ns0:c r="H5" s="3">
        <ns0:f>ROUND(H205*H325,2)</ns0:f>
        <ns0:v>88.23</ns0:v>
      </ns0:c>
      <ns0:c r="I5" s="3">
        <ns0:f>ROUND(I205*I325,2)</ns0:f>
        <ns0:v>332.60</ns0:v>
      </ns0:c>
      <ns0:c r="J5" s="3">
        <ns0:f>ROUND(J205*J325,2)</ns0:f>
        <ns0:v>230.91</ns0:v>
      </ns0:c>
      <ns0:c r="K5" s="3">
        <ns0:f>ROUND(K205*K325,2)</ns0:f>
        <ns0:v>426.93</ns0:v>
      </ns0:c>
      <ns0:c r="L5" s="3">
        <ns0:f>ROUND(L205*L325,2)</ns0:f>
        <ns0:v>70.93</ns0:v>
      </ns0:c>
      <ns0:c r="M5" s="3">
        <ns0:f>ROUND(M205*M325,2)</ns0:f>
        <ns0:v>183.34</ns0:v>
      </ns0:c>
      <ns0:c r="N5" s="3">
        <ns0:f>ROUND(N205*N325,2)</ns0:f>
        <ns0:v>229.55</ns0:v>
      </ns0:c>
      <ns0:c r="O5" s="3">
        <ns0:f>SUM(C5:N5)</ns0:f>
        <ns0:v>2765.07</ns0:v>
      </ns0:c>
      <ns0:c r="P5" s="2" t="inlineStr">
        <ns0:is>
          <ns0:t>EXP3.005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117.37</ns0:v>
      </ns0:c>
      <ns0:c r="D6" s="3">
        <ns0:f>ROUND(D206*D326,2)</ns0:f>
        <ns0:v>44.32</ns0:v>
      </ns0:c>
      <ns0:c r="E6" s="3">
        <ns0:f>ROUND(E206*E326,2)</ns0:f>
        <ns0:v>78.64</ns0:v>
      </ns0:c>
      <ns0:c r="F6" s="3">
        <ns0:f>ROUND(F206*F326,2)</ns0:f>
        <ns0:v>249.34</ns0:v>
      </ns0:c>
      <ns0:c r="G6" s="3">
        <ns0:f>ROUND(G206*G326,2)</ns0:f>
        <ns0:v>396.28</ns0:v>
      </ns0:c>
      <ns0:c r="H6" s="3">
        <ns0:f>ROUND(H206*H326,2)</ns0:f>
        <ns0:v>59.75</ns0:v>
      </ns0:c>
      <ns0:c r="I6" s="3">
        <ns0:f>ROUND(I206*I326,2)</ns0:f>
        <ns0:v>261.35</ns0:v>
      </ns0:c>
      <ns0:c r="J6" s="3">
        <ns0:f>ROUND(J206*J326,2)</ns0:f>
        <ns0:v>88.70</ns0:v>
      </ns0:c>
      <ns0:c r="K6" s="3">
        <ns0:f>ROUND(K206*K326,2)</ns0:f>
        <ns0:v>164.50</ns0:v>
      </ns0:c>
      <ns0:c r="L6" s="3">
        <ns0:f>ROUND(L206*L326,2)</ns0:f>
        <ns0:v>270.65</ns0:v>
      </ns0:c>
      <ns0:c r="M6" s="3">
        <ns0:f>ROUND(M206*M326,2)</ns0:f>
        <ns0:v>163.76</ns0:v>
      </ns0:c>
      <ns0:c r="N6" s="3">
        <ns0:f>ROUND(N206*N326,2)</ns0:f>
        <ns0:v>345.14</ns0:v>
      </ns0:c>
      <ns0:c r="O6" s="3">
        <ns0:f>SUM(C6:N6)</ns0:f>
        <ns0:v>2239.80</ns0:v>
      </ns0:c>
      <ns0:c r="P6" s="2" t="inlineStr">
        <ns0:is>
          <ns0:t>EXP3.006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423.35</ns0:v>
      </ns0:c>
      <ns0:c r="D7" s="3">
        <ns0:f>ROUND(D207*D327,2)</ns0:f>
        <ns0:v>148.67</ns0:v>
      </ns0:c>
      <ns0:c r="E7" s="3">
        <ns0:f>ROUND(E207*E327,2)</ns0:f>
        <ns0:v>270.07</ns0:v>
      </ns0:c>
      <ns0:c r="F7" s="3">
        <ns0:f>ROUND(F207*F327,2)</ns0:f>
        <ns0:v>435.16</ns0:v>
      </ns0:c>
      <ns0:c r="G7" s="3">
        <ns0:f>ROUND(G207*G327,2)</ns0:f>
        <ns0:v>492.76</ns0:v>
      </ns0:c>
      <ns0:c r="H7" s="3">
        <ns0:f>ROUND(H207*H327,2)</ns0:f>
        <ns0:v>467.87</ns0:v>
      </ns0:c>
      <ns0:c r="I7" s="3">
        <ns0:f>ROUND(I207*I327,2)</ns0:f>
        <ns0:v>180.34</ns0:v>
      </ns0:c>
      <ns0:c r="J7" s="3">
        <ns0:f>ROUND(J207*J327,2)</ns0:f>
        <ns0:v>282.16</ns0:v>
      </ns0:c>
      <ns0:c r="K7" s="3">
        <ns0:f>ROUND(K207*K327,2)</ns0:f>
        <ns0:v>180.61</ns0:v>
      </ns0:c>
      <ns0:c r="L7" s="3">
        <ns0:f>ROUND(L207*L327,2)</ns0:f>
        <ns0:v>48.52</ns0:v>
      </ns0:c>
      <ns0:c r="M7" s="3">
        <ns0:f>ROUND(M207*M327,2)</ns0:f>
        <ns0:v>197.97</ns0:v>
      </ns0:c>
      <ns0:c r="N7" s="3">
        <ns0:f>ROUND(N207*N327,2)</ns0:f>
        <ns0:v>136.89</ns0:v>
      </ns0:c>
      <ns0:c r="O7" s="3">
        <ns0:f>SUM(C7:N7)</ns0:f>
        <ns0:v>3264.37</ns0:v>
      </ns0:c>
      <ns0:c r="P7" s="2" t="inlineStr">
        <ns0:is>
          <ns0:t>EXP3.007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82.98</ns0:v>
      </ns0:c>
      <ns0:c r="D8" s="3">
        <ns0:f>ROUND(D208*D328,2)</ns0:f>
        <ns0:v>182.25</ns0:v>
      </ns0:c>
      <ns0:c r="E8" s="3">
        <ns0:f>ROUND(E208*E328,2)</ns0:f>
        <ns0:v>81.61</ns0:v>
      </ns0:c>
      <ns0:c r="F8" s="3">
        <ns0:f>ROUND(F208*F328,2)</ns0:f>
        <ns0:v>367.47</ns0:v>
      </ns0:c>
      <ns0:c r="G8" s="3">
        <ns0:f>ROUND(G208*G328,2)</ns0:f>
        <ns0:v>92.29</ns0:v>
      </ns0:c>
      <ns0:c r="H8" s="3">
        <ns0:f>ROUND(H208*H328,2)</ns0:f>
        <ns0:v>301.47</ns0:v>
      </ns0:c>
      <ns0:c r="I8" s="3">
        <ns0:f>ROUND(I208*I328,2)</ns0:f>
        <ns0:v>362.23</ns0:v>
      </ns0:c>
      <ns0:c r="J8" s="3">
        <ns0:f>ROUND(J208*J328,2)</ns0:f>
        <ns0:v>554.11</ns0:v>
      </ns0:c>
      <ns0:c r="K8" s="3">
        <ns0:f>ROUND(K208*K328,2)</ns0:f>
        <ns0:v>234.14</ns0:v>
      </ns0:c>
      <ns0:c r="L8" s="3">
        <ns0:f>ROUND(L208*L328,2)</ns0:f>
        <ns0:v>128.37</ns0:v>
      </ns0:c>
      <ns0:c r="M8" s="3">
        <ns0:f>ROUND(M208*M328,2)</ns0:f>
        <ns0:v>175.25</ns0:v>
      </ns0:c>
      <ns0:c r="N8" s="3">
        <ns0:f>ROUND(N208*N328,2)</ns0:f>
        <ns0:v>512.26</ns0:v>
      </ns0:c>
      <ns0:c r="O8" s="3">
        <ns0:f>SUM(C8:N8)</ns0:f>
        <ns0:v>3074.43</ns0:v>
      </ns0:c>
      <ns0:c r="P8" s="2" t="inlineStr">
        <ns0:is>
          <ns0:t>EXP3.008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361.91</ns0:v>
      </ns0:c>
      <ns0:c r="D9" s="3">
        <ns0:f>ROUND(D209*D329,2)</ns0:f>
        <ns0:v>406.26</ns0:v>
      </ns0:c>
      <ns0:c r="E9" s="3">
        <ns0:f>ROUND(E209*E329,2)</ns0:f>
        <ns0:v>234.66</ns0:v>
      </ns0:c>
      <ns0:c r="F9" s="3">
        <ns0:f>ROUND(F209*F329,2)</ns0:f>
        <ns0:v>147.53</ns0:v>
      </ns0:c>
      <ns0:c r="G9" s="3">
        <ns0:f>ROUND(G209*G329,2)</ns0:f>
        <ns0:v>223.40</ns0:v>
      </ns0:c>
      <ns0:c r="H9" s="3">
        <ns0:f>ROUND(H209*H329,2)</ns0:f>
        <ns0:v>272.98</ns0:v>
      </ns0:c>
      <ns0:c r="I9" s="3">
        <ns0:f>ROUND(I209*I329,2)</ns0:f>
        <ns0:v>363.61</ns0:v>
      </ns0:c>
      <ns0:c r="J9" s="3">
        <ns0:f>ROUND(J209*J329,2)</ns0:f>
        <ns0:v>106.15</ns0:v>
      </ns0:c>
      <ns0:c r="K9" s="3">
        <ns0:f>ROUND(K209*K329,2)</ns0:f>
        <ns0:v>213.75</ns0:v>
      </ns0:c>
      <ns0:c r="L9" s="3">
        <ns0:f>ROUND(L209*L329,2)</ns0:f>
        <ns0:v>357.52</ns0:v>
      </ns0:c>
      <ns0:c r="M9" s="3">
        <ns0:f>ROUND(M209*M329,2)</ns0:f>
        <ns0:v>152.24</ns0:v>
      </ns0:c>
      <ns0:c r="N9" s="3">
        <ns0:f>ROUND(N209*N329,2)</ns0:f>
        <ns0:v>108.76</ns0:v>
      </ns0:c>
      <ns0:c r="O9" s="3">
        <ns0:f>SUM(C9:N9)</ns0:f>
        <ns0:v>2948.77</ns0:v>
      </ns0:c>
      <ns0:c r="P9" s="2" t="inlineStr">
        <ns0:is>
          <ns0:t>EXP3.009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248.68</ns0:v>
      </ns0:c>
      <ns0:c r="D10" s="3">
        <ns0:f>ROUND(D210*D330,2)</ns0:f>
        <ns0:v>240.64</ns0:v>
      </ns0:c>
      <ns0:c r="E10" s="3">
        <ns0:f>ROUND(E210*E330,2)</ns0:f>
        <ns0:v>182.08</ns0:v>
      </ns0:c>
      <ns0:c r="F10" s="3">
        <ns0:f>ROUND(F210*F330,2)</ns0:f>
        <ns0:v>587.81</ns0:v>
      </ns0:c>
      <ns0:c r="G10" s="3">
        <ns0:f>ROUND(G210*G330,2)</ns0:f>
        <ns0:v>435.54</ns0:v>
      </ns0:c>
      <ns0:c r="H10" s="3">
        <ns0:f>ROUND(H210*H330,2)</ns0:f>
        <ns0:v>197.76</ns0:v>
      </ns0:c>
      <ns0:c r="I10" s="3">
        <ns0:f>ROUND(I210*I330,2)</ns0:f>
        <ns0:v>353.28</ns0:v>
      </ns0:c>
      <ns0:c r="J10" s="3">
        <ns0:f>ROUND(J210*J330,2)</ns0:f>
        <ns0:v>158.22</ns0:v>
      </ns0:c>
      <ns0:c r="K10" s="3">
        <ns0:f>ROUND(K210*K330,2)</ns0:f>
        <ns0:v>347.66</ns0:v>
      </ns0:c>
      <ns0:c r="L10" s="3">
        <ns0:f>ROUND(L210*L330,2)</ns0:f>
        <ns0:v>54.43</ns0:v>
      </ns0:c>
      <ns0:c r="M10" s="3">
        <ns0:f>ROUND(M210*M330,2)</ns0:f>
        <ns0:v>80.82</ns0:v>
      </ns0:c>
      <ns0:c r="N10" s="3">
        <ns0:f>ROUND(N210*N330,2)</ns0:f>
        <ns0:v>164.98</ns0:v>
      </ns0:c>
      <ns0:c r="O10" s="3">
        <ns0:f>SUM(C10:N10)</ns0:f>
        <ns0:v>3051.90</ns0:v>
      </ns0:c>
      <ns0:c r="P10" s="2" t="inlineStr">
        <ns0:is>
          <ns0:t>EXP3.010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194.20</ns0:v>
      </ns0:c>
      <ns0:c r="D11" s="3">
        <ns0:f>ROUND(D211*D331,2)</ns0:f>
        <ns0:v>459.53</ns0:v>
      </ns0:c>
      <ns0:c r="E11" s="3">
        <ns0:f>ROUND(E211*E331,2)</ns0:f>
        <ns0:v>245.18</ns0:v>
      </ns0:c>
      <ns0:c r="F11" s="3">
        <ns0:f>ROUND(F211*F331,2)</ns0:f>
        <ns0:v>247.35</ns0:v>
      </ns0:c>
      <ns0:c r="G11" s="3">
        <ns0:f>ROUND(G211*G331,2)</ns0:f>
        <ns0:v>335.49</ns0:v>
      </ns0:c>
      <ns0:c r="H11" s="3">
        <ns0:f>ROUND(H211*H331,2)</ns0:f>
        <ns0:v>139.34</ns0:v>
      </ns0:c>
      <ns0:c r="I11" s="3">
        <ns0:f>ROUND(I211*I331,2)</ns0:f>
        <ns0:v>358.07</ns0:v>
      </ns0:c>
      <ns0:c r="J11" s="3">
        <ns0:f>ROUND(J211*J331,2)</ns0:f>
        <ns0:v>245.43</ns0:v>
      </ns0:c>
      <ns0:c r="K11" s="3">
        <ns0:f>ROUND(K211*K331,2)</ns0:f>
        <ns0:v>314.67</ns0:v>
      </ns0:c>
      <ns0:c r="L11" s="3">
        <ns0:f>ROUND(L211*L331,2)</ns0:f>
        <ns0:v>114.65</ns0:v>
      </ns0:c>
      <ns0:c r="M11" s="3">
        <ns0:f>ROUND(M211*M331,2)</ns0:f>
        <ns0:v>253.44</ns0:v>
      </ns0:c>
      <ns0:c r="N11" s="3">
        <ns0:f>ROUND(N211*N331,2)</ns0:f>
        <ns0:v>267.88</ns0:v>
      </ns0:c>
      <ns0:c r="O11" s="3">
        <ns0:f>SUM(C11:N11)</ns0:f>
        <ns0:v>3175.23</ns0:v>
      </ns0:c>
      <ns0:c r="P11" s="2" t="inlineStr">
        <ns0:is>
          <ns0:t>EXP3.011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259.91</ns0:v>
      </ns0:c>
      <ns0:c r="D12" s="3">
        <ns0:f>ROUND(D212*D332,2)</ns0:f>
        <ns0:v>247.80</ns0:v>
      </ns0:c>
      <ns0:c r="E12" s="3">
        <ns0:f>ROUND(E212*E332,2)</ns0:f>
        <ns0:v>266.76</ns0:v>
      </ns0:c>
      <ns0:c r="F12" s="3">
        <ns0:f>ROUND(F212*F332,2)</ns0:f>
        <ns0:v>224.98</ns0:v>
      </ns0:c>
      <ns0:c r="G12" s="3">
        <ns0:f>ROUND(G212*G332,2)</ns0:f>
        <ns0:v>497.77</ns0:v>
      </ns0:c>
      <ns0:c r="H12" s="3">
        <ns0:f>ROUND(H212*H332,2)</ns0:f>
        <ns0:v>336.32</ns0:v>
      </ns0:c>
      <ns0:c r="I12" s="3">
        <ns0:f>ROUND(I212*I332,2)</ns0:f>
        <ns0:v>152.22</ns0:v>
      </ns0:c>
      <ns0:c r="J12" s="3">
        <ns0:f>ROUND(J212*J332,2)</ns0:f>
        <ns0:v>322.74</ns0:v>
      </ns0:c>
      <ns0:c r="K12" s="3">
        <ns0:f>ROUND(K212*K332,2)</ns0:f>
        <ns0:v>357.87</ns0:v>
      </ns0:c>
      <ns0:c r="L12" s="3">
        <ns0:f>ROUND(L212*L332,2)</ns0:f>
        <ns0:v>137.52</ns0:v>
      </ns0:c>
      <ns0:c r="M12" s="3">
        <ns0:f>ROUND(M212*M332,2)</ns0:f>
        <ns0:v>110.61</ns0:v>
      </ns0:c>
      <ns0:c r="N12" s="3">
        <ns0:f>ROUND(N212*N332,2)</ns0:f>
        <ns0:v>237.15</ns0:v>
      </ns0:c>
      <ns0:c r="O12" s="3">
        <ns0:f>SUM(C12:N12)</ns0:f>
        <ns0:v>3151.65</ns0:v>
      </ns0:c>
      <ns0:c r="P12" s="2" t="inlineStr">
        <ns0:is>
          <ns0:t>EXP3.012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142.20</ns0:v>
      </ns0:c>
      <ns0:c r="D13" s="3">
        <ns0:f>ROUND(D213*D333,2)</ns0:f>
        <ns0:v>522.77</ns0:v>
      </ns0:c>
      <ns0:c r="E13" s="3">
        <ns0:f>ROUND(E213*E333,2)</ns0:f>
        <ns0:v>168.74</ns0:v>
      </ns0:c>
      <ns0:c r="F13" s="3">
        <ns0:f>ROUND(F213*F333,2)</ns0:f>
        <ns0:v>208.19</ns0:v>
      </ns0:c>
      <ns0:c r="G13" s="3">
        <ns0:f>ROUND(G213*G333,2)</ns0:f>
        <ns0:v>203.77</ns0:v>
      </ns0:c>
      <ns0:c r="H13" s="3">
        <ns0:f>ROUND(H213*H333,2)</ns0:f>
        <ns0:v>180.92</ns0:v>
      </ns0:c>
      <ns0:c r="I13" s="3">
        <ns0:f>ROUND(I213*I333,2)</ns0:f>
        <ns0:v>596.63</ns0:v>
      </ns0:c>
      <ns0:c r="J13" s="3">
        <ns0:f>ROUND(J213*J333,2)</ns0:f>
        <ns0:v>321.89</ns0:v>
      </ns0:c>
      <ns0:c r="K13" s="3">
        <ns0:f>ROUND(K213*K333,2)</ns0:f>
        <ns0:v>478.47</ns0:v>
      </ns0:c>
      <ns0:c r="L13" s="3">
        <ns0:f>ROUND(L213*L333,2)</ns0:f>
        <ns0:v>327.55</ns0:v>
      </ns0:c>
      <ns0:c r="M13" s="3">
        <ns0:f>ROUND(M213*M333,2)</ns0:f>
        <ns0:v>449.15</ns0:v>
      </ns0:c>
      <ns0:c r="N13" s="3">
        <ns0:f>ROUND(N213*N333,2)</ns0:f>
        <ns0:v>259.74</ns0:v>
      </ns0:c>
      <ns0:c r="O13" s="3">
        <ns0:f>SUM(C13:N13)</ns0:f>
        <ns0:v>3860.02</ns0:v>
      </ns0:c>
      <ns0:c r="P13" s="2" t="inlineStr">
        <ns0:is>
          <ns0:t>EXP3.013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276.40</ns0:v>
      </ns0:c>
      <ns0:c r="D14" s="3">
        <ns0:f>ROUND(D214*D334,2)</ns0:f>
        <ns0:v>60.40</ns0:v>
      </ns0:c>
      <ns0:c r="E14" s="3">
        <ns0:f>ROUND(E214*E334,2)</ns0:f>
        <ns0:v>404.12</ns0:v>
      </ns0:c>
      <ns0:c r="F14" s="3">
        <ns0:f>ROUND(F214*F334,2)</ns0:f>
        <ns0:v>126.09</ns0:v>
      </ns0:c>
      <ns0:c r="G14" s="3">
        <ns0:f>ROUND(G214*G334,2)</ns0:f>
        <ns0:v>266.72</ns0:v>
      </ns0:c>
      <ns0:c r="H14" s="3">
        <ns0:f>ROUND(H214*H334,2)</ns0:f>
        <ns0:v>171.33</ns0:v>
      </ns0:c>
      <ns0:c r="I14" s="3">
        <ns0:f>ROUND(I214*I334,2)</ns0:f>
        <ns0:v>376.38</ns0:v>
      </ns0:c>
      <ns0:c r="J14" s="3">
        <ns0:f>ROUND(J214*J334,2)</ns0:f>
        <ns0:v>205.93</ns0:v>
      </ns0:c>
      <ns0:c r="K14" s="3">
        <ns0:f>ROUND(K214*K334,2)</ns0:f>
        <ns0:v>430.75</ns0:v>
      </ns0:c>
      <ns0:c r="L14" s="3">
        <ns0:f>ROUND(L214*L334,2)</ns0:f>
        <ns0:v>266.37</ns0:v>
      </ns0:c>
      <ns0:c r="M14" s="3">
        <ns0:f>ROUND(M214*M334,2)</ns0:f>
        <ns0:v>278.72</ns0:v>
      </ns0:c>
      <ns0:c r="N14" s="3">
        <ns0:f>ROUND(N214*N334,2)</ns0:f>
        <ns0:v>385.11</ns0:v>
      </ns0:c>
      <ns0:c r="O14" s="3">
        <ns0:f>SUM(C14:N14)</ns0:f>
        <ns0:v>3248.32</ns0:v>
      </ns0:c>
      <ns0:c r="P14" s="2" t="inlineStr">
        <ns0:is>
          <ns0:t>EXP3.014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131.19</ns0:v>
      </ns0:c>
      <ns0:c r="D15" s="3">
        <ns0:f>ROUND(D215*D335,2)</ns0:f>
        <ns0:v>127.30</ns0:v>
      </ns0:c>
      <ns0:c r="E15" s="3">
        <ns0:f>ROUND(E215*E335,2)</ns0:f>
        <ns0:v>85.45</ns0:v>
      </ns0:c>
      <ns0:c r="F15" s="3">
        <ns0:f>ROUND(F215*F335,2)</ns0:f>
        <ns0:v>190.06</ns0:v>
      </ns0:c>
      <ns0:c r="G15" s="3">
        <ns0:f>ROUND(G215*G335,2)</ns0:f>
        <ns0:v>110.88</ns0:v>
      </ns0:c>
      <ns0:c r="H15" s="3">
        <ns0:f>ROUND(H215*H335,2)</ns0:f>
        <ns0:v>288.27</ns0:v>
      </ns0:c>
      <ns0:c r="I15" s="3">
        <ns0:f>ROUND(I215*I335,2)</ns0:f>
        <ns0:v>210.89</ns0:v>
      </ns0:c>
      <ns0:c r="J15" s="3">
        <ns0:f>ROUND(J215*J335,2)</ns0:f>
        <ns0:v>136.04</ns0:v>
      </ns0:c>
      <ns0:c r="K15" s="3">
        <ns0:f>ROUND(K215*K335,2)</ns0:f>
        <ns0:v>431.56</ns0:v>
      </ns0:c>
      <ns0:c r="L15" s="3">
        <ns0:f>ROUND(L215*L335,2)</ns0:f>
        <ns0:v>143.70</ns0:v>
      </ns0:c>
      <ns0:c r="M15" s="3">
        <ns0:f>ROUND(M215*M335,2)</ns0:f>
        <ns0:v>112.59</ns0:v>
      </ns0:c>
      <ns0:c r="N15" s="3">
        <ns0:f>ROUND(N215*N335,2)</ns0:f>
        <ns0:v>588.86</ns0:v>
      </ns0:c>
      <ns0:c r="O15" s="3">
        <ns0:f>SUM(C15:N15)</ns0:f>
        <ns0:v>2556.79</ns0:v>
      </ns0:c>
      <ns0:c r="P15" s="2" t="inlineStr">
        <ns0:is>
          <ns0:t>EXP3.015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73.52</ns0:v>
      </ns0:c>
      <ns0:c r="D16" s="3">
        <ns0:f>ROUND(D216*D336,2)</ns0:f>
        <ns0:v>113.86</ns0:v>
      </ns0:c>
      <ns0:c r="E16" s="3">
        <ns0:f>ROUND(E216*E336,2)</ns0:f>
        <ns0:v>78.70</ns0:v>
      </ns0:c>
      <ns0:c r="F16" s="3">
        <ns0:f>ROUND(F216*F336,2)</ns0:f>
        <ns0:v>99.68</ns0:v>
      </ns0:c>
      <ns0:c r="G16" s="3">
        <ns0:f>ROUND(G216*G336,2)</ns0:f>
        <ns0:v>265.93</ns0:v>
      </ns0:c>
      <ns0:c r="H16" s="3">
        <ns0:f>ROUND(H216*H336,2)</ns0:f>
        <ns0:v>122.51</ns0:v>
      </ns0:c>
      <ns0:c r="I16" s="3">
        <ns0:f>ROUND(I216*I336,2)</ns0:f>
        <ns0:v>144.05</ns0:v>
      </ns0:c>
      <ns0:c r="J16" s="3">
        <ns0:f>ROUND(J216*J336,2)</ns0:f>
        <ns0:v>426.62</ns0:v>
      </ns0:c>
      <ns0:c r="K16" s="3">
        <ns0:f>ROUND(K216*K336,2)</ns0:f>
        <ns0:v>109.53</ns0:v>
      </ns0:c>
      <ns0:c r="L16" s="3">
        <ns0:f>ROUND(L216*L336,2)</ns0:f>
        <ns0:v>324.48</ns0:v>
      </ns0:c>
      <ns0:c r="M16" s="3">
        <ns0:f>ROUND(M216*M336,2)</ns0:f>
        <ns0:v>111.29</ns0:v>
      </ns0:c>
      <ns0:c r="N16" s="3">
        <ns0:f>ROUND(N216*N336,2)</ns0:f>
        <ns0:v>109.56</ns0:v>
      </ns0:c>
      <ns0:c r="O16" s="3">
        <ns0:f>SUM(C16:N16)</ns0:f>
        <ns0:v>1979.73</ns0:v>
      </ns0:c>
      <ns0:c r="P16" s="2" t="inlineStr">
        <ns0:is>
          <ns0:t>EXP3.016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89.56</ns0:v>
      </ns0:c>
      <ns0:c r="D17" s="3">
        <ns0:f>ROUND(D217*D337,2)</ns0:f>
        <ns0:v>345.28</ns0:v>
      </ns0:c>
      <ns0:c r="E17" s="3">
        <ns0:f>ROUND(E217*E337,2)</ns0:f>
        <ns0:v>74.19</ns0:v>
      </ns0:c>
      <ns0:c r="F17" s="3">
        <ns0:f>ROUND(F217*F337,2)</ns0:f>
        <ns0:v>523.81</ns0:v>
      </ns0:c>
      <ns0:c r="G17" s="3">
        <ns0:f>ROUND(G217*G337,2)</ns0:f>
        <ns0:v>209.28</ns0:v>
      </ns0:c>
      <ns0:c r="H17" s="3">
        <ns0:f>ROUND(H217*H337,2)</ns0:f>
        <ns0:v>164.42</ns0:v>
      </ns0:c>
      <ns0:c r="I17" s="3">
        <ns0:f>ROUND(I217*I337,2)</ns0:f>
        <ns0:v>138.05</ns0:v>
      </ns0:c>
      <ns0:c r="J17" s="3">
        <ns0:f>ROUND(J217*J337,2)</ns0:f>
        <ns0:v>162.72</ns0:v>
      </ns0:c>
      <ns0:c r="K17" s="3">
        <ns0:f>ROUND(K217*K337,2)</ns0:f>
        <ns0:v>207.12</ns0:v>
      </ns0:c>
      <ns0:c r="L17" s="3">
        <ns0:f>ROUND(L217*L337,2)</ns0:f>
        <ns0:v>383.03</ns0:v>
      </ns0:c>
      <ns0:c r="M17" s="3">
        <ns0:f>ROUND(M217*M337,2)</ns0:f>
        <ns0:v>166.28</ns0:v>
      </ns0:c>
      <ns0:c r="N17" s="3">
        <ns0:f>ROUND(N217*N337,2)</ns0:f>
        <ns0:v>504.70</ns0:v>
      </ns0:c>
      <ns0:c r="O17" s="3">
        <ns0:f>SUM(C17:N17)</ns0:f>
        <ns0:v>2968.44</ns0:v>
      </ns0:c>
      <ns0:c r="P17" s="2" t="inlineStr">
        <ns0:is>
          <ns0:t>EXP3.017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132.17</ns0:v>
      </ns0:c>
      <ns0:c r="D18" s="3">
        <ns0:f>ROUND(D218*D338,2)</ns0:f>
        <ns0:v>144.65</ns0:v>
      </ns0:c>
      <ns0:c r="E18" s="3">
        <ns0:f>ROUND(E218*E338,2)</ns0:f>
        <ns0:v>138.02</ns0:v>
      </ns0:c>
      <ns0:c r="F18" s="3">
        <ns0:f>ROUND(F218*F338,2)</ns0:f>
        <ns0:v>154.58</ns0:v>
      </ns0:c>
      <ns0:c r="G18" s="3">
        <ns0:f>ROUND(G218*G338,2)</ns0:f>
        <ns0:v>185.56</ns0:v>
      </ns0:c>
      <ns0:c r="H18" s="3">
        <ns0:f>ROUND(H218*H338,2)</ns0:f>
        <ns0:v>181.87</ns0:v>
      </ns0:c>
      <ns0:c r="I18" s="3">
        <ns0:f>ROUND(I218*I338,2)</ns0:f>
        <ns0:v>203.90</ns0:v>
      </ns0:c>
      <ns0:c r="J18" s="3">
        <ns0:f>ROUND(J218*J338,2)</ns0:f>
        <ns0:v>78.47</ns0:v>
      </ns0:c>
      <ns0:c r="K18" s="3">
        <ns0:f>ROUND(K218*K338,2)</ns0:f>
        <ns0:v>388.98</ns0:v>
      </ns0:c>
      <ns0:c r="L18" s="3">
        <ns0:f>ROUND(L218*L338,2)</ns0:f>
        <ns0:v>151.84</ns0:v>
      </ns0:c>
      <ns0:c r="M18" s="3">
        <ns0:f>ROUND(M218*M338,2)</ns0:f>
        <ns0:v>70.70</ns0:v>
      </ns0:c>
      <ns0:c r="N18" s="3">
        <ns0:f>ROUND(N218*N338,2)</ns0:f>
        <ns0:v>301.46</ns0:v>
      </ns0:c>
      <ns0:c r="O18" s="3">
        <ns0:f>SUM(C18:N18)</ns0:f>
        <ns0:v>2132.20</ns0:v>
      </ns0:c>
      <ns0:c r="P18" s="2" t="inlineStr">
        <ns0:is>
          <ns0:t>EXP3.018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198.61</ns0:v>
      </ns0:c>
      <ns0:c r="D19" s="3">
        <ns0:f>ROUND(D219*D339,2)</ns0:f>
        <ns0:v>131.52</ns0:v>
      </ns0:c>
      <ns0:c r="E19" s="3">
        <ns0:f>ROUND(E219*E339,2)</ns0:f>
        <ns0:v>526.90</ns0:v>
      </ns0:c>
      <ns0:c r="F19" s="3">
        <ns0:f>ROUND(F219*F339,2)</ns0:f>
        <ns0:v>325.82</ns0:v>
      </ns0:c>
      <ns0:c r="G19" s="3">
        <ns0:f>ROUND(G219*G339,2)</ns0:f>
        <ns0:v>316.15</ns0:v>
      </ns0:c>
      <ns0:c r="H19" s="3">
        <ns0:f>ROUND(H219*H339,2)</ns0:f>
        <ns0:v>385.30</ns0:v>
      </ns0:c>
      <ns0:c r="I19" s="3">
        <ns0:f>ROUND(I219*I339,2)</ns0:f>
        <ns0:v>233.33</ns0:v>
      </ns0:c>
      <ns0:c r="J19" s="3">
        <ns0:f>ROUND(J219*J339,2)</ns0:f>
        <ns0:v>209.14</ns0:v>
      </ns0:c>
      <ns0:c r="K19" s="3">
        <ns0:f>ROUND(K219*K339,2)</ns0:f>
        <ns0:v>224.25</ns0:v>
      </ns0:c>
      <ns0:c r="L19" s="3">
        <ns0:f>ROUND(L219*L339,2)</ns0:f>
        <ns0:v>58.59</ns0:v>
      </ns0:c>
      <ns0:c r="M19" s="3">
        <ns0:f>ROUND(M219*M339,2)</ns0:f>
        <ns0:v>114.33</ns0:v>
      </ns0:c>
      <ns0:c r="N19" s="3">
        <ns0:f>ROUND(N219*N339,2)</ns0:f>
        <ns0:v>398.62</ns0:v>
      </ns0:c>
      <ns0:c r="O19" s="3">
        <ns0:f>SUM(C19:N19)</ns0:f>
        <ns0:v>3122.56</ns0:v>
      </ns0:c>
      <ns0:c r="P19" s="2" t="inlineStr">
        <ns0:is>
          <ns0:t>EXP3.019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509.97</ns0:v>
      </ns0:c>
      <ns0:c r="D20" s="3">
        <ns0:f>ROUND('摊销明细'!D33/3,2)</ns0:f>
        <ns0:v>509.97</ns0:v>
      </ns0:c>
      <ns0:c r="E20" s="3">
        <ns0:f>ROUND('摊销明细'!E33/3,2)</ns0:f>
        <ns0:v>509.97</ns0:v>
      </ns0:c>
      <ns0:c r="F20" s="3">
        <ns0:f>ROUND('摊销明细'!F33/3,2)</ns0:f>
        <ns0:v>509.97</ns0:v>
      </ns0:c>
      <ns0:c r="G20" s="3">
        <ns0:f>ROUND('摊销明细'!G33/3,2)</ns0:f>
        <ns0:v>509.97</ns0:v>
      </ns0:c>
      <ns0:c r="H20" s="3">
        <ns0:f>ROUND('摊销明细'!H33/3,2)</ns0:f>
        <ns0:v>509.97</ns0:v>
      </ns0:c>
      <ns0:c r="I20" s="3">
        <ns0:f>ROUND('摊销明细'!I33/3,2)</ns0:f>
        <ns0:v>509.97</ns0:v>
      </ns0:c>
      <ns0:c r="J20" s="3">
        <ns0:f>ROUND('摊销明细'!J33/3,2)</ns0:f>
        <ns0:v>509.97</ns0:v>
      </ns0:c>
      <ns0:c r="K20" s="3">
        <ns0:f>ROUND('摊销明细'!K33/3,2)</ns0:f>
        <ns0:v>509.97</ns0:v>
      </ns0:c>
      <ns0:c r="L20" s="3">
        <ns0:f>ROUND('摊销明细'!L33/3,2)</ns0:f>
        <ns0:v>509.97</ns0:v>
      </ns0:c>
      <ns0:c r="M20" s="3">
        <ns0:f>ROUND('摊销明细'!M33/3,2)</ns0:f>
        <ns0:v>509.97</ns0:v>
      </ns0:c>
      <ns0:c r="N20" s="3">
        <ns0:f>ROUND('摊销明细'!N33/3,2)</ns0:f>
        <ns0:v>509.97</ns0:v>
      </ns0:c>
      <ns0:c r="O20" s="3">
        <ns0:f>SUM(C20:N20)</ns0:f>
        <ns0:v>6119.64</ns0:v>
      </ns0:c>
      <ns0:c r="P20" s="2" t="inlineStr">
        <ns0:is>
          <ns0:t>EXP3.020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138.59</ns0:v>
      </ns0:c>
      <ns0:c r="D21" s="3">
        <ns0:f>ROUND(D221*D341,2)</ns0:f>
        <ns0:v>65.26</ns0:v>
      </ns0:c>
      <ns0:c r="E21" s="3">
        <ns0:f>ROUND(E221*E341,2)</ns0:f>
        <ns0:v>118.84</ns0:v>
      </ns0:c>
      <ns0:c r="F21" s="3">
        <ns0:f>ROUND(F221*F341,2)</ns0:f>
        <ns0:v>145.61</ns0:v>
      </ns0:c>
      <ns0:c r="G21" s="3">
        <ns0:f>ROUND(G221*G341,2)</ns0:f>
        <ns0:v>290.47</ns0:v>
      </ns0:c>
      <ns0:c r="H21" s="3">
        <ns0:f>ROUND(H221*H341,2)</ns0:f>
        <ns0:v>370.31</ns0:v>
      </ns0:c>
      <ns0:c r="I21" s="3">
        <ns0:f>ROUND(I221*I341,2)</ns0:f>
        <ns0:v>521.67</ns0:v>
      </ns0:c>
      <ns0:c r="J21" s="3">
        <ns0:f>ROUND(J221*J341,2)</ns0:f>
        <ns0:v>215.65</ns0:v>
      </ns0:c>
      <ns0:c r="K21" s="3">
        <ns0:f>ROUND(K221*K341,2)</ns0:f>
        <ns0:v>213.86</ns0:v>
      </ns0:c>
      <ns0:c r="L21" s="3">
        <ns0:f>ROUND(L221*L341,2)</ns0:f>
        <ns0:v>370.18</ns0:v>
      </ns0:c>
      <ns0:c r="M21" s="3">
        <ns0:f>ROUND(M221*M341,2)</ns0:f>
        <ns0:v>363.06</ns0:v>
      </ns0:c>
      <ns0:c r="N21" s="3">
        <ns0:f>ROUND(N221*N341,2)</ns0:f>
        <ns0:v>268.94</ns0:v>
      </ns0:c>
      <ns0:c r="O21" s="3">
        <ns0:f>SUM(C21:N21)</ns0:f>
        <ns0:v>3082.44</ns0:v>
      </ns0:c>
      <ns0:c r="P21" s="2" t="inlineStr">
        <ns0:is>
          <ns0:t>EXP3.021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245.90</ns0:v>
      </ns0:c>
      <ns0:c r="D22" s="3">
        <ns0:f>ROUND(D222*D342,2)</ns0:f>
        <ns0:v>283.08</ns0:v>
      </ns0:c>
      <ns0:c r="E22" s="3">
        <ns0:f>ROUND(E222*E342,2)</ns0:f>
        <ns0:v>140.52</ns0:v>
      </ns0:c>
      <ns0:c r="F22" s="3">
        <ns0:f>ROUND(F222*F342,2)</ns0:f>
        <ns0:v>372.19</ns0:v>
      </ns0:c>
      <ns0:c r="G22" s="3">
        <ns0:f>ROUND(G222*G342,2)</ns0:f>
        <ns0:v>271.72</ns0:v>
      </ns0:c>
      <ns0:c r="H22" s="3">
        <ns0:f>ROUND(H222*H342,2)</ns0:f>
        <ns0:v>195.93</ns0:v>
      </ns0:c>
      <ns0:c r="I22" s="3">
        <ns0:f>ROUND(I222*I342,2)</ns0:f>
        <ns0:v>109.02</ns0:v>
      </ns0:c>
      <ns0:c r="J22" s="3">
        <ns0:f>ROUND(J222*J342,2)</ns0:f>
        <ns0:v>301.97</ns0:v>
      </ns0:c>
      <ns0:c r="K22" s="3">
        <ns0:f>ROUND(K222*K342,2)</ns0:f>
        <ns0:v>134.91</ns0:v>
      </ns0:c>
      <ns0:c r="L22" s="3">
        <ns0:f>ROUND(L222*L342,2)</ns0:f>
        <ns0:v>415.62</ns0:v>
      </ns0:c>
      <ns0:c r="M22" s="3">
        <ns0:f>ROUND(M222*M342,2)</ns0:f>
        <ns0:v>104.87</ns0:v>
      </ns0:c>
      <ns0:c r="N22" s="3">
        <ns0:f>ROUND(N222*N342,2)</ns0:f>
        <ns0:v>212.87</ns0:v>
      </ns0:c>
      <ns0:c r="O22" s="3">
        <ns0:f>SUM(C22:N22)</ns0:f>
        <ns0:v>2788.60</ns0:v>
      </ns0:c>
      <ns0:c r="P22" s="2" t="inlineStr">
        <ns0:is>
          <ns0:t>EXP3.022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234.77</ns0:v>
      </ns0:c>
      <ns0:c r="D23" s="3">
        <ns0:f>ROUND(D223*D343,2)</ns0:f>
        <ns0:v>320.67</ns0:v>
      </ns0:c>
      <ns0:c r="E23" s="3">
        <ns0:f>ROUND(E223*E343,2)</ns0:f>
        <ns0:v>361.43</ns0:v>
      </ns0:c>
      <ns0:c r="F23" s="3">
        <ns0:f>ROUND(F223*F343,2)</ns0:f>
        <ns0:v>281.78</ns0:v>
      </ns0:c>
      <ns0:c r="G23" s="3">
        <ns0:f>ROUND(G223*G343,2)</ns0:f>
        <ns0:v>336.86</ns0:v>
      </ns0:c>
      <ns0:c r="H23" s="3">
        <ns0:f>ROUND(H223*H343,2)</ns0:f>
        <ns0:v>382.49</ns0:v>
      </ns0:c>
      <ns0:c r="I23" s="3">
        <ns0:f>ROUND(I223*I343,2)</ns0:f>
        <ns0:v>324.82</ns0:v>
      </ns0:c>
      <ns0:c r="J23" s="3">
        <ns0:f>ROUND(J223*J343,2)</ns0:f>
        <ns0:v>156.38</ns0:v>
      </ns0:c>
      <ns0:c r="K23" s="3">
        <ns0:f>ROUND(K223*K343,2)</ns0:f>
        <ns0:v>241.01</ns0:v>
      </ns0:c>
      <ns0:c r="L23" s="3">
        <ns0:f>ROUND(L223*L343,2)</ns0:f>
        <ns0:v>151.15</ns0:v>
      </ns0:c>
      <ns0:c r="M23" s="3">
        <ns0:f>ROUND(M223*M343,2)</ns0:f>
        <ns0:v>443.74</ns0:v>
      </ns0:c>
      <ns0:c r="N23" s="3">
        <ns0:f>ROUND(N223*N343,2)</ns0:f>
        <ns0:v>183.74</ns0:v>
      </ns0:c>
      <ns0:c r="O23" s="3">
        <ns0:f>SUM(C23:N23)</ns0:f>
        <ns0:v>3418.84</ns0:v>
      </ns0:c>
      <ns0:c r="P23" s="2" t="inlineStr">
        <ns0:is>
          <ns0:t>EXP3.023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134.18</ns0:v>
      </ns0:c>
      <ns0:c r="D24" s="3">
        <ns0:f>ROUND(D224*D344,2)</ns0:f>
        <ns0:v>180.86</ns0:v>
      </ns0:c>
      <ns0:c r="E24" s="3">
        <ns0:f>ROUND(E224*E344,2)</ns0:f>
        <ns0:v>180.20</ns0:v>
      </ns0:c>
      <ns0:c r="F24" s="3">
        <ns0:f>ROUND(F224*F344,2)</ns0:f>
        <ns0:v>336.66</ns0:v>
      </ns0:c>
      <ns0:c r="G24" s="3">
        <ns0:f>ROUND(G224*G344,2)</ns0:f>
        <ns0:v>228.05</ns0:v>
      </ns0:c>
      <ns0:c r="H24" s="3">
        <ns0:f>ROUND(H224*H344,2)</ns0:f>
        <ns0:v>106.25</ns0:v>
      </ns0:c>
      <ns0:c r="I24" s="3">
        <ns0:f>ROUND(I224*I344,2)</ns0:f>
        <ns0:v>149.98</ns0:v>
      </ns0:c>
      <ns0:c r="J24" s="3">
        <ns0:f>ROUND(J224*J344,2)</ns0:f>
        <ns0:v>106.67</ns0:v>
      </ns0:c>
      <ns0:c r="K24" s="3">
        <ns0:f>ROUND(K224*K344,2)</ns0:f>
        <ns0:v>439.08</ns0:v>
      </ns0:c>
      <ns0:c r="L24" s="3">
        <ns0:f>ROUND(L224*L344,2)</ns0:f>
        <ns0:v>468.02</ns0:v>
      </ns0:c>
      <ns0:c r="M24" s="3">
        <ns0:f>ROUND(M224*M344,2)</ns0:f>
        <ns0:v>282.52</ns0:v>
      </ns0:c>
      <ns0:c r="N24" s="3">
        <ns0:f>ROUND(N224*N344,2)</ns0:f>
        <ns0:v>247.86</ns0:v>
      </ns0:c>
      <ns0:c r="O24" s="3">
        <ns0:f>SUM(C24:N24)</ns0:f>
        <ns0:v>2860.33</ns0:v>
      </ns0:c>
      <ns0:c r="P24" s="2" t="inlineStr">
        <ns0:is>
          <ns0:t>EXP3.024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653.81</ns0:v>
      </ns0:c>
      <ns0:c r="D25" s="3">
        <ns0:f>ROUND(D225*D345,2)</ns0:f>
        <ns0:v>109.07</ns0:v>
      </ns0:c>
      <ns0:c r="E25" s="3">
        <ns0:f>ROUND(E225*E345,2)</ns0:f>
        <ns0:v>316.72</ns0:v>
      </ns0:c>
      <ns0:c r="F25" s="3">
        <ns0:f>ROUND(F225*F345,2)</ns0:f>
        <ns0:v>117.32</ns0:v>
      </ns0:c>
      <ns0:c r="G25" s="3">
        <ns0:f>ROUND(G225*G345,2)</ns0:f>
        <ns0:v>245.39</ns0:v>
      </ns0:c>
      <ns0:c r="H25" s="3">
        <ns0:f>ROUND(H225*H345,2)</ns0:f>
        <ns0:v>338.78</ns0:v>
      </ns0:c>
      <ns0:c r="I25" s="3">
        <ns0:f>ROUND(I225*I345,2)</ns0:f>
        <ns0:v>404.49</ns0:v>
      </ns0:c>
      <ns0:c r="J25" s="3">
        <ns0:f>ROUND(J225*J345,2)</ns0:f>
        <ns0:v>253.13</ns0:v>
      </ns0:c>
      <ns0:c r="K25" s="3">
        <ns0:f>ROUND(K225*K345,2)</ns0:f>
        <ns0:v>239.41</ns0:v>
      </ns0:c>
      <ns0:c r="L25" s="3">
        <ns0:f>ROUND(L225*L345,2)</ns0:f>
        <ns0:v>146.20</ns0:v>
      </ns0:c>
      <ns0:c r="M25" s="3">
        <ns0:f>ROUND(M225*M345,2)</ns0:f>
        <ns0:v>241.44</ns0:v>
      </ns0:c>
      <ns0:c r="N25" s="3">
        <ns0:f>ROUND(N225*N345,2)</ns0:f>
        <ns0:v>293.95</ns0:v>
      </ns0:c>
      <ns0:c r="O25" s="3">
        <ns0:f>SUM(C25:N25)</ns0:f>
        <ns0:v>3359.71</ns0:v>
      </ns0:c>
      <ns0:c r="P25" s="2" t="inlineStr">
        <ns0:is>
          <ns0:t>EXP3.025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171.65</ns0:v>
      </ns0:c>
      <ns0:c r="D26" s="3">
        <ns0:f>ROUND(D226*D346,2)</ns0:f>
        <ns0:v>271.07</ns0:v>
      </ns0:c>
      <ns0:c r="E26" s="3">
        <ns0:f>ROUND(E226*E346,2)</ns0:f>
        <ns0:v>292.58</ns0:v>
      </ns0:c>
      <ns0:c r="F26" s="3">
        <ns0:f>ROUND(F226*F346,2)</ns0:f>
        <ns0:v>87.14</ns0:v>
      </ns0:c>
      <ns0:c r="G26" s="3">
        <ns0:f>ROUND(G226*G346,2)</ns0:f>
        <ns0:v>310.11</ns0:v>
      </ns0:c>
      <ns0:c r="H26" s="3">
        <ns0:f>ROUND(H226*H346,2)</ns0:f>
        <ns0:v>161.52</ns0:v>
      </ns0:c>
      <ns0:c r="I26" s="3">
        <ns0:f>ROUND(I226*I346,2)</ns0:f>
        <ns0:v>434.57</ns0:v>
      </ns0:c>
      <ns0:c r="J26" s="3">
        <ns0:f>ROUND(J226*J346,2)</ns0:f>
        <ns0:v>154.76</ns0:v>
      </ns0:c>
      <ns0:c r="K26" s="3">
        <ns0:f>ROUND(K226*K346,2)</ns0:f>
        <ns0:v>256.95</ns0:v>
      </ns0:c>
      <ns0:c r="L26" s="3">
        <ns0:f>ROUND(L226*L346,2)</ns0:f>
        <ns0:v>104.94</ns0:v>
      </ns0:c>
      <ns0:c r="M26" s="3">
        <ns0:f>ROUND(M226*M346,2)</ns0:f>
        <ns0:v>104.36</ns0:v>
      </ns0:c>
      <ns0:c r="N26" s="3">
        <ns0:f>ROUND(N226*N346,2)</ns0:f>
        <ns0:v>444.99</ns0:v>
      </ns0:c>
      <ns0:c r="O26" s="3">
        <ns0:f>SUM(C26:N26)</ns0:f>
        <ns0:v>2794.64</ns0:v>
      </ns0:c>
      <ns0:c r="P26" s="2" t="inlineStr">
        <ns0:is>
          <ns0:t>EXP3.026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351.34</ns0:v>
      </ns0:c>
      <ns0:c r="D27" s="3">
        <ns0:f>ROUND(D227*D347,2)</ns0:f>
        <ns0:v>499.53</ns0:v>
      </ns0:c>
      <ns0:c r="E27" s="3">
        <ns0:f>ROUND(E227*E347,2)</ns0:f>
        <ns0:v>368.92</ns0:v>
      </ns0:c>
      <ns0:c r="F27" s="3">
        <ns0:f>ROUND(F227*F347,2)</ns0:f>
        <ns0:v>135.09</ns0:v>
      </ns0:c>
      <ns0:c r="G27" s="3">
        <ns0:f>ROUND(G227*G347,2)</ns0:f>
        <ns0:v>164.34</ns0:v>
      </ns0:c>
      <ns0:c r="H27" s="3">
        <ns0:f>ROUND(H227*H347,2)</ns0:f>
        <ns0:v>331.21</ns0:v>
      </ns0:c>
      <ns0:c r="I27" s="3">
        <ns0:f>ROUND(I227*I347,2)</ns0:f>
        <ns0:v>145.09</ns0:v>
      </ns0:c>
      <ns0:c r="J27" s="3">
        <ns0:f>ROUND(J227*J347,2)</ns0:f>
        <ns0:v>113.52</ns0:v>
      </ns0:c>
      <ns0:c r="K27" s="3">
        <ns0:f>ROUND(K227*K347,2)</ns0:f>
        <ns0:v>110.76</ns0:v>
      </ns0:c>
      <ns0:c r="L27" s="3">
        <ns0:f>ROUND(L227*L347,2)</ns0:f>
        <ns0:v>218.48</ns0:v>
      </ns0:c>
      <ns0:c r="M27" s="3">
        <ns0:f>ROUND(M227*M347,2)</ns0:f>
        <ns0:v>337.39</ns0:v>
      </ns0:c>
      <ns0:c r="N27" s="3">
        <ns0:f>ROUND(N227*N347,2)</ns0:f>
        <ns0:v>324.87</ns0:v>
      </ns0:c>
      <ns0:c r="O27" s="3">
        <ns0:f>SUM(C27:N27)</ns0:f>
        <ns0:v>3100.54</ns0:v>
      </ns0:c>
      <ns0:c r="P27" s="2" t="inlineStr">
        <ns0:is>
          <ns0:t>EXP3.027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48.83</ns0:v>
      </ns0:c>
      <ns0:c r="D28" s="3">
        <ns0:f>ROUND(D228*D348,2)</ns0:f>
        <ns0:v>193.78</ns0:v>
      </ns0:c>
      <ns0:c r="E28" s="3">
        <ns0:f>ROUND(E228*E348,2)</ns0:f>
        <ns0:v>167.11</ns0:v>
      </ns0:c>
      <ns0:c r="F28" s="3">
        <ns0:f>ROUND(F228*F348,2)</ns0:f>
        <ns0:v>275.12</ns0:v>
      </ns0:c>
      <ns0:c r="G28" s="3">
        <ns0:f>ROUND(G228*G348,2)</ns0:f>
        <ns0:v>198.62</ns0:v>
      </ns0:c>
      <ns0:c r="H28" s="3">
        <ns0:f>ROUND(H228*H348,2)</ns0:f>
        <ns0:v>241.04</ns0:v>
      </ns0:c>
      <ns0:c r="I28" s="3">
        <ns0:f>ROUND(I228*I348,2)</ns0:f>
        <ns0:v>104.50</ns0:v>
      </ns0:c>
      <ns0:c r="J28" s="3">
        <ns0:f>ROUND(J228*J348,2)</ns0:f>
        <ns0:v>220.67</ns0:v>
      </ns0:c>
      <ns0:c r="K28" s="3">
        <ns0:f>ROUND(K228*K348,2)</ns0:f>
        <ns0:v>167.96</ns0:v>
      </ns0:c>
      <ns0:c r="L28" s="3">
        <ns0:f>ROUND(L228*L348,2)</ns0:f>
        <ns0:v>516.85</ns0:v>
      </ns0:c>
      <ns0:c r="M28" s="3">
        <ns0:f>ROUND(M228*M348,2)</ns0:f>
        <ns0:v>331.49</ns0:v>
      </ns0:c>
      <ns0:c r="N28" s="3">
        <ns0:f>ROUND(N228*N348,2)</ns0:f>
        <ns0:v>316.46</ns0:v>
      </ns0:c>
      <ns0:c r="O28" s="3">
        <ns0:f>SUM(C28:N28)</ns0:f>
        <ns0:v>2782.43</ns0:v>
      </ns0:c>
      <ns0:c r="P28" s="2" t="inlineStr">
        <ns0:is>
          <ns0:t>EXP3.028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EXP3.029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71.51</ns0:v>
      </ns0:c>
      <ns0:c r="D30" s="6">
        <ns0:f>ROUND(D230*D350,2)</ns0:f>
        <ns0:v>293.44</ns0:v>
      </ns0:c>
      <ns0:c r="E30" s="6">
        <ns0:f>ROUND(E230*E350,2)</ns0:f>
        <ns0:v>241.79</ns0:v>
      </ns0:c>
      <ns0:c r="F30" s="6">
        <ns0:f>ROUND(F230*F350,2)</ns0:f>
        <ns0:v>369.42</ns0:v>
      </ns0:c>
      <ns0:c r="G30" s="6">
        <ns0:f>ROUND(G230*G350,2)</ns0:f>
        <ns0:v>440.10</ns0:v>
      </ns0:c>
      <ns0:c r="H30" s="6">
        <ns0:f>ROUND(H230*H350,2)</ns0:f>
        <ns0:v>396.54</ns0:v>
      </ns0:c>
      <ns0:c r="I30" s="6">
        <ns0:f>ROUND(I230*I350,2)</ns0:f>
        <ns0:v>539.98</ns0:v>
      </ns0:c>
      <ns0:c r="J30" s="6">
        <ns0:f>ROUND(J230*J350,2)</ns0:f>
        <ns0:v>178.88</ns0:v>
      </ns0:c>
      <ns0:c r="K30" s="6">
        <ns0:f>ROUND(K230*K350,2)</ns0:f>
        <ns0:v>121.16</ns0:v>
      </ns0:c>
      <ns0:c r="L30" s="6">
        <ns0:f>ROUND(L230*L350,2)</ns0:f>
        <ns0:v>218.37</ns0:v>
      </ns0:c>
      <ns0:c r="M30" s="6">
        <ns0:f>ROUND(M230*M350,2)</ns0:f>
        <ns0:v>185.13</ns0:v>
      </ns0:c>
      <ns0:c r="N30" s="6">
        <ns0:f>ROUND(N230*N350,2)</ns0:f>
        <ns0:v>305.97</ns0:v>
      </ns0:c>
      <ns0:c r="O30" s="6">
        <ns0:f>SUM(C30:N30)</ns0:f>
        <ns0:v>3362.29</ns0:v>
      </ns0:c>
      <ns0:c r="P30" s="2" t="inlineStr">
        <ns0:is>
          <ns0:t>EXP3.030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159.24</ns0:v>
      </ns0:c>
      <ns0:c r="D31" s="3">
        <ns0:f>ROUND(D231*D351,2)</ns0:f>
        <ns0:v>214.24</ns0:v>
      </ns0:c>
      <ns0:c r="E31" s="3">
        <ns0:f>ROUND(E231*E351,2)</ns0:f>
        <ns0:v>273.06</ns0:v>
      </ns0:c>
      <ns0:c r="F31" s="3">
        <ns0:f>ROUND(F231*F351,2)</ns0:f>
        <ns0:v>203.68</ns0:v>
      </ns0:c>
      <ns0:c r="G31" s="3">
        <ns0:f>ROUND(G231*G351,2)</ns0:f>
        <ns0:v>230.54</ns0:v>
      </ns0:c>
      <ns0:c r="H31" s="3">
        <ns0:f>ROUND(H231*H351,2)</ns0:f>
        <ns0:v>123.71</ns0:v>
      </ns0:c>
      <ns0:c r="I31" s="3">
        <ns0:f>ROUND(I231*I351,2)</ns0:f>
        <ns0:v>100.72</ns0:v>
      </ns0:c>
      <ns0:c r="J31" s="3">
        <ns0:f>ROUND(J231*J351,2)</ns0:f>
        <ns0:v>433.04</ns0:v>
      </ns0:c>
      <ns0:c r="K31" s="3">
        <ns0:f>ROUND(K231*K351,2)</ns0:f>
        <ns0:v>176.30</ns0:v>
      </ns0:c>
      <ns0:c r="L31" s="3">
        <ns0:f>ROUND(L231*L351,2)</ns0:f>
        <ns0:v>108.94</ns0:v>
      </ns0:c>
      <ns0:c r="M31" s="3">
        <ns0:f>ROUND(M231*M351,2)</ns0:f>
        <ns0:v>262.24</ns0:v>
      </ns0:c>
      <ns0:c r="N31" s="3">
        <ns0:f>ROUND(N231*N351,2)</ns0:f>
        <ns0:v>325.73</ns0:v>
      </ns0:c>
      <ns0:c r="O31" s="3">
        <ns0:f>SUM(C31:N31)</ns0:f>
        <ns0:v>2611.44</ns0:v>
      </ns0:c>
      <ns0:c r="P31" s="2" t="inlineStr">
        <ns0:is>
          <ns0:t>EXP3.031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69.94</ns0:v>
      </ns0:c>
      <ns0:c r="D32" s="3">
        <ns0:f>ROUND(D232*D352,2)</ns0:f>
        <ns0:v>310.65</ns0:v>
      </ns0:c>
      <ns0:c r="E32" s="3">
        <ns0:f>ROUND(E232*E352,2)</ns0:f>
        <ns0:v>639.75</ns0:v>
      </ns0:c>
      <ns0:c r="F32" s="3">
        <ns0:f>ROUND(F232*F352,2)</ns0:f>
        <ns0:v>143.07</ns0:v>
      </ns0:c>
      <ns0:c r="G32" s="3">
        <ns0:f>ROUND(G232*G352,2)</ns0:f>
        <ns0:v>194.24</ns0:v>
      </ns0:c>
      <ns0:c r="H32" s="3">
        <ns0:f>ROUND(H232*H352,2)</ns0:f>
        <ns0:v>84.53</ns0:v>
      </ns0:c>
      <ns0:c r="I32" s="3">
        <ns0:f>ROUND(I232*I352,2)</ns0:f>
        <ns0:v>84.22</ns0:v>
      </ns0:c>
      <ns0:c r="J32" s="3">
        <ns0:f>ROUND(J232*J352,2)</ns0:f>
        <ns0:v>237.04</ns0:v>
      </ns0:c>
      <ns0:c r="K32" s="3">
        <ns0:f>ROUND(K232*K352,2)</ns0:f>
        <ns0:v>397.75</ns0:v>
      </ns0:c>
      <ns0:c r="L32" s="3">
        <ns0:f>ROUND(L232*L352,2)</ns0:f>
        <ns0:v>183.48</ns0:v>
      </ns0:c>
      <ns0:c r="M32" s="3">
        <ns0:f>ROUND(M232*M352,2)</ns0:f>
        <ns0:v>226.24</ns0:v>
      </ns0:c>
      <ns0:c r="N32" s="3">
        <ns0:f>ROUND(N232*N352,2)</ns0:f>
        <ns0:v>257.70</ns0:v>
      </ns0:c>
      <ns0:c r="O32" s="3">
        <ns0:f>SUM(C32:N32)</ns0:f>
        <ns0:v>2828.61</ns0:v>
      </ns0:c>
      <ns0:c r="P32" s="2" t="inlineStr">
        <ns0:is>
          <ns0:t>EXP3.032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247.75</ns0:v>
      </ns0:c>
      <ns0:c r="D33" s="3">
        <ns0:f>ROUND(D233*D353,2)</ns0:f>
        <ns0:v>374.83</ns0:v>
      </ns0:c>
      <ns0:c r="E33" s="3">
        <ns0:f>ROUND(E233*E353,2)</ns0:f>
        <ns0:v>44.62</ns0:v>
      </ns0:c>
      <ns0:c r="F33" s="3">
        <ns0:f>ROUND(F233*F353,2)</ns0:f>
        <ns0:v>151.96</ns0:v>
      </ns0:c>
      <ns0:c r="G33" s="3">
        <ns0:f>ROUND(G233*G353,2)</ns0:f>
        <ns0:v>366.27</ns0:v>
      </ns0:c>
      <ns0:c r="H33" s="3">
        <ns0:f>ROUND(H233*H353,2)</ns0:f>
        <ns0:v>139.06</ns0:v>
      </ns0:c>
      <ns0:c r="I33" s="3">
        <ns0:f>ROUND(I233*I353,2)</ns0:f>
        <ns0:v>158.88</ns0:v>
      </ns0:c>
      <ns0:c r="J33" s="3">
        <ns0:f>ROUND(J233*J353,2)</ns0:f>
        <ns0:v>148.18</ns0:v>
      </ns0:c>
      <ns0:c r="K33" s="3">
        <ns0:f>ROUND(K233*K353,2)</ns0:f>
        <ns0:v>216.55</ns0:v>
      </ns0:c>
      <ns0:c r="L33" s="3">
        <ns0:f>ROUND(L233*L353,2)</ns0:f>
        <ns0:v>395.02</ns0:v>
      </ns0:c>
      <ns0:c r="M33" s="3">
        <ns0:f>ROUND(M233*M353,2)</ns0:f>
        <ns0:v>194.02</ns0:v>
      </ns0:c>
      <ns0:c r="N33" s="3">
        <ns0:f>ROUND(N233*N353,2)</ns0:f>
        <ns0:v>99.42</ns0:v>
      </ns0:c>
      <ns0:c r="O33" s="3">
        <ns0:f>SUM(C33:N33)</ns0:f>
        <ns0:v>2536.56</ns0:v>
      </ns0:c>
      <ns0:c r="P33" s="2" t="inlineStr">
        <ns0:is>
          <ns0:t>EXP3.033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6203.67</ns0:v>
      </ns0:c>
      <ns0:c r="D34" s="3">
        <ns0:f>SUM(D4:D33)</ns0:f>
        <ns0:v>6998.35</ns0:v>
      </ns0:c>
      <ns0:c r="E34" s="3">
        <ns0:f>SUM(E4:E33)</ns0:f>
        <ns0:v>6995.35</ns0:v>
      </ns0:c>
      <ns0:c r="F34" s="3">
        <ns0:f>SUM(F4:F33)</ns0:f>
        <ns0:v>7436.88</ns0:v>
      </ns0:c>
      <ns0:c r="G34" s="3">
        <ns0:f>SUM(G4:G33)</ns0:f>
        <ns0:v>8264.92</ns0:v>
      </ns0:c>
      <ns0:c r="H34" s="3">
        <ns0:f>SUM(H4:H33)</ns0:f>
        <ns0:v>6982.92</ns0:v>
      </ns0:c>
      <ns0:c r="I34" s="3">
        <ns0:f>SUM(I4:I33)</ns0:f>
        <ns0:v>8336.89</ns0:v>
      </ns0:c>
      <ns0:c r="J34" s="3">
        <ns0:f>SUM(J4:J33)</ns0:f>
        <ns0:v>6889.94</ns0:v>
      </ns0:c>
      <ns0:c r="K34" s="3">
        <ns0:f>SUM(K4:K33)</ns0:f>
        <ns0:v>7959.48</ns0:v>
      </ns0:c>
      <ns0:c r="L34" s="3">
        <ns0:f>SUM(L4:L33)</ns0:f>
        <ns0:v>6791.20</ns0:v>
      </ns0:c>
      <ns0:c r="M34" s="3">
        <ns0:f>SUM(M4:M33)</ns0:f>
        <ns0:v>6479.20</ns0:v>
      </ns0:c>
      <ns0:c r="N34" s="3">
        <ns0:f>SUM(N4:N33)</ns0:f>
        <ns0:v>8523.54</ns0:v>
      </ns0:c>
      <ns0:c r="O34" s="3">
        <ns0:f>SUM(C34:N34)</ns0:f>
        <ns0:v>87862.34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48.50</ns0:v>
      </ns0:c>
      <ns0:c r="D204" s="4">
        <ns0:v>20.72</ns0:v>
      </ns0:c>
      <ns0:c r="E204" s="4">
        <ns0:v>24.79</ns0:v>
      </ns0:c>
      <ns0:c r="F204" s="4">
        <ns0:v>34.34</ns0:v>
      </ns0:c>
      <ns0:c r="G204" s="4">
        <ns0:v>18.75</ns0:v>
      </ns0:c>
      <ns0:c r="H204" s="4">
        <ns0:v>59.04</ns0:v>
      </ns0:c>
      <ns0:c r="I204" s="4">
        <ns0:v>53.68</ns0:v>
      </ns0:c>
      <ns0:c r="J204" s="4">
        <ns0:v>49.38</ns0:v>
      </ns0:c>
      <ns0:c r="K204" s="4">
        <ns0:v>47.05</ns0:v>
      </ns0:c>
      <ns0:c r="L204" s="4">
        <ns0:v>45.29</ns0:v>
      </ns0:c>
      <ns0:c r="M204" s="4">
        <ns0:v>37.55</ns0:v>
      </ns0:c>
      <ns0:c r="N204" s="4">
        <ns0:v>21.58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65.41</ns0:v>
      </ns0:c>
      <ns0:c r="D205" s="4">
        <ns0:v>27.83</ns0:v>
      </ns0:c>
      <ns0:c r="E205" s="4">
        <ns0:v>43.64</ns0:v>
      </ns0:c>
      <ns0:c r="F205" s="4">
        <ns0:v>24.60</ns0:v>
      </ns0:c>
      <ns0:c r="G205" s="4">
        <ns0:v>45.23</ns0:v>
      </ns0:c>
      <ns0:c r="H205" s="4">
        <ns0:v>28.46</ns0:v>
      </ns0:c>
      <ns0:c r="I205" s="4">
        <ns0:v>38.72</ns0:v>
      </ns0:c>
      <ns0:c r="J205" s="4">
        <ns0:v>69.55</ns0:v>
      </ns0:c>
      <ns0:c r="K205" s="4">
        <ns0:v>55.59</ns0:v>
      </ns0:c>
      <ns0:c r="L205" s="4">
        <ns0:v>17.60</ns0:v>
      </ns0:c>
      <ns0:c r="M205" s="4">
        <ns0:v>49.55</ns0:v>
      </ns0:c>
      <ns0:c r="N205" s="4">
        <ns0:v>38.58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26.92</ns0:v>
      </ns0:c>
      <ns0:c r="D206" s="4">
        <ns0:v>21.41</ns0:v>
      </ns0:c>
      <ns0:c r="E206" s="4">
        <ns0:v>34.95</ns0:v>
      </ns0:c>
      <ns0:c r="F206" s="4">
        <ns0:v>51.73</ns0:v>
      </ns0:c>
      <ns0:c r="G206" s="4">
        <ns0:v>44.93</ns0:v>
      </ns0:c>
      <ns0:c r="H206" s="4">
        <ns0:v>26.09</ns0:v>
      </ns0:c>
      <ns0:c r="I206" s="4">
        <ns0:v>59.13</ns0:v>
      </ns0:c>
      <ns0:c r="J206" s="4">
        <ns0:v>22.86</ns0:v>
      </ns0:c>
      <ns0:c r="K206" s="4">
        <ns0:v>47.00</ns0:v>
      </ns0:c>
      <ns0:c r="L206" s="4">
        <ns0:v>34.61</ns0:v>
      </ns0:c>
      <ns0:c r="M206" s="4">
        <ns0:v>44.38</ns0:v>
      </ns0:c>
      <ns0:c r="N206" s="4">
        <ns0:v>56.58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58.88</ns0:v>
      </ns0:c>
      <ns0:c r="D207" s="4">
        <ns0:v>51.62</ns0:v>
      </ns0:c>
      <ns0:c r="E207" s="4">
        <ns0:v>40.01</ns0:v>
      </ns0:c>
      <ns0:c r="F207" s="4">
        <ns0:v>51.62</ns0:v>
      </ns0:c>
      <ns0:c r="G207" s="4">
        <ns0:v>50.23</ns0:v>
      </ns0:c>
      <ns0:c r="H207" s="4">
        <ns0:v>63.83</ns0:v>
      </ns0:c>
      <ns0:c r="I207" s="4">
        <ns0:v>31.04</ns0:v>
      </ns0:c>
      <ns0:c r="J207" s="4">
        <ns0:v>36.74</ns0:v>
      </ns0:c>
      <ns0:c r="K207" s="4">
        <ns0:v>32.31</ns0:v>
      </ns0:c>
      <ns0:c r="L207" s="4">
        <ns0:v>18.38</ns0:v>
      </ns0:c>
      <ns0:c r="M207" s="4">
        <ns0:v>23.29</ns0:v>
      </ns0:c>
      <ns0:c r="N207" s="4">
        <ns0:v>21.29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32.80</ns0:v>
      </ns0:c>
      <ns0:c r="D208" s="4">
        <ns0:v>50.07</ns0:v>
      </ns0:c>
      <ns0:c r="E208" s="4">
        <ns0:v>23.45</ns0:v>
      </ns0:c>
      <ns0:c r="F208" s="4">
        <ns0:v>66.21</ns0:v>
      </ns0:c>
      <ns0:c r="G208" s="4">
        <ns0:v>42.14</ns0:v>
      </ns0:c>
      <ns0:c r="H208" s="4">
        <ns0:v>37.59</ns0:v>
      </ns0:c>
      <ns0:c r="I208" s="4">
        <ns0:v>49.62</ns0:v>
      </ns0:c>
      <ns0:c r="J208" s="4">
        <ns0:v>57.72</ns0:v>
      </ns0:c>
      <ns0:c r="K208" s="4">
        <ns0:v>32.61</ns0:v>
      </ns0:c>
      <ns0:c r="L208" s="4">
        <ns0:v>34.05</ns0:v>
      </ns0:c>
      <ns0:c r="M208" s="4">
        <ns0:v>27.95</ns0:v>
      </ns0:c>
      <ns0:c r="N208" s="4">
        <ns0:v>73.39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62.94</ns0:v>
      </ns0:c>
      <ns0:c r="D209" s="4">
        <ns0:v>59.92</ns0:v>
      </ns0:c>
      <ns0:c r="E209" s="4">
        <ns0:v>28.17</ns0:v>
      </ns0:c>
      <ns0:c r="F209" s="4">
        <ns0:v>62.25</ns0:v>
      </ns0:c>
      <ns0:c r="G209" s="4">
        <ns0:v>32.33</ns0:v>
      </ns0:c>
      <ns0:c r="H209" s="4">
        <ns0:v>34.08</ns0:v>
      </ns0:c>
      <ns0:c r="I209" s="4">
        <ns0:v>60.10</ns0:v>
      </ns0:c>
      <ns0:c r="J209" s="4">
        <ns0:v>34.69</ns0:v>
      </ns0:c>
      <ns0:c r="K209" s="4">
        <ns0:v>53.04</ns0:v>
      </ns0:c>
      <ns0:c r="L209" s="4">
        <ns0:v>68.36</ns0:v>
      </ns0:c>
      <ns0:c r="M209" s="4">
        <ns0:v>19.32</ns0:v>
      </ns0:c>
      <ns0:c r="N209" s="4">
        <ns0:v>44.21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32.55</ns0:v>
      </ns0:c>
      <ns0:c r="D210" s="4">
        <ns0:v>28.31</ns0:v>
      </ns0:c>
      <ns0:c r="E210" s="4">
        <ns0:v>25.79</ns0:v>
      </ns0:c>
      <ns0:c r="F210" s="4">
        <ns0:v>71.25</ns0:v>
      </ns0:c>
      <ns0:c r="G210" s="4">
        <ns0:v>53.44</ns0:v>
      </ns0:c>
      <ns0:c r="H210" s="4">
        <ns0:v>55.55</ns0:v>
      </ns0:c>
      <ns0:c r="I210" s="4">
        <ns0:v>55.20</ns0:v>
      </ns0:c>
      <ns0:c r="J210" s="4">
        <ns0:v>47.80</ns0:v>
      </ns0:c>
      <ns0:c r="K210" s="4">
        <ns0:v>56.90</ns0:v>
      </ns0:c>
      <ns0:c r="L210" s="4">
        <ns0:v>22.40</ns0:v>
      </ns0:c>
      <ns0:c r="M210" s="4">
        <ns0:v>27.03</ns0:v>
      </ns0:c>
      <ns0:c r="N210" s="4">
        <ns0:v>20.12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44.85</ns0:v>
      </ns0:c>
      <ns0:c r="D211" s="4">
        <ns0:v>47.18</ns0:v>
      </ns0:c>
      <ns0:c r="E211" s="4">
        <ns0:v>57.42</ns0:v>
      </ns0:c>
      <ns0:c r="F211" s="4">
        <ns0:v>39.96</ns0:v>
      </ns0:c>
      <ns0:c r="G211" s="4">
        <ns0:v>68.89</ns0:v>
      </ns0:c>
      <ns0:c r="H211" s="4">
        <ns0:v>34.49</ns0:v>
      </ns0:c>
      <ns0:c r="I211" s="4">
        <ns0:v>40.46</ns0:v>
      </ns0:c>
      <ns0:c r="J211" s="4">
        <ns0:v>48.03</ns0:v>
      </ns0:c>
      <ns0:c r="K211" s="4">
        <ns0:v>56.80</ns0:v>
      </ns0:c>
      <ns0:c r="L211" s="4">
        <ns0:v>17.45</ns0:v>
      </ns0:c>
      <ns0:c r="M211" s="4">
        <ns0:v>57.47</ns0:v>
      </ns0:c>
      <ns0:c r="N211" s="4">
        <ns0:v>45.25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39.50</ns0:v>
      </ns0:c>
      <ns0:c r="D212" s="4">
        <ns0:v>43.17</ns0:v>
      </ns0:c>
      <ns0:c r="E212" s="4">
        <ns0:v>57.74</ns0:v>
      </ns0:c>
      <ns0:c r="F212" s="4">
        <ns0:v>39.61</ns0:v>
      </ns0:c>
      <ns0:c r="G212" s="4">
        <ns0:v>53.93</ns0:v>
      </ns0:c>
      <ns0:c r="H212" s="4">
        <ns0:v>41.47</ns0:v>
      </ns0:c>
      <ns0:c r="I212" s="4">
        <ns0:v>21.29</ns0:v>
      </ns0:c>
      <ns0:c r="J212" s="4">
        <ns0:v>61.71</ns0:v>
      </ns0:c>
      <ns0:c r="K212" s="4">
        <ns0:v>70.17</ns0:v>
      </ns0:c>
      <ns0:c r="L212" s="4">
        <ns0:v>49.29</ns0:v>
      </ns0:c>
      <ns0:c r="M212" s="4">
        <ns0:v>21.86</ns0:v>
      </ns0:c>
      <ns0:c r="N212" s="4">
        <ns0:v>42.50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26.83</ns0:v>
      </ns0:c>
      <ns0:c r="D213" s="4">
        <ns0:v>66.68</ns0:v>
      </ns0:c>
      <ns0:c r="E213" s="4">
        <ns0:v>42.08</ns0:v>
      </ns0:c>
      <ns0:c r="F213" s="4">
        <ns0:v>50.41</ns0:v>
      </ns0:c>
      <ns0:c r="G213" s="4">
        <ns0:v>36.13</ns0:v>
      </ns0:c>
      <ns0:c r="H213" s="4">
        <ns0:v>34.46</ns0:v>
      </ns0:c>
      <ns0:c r="I213" s="4">
        <ns0:v>64.57</ns0:v>
      </ns0:c>
      <ns0:c r="J213" s="4">
        <ns0:v>50.06</ns0:v>
      </ns0:c>
      <ns0:c r="K213" s="4">
        <ns0:v>54.87</ns0:v>
      </ns0:c>
      <ns0:c r="L213" s="4">
        <ns0:v>48.24</ns0:v>
      </ns0:c>
      <ns0:c r="M213" s="4">
        <ns0:v>58.18</ns0:v>
      </ns0:c>
      <ns0:c r="N213" s="4">
        <ns0:v>42.51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38.23</ns0:v>
      </ns0:c>
      <ns0:c r="D214" s="4">
        <ns0:v>16.02</ns0:v>
      </ns0:c>
      <ns0:c r="E214" s="4">
        <ns0:v>74.15</ns0:v>
      </ns0:c>
      <ns0:c r="F214" s="4">
        <ns0:v>17.44</ns0:v>
      </ns0:c>
      <ns0:c r="G214" s="4">
        <ns0:v>41.74</ns0:v>
      </ns0:c>
      <ns0:c r="H214" s="4">
        <ns0:v>36.07</ns0:v>
      </ns0:c>
      <ns0:c r="I214" s="4">
        <ns0:v>58.81</ns0:v>
      </ns0:c>
      <ns0:c r="J214" s="4">
        <ns0:v>26.64</ns0:v>
      </ns0:c>
      <ns0:c r="K214" s="4">
        <ns0:v>55.58</ns0:v>
      </ns0:c>
      <ns0:c r="L214" s="4">
        <ns0:v>54.25</ns0:v>
      </ns0:c>
      <ns0:c r="M214" s="4">
        <ns0:v>46.07</ns0:v>
      </ns0:c>
      <ns0:c r="N214" s="4">
        <ns0:v>64.40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26.29</ns0:v>
      </ns0:c>
      <ns0:c r="D215" s="4">
        <ns0:v>36.58</ns0:v>
      </ns0:c>
      <ns0:c r="E215" s="4">
        <ns0:v>31.30</ns0:v>
      </ns0:c>
      <ns0:c r="F215" s="4">
        <ns0:v>36.41</ns0:v>
      </ns0:c>
      <ns0:c r="G215" s="4">
        <ns0:v>21.53</ns0:v>
      </ns0:c>
      <ns0:c r="H215" s="4">
        <ns0:v>38.85</ns0:v>
      </ns0:c>
      <ns0:c r="I215" s="4">
        <ns0:v>58.58</ns0:v>
      </ns0:c>
      <ns0:c r="J215" s="4">
        <ns0:v>18.31</ns0:v>
      </ns0:c>
      <ns0:c r="K215" s="4">
        <ns0:v>53.81</ns0:v>
      </ns0:c>
      <ns0:c r="L215" s="4">
        <ns0:v>29.69</ns0:v>
      </ns0:c>
      <ns0:c r="M215" s="4">
        <ns0:v>24.16</ns0:v>
      </ns0:c>
      <ns0:c r="N215" s="4">
        <ns0:v>63.25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18.90</ns0:v>
      </ns0:c>
      <ns0:c r="D216" s="4">
        <ns0:v>38.86</ns0:v>
      </ns0:c>
      <ns0:c r="E216" s="4">
        <ns0:v>21.62</ns0:v>
      </ns0:c>
      <ns0:c r="F216" s="4">
        <ns0:v>27.46</ns0:v>
      </ns0:c>
      <ns0:c r="G216" s="4">
        <ns0:v>34.05</ns0:v>
      </ns0:c>
      <ns0:c r="H216" s="4">
        <ns0:v>32.24</ns0:v>
      </ns0:c>
      <ns0:c r="I216" s="4">
        <ns0:v>32.01</ns0:v>
      </ns0:c>
      <ns0:c r="J216" s="4">
        <ns0:v>61.12</ns0:v>
      </ns0:c>
      <ns0:c r="K216" s="4">
        <ns0:v>42.62</ns0:v>
      </ns0:c>
      <ns0:c r="L216" s="4">
        <ns0:v>54.17</ns0:v>
      </ns0:c>
      <ns0:c r="M216" s="4">
        <ns0:v>22.90</ns0:v>
      </ns0:c>
      <ns0:c r="N216" s="4">
        <ns0:v>21.44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29.46</ns0:v>
      </ns0:c>
      <ns0:c r="D217" s="4">
        <ns0:v>42.21</ns0:v>
      </ns0:c>
      <ns0:c r="E217" s="4">
        <ns0:v>26.59</ns0:v>
      </ns0:c>
      <ns0:c r="F217" s="4">
        <ns0:v>64.35</ns0:v>
      </ns0:c>
      <ns0:c r="G217" s="4">
        <ns0:v>53.80</ns0:v>
      </ns0:c>
      <ns0:c r="H217" s="4">
        <ns0:v>32.43</ns0:v>
      </ns0:c>
      <ns0:c r="I217" s="4">
        <ns0:v>30.34</ns0:v>
      </ns0:c>
      <ns0:c r="J217" s="4">
        <ns0:v>32.35</ns0:v>
      </ns0:c>
      <ns0:c r="K217" s="4">
        <ns0:v>59.69</ns0:v>
      </ns0:c>
      <ns0:c r="L217" s="4">
        <ns0:v>51.07</ns0:v>
      </ns0:c>
      <ns0:c r="M217" s="4">
        <ns0:v>36.95</ns0:v>
      </ns0:c>
      <ns0:c r="N217" s="4">
        <ns0:v>74.66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55.07</ns0:v>
      </ns0:c>
      <ns0:c r="D218" s="4">
        <ns0:v>24.27</ns0:v>
      </ns0:c>
      <ns0:c r="E218" s="4">
        <ns0:v>38.66</ns0:v>
      </ns0:c>
      <ns0:c r="F218" s="4">
        <ns0:v>41.22</ns0:v>
      </ns0:c>
      <ns0:c r="G218" s="4">
        <ns0:v>46.16</ns0:v>
      </ns0:c>
      <ns0:c r="H218" s="4">
        <ns0:v>22.37</ns0:v>
      </ns0:c>
      <ns0:c r="I218" s="4">
        <ns0:v>67.74</ns0:v>
      </ns0:c>
      <ns0:c r="J218" s="4">
        <ns0:v>15.95</ns0:v>
      </ns0:c>
      <ns0:c r="K218" s="4">
        <ns0:v>56.62</ns0:v>
      </ns0:c>
      <ns0:c r="L218" s="4">
        <ns0:v>38.44</ns0:v>
      </ns0:c>
      <ns0:c r="M218" s="4">
        <ns0:v>17.99</ns0:v>
      </ns0:c>
      <ns0:c r="N218" s="4">
        <ns0:v>67.29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35.85</ns0:v>
      </ns0:c>
      <ns0:c r="D219" s="4">
        <ns0:v>33.81</ns0:v>
      </ns0:c>
      <ns0:c r="E219" s="4">
        <ns0:v>53.71</ns0:v>
      </ns0:c>
      <ns0:c r="F219" s="4">
        <ns0:v>35.30</ns0:v>
      </ns0:c>
      <ns0:c r="G219" s="4">
        <ns0:v>39.47</ns0:v>
      </ns0:c>
      <ns0:c r="H219" s="4">
        <ns0:v>43.39</ns0:v>
      </ns0:c>
      <ns0:c r="I219" s="4">
        <ns0:v>46.48</ns0:v>
      </ns0:c>
      <ns0:c r="J219" s="4">
        <ns0:v>35.75</ns0:v>
      </ns0:c>
      <ns0:c r="K219" s="4">
        <ns0:v>29.90</ns0:v>
      </ns0:c>
      <ns0:c r="L219" s="4">
        <ns0:v>18.54</ns0:v>
      </ns0:c>
      <ns0:c r="M219" s="4">
        <ns0:v>39.29</ns0:v>
      </ns0:c>
      <ns0:c r="N219" s="4">
        <ns0:v>54.16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20.81</ns0:v>
      </ns0:c>
      <ns0:c r="D221" s="4">
        <ns0:v>22.35</ns0:v>
      </ns0:c>
      <ns0:c r="E221" s="4">
        <ns0:v>20.74</ns0:v>
      </ns0:c>
      <ns0:c r="F221" s="4">
        <ns0:v>49.36</ns0:v>
      </ns0:c>
      <ns0:c r="G221" s="4">
        <ns0:v>38.27</ns0:v>
      </ns0:c>
      <ns0:c r="H221" s="4">
        <ns0:v>43.11</ns0:v>
      </ns0:c>
      <ns0:c r="I221" s="4">
        <ns0:v>66.54</ns0:v>
      </ns0:c>
      <ns0:c r="J221" s="4">
        <ns0:v>52.09</ns0:v>
      </ns0:c>
      <ns0:c r="K221" s="4">
        <ns0:v>65.40</ns0:v>
      </ns0:c>
      <ns0:c r="L221" s="4">
        <ns0:v>62.11</ns0:v>
      </ns0:c>
      <ns0:c r="M221" s="4">
        <ns0:v>55.26</ns0:v>
      </ns0:c>
      <ns0:c r="N221" s="4">
        <ns0:v>30.15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40.78</ns0:v>
      </ns0:c>
      <ns0:c r="D222" s="4">
        <ns0:v>35.97</ns0:v>
      </ns0:c>
      <ns0:c r="E222" s="4">
        <ns0:v>60.05</ns0:v>
      </ns0:c>
      <ns0:c r="F222" s="4">
        <ns0:v>59.55</ns0:v>
      </ns0:c>
      <ns0:c r="G222" s="4">
        <ns0:v>35.06</ns0:v>
      </ns0:c>
      <ns0:c r="H222" s="4">
        <ns0:v>21.39</ns0:v>
      </ns0:c>
      <ns0:c r="I222" s="4">
        <ns0:v>47.40</ns0:v>
      </ns0:c>
      <ns0:c r="J222" s="4">
        <ns0:v>63.44</ns0:v>
      </ns0:c>
      <ns0:c r="K222" s="4">
        <ns0:v>25.03</ns0:v>
      </ns0:c>
      <ns0:c r="L222" s="4">
        <ns0:v>57.09</ns0:v>
      </ns0:c>
      <ns0:c r="M222" s="4">
        <ns0:v>25.21</ns0:v>
      </ns0:c>
      <ns0:c r="N222" s="4">
        <ns0:v>42.83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33.30</ns0:v>
      </ns0:c>
      <ns0:c r="D223" s="4">
        <ns0:v>63.00</ns0:v>
      </ns0:c>
      <ns0:c r="E223" s="4">
        <ns0:v>57.37</ns0:v>
      </ns0:c>
      <ns0:c r="F223" s="4">
        <ns0:v>31.84</ns0:v>
      </ns0:c>
      <ns0:c r="G223" s="4">
        <ns0:v>56.05</ns0:v>
      </ns0:c>
      <ns0:c r="H223" s="4">
        <ns0:v>53.57</ns0:v>
      </ns0:c>
      <ns0:c r="I223" s="4">
        <ns0:v>67.39</ns0:v>
      </ns0:c>
      <ns0:c r="J223" s="4">
        <ns0:v>21.75</ns0:v>
      </ns0:c>
      <ns0:c r="K223" s="4">
        <ns0:v>33.06</ns0:v>
      </ns0:c>
      <ns0:c r="L223" s="4">
        <ns0:v>25.97</ns0:v>
      </ns0:c>
      <ns0:c r="M223" s="4">
        <ns0:v>60.62</ns0:v>
      </ns0:c>
      <ns0:c r="N223" s="4">
        <ns0:v>38.52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46.27</ns0:v>
      </ns0:c>
      <ns0:c r="D224" s="4">
        <ns0:v>29.03</ns0:v>
      </ns0:c>
      <ns0:c r="E224" s="4">
        <ns0:v>42.60</ns0:v>
      </ns0:c>
      <ns0:c r="F224" s="4">
        <ns0:v>58.55</ns0:v>
      </ns0:c>
      <ns0:c r="G224" s="4">
        <ns0:v>62.31</ns0:v>
      </ns0:c>
      <ns0:c r="H224" s="4">
        <ns0:v>26.43</ns0:v>
      </ns0:c>
      <ns0:c r="I224" s="4">
        <ns0:v>36.58</ns0:v>
      </ns0:c>
      <ns0:c r="J224" s="4">
        <ns0:v>45.98</ns0:v>
      </ns0:c>
      <ns0:c r="K224" s="4">
        <ns0:v>57.85</ns0:v>
      </ns0:c>
      <ns0:c r="L224" s="4">
        <ns0:v>62.99</ns0:v>
      </ns0:c>
      <ns0:c r="M224" s="4">
        <ns0:v>38.23</ns0:v>
      </ns0:c>
      <ns0:c r="N224" s="4">
        <ns0:v>56.98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66.92</ns0:v>
      </ns0:c>
      <ns0:c r="D225" s="4">
        <ns0:v>42.44</ns0:v>
      </ns0:c>
      <ns0:c r="E225" s="4">
        <ns0:v>34.92</ns0:v>
      </ns0:c>
      <ns0:c r="F225" s="4">
        <ns0:v>35.02</ns0:v>
      </ns0:c>
      <ns0:c r="G225" s="4">
        <ns0:v>48.98</ns0:v>
      </ns0:c>
      <ns0:c r="H225" s="4">
        <ns0:v>63.92</ns0:v>
      </ns0:c>
      <ns0:c r="I225" s="4">
        <ns0:v>48.91</ns0:v>
      </ns0:c>
      <ns0:c r="J225" s="4">
        <ns0:v>52.30</ns0:v>
      </ns0:c>
      <ns0:c r="K225" s="4">
        <ns0:v>38.49</ns0:v>
      </ns0:c>
      <ns0:c r="L225" s="4">
        <ns0:v>40.61</ns0:v>
      </ns0:c>
      <ns0:c r="M225" s="4">
        <ns0:v>26.13</ns0:v>
      </ns0:c>
      <ns0:c r="N225" s="4">
        <ns0:v>48.91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33.99</ns0:v>
      </ns0:c>
      <ns0:c r="D226" s="4">
        <ns0:v>31.05</ns0:v>
      </ns0:c>
      <ns0:c r="E226" s="4">
        <ns0:v>48.36</ns0:v>
      </ns0:c>
      <ns0:c r="F226" s="4">
        <ns0:v>18.54</ns0:v>
      </ns0:c>
      <ns0:c r="G226" s="4">
        <ns0:v>39.86</ns0:v>
      </ns0:c>
      <ns0:c r="H226" s="4">
        <ns0:v>34.22</ns0:v>
      </ns0:c>
      <ns0:c r="I226" s="4">
        <ns0:v>58.41</ns0:v>
      </ns0:c>
      <ns0:c r="J226" s="4">
        <ns0:v>28.24</ns0:v>
      </ns0:c>
      <ns0:c r="K226" s="4">
        <ns0:v>51.70</ns0:v>
      </ns0:c>
      <ns0:c r="L226" s="4">
        <ns0:v>23.32</ns0:v>
      </ns0:c>
      <ns0:c r="M226" s="4">
        <ns0:v>34.33</ns0:v>
      </ns0:c>
      <ns0:c r="N226" s="4">
        <ns0:v>70.41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53.97</ns0:v>
      </ns0:c>
      <ns0:c r="D227" s="4">
        <ns0:v>53.54</ns0:v>
      </ns0:c>
      <ns0:c r="E227" s="4">
        <ns0:v>49.52</ns0:v>
      </ns0:c>
      <ns0:c r="F227" s="4">
        <ns0:v>51.17</ns0:v>
      </ns0:c>
      <ns0:c r="G227" s="4">
        <ns0:v>60.42</ns0:v>
      </ns0:c>
      <ns0:c r="H227" s="4">
        <ns0:v>38.29</ns0:v>
      </ns0:c>
      <ns0:c r="I227" s="4">
        <ns0:v>34.22</ns0:v>
      </ns0:c>
      <ns0:c r="J227" s="4">
        <ns0:v>34.93</ns0:v>
      </ns0:c>
      <ns0:c r="K227" s="4">
        <ns0:v>35.50</ns0:v>
      </ns0:c>
      <ns0:c r="L227" s="4">
        <ns0:v>59.53</ns0:v>
      </ns0:c>
      <ns0:c r="M227" s="4">
        <ns0:v>53.30</ns0:v>
      </ns0:c>
      <ns0:c r="N227" s="4">
        <ns0:v>44.26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19.61</ns0:v>
      </ns0:c>
      <ns0:c r="D228" s="4">
        <ns0:v>25.43</ns0:v>
      </ns0:c>
      <ns0:c r="E228" s="4">
        <ns0:v>20.11</ns0:v>
      </ns0:c>
      <ns0:c r="F228" s="4">
        <ns0:v>40.88</ns0:v>
      </ns0:c>
      <ns0:c r="G228" s="4">
        <ns0:v>66.65</ns0:v>
      </ns0:c>
      <ns0:c r="H228" s="4">
        <ns0:v>64.97</ns0:v>
      </ns0:c>
      <ns0:c r="I228" s="4">
        <ns0:v>20.37</ns0:v>
      </ns0:c>
      <ns0:c r="J228" s="4">
        <ns0:v>41.17</ns0:v>
      </ns0:c>
      <ns0:c r="K228" s="4">
        <ns0:v>53.49</ns0:v>
      </ns0:c>
      <ns0:c r="L228" s="4">
        <ns0:v>57.11</ns0:v>
      </ns0:c>
      <ns0:c r="M228" s="4">
        <ns0:v>55.90</ns0:v>
      </ns0:c>
      <ns0:c r="N228" s="4">
        <ns0:v>65.93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31.78</ns0:v>
      </ns0:c>
      <ns0:c r="D230" s="4">
        <ns0:v>51.39</ns0:v>
      </ns0:c>
      <ns0:c r="E230" s="4">
        <ns0:v>53.85</ns0:v>
      </ns0:c>
      <ns0:c r="F230" s="4">
        <ns0:v>48.29</ns0:v>
      </ns0:c>
      <ns0:c r="G230" s="4">
        <ns0:v>70.08</ns0:v>
      </ns0:c>
      <ns0:c r="H230" s="4">
        <ns0:v>55.93</ns0:v>
      </ns0:c>
      <ns0:c r="I230" s="4">
        <ns0:v>71.71</ns0:v>
      </ns0:c>
      <ns0:c r="J230" s="4">
        <ns0:v>54.37</ns0:v>
      </ns0:c>
      <ns0:c r="K230" s="4">
        <ns0:v>36.94</ns0:v>
      </ns0:c>
      <ns0:c r="L230" s="4">
        <ns0:v>29.67</ns0:v>
      </ns0:c>
      <ns0:c r="M230" s="4">
        <ns0:v>43.56</ns0:v>
      </ns0:c>
      <ns0:c r="N230" s="4">
        <ns0:v>53.12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21.26</ns0:v>
      </ns0:c>
      <ns0:c r="D231" s="4">
        <ns0:v>32.91</ns0:v>
      </ns0:c>
      <ns0:c r="E231" s="4">
        <ns0:v>61.50</ns0:v>
      </ns0:c>
      <ns0:c r="F231" s="4">
        <ns0:v>71.72</ns0:v>
      </ns0:c>
      <ns0:c r="G231" s="4">
        <ns0:v>47.73</ns0:v>
      </ns0:c>
      <ns0:c r="H231" s="4">
        <ns0:v>21.59</ns0:v>
      </ns0:c>
      <ns0:c r="I231" s="4">
        <ns0:v>24.87</ns0:v>
      </ns0:c>
      <ns0:c r="J231" s="4">
        <ns0:v>62.85</ns0:v>
      </ns0:c>
      <ns0:c r="K231" s="4">
        <ns0:v>29.73</ns0:v>
      </ns0:c>
      <ns0:c r="L231" s="4">
        <ns0:v>30.01</ns0:v>
      </ns0:c>
      <ns0:c r="M231" s="4">
        <ns0:v>34.28</ns0:v>
      </ns0:c>
      <ns0:c r="N231" s="4">
        <ns0:v>50.19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27.11</ns0:v>
      </ns0:c>
      <ns0:c r="D232" s="4">
        <ns0:v>36.72</ns0:v>
      </ns0:c>
      <ns0:c r="E232" s="4">
        <ns0:v>75.80</ns0:v>
      </ns0:c>
      <ns0:c r="F232" s="4">
        <ns0:v>17.62</ns0:v>
      </ns0:c>
      <ns0:c r="G232" s="4">
        <ns0:v>33.49</ns0:v>
      </ns0:c>
      <ns0:c r="H232" s="4">
        <ns0:v>34.36</ns0:v>
      </ns0:c>
      <ns0:c r="I232" s="4">
        <ns0:v>32.90</ns0:v>
      </ns0:c>
      <ns0:c r="J232" s="4">
        <ns0:v>39.31</ns0:v>
      </ns0:c>
      <ns0:c r="K232" s="4">
        <ns0:v>56.10</ns0:v>
      </ns0:c>
      <ns0:c r="L232" s="4">
        <ns0:v>47.41</ns0:v>
      </ns0:c>
      <ns0:c r="M232" s="4">
        <ns0:v>47.63</ns0:v>
      </ns0:c>
      <ns0:c r="N232" s="4">
        <ns0:v>36.45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46.05</ns0:v>
      </ns0:c>
      <ns0:c r="D233" s="4">
        <ns0:v>54.01</ns0:v>
      </ns0:c>
      <ns0:c r="E233" s="4">
        <ns0:v>22.42</ns0:v>
      </ns0:c>
      <ns0:c r="F233" s="4">
        <ns0:v>58.90</ns0:v>
      </ns0:c>
      <ns0:c r="G233" s="4">
        <ns0:v>50.80</ns0:v>
      </ns0:c>
      <ns0:c r="H233" s="4">
        <ns0:v>54.11</ns0:v>
      </ns0:c>
      <ns0:c r="I233" s="4">
        <ns0:v>29.92</ns0:v>
      </ns0:c>
      <ns0:c r="J233" s="4">
        <ns0:v>43.71</ns0:v>
      </ns0:c>
      <ns0:c r="K233" s="4">
        <ns0:v>26.90</ns0:v>
      </ns0:c>
      <ns0:c r="L233" s="4">
        <ns0:v>62.11</ns0:v>
      </ns0:c>
      <ns0:c r="M233" s="4">
        <ns0:v>31.60</ns0:v>
      </ns0:c>
      <ns0:c r="N233" s="4">
        <ns0:v>24.13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2.68</ns0:v>
      </ns0:c>
      <ns0:c r="D324" s="4">
        <ns0:v>4.87</ns0:v>
      </ns0:c>
      <ns0:c r="E324" s="4">
        <ns0:v>7.65</ns0:v>
      </ns0:c>
      <ns0:c r="F324" s="4">
        <ns0:v>9.53</ns0:v>
      </ns0:c>
      <ns0:c r="G324" s="4">
        <ns0:v>2.75</ns0:v>
      </ns0:c>
      <ns0:c r="H324" s="4">
        <ns0:v>4.12</ns0:v>
      </ns0:c>
      <ns0:c r="I324" s="4">
        <ns0:v>8.98</ns0:v>
      </ns0:c>
      <ns0:c r="J324" s="4">
        <ns0:v>6.70</ns0:v>
      </ns0:c>
      <ns0:c r="K324" s="4">
        <ns0:v>4.74</ns0:v>
      </ns0:c>
      <ns0:c r="L324" s="4">
        <ns0:v>3.22</ns0:v>
      </ns0:c>
      <ns0:c r="M324" s="4">
        <ns0:v>7.25</ns0:v>
      </ns0:c>
      <ns0:c r="N324" s="4">
        <ns0:v>8.36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4.65</ns0:v>
      </ns0:c>
      <ns0:c r="D325" s="4">
        <ns0:v>3.44</ns0:v>
      </ns0:c>
      <ns0:c r="E325" s="4">
        <ns0:v>7.22</ns0:v>
      </ns0:c>
      <ns0:c r="F325" s="4">
        <ns0:v>3.77</ns0:v>
      </ns0:c>
      <ns0:c r="G325" s="4">
        <ns0:v>8.73</ns0:v>
      </ns0:c>
      <ns0:c r="H325" s="4">
        <ns0:v>3.10</ns0:v>
      </ns0:c>
      <ns0:c r="I325" s="4">
        <ns0:v>8.59</ns0:v>
      </ns0:c>
      <ns0:c r="J325" s="4">
        <ns0:v>3.32</ns0:v>
      </ns0:c>
      <ns0:c r="K325" s="4">
        <ns0:v>7.68</ns0:v>
      </ns0:c>
      <ns0:c r="L325" s="4">
        <ns0:v>4.03</ns0:v>
      </ns0:c>
      <ns0:c r="M325" s="4">
        <ns0:v>3.70</ns0:v>
      </ns0:c>
      <ns0:c r="N325" s="4">
        <ns0:v>5.95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4.36</ns0:v>
      </ns0:c>
      <ns0:c r="D326" s="4">
        <ns0:v>2.07</ns0:v>
      </ns0:c>
      <ns0:c r="E326" s="4">
        <ns0:v>2.25</ns0:v>
      </ns0:c>
      <ns0:c r="F326" s="4">
        <ns0:v>4.82</ns0:v>
      </ns0:c>
      <ns0:c r="G326" s="4">
        <ns0:v>8.82</ns0:v>
      </ns0:c>
      <ns0:c r="H326" s="4">
        <ns0:v>2.29</ns0:v>
      </ns0:c>
      <ns0:c r="I326" s="4">
        <ns0:v>4.42</ns0:v>
      </ns0:c>
      <ns0:c r="J326" s="4">
        <ns0:v>3.88</ns0:v>
      </ns0:c>
      <ns0:c r="K326" s="4">
        <ns0:v>3.50</ns0:v>
      </ns0:c>
      <ns0:c r="L326" s="4">
        <ns0:v>7.82</ns0:v>
      </ns0:c>
      <ns0:c r="M326" s="4">
        <ns0:v>3.69</ns0:v>
      </ns0:c>
      <ns0:c r="N326" s="4">
        <ns0:v>6.10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7.19</ns0:v>
      </ns0:c>
      <ns0:c r="D327" s="4">
        <ns0:v>2.88</ns0:v>
      </ns0:c>
      <ns0:c r="E327" s="4">
        <ns0:v>6.75</ns0:v>
      </ns0:c>
      <ns0:c r="F327" s="4">
        <ns0:v>8.43</ns0:v>
      </ns0:c>
      <ns0:c r="G327" s="4">
        <ns0:v>9.81</ns0:v>
      </ns0:c>
      <ns0:c r="H327" s="4">
        <ns0:v>7.33</ns0:v>
      </ns0:c>
      <ns0:c r="I327" s="4">
        <ns0:v>5.81</ns0:v>
      </ns0:c>
      <ns0:c r="J327" s="4">
        <ns0:v>7.68</ns0:v>
      </ns0:c>
      <ns0:c r="K327" s="4">
        <ns0:v>5.59</ns0:v>
      </ns0:c>
      <ns0:c r="L327" s="4">
        <ns0:v>2.64</ns0:v>
      </ns0:c>
      <ns0:c r="M327" s="4">
        <ns0:v>8.50</ns0:v>
      </ns0:c>
      <ns0:c r="N327" s="4">
        <ns0:v>6.43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2.53</ns0:v>
      </ns0:c>
      <ns0:c r="D328" s="4">
        <ns0:v>3.64</ns0:v>
      </ns0:c>
      <ns0:c r="E328" s="4">
        <ns0:v>3.48</ns0:v>
      </ns0:c>
      <ns0:c r="F328" s="4">
        <ns0:v>5.55</ns0:v>
      </ns0:c>
      <ns0:c r="G328" s="4">
        <ns0:v>2.19</ns0:v>
      </ns0:c>
      <ns0:c r="H328" s="4">
        <ns0:v>8.02</ns0:v>
      </ns0:c>
      <ns0:c r="I328" s="4">
        <ns0:v>7.30</ns0:v>
      </ns0:c>
      <ns0:c r="J328" s="4">
        <ns0:v>9.60</ns0:v>
      </ns0:c>
      <ns0:c r="K328" s="4">
        <ns0:v>7.18</ns0:v>
      </ns0:c>
      <ns0:c r="L328" s="4">
        <ns0:v>3.77</ns0:v>
      </ns0:c>
      <ns0:c r="M328" s="4">
        <ns0:v>6.27</ns0:v>
      </ns0:c>
      <ns0:c r="N328" s="4">
        <ns0:v>6.98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5.75</ns0:v>
      </ns0:c>
      <ns0:c r="D329" s="4">
        <ns0:v>6.78</ns0:v>
      </ns0:c>
      <ns0:c r="E329" s="4">
        <ns0:v>8.33</ns0:v>
      </ns0:c>
      <ns0:c r="F329" s="4">
        <ns0:v>2.37</ns0:v>
      </ns0:c>
      <ns0:c r="G329" s="4">
        <ns0:v>6.91</ns0:v>
      </ns0:c>
      <ns0:c r="H329" s="4">
        <ns0:v>8.01</ns0:v>
      </ns0:c>
      <ns0:c r="I329" s="4">
        <ns0:v>6.05</ns0:v>
      </ns0:c>
      <ns0:c r="J329" s="4">
        <ns0:v>3.06</ns0:v>
      </ns0:c>
      <ns0:c r="K329" s="4">
        <ns0:v>4.03</ns0:v>
      </ns0:c>
      <ns0:c r="L329" s="4">
        <ns0:v>5.23</ns0:v>
      </ns0:c>
      <ns0:c r="M329" s="4">
        <ns0:v>7.88</ns0:v>
      </ns0:c>
      <ns0:c r="N329" s="4">
        <ns0:v>2.46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7.64</ns0:v>
      </ns0:c>
      <ns0:c r="D330" s="4">
        <ns0:v>8.50</ns0:v>
      </ns0:c>
      <ns0:c r="E330" s="4">
        <ns0:v>7.06</ns0:v>
      </ns0:c>
      <ns0:c r="F330" s="4">
        <ns0:v>8.25</ns0:v>
      </ns0:c>
      <ns0:c r="G330" s="4">
        <ns0:v>8.15</ns0:v>
      </ns0:c>
      <ns0:c r="H330" s="4">
        <ns0:v>3.56</ns0:v>
      </ns0:c>
      <ns0:c r="I330" s="4">
        <ns0:v>6.40</ns0:v>
      </ns0:c>
      <ns0:c r="J330" s="4">
        <ns0:v>3.31</ns0:v>
      </ns0:c>
      <ns0:c r="K330" s="4">
        <ns0:v>6.11</ns0:v>
      </ns0:c>
      <ns0:c r="L330" s="4">
        <ns0:v>2.43</ns0:v>
      </ns0:c>
      <ns0:c r="M330" s="4">
        <ns0:v>2.99</ns0:v>
      </ns0:c>
      <ns0:c r="N330" s="4">
        <ns0:v>8.20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4.33</ns0:v>
      </ns0:c>
      <ns0:c r="D331" s="4">
        <ns0:v>9.74</ns0:v>
      </ns0:c>
      <ns0:c r="E331" s="4">
        <ns0:v>4.27</ns0:v>
      </ns0:c>
      <ns0:c r="F331" s="4">
        <ns0:v>6.19</ns0:v>
      </ns0:c>
      <ns0:c r="G331" s="4">
        <ns0:v>4.87</ns0:v>
      </ns0:c>
      <ns0:c r="H331" s="4">
        <ns0:v>4.04</ns0:v>
      </ns0:c>
      <ns0:c r="I331" s="4">
        <ns0:v>8.85</ns0:v>
      </ns0:c>
      <ns0:c r="J331" s="4">
        <ns0:v>5.11</ns0:v>
      </ns0:c>
      <ns0:c r="K331" s="4">
        <ns0:v>5.54</ns0:v>
      </ns0:c>
      <ns0:c r="L331" s="4">
        <ns0:v>6.57</ns0:v>
      </ns0:c>
      <ns0:c r="M331" s="4">
        <ns0:v>4.41</ns0:v>
      </ns0:c>
      <ns0:c r="N331" s="4">
        <ns0:v>5.92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6.58</ns0:v>
      </ns0:c>
      <ns0:c r="D332" s="4">
        <ns0:v>5.74</ns0:v>
      </ns0:c>
      <ns0:c r="E332" s="4">
        <ns0:v>4.62</ns0:v>
      </ns0:c>
      <ns0:c r="F332" s="4">
        <ns0:v>5.68</ns0:v>
      </ns0:c>
      <ns0:c r="G332" s="4">
        <ns0:v>9.23</ns0:v>
      </ns0:c>
      <ns0:c r="H332" s="4">
        <ns0:v>8.11</ns0:v>
      </ns0:c>
      <ns0:c r="I332" s="4">
        <ns0:v>7.15</ns0:v>
      </ns0:c>
      <ns0:c r="J332" s="4">
        <ns0:v>5.23</ns0:v>
      </ns0:c>
      <ns0:c r="K332" s="4">
        <ns0:v>5.10</ns0:v>
      </ns0:c>
      <ns0:c r="L332" s="4">
        <ns0:v>2.79</ns0:v>
      </ns0:c>
      <ns0:c r="M332" s="4">
        <ns0:v>5.06</ns0:v>
      </ns0:c>
      <ns0:c r="N332" s="4">
        <ns0:v>5.58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5.30</ns0:v>
      </ns0:c>
      <ns0:c r="D333" s="4">
        <ns0:v>7.84</ns0:v>
      </ns0:c>
      <ns0:c r="E333" s="4">
        <ns0:v>4.01</ns0:v>
      </ns0:c>
      <ns0:c r="F333" s="4">
        <ns0:v>4.13</ns0:v>
      </ns0:c>
      <ns0:c r="G333" s="4">
        <ns0:v>5.64</ns0:v>
      </ns0:c>
      <ns0:c r="H333" s="4">
        <ns0:v>5.25</ns0:v>
      </ns0:c>
      <ns0:c r="I333" s="4">
        <ns0:v>9.24</ns0:v>
      </ns0:c>
      <ns0:c r="J333" s="4">
        <ns0:v>6.43</ns0:v>
      </ns0:c>
      <ns0:c r="K333" s="4">
        <ns0:v>8.72</ns0:v>
      </ns0:c>
      <ns0:c r="L333" s="4">
        <ns0:v>6.79</ns0:v>
      </ns0:c>
      <ns0:c r="M333" s="4">
        <ns0:v>7.72</ns0:v>
      </ns0:c>
      <ns0:c r="N333" s="4">
        <ns0:v>6.11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7.23</ns0:v>
      </ns0:c>
      <ns0:c r="D334" s="4">
        <ns0:v>3.77</ns0:v>
      </ns0:c>
      <ns0:c r="E334" s="4">
        <ns0:v>5.45</ns0:v>
      </ns0:c>
      <ns0:c r="F334" s="4">
        <ns0:v>7.23</ns0:v>
      </ns0:c>
      <ns0:c r="G334" s="4">
        <ns0:v>6.39</ns0:v>
      </ns0:c>
      <ns0:c r="H334" s="4">
        <ns0:v>4.75</ns0:v>
      </ns0:c>
      <ns0:c r="I334" s="4">
        <ns0:v>6.40</ns0:v>
      </ns0:c>
      <ns0:c r="J334" s="4">
        <ns0:v>7.73</ns0:v>
      </ns0:c>
      <ns0:c r="K334" s="4">
        <ns0:v>7.75</ns0:v>
      </ns0:c>
      <ns0:c r="L334" s="4">
        <ns0:v>4.91</ns0:v>
      </ns0:c>
      <ns0:c r="M334" s="4">
        <ns0:v>6.05</ns0:v>
      </ns0:c>
      <ns0:c r="N334" s="4">
        <ns0:v>5.98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4.99</ns0:v>
      </ns0:c>
      <ns0:c r="D335" s="4">
        <ns0:v>3.48</ns0:v>
      </ns0:c>
      <ns0:c r="E335" s="4">
        <ns0:v>2.73</ns0:v>
      </ns0:c>
      <ns0:c r="F335" s="4">
        <ns0:v>5.22</ns0:v>
      </ns0:c>
      <ns0:c r="G335" s="4">
        <ns0:v>5.15</ns0:v>
      </ns0:c>
      <ns0:c r="H335" s="4">
        <ns0:v>7.42</ns0:v>
      </ns0:c>
      <ns0:c r="I335" s="4">
        <ns0:v>3.60</ns0:v>
      </ns0:c>
      <ns0:c r="J335" s="4">
        <ns0:v>7.43</ns0:v>
      </ns0:c>
      <ns0:c r="K335" s="4">
        <ns0:v>8.02</ns0:v>
      </ns0:c>
      <ns0:c r="L335" s="4">
        <ns0:v>4.84</ns0:v>
      </ns0:c>
      <ns0:c r="M335" s="4">
        <ns0:v>4.66</ns0:v>
      </ns0:c>
      <ns0:c r="N335" s="4">
        <ns0:v>9.31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3.89</ns0:v>
      </ns0:c>
      <ns0:c r="D336" s="4">
        <ns0:v>2.93</ns0:v>
      </ns0:c>
      <ns0:c r="E336" s="4">
        <ns0:v>3.64</ns0:v>
      </ns0:c>
      <ns0:c r="F336" s="4">
        <ns0:v>3.63</ns0:v>
      </ns0:c>
      <ns0:c r="G336" s="4">
        <ns0:v>7.81</ns0:v>
      </ns0:c>
      <ns0:c r="H336" s="4">
        <ns0:v>3.80</ns0:v>
      </ns0:c>
      <ns0:c r="I336" s="4">
        <ns0:v>4.50</ns0:v>
      </ns0:c>
      <ns0:c r="J336" s="4">
        <ns0:v>6.98</ns0:v>
      </ns0:c>
      <ns0:c r="K336" s="4">
        <ns0:v>2.57</ns0:v>
      </ns0:c>
      <ns0:c r="L336" s="4">
        <ns0:v>5.99</ns0:v>
      </ns0:c>
      <ns0:c r="M336" s="4">
        <ns0:v>4.86</ns0:v>
      </ns0:c>
      <ns0:c r="N336" s="4">
        <ns0:v>5.11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3.04</ns0:v>
      </ns0:c>
      <ns0:c r="D337" s="4">
        <ns0:v>8.18</ns0:v>
      </ns0:c>
      <ns0:c r="E337" s="4">
        <ns0:v>2.79</ns0:v>
      </ns0:c>
      <ns0:c r="F337" s="4">
        <ns0:v>8.14</ns0:v>
      </ns0:c>
      <ns0:c r="G337" s="4">
        <ns0:v>3.89</ns0:v>
      </ns0:c>
      <ns0:c r="H337" s="4">
        <ns0:v>5.07</ns0:v>
      </ns0:c>
      <ns0:c r="I337" s="4">
        <ns0:v>4.55</ns0:v>
      </ns0:c>
      <ns0:c r="J337" s="4">
        <ns0:v>5.03</ns0:v>
      </ns0:c>
      <ns0:c r="K337" s="4">
        <ns0:v>3.47</ns0:v>
      </ns0:c>
      <ns0:c r="L337" s="4">
        <ns0:v>7.50</ns0:v>
      </ns0:c>
      <ns0:c r="M337" s="4">
        <ns0:v>4.50</ns0:v>
      </ns0:c>
      <ns0:c r="N337" s="4">
        <ns0:v>6.76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2.40</ns0:v>
      </ns0:c>
      <ns0:c r="D338" s="4">
        <ns0:v>5.96</ns0:v>
      </ns0:c>
      <ns0:c r="E338" s="4">
        <ns0:v>3.57</ns0:v>
      </ns0:c>
      <ns0:c r="F338" s="4">
        <ns0:v>3.75</ns0:v>
      </ns0:c>
      <ns0:c r="G338" s="4">
        <ns0:v>4.02</ns0:v>
      </ns0:c>
      <ns0:c r="H338" s="4">
        <ns0:v>8.13</ns0:v>
      </ns0:c>
      <ns0:c r="I338" s="4">
        <ns0:v>3.01</ns0:v>
      </ns0:c>
      <ns0:c r="J338" s="4">
        <ns0:v>4.92</ns0:v>
      </ns0:c>
      <ns0:c r="K338" s="4">
        <ns0:v>6.87</ns0:v>
      </ns0:c>
      <ns0:c r="L338" s="4">
        <ns0:v>3.95</ns0:v>
      </ns0:c>
      <ns0:c r="M338" s="4">
        <ns0:v>3.93</ns0:v>
      </ns0:c>
      <ns0:c r="N338" s="4">
        <ns0:v>4.48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5.54</ns0:v>
      </ns0:c>
      <ns0:c r="D339" s="4">
        <ns0:v>3.89</ns0:v>
      </ns0:c>
      <ns0:c r="E339" s="4">
        <ns0:v>9.81</ns0:v>
      </ns0:c>
      <ns0:c r="F339" s="4">
        <ns0:v>9.23</ns0:v>
      </ns0:c>
      <ns0:c r="G339" s="4">
        <ns0:v>8.01</ns0:v>
      </ns0:c>
      <ns0:c r="H339" s="4">
        <ns0:v>8.88</ns0:v>
      </ns0:c>
      <ns0:c r="I339" s="4">
        <ns0:v>5.02</ns0:v>
      </ns0:c>
      <ns0:c r="J339" s="4">
        <ns0:v>5.85</ns0:v>
      </ns0:c>
      <ns0:c r="K339" s="4">
        <ns0:v>7.50</ns0:v>
      </ns0:c>
      <ns0:c r="L339" s="4">
        <ns0:v>3.16</ns0:v>
      </ns0:c>
      <ns0:c r="M339" s="4">
        <ns0:v>2.91</ns0:v>
      </ns0:c>
      <ns0:c r="N339" s="4">
        <ns0:v>7.36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6.66</ns0:v>
      </ns0:c>
      <ns0:c r="D341" s="4">
        <ns0:v>2.92</ns0:v>
      </ns0:c>
      <ns0:c r="E341" s="4">
        <ns0:v>5.73</ns0:v>
      </ns0:c>
      <ns0:c r="F341" s="4">
        <ns0:v>2.95</ns0:v>
      </ns0:c>
      <ns0:c r="G341" s="4">
        <ns0:v>7.59</ns0:v>
      </ns0:c>
      <ns0:c r="H341" s="4">
        <ns0:v>8.59</ns0:v>
      </ns0:c>
      <ns0:c r="I341" s="4">
        <ns0:v>7.84</ns0:v>
      </ns0:c>
      <ns0:c r="J341" s="4">
        <ns0:v>4.14</ns0:v>
      </ns0:c>
      <ns0:c r="K341" s="4">
        <ns0:v>3.27</ns0:v>
      </ns0:c>
      <ns0:c r="L341" s="4">
        <ns0:v>5.96</ns0:v>
      </ns0:c>
      <ns0:c r="M341" s="4">
        <ns0:v>6.57</ns0:v>
      </ns0:c>
      <ns0:c r="N341" s="4">
        <ns0:v>8.92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6.03</ns0:v>
      </ns0:c>
      <ns0:c r="D342" s="4">
        <ns0:v>7.87</ns0:v>
      </ns0:c>
      <ns0:c r="E342" s="4">
        <ns0:v>2.34</ns0:v>
      </ns0:c>
      <ns0:c r="F342" s="4">
        <ns0:v>6.25</ns0:v>
      </ns0:c>
      <ns0:c r="G342" s="4">
        <ns0:v>7.75</ns0:v>
      </ns0:c>
      <ns0:c r="H342" s="4">
        <ns0:v>9.16</ns0:v>
      </ns0:c>
      <ns0:c r="I342" s="4">
        <ns0:v>2.30</ns0:v>
      </ns0:c>
      <ns0:c r="J342" s="4">
        <ns0:v>4.76</ns0:v>
      </ns0:c>
      <ns0:c r="K342" s="4">
        <ns0:v>5.39</ns0:v>
      </ns0:c>
      <ns0:c r="L342" s="4">
        <ns0:v>7.28</ns0:v>
      </ns0:c>
      <ns0:c r="M342" s="4">
        <ns0:v>4.16</ns0:v>
      </ns0:c>
      <ns0:c r="N342" s="4">
        <ns0:v>4.97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7.05</ns0:v>
      </ns0:c>
      <ns0:c r="D343" s="4">
        <ns0:v>5.09</ns0:v>
      </ns0:c>
      <ns0:c r="E343" s="4">
        <ns0:v>6.30</ns0:v>
      </ns0:c>
      <ns0:c r="F343" s="4">
        <ns0:v>8.85</ns0:v>
      </ns0:c>
      <ns0:c r="G343" s="4">
        <ns0:v>6.01</ns0:v>
      </ns0:c>
      <ns0:c r="H343" s="4">
        <ns0:v>7.14</ns0:v>
      </ns0:c>
      <ns0:c r="I343" s="4">
        <ns0:v>4.82</ns0:v>
      </ns0:c>
      <ns0:c r="J343" s="4">
        <ns0:v>7.19</ns0:v>
      </ns0:c>
      <ns0:c r="K343" s="4">
        <ns0:v>7.29</ns0:v>
      </ns0:c>
      <ns0:c r="L343" s="4">
        <ns0:v>5.82</ns0:v>
      </ns0:c>
      <ns0:c r="M343" s="4">
        <ns0:v>7.32</ns0:v>
      </ns0:c>
      <ns0:c r="N343" s="4">
        <ns0:v>4.77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2.90</ns0:v>
      </ns0:c>
      <ns0:c r="D344" s="4">
        <ns0:v>6.23</ns0:v>
      </ns0:c>
      <ns0:c r="E344" s="4">
        <ns0:v>4.23</ns0:v>
      </ns0:c>
      <ns0:c r="F344" s="4">
        <ns0:v>5.75</ns0:v>
      </ns0:c>
      <ns0:c r="G344" s="4">
        <ns0:v>3.66</ns0:v>
      </ns0:c>
      <ns0:c r="H344" s="4">
        <ns0:v>4.02</ns0:v>
      </ns0:c>
      <ns0:c r="I344" s="4">
        <ns0:v>4.10</ns0:v>
      </ns0:c>
      <ns0:c r="J344" s="4">
        <ns0:v>2.32</ns0:v>
      </ns0:c>
      <ns0:c r="K344" s="4">
        <ns0:v>7.59</ns0:v>
      </ns0:c>
      <ns0:c r="L344" s="4">
        <ns0:v>7.43</ns0:v>
      </ns0:c>
      <ns0:c r="M344" s="4">
        <ns0:v>7.39</ns0:v>
      </ns0:c>
      <ns0:c r="N344" s="4">
        <ns0:v>4.35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9.77</ns0:v>
      </ns0:c>
      <ns0:c r="D345" s="4">
        <ns0:v>2.57</ns0:v>
      </ns0:c>
      <ns0:c r="E345" s="4">
        <ns0:v>9.07</ns0:v>
      </ns0:c>
      <ns0:c r="F345" s="4">
        <ns0:v>3.35</ns0:v>
      </ns0:c>
      <ns0:c r="G345" s="4">
        <ns0:v>5.01</ns0:v>
      </ns0:c>
      <ns0:c r="H345" s="4">
        <ns0:v>5.30</ns0:v>
      </ns0:c>
      <ns0:c r="I345" s="4">
        <ns0:v>8.27</ns0:v>
      </ns0:c>
      <ns0:c r="J345" s="4">
        <ns0:v>4.84</ns0:v>
      </ns0:c>
      <ns0:c r="K345" s="4">
        <ns0:v>6.22</ns0:v>
      </ns0:c>
      <ns0:c r="L345" s="4">
        <ns0:v>3.60</ns0:v>
      </ns0:c>
      <ns0:c r="M345" s="4">
        <ns0:v>9.24</ns0:v>
      </ns0:c>
      <ns0:c r="N345" s="4">
        <ns0:v>6.01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5.05</ns0:v>
      </ns0:c>
      <ns0:c r="D346" s="4">
        <ns0:v>8.73</ns0:v>
      </ns0:c>
      <ns0:c r="E346" s="4">
        <ns0:v>6.05</ns0:v>
      </ns0:c>
      <ns0:c r="F346" s="4">
        <ns0:v>4.70</ns0:v>
      </ns0:c>
      <ns0:c r="G346" s="4">
        <ns0:v>7.78</ns0:v>
      </ns0:c>
      <ns0:c r="H346" s="4">
        <ns0:v>4.72</ns0:v>
      </ns0:c>
      <ns0:c r="I346" s="4">
        <ns0:v>7.44</ns0:v>
      </ns0:c>
      <ns0:c r="J346" s="4">
        <ns0:v>5.48</ns0:v>
      </ns0:c>
      <ns0:c r="K346" s="4">
        <ns0:v>4.97</ns0:v>
      </ns0:c>
      <ns0:c r="L346" s="4">
        <ns0:v>4.50</ns0:v>
      </ns0:c>
      <ns0:c r="M346" s="4">
        <ns0:v>3.04</ns0:v>
      </ns0:c>
      <ns0:c r="N346" s="4">
        <ns0:v>6.32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6.51</ns0:v>
      </ns0:c>
      <ns0:c r="D347" s="4">
        <ns0:v>9.33</ns0:v>
      </ns0:c>
      <ns0:c r="E347" s="4">
        <ns0:v>7.45</ns0:v>
      </ns0:c>
      <ns0:c r="F347" s="4">
        <ns0:v>2.64</ns0:v>
      </ns0:c>
      <ns0:c r="G347" s="4">
        <ns0:v>2.72</ns0:v>
      </ns0:c>
      <ns0:c r="H347" s="4">
        <ns0:v>8.65</ns0:v>
      </ns0:c>
      <ns0:c r="I347" s="4">
        <ns0:v>4.24</ns0:v>
      </ns0:c>
      <ns0:c r="J347" s="4">
        <ns0:v>3.25</ns0:v>
      </ns0:c>
      <ns0:c r="K347" s="4">
        <ns0:v>3.12</ns0:v>
      </ns0:c>
      <ns0:c r="L347" s="4">
        <ns0:v>3.67</ns0:v>
      </ns0:c>
      <ns0:c r="M347" s="4">
        <ns0:v>6.33</ns0:v>
      </ns0:c>
      <ns0:c r="N347" s="4">
        <ns0:v>7.34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2.49</ns0:v>
      </ns0:c>
      <ns0:c r="D348" s="4">
        <ns0:v>7.62</ns0:v>
      </ns0:c>
      <ns0:c r="E348" s="4">
        <ns0:v>8.31</ns0:v>
      </ns0:c>
      <ns0:c r="F348" s="4">
        <ns0:v>6.73</ns0:v>
      </ns0:c>
      <ns0:c r="G348" s="4">
        <ns0:v>2.98</ns0:v>
      </ns0:c>
      <ns0:c r="H348" s="4">
        <ns0:v>3.71</ns0:v>
      </ns0:c>
      <ns0:c r="I348" s="4">
        <ns0:v>5.13</ns0:v>
      </ns0:c>
      <ns0:c r="J348" s="4">
        <ns0:v>5.36</ns0:v>
      </ns0:c>
      <ns0:c r="K348" s="4">
        <ns0:v>3.14</ns0:v>
      </ns0:c>
      <ns0:c r="L348" s="4">
        <ns0:v>9.05</ns0:v>
      </ns0:c>
      <ns0:c r="M348" s="4">
        <ns0:v>5.93</ns0:v>
      </ns0:c>
      <ns0:c r="N348" s="4">
        <ns0:v>4.80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2.25</ns0:v>
      </ns0:c>
      <ns0:c r="D350" s="4">
        <ns0:v>5.71</ns0:v>
      </ns0:c>
      <ns0:c r="E350" s="4">
        <ns0:v>4.49</ns0:v>
      </ns0:c>
      <ns0:c r="F350" s="4">
        <ns0:v>7.65</ns0:v>
      </ns0:c>
      <ns0:c r="G350" s="4">
        <ns0:v>6.28</ns0:v>
      </ns0:c>
      <ns0:c r="H350" s="4">
        <ns0:v>7.09</ns0:v>
      </ns0:c>
      <ns0:c r="I350" s="4">
        <ns0:v>7.53</ns0:v>
      </ns0:c>
      <ns0:c r="J350" s="4">
        <ns0:v>3.29</ns0:v>
      </ns0:c>
      <ns0:c r="K350" s="4">
        <ns0:v>3.28</ns0:v>
      </ns0:c>
      <ns0:c r="L350" s="4">
        <ns0:v>7.36</ns0:v>
      </ns0:c>
      <ns0:c r="M350" s="4">
        <ns0:v>4.25</ns0:v>
      </ns0:c>
      <ns0:c r="N350" s="4">
        <ns0:v>5.76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7.49</ns0:v>
      </ns0:c>
      <ns0:c r="D351" s="4">
        <ns0:v>6.51</ns0:v>
      </ns0:c>
      <ns0:c r="E351" s="4">
        <ns0:v>4.44</ns0:v>
      </ns0:c>
      <ns0:c r="F351" s="4">
        <ns0:v>2.84</ns0:v>
      </ns0:c>
      <ns0:c r="G351" s="4">
        <ns0:v>4.83</ns0:v>
      </ns0:c>
      <ns0:c r="H351" s="4">
        <ns0:v>5.73</ns0:v>
      </ns0:c>
      <ns0:c r="I351" s="4">
        <ns0:v>4.05</ns0:v>
      </ns0:c>
      <ns0:c r="J351" s="4">
        <ns0:v>6.89</ns0:v>
      </ns0:c>
      <ns0:c r="K351" s="4">
        <ns0:v>5.93</ns0:v>
      </ns0:c>
      <ns0:c r="L351" s="4">
        <ns0:v>3.63</ns0:v>
      </ns0:c>
      <ns0:c r="M351" s="4">
        <ns0:v>7.65</ns0:v>
      </ns0:c>
      <ns0:c r="N351" s="4">
        <ns0:v>6.49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2.58</ns0:v>
      </ns0:c>
      <ns0:c r="D352" s="4">
        <ns0:v>8.46</ns0:v>
      </ns0:c>
      <ns0:c r="E352" s="4">
        <ns0:v>8.44</ns0:v>
      </ns0:c>
      <ns0:c r="F352" s="4">
        <ns0:v>8.12</ns0:v>
      </ns0:c>
      <ns0:c r="G352" s="4">
        <ns0:v>5.80</ns0:v>
      </ns0:c>
      <ns0:c r="H352" s="4">
        <ns0:v>2.46</ns0:v>
      </ns0:c>
      <ns0:c r="I352" s="4">
        <ns0:v>2.56</ns0:v>
      </ns0:c>
      <ns0:c r="J352" s="4">
        <ns0:v>6.03</ns0:v>
      </ns0:c>
      <ns0:c r="K352" s="4">
        <ns0:v>7.09</ns0:v>
      </ns0:c>
      <ns0:c r="L352" s="4">
        <ns0:v>3.87</ns0:v>
      </ns0:c>
      <ns0:c r="M352" s="4">
        <ns0:v>4.75</ns0:v>
      </ns0:c>
      <ns0:c r="N352" s="4">
        <ns0:v>7.07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5.38</ns0:v>
      </ns0:c>
      <ns0:c r="D353" s="4">
        <ns0:v>6.94</ns0:v>
      </ns0:c>
      <ns0:c r="E353" s="4">
        <ns0:v>1.99</ns0:v>
      </ns0:c>
      <ns0:c r="F353" s="4">
        <ns0:v>2.58</ns0:v>
      </ns0:c>
      <ns0:c r="G353" s="4">
        <ns0:v>7.21</ns0:v>
      </ns0:c>
      <ns0:c r="H353" s="4">
        <ns0:v>2.57</ns0:v>
      </ns0:c>
      <ns0:c r="I353" s="4">
        <ns0:v>5.31</ns0:v>
      </ns0:c>
      <ns0:c r="J353" s="4">
        <ns0:v>3.39</ns0:v>
      </ns0:c>
      <ns0:c r="K353" s="4">
        <ns0:v>8.05</ns0:v>
      </ns0:c>
      <ns0:c r="L353" s="4">
        <ns0:v>6.36</ns0:v>
      </ns0:c>
      <ns0:c r="M353" s="4">
        <ns0:v>6.14</ns0:v>
      </ns0:c>
      <ns0:c r="N353" s="4">
        <ns0:v>4.12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0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16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'销售费用'!C4+'管理费用'!C4+'蓝恐龙费用'!C4</ns0:f>
        <ns0:v>586.22</ns0:v>
      </ns0:c>
      <ns0:c r="D4" s="3">
        <ns0:f>'销售费用'!D4+'管理费用'!D4+'蓝恐龙费用'!D4</ns0:f>
        <ns0:v>368.42</ns0:v>
      </ns0:c>
      <ns0:c r="E4" s="3">
        <ns0:f>'销售费用'!E4+'管理费用'!E4+'蓝恐龙费用'!E4</ns0:f>
        <ns0:v>662.07</ns0:v>
      </ns0:c>
      <ns0:c r="F4" s="3">
        <ns0:f>'销售费用'!F4+'管理费用'!F4+'蓝恐龙费用'!F4</ns0:f>
        <ns0:v>648.29</ns0:v>
      </ns0:c>
      <ns0:c r="G4" s="3">
        <ns0:f>'销售费用'!G4+'管理费用'!G4+'蓝恐龙费用'!G4</ns0:f>
        <ns0:v>491.50</ns0:v>
      </ns0:c>
      <ns0:c r="H4" s="3">
        <ns0:f>'销售费用'!H4+'管理费用'!H4+'蓝恐龙费用'!H4</ns0:f>
        <ns0:v>656.86</ns0:v>
      </ns0:c>
      <ns0:c r="I4" s="3">
        <ns0:f>'销售费用'!I4+'管理费用'!I4+'蓝恐龙费用'!I4</ns0:f>
        <ns0:v>927.65</ns0:v>
      </ns0:c>
      <ns0:c r="J4" s="3">
        <ns0:f>'销售费用'!J4+'管理费用'!J4+'蓝恐龙费用'!J4</ns0:f>
        <ns0:v>888.82</ns0:v>
      </ns0:c>
      <ns0:c r="K4" s="3">
        <ns0:f>'销售费用'!K4+'管理费用'!K4+'蓝恐龙费用'!K4</ns0:f>
        <ns0:v>654.12</ns0:v>
      </ns0:c>
      <ns0:c r="L4" s="3">
        <ns0:f>'销售费用'!L4+'管理费用'!L4+'蓝恐龙费用'!L4</ns0:f>
        <ns0:v>679.11</ns0:v>
      </ns0:c>
      <ns0:c r="M4" s="3">
        <ns0:f>'销售费用'!M4+'管理费用'!M4+'蓝恐龙费用'!M4</ns0:f>
        <ns0:v>871.65</ns0:v>
      </ns0:c>
      <ns0:c r="N4" s="3">
        <ns0:f>'销售费用'!N4+'管理费用'!N4+'蓝恐龙费用'!N4</ns0:f>
        <ns0:v>632.40</ns0:v>
      </ns0:c>
      <ns0:c r="O4" s="3">
        <ns0:f>SUM(C4:N4)</ns0:f>
        <ns0:v>8067.11</ns0:v>
      </ns0:c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'销售费用'!C5+'管理费用'!C5+'蓝恐龙费用'!C5</ns0:f>
        <ns0:v>748.12</ns0:v>
      </ns0:c>
      <ns0:c r="D5" s="3">
        <ns0:f>'销售费用'!D5+'管理费用'!D5+'蓝恐龙费用'!D5</ns0:f>
        <ns0:v>400.98</ns0:v>
      </ns0:c>
      <ns0:c r="E5" s="3">
        <ns0:f>'销售费用'!E5+'管理费用'!E5+'蓝恐龙费用'!E5</ns0:f>
        <ns0:v>1066.68</ns0:v>
      </ns0:c>
      <ns0:c r="F5" s="3">
        <ns0:f>'销售费用'!F5+'管理费用'!F5+'蓝恐龙费用'!F5</ns0:f>
        <ns0:v>447.30</ns0:v>
      </ns0:c>
      <ns0:c r="G5" s="3">
        <ns0:f>'销售费用'!G5+'管理费用'!G5+'蓝恐龙费用'!G5</ns0:f>
        <ns0:v>1269.40</ns0:v>
      </ns0:c>
      <ns0:c r="H5" s="3">
        <ns0:f>'销售费用'!H5+'管理费用'!H5+'蓝恐龙费用'!H5</ns0:f>
        <ns0:v>412.05</ns0:v>
      </ns0:c>
      <ns0:c r="I5" s="3">
        <ns0:f>'销售费用'!I5+'管理费用'!I5+'蓝恐龙费用'!I5</ns0:f>
        <ns0:v>751.53</ns0:v>
      </ns0:c>
      <ns0:c r="J5" s="3">
        <ns0:f>'销售费用'!J5+'管理费用'!J5+'蓝恐龙费用'!J5</ns0:f>
        <ns0:v>511.92</ns0:v>
      </ns0:c>
      <ns0:c r="K5" s="3">
        <ns0:f>'销售费用'!K5+'管理费用'!K5+'蓝恐龙费用'!K5</ns0:f>
        <ns0:v>1260.45</ns0:v>
      </ns0:c>
      <ns0:c r="L5" s="3">
        <ns0:f>'销售费用'!L5+'管理费用'!L5+'蓝恐龙费用'!L5</ns0:f>
        <ns0:v>304.76</ns0:v>
      </ns0:c>
      <ns0:c r="M5" s="3">
        <ns0:f>'销售费用'!M5+'管理费用'!M5+'蓝恐龙费用'!M5</ns0:f>
        <ns0:v>577.63</ns0:v>
      </ns0:c>
      <ns0:c r="N5" s="3">
        <ns0:f>'销售费用'!N5+'管理费用'!N5+'蓝恐龙费用'!N5</ns0:f>
        <ns0:v>491.03</ns0:v>
      </ns0:c>
      <ns0:c r="O5" s="3">
        <ns0:f>SUM(C5:N5)</ns0:f>
        <ns0:v>8241.85</ns0:v>
      </ns0:c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'销售费用'!C6+'管理费用'!C6+'蓝恐龙费用'!C6</ns0:f>
        <ns0:v>435.27</ns0:v>
      </ns0:c>
      <ns0:c r="D6" s="3">
        <ns0:f>'销售费用'!D6+'管理费用'!D6+'蓝恐龙费用'!D6</ns0:f>
        <ns0:v>309.47</ns0:v>
      </ns0:c>
      <ns0:c r="E6" s="3">
        <ns0:f>'销售费用'!E6+'管理费用'!E6+'蓝恐龙费用'!E6</ns0:f>
        <ns0:v>419.66</ns0:v>
      </ns0:c>
      <ns0:c r="F6" s="3">
        <ns0:f>'销售费用'!F6+'管理费用'!F6+'蓝恐龙费用'!F6</ns0:f>
        <ns0:v>643.74</ns0:v>
      </ns0:c>
      <ns0:c r="G6" s="3">
        <ns0:f>'销售费用'!G6+'管理费用'!G6+'蓝恐龙费用'!G6</ns0:f>
        <ns0:v>1183.36</ns0:v>
      </ns0:c>
      <ns0:c r="H6" s="3">
        <ns0:f>'销售费用'!H6+'管理费用'!H6+'蓝恐龙费用'!H6</ns0:f>
        <ns0:v>349.91</ns0:v>
      </ns0:c>
      <ns0:c r="I6" s="3">
        <ns0:f>'销售费用'!I6+'管理费用'!I6+'蓝恐龙费用'!I6</ns0:f>
        <ns0:v>563.72</ns0:v>
      </ns0:c>
      <ns0:c r="J6" s="3">
        <ns0:f>'销售费用'!J6+'管理费用'!J6+'蓝恐龙费用'!J6</ns0:f>
        <ns0:v>560.84</ns0:v>
      </ns0:c>
      <ns0:c r="K6" s="3">
        <ns0:f>'销售费用'!K6+'管理费用'!K6+'蓝恐龙费用'!K6</ns0:f>
        <ns0:v>486.26</ns0:v>
      </ns0:c>
      <ns0:c r="L6" s="3">
        <ns0:f>'销售费用'!L6+'管理费用'!L6+'蓝恐龙费用'!L6</ns0:f>
        <ns0:v>744.15</ns0:v>
      </ns0:c>
      <ns0:c r="M6" s="3">
        <ns0:f>'销售费用'!M6+'管理费用'!M6+'蓝恐龙费用'!M6</ns0:f>
        <ns0:v>537.71</ns0:v>
      </ns0:c>
      <ns0:c r="N6" s="3">
        <ns0:f>'销售费用'!N6+'管理费用'!N6+'蓝恐龙费用'!N6</ns0:f>
        <ns0:v>759.14</ns0:v>
      </ns0:c>
      <ns0:c r="O6" s="3">
        <ns0:f>SUM(C6:N6)</ns0:f>
        <ns0:v>6993.23</ns0:v>
      </ns0:c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'销售费用'!C7+'管理费用'!C7+'蓝恐龙费用'!C7</ns0:f>
        <ns0:v>837.61</ns0:v>
      </ns0:c>
      <ns0:c r="D7" s="3">
        <ns0:f>'销售费用'!D7+'管理费用'!D7+'蓝恐龙费用'!D7</ns0:f>
        <ns0:v>437.08</ns0:v>
      </ns0:c>
      <ns0:c r="E7" s="3">
        <ns0:f>'销售费用'!E7+'管理费用'!E7+'蓝恐龙费用'!E7</ns0:f>
        <ns0:v>547.04</ns0:v>
      </ns0:c>
      <ns0:c r="F7" s="3">
        <ns0:f>'销售费用'!F7+'管理费用'!F7+'蓝恐龙费用'!F7</ns0:f>
        <ns0:v>1069.91</ns0:v>
      </ns0:c>
      <ns0:c r="G7" s="3">
        <ns0:f>'销售费用'!G7+'管理费用'!G7+'蓝恐龙费用'!G7</ns0:f>
        <ns0:v>1031.72</ns0:v>
      </ns0:c>
      <ns0:c r="H7" s="3">
        <ns0:f>'销售费用'!H7+'管理费用'!H7+'蓝恐龙费用'!H7</ns0:f>
        <ns0:v>921.58</ns0:v>
      </ns0:c>
      <ns0:c r="I7" s="3">
        <ns0:f>'销售费用'!I7+'管理费用'!I7+'蓝恐龙费用'!I7</ns0:f>
        <ns0:v>1126.12</ns0:v>
      </ns0:c>
      <ns0:c r="J7" s="3">
        <ns0:f>'销售费用'!J7+'管理费用'!J7+'蓝恐龙费用'!J7</ns0:f>
        <ns0:v>908.39</ns0:v>
      </ns0:c>
      <ns0:c r="K7" s="3">
        <ns0:f>'销售费用'!K7+'管理费用'!K7+'蓝恐龙费用'!K7</ns0:f>
        <ns0:v>660.96</ns0:v>
      </ns0:c>
      <ns0:c r="L7" s="3">
        <ns0:f>'销售费用'!L7+'管理费用'!L7+'蓝恐龙费用'!L7</ns0:f>
        <ns0:v>538.98</ns0:v>
      </ns0:c>
      <ns0:c r="M7" s="3">
        <ns0:f>'销售费用'!M7+'管理费用'!M7+'蓝恐龙费用'!M7</ns0:f>
        <ns0:v>1058.72</ns0:v>
      </ns0:c>
      <ns0:c r="N7" s="3">
        <ns0:f>'销售费用'!N7+'管理费用'!N7+'蓝恐龙费用'!N7</ns0:f>
        <ns0:v>913.92</ns0:v>
      </ns0:c>
      <ns0:c r="O7" s="3">
        <ns0:f>SUM(C7:N7)</ns0:f>
        <ns0:v>10052.03</ns0:v>
      </ns0:c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'销售费用'!C8+'管理费用'!C8+'蓝恐龙费用'!C8</ns0:f>
        <ns0:v>647.87</ns0:v>
      </ns0:c>
      <ns0:c r="D8" s="3">
        <ns0:f>'销售费用'!D8+'管理费用'!D8+'蓝恐龙费用'!D8</ns0:f>
        <ns0:v>937.36</ns0:v>
      </ns0:c>
      <ns0:c r="E8" s="3">
        <ns0:f>'销售费用'!E8+'管理费用'!E8+'蓝恐龙费用'!E8</ns0:f>
        <ns0:v>612.66</ns0:v>
      </ns0:c>
      <ns0:c r="F8" s="3">
        <ns0:f>'销售费用'!F8+'管理费用'!F8+'蓝恐龙费用'!F8</ns0:f>
        <ns0:v>569.68</ns0:v>
      </ns0:c>
      <ns0:c r="G8" s="3">
        <ns0:f>'销售费用'!G8+'管理费用'!G8+'蓝恐龙费用'!G8</ns0:f>
        <ns0:v>460.37</ns0:v>
      </ns0:c>
      <ns0:c r="H8" s="3">
        <ns0:f>'销售费用'!H8+'管理费用'!H8+'蓝恐龙费用'!H8</ns0:f>
        <ns0:v>1061.88</ns0:v>
      </ns0:c>
      <ns0:c r="I8" s="3">
        <ns0:f>'销售费用'!I8+'管理费用'!I8+'蓝恐龙费用'!I8</ns0:f>
        <ns0:v>751.65</ns0:v>
      </ns0:c>
      <ns0:c r="J8" s="3">
        <ns0:f>'销售费用'!J8+'管理费用'!J8+'蓝恐龙费用'!J8</ns0:f>
        <ns0:v>1030.78</ns0:v>
      </ns0:c>
      <ns0:c r="K8" s="3">
        <ns0:f>'销售费用'!K8+'管理费用'!K8+'蓝恐龙费用'!K8</ns0:f>
        <ns0:v>731.97</ns0:v>
      </ns0:c>
      <ns0:c r="L8" s="3">
        <ns0:f>'销售费用'!L8+'管理费用'!L8+'蓝恐龙费用'!L8</ns0:f>
        <ns0:v>847.42</ns0:v>
      </ns0:c>
      <ns0:c r="M8" s="3">
        <ns0:f>'销售费用'!M8+'管理费用'!M8+'蓝恐龙费用'!M8</ns0:f>
        <ns0:v>567.05</ns0:v>
      </ns0:c>
      <ns0:c r="N8" s="3">
        <ns0:f>'销售费用'!N8+'管理费用'!N8+'蓝恐龙费用'!N8</ns0:f>
        <ns0:v>1065.03</ns0:v>
      </ns0:c>
      <ns0:c r="O8" s="3">
        <ns0:f>SUM(C8:N8)</ns0:f>
        <ns0:v>9283.72</ns0:v>
      </ns0:c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'销售费用'!C9+'管理费用'!C9+'蓝恐龙费用'!C9</ns0:f>
        <ns0:v>873.01</ns0:v>
      </ns0:c>
      <ns0:c r="D9" s="3">
        <ns0:f>'销售费用'!D9+'管理费用'!D9+'蓝恐龙费用'!D9</ns0:f>
        <ns0:v>890.55</ns0:v>
      </ns0:c>
      <ns0:c r="E9" s="3">
        <ns0:f>'销售费用'!E9+'管理费用'!E9+'蓝恐龙费用'!E9</ns0:f>
        <ns0:v>893.01</ns0:v>
      </ns0:c>
      <ns0:c r="F9" s="3">
        <ns0:f>'销售费用'!F9+'管理费用'!F9+'蓝恐龙费用'!F9</ns0:f>
        <ns0:v>651.74</ns0:v>
      </ns0:c>
      <ns0:c r="G9" s="3">
        <ns0:f>'销售费用'!G9+'管理费用'!G9+'蓝恐龙费用'!G9</ns0:f>
        <ns0:v>720.45</ns0:v>
      </ns0:c>
      <ns0:c r="H9" s="3">
        <ns0:f>'销售费用'!H9+'管理费用'!H9+'蓝恐龙费用'!H9</ns0:f>
        <ns0:v>728.81</ns0:v>
      </ns0:c>
      <ns0:c r="I9" s="3">
        <ns0:f>'销售费用'!I9+'管理费用'!I9+'蓝恐龙费用'!I9</ns0:f>
        <ns0:v>912.14</ns0:v>
      </ns0:c>
      <ns0:c r="J9" s="3">
        <ns0:f>'销售费用'!J9+'管理费用'!J9+'蓝恐龙费用'!J9</ns0:f>
        <ns0:v>347.85</ns0:v>
      </ns0:c>
      <ns0:c r="K9" s="3">
        <ns0:f>'销售费用'!K9+'管理费用'!K9+'蓝恐龙费用'!K9</ns0:f>
        <ns0:v>668.98</ns0:v>
      </ns0:c>
      <ns0:c r="L9" s="3">
        <ns0:f>'销售费用'!L9+'管理费用'!L9+'蓝恐龙费用'!L9</ns0:f>
        <ns0:v>570.46</ns0:v>
      </ns0:c>
      <ns0:c r="M9" s="3">
        <ns0:f>'销售费用'!M9+'管理费用'!M9+'蓝恐龙费用'!M9</ns0:f>
        <ns0:v>751.88</ns0:v>
      </ns0:c>
      <ns0:c r="N9" s="3">
        <ns0:f>'销售费用'!N9+'管理费用'!N9+'蓝恐龙费用'!N9</ns0:f>
        <ns0:v>789.43</ns0:v>
      </ns0:c>
      <ns0:c r="O9" s="3">
        <ns0:f>SUM(C9:N9)</ns0:f>
        <ns0:v>8798.31</ns0:v>
      </ns0:c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'销售费用'!C10+'管理费用'!C10+'蓝恐龙费用'!C10</ns0:f>
        <ns0:v>806.27</ns0:v>
      </ns0:c>
      <ns0:c r="D10" s="3">
        <ns0:f>'销售费用'!D10+'管理费用'!D10+'蓝恐龙费用'!D10</ns0:f>
        <ns0:v>1028.98</ns0:v>
      </ns0:c>
      <ns0:c r="E10" s="3">
        <ns0:f>'销售费用'!E10+'管理费用'!E10+'蓝恐龙费用'!E10</ns0:f>
        <ns0:v>747.78</ns0:v>
      </ns0:c>
      <ns0:c r="F10" s="3">
        <ns0:f>'销售费用'!F10+'管理费用'!F10+'蓝恐龙费用'!F10</ns0:f>
        <ns0:v>1177.82</ns0:v>
      </ns0:c>
      <ns0:c r="G10" s="3">
        <ns0:f>'销售费用'!G10+'管理费用'!G10+'蓝恐龙费用'!G10</ns0:f>
        <ns0:v>923.05</ns0:v>
      </ns0:c>
      <ns0:c r="H10" s="3">
        <ns0:f>'销售费用'!H10+'管理费用'!H10+'蓝恐龙费用'!H10</ns0:f>
        <ns0:v>644.28</ns0:v>
      </ns0:c>
      <ns0:c r="I10" s="3">
        <ns0:f>'销售费用'!I10+'管理费用'!I10+'蓝恐龙费用'!I10</ns0:f>
        <ns0:v>673.85</ns0:v>
      </ns0:c>
      <ns0:c r="J10" s="3">
        <ns0:f>'销售费用'!J10+'管理费用'!J10+'蓝恐龙费用'!J10</ns0:f>
        <ns0:v>496.83</ns0:v>
      </ns0:c>
      <ns0:c r="K10" s="3">
        <ns0:f>'销售费用'!K10+'管理费用'!K10+'蓝恐龙费用'!K10</ns0:f>
        <ns0:v>836.74</ns0:v>
      </ns0:c>
      <ns0:c r="L10" s="3">
        <ns0:f>'销售费用'!L10+'管理费用'!L10+'蓝恐龙费用'!L10</ns0:f>
        <ns0:v>808.27</ns0:v>
      </ns0:c>
      <ns0:c r="M10" s="3">
        <ns0:f>'销售费用'!M10+'管理费用'!M10+'蓝恐龙费用'!M10</ns0:f>
        <ns0:v>347.91</ns0:v>
      </ns0:c>
      <ns0:c r="N10" s="3">
        <ns0:f>'销售费用'!N10+'管理费用'!N10+'蓝恐龙费用'!N10</ns0:f>
        <ns0:v>523.09</ns0:v>
      </ns0:c>
      <ns0:c r="O10" s="3">
        <ns0:f>SUM(C10:N10)</ns0:f>
        <ns0:v>9014.87</ns0:v>
      </ns0:c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'销售费用'!C11+'管理费用'!C11+'蓝恐龙费用'!C11</ns0:f>
        <ns0:v>563.97</ns0:v>
      </ns0:c>
      <ns0:c r="D11" s="3">
        <ns0:f>'销售费用'!D11+'管理费用'!D11+'蓝恐龙费用'!D11</ns0:f>
        <ns0:v>1295.33</ns0:v>
      </ns0:c>
      <ns0:c r="E11" s="3">
        <ns0:f>'销售费用'!E11+'管理费用'!E11+'蓝恐龙费用'!E11</ns0:f>
        <ns0:v>588.71</ns0:v>
      </ns0:c>
      <ns0:c r="F11" s="3">
        <ns0:f>'销售费用'!F11+'管理费用'!F11+'蓝恐龙费用'!F11</ns0:f>
        <ns0:v>664.33</ns0:v>
      </ns0:c>
      <ns0:c r="G11" s="3">
        <ns0:f>'销售费用'!G11+'管理费用'!G11+'蓝恐龙费用'!G11</ns0:f>
        <ns0:v>817.09</ns0:v>
      </ns0:c>
      <ns0:c r="H11" s="3">
        <ns0:f>'销售费用'!H11+'管理费用'!H11+'蓝恐龙费用'!H11</ns0:f>
        <ns0:v>1081.07</ns0:v>
      </ns0:c>
      <ns0:c r="I11" s="3">
        <ns0:f>'销售费用'!I11+'管理费用'!I11+'蓝恐龙费用'!I11</ns0:f>
        <ns0:v>897.29</ns0:v>
      </ns0:c>
      <ns0:c r="J11" s="3">
        <ns0:f>'销售费用'!J11+'管理费用'!J11+'蓝恐龙费用'!J11</ns0:f>
        <ns0:v>652.85</ns0:v>
      </ns0:c>
      <ns0:c r="K11" s="3">
        <ns0:f>'销售费用'!K11+'管理费用'!K11+'蓝恐龙费用'!K11</ns0:f>
        <ns0:v>500.17</ns0:v>
      </ns0:c>
      <ns0:c r="L11" s="3">
        <ns0:f>'销售费用'!L11+'管理费用'!L11+'蓝恐龙费用'!L11</ns0:f>
        <ns0:v>375.95</ns0:v>
      </ns0:c>
      <ns0:c r="M11" s="3">
        <ns0:f>'销售费用'!M11+'管理费用'!M11+'蓝恐龙费用'!M11</ns0:f>
        <ns0:v>589.66</ns0:v>
      </ns0:c>
      <ns0:c r="N11" s="3">
        <ns0:f>'销售费用'!N11+'管理费用'!N11+'蓝恐龙费用'!N11</ns0:f>
        <ns0:v>957.67</ns0:v>
      </ns0:c>
      <ns0:c r="O11" s="3">
        <ns0:f>SUM(C11:N11)</ns0:f>
        <ns0:v>8984.09</ns0:v>
      </ns0:c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'销售费用'!C12+'管理费用'!C12+'蓝恐龙费用'!C12</ns0:f>
        <ns0:v>564.34</ns0:v>
      </ns0:c>
      <ns0:c r="D12" s="3">
        <ns0:f>'销售费用'!D12+'管理费用'!D12+'蓝恐龙费用'!D12</ns0:f>
        <ns0:v>492.61</ns0:v>
      </ns0:c>
      <ns0:c r="E12" s="3">
        <ns0:f>'销售费用'!E12+'管理费用'!E12+'蓝恐龙费用'!E12</ns0:f>
        <ns0:v>1154.33</ns0:v>
      </ns0:c>
      <ns0:c r="F12" s="3">
        <ns0:f>'销售费用'!F12+'管理费用'!F12+'蓝恐龙费用'!F12</ns0:f>
        <ns0:v>664.29</ns0:v>
      </ns0:c>
      <ns0:c r="G12" s="3">
        <ns0:f>'销售费用'!G12+'管理费用'!G12+'蓝恐龙费用'!G12</ns0:f>
        <ns0:v>820.95</ns0:v>
      </ns0:c>
      <ns0:c r="H12" s="3">
        <ns0:f>'销售费用'!H12+'管理费用'!H12+'蓝恐龙费用'!H12</ns0:f>
        <ns0:v>880.95</ns0:v>
      </ns0:c>
      <ns0:c r="I12" s="3">
        <ns0:f>'销售费用'!I12+'管理费用'!I12+'蓝恐龙费用'!I12</ns0:f>
        <ns0:v>728.91</ns0:v>
      </ns0:c>
      <ns0:c r="J12" s="3">
        <ns0:f>'销售费用'!J12+'管理费用'!J12+'蓝恐龙费用'!J12</ns0:f>
        <ns0:v>586.37</ns0:v>
      </ns0:c>
      <ns0:c r="K12" s="3">
        <ns0:f>'销售费用'!K12+'管理费用'!K12+'蓝恐龙费用'!K12</ns0:f>
        <ns0:v>934.39</ns0:v>
      </ns0:c>
      <ns0:c r="L12" s="3">
        <ns0:f>'销售费用'!L12+'管理费用'!L12+'蓝恐龙费用'!L12</ns0:f>
        <ns0:v>931.05</ns0:v>
      </ns0:c>
      <ns0:c r="M12" s="3">
        <ns0:f>'销售费用'!M12+'管理费用'!M12+'蓝恐龙费用'!M12</ns0:f>
        <ns0:v>895.51</ns0:v>
      </ns0:c>
      <ns0:c r="N12" s="3">
        <ns0:f>'销售费用'!N12+'管理费用'!N12+'蓝恐龙费用'!N12</ns0:f>
        <ns0:v>633.78</ns0:v>
      </ns0:c>
      <ns0:c r="O12" s="3">
        <ns0:f>SUM(C12:N12)</ns0:f>
        <ns0:v>9287.48</ns0:v>
      </ns0:c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'销售费用'!C13+'管理费用'!C13+'蓝恐龙费用'!C13</ns0:f>
        <ns0:v>1031.08</ns0:v>
      </ns0:c>
      <ns0:c r="D13" s="3">
        <ns0:f>'销售费用'!D13+'管理费用'!D13+'蓝恐龙费用'!D13</ns0:f>
        <ns0:v>940.79</ns0:v>
      </ns0:c>
      <ns0:c r="E13" s="3">
        <ns0:f>'销售费用'!E13+'管理费用'!E13+'蓝恐龙费用'!E13</ns0:f>
        <ns0:v>553.50</ns0:v>
      </ns0:c>
      <ns0:c r="F13" s="3">
        <ns0:f>'销售费用'!F13+'管理费用'!F13+'蓝恐龙费用'!F13</ns0:f>
        <ns0:v>488.29</ns0:v>
      </ns0:c>
      <ns0:c r="G13" s="3">
        <ns0:f>'销售费用'!G13+'管理费用'!G13+'蓝恐龙费用'!G13</ns0:f>
        <ns0:v>488.30</ns0:v>
      </ns0:c>
      <ns0:c r="H13" s="3">
        <ns0:f>'销售费用'!H13+'管理费用'!H13+'蓝恐龙费用'!H13</ns0:f>
        <ns0:v>583.75</ns0:v>
      </ns0:c>
      <ns0:c r="I13" s="3">
        <ns0:f>'销售费用'!I13+'管理费用'!I13+'蓝恐龙费用'!I13</ns0:f>
        <ns0:v>1051.26</ns0:v>
      </ns0:c>
      <ns0:c r="J13" s="3">
        <ns0:f>'销售费用'!J13+'管理费用'!J13+'蓝恐龙费用'!J13</ns0:f>
        <ns0:v>724.15</ns0:v>
      </ns0:c>
      <ns0:c r="K13" s="3">
        <ns0:f>'销售费用'!K13+'管理费用'!K13+'蓝恐龙费用'!K13</ns0:f>
        <ns0:v>1052.10</ns0:v>
      </ns0:c>
      <ns0:c r="L13" s="3">
        <ns0:f>'销售费用'!L13+'管理费用'!L13+'蓝恐龙费用'!L13</ns0:f>
        <ns0:v>1037.52</ns0:v>
      </ns0:c>
      <ns0:c r="M13" s="3">
        <ns0:f>'销售费用'!M13+'管理费用'!M13+'蓝恐龙费用'!M13</ns0:f>
        <ns0:v>808.11</ns0:v>
      </ns0:c>
      <ns0:c r="N13" s="3">
        <ns0:f>'销售费用'!N13+'管理费用'!N13+'蓝恐龙费用'!N13</ns0:f>
        <ns0:v>577.24</ns0:v>
      </ns0:c>
      <ns0:c r="O13" s="3">
        <ns0:f>SUM(C13:N13)</ns0:f>
        <ns0:v>9336.09</ns0:v>
      </ns0:c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'销售费用'!C14+'管理费用'!C14+'蓝恐龙费用'!C14</ns0:f>
        <ns0:v>675.67</ns0:v>
      </ns0:c>
      <ns0:c r="D14" s="3">
        <ns0:f>'销售费用'!D14+'管理费用'!D14+'蓝恐龙费用'!D14</ns0:f>
        <ns0:v>632.18</ns0:v>
      </ns0:c>
      <ns0:c r="E14" s="3">
        <ns0:f>'销售费用'!E14+'管理费用'!E14+'蓝恐龙费用'!E14</ns0:f>
        <ns0:v>948.91</ns0:v>
      </ns0:c>
      <ns0:c r="F14" s="3">
        <ns0:f>'销售费用'!F14+'管理费用'!F14+'蓝恐龙费用'!F14</ns0:f>
        <ns0:v>850.69</ns0:v>
      </ns0:c>
      <ns0:c r="G14" s="3">
        <ns0:f>'销售费用'!G14+'管理费用'!G14+'蓝恐龙费用'!G14</ns0:f>
        <ns0:v>503.65</ns0:v>
      </ns0:c>
      <ns0:c r="H14" s="3">
        <ns0:f>'销售费用'!H14+'管理费用'!H14+'蓝恐龙费用'!H14</ns0:f>
        <ns0:v>556.83</ns0:v>
      </ns0:c>
      <ns0:c r="I14" s="3">
        <ns0:f>'销售费用'!I14+'管理费用'!I14+'蓝恐龙费用'!I14</ns0:f>
        <ns0:v>811.49</ns0:v>
      </ns0:c>
      <ns0:c r="J14" s="3">
        <ns0:f>'销售费用'!J14+'管理费用'!J14+'蓝恐龙费用'!J14</ns0:f>
        <ns0:v>520.54</ns0:v>
      </ns0:c>
      <ns0:c r="K14" s="3">
        <ns0:f>'销售费用'!K14+'管理费用'!K14+'蓝恐龙费用'!K14</ns0:f>
        <ns0:v>1030.83</ns0:v>
      </ns0:c>
      <ns0:c r="L14" s="3">
        <ns0:f>'销售费用'!L14+'管理费用'!L14+'蓝恐龙费用'!L14</ns0:f>
        <ns0:v>709.95</ns0:v>
      </ns0:c>
      <ns0:c r="M14" s="3">
        <ns0:f>'销售费用'!M14+'管理费用'!M14+'蓝恐龙费用'!M14</ns0:f>
        <ns0:v>712.75</ns0:v>
      </ns0:c>
      <ns0:c r="N14" s="3">
        <ns0:f>'销售费用'!N14+'管理费用'!N14+'蓝恐龙费用'!N14</ns0:f>
        <ns0:v>632.80</ns0:v>
      </ns0:c>
      <ns0:c r="O14" s="3">
        <ns0:f>SUM(C14:N14)</ns0:f>
        <ns0:v>8586.29</ns0:v>
      </ns0:c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'销售费用'!C15+'管理费用'!C15+'蓝恐龙费用'!C15</ns0:f>
        <ns0:v>617.72</ns0:v>
      </ns0:c>
      <ns0:c r="D15" s="3">
        <ns0:f>'销售费用'!D15+'管理费用'!D15+'蓝恐龙费用'!D15</ns0:f>
        <ns0:v>385.91</ns0:v>
      </ns0:c>
      <ns0:c r="E15" s="3">
        <ns0:f>'销售费用'!E15+'管理费用'!E15+'蓝恐龙费用'!E15</ns0:f>
        <ns0:v>793.63</ns0:v>
      </ns0:c>
      <ns0:c r="F15" s="3">
        <ns0:f>'销售费用'!F15+'管理费用'!F15+'蓝恐龙费用'!F15</ns0:f>
        <ns0:v>523.60</ns0:v>
      </ns0:c>
      <ns0:c r="G15" s="3">
        <ns0:f>'销售费用'!G15+'管理费用'!G15+'蓝恐龙费用'!G15</ns0:f>
        <ns0:v>516.73</ns0:v>
      </ns0:c>
      <ns0:c r="H15" s="3">
        <ns0:f>'销售费用'!H15+'管理费用'!H15+'蓝恐龙费用'!H15</ns0:f>
        <ns0:v>739.92</ns0:v>
      </ns0:c>
      <ns0:c r="I15" s="3">
        <ns0:f>'销售费用'!I15+'管理费用'!I15+'蓝恐龙费用'!I15</ns0:f>
        <ns0:v>698.82</ns0:v>
      </ns0:c>
      <ns0:c r="J15" s="3">
        <ns0:f>'销售费用'!J15+'管理费用'!J15+'蓝恐龙费用'!J15</ns0:f>
        <ns0:v>809.73</ns0:v>
      </ns0:c>
      <ns0:c r="K15" s="3">
        <ns0:f>'销售费用'!K15+'管理费用'!K15+'蓝恐龙费用'!K15</ns0:f>
        <ns0:v>718.27</ns0:v>
      </ns0:c>
      <ns0:c r="L15" s="3">
        <ns0:f>'销售费用'!L15+'管理费用'!L15+'蓝恐龙费用'!L15</ns0:f>
        <ns0:v>579.41</ns0:v>
      </ns0:c>
      <ns0:c r="M15" s="3">
        <ns0:f>'销售费用'!M15+'管理费用'!M15+'蓝恐龙费用'!M15</ns0:f>
        <ns0:v>451.48</ns0:v>
      </ns0:c>
      <ns0:c r="N15" s="3">
        <ns0:f>'销售费用'!N15+'管理费用'!N15+'蓝恐龙费用'!N15</ns0:f>
        <ns0:v>1236.60</ns0:v>
      </ns0:c>
      <ns0:c r="O15" s="3">
        <ns0:f>SUM(C15:N15)</ns0:f>
        <ns0:v>8071.82</ns0:v>
      </ns0:c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'销售费用'!C16+'管理费用'!C16+'蓝恐龙费用'!C16</ns0:f>
        <ns0:v>660.68</ns0:v>
      </ns0:c>
      <ns0:c r="D16" s="3">
        <ns0:f>'销售费用'!D16+'管理费用'!D16+'蓝恐龙费用'!D16</ns0:f>
        <ns0:v>342.24</ns0:v>
      </ns0:c>
      <ns0:c r="E16" s="3">
        <ns0:f>'销售费用'!E16+'管理费用'!E16+'蓝恐龙费用'!E16</ns0:f>
        <ns0:v>484.45</ns0:v>
      </ns0:c>
      <ns0:c r="F16" s="3">
        <ns0:f>'销售费用'!F16+'管理费用'!F16+'蓝恐龙费用'!F16</ns0:f>
        <ns0:v>809.95</ns0:v>
      </ns0:c>
      <ns0:c r="G16" s="3">
        <ns0:f>'销售费用'!G16+'管理费用'!G16+'蓝恐龙费用'!G16</ns0:f>
        <ns0:v>576.20</ns0:v>
      </ns0:c>
      <ns0:c r="H16" s="3">
        <ns0:f>'销售费用'!H16+'管理费用'!H16+'蓝恐龙费用'!H16</ns0:f>
        <ns0:v>570.58</ns0:v>
      </ns0:c>
      <ns0:c r="I16" s="3">
        <ns0:f>'销售费用'!I16+'管理费用'!I16+'蓝恐龙费用'!I16</ns0:f>
        <ns0:v>371.96</ns0:v>
      </ns0:c>
      <ns0:c r="J16" s="3">
        <ns0:f>'销售费用'!J16+'管理费用'!J16+'蓝恐龙费用'!J16</ns0:f>
        <ns0:v>704.09</ns0:v>
      </ns0:c>
      <ns0:c r="K16" s="3">
        <ns0:f>'销售费用'!K16+'管理费用'!K16+'蓝恐龙费用'!K16</ns0:f>
        <ns0:v>799.76</ns0:v>
      </ns0:c>
      <ns0:c r="L16" s="3">
        <ns0:f>'销售费用'!L16+'管理费用'!L16+'蓝恐龙费用'!L16</ns0:f>
        <ns0:v>951.67</ns0:v>
      </ns0:c>
      <ns0:c r="M16" s="3">
        <ns0:f>'销售费用'!M16+'管理费用'!M16+'蓝恐龙费用'!M16</ns0:f>
        <ns0:v>680.67</ns0:v>
      </ns0:c>
      <ns0:c r="N16" s="3">
        <ns0:f>'销售费用'!N16+'管理费用'!N16+'蓝恐龙费用'!N16</ns0:f>
        <ns0:v>998.57</ns0:v>
      </ns0:c>
      <ns0:c r="O16" s="3">
        <ns0:f>SUM(C16:N16)</ns0:f>
        <ns0:v>7950.82</ns0:v>
      </ns0:c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'销售费用'!C17+'管理费用'!C17+'蓝恐龙费用'!C17</ns0:f>
        <ns0:v>308.62</ns0:v>
      </ns0:c>
      <ns0:c r="D17" s="3">
        <ns0:f>'销售费用'!D17+'管理费用'!D17+'蓝恐龙费用'!D17</ns0:f>
        <ns0:v>834.37</ns0:v>
      </ns0:c>
      <ns0:c r="E17" s="3">
        <ns0:f>'销售费用'!E17+'管理费用'!E17+'蓝恐龙费用'!E17</ns0:f>
        <ns0:v>787.25</ns0:v>
      </ns0:c>
      <ns0:c r="F17" s="3">
        <ns0:f>'销售费用'!F17+'管理费用'!F17+'蓝恐龙费用'!F17</ns0:f>
        <ns0:v>837.97</ns0:v>
      </ns0:c>
      <ns0:c r="G17" s="3">
        <ns0:f>'销售费用'!G17+'管理费用'!G17+'蓝恐龙费用'!G17</ns0:f>
        <ns0:v>522.98</ns0:v>
      </ns0:c>
      <ns0:c r="H17" s="3">
        <ns0:f>'销售费用'!H17+'管理费用'!H17+'蓝恐龙费用'!H17</ns0:f>
        <ns0:v>482.58</ns0:v>
      </ns0:c>
      <ns0:c r="I17" s="3">
        <ns0:f>'销售费用'!I17+'管理费用'!I17+'蓝恐龙费用'!I17</ns0:f>
        <ns0:v>938.33</ns0:v>
      </ns0:c>
      <ns0:c r="J17" s="3">
        <ns0:f>'销售费用'!J17+'管理费用'!J17+'蓝恐龙费用'!J17</ns0:f>
        <ns0:v>737.36</ns0:v>
      </ns0:c>
      <ns0:c r="K17" s="3">
        <ns0:f>'销售费用'!K17+'管理费用'!K17+'蓝恐龙费用'!K17</ns0:f>
        <ns0:v>544.63</ns0:v>
      </ns0:c>
      <ns0:c r="L17" s="3">
        <ns0:f>'销售费用'!L17+'管理费用'!L17+'蓝恐龙费用'!L17</ns0:f>
        <ns0:v>970.24</ns0:v>
      </ns0:c>
      <ns0:c r="M17" s="3">
        <ns0:f>'销售费用'!M17+'管理费用'!M17+'蓝恐龙费用'!M17</ns0:f>
        <ns0:v>614.39</ns0:v>
      </ns0:c>
      <ns0:c r="N17" s="3">
        <ns0:f>'销售费用'!N17+'管理费用'!N17+'蓝恐龙费用'!N17</ns0:f>
        <ns0:v>783.73</ns0:v>
      </ns0:c>
      <ns0:c r="O17" s="3">
        <ns0:f>SUM(C17:N17)</ns0:f>
        <ns0:v>8362.45</ns0:v>
      </ns0:c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'销售费用'!C18+'管理费用'!C18+'蓝恐龙费用'!C18</ns0:f>
        <ns0:v>407.76</ns0:v>
      </ns0:c>
      <ns0:c r="D18" s="3">
        <ns0:f>'销售费用'!D18+'管理费用'!D18+'蓝恐龙费用'!D18</ns0:f>
        <ns0:v>843.83</ns0:v>
      </ns0:c>
      <ns0:c r="E18" s="3">
        <ns0:f>'销售费用'!E18+'管理费用'!E18+'蓝恐龙费用'!E18</ns0:f>
        <ns0:v>994.06</ns0:v>
      </ns0:c>
      <ns0:c r="F18" s="3">
        <ns0:f>'销售费用'!F18+'管理费用'!F18+'蓝恐龙费用'!F18</ns0:f>
        <ns0:v>745.34</ns0:v>
      </ns0:c>
      <ns0:c r="G18" s="3">
        <ns0:f>'销售费用'!G18+'管理费用'!G18+'蓝恐龙费用'!G18</ns0:f>
        <ns0:v>438.40</ns0:v>
      </ns0:c>
      <ns0:c r="H18" s="3">
        <ns0:f>'销售费用'!H18+'管理费用'!H18+'蓝恐龙费用'!H18</ns0:f>
        <ns0:v>404.44</ns0:v>
      </ns0:c>
      <ns0:c r="I18" s="3">
        <ns0:f>'销售费用'!I18+'管理费用'!I18+'蓝恐龙费用'!I18</ns0:f>
        <ns0:v>629.22</ns0:v>
      </ns0:c>
      <ns0:c r="J18" s="3">
        <ns0:f>'销售费用'!J18+'管理费用'!J18+'蓝恐龙费用'!J18</ns0:f>
        <ns0:v>524.44</ns0:v>
      </ns0:c>
      <ns0:c r="K18" s="3">
        <ns0:f>'销售费用'!K18+'管理费用'!K18+'蓝恐龙费用'!K18</ns0:f>
        <ns0:v>650.69</ns0:v>
      </ns0:c>
      <ns0:c r="L18" s="3">
        <ns0:f>'销售费用'!L18+'管理费用'!L18+'蓝恐龙费用'!L18</ns0:f>
        <ns0:v>430.31</ns0:v>
      </ns0:c>
      <ns0:c r="M18" s="3">
        <ns0:f>'销售费用'!M18+'管理费用'!M18+'蓝恐龙费用'!M18</ns0:f>
        <ns0:v>413.17</ns0:v>
      </ns0:c>
      <ns0:c r="N18" s="3">
        <ns0:f>'销售费用'!N18+'管理费用'!N18+'蓝恐龙费用'!N18</ns0:f>
        <ns0:v>1178.30</ns0:v>
      </ns0:c>
      <ns0:c r="O18" s="3">
        <ns0:f>SUM(C18:N18)</ns0:f>
        <ns0:v>7659.96</ns0:v>
      </ns0:c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'销售费用'!C19+'管理费用'!C19+'蓝恐龙费用'!C19</ns0:f>
        <ns0:v>458.96</ns0:v>
      </ns0:c>
      <ns0:c r="D19" s="3">
        <ns0:f>'销售费用'!D19+'管理费用'!D19+'蓝恐龙费用'!D19</ns0:f>
        <ns0:v>517.36</ns0:v>
      </ns0:c>
      <ns0:c r="E19" s="3">
        <ns0:f>'销售费用'!E19+'管理费用'!E19+'蓝恐龙费用'!E19</ns0:f>
        <ns0:v>1242.21</ns0:v>
      </ns0:c>
      <ns0:c r="F19" s="3">
        <ns0:f>'销售费用'!F19+'管理费用'!F19+'蓝恐龙费用'!F19</ns0:f>
        <ns0:v>784.70</ns0:v>
      </ns0:c>
      <ns0:c r="G19" s="3">
        <ns0:f>'销售费用'!G19+'管理费用'!G19+'蓝恐龙费用'!G19</ns0:f>
        <ns0:v>906.05</ns0:v>
      </ns0:c>
      <ns0:c r="H19" s="3">
        <ns0:f>'销售费用'!H19+'管理费用'!H19+'蓝恐龙费用'!H19</ns0:f>
        <ns0:v>633.54</ns0:v>
      </ns0:c>
      <ns0:c r="I19" s="3">
        <ns0:f>'销售费用'!I19+'管理费用'!I19+'蓝恐龙费用'!I19</ns0:f>
        <ns0:v>510.13</ns0:v>
      </ns0:c>
      <ns0:c r="J19" s="3">
        <ns0:f>'销售费用'!J19+'管理费用'!J19+'蓝恐龙费用'!J19</ns0:f>
        <ns0:v>553.38</ns0:v>
      </ns0:c>
      <ns0:c r="K19" s="3">
        <ns0:f>'销售费用'!K19+'管理费用'!K19+'蓝恐龙费用'!K19</ns0:f>
        <ns0:v>797.31</ns0:v>
      </ns0:c>
      <ns0:c r="L19" s="3">
        <ns0:f>'销售费用'!L19+'管理费用'!L19+'蓝恐龙费用'!L19</ns0:f>
        <ns0:v>324.21</ns0:v>
      </ns0:c>
      <ns0:c r="M19" s="3">
        <ns0:f>'销售费用'!M19+'管理费用'!M19+'蓝恐龙费用'!M19</ns0:f>
        <ns0:v>575.64</ns0:v>
      </ns0:c>
      <ns0:c r="N19" s="3">
        <ns0:f>'销售费用'!N19+'管理费用'!N19+'蓝恐龙费用'!N19</ns0:f>
        <ns0:v>1250.69</ns0:v>
      </ns0:c>
      <ns0:c r="O19" s="3">
        <ns0:f>SUM(C19:N19)</ns0:f>
        <ns0:v>8554.18</ns0:v>
      </ns0:c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'销售费用'!C20+'管理费用'!C20+'蓝恐龙费用'!C20</ns0:f>
        <ns0:v>1529.91</ns0:v>
      </ns0:c>
      <ns0:c r="D20" s="3">
        <ns0:f>'销售费用'!D20+'管理费用'!D20+'蓝恐龙费用'!D20</ns0:f>
        <ns0:v>1529.91</ns0:v>
      </ns0:c>
      <ns0:c r="E20" s="3">
        <ns0:f>'销售费用'!E20+'管理费用'!E20+'蓝恐龙费用'!E20</ns0:f>
        <ns0:v>1529.91</ns0:v>
      </ns0:c>
      <ns0:c r="F20" s="3">
        <ns0:f>'销售费用'!F20+'管理费用'!F20+'蓝恐龙费用'!F20</ns0:f>
        <ns0:v>1529.91</ns0:v>
      </ns0:c>
      <ns0:c r="G20" s="3">
        <ns0:f>'销售费用'!G20+'管理费用'!G20+'蓝恐龙费用'!G20</ns0:f>
        <ns0:v>1529.91</ns0:v>
      </ns0:c>
      <ns0:c r="H20" s="3">
        <ns0:f>'销售费用'!H20+'管理费用'!H20+'蓝恐龙费用'!H20</ns0:f>
        <ns0:v>1529.91</ns0:v>
      </ns0:c>
      <ns0:c r="I20" s="3">
        <ns0:f>'销售费用'!I20+'管理费用'!I20+'蓝恐龙费用'!I20</ns0:f>
        <ns0:v>1529.91</ns0:v>
      </ns0:c>
      <ns0:c r="J20" s="3">
        <ns0:f>'销售费用'!J20+'管理费用'!J20+'蓝恐龙费用'!J20</ns0:f>
        <ns0:v>1529.91</ns0:v>
      </ns0:c>
      <ns0:c r="K20" s="3">
        <ns0:f>'销售费用'!K20+'管理费用'!K20+'蓝恐龙费用'!K20</ns0:f>
        <ns0:v>1529.91</ns0:v>
      </ns0:c>
      <ns0:c r="L20" s="3">
        <ns0:f>'销售费用'!L20+'管理费用'!L20+'蓝恐龙费用'!L20</ns0:f>
        <ns0:v>1529.91</ns0:v>
      </ns0:c>
      <ns0:c r="M20" s="3">
        <ns0:f>'销售费用'!M20+'管理费用'!M20+'蓝恐龙费用'!M20</ns0:f>
        <ns0:v>1529.91</ns0:v>
      </ns0:c>
      <ns0:c r="N20" s="3">
        <ns0:f>'销售费用'!N20+'管理费用'!N20+'蓝恐龙费用'!N20</ns0:f>
        <ns0:v>1529.91</ns0:v>
      </ns0:c>
      <ns0:c r="O20" s="3">
        <ns0:f>SUM(C20:N20)</ns0:f>
        <ns0:v>18358.92</ns0:v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'销售费用'!C21+'管理费用'!C21+'蓝恐龙费用'!C21</ns0:f>
        <ns0:v>808.31</ns0:v>
      </ns0:c>
      <ns0:c r="D21" s="3">
        <ns0:f>'销售费用'!D21+'管理费用'!D21+'蓝恐龙费用'!D21</ns0:f>
        <ns0:v>454.14</ns0:v>
      </ns0:c>
      <ns0:c r="E21" s="3">
        <ns0:f>'销售费用'!E21+'管理费用'!E21+'蓝恐龙费用'!E21</ns0:f>
        <ns0:v>1052.17</ns0:v>
      </ns0:c>
      <ns0:c r="F21" s="3">
        <ns0:f>'销售费用'!F21+'管理费用'!F21+'蓝恐龙费用'!F21</ns0:f>
        <ns0:v>751.49</ns0:v>
      </ns0:c>
      <ns0:c r="G21" s="3">
        <ns0:f>'销售费用'!G21+'管理费用'!G21+'蓝恐龙费用'!G21</ns0:f>
        <ns0:v>848.27</ns0:v>
      </ns0:c>
      <ns0:c r="H21" s="3">
        <ns0:f>'销售费用'!H21+'管理费用'!H21+'蓝恐龙费用'!H21</ns0:f>
        <ns0:v>1031.11</ns0:v>
      </ns0:c>
      <ns0:c r="I21" s="3">
        <ns0:f>'销售费用'!I21+'管理费用'!I21+'蓝恐龙费用'!I21</ns0:f>
        <ns0:v>1003.22</ns0:v>
      </ns0:c>
      <ns0:c r="J21" s="3">
        <ns0:f>'销售费用'!J21+'管理费用'!J21+'蓝恐龙费用'!J21</ns0:f>
        <ns0:v>744.27</ns0:v>
      </ns0:c>
      <ns0:c r="K21" s="3">
        <ns0:f>'销售费用'!K21+'管理费用'!K21+'蓝恐龙费用'!K21</ns0:f>
        <ns0:v>687.30</ns0:v>
      </ns0:c>
      <ns0:c r="L21" s="3">
        <ns0:f>'销售费用'!L21+'管理费用'!L21+'蓝恐龙费用'!L21</ns0:f>
        <ns0:v>900.08</ns0:v>
      </ns0:c>
      <ns0:c r="M21" s="3">
        <ns0:f>'销售费用'!M21+'管理费用'!M21+'蓝恐龙费用'!M21</ns0:f>
        <ns0:v>818.47</ns0:v>
      </ns0:c>
      <ns0:c r="N21" s="3">
        <ns0:f>'销售费用'!N21+'管理费用'!N21+'蓝恐龙费用'!N21</ns0:f>
        <ns0:v>463.32</ns0:v>
      </ns0:c>
      <ns0:c r="O21" s="3">
        <ns0:f>SUM(C21:N21)</ns0:f>
        <ns0:v>9562.15</ns0:v>
      </ns0:c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'销售费用'!C22+'管理费用'!C22+'蓝恐龙费用'!C22</ns0:f>
        <ns0:v>592.25</ns0:v>
      </ns0:c>
      <ns0:c r="D22" s="3">
        <ns0:f>'销售费用'!D22+'管理费用'!D22+'蓝恐龙费用'!D22</ns0:f>
        <ns0:v>544.03</ns0:v>
      </ns0:c>
      <ns0:c r="E22" s="3">
        <ns0:f>'销售费用'!E22+'管理费用'!E22+'蓝恐龙费用'!E22</ns0:f>
        <ns0:v>717.47</ns0:v>
      </ns0:c>
      <ns0:c r="F22" s="3">
        <ns0:f>'销售费用'!F22+'管理费用'!F22+'蓝恐龙费用'!F22</ns0:f>
        <ns0:v>865.97</ns0:v>
      </ns0:c>
      <ns0:c r="G22" s="3">
        <ns0:f>'销售费用'!G22+'管理费用'!G22+'蓝恐龙费用'!G22</ns0:f>
        <ns0:v>762.74</ns0:v>
      </ns0:c>
      <ns0:c r="H22" s="3">
        <ns0:f>'销售费用'!H22+'管理费用'!H22+'蓝恐龙费用'!H22</ns0:f>
        <ns0:v>587.50</ns0:v>
      </ns0:c>
      <ns0:c r="I22" s="3">
        <ns0:f>'销售费用'!I22+'管理费用'!I22+'蓝恐龙费用'!I22</ns0:f>
        <ns0:v>552.43</ns0:v>
      </ns0:c>
      <ns0:c r="J22" s="3">
        <ns0:f>'销售费用'!J22+'管理费用'!J22+'蓝恐龙费用'!J22</ns0:f>
        <ns0:v>1155.92</ns0:v>
      </ns0:c>
      <ns0:c r="K22" s="3">
        <ns0:f>'销售费用'!K22+'管理费用'!K22+'蓝恐龙费用'!K22</ns0:f>
        <ns0:v>574.73</ns0:v>
      </ns0:c>
      <ns0:c r="L22" s="3">
        <ns0:f>'销售费用'!L22+'管理费用'!L22+'蓝恐龙费用'!L22</ns0:f>
        <ns0:v>810.10</ns0:v>
      </ns0:c>
      <ns0:c r="M22" s="3">
        <ns0:f>'销售费用'!M22+'管理费用'!M22+'蓝恐龙费用'!M22</ns0:f>
        <ns0:v>744.12</ns0:v>
      </ns0:c>
      <ns0:c r="N22" s="3">
        <ns0:f>'销售费用'!N22+'管理费用'!N22+'蓝恐龙费用'!N22</ns0:f>
        <ns0:v>839.10</ns0:v>
      </ns0:c>
      <ns0:c r="O22" s="3">
        <ns0:f>SUM(C22:N22)</ns0:f>
        <ns0:v>8746.36</ns0:v>
      </ns0:c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'销售费用'!C23+'管理费用'!C23+'蓝恐龙费用'!C23</ns0:f>
        <ns0:v>847.85</ns0:v>
      </ns0:c>
      <ns0:c r="D23" s="3">
        <ns0:f>'销售费用'!D23+'管理费用'!D23+'蓝恐龙费用'!D23</ns0:f>
        <ns0:v>718.28</ns0:v>
      </ns0:c>
      <ns0:c r="E23" s="3">
        <ns0:f>'销售费用'!E23+'管理费用'!E23+'蓝恐龙费用'!E23</ns0:f>
        <ns0:v>908.30</ns0:v>
      </ns0:c>
      <ns0:c r="F23" s="3">
        <ns0:f>'销售费用'!F23+'管理费用'!F23+'蓝恐龙费用'!F23</ns0:f>
        <ns0:v>393.99</ns0:v>
      </ns0:c>
      <ns0:c r="G23" s="3">
        <ns0:f>'销售费用'!G23+'管理费用'!G23+'蓝恐龙费用'!G23</ns0:f>
        <ns0:v>1355.50</ns0:v>
      </ns0:c>
      <ns0:c r="H23" s="3">
        <ns0:f>'销售费用'!H23+'管理费用'!H23+'蓝恐龙费用'!H23</ns0:f>
        <ns0:v>923.67</ns0:v>
      </ns0:c>
      <ns0:c r="I23" s="3">
        <ns0:f>'销售费用'!I23+'管理费用'!I23+'蓝恐龙费用'!I23</ns0:f>
        <ns0:v>597.31</ns0:v>
      </ns0:c>
      <ns0:c r="J23" s="3">
        <ns0:f>'销售费用'!J23+'管理费用'!J23+'蓝恐龙费用'!J23</ns0:f>
        <ns0:v>1201.44</ns0:v>
      </ns0:c>
      <ns0:c r="K23" s="3">
        <ns0:f>'销售费用'!K23+'管理费用'!K23+'蓝恐龙费用'!K23</ns0:f>
        <ns0:v>547.49</ns0:v>
      </ns0:c>
      <ns0:c r="L23" s="3">
        <ns0:f>'销售费用'!L23+'管理费用'!L23+'蓝恐龙费用'!L23</ns0:f>
        <ns0:v>522.38</ns0:v>
      </ns0:c>
      <ns0:c r="M23" s="3">
        <ns0:f>'销售费用'!M23+'管理费用'!M23+'蓝恐龙费用'!M23</ns0:f>
        <ns0:v>852.58</ns0:v>
      </ns0:c>
      <ns0:c r="N23" s="3">
        <ns0:f>'销售费用'!N23+'管理费用'!N23+'蓝恐龙费用'!N23</ns0:f>
        <ns0:v>796.57</ns0:v>
      </ns0:c>
      <ns0:c r="O23" s="3">
        <ns0:f>SUM(C23:N23)</ns0:f>
        <ns0:v>9665.36</ns0:v>
      </ns0:c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'销售费用'!C24+'管理费用'!C24+'蓝恐龙费用'!C24</ns0:f>
        <ns0:v>305.53</ns0:v>
      </ns0:c>
      <ns0:c r="D24" s="3">
        <ns0:f>'销售费用'!D24+'管理费用'!D24+'蓝恐龙费用'!D24</ns0:f>
        <ns0:v>725.70</ns0:v>
      </ns0:c>
      <ns0:c r="E24" s="3">
        <ns0:f>'销售费用'!E24+'管理费用'!E24+'蓝恐龙费用'!E24</ns0:f>
        <ns0:v>569.95</ns0:v>
      </ns0:c>
      <ns0:c r="F24" s="3">
        <ns0:f>'销售费用'!F24+'管理费用'!F24+'蓝恐龙费用'!F24</ns0:f>
        <ns0:v>719.83</ns0:v>
      </ns0:c>
      <ns0:c r="G24" s="3">
        <ns0:f>'销售费用'!G24+'管理费用'!G24+'蓝恐龙费用'!G24</ns0:f>
        <ns0:v>866.61</ns0:v>
      </ns0:c>
      <ns0:c r="H24" s="3">
        <ns0:f>'销售费用'!H24+'管理费用'!H24+'蓝恐龙费用'!H24</ns0:f>
        <ns0:v>453.19</ns0:v>
      </ns0:c>
      <ns0:c r="I24" s="3">
        <ns0:f>'销售费用'!I24+'管理费用'!I24+'蓝恐龙费用'!I24</ns0:f>
        <ns0:v>871.22</ns0:v>
      </ns0:c>
      <ns0:c r="J24" s="3">
        <ns0:f>'销售费用'!J24+'管理费用'!J24+'蓝恐龙费用'!J24</ns0:f>
        <ns0:v>557.81</ns0:v>
      </ns0:c>
      <ns0:c r="K24" s="3">
        <ns0:f>'销售费用'!K24+'管理费用'!K24+'蓝恐龙费用'!K24</ns0:f>
        <ns0:v>1144.95</ns0:v>
      </ns0:c>
      <ns0:c r="L24" s="3">
        <ns0:f>'销售费用'!L24+'管理费用'!L24+'蓝恐龙费用'!L24</ns0:f>
        <ns0:v>1018.27</ns0:v>
      </ns0:c>
      <ns0:c r="M24" s="3">
        <ns0:f>'销售费用'!M24+'管理费用'!M24+'蓝恐龙费用'!M24</ns0:f>
        <ns0:v>899.97</ns0:v>
      </ns0:c>
      <ns0:c r="N24" s="3">
        <ns0:f>'销售费用'!N24+'管理费用'!N24+'蓝恐龙费用'!N24</ns0:f>
        <ns0:v>967.26</ns0:v>
      </ns0:c>
      <ns0:c r="O24" s="3">
        <ns0:f>SUM(C24:N24)</ns0:f>
        <ns0:v>9100.29</ns0:v>
      </ns0:c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'销售费用'!C25+'管理费用'!C25+'蓝恐龙费用'!C25</ns0:f>
        <ns0:v>1237.91</ns0:v>
      </ns0:c>
      <ns0:c r="D25" s="3">
        <ns0:f>'销售费用'!D25+'管理费用'!D25+'蓝恐龙费用'!D25</ns0:f>
        <ns0:v>714.98</ns0:v>
      </ns0:c>
      <ns0:c r="E25" s="3">
        <ns0:f>'销售费用'!E25+'管理费用'!E25+'蓝恐龙费用'!E25</ns0:f>
        <ns0:v>652.30</ns0:v>
      </ns0:c>
      <ns0:c r="F25" s="3">
        <ns0:f>'销售费用'!F25+'管理费用'!F25+'蓝恐龙费用'!F25</ns0:f>
        <ns0:v>559.75</ns0:v>
      </ns0:c>
      <ns0:c r="G25" s="3">
        <ns0:f>'销售费用'!G25+'管理费用'!G25+'蓝恐龙费用'!G25</ns0:f>
        <ns0:v>980.99</ns0:v>
      </ns0:c>
      <ns0:c r="H25" s="3">
        <ns0:f>'销售费用'!H25+'管理费用'!H25+'蓝恐龙费用'!H25</ns0:f>
        <ns0:v>839.05</ns0:v>
      </ns0:c>
      <ns0:c r="I25" s="3">
        <ns0:f>'销售费用'!I25+'管理费用'!I25+'蓝恐龙费用'!I25</ns0:f>
        <ns0:v>1103.98</ns0:v>
      </ns0:c>
      <ns0:c r="J25" s="3">
        <ns0:f>'销售费用'!J25+'管理费用'!J25+'蓝恐龙费用'!J25</ns0:f>
        <ns0:v>684.17</ns0:v>
      </ns0:c>
      <ns0:c r="K25" s="3">
        <ns0:f>'销售费用'!K25+'管理费用'!K25+'蓝恐龙费用'!K25</ns0:f>
        <ns0:v>521.01</ns0:v>
      </ns0:c>
      <ns0:c r="L25" s="3">
        <ns0:f>'销售费用'!L25+'管理费用'!L25+'蓝恐龙费用'!L25</ns0:f>
        <ns0:v>706.84</ns0:v>
      </ns0:c>
      <ns0:c r="M25" s="3">
        <ns0:f>'销售费用'!M25+'管理费用'!M25+'蓝恐龙费用'!M25</ns0:f>
        <ns0:v>713.40</ns0:v>
      </ns0:c>
      <ns0:c r="N25" s="3">
        <ns0:f>'销售费用'!N25+'管理费用'!N25+'蓝恐龙费用'!N25</ns0:f>
        <ns0:v>666.33</ns0:v>
      </ns0:c>
      <ns0:c r="O25" s="3">
        <ns0:f>SUM(C25:N25)</ns0:f>
        <ns0:v>9380.71</ns0:v>
      </ns0:c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'销售费用'!C26+'管理费用'!C26+'蓝恐龙费用'!C26</ns0:f>
        <ns0:v>945.52</ns0:v>
      </ns0:c>
      <ns0:c r="D26" s="3">
        <ns0:f>'销售费用'!D26+'管理费用'!D26+'蓝恐龙费用'!D26</ns0:f>
        <ns0:v>1224.21</ns0:v>
      </ns0:c>
      <ns0:c r="E26" s="3">
        <ns0:f>'销售费用'!E26+'管理费用'!E26+'蓝恐龙费用'!E26</ns0:f>
        <ns0:v>618.95</ns0:v>
      </ns0:c>
      <ns0:c r="F26" s="3">
        <ns0:f>'销售费用'!F26+'管理费用'!F26+'蓝恐龙费用'!F26</ns0:f>
        <ns0:v>680.21</ns0:v>
      </ns0:c>
      <ns0:c r="G26" s="3">
        <ns0:f>'销售费用'!G26+'管理费用'!G26+'蓝恐龙费用'!G26</ns0:f>
        <ns0:v>724.36</ns0:v>
      </ns0:c>
      <ns0:c r="H26" s="3">
        <ns0:f>'销售费用'!H26+'管理费用'!H26+'蓝恐龙费用'!H26</ns0:f>
        <ns0:v>430.45</ns0:v>
      </ns0:c>
      <ns0:c r="I26" s="3">
        <ns0:f>'销售费用'!I26+'管理费用'!I26+'蓝恐龙费用'!I26</ns0:f>
        <ns0:v>1148.47</ns0:v>
      </ns0:c>
      <ns0:c r="J26" s="3">
        <ns0:f>'销售费用'!J26+'管理费用'!J26+'蓝恐龙费用'!J26</ns0:f>
        <ns0:v>723.74</ns0:v>
      </ns0:c>
      <ns0:c r="K26" s="3">
        <ns0:f>'销售费用'!K26+'管理费用'!K26+'蓝恐龙费用'!K26</ns0:f>
        <ns0:v>904.89</ns0:v>
      </ns0:c>
      <ns0:c r="L26" s="3">
        <ns0:f>'销售费用'!L26+'管理费用'!L26+'蓝恐龙费用'!L26</ns0:f>
        <ns0:v>618.58</ns0:v>
      </ns0:c>
      <ns0:c r="M26" s="3">
        <ns0:f>'销售费用'!M26+'管理费用'!M26+'蓝恐龙费用'!M26</ns0:f>
        <ns0:v>390.24</ns0:v>
      </ns0:c>
      <ns0:c r="N26" s="3">
        <ns0:f>'销售费用'!N26+'管理费用'!N26+'蓝恐龙费用'!N26</ns0:f>
        <ns0:v>649.10</ns0:v>
      </ns0:c>
      <ns0:c r="O26" s="3">
        <ns0:f>SUM(C26:N26)</ns0:f>
        <ns0:v>9058.72</ns0:v>
      </ns0:c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'销售费用'!C27+'管理费用'!C27+'蓝恐龙费用'!C27</ns0:f>
        <ns0:v>638.63</ns0:v>
      </ns0:c>
      <ns0:c r="D27" s="3">
        <ns0:f>'销售费用'!D27+'管理费用'!D27+'蓝恐龙费用'!D27</ns0:f>
        <ns0:v>770.26</ns0:v>
      </ns0:c>
      <ns0:c r="E27" s="3">
        <ns0:f>'销售费用'!E27+'管理费用'!E27+'蓝恐龙费用'!E27</ns0:f>
        <ns0:v>971.37</ns0:v>
      </ns0:c>
      <ns0:c r="F27" s="3">
        <ns0:f>'销售费用'!F27+'管理费用'!F27+'蓝恐龙费用'!F27</ns0:f>
        <ns0:v>775.24</ns0:v>
      </ns0:c>
      <ns0:c r="G27" s="3">
        <ns0:f>'销售费用'!G27+'管理费用'!G27+'蓝恐龙费用'!G27</ns0:f>
        <ns0:v>532.93</ns0:v>
      </ns0:c>
      <ns0:c r="H27" s="3">
        <ns0:f>'销售费用'!H27+'管理费用'!H27+'蓝恐龙费用'!H27</ns0:f>
        <ns0:v>535.41</ns0:v>
      </ns0:c>
      <ns0:c r="I27" s="3">
        <ns0:f>'销售费用'!I27+'管理费用'!I27+'蓝恐龙费用'!I27</ns0:f>
        <ns0:v>536.30</ns0:v>
      </ns0:c>
      <ns0:c r="J27" s="3">
        <ns0:f>'销售费用'!J27+'管理费用'!J27+'蓝恐龙费用'!J27</ns0:f>
        <ns0:v>537.41</ns0:v>
      </ns0:c>
      <ns0:c r="K27" s="3">
        <ns0:f>'销售费用'!K27+'管理费用'!K27+'蓝恐龙费用'!K27</ns0:f>
        <ns0:v>421.51</ns0:v>
      </ns0:c>
      <ns0:c r="L27" s="3">
        <ns0:f>'销售费用'!L27+'管理费用'!L27+'蓝恐龙费用'!L27</ns0:f>
        <ns0:v>735.31</ns0:v>
      </ns0:c>
      <ns0:c r="M27" s="3">
        <ns0:f>'销售费用'!M27+'管理费用'!M27+'蓝恐龙费用'!M27</ns0:f>
        <ns0:v>848.60</ns0:v>
      </ns0:c>
      <ns0:c r="N27" s="3">
        <ns0:f>'销售费用'!N27+'管理费用'!N27+'蓝恐龙费用'!N27</ns0:f>
        <ns0:v>883.53</ns0:v>
      </ns0:c>
      <ns0:c r="O27" s="3">
        <ns0:f>SUM(C27:N27)</ns0:f>
        <ns0:v>8186.50</ns0:v>
      </ns0:c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'销售费用'!C28+'管理费用'!C28+'蓝恐龙费用'!C28</ns0:f>
        <ns0:v>499.64</ns0:v>
      </ns0:c>
      <ns0:c r="D28" s="3">
        <ns0:f>'销售费用'!D28+'管理费用'!D28+'蓝恐龙费用'!D28</ns0:f>
        <ns0:v>555.03</ns0:v>
      </ns0:c>
      <ns0:c r="E28" s="3">
        <ns0:f>'销售费用'!E28+'管理费用'!E28+'蓝恐龙费用'!E28</ns0:f>
        <ns0:v>546.99</ns0:v>
      </ns0:c>
      <ns0:c r="F28" s="3">
        <ns0:f>'销售费用'!F28+'管理费用'!F28+'蓝恐龙费用'!F28</ns0:f>
        <ns0:v>861.16</ns0:v>
      </ns0:c>
      <ns0:c r="G28" s="3">
        <ns0:f>'销售费用'!G28+'管理费用'!G28+'蓝恐龙费用'!G28</ns0:f>
        <ns0:v>825.91</ns0:v>
      </ns0:c>
      <ns0:c r="H28" s="3">
        <ns0:f>'销售费用'!H28+'管理费用'!H28+'蓝恐龙费用'!H28</ns0:f>
        <ns0:v>748.53</ns0:v>
      </ns0:c>
      <ns0:c r="I28" s="3">
        <ns0:f>'销售费用'!I28+'管理费用'!I28+'蓝恐龙费用'!I28</ns0:f>
        <ns0:v>986.25</ns0:v>
      </ns0:c>
      <ns0:c r="J28" s="3">
        <ns0:f>'销售费用'!J28+'管理费用'!J28+'蓝恐龙费用'!J28</ns0:f>
        <ns0:v>573.38</ns0:v>
      </ns0:c>
      <ns0:c r="K28" s="3">
        <ns0:f>'销售费用'!K28+'管理费用'!K28+'蓝恐龙费用'!K28</ns0:f>
        <ns0:v>691.79</ns0:v>
      </ns0:c>
      <ns0:c r="L28" s="3">
        <ns0:f>'销售费用'!L28+'管理费用'!L28+'蓝恐龙费用'!L28</ns0:f>
        <ns0:v>858.75</ns0:v>
      </ns0:c>
      <ns0:c r="M28" s="3">
        <ns0:f>'销售费用'!M28+'管理费用'!M28+'蓝恐龙费用'!M28</ns0:f>
        <ns0:v>797.00</ns0:v>
      </ns0:c>
      <ns0:c r="N28" s="3">
        <ns0:f>'销售费用'!N28+'管理费用'!N28+'蓝恐龙费用'!N28</ns0:f>
        <ns0:v>1105.21</ns0:v>
      </ns0:c>
      <ns0:c r="O28" s="3">
        <ns0:f>SUM(C28:N28)</ns0:f>
        <ns0:v>9049.64</ns0:v>
      </ns0:c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'销售费用'!C29+'管理费用'!C29+'蓝恐龙费用'!C29</ns0:f>
        <ns0:v>0</ns0:v>
      </ns0:c>
      <ns0:c r="D29" s="3">
        <ns0:f>'销售费用'!D29+'管理费用'!D29+'蓝恐龙费用'!D29</ns0:f>
        <ns0:v>0</ns0:v>
      </ns0:c>
      <ns0:c r="E29" s="3">
        <ns0:f>'销售费用'!E29+'管理费用'!E29+'蓝恐龙费用'!E29</ns0:f>
        <ns0:v>0</ns0:v>
      </ns0:c>
      <ns0:c r="F29" s="3">
        <ns0:f>'销售费用'!F29+'管理费用'!F29+'蓝恐龙费用'!F29</ns0:f>
        <ns0:v>0</ns0:v>
      </ns0:c>
      <ns0:c r="G29" s="3">
        <ns0:f>'销售费用'!G29+'管理费用'!G29+'蓝恐龙费用'!G29</ns0:f>
        <ns0:v>0</ns0:v>
      </ns0:c>
      <ns0:c r="H29" s="3">
        <ns0:f>'销售费用'!H29+'管理费用'!H29+'蓝恐龙费用'!H29</ns0:f>
        <ns0:v>0</ns0:v>
      </ns0:c>
      <ns0:c r="I29" s="3">
        <ns0:f>'销售费用'!I29+'管理费用'!I29+'蓝恐龙费用'!I29</ns0:f>
        <ns0:v>0</ns0:v>
      </ns0:c>
      <ns0:c r="J29" s="3">
        <ns0:f>'销售费用'!J29+'管理费用'!J29+'蓝恐龙费用'!J29</ns0:f>
        <ns0:v>0</ns0:v>
      </ns0:c>
      <ns0:c r="K29" s="3">
        <ns0:f>'销售费用'!K29+'管理费用'!K29+'蓝恐龙费用'!K29</ns0:f>
        <ns0:v>0</ns0:v>
      </ns0:c>
      <ns0:c r="L29" s="3">
        <ns0:f>'销售费用'!L29+'管理费用'!L29+'蓝恐龙费用'!L29</ns0:f>
        <ns0:v>0</ns0:v>
      </ns0:c>
      <ns0:c r="M29" s="3">
        <ns0:f>'销售费用'!M29+'管理费用'!M29+'蓝恐龙费用'!M29</ns0:f>
        <ns0:v>0</ns0:v>
      </ns0:c>
      <ns0:c r="N29" s="3">
        <ns0:f>'销售费用'!N29+'管理费用'!N29+'蓝恐龙费用'!N29</ns0:f>
        <ns0:v>0</ns0:v>
      </ns0:c>
      <ns0:c r="O29" s="3">
        <ns0:f>SUM(C29:N29)</ns0:f>
        <ns0:v>0</ns0:v>
      </ns0:c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'销售费用'!C30+'管理费用'!C30+'蓝恐龙费用'!C30</ns0:f>
        <ns0:v>608.87</ns0:v>
      </ns0:c>
      <ns0:c r="D30" s="6">
        <ns0:f>'销售费用'!D30+'管理费用'!D30+'蓝恐龙费用'!D30</ns0:f>
        <ns0:v>821.73</ns0:v>
      </ns0:c>
      <ns0:c r="E30" s="6">
        <ns0:f>'销售费用'!E30+'管理费用'!E30+'蓝恐龙费用'!E30</ns0:f>
        <ns0:v>475.27</ns0:v>
      </ns0:c>
      <ns0:c r="F30" s="6">
        <ns0:f>'销售费用'!F30+'管理费用'!F30+'蓝恐龙费用'!F30</ns0:f>
        <ns0:v>547.17</ns0:v>
      </ns0:c>
      <ns0:c r="G30" s="6">
        <ns0:f>'销售费用'!G30+'管理费用'!G30+'蓝恐龙费用'!G30</ns0:f>
        <ns0:v>693.11</ns0:v>
      </ns0:c>
      <ns0:c r="H30" s="6">
        <ns0:f>'销售费用'!H30+'管理费用'!H30+'蓝恐龙费用'!H30</ns0:f>
        <ns0:v>525.56</ns0:v>
      </ns0:c>
      <ns0:c r="I30" s="6">
        <ns0:f>'销售费用'!I30+'管理费用'!I30+'蓝恐龙费用'!I30</ns0:f>
        <ns0:v>965.66</ns0:v>
      </ns0:c>
      <ns0:c r="J30" s="6">
        <ns0:f>'销售费用'!J30+'管理费用'!J30+'蓝恐龙费用'!J30</ns0:f>
        <ns0:v>448.72</ns0:v>
      </ns0:c>
      <ns0:c r="K30" s="6">
        <ns0:f>'销售费用'!K30+'管理费用'!K30+'蓝恐龙费用'!K30</ns0:f>
        <ns0:v>474.87</ns0:v>
      </ns0:c>
      <ns0:c r="L30" s="6">
        <ns0:f>'销售费用'!L30+'管理费用'!L30+'蓝恐龙费用'!L30</ns0:f>
        <ns0:v>637.79</ns0:v>
      </ns0:c>
      <ns0:c r="M30" s="6">
        <ns0:f>'销售费用'!M30+'管理费用'!M30+'蓝恐龙费用'!M30</ns0:f>
        <ns0:v>634.94</ns0:v>
      </ns0:c>
      <ns0:c r="N30" s="6">
        <ns0:f>'销售费用'!N30+'管理费用'!N30+'蓝恐龙费用'!N30</ns0:f>
        <ns0:v>951.06</ns0:v>
      </ns0:c>
      <ns0:c r="O30" s="6">
        <ns0:f>SUM(C30:N30)</ns0:f>
        <ns0:v>7784.75</ns0:v>
      </ns0:c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'销售费用'!C31+'管理费用'!C31+'蓝恐龙费用'!C31</ns0:f>
        <ns0:v>781.55</ns0:v>
      </ns0:c>
      <ns0:c r="D31" s="3">
        <ns0:f>'销售费用'!D31+'管理费用'!D31+'蓝恐龙费用'!D31</ns0:f>
        <ns0:v>1007.14</ns0:v>
      </ns0:c>
      <ns0:c r="E31" s="3">
        <ns0:f>'销售费用'!E31+'管理费用'!E31+'蓝恐龙费用'!E31</ns0:f>
        <ns0:v>560.54</ns0:v>
      </ns0:c>
      <ns0:c r="F31" s="3">
        <ns0:f>'销售费用'!F31+'管理费用'!F31+'蓝恐龙费用'!F31</ns0:f>
        <ns0:v>849.71</ns0:v>
      </ns0:c>
      <ns0:c r="G31" s="3">
        <ns0:f>'销售费用'!G31+'管理费用'!G31+'蓝恐龙费用'!G31</ns0:f>
        <ns0:v>760.75</ns0:v>
      </ns0:c>
      <ns0:c r="H31" s="3">
        <ns0:f>'销售费用'!H31+'管理费用'!H31+'蓝恐龙费用'!H31</ns0:f>
        <ns0:v>674.82</ns0:v>
      </ns0:c>
      <ns0:c r="I31" s="3">
        <ns0:f>'销售费用'!I31+'管理费用'!I31+'蓝恐龙费用'!I31</ns0:f>
        <ns0:v>952.21</ns0:v>
      </ns0:c>
      <ns0:c r="J31" s="3">
        <ns0:f>'销售费用'!J31+'管理费用'!J31+'蓝恐龙费用'!J31</ns0:f>
        <ns0:v>889.25</ns0:v>
      </ns0:c>
      <ns0:c r="K31" s="3">
        <ns0:f>'销售费用'!K31+'管理费用'!K31+'蓝恐龙费用'!K31</ns0:f>
        <ns0:v>617.75</ns0:v>
      </ns0:c>
      <ns0:c r="L31" s="3">
        <ns0:f>'销售费用'!L31+'管理费用'!L31+'蓝恐龙费用'!L31</ns0:f>
        <ns0:v>599.22</ns0:v>
      </ns0:c>
      <ns0:c r="M31" s="3">
        <ns0:f>'销售费用'!M31+'管理费用'!M31+'蓝恐龙费用'!M31</ns0:f>
        <ns0:v>740.18</ns0:v>
      </ns0:c>
      <ns0:c r="N31" s="3">
        <ns0:f>'销售费用'!N31+'管理费用'!N31+'蓝恐龙费用'!N31</ns0:f>
        <ns0:v>836.84</ns0:v>
      </ns0:c>
      <ns0:c r="O31" s="3">
        <ns0:f>SUM(C31:N31)</ns0:f>
        <ns0:v>9269.96</ns0:v>
      </ns0:c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'销售费用'!C32+'管理费用'!C32+'蓝恐龙费用'!C32</ns0:f>
        <ns0:v>347.22</ns0:v>
      </ns0:c>
      <ns0:c r="D32" s="3">
        <ns0:f>'销售费用'!D32+'管理费用'!D32+'蓝恐龙费用'!D32</ns0:f>
        <ns0:v>941.19</ns0:v>
      </ns0:c>
      <ns0:c r="E32" s="3">
        <ns0:f>'销售费用'!E32+'管理费用'!E32+'蓝恐龙费用'!E32</ns0:f>
        <ns0:v>880.33</ns0:v>
      </ns0:c>
      <ns0:c r="F32" s="3">
        <ns0:f>'销售费用'!F32+'管理费用'!F32+'蓝恐龙费用'!F32</ns0:f>
        <ns0:v>530.76</ns0:v>
      </ns0:c>
      <ns0:c r="G32" s="3">
        <ns0:f>'销售费用'!G32+'管理费用'!G32+'蓝恐龙费用'!G32</ns0:f>
        <ns0:v>769.86</ns0:v>
      </ns0:c>
      <ns0:c r="H32" s="3">
        <ns0:f>'销售费用'!H32+'管理费用'!H32+'蓝恐龙费用'!H32</ns0:f>
        <ns0:v>488.17</ns0:v>
      </ns0:c>
      <ns0:c r="I32" s="3">
        <ns0:f>'销售费用'!I32+'管理费用'!I32+'蓝恐龙费用'!I32</ns0:f>
        <ns0:v>805.26</ns0:v>
      </ns0:c>
      <ns0:c r="J32" s="3">
        <ns0:f>'销售费用'!J32+'管理费用'!J32+'蓝恐龙费用'!J32</ns0:f>
        <ns0:v>609.46</ns0:v>
      </ns0:c>
      <ns0:c r="K32" s="3">
        <ns0:f>'销售费用'!K32+'管理费用'!K32+'蓝恐龙费用'!K32</ns0:f>
        <ns0:v>808.55</ns0:v>
      </ns0:c>
      <ns0:c r="L32" s="3">
        <ns0:f>'销售费用'!L32+'管理费用'!L32+'蓝恐龙费用'!L32</ns0:f>
        <ns0:v>529.79</ns0:v>
      </ns0:c>
      <ns0:c r="M32" s="3">
        <ns0:f>'销售费用'!M32+'管理费用'!M32+'蓝恐龙费用'!M32</ns0:f>
        <ns0:v>793.96</ns0:v>
      </ns0:c>
      <ns0:c r="N32" s="3">
        <ns0:f>'销售费用'!N32+'管理费用'!N32+'蓝恐龙费用'!N32</ns0:f>
        <ns0:v>815.97</ns0:v>
      </ns0:c>
      <ns0:c r="O32" s="3">
        <ns0:f>SUM(C32:N32)</ns0:f>
        <ns0:v>8320.52</ns0:v>
      </ns0:c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'销售费用'!C33+'管理费用'!C33+'蓝恐龙费用'!C33</ns0:f>
        <ns0:v>442.70</ns0:v>
      </ns0:c>
      <ns0:c r="D33" s="3">
        <ns0:f>'销售费用'!D33+'管理费用'!D33+'蓝恐龙费用'!D33</ns0:f>
        <ns0:v>863.79</ns0:v>
      </ns0:c>
      <ns0:c r="E33" s="3">
        <ns0:f>'销售费用'!E33+'管理费用'!E33+'蓝恐龙费用'!E33</ns0:f>
        <ns0:v>604.23</ns0:v>
      </ns0:c>
      <ns0:c r="F33" s="3">
        <ns0:f>'销售费用'!F33+'管理费用'!F33+'蓝恐龙费用'!F33</ns0:f>
        <ns0:v>566.07</ns0:v>
      </ns0:c>
      <ns0:c r="G33" s="3">
        <ns0:f>'销售费用'!G33+'管理费用'!G33+'蓝恐龙费用'!G33</ns0:f>
        <ns0:v>1035.76</ns0:v>
      </ns0:c>
      <ns0:c r="H33" s="3">
        <ns0:f>'销售费用'!H33+'管理费用'!H33+'蓝恐龙费用'!H33</ns0:f>
        <ns0:v>404.22</ns0:v>
      </ns0:c>
      <ns0:c r="I33" s="3">
        <ns0:f>'销售费用'!I33+'管理费用'!I33+'蓝恐龙费用'!I33</ns0:f>
        <ns0:v>647.58</ns0:v>
      </ns0:c>
      <ns0:c r="J33" s="3">
        <ns0:f>'销售费用'!J33+'管理费用'!J33+'蓝恐龙费用'!J33</ns0:f>
        <ns0:v>448.18</ns0:v>
      </ns0:c>
      <ns0:c r="K33" s="3">
        <ns0:f>'销售费用'!K33+'管理费用'!K33+'蓝恐龙费用'!K33</ns0:f>
        <ns0:v>549.20</ns0:v>
      </ns0:c>
      <ns0:c r="L33" s="3">
        <ns0:f>'销售费用'!L33+'管理费用'!L33+'蓝恐龙费用'!L33</ns0:f>
        <ns0:v>890.47</ns0:v>
      </ns0:c>
      <ns0:c r="M33" s="3">
        <ns0:f>'销售费用'!M33+'管理费用'!M33+'蓝恐龙费用'!M33</ns0:f>
        <ns0:v>661.60</ns0:v>
      </ns0:c>
      <ns0:c r="N33" s="3">
        <ns0:f>'销售费用'!N33+'管理费用'!N33+'蓝恐龙费用'!N33</ns0:f>
        <ns0:v>546.96</ns0:v>
      </ns0:c>
      <ns0:c r="O33" s="3">
        <ns0:f>SUM(C33:N33)</ns0:f>
        <ns0:v>7660.76</ns0:v>
      </ns0:c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19809.06</ns0:v>
      </ns0:c>
      <ns0:c r="D34" s="3">
        <ns0:f>SUM(D4:D33)</ns0:f>
        <ns0:v>21527.85</ns0:v>
      </ns0:c>
      <ns0:c r="E34" s="3">
        <ns0:f>SUM(E4:E33)</ns0:f>
        <ns0:v>22583.73</ns0:v>
      </ns0:c>
      <ns0:c r="F34" s="3">
        <ns0:f>SUM(F4:F33)</ns0:f>
        <ns0:v>21208.90</ns0:v>
      </ns0:c>
      <ns0:c r="G34" s="3">
        <ns0:f>SUM(G4:G33)</ns0:f>
        <ns0:v>23356.90</ns0:v>
      </ns0:c>
      <ns0:c r="H34" s="3">
        <ns0:f>SUM(H4:H33)</ns0:f>
        <ns0:v>19880.62</ns0:v>
      </ns0:c>
      <ns0:c r="I34" s="3">
        <ns0:f>SUM(I4:I33)</ns0:f>
        <ns0:v>24043.87</ns0:v>
      </ns0:c>
      <ns0:c r="J34" s="3">
        <ns0:f>SUM(J4:J33)</ns0:f>
        <ns0:v>20662.00</ns0:v>
      </ns0:c>
      <ns0:c r="K34" s="3">
        <ns0:f>SUM(K4:K33)</ns0:f>
        <ns0:v>21801.58</ns0:v>
      </ns0:c>
      <ns0:c r="L34" s="3">
        <ns0:f>SUM(L4:L33)</ns0:f>
        <ns0:v>21160.95</ns0:v>
      </ns0:c>
      <ns0:c r="M34" s="3">
        <ns0:f>SUM(M4:M33)</ns0:f>
        <ns0:v>20878.90</ns0:v>
      </ns0:c>
      <ns0:c r="N34" s="3">
        <ns0:f>SUM(N4:N33)</ns0:f>
        <ns0:v>24474.58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 t="inlineStr">
        <ns0:is>
          <ns0:t>预算基础月度勾稽</ns0:t>
        </ns0:is>
      </ns0:c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2:B42"/>
    <ns0:mergeCell ref="A43:B43"/>
    <ns0:mergeCell ref="A44:B44"/>
    <ns0:mergeCell ref="A45:B45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日期</ns0:t>
        </ns0:is>
      </ns0:c>
      <ns0:c r="C2" s="3"/>
      <ns0:c r="D2" s="3"/>
      <ns0:c r="E2" s="3"/>
      <ns0:c r="F2" s="3"/>
      <ns0:c r="G2" s="3"/>
      <ns0:c r="H2" s="3" t="inlineStr">
        <ns0:is>
          <ns0:t>金额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摘要</ns0:t>
        </ns0:is>
      </ns0:c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 t="inlineStr">
        <ns0:is>
          <ns0:t>合计</ns0:t>
        </ns0:is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预算基础内部底稿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摊销资产原值</ns0:t>
        </ns0:is>
      </ns0:c>
      <ns0:c r="C31" s="4">
        <ns0:v>96383.60</ns0:v>
      </ns0:c>
      <ns0:c r="D31" s="3">
        <ns0:f>$C$31</ns0:f>
        <ns0:v>96383.60</ns0:v>
      </ns0:c>
      <ns0:c r="E31" s="3">
        <ns0:f>$C$31</ns0:f>
        <ns0:v>96383.60</ns0:v>
      </ns0:c>
      <ns0:c r="F31" s="3">
        <ns0:f>$C$31</ns0:f>
        <ns0:v>96383.60</ns0:v>
      </ns0:c>
      <ns0:c r="G31" s="3">
        <ns0:f>$C$31</ns0:f>
        <ns0:v>96383.60</ns0:v>
      </ns0:c>
      <ns0:c r="H31" s="3">
        <ns0:f>$C$31</ns0:f>
        <ns0:v>96383.60</ns0:v>
      </ns0:c>
      <ns0:c r="I31" s="3">
        <ns0:f>$C$31</ns0:f>
        <ns0:v>96383.60</ns0:v>
      </ns0:c>
      <ns0:c r="J31" s="3">
        <ns0:f>$C$31</ns0:f>
        <ns0:v>96383.60</ns0:v>
      </ns0:c>
      <ns0:c r="K31" s="3">
        <ns0:f>$C$31</ns0:f>
        <ns0:v>96383.60</ns0:v>
      </ns0:c>
      <ns0:c r="L31" s="3">
        <ns0:f>$C$31</ns0:f>
        <ns0:v>96383.60</ns0:v>
      </ns0:c>
      <ns0:c r="M31" s="3">
        <ns0:f>$C$31</ns0:f>
        <ns0:v>96383.60</ns0:v>
      </ns0:c>
      <ns0:c r="N31" s="3">
        <ns0:f>$C$31</ns0:f>
        <ns0:v>96383.60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摊销月数</ns0:t>
        </ns0:is>
      </ns0:c>
      <ns0:c r="C32" s="4">
        <ns0:v>63</ns0:v>
      </ns0:c>
      <ns0:c r="D32" s="3">
        <ns0:f>$C$32</ns0:f>
        <ns0:v>63</ns0:v>
      </ns0:c>
      <ns0:c r="E32" s="3">
        <ns0:f>$C$32</ns0:f>
        <ns0:v>63</ns0:v>
      </ns0:c>
      <ns0:c r="F32" s="3">
        <ns0:f>$C$32</ns0:f>
        <ns0:v>63</ns0:v>
      </ns0:c>
      <ns0:c r="G32" s="3">
        <ns0:f>$C$32</ns0:f>
        <ns0:v>63</ns0:v>
      </ns0:c>
      <ns0:c r="H32" s="3">
        <ns0:f>$C$32</ns0:f>
        <ns0:v>63</ns0:v>
      </ns0:c>
      <ns0:c r="I32" s="3">
        <ns0:f>$C$32</ns0:f>
        <ns0:v>63</ns0:v>
      </ns0:c>
      <ns0:c r="J32" s="3">
        <ns0:f>$C$32</ns0:f>
        <ns0:v>63</ns0:v>
      </ns0:c>
      <ns0:c r="K32" s="3">
        <ns0:f>$C$32</ns0:f>
        <ns0:v>63</ns0:v>
      </ns0:c>
      <ns0:c r="L32" s="3">
        <ns0:f>$C$32</ns0:f>
        <ns0:v>63</ns0:v>
      </ns0:c>
      <ns0:c r="M32" s="3">
        <ns0:f>$C$32</ns0:f>
        <ns0:v>63</ns0:v>
      </ns0:c>
      <ns0:c r="N32" s="3">
        <ns0:f>$C$32</ns0:f>
        <ns0:v>63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本月摊销</ns0:t>
        </ns0:is>
      </ns0:c>
      <ns0:c r="C33" s="3">
        <ns0:f>ROUND(C31/C32,2)</ns0:f>
        <ns0:v>1529.90</ns0:v>
      </ns0:c>
      <ns0:c r="D33" s="3">
        <ns0:f>ROUND(D31/D32,2)</ns0:f>
        <ns0:v>1529.90</ns0:v>
      </ns0:c>
      <ns0:c r="E33" s="3">
        <ns0:f>ROUND(E31/E32,2)</ns0:f>
        <ns0:v>1529.90</ns0:v>
      </ns0:c>
      <ns0:c r="F33" s="3">
        <ns0:f>ROUND(F31/F32,2)</ns0:f>
        <ns0:v>1529.90</ns0:v>
      </ns0:c>
      <ns0:c r="G33" s="3">
        <ns0:f>ROUND(G31/G32,2)</ns0:f>
        <ns0:v>1529.90</ns0:v>
      </ns0:c>
      <ns0:c r="H33" s="3">
        <ns0:f>ROUND(H31/H32,2)</ns0:f>
        <ns0:v>1529.90</ns0:v>
      </ns0:c>
      <ns0:c r="I33" s="3">
        <ns0:f>ROUND(I31/I32,2)</ns0:f>
        <ns0:v>1529.90</ns0:v>
      </ns0:c>
      <ns0:c r="J33" s="3">
        <ns0:f>ROUND(J31/J32,2)</ns0:f>
        <ns0:v>1529.90</ns0:v>
      </ns0:c>
      <ns0:c r="K33" s="3">
        <ns0:f>ROUND(K31/K32,2)</ns0:f>
        <ns0:v>1529.90</ns0:v>
      </ns0:c>
      <ns0:c r="L33" s="3">
        <ns0:f>ROUND(L31/L32,2)</ns0:f>
        <ns0:v>1529.90</ns0:v>
      </ns0:c>
      <ns0:c r="M33" s="3">
        <ns0:f>ROUND(M31/M32,2)</ns0:f>
        <ns0:v>1529.90</ns0:v>
      </ns0:c>
      <ns0:c r="N33" s="3">
        <ns0:f>ROUND(N31/N32,2)</ns0:f>
        <ns0:v>1529.90</ns0:v>
      </ns0:c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累计已摊销</ns0:t>
        </ns0:is>
      </ns0:c>
      <ns0:c r="C34" s="3">
        <ns0:f>SUM($C33:C33)</ns0:f>
        <ns0:v>1529.90</ns0:v>
      </ns0:c>
      <ns0:c r="D34" s="3">
        <ns0:f>SUM($C33:D33)</ns0:f>
        <ns0:v>3059.80</ns0:v>
      </ns0:c>
      <ns0:c r="E34" s="3">
        <ns0:f>SUM($C33:E33)</ns0:f>
        <ns0:v>4589.70</ns0:v>
      </ns0:c>
      <ns0:c r="F34" s="3">
        <ns0:f>SUM($C33:F33)</ns0:f>
        <ns0:v>6119.60</ns0:v>
      </ns0:c>
      <ns0:c r="G34" s="3">
        <ns0:f>SUM($C33:G33)</ns0:f>
        <ns0:v>7649.50</ns0:v>
      </ns0:c>
      <ns0:c r="H34" s="3">
        <ns0:f>SUM($C33:H33)</ns0:f>
        <ns0:v>9179.40</ns0:v>
      </ns0:c>
      <ns0:c r="I34" s="3">
        <ns0:f>SUM($C33:I33)</ns0:f>
        <ns0:v>10709.30</ns0:v>
      </ns0:c>
      <ns0:c r="J34" s="3">
        <ns0:f>SUM($C33:J33)</ns0:f>
        <ns0:v>12239.20</ns0:v>
      </ns0:c>
      <ns0:c r="K34" s="3">
        <ns0:f>SUM($C33:K33)</ns0:f>
        <ns0:v>13769.10</ns0:v>
      </ns0:c>
      <ns0:c r="L34" s="3">
        <ns0:f>SUM($C33:L33)</ns0:f>
        <ns0:v>15299.00</ns0:v>
      </ns0:c>
      <ns0:c r="M34" s="3">
        <ns0:f>SUM($C33:M33)</ns0:f>
        <ns0:v>16828.90</ns0:v>
      </ns0:c>
      <ns0:c r="N34" s="3">
        <ns0:f>SUM($C33:N33)</ns0:f>
        <ns0:v>18358.80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尚未摊销</ns0:t>
        </ns0:is>
      </ns0:c>
      <ns0:c r="C35" s="3">
        <ns0:f>C31-C34</ns0:f>
        <ns0:v>94853.70</ns0:v>
      </ns0:c>
      <ns0:c r="D35" s="3">
        <ns0:f>D31-D34</ns0:f>
        <ns0:v>93323.80</ns0:v>
      </ns0:c>
      <ns0:c r="E35" s="3">
        <ns0:f>E31-E34</ns0:f>
        <ns0:v>91793.90</ns0:v>
      </ns0:c>
      <ns0:c r="F35" s="3">
        <ns0:f>F31-F34</ns0:f>
        <ns0:v>90264.00</ns0:v>
      </ns0:c>
      <ns0:c r="G35" s="3">
        <ns0:f>G31-G34</ns0:f>
        <ns0:v>88734.10</ns0:v>
      </ns0:c>
      <ns0:c r="H35" s="3">
        <ns0:f>H31-H34</ns0:f>
        <ns0:v>87204.20</ns0:v>
      </ns0:c>
      <ns0:c r="I35" s="3">
        <ns0:f>I31-I34</ns0:f>
        <ns0:v>85674.30</ns0:v>
      </ns0:c>
      <ns0:c r="J35" s="3">
        <ns0:f>J31-J34</ns0:f>
        <ns0:v>84144.40</ns0:v>
      </ns0:c>
      <ns0:c r="K35" s="3">
        <ns0:f>K31-K34</ns0:f>
        <ns0:v>82614.50</ns0:v>
      </ns0:c>
      <ns0:c r="L35" s="3">
        <ns0:f>L31-L34</ns0:f>
        <ns0:v>81084.60</ns0:v>
      </ns0:c>
      <ns0:c r="M35" s="3">
        <ns0:f>M31-M34</ns0:f>
        <ns0:v>79554.70</ns0:v>
      </ns0:c>
      <ns0:c r="N35" s="3">
        <ns0:f>N31-N34</ns0:f>
        <ns0:v>78024.80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摊销起始日</ns0:t>
        </ns0:is>
      </ns0:c>
      <ns0:c r="C36" s="3" t="inlineStr">
        <ns0:is>
          <ns0:t>2027-01-01</ns0:t>
        </ns0:is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1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5.7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摘要</ns0:t>
        </ns0:is>
      </ns0:c>
      <ns0:c r="B1" s="2" t="inlineStr">
        <ns0:is>
          <ns0:t>科目</ns0:t>
        </ns0:is>
      </ns0:c>
      <ns0:c r="C1" s="3" t="inlineStr">
        <ns0:is>
          <ns0:t>借方</ns0:t>
        </ns0:is>
      </ns0:c>
      <ns0:c r="D1" s="3" t="inlineStr">
        <ns0:is>
          <ns0:t>贷方</ns0:t>
        </ns0:is>
      </ns0:c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管理费用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E-b5ba9f7789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主体甲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S-8037e7f5de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基础情景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月度</ns0:t>
        </ns0:is>
      </ns0:c>
    </ns0:row>
    <ns0:row r="8" ht="20" customHeight="1">
      <ns0:c r="A8" s="2"/>
      <ns0:c r="B8" s="2" t="inlineStr">
        <ns0:is>
          <ns0:t>财务费用</ns0:t>
        </ns0:is>
      </ns0:c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财务费用</ns0:t>
        </ns0:is>
      </ns0:c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财务费用</ns0:t>
        </ns0:is>
      </ns0:c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财务费用</ns0:t>
        </ns0:is>
      </ns0:c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财务费用</ns0:t>
        </ns0:is>
      </ns0:c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管理费用</ns0:t>
        </ns0:is>
      </ns0:c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管理费用</ns0:t>
        </ns0:is>
      </ns0:c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 t="inlineStr">
        <ns0:is>
          <ns0:t>管理费用</ns0:t>
        </ns0:is>
      </ns0:c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 t="inlineStr">
        <ns0:is>
          <ns0:t>管理费用</ns0:t>
        </ns0:is>
      </ns0:c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 t="inlineStr">
        <ns0:is>
          <ns0:t>管理费用</ns0:t>
        </ns0:is>
      </ns0:c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 t="inlineStr">
        <ns0:is>
          <ns0:t>管理费用</ns0:t>
        </ns0:is>
      </ns0:c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 t="inlineStr">
        <ns0:is>
          <ns0:t>管理费用</ns0:t>
        </ns0:is>
      </ns0:c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 t="inlineStr">
        <ns0:is>
          <ns0:t>利息支出</ns0:t>
        </ns0:is>
      </ns0:c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 t="inlineStr">
        <ns0:is>
          <ns0:t>财务费用</ns0:t>
        </ns0:is>
      </ns0:c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 t="inlineStr">
        <ns0:is>
          <ns0:t>期间</ns0:t>
        </ns0:is>
      </ns0:c>
      <ns0:c r="B150" s="2" t="inlineStr">
        <ns0:is>
          <ns0:t>科目</ns0:t>
        </ns0:is>
      </ns0:c>
      <ns0:c r="C150" s="3" t="inlineStr">
        <ns0:is>
          <ns0:t>借方</ns0:t>
        </ns0:is>
      </ns0:c>
      <ns0:c r="D150" s="3" t="inlineStr">
        <ns0:is>
          <ns0:t>贷方</ns0:t>
        </ns0:is>
      </ns0:c>
      <ns0:c r="E150" s="3" t="inlineStr">
        <ns0:is>
          <ns0:t>说明</ns0:t>
        </ns0:is>
      </ns0:c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 t="inlineStr">
        <ns0:is>
          <ns0:t>2027-01</ns0:t>
        </ns0:is>
      </ns0:c>
      <ns0:c r="B151" s="2" t="inlineStr">
        <ns0:is>
          <ns0:t>银行存款</ns0:t>
        </ns0:is>
      </ns0:c>
      <ns0:c r="C151" s="3">
        <ns0:f>'利润表'!C61</ns0:f>
        <ns0:v>416496.37</ns0:v>
      </ns0:c>
      <ns0:c r="D151" s="3">
        <ns0:f>0</ns0:f>
        <ns0:v>0</ns0:v>
      </ns0:c>
      <ns0:c r="E151" s="3" t="inlineStr">
        <ns0:is>
          <ns0:t>占位收入分录，非完整总账</ns0:t>
        </ns0:is>
      </ns0:c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 t="inlineStr">
        <ns0:is>
          <ns0:t>主营业务收入</ns0:t>
        </ns0:is>
      </ns0:c>
      <ns0:c r="C152" s="3">
        <ns0:f>0</ns0:f>
        <ns0:v>0</ns0:v>
      </ns0:c>
      <ns0:c r="D152" s="3">
        <ns0:f>C151</ns0:f>
        <ns0:v>416496.37</ns0:v>
      </ns0:c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 t="inlineStr">
        <ns0:is>
          <ns0:t>2027-02</ns0:t>
        </ns0:is>
      </ns0:c>
      <ns0:c r="B153" s="2" t="inlineStr">
        <ns0:is>
          <ns0:t>银行存款</ns0:t>
        </ns0:is>
      </ns0:c>
      <ns0:c r="C153" s="3">
        <ns0:f>'利润表'!D61</ns0:f>
        <ns0:v>426309.96</ns0:v>
      </ns0:c>
      <ns0:c r="D153" s="3">
        <ns0:f>0</ns0:f>
        <ns0:v>0</ns0:v>
      </ns0:c>
      <ns0:c r="E153" s="3" t="inlineStr">
        <ns0:is>
          <ns0:t>占位收入分录，非完整总账</ns0:t>
        </ns0:is>
      </ns0:c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 t="inlineStr">
        <ns0:is>
          <ns0:t>主营业务收入</ns0:t>
        </ns0:is>
      </ns0:c>
      <ns0:c r="C154" s="3">
        <ns0:f>0</ns0:f>
        <ns0:v>0</ns0:v>
      </ns0:c>
      <ns0:c r="D154" s="3">
        <ns0:f>C153</ns0:f>
        <ns0:v>426309.96</ns0:v>
      </ns0:c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 t="inlineStr">
        <ns0:is>
          <ns0:t>2027-03</ns0:t>
        </ns0:is>
      </ns0:c>
      <ns0:c r="B155" s="2" t="inlineStr">
        <ns0:is>
          <ns0:t>银行存款</ns0:t>
        </ns0:is>
      </ns0:c>
      <ns0:c r="C155" s="3">
        <ns0:f>'利润表'!E61</ns0:f>
        <ns0:v>541668.41</ns0:v>
      </ns0:c>
      <ns0:c r="D155" s="3">
        <ns0:f>0</ns0:f>
        <ns0:v>0</ns0:v>
      </ns0:c>
      <ns0:c r="E155" s="3" t="inlineStr">
        <ns0:is>
          <ns0:t>占位收入分录，非完整总账</ns0:t>
        </ns0:is>
      </ns0:c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 t="inlineStr">
        <ns0:is>
          <ns0:t>主营业务收入</ns0:t>
        </ns0:is>
      </ns0:c>
      <ns0:c r="C156" s="3">
        <ns0:f>0</ns0:f>
        <ns0:v>0</ns0:v>
      </ns0:c>
      <ns0:c r="D156" s="3">
        <ns0:f>C155</ns0:f>
        <ns0:v>541668.41</ns0:v>
      </ns0:c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 t="inlineStr">
        <ns0:is>
          <ns0:t>2027-04</ns0:t>
        </ns0:is>
      </ns0:c>
      <ns0:c r="B157" s="2" t="inlineStr">
        <ns0:is>
          <ns0:t>银行存款</ns0:t>
        </ns0:is>
      </ns0:c>
      <ns0:c r="C157" s="3">
        <ns0:f>'利润表'!F61</ns0:f>
        <ns0:v>371482.46</ns0:v>
      </ns0:c>
      <ns0:c r="D157" s="3">
        <ns0:f>0</ns0:f>
        <ns0:v>0</ns0:v>
      </ns0:c>
      <ns0:c r="E157" s="3" t="inlineStr">
        <ns0:is>
          <ns0:t>占位收入分录，非完整总账</ns0:t>
        </ns0:is>
      </ns0:c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 t="inlineStr">
        <ns0:is>
          <ns0:t>主营业务收入</ns0:t>
        </ns0:is>
      </ns0:c>
      <ns0:c r="C158" s="3">
        <ns0:f>0</ns0:f>
        <ns0:v>0</ns0:v>
      </ns0:c>
      <ns0:c r="D158" s="3">
        <ns0:f>C157</ns0:f>
        <ns0:v>371482.46</ns0:v>
      </ns0:c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 t="inlineStr">
        <ns0:is>
          <ns0:t>2027-05</ns0:t>
        </ns0:is>
      </ns0:c>
      <ns0:c r="B159" s="2" t="inlineStr">
        <ns0:is>
          <ns0:t>银行存款</ns0:t>
        </ns0:is>
      </ns0:c>
      <ns0:c r="C159" s="3">
        <ns0:f>'利润表'!G61</ns0:f>
        <ns0:v>538739.24</ns0:v>
      </ns0:c>
      <ns0:c r="D159" s="3">
        <ns0:f>0</ns0:f>
        <ns0:v>0</ns0:v>
      </ns0:c>
      <ns0:c r="E159" s="3" t="inlineStr">
        <ns0:is>
          <ns0:t>占位收入分录，非完整总账</ns0:t>
        </ns0:is>
      </ns0:c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 t="inlineStr">
        <ns0:is>
          <ns0:t>主营业务收入</ns0:t>
        </ns0:is>
      </ns0:c>
      <ns0:c r="C160" s="3">
        <ns0:f>0</ns0:f>
        <ns0:v>0</ns0:v>
      </ns0:c>
      <ns0:c r="D160" s="3">
        <ns0:f>C159</ns0:f>
        <ns0:v>538739.24</ns0:v>
      </ns0:c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 t="inlineStr">
        <ns0:is>
          <ns0:t>2027-06</ns0:t>
        </ns0:is>
      </ns0:c>
      <ns0:c r="B161" s="2" t="inlineStr">
        <ns0:is>
          <ns0:t>银行存款</ns0:t>
        </ns0:is>
      </ns0:c>
      <ns0:c r="C161" s="3">
        <ns0:f>'利润表'!H61</ns0:f>
        <ns0:v>352406.42</ns0:v>
      </ns0:c>
      <ns0:c r="D161" s="3">
        <ns0:f>0</ns0:f>
        <ns0:v>0</ns0:v>
      </ns0:c>
      <ns0:c r="E161" s="3" t="inlineStr">
        <ns0:is>
          <ns0:t>占位收入分录，非完整总账</ns0:t>
        </ns0:is>
      </ns0:c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 t="inlineStr">
        <ns0:is>
          <ns0:t>主营业务收入</ns0:t>
        </ns0:is>
      </ns0:c>
      <ns0:c r="C162" s="3">
        <ns0:f>0</ns0:f>
        <ns0:v>0</ns0:v>
      </ns0:c>
      <ns0:c r="D162" s="3">
        <ns0:f>C161</ns0:f>
        <ns0:v>352406.42</ns0:v>
      </ns0:c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 t="inlineStr">
        <ns0:is>
          <ns0:t>2027-07</ns0:t>
        </ns0:is>
      </ns0:c>
      <ns0:c r="B163" s="2" t="inlineStr">
        <ns0:is>
          <ns0:t>银行存款</ns0:t>
        </ns0:is>
      </ns0:c>
      <ns0:c r="C163" s="3">
        <ns0:f>'利润表'!I61</ns0:f>
        <ns0:v>453371.40</ns0:v>
      </ns0:c>
      <ns0:c r="D163" s="3">
        <ns0:f>0</ns0:f>
        <ns0:v>0</ns0:v>
      </ns0:c>
      <ns0:c r="E163" s="3" t="inlineStr">
        <ns0:is>
          <ns0:t>占位收入分录，非完整总账</ns0:t>
        </ns0:is>
      </ns0:c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 t="inlineStr">
        <ns0:is>
          <ns0:t>主营业务收入</ns0:t>
        </ns0:is>
      </ns0:c>
      <ns0:c r="C164" s="3">
        <ns0:f>0</ns0:f>
        <ns0:v>0</ns0:v>
      </ns0:c>
      <ns0:c r="D164" s="3">
        <ns0:f>C163</ns0:f>
        <ns0:v>453371.40</ns0:v>
      </ns0:c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 t="inlineStr">
        <ns0:is>
          <ns0:t>2027-08</ns0:t>
        </ns0:is>
      </ns0:c>
      <ns0:c r="B165" s="2" t="inlineStr">
        <ns0:is>
          <ns0:t>银行存款</ns0:t>
        </ns0:is>
      </ns0:c>
      <ns0:c r="C165" s="3">
        <ns0:f>'利润表'!J61</ns0:f>
        <ns0:v>499484.22</ns0:v>
      </ns0:c>
      <ns0:c r="D165" s="3">
        <ns0:f>0</ns0:f>
        <ns0:v>0</ns0:v>
      </ns0:c>
      <ns0:c r="E165" s="3" t="inlineStr">
        <ns0:is>
          <ns0:t>占位收入分录，非完整总账</ns0:t>
        </ns0:is>
      </ns0:c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 t="inlineStr">
        <ns0:is>
          <ns0:t>主营业务收入</ns0:t>
        </ns0:is>
      </ns0:c>
      <ns0:c r="C166" s="3">
        <ns0:f>0</ns0:f>
        <ns0:v>0</ns0:v>
      </ns0:c>
      <ns0:c r="D166" s="3">
        <ns0:f>C165</ns0:f>
        <ns0:v>499484.22</ns0:v>
      </ns0:c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 t="inlineStr">
        <ns0:is>
          <ns0:t>2027-09</ns0:t>
        </ns0:is>
      </ns0:c>
      <ns0:c r="B167" s="2" t="inlineStr">
        <ns0:is>
          <ns0:t>银行存款</ns0:t>
        </ns0:is>
      </ns0:c>
      <ns0:c r="C167" s="3">
        <ns0:f>'利润表'!K61</ns0:f>
        <ns0:v>336576.43</ns0:v>
      </ns0:c>
      <ns0:c r="D167" s="3">
        <ns0:f>0</ns0:f>
        <ns0:v>0</ns0:v>
      </ns0:c>
      <ns0:c r="E167" s="3" t="inlineStr">
        <ns0:is>
          <ns0:t>占位收入分录，非完整总账</ns0:t>
        </ns0:is>
      </ns0:c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 t="inlineStr">
        <ns0:is>
          <ns0:t>主营业务收入</ns0:t>
        </ns0:is>
      </ns0:c>
      <ns0:c r="C168" s="3">
        <ns0:f>0</ns0:f>
        <ns0:v>0</ns0:v>
      </ns0:c>
      <ns0:c r="D168" s="3">
        <ns0:f>C167</ns0:f>
        <ns0:v>336576.43</ns0:v>
      </ns0:c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 t="inlineStr">
        <ns0:is>
          <ns0:t>2027-10</ns0:t>
        </ns0:is>
      </ns0:c>
      <ns0:c r="B169" s="2" t="inlineStr">
        <ns0:is>
          <ns0:t>银行存款</ns0:t>
        </ns0:is>
      </ns0:c>
      <ns0:c r="C169" s="3">
        <ns0:f>'利润表'!L61</ns0:f>
        <ns0:v>347698.43</ns0:v>
      </ns0:c>
      <ns0:c r="D169" s="3">
        <ns0:f>0</ns0:f>
        <ns0:v>0</ns0:v>
      </ns0:c>
      <ns0:c r="E169" s="3" t="inlineStr">
        <ns0:is>
          <ns0:t>占位收入分录，非完整总账</ns0:t>
        </ns0:is>
      </ns0:c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 t="inlineStr">
        <ns0:is>
          <ns0:t>主营业务收入</ns0:t>
        </ns0:is>
      </ns0:c>
      <ns0:c r="C170" s="3">
        <ns0:f>0</ns0:f>
        <ns0:v>0</ns0:v>
      </ns0:c>
      <ns0:c r="D170" s="3">
        <ns0:f>C169</ns0:f>
        <ns0:v>347698.43</ns0:v>
      </ns0:c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 t="inlineStr">
        <ns0:is>
          <ns0:t>2027-11</ns0:t>
        </ns0:is>
      </ns0:c>
      <ns0:c r="B171" s="2" t="inlineStr">
        <ns0:is>
          <ns0:t>银行存款</ns0:t>
        </ns0:is>
      </ns0:c>
      <ns0:c r="C171" s="3">
        <ns0:f>'利润表'!M61</ns0:f>
        <ns0:v>332772.05</ns0:v>
      </ns0:c>
      <ns0:c r="D171" s="3">
        <ns0:f>0</ns0:f>
        <ns0:v>0</ns0:v>
      </ns0:c>
      <ns0:c r="E171" s="3" t="inlineStr">
        <ns0:is>
          <ns0:t>占位收入分录，非完整总账</ns0:t>
        </ns0:is>
      </ns0:c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 t="inlineStr">
        <ns0:is>
          <ns0:t>主营业务收入</ns0:t>
        </ns0:is>
      </ns0:c>
      <ns0:c r="C172" s="3">
        <ns0:f>0</ns0:f>
        <ns0:v>0</ns0:v>
      </ns0:c>
      <ns0:c r="D172" s="3">
        <ns0:f>C171</ns0:f>
        <ns0:v>332772.05</ns0:v>
      </ns0:c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 t="inlineStr">
        <ns0:is>
          <ns0:t>2027-12</ns0:t>
        </ns0:is>
      </ns0:c>
      <ns0:c r="B173" s="2" t="inlineStr">
        <ns0:is>
          <ns0:t>银行存款</ns0:t>
        </ns0:is>
      </ns0:c>
      <ns0:c r="C173" s="3">
        <ns0:f>'利润表'!N61</ns0:f>
        <ns0:v>465052.83</ns0:v>
      </ns0:c>
      <ns0:c r="D173" s="3">
        <ns0:f>0</ns0:f>
        <ns0:v>0</ns0:v>
      </ns0:c>
      <ns0:c r="E173" s="3" t="inlineStr">
        <ns0:is>
          <ns0:t>占位收入分录，非完整总账</ns0:t>
        </ns0:is>
      </ns0:c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 t="inlineStr">
        <ns0:is>
          <ns0:t>主营业务收入</ns0:t>
        </ns0:is>
      </ns0:c>
      <ns0:c r="C174" s="3">
        <ns0:f>0</ns0:f>
        <ns0:v>0</ns0:v>
      </ns0:c>
      <ns0:c r="D174" s="3">
        <ns0:f>C173</ns0:f>
        <ns0:v>465052.83</ns0:v>
      </ns0:c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