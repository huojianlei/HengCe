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主体甲 / 基础情景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4581924.93</ns0:v>
      </ns0:c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1629303.28</ns0:v>
      </ns0:c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29232.68</ns0:v>
      </ns0:c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86131.51</ns0:v>
      </ns0:c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170814.01</ns0:v>
      </ns0:c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2666443.45</ns0:v>
      </ns0:c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2666443.45</ns0:v>
      </ns0:c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582351.23</ns0:v>
      </ns0:c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2084092.22</ns0:v>
      </ns0:c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369164.30</ns0:v>
      </ns0:c>
      <ns0:c r="D61" s="3">
        <ns0:f>'收入非主控'!D33+'收入主控'!D33</ns0:f>
        <ns0:v>394228.47</ns0:v>
      </ns0:c>
      <ns0:c r="E61" s="3">
        <ns0:f>'收入非主控'!E33+'收入主控'!E33</ns0:f>
        <ns0:v>307534.22</ns0:v>
      </ns0:c>
      <ns0:c r="F61" s="3">
        <ns0:f>'收入非主控'!F33+'收入主控'!F33</ns0:f>
        <ns0:v>359269.20</ns0:v>
      </ns0:c>
      <ns0:c r="G61" s="3">
        <ns0:f>'收入非主控'!G33+'收入主控'!G33</ns0:f>
        <ns0:v>333128.70</ns0:v>
      </ns0:c>
      <ns0:c r="H61" s="3">
        <ns0:f>'收入非主控'!H33+'收入主控'!H33</ns0:f>
        <ns0:v>333531.50</ns0:v>
      </ns0:c>
      <ns0:c r="I61" s="3">
        <ns0:f>'收入非主控'!I33+'收入主控'!I33</ns0:f>
        <ns0:v>604880.91</ns0:v>
      </ns0:c>
      <ns0:c r="J61" s="3">
        <ns0:f>'收入非主控'!J33+'收入主控'!J33</ns0:f>
        <ns0:v>296141.30</ns0:v>
      </ns0:c>
      <ns0:c r="K61" s="3">
        <ns0:f>'收入非主控'!K33+'收入主控'!K33</ns0:f>
        <ns0:v>366194.80</ns0:v>
      </ns0:c>
      <ns0:c r="L61" s="3">
        <ns0:f>'收入非主控'!L33+'收入主控'!L33</ns0:f>
        <ns0:v>292160.06</ns0:v>
      </ns0:c>
      <ns0:c r="M61" s="3">
        <ns0:f>'收入非主控'!M33+'收入主控'!M33</ns0:f>
        <ns0:v>441295.43</ns0:v>
      </ns0:c>
      <ns0:c r="N61" s="3">
        <ns0:f>'收入非主控'!N33+'收入主控'!N33</ns0:f>
        <ns0:v>484396.04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144195.50</ns0:v>
      </ns0:c>
      <ns0:c r="D62" s="3">
        <ns0:f>'收入非主控'!D36+'收入主控'!D36</ns0:f>
        <ns0:v>129095.28</ns0:v>
      </ns0:c>
      <ns0:c r="E62" s="3">
        <ns0:f>'收入非主控'!E36+'收入主控'!E36</ns0:f>
        <ns0:v>159361.17</ns0:v>
      </ns0:c>
      <ns0:c r="F62" s="3">
        <ns0:f>'收入非主控'!F36+'收入主控'!F36</ns0:f>
        <ns0:v>151040.96</ns0:v>
      </ns0:c>
      <ns0:c r="G62" s="3">
        <ns0:f>'收入非主控'!G36+'收入主控'!G36</ns0:f>
        <ns0:v>131886.94</ns0:v>
      </ns0:c>
      <ns0:c r="H62" s="3">
        <ns0:f>'收入非主控'!H36+'收入主控'!H36</ns0:f>
        <ns0:v>116967.99</ns0:v>
      </ns0:c>
      <ns0:c r="I62" s="3">
        <ns0:f>'收入非主控'!I36+'收入主控'!I36</ns0:f>
        <ns0:v>160943.25</ns0:v>
      </ns0:c>
      <ns0:c r="J62" s="3">
        <ns0:f>'收入非主控'!J36+'收入主控'!J36</ns0:f>
        <ns0:v>123612.45</ns0:v>
      </ns0:c>
      <ns0:c r="K62" s="3">
        <ns0:f>'收入非主控'!K36+'收入主控'!K36</ns0:f>
        <ns0:v>116564.48</ns0:v>
      </ns0:c>
      <ns0:c r="L62" s="3">
        <ns0:f>'收入非主控'!L36+'收入主控'!L36</ns0:f>
        <ns0:v>115991.45</ns0:v>
      </ns0:c>
      <ns0:c r="M62" s="3">
        <ns0:f>'收入非主控'!M36+'收入主控'!M36</ns0:f>
        <ns0:v>132129.06</ns0:v>
      </ns0:c>
      <ns0:c r="N62" s="3">
        <ns0:f>'收入非主控'!N36+'收入主控'!N36</ns0:f>
        <ns0:v>147514.75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2355.27</ns0:v>
      </ns0:c>
      <ns0:c r="D63" s="3">
        <ns0:f>'税金及附加'!D33</ns0:f>
        <ns0:v>2515.18</ns0:v>
      </ns0:c>
      <ns0:c r="E63" s="3">
        <ns0:f>'税金及附加'!E33</ns0:f>
        <ns0:v>1962.07</ns0:v>
      </ns0:c>
      <ns0:c r="F63" s="3">
        <ns0:f>'税金及附加'!F33</ns0:f>
        <ns0:v>2292.14</ns0:v>
      </ns0:c>
      <ns0:c r="G63" s="3">
        <ns0:f>'税金及附加'!G33</ns0:f>
        <ns0:v>2125.36</ns0:v>
      </ns0:c>
      <ns0:c r="H63" s="3">
        <ns0:f>'税金及附加'!H33</ns0:f>
        <ns0:v>2127.93</ns0:v>
      </ns0:c>
      <ns0:c r="I63" s="3">
        <ns0:f>'税金及附加'!I33</ns0:f>
        <ns0:v>3859.14</ns0:v>
      </ns0:c>
      <ns0:c r="J63" s="3">
        <ns0:f>'税金及附加'!J33</ns0:f>
        <ns0:v>1889.38</ns0:v>
      </ns0:c>
      <ns0:c r="K63" s="3">
        <ns0:f>'税金及附加'!K33</ns0:f>
        <ns0:v>2336.32</ns0:v>
      </ns0:c>
      <ns0:c r="L63" s="3">
        <ns0:f>'税金及附加'!L33</ns0:f>
        <ns0:v>1863.98</ns0:v>
      </ns0:c>
      <ns0:c r="M63" s="3">
        <ns0:f>'税金及附加'!M33</ns0:f>
        <ns0:v>2815.46</ns0:v>
      </ns0:c>
      <ns0:c r="N63" s="3">
        <ns0:f>'税金及附加'!N33</ns0:f>
        <ns0:v>3090.45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6384.54</ns0:v>
      </ns0:c>
      <ns0:c r="D64" s="3">
        <ns0:f>'销售费用'!D34</ns0:f>
        <ns0:v>7051.43</ns0:v>
      </ns0:c>
      <ns0:c r="E64" s="3">
        <ns0:f>'销售费用'!E34</ns0:f>
        <ns0:v>6124.48</ns0:v>
      </ns0:c>
      <ns0:c r="F64" s="3">
        <ns0:f>'销售费用'!F34</ns0:f>
        <ns0:v>7854.85</ns0:v>
      </ns0:c>
      <ns0:c r="G64" s="3">
        <ns0:f>'销售费用'!G34</ns0:f>
        <ns0:v>7508.85</ns0:v>
      </ns0:c>
      <ns0:c r="H64" s="3">
        <ns0:f>'销售费用'!H34</ns0:f>
        <ns0:v>7513.91</ns0:v>
      </ns0:c>
      <ns0:c r="I64" s="3">
        <ns0:f>'销售费用'!I34</ns0:f>
        <ns0:v>7037.22</ns0:v>
      </ns0:c>
      <ns0:c r="J64" s="3">
        <ns0:f>'销售费用'!J34</ns0:f>
        <ns0:v>6823.63</ns0:v>
      </ns0:c>
      <ns0:c r="K64" s="3">
        <ns0:f>'销售费用'!K34</ns0:f>
        <ns0:v>7408.06</ns0:v>
      </ns0:c>
      <ns0:c r="L64" s="3">
        <ns0:f>'销售费用'!L34</ns0:f>
        <ns0:v>7468.34</ns0:v>
      </ns0:c>
      <ns0:c r="M64" s="3">
        <ns0:f>'销售费用'!M34</ns0:f>
        <ns0:v>7074.63</ns0:v>
      </ns0:c>
      <ns0:c r="N64" s="3">
        <ns0:f>'销售费用'!N34</ns0:f>
        <ns0:v>7881.57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6181.95</ns0:v>
      </ns0:c>
      <ns0:c r="D65" s="3">
        <ns0:f>'管理费用'!D34</ns0:f>
        <ns0:v>6570.73</ns0:v>
      </ns0:c>
      <ns0:c r="E65" s="3">
        <ns0:f>'管理费用'!E34</ns0:f>
        <ns0:v>6612.41</ns0:v>
      </ns0:c>
      <ns0:c r="F65" s="3">
        <ns0:f>'管理费用'!F34</ns0:f>
        <ns0:v>6941.70</ns0:v>
      </ns0:c>
      <ns0:c r="G65" s="3">
        <ns0:f>'管理费用'!G34</ns0:f>
        <ns0:v>6307.69</ns0:v>
      </ns0:c>
      <ns0:c r="H65" s="3">
        <ns0:f>'管理费用'!H34</ns0:f>
        <ns0:v>8386.35</ns0:v>
      </ns0:c>
      <ns0:c r="I65" s="3">
        <ns0:f>'管理费用'!I34</ns0:f>
        <ns0:v>7721.92</ns0:v>
      </ns0:c>
      <ns0:c r="J65" s="3">
        <ns0:f>'管理费用'!J34</ns0:f>
        <ns0:v>6491.43</ns0:v>
      </ns0:c>
      <ns0:c r="K65" s="3">
        <ns0:f>'管理费用'!K34</ns0:f>
        <ns0:v>7065.13</ns0:v>
      </ns0:c>
      <ns0:c r="L65" s="3">
        <ns0:f>'管理费用'!L34</ns0:f>
        <ns0:v>7258.04</ns0:v>
      </ns0:c>
      <ns0:c r="M65" s="3">
        <ns0:f>'管理费用'!M34</ns0:f>
        <ns0:v>7679.60</ns0:v>
      </ns0:c>
      <ns0:c r="N65" s="3">
        <ns0:f>'管理费用'!N34</ns0:f>
        <ns0:v>7261.02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7353.13</ns0:v>
      </ns0:c>
      <ns0:c r="D66" s="3">
        <ns0:f>'蓝恐龙费用'!D34</ns0:f>
        <ns0:v>8188.64</ns0:v>
      </ns0:c>
      <ns0:c r="E66" s="3">
        <ns0:f>'蓝恐龙费用'!E34</ns0:f>
        <ns0:v>7300.00</ns0:v>
      </ns0:c>
      <ns0:c r="F66" s="3">
        <ns0:f>'蓝恐龙费用'!F34</ns0:f>
        <ns0:v>7931.11</ns0:v>
      </ns0:c>
      <ns0:c r="G66" s="3">
        <ns0:f>'蓝恐龙费用'!G34</ns0:f>
        <ns0:v>7516.47</ns0:v>
      </ns0:c>
      <ns0:c r="H66" s="3">
        <ns0:f>'蓝恐龙费用'!H34</ns0:f>
        <ns0:v>6534.36</ns0:v>
      </ns0:c>
      <ns0:c r="I66" s="3">
        <ns0:f>'蓝恐龙费用'!I34</ns0:f>
        <ns0:v>6051.70</ns0:v>
      </ns0:c>
      <ns0:c r="J66" s="3">
        <ns0:f>'蓝恐龙费用'!J34</ns0:f>
        <ns0:v>6370.74</ns0:v>
      </ns0:c>
      <ns0:c r="K66" s="3">
        <ns0:f>'蓝恐龙费用'!K34</ns0:f>
        <ns0:v>7118.37</ns0:v>
      </ns0:c>
      <ns0:c r="L66" s="3">
        <ns0:f>'蓝恐龙费用'!L34</ns0:f>
        <ns0:v>6823.85</ns0:v>
      </ns0:c>
      <ns0:c r="M66" s="3">
        <ns0:f>'蓝恐龙费用'!M34</ns0:f>
        <ns0:v>7580.02</ns0:v>
      </ns0:c>
      <ns0:c r="N66" s="3">
        <ns0:f>'蓝恐龙费用'!N34</ns0:f>
        <ns0:v>7567.65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202693.91</ns0:v>
      </ns0:c>
      <ns0:c r="D67" s="3">
        <ns0:f>D61-SUM(D62:D66)</ns0:f>
        <ns0:v>240807.21</ns0:v>
      </ns0:c>
      <ns0:c r="E67" s="3">
        <ns0:f>E61-SUM(E62:E66)</ns0:f>
        <ns0:v>126174.09</ns0:v>
      </ns0:c>
      <ns0:c r="F67" s="3">
        <ns0:f>F61-SUM(F62:F66)</ns0:f>
        <ns0:v>183208.44</ns0:v>
      </ns0:c>
      <ns0:c r="G67" s="3">
        <ns0:f>G61-SUM(G62:G66)</ns0:f>
        <ns0:v>177783.39</ns0:v>
      </ns0:c>
      <ns0:c r="H67" s="3">
        <ns0:f>H61-SUM(H62:H66)</ns0:f>
        <ns0:v>192000.96</ns0:v>
      </ns0:c>
      <ns0:c r="I67" s="3">
        <ns0:f>I61-SUM(I62:I66)</ns0:f>
        <ns0:v>419267.68</ns0:v>
      </ns0:c>
      <ns0:c r="J67" s="3">
        <ns0:f>J61-SUM(J62:J66)</ns0:f>
        <ns0:v>150953.67</ns0:v>
      </ns0:c>
      <ns0:c r="K67" s="3">
        <ns0:f>K61-SUM(K62:K66)</ns0:f>
        <ns0:v>225702.44</ns0:v>
      </ns0:c>
      <ns0:c r="L67" s="3">
        <ns0:f>L61-SUM(L62:L66)</ns0:f>
        <ns0:v>152754.40</ns0:v>
      </ns0:c>
      <ns0:c r="M67" s="3">
        <ns0:f>M61-SUM(M62:M66)</ns0:f>
        <ns0:v>284016.66</ns0:v>
      </ns0:c>
      <ns0:c r="N67" s="3">
        <ns0:f>N61-SUM(N62:N66)</ns0:f>
        <ns0:v>311080.60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44268.35</ns0:v>
      </ns0:c>
      <ns0:c r="D68" s="3">
        <ns0:f>ROUND(MAX(D67,0)*$C$200,2)</ns0:f>
        <ns0:v>52592.29</ns0:v>
      </ns0:c>
      <ns0:c r="E68" s="3">
        <ns0:f>ROUND(MAX(E67,0)*$C$200,2)</ns0:f>
        <ns0:v>27556.42</ns0:v>
      </ns0:c>
      <ns0:c r="F68" s="3">
        <ns0:f>ROUND(MAX(F67,0)*$C$200,2)</ns0:f>
        <ns0:v>40012.72</ns0:v>
      </ns0:c>
      <ns0:c r="G68" s="3">
        <ns0:f>ROUND(MAX(G67,0)*$C$200,2)</ns0:f>
        <ns0:v>38827.89</ns0:v>
      </ns0:c>
      <ns0:c r="H68" s="3">
        <ns0:f>ROUND(MAX(H67,0)*$C$200,2)</ns0:f>
        <ns0:v>41933.01</ns0:v>
      </ns0:c>
      <ns0:c r="I68" s="3">
        <ns0:f>ROUND(MAX(I67,0)*$C$200,2)</ns0:f>
        <ns0:v>91568.06</ns0:v>
      </ns0:c>
      <ns0:c r="J68" s="3">
        <ns0:f>ROUND(MAX(J67,0)*$C$200,2)</ns0:f>
        <ns0:v>32968.28</ns0:v>
      </ns0:c>
      <ns0:c r="K68" s="3">
        <ns0:f>ROUND(MAX(K67,0)*$C$200,2)</ns0:f>
        <ns0:v>49293.41</ns0:v>
      </ns0:c>
      <ns0:c r="L68" s="3">
        <ns0:f>ROUND(MAX(L67,0)*$C$200,2)</ns0:f>
        <ns0:v>33361.56</ns0:v>
      </ns0:c>
      <ns0:c r="M68" s="3">
        <ns0:f>ROUND(MAX(M67,0)*$C$200,2)</ns0:f>
        <ns0:v>62029.24</ns0:v>
      </ns0:c>
      <ns0:c r="N68" s="3">
        <ns0:f>ROUND(MAX(N67,0)*$C$200,2)</ns0:f>
        <ns0:v>67940.00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158425.56</ns0:v>
      </ns0:c>
      <ns0:c r="D69" s="3">
        <ns0:f>D67-D68</ns0:f>
        <ns0:v>188214.92</ns0:v>
      </ns0:c>
      <ns0:c r="E69" s="3">
        <ns0:f>E67-E68</ns0:f>
        <ns0:v>98617.67</ns0:v>
      </ns0:c>
      <ns0:c r="F69" s="3">
        <ns0:f>F67-F68</ns0:f>
        <ns0:v>143195.72</ns0:v>
      </ns0:c>
      <ns0:c r="G69" s="3">
        <ns0:f>G67-G68</ns0:f>
        <ns0:v>138955.50</ns0:v>
      </ns0:c>
      <ns0:c r="H69" s="3">
        <ns0:f>H67-H68</ns0:f>
        <ns0:v>150067.95</ns0:v>
      </ns0:c>
      <ns0:c r="I69" s="3">
        <ns0:f>I67-I68</ns0:f>
        <ns0:v>327699.62</ns0:v>
      </ns0:c>
      <ns0:c r="J69" s="3">
        <ns0:f>J67-J68</ns0:f>
        <ns0:v>117985.39</ns0:v>
      </ns0:c>
      <ns0:c r="K69" s="3">
        <ns0:f>K67-K68</ns0:f>
        <ns0:v>176409.03</ns0:v>
      </ns0:c>
      <ns0:c r="L69" s="3">
        <ns0:f>L67-L68</ns0:f>
        <ns0:v>119392.84</ns0:v>
      </ns0:c>
      <ns0:c r="M69" s="3">
        <ns0:f>M67-M68</ns0:f>
        <ns0:v>221987.42</ns0:v>
      </ns0:c>
      <ns0:c r="N69" s="3">
        <ns0:f>N67-N68</ns0:f>
        <ns0:v>243140.60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0.21840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全年预算基础</ns0:t>
        </ns0:is>
      </ns0:c>
      <ns0:c r="H2" s="3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2237456.04</ns0:v>
      </ns0:c>
      <ns0:c r="D4" s="3"/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231574.00</ns0:v>
      </ns0:c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78210.18</ns0:v>
      </ns0:c>
      <ns0:c r="D34" s="3"/>
      <ns0:c r="E34" s="3" t="inlineStr">
        <ns0:is>
          <ns0:t>实收资本(或股本)净额</ns0:t>
        </ns0:is>
      </ns0:c>
      <ns0:c r="F34" s="3"/>
      <ns0:c r="G34" s="3">
        <ns0:f>N65</ns0:f>
        <ns0:v>231574.00</ns0:v>
      </ns0:c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2084092.22</ns0:v>
      </ns0:c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2315666.22</ns0:v>
      </ns0:c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2315666.22</ns0:v>
      </ns0:c>
      <ns0:c r="D40" s="3"/>
      <ns0:c r="E40" s="3" t="inlineStr">
        <ns0:is>
          <ns0:t>负债和所有者权益(或股东权益)总计</ns0:t>
        </ns0:is>
      </ns0:c>
      <ns0:c r="F40" s="3"/>
      <ns0:c r="G40" s="3">
        <ns0:f>N68</ns0:f>
        <ns0:v>2315666.22</ns0:v>
      </ns0:c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291305.95</ns0:v>
      </ns0:c>
      <ns0:c r="D61" s="3">
        <ns0:f>'现金流量表'!D68</ns0:f>
        <ns0:v>481383.00</ns0:v>
      </ns0:c>
      <ns0:c r="E61" s="3">
        <ns0:f>'现金流量表'!E68</ns0:f>
        <ns0:v>581862.80</ns0:v>
      </ns0:c>
      <ns0:c r="F61" s="3">
        <ns0:f>'现金流量表'!F68</ns0:f>
        <ns0:v>726920.65</ns0:v>
      </ns0:c>
      <ns0:c r="G61" s="3">
        <ns0:f>'现金流量表'!G68</ns0:f>
        <ns0:v>867738.28</ns0:v>
      </ns0:c>
      <ns0:c r="H61" s="3">
        <ns0:f>'现金流量表'!H68</ns0:f>
        <ns0:v>1019668.36</ns0:v>
      </ns0:c>
      <ns0:c r="I61" s="3">
        <ns0:f>'现金流量表'!I68</ns0:f>
        <ns0:v>1349230.11</ns0:v>
      </ns0:c>
      <ns0:c r="J61" s="3">
        <ns0:f>'现金流量表'!J68</ns0:f>
        <ns0:v>1469077.63</ns0:v>
      </ns0:c>
      <ns0:c r="K61" s="3">
        <ns0:f>'现金流量表'!K68</ns0:f>
        <ns0:v>1647348.79</ns0:v>
      </ns0:c>
      <ns0:c r="L61" s="3">
        <ns0:f>'现金流量表'!L68</ns0:f>
        <ns0:v>1768603.76</ns0:v>
      </ns0:c>
      <ns0:c r="M61" s="3">
        <ns0:f>'现金流量表'!M68</ns0:f>
        <ns0:v>1992453.31</ns0:v>
      </ns0:c>
      <ns0:c r="N61" s="3">
        <ns0:f>'现金流量表'!N68</ns0:f>
        <ns0:v>2237456.04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98693.61</ns0:v>
      </ns0:c>
      <ns0:c r="D62" s="3">
        <ns0:f>'摊销明细'!$C$31-SUM('现金流量表'!$C62:D62)</ns0:f>
        <ns0:v>96831.48</ns0:v>
      </ns0:c>
      <ns0:c r="E62" s="3">
        <ns0:f>'摊销明细'!$C$31-SUM('现金流量表'!$C62:E62)</ns0:f>
        <ns0:v>94969.35</ns0:v>
      </ns0:c>
      <ns0:c r="F62" s="3">
        <ns0:f>'摊销明细'!$C$31-SUM('现金流量表'!$C62:F62)</ns0:f>
        <ns0:v>93107.22</ns0:v>
      </ns0:c>
      <ns0:c r="G62" s="3">
        <ns0:f>'摊销明细'!$C$31-SUM('现金流量表'!$C62:G62)</ns0:f>
        <ns0:v>91245.09</ns0:v>
      </ns0:c>
      <ns0:c r="H62" s="3">
        <ns0:f>'摊销明细'!$C$31-SUM('现金流量表'!$C62:H62)</ns0:f>
        <ns0:v>89382.96</ns0:v>
      </ns0:c>
      <ns0:c r="I62" s="3">
        <ns0:f>'摊销明细'!$C$31-SUM('现金流量表'!$C62:I62)</ns0:f>
        <ns0:v>87520.83</ns0:v>
      </ns0:c>
      <ns0:c r="J62" s="3">
        <ns0:f>'摊销明细'!$C$31-SUM('现金流量表'!$C62:J62)</ns0:f>
        <ns0:v>85658.70</ns0:v>
      </ns0:c>
      <ns0:c r="K62" s="3">
        <ns0:f>'摊销明细'!$C$31-SUM('现金流量表'!$C62:K62)</ns0:f>
        <ns0:v>83796.57</ns0:v>
      </ns0:c>
      <ns0:c r="L62" s="3">
        <ns0:f>'摊销明细'!$C$31-SUM('现金流量表'!$C62:L62)</ns0:f>
        <ns0:v>81934.44</ns0:v>
      </ns0:c>
      <ns0:c r="M62" s="3">
        <ns0:f>'摊销明细'!$C$31-SUM('现金流量表'!$C62:M62)</ns0:f>
        <ns0:v>80072.31</ns0:v>
      </ns0:c>
      <ns0:c r="N62" s="3">
        <ns0:f>'摊销明细'!$C$31-SUM('现金流量表'!$C62:N62)</ns0:f>
        <ns0:v>78210.18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389999.56</ns0:v>
      </ns0:c>
      <ns0:c r="D63" s="3">
        <ns0:f>SUM(D61:D62)</ns0:f>
        <ns0:v>578214.48</ns0:v>
      </ns0:c>
      <ns0:c r="E63" s="3">
        <ns0:f>SUM(E61:E62)</ns0:f>
        <ns0:v>676832.15</ns0:v>
      </ns0:c>
      <ns0:c r="F63" s="3">
        <ns0:f>SUM(F61:F62)</ns0:f>
        <ns0:v>820027.87</ns0:v>
      </ns0:c>
      <ns0:c r="G63" s="3">
        <ns0:f>SUM(G61:G62)</ns0:f>
        <ns0:v>958983.37</ns0:v>
      </ns0:c>
      <ns0:c r="H63" s="3">
        <ns0:f>SUM(H61:H62)</ns0:f>
        <ns0:v>1109051.32</ns0:v>
      </ns0:c>
      <ns0:c r="I63" s="3">
        <ns0:f>SUM(I61:I62)</ns0:f>
        <ns0:v>1436750.94</ns0:v>
      </ns0:c>
      <ns0:c r="J63" s="3">
        <ns0:f>SUM(J61:J62)</ns0:f>
        <ns0:v>1554736.33</ns0:v>
      </ns0:c>
      <ns0:c r="K63" s="3">
        <ns0:f>SUM(K61:K62)</ns0:f>
        <ns0:v>1731145.36</ns0:v>
      </ns0:c>
      <ns0:c r="L63" s="3">
        <ns0:f>SUM(L61:L62)</ns0:f>
        <ns0:v>1850538.20</ns0:v>
      </ns0:c>
      <ns0:c r="M63" s="3">
        <ns0:f>SUM(M61:M62)</ns0:f>
        <ns0:v>2072525.62</ns0:v>
      </ns0:c>
      <ns0:c r="N63" s="3">
        <ns0:f>SUM(N61:N62)</ns0:f>
        <ns0:v>2315666.22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231574.00</ns0:v>
      </ns0:c>
      <ns0:c r="D65" s="3">
        <ns0:f>$C$200+'摊销明细'!$C$31</ns0:f>
        <ns0:v>231574.00</ns0:v>
      </ns0:c>
      <ns0:c r="E65" s="3">
        <ns0:f>$C$200+'摊销明细'!$C$31</ns0:f>
        <ns0:v>231574.00</ns0:v>
      </ns0:c>
      <ns0:c r="F65" s="3">
        <ns0:f>$C$200+'摊销明细'!$C$31</ns0:f>
        <ns0:v>231574.00</ns0:v>
      </ns0:c>
      <ns0:c r="G65" s="3">
        <ns0:f>$C$200+'摊销明细'!$C$31</ns0:f>
        <ns0:v>231574.00</ns0:v>
      </ns0:c>
      <ns0:c r="H65" s="3">
        <ns0:f>$C$200+'摊销明细'!$C$31</ns0:f>
        <ns0:v>231574.00</ns0:v>
      </ns0:c>
      <ns0:c r="I65" s="3">
        <ns0:f>$C$200+'摊销明细'!$C$31</ns0:f>
        <ns0:v>231574.00</ns0:v>
      </ns0:c>
      <ns0:c r="J65" s="3">
        <ns0:f>$C$200+'摊销明细'!$C$31</ns0:f>
        <ns0:v>231574.00</ns0:v>
      </ns0:c>
      <ns0:c r="K65" s="3">
        <ns0:f>$C$200+'摊销明细'!$C$31</ns0:f>
        <ns0:v>231574.00</ns0:v>
      </ns0:c>
      <ns0:c r="L65" s="3">
        <ns0:f>$C$200+'摊销明细'!$C$31</ns0:f>
        <ns0:v>231574.00</ns0:v>
      </ns0:c>
      <ns0:c r="M65" s="3">
        <ns0:f>$C$200+'摊销明细'!$C$31</ns0:f>
        <ns0:v>231574.00</ns0:v>
      </ns0:c>
      <ns0:c r="N65" s="3">
        <ns0:f>$C$200+'摊销明细'!$C$31</ns0:f>
        <ns0:v>231574.00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158425.56</ns0:v>
      </ns0:c>
      <ns0:c r="D66" s="3">
        <ns0:f>SUM('利润表'!$C69:D69)</ns0:f>
        <ns0:v>346640.48</ns0:v>
      </ns0:c>
      <ns0:c r="E66" s="3">
        <ns0:f>SUM('利润表'!$C69:E69)</ns0:f>
        <ns0:v>445258.15</ns0:v>
      </ns0:c>
      <ns0:c r="F66" s="3">
        <ns0:f>SUM('利润表'!$C69:F69)</ns0:f>
        <ns0:v>588453.87</ns0:v>
      </ns0:c>
      <ns0:c r="G66" s="3">
        <ns0:f>SUM('利润表'!$C69:G69)</ns0:f>
        <ns0:v>727409.37</ns0:v>
      </ns0:c>
      <ns0:c r="H66" s="3">
        <ns0:f>SUM('利润表'!$C69:H69)</ns0:f>
        <ns0:v>877477.32</ns0:v>
      </ns0:c>
      <ns0:c r="I66" s="3">
        <ns0:f>SUM('利润表'!$C69:I69)</ns0:f>
        <ns0:v>1205176.94</ns0:v>
      </ns0:c>
      <ns0:c r="J66" s="3">
        <ns0:f>SUM('利润表'!$C69:J69)</ns0:f>
        <ns0:v>1323162.33</ns0:v>
      </ns0:c>
      <ns0:c r="K66" s="3">
        <ns0:f>SUM('利润表'!$C69:K69)</ns0:f>
        <ns0:v>1499571.36</ns0:v>
      </ns0:c>
      <ns0:c r="L66" s="3">
        <ns0:f>SUM('利润表'!$C69:L69)</ns0:f>
        <ns0:v>1618964.20</ns0:v>
      </ns0:c>
      <ns0:c r="M66" s="3">
        <ns0:f>SUM('利润表'!$C69:M69)</ns0:f>
        <ns0:v>1840951.62</ns0:v>
      </ns0:c>
      <ns0:c r="N66" s="3">
        <ns0:f>SUM('利润表'!$C69:N69)</ns0:f>
        <ns0:v>2084092.22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389999.56</ns0:v>
      </ns0:c>
      <ns0:c r="D67" s="3">
        <ns0:f>SUM(D65:D66)</ns0:f>
        <ns0:v>578214.48</ns0:v>
      </ns0:c>
      <ns0:c r="E67" s="3">
        <ns0:f>SUM(E65:E66)</ns0:f>
        <ns0:v>676832.15</ns0:v>
      </ns0:c>
      <ns0:c r="F67" s="3">
        <ns0:f>SUM(F65:F66)</ns0:f>
        <ns0:v>820027.87</ns0:v>
      </ns0:c>
      <ns0:c r="G67" s="3">
        <ns0:f>SUM(G65:G66)</ns0:f>
        <ns0:v>958983.37</ns0:v>
      </ns0:c>
      <ns0:c r="H67" s="3">
        <ns0:f>SUM(H65:H66)</ns0:f>
        <ns0:v>1109051.32</ns0:v>
      </ns0:c>
      <ns0:c r="I67" s="3">
        <ns0:f>SUM(I65:I66)</ns0:f>
        <ns0:v>1436750.94</ns0:v>
      </ns0:c>
      <ns0:c r="J67" s="3">
        <ns0:f>SUM(J65:J66)</ns0:f>
        <ns0:v>1554736.33</ns0:v>
      </ns0:c>
      <ns0:c r="K67" s="3">
        <ns0:f>SUM(K65:K66)</ns0:f>
        <ns0:v>1731145.36</ns0:v>
      </ns0:c>
      <ns0:c r="L67" s="3">
        <ns0:f>SUM(L65:L66)</ns0:f>
        <ns0:v>1850538.20</ns0:v>
      </ns0:c>
      <ns0:c r="M67" s="3">
        <ns0:f>SUM(M65:M66)</ns0:f>
        <ns0:v>2072525.62</ns0:v>
      </ns0:c>
      <ns0:c r="N67" s="3">
        <ns0:f>SUM(N65:N66)</ns0:f>
        <ns0:v>2315666.22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389999.56</ns0:v>
      </ns0:c>
      <ns0:c r="D68" s="3">
        <ns0:f>SUM(D64,D67)</ns0:f>
        <ns0:v>578214.48</ns0:v>
      </ns0:c>
      <ns0:c r="E68" s="3">
        <ns0:f>SUM(E64,E67)</ns0:f>
        <ns0:v>676832.15</ns0:v>
      </ns0:c>
      <ns0:c r="F68" s="3">
        <ns0:f>SUM(F64,F67)</ns0:f>
        <ns0:v>820027.87</ns0:v>
      </ns0:c>
      <ns0:c r="G68" s="3">
        <ns0:f>SUM(G64,G67)</ns0:f>
        <ns0:v>958983.37</ns0:v>
      </ns0:c>
      <ns0:c r="H68" s="3">
        <ns0:f>SUM(H64,H67)</ns0:f>
        <ns0:v>1109051.32</ns0:v>
      </ns0:c>
      <ns0:c r="I68" s="3">
        <ns0:f>SUM(I64,I67)</ns0:f>
        <ns0:v>1436750.94</ns0:v>
      </ns0:c>
      <ns0:c r="J68" s="3">
        <ns0:f>SUM(J64,J67)</ns0:f>
        <ns0:v>1554736.33</ns0:v>
      </ns0:c>
      <ns0:c r="K68" s="3">
        <ns0:f>SUM(K64,K67)</ns0:f>
        <ns0:v>1731145.36</ns0:v>
      </ns0:c>
      <ns0:c r="L68" s="3">
        <ns0:f>SUM(L64,L67)</ns0:f>
        <ns0:v>1850538.20</ns0:v>
      </ns0:c>
      <ns0:c r="M68" s="3">
        <ns0:f>SUM(M64,M67)</ns0:f>
        <ns0:v>2072525.62</ns0:v>
      </ns0:c>
      <ns0:c r="N68" s="3">
        <ns0:f>SUM(N64,N67)</ns0:f>
        <ns0:v>2315666.22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131018.26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2106437.78</ns0:v>
      </ns0:c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2106437.78</ns0:v>
      </ns0:c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131018.26</ns0:v>
      </ns0:c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2237456.04</ns0:v>
      </ns0:c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158425.56</ns0:v>
      </ns0:c>
      <ns0:c r="D61" s="3">
        <ns0:f>'利润表'!D69</ns0:f>
        <ns0:v>188214.92</ns0:v>
      </ns0:c>
      <ns0:c r="E61" s="3">
        <ns0:f>'利润表'!E69</ns0:f>
        <ns0:v>98617.67</ns0:v>
      </ns0:c>
      <ns0:c r="F61" s="3">
        <ns0:f>'利润表'!F69</ns0:f>
        <ns0:v>143195.72</ns0:v>
      </ns0:c>
      <ns0:c r="G61" s="3">
        <ns0:f>'利润表'!G69</ns0:f>
        <ns0:v>138955.50</ns0:v>
      </ns0:c>
      <ns0:c r="H61" s="3">
        <ns0:f>'利润表'!H69</ns0:f>
        <ns0:v>150067.95</ns0:v>
      </ns0:c>
      <ns0:c r="I61" s="3">
        <ns0:f>'利润表'!I69</ns0:f>
        <ns0:v>327699.62</ns0:v>
      </ns0:c>
      <ns0:c r="J61" s="3">
        <ns0:f>'利润表'!J69</ns0:f>
        <ns0:v>117985.39</ns0:v>
      </ns0:c>
      <ns0:c r="K61" s="3">
        <ns0:f>'利润表'!K69</ns0:f>
        <ns0:v>176409.03</ns0:v>
      </ns0:c>
      <ns0:c r="L61" s="3">
        <ns0:f>'利润表'!L69</ns0:f>
        <ns0:v>119392.84</ns0:v>
      </ns0:c>
      <ns0:c r="M61" s="3">
        <ns0:f>'利润表'!M69</ns0:f>
        <ns0:v>221987.42</ns0:v>
      </ns0:c>
      <ns0:c r="N61" s="3">
        <ns0:f>'利润表'!N69</ns0:f>
        <ns0:v>243140.60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1862.13</ns0:v>
      </ns0:c>
      <ns0:c r="D62" s="3">
        <ns0:f>'销售费用'!D20+'管理费用'!D20+'蓝恐龙费用'!D20</ns0:f>
        <ns0:v>1862.13</ns0:v>
      </ns0:c>
      <ns0:c r="E62" s="3">
        <ns0:f>'销售费用'!E20+'管理费用'!E20+'蓝恐龙费用'!E20</ns0:f>
        <ns0:v>1862.13</ns0:v>
      </ns0:c>
      <ns0:c r="F62" s="3">
        <ns0:f>'销售费用'!F20+'管理费用'!F20+'蓝恐龙费用'!F20</ns0:f>
        <ns0:v>1862.13</ns0:v>
      </ns0:c>
      <ns0:c r="G62" s="3">
        <ns0:f>'销售费用'!G20+'管理费用'!G20+'蓝恐龙费用'!G20</ns0:f>
        <ns0:v>1862.13</ns0:v>
      </ns0:c>
      <ns0:c r="H62" s="3">
        <ns0:f>'销售费用'!H20+'管理费用'!H20+'蓝恐龙费用'!H20</ns0:f>
        <ns0:v>1862.13</ns0:v>
      </ns0:c>
      <ns0:c r="I62" s="3">
        <ns0:f>'销售费用'!I20+'管理费用'!I20+'蓝恐龙费用'!I20</ns0:f>
        <ns0:v>1862.13</ns0:v>
      </ns0:c>
      <ns0:c r="J62" s="3">
        <ns0:f>'销售费用'!J20+'管理费用'!J20+'蓝恐龙费用'!J20</ns0:f>
        <ns0:v>1862.13</ns0:v>
      </ns0:c>
      <ns0:c r="K62" s="3">
        <ns0:f>'销售费用'!K20+'管理费用'!K20+'蓝恐龙费用'!K20</ns0:f>
        <ns0:v>1862.13</ns0:v>
      </ns0:c>
      <ns0:c r="L62" s="3">
        <ns0:f>'销售费用'!L20+'管理费用'!L20+'蓝恐龙费用'!L20</ns0:f>
        <ns0:v>1862.13</ns0:v>
      </ns0:c>
      <ns0:c r="M62" s="3">
        <ns0:f>'销售费用'!M20+'管理费用'!M20+'蓝恐龙费用'!M20</ns0:f>
        <ns0:v>1862.13</ns0:v>
      </ns0:c>
      <ns0:c r="N62" s="3">
        <ns0:f>'销售费用'!N20+'管理费用'!N20+'蓝恐龙费用'!N20</ns0:f>
        <ns0:v>1862.13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160287.69</ns0:v>
      </ns0:c>
      <ns0:c r="D63" s="3">
        <ns0:f>SUM(D61:D62)</ns0:f>
        <ns0:v>190077.05</ns0:v>
      </ns0:c>
      <ns0:c r="E63" s="3">
        <ns0:f>SUM(E61:E62)</ns0:f>
        <ns0:v>100479.80</ns0:v>
      </ns0:c>
      <ns0:c r="F63" s="3">
        <ns0:f>SUM(F61:F62)</ns0:f>
        <ns0:v>145057.85</ns0:v>
      </ns0:c>
      <ns0:c r="G63" s="3">
        <ns0:f>SUM(G61:G62)</ns0:f>
        <ns0:v>140817.63</ns0:v>
      </ns0:c>
      <ns0:c r="H63" s="3">
        <ns0:f>SUM(H61:H62)</ns0:f>
        <ns0:v>151930.08</ns0:v>
      </ns0:c>
      <ns0:c r="I63" s="3">
        <ns0:f>SUM(I61:I62)</ns0:f>
        <ns0:v>329561.75</ns0:v>
      </ns0:c>
      <ns0:c r="J63" s="3">
        <ns0:f>SUM(J61:J62)</ns0:f>
        <ns0:v>119847.52</ns0:v>
      </ns0:c>
      <ns0:c r="K63" s="3">
        <ns0:f>SUM(K61:K62)</ns0:f>
        <ns0:v>178271.16</ns0:v>
      </ns0:c>
      <ns0:c r="L63" s="3">
        <ns0:f>SUM(L61:L62)</ns0:f>
        <ns0:v>121254.97</ns0:v>
      </ns0:c>
      <ns0:c r="M63" s="3">
        <ns0:f>SUM(M61:M62)</ns0:f>
        <ns0:v>223849.55</ns0:v>
      </ns0:c>
      <ns0:c r="N63" s="3">
        <ns0:f>SUM(N61:N62)</ns0:f>
        <ns0:v>245002.73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160287.69</ns0:v>
      </ns0:c>
      <ns0:c r="D66" s="3">
        <ns0:f>SUM(D63:D65)</ns0:f>
        <ns0:v>190077.05</ns0:v>
      </ns0:c>
      <ns0:c r="E66" s="3">
        <ns0:f>SUM(E63:E65)</ns0:f>
        <ns0:v>100479.80</ns0:v>
      </ns0:c>
      <ns0:c r="F66" s="3">
        <ns0:f>SUM(F63:F65)</ns0:f>
        <ns0:v>145057.85</ns0:v>
      </ns0:c>
      <ns0:c r="G66" s="3">
        <ns0:f>SUM(G63:G65)</ns0:f>
        <ns0:v>140817.63</ns0:v>
      </ns0:c>
      <ns0:c r="H66" s="3">
        <ns0:f>SUM(H63:H65)</ns0:f>
        <ns0:v>151930.08</ns0:v>
      </ns0:c>
      <ns0:c r="I66" s="3">
        <ns0:f>SUM(I63:I65)</ns0:f>
        <ns0:v>329561.75</ns0:v>
      </ns0:c>
      <ns0:c r="J66" s="3">
        <ns0:f>SUM(J63:J65)</ns0:f>
        <ns0:v>119847.52</ns0:v>
      </ns0:c>
      <ns0:c r="K66" s="3">
        <ns0:f>SUM(K63:K65)</ns0:f>
        <ns0:v>178271.16</ns0:v>
      </ns0:c>
      <ns0:c r="L66" s="3">
        <ns0:f>SUM(L63:L65)</ns0:f>
        <ns0:v>121254.97</ns0:v>
      </ns0:c>
      <ns0:c r="M66" s="3">
        <ns0:f>SUM(M63:M65)</ns0:f>
        <ns0:v>223849.55</ns0:v>
      </ns0:c>
      <ns0:c r="N66" s="3">
        <ns0:f>SUM(N63:N65)</ns0:f>
        <ns0:v>245002.73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131018.26</ns0:v>
      </ns0:c>
      <ns0:c r="D67" s="3">
        <ns0:f>C68</ns0:f>
        <ns0:v>291305.95</ns0:v>
      </ns0:c>
      <ns0:c r="E67" s="3">
        <ns0:f>D68</ns0:f>
        <ns0:v>481383.00</ns0:v>
      </ns0:c>
      <ns0:c r="F67" s="3">
        <ns0:f>E68</ns0:f>
        <ns0:v>581862.80</ns0:v>
      </ns0:c>
      <ns0:c r="G67" s="3">
        <ns0:f>F68</ns0:f>
        <ns0:v>726920.65</ns0:v>
      </ns0:c>
      <ns0:c r="H67" s="3">
        <ns0:f>G68</ns0:f>
        <ns0:v>867738.28</ns0:v>
      </ns0:c>
      <ns0:c r="I67" s="3">
        <ns0:f>H68</ns0:f>
        <ns0:v>1019668.36</ns0:v>
      </ns0:c>
      <ns0:c r="J67" s="3">
        <ns0:f>I68</ns0:f>
        <ns0:v>1349230.11</ns0:v>
      </ns0:c>
      <ns0:c r="K67" s="3">
        <ns0:f>J68</ns0:f>
        <ns0:v>1469077.63</ns0:v>
      </ns0:c>
      <ns0:c r="L67" s="3">
        <ns0:f>K68</ns0:f>
        <ns0:v>1647348.79</ns0:v>
      </ns0:c>
      <ns0:c r="M67" s="3">
        <ns0:f>L68</ns0:f>
        <ns0:v>1768603.76</ns0:v>
      </ns0:c>
      <ns0:c r="N67" s="3">
        <ns0:f>M68</ns0:f>
        <ns0:v>1992453.31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291305.95</ns0:v>
      </ns0:c>
      <ns0:c r="D68" s="3">
        <ns0:f>SUM(D66:D67)</ns0:f>
        <ns0:v>481383.00</ns0:v>
      </ns0:c>
      <ns0:c r="E68" s="3">
        <ns0:f>SUM(E66:E67)</ns0:f>
        <ns0:v>581862.80</ns0:v>
      </ns0:c>
      <ns0:c r="F68" s="3">
        <ns0:f>SUM(F66:F67)</ns0:f>
        <ns0:v>726920.65</ns0:v>
      </ns0:c>
      <ns0:c r="G68" s="3">
        <ns0:f>SUM(G66:G67)</ns0:f>
        <ns0:v>867738.28</ns0:v>
      </ns0:c>
      <ns0:c r="H68" s="3">
        <ns0:f>SUM(H66:H67)</ns0:f>
        <ns0:v>1019668.36</ns0:v>
      </ns0:c>
      <ns0:c r="I68" s="3">
        <ns0:f>SUM(I66:I67)</ns0:f>
        <ns0:v>1349230.11</ns0:v>
      </ns0:c>
      <ns0:c r="J68" s="3">
        <ns0:f>SUM(J66:J67)</ns0:f>
        <ns0:v>1469077.63</ns0:v>
      </ns0:c>
      <ns0:c r="K68" s="3">
        <ns0:f>SUM(K66:K67)</ns0:f>
        <ns0:v>1647348.79</ns0:v>
      </ns0:c>
      <ns0:c r="L68" s="3">
        <ns0:f>SUM(L66:L67)</ns0:f>
        <ns0:v>1768603.76</ns0:v>
      </ns0:c>
      <ns0:c r="M68" s="3">
        <ns0:f>SUM(M66:M67)</ns0:f>
        <ns0:v>1992453.31</ns0:v>
      </ns0:c>
      <ns0:c r="N68" s="3">
        <ns0:f>SUM(N66:N67)</ns0:f>
        <ns0:v>2237456.04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1798.23</ns0:v>
      </ns0:c>
      <ns0:c r="D31" s="4">
        <ns0:v>1896.34</ns0:v>
      </ns0:c>
      <ns0:c r="E31" s="4">
        <ns0:v>1341.87</ns0:v>
      </ns0:c>
      <ns0:c r="F31" s="4">
        <ns0:v>2278.23</ns0:v>
      </ns0:c>
      <ns0:c r="G31" s="4">
        <ns0:v>1654.05</ns0:v>
      </ns0:c>
      <ns0:c r="H31" s="4">
        <ns0:v>1624.61</ns0:v>
      </ns0:c>
      <ns0:c r="I31" s="4">
        <ns0:v>2659.97</ns0:v>
      </ns0:c>
      <ns0:c r="J31" s="4">
        <ns0:v>1886.56</ns0:v>
      </ns0:c>
      <ns0:c r="K31" s="4">
        <ns0:v>1888.79</ns0:v>
      </ns0:c>
      <ns0:c r="L31" s="4">
        <ns0:v>1878.11</ns0:v>
      </ns0:c>
      <ns0:c r="M31" s="4">
        <ns0:v>2429.49</ns0:v>
      </ns0:c>
      <ns0:c r="N31" s="4">
        <ns0:v>2206.95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110.06</ns0:v>
      </ns0:c>
      <ns0:c r="D32" s="4">
        <ns0:v>76.52</ns0:v>
      </ns0:c>
      <ns0:c r="E32" s="4">
        <ns0:v>102.45</ns0:v>
      </ns0:c>
      <ns0:c r="F32" s="4">
        <ns0:v>86.87</ns0:v>
      </ns0:c>
      <ns0:c r="G32" s="4">
        <ns0:v>96.49</ns0:v>
      </ns0:c>
      <ns0:c r="H32" s="4">
        <ns0:v>76.10</ns0:v>
      </ns0:c>
      <ns0:c r="I32" s="4">
        <ns0:v>141.73</ns0:v>
      </ns0:c>
      <ns0:c r="J32" s="4">
        <ns0:v>83.78</ns0:v>
      </ns0:c>
      <ns0:c r="K32" s="4">
        <ns0:v>92.75</ns0:v>
      </ns0:c>
      <ns0:c r="L32" s="4">
        <ns0:v>89.36</ns0:v>
      </ns0:c>
      <ns0:c r="M32" s="4">
        <ns0:v>79.04</ns0:v>
      </ns0:c>
      <ns0:c r="N32" s="4">
        <ns0:v>81.30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197913.19</ns0:v>
      </ns0:c>
      <ns0:c r="D33" s="3">
        <ns0:f>ROUND(D31*D32,2)</ns0:f>
        <ns0:v>145107.94</ns0:v>
      </ns0:c>
      <ns0:c r="E33" s="3">
        <ns0:f>ROUND(E31*E32,2)</ns0:f>
        <ns0:v>137474.58</ns0:v>
      </ns0:c>
      <ns0:c r="F33" s="3">
        <ns0:f>ROUND(F31*F32,2)</ns0:f>
        <ns0:v>197909.84</ns0:v>
      </ns0:c>
      <ns0:c r="G33" s="3">
        <ns0:f>ROUND(G31*G32,2)</ns0:f>
        <ns0:v>159599.28</ns0:v>
      </ns0:c>
      <ns0:c r="H33" s="3">
        <ns0:f>ROUND(H31*H32,2)</ns0:f>
        <ns0:v>123632.82</ns0:v>
      </ns0:c>
      <ns0:c r="I33" s="3">
        <ns0:f>ROUND(I31*I32,2)</ns0:f>
        <ns0:v>376997.55</ns0:v>
      </ns0:c>
      <ns0:c r="J33" s="3">
        <ns0:f>ROUND(J31*J32,2)</ns0:f>
        <ns0:v>158056.00</ns0:v>
      </ns0:c>
      <ns0:c r="K33" s="3">
        <ns0:f>ROUND(K31*K32,2)</ns0:f>
        <ns0:v>175185.27</ns0:v>
      </ns0:c>
      <ns0:c r="L33" s="3">
        <ns0:f>ROUND(L31*L32,2)</ns0:f>
        <ns0:v>167827.91</ns0:v>
      </ns0:c>
      <ns0:c r="M33" s="3">
        <ns0:f>ROUND(M31*M32,2)</ns0:f>
        <ns0:v>192026.89</ns0:v>
      </ns0:c>
      <ns0:c r="N33" s="3">
        <ns0:f>ROUND(N31*N32,2)</ns0:f>
        <ns0:v>179425.04</ns0:v>
      </ns0:c>
      <ns0:c r="O33" s="3">
        <ns0:f>SUM(C33:N33)</ns0:f>
        <ns0:v>2211156.31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699.78</ns0:v>
      </ns0:c>
      <ns0:c r="D34" s="4">
        <ns0:v>799.49</ns0:v>
      </ns0:c>
      <ns0:c r="E34" s="4">
        <ns0:v>746.60</ns0:v>
      </ns0:c>
      <ns0:c r="F34" s="4">
        <ns0:v>912.17</ns0:v>
      </ns0:c>
      <ns0:c r="G34" s="4">
        <ns0:v>547.48</ns0:v>
      </ns0:c>
      <ns0:c r="H34" s="4">
        <ns0:v>864.17</ns0:v>
      </ns0:c>
      <ns0:c r="I34" s="4">
        <ns0:v>618.18</ns0:v>
      </ns0:c>
      <ns0:c r="J34" s="4">
        <ns0:v>811.63</ns0:v>
      </ns0:c>
      <ns0:c r="K34" s="4">
        <ns0:v>729.84</ns0:v>
      </ns0:c>
      <ns0:c r="L34" s="4">
        <ns0:v>741.62</ns0:v>
      </ns0:c>
      <ns0:c r="M34" s="4">
        <ns0:v>758.66</ns0:v>
      </ns0:c>
      <ns0:c r="N34" s="4">
        <ns0:v>805.87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110.06</ns0:v>
      </ns0:c>
      <ns0:c r="D35" s="3">
        <ns0:f>D32</ns0:f>
        <ns0:v>76.52</ns0:v>
      </ns0:c>
      <ns0:c r="E35" s="3">
        <ns0:f>E32</ns0:f>
        <ns0:v>102.45</ns0:v>
      </ns0:c>
      <ns0:c r="F35" s="3">
        <ns0:f>F32</ns0:f>
        <ns0:v>86.87</ns0:v>
      </ns0:c>
      <ns0:c r="G35" s="3">
        <ns0:f>G32</ns0:f>
        <ns0:v>96.49</ns0:v>
      </ns0:c>
      <ns0:c r="H35" s="3">
        <ns0:f>H32</ns0:f>
        <ns0:v>76.10</ns0:v>
      </ns0:c>
      <ns0:c r="I35" s="3">
        <ns0:f>I32</ns0:f>
        <ns0:v>141.73</ns0:v>
      </ns0:c>
      <ns0:c r="J35" s="3">
        <ns0:f>J32</ns0:f>
        <ns0:v>83.78</ns0:v>
      </ns0:c>
      <ns0:c r="K35" s="3">
        <ns0:f>K32</ns0:f>
        <ns0:v>92.75</ns0:v>
      </ns0:c>
      <ns0:c r="L35" s="3">
        <ns0:f>L32</ns0:f>
        <ns0:v>89.36</ns0:v>
      </ns0:c>
      <ns0:c r="M35" s="3">
        <ns0:f>M32</ns0:f>
        <ns0:v>79.04</ns0:v>
      </ns0:c>
      <ns0:c r="N35" s="3">
        <ns0:f>N32</ns0:f>
        <ns0:v>81.30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77017.79</ns0:v>
      </ns0:c>
      <ns0:c r="D36" s="3">
        <ns0:f>ROUND(D34*D35,2)</ns0:f>
        <ns0:v>61176.97</ns0:v>
      </ns0:c>
      <ns0:c r="E36" s="3">
        <ns0:f>ROUND(E34*E35,2)</ns0:f>
        <ns0:v>76489.17</ns0:v>
      </ns0:c>
      <ns0:c r="F36" s="3">
        <ns0:f>ROUND(F34*F35,2)</ns0:f>
        <ns0:v>79240.21</ns0:v>
      </ns0:c>
      <ns0:c r="G36" s="3">
        <ns0:f>ROUND(G34*G35,2)</ns0:f>
        <ns0:v>52826.35</ns0:v>
      </ns0:c>
      <ns0:c r="H36" s="3">
        <ns0:f>ROUND(H34*H35,2)</ns0:f>
        <ns0:v>65763.34</ns0:v>
      </ns0:c>
      <ns0:c r="I36" s="3">
        <ns0:f>ROUND(I34*I35,2)</ns0:f>
        <ns0:v>87614.65</ns0:v>
      </ns0:c>
      <ns0:c r="J36" s="3">
        <ns0:f>ROUND(J34*J35,2)</ns0:f>
        <ns0:v>67998.36</ns0:v>
      </ns0:c>
      <ns0:c r="K36" s="3">
        <ns0:f>ROUND(K34*K35,2)</ns0:f>
        <ns0:v>67692.66</ns0:v>
      </ns0:c>
      <ns0:c r="L36" s="3">
        <ns0:f>ROUND(L34*L35,2)</ns0:f>
        <ns0:v>66271.16</ns0:v>
      </ns0:c>
      <ns0:c r="M36" s="3">
        <ns0:f>ROUND(M34*M35,2)</ns0:f>
        <ns0:v>59964.49</ns0:v>
      </ns0:c>
      <ns0:c r="N36" s="3">
        <ns0:f>ROUND(N34*N35,2)</ns0:f>
        <ns0:v>65517.23</ns0:v>
      </ns0:c>
      <ns0:c r="O36" s="3">
        <ns0:f>SUM(C36:N36)</ns0:f>
        <ns0:v>827572.38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77017.79</ns0:v>
      </ns0:c>
      <ns0:c r="D37" s="3">
        <ns0:f>D36</ns0:f>
        <ns0:v>61176.97</ns0:v>
      </ns0:c>
      <ns0:c r="E37" s="3">
        <ns0:f>E36</ns0:f>
        <ns0:v>76489.17</ns0:v>
      </ns0:c>
      <ns0:c r="F37" s="3">
        <ns0:f>F36</ns0:f>
        <ns0:v>79240.21</ns0:v>
      </ns0:c>
      <ns0:c r="G37" s="3">
        <ns0:f>G36</ns0:f>
        <ns0:v>52826.35</ns0:v>
      </ns0:c>
      <ns0:c r="H37" s="3">
        <ns0:f>H36</ns0:f>
        <ns0:v>65763.34</ns0:v>
      </ns0:c>
      <ns0:c r="I37" s="3">
        <ns0:f>I36</ns0:f>
        <ns0:v>87614.65</ns0:v>
      </ns0:c>
      <ns0:c r="J37" s="3">
        <ns0:f>J36</ns0:f>
        <ns0:v>67998.36</ns0:v>
      </ns0:c>
      <ns0:c r="K37" s="3">
        <ns0:f>K36</ns0:f>
        <ns0:v>67692.66</ns0:v>
      </ns0:c>
      <ns0:c r="L37" s="3">
        <ns0:f>L36</ns0:f>
        <ns0:v>66271.16</ns0:v>
      </ns0:c>
      <ns0:c r="M37" s="3">
        <ns0:f>M36</ns0:f>
        <ns0:v>59964.49</ns0:v>
      </ns0:c>
      <ns0:c r="N37" s="3">
        <ns0:f>N36</ns0:f>
        <ns0:v>65517.23</ns0:v>
      </ns0:c>
      <ns0:c r="O37" s="3">
        <ns0:f>SUM(C37:N37)</ns0:f>
        <ns0:v>827572.38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1513.22</ns0:v>
      </ns0:c>
      <ns0:c r="D31" s="4">
        <ns0:v>2441.64</ns0:v>
      </ns0:c>
      <ns0:c r="E31" s="4">
        <ns0:v>1835.11</ns0:v>
      </ns0:c>
      <ns0:c r="F31" s="4">
        <ns0:v>1678.03</ns0:v>
      </ns0:c>
      <ns0:c r="G31" s="4">
        <ns0:v>1795.07</ns0:v>
      </ns0:c>
      <ns0:c r="H31" s="4">
        <ns0:v>2121.26</ns0:v>
      </ns0:c>
      <ns0:c r="I31" s="4">
        <ns0:v>2366.39</ns0:v>
      </ns0:c>
      <ns0:c r="J31" s="4">
        <ns0:v>1588.10</ns0:v>
      </ns0:c>
      <ns0:c r="K31" s="4">
        <ns0:v>2085.94</ns0:v>
      </ns0:c>
      <ns0:c r="L31" s="4">
        <ns0:v>1503.23</ns0:v>
      </ns0:c>
      <ns0:c r="M31" s="4">
        <ns0:v>2227.80</ns0:v>
      </ns0:c>
      <ns0:c r="N31" s="4">
        <ns0:v>2322.35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113.17</ns0:v>
      </ns0:c>
      <ns0:c r="D32" s="4">
        <ns0:v>102.03</ns0:v>
      </ns0:c>
      <ns0:c r="E32" s="4">
        <ns0:v>92.67</ns0:v>
      </ns0:c>
      <ns0:c r="F32" s="4">
        <ns0:v>96.16</ns0:v>
      </ns0:c>
      <ns0:c r="G32" s="4">
        <ns0:v>96.67</ns0:v>
      </ns0:c>
      <ns0:c r="H32" s="4">
        <ns0:v>98.95</ns0:v>
      </ns0:c>
      <ns0:c r="I32" s="4">
        <ns0:v>96.30</ns0:v>
      </ns0:c>
      <ns0:c r="J32" s="4">
        <ns0:v>86.95</ns0:v>
      </ns0:c>
      <ns0:c r="K32" s="4">
        <ns0:v>91.57</ns0:v>
      </ns0:c>
      <ns0:c r="L32" s="4">
        <ns0:v>82.71</ns0:v>
      </ns0:c>
      <ns0:c r="M32" s="4">
        <ns0:v>111.89</ns0:v>
      </ns0:c>
      <ns0:c r="N32" s="4">
        <ns0:v>131.32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171251.11</ns0:v>
      </ns0:c>
      <ns0:c r="D33" s="3">
        <ns0:f>ROUND(D31*D32,2)</ns0:f>
        <ns0:v>249120.53</ns0:v>
      </ns0:c>
      <ns0:c r="E33" s="3">
        <ns0:f>ROUND(E31*E32,2)</ns0:f>
        <ns0:v>170059.64</ns0:v>
      </ns0:c>
      <ns0:c r="F33" s="3">
        <ns0:f>ROUND(F31*F32,2)</ns0:f>
        <ns0:v>161359.36</ns0:v>
      </ns0:c>
      <ns0:c r="G33" s="3">
        <ns0:f>ROUND(G31*G32,2)</ns0:f>
        <ns0:v>173529.42</ns0:v>
      </ns0:c>
      <ns0:c r="H33" s="3">
        <ns0:f>ROUND(H31*H32,2)</ns0:f>
        <ns0:v>209898.68</ns0:v>
      </ns0:c>
      <ns0:c r="I33" s="3">
        <ns0:f>ROUND(I31*I32,2)</ns0:f>
        <ns0:v>227883.36</ns0:v>
      </ns0:c>
      <ns0:c r="J33" s="3">
        <ns0:f>ROUND(J31*J32,2)</ns0:f>
        <ns0:v>138085.30</ns0:v>
      </ns0:c>
      <ns0:c r="K33" s="3">
        <ns0:f>ROUND(K31*K32,2)</ns0:f>
        <ns0:v>191009.53</ns0:v>
      </ns0:c>
      <ns0:c r="L33" s="3">
        <ns0:f>ROUND(L31*L32,2)</ns0:f>
        <ns0:v>124332.15</ns0:v>
      </ns0:c>
      <ns0:c r="M33" s="3">
        <ns0:f>ROUND(M31*M32,2)</ns0:f>
        <ns0:v>249268.54</ns0:v>
      </ns0:c>
      <ns0:c r="N33" s="3">
        <ns0:f>ROUND(N31*N32,2)</ns0:f>
        <ns0:v>304971.00</ns0:v>
      </ns0:c>
      <ns0:c r="O33" s="3">
        <ns0:f>SUM(C33:N33)</ns0:f>
        <ns0:v>2370768.62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593.60</ns0:v>
      </ns0:c>
      <ns0:c r="D34" s="4">
        <ns0:v>665.67</ns0:v>
      </ns0:c>
      <ns0:c r="E34" s="4">
        <ns0:v>894.27</ns0:v>
      </ns0:c>
      <ns0:c r="F34" s="4">
        <ns0:v>746.68</ns0:v>
      </ns0:c>
      <ns0:c r="G34" s="4">
        <ns0:v>817.84</ns0:v>
      </ns0:c>
      <ns0:c r="H34" s="4">
        <ns0:v>517.48</ns0:v>
      </ns0:c>
      <ns0:c r="I34" s="4">
        <ns0:v>761.46</ns0:v>
      </ns0:c>
      <ns0:c r="J34" s="4">
        <ns0:v>639.61</ns0:v>
      </ns0:c>
      <ns0:c r="K34" s="4">
        <ns0:v>533.71</ns0:v>
      </ns0:c>
      <ns0:c r="L34" s="4">
        <ns0:v>601.14</ns0:v>
      </ns0:c>
      <ns0:c r="M34" s="4">
        <ns0:v>644.96</ns0:v>
      </ns0:c>
      <ns0:c r="N34" s="4">
        <ns0:v>624.41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113.17</ns0:v>
      </ns0:c>
      <ns0:c r="D35" s="3">
        <ns0:f>D32</ns0:f>
        <ns0:v>102.03</ns0:v>
      </ns0:c>
      <ns0:c r="E35" s="3">
        <ns0:f>E32</ns0:f>
        <ns0:v>92.67</ns0:v>
      </ns0:c>
      <ns0:c r="F35" s="3">
        <ns0:f>F32</ns0:f>
        <ns0:v>96.16</ns0:v>
      </ns0:c>
      <ns0:c r="G35" s="3">
        <ns0:f>G32</ns0:f>
        <ns0:v>96.67</ns0:v>
      </ns0:c>
      <ns0:c r="H35" s="3">
        <ns0:f>H32</ns0:f>
        <ns0:v>98.95</ns0:v>
      </ns0:c>
      <ns0:c r="I35" s="3">
        <ns0:f>I32</ns0:f>
        <ns0:v>96.30</ns0:v>
      </ns0:c>
      <ns0:c r="J35" s="3">
        <ns0:f>J32</ns0:f>
        <ns0:v>86.95</ns0:v>
      </ns0:c>
      <ns0:c r="K35" s="3">
        <ns0:f>K32</ns0:f>
        <ns0:v>91.57</ns0:v>
      </ns0:c>
      <ns0:c r="L35" s="3">
        <ns0:f>L32</ns0:f>
        <ns0:v>82.71</ns0:v>
      </ns0:c>
      <ns0:c r="M35" s="3">
        <ns0:f>M32</ns0:f>
        <ns0:v>111.89</ns0:v>
      </ns0:c>
      <ns0:c r="N35" s="3">
        <ns0:f>N32</ns0:f>
        <ns0:v>131.32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67177.71</ns0:v>
      </ns0:c>
      <ns0:c r="D36" s="3">
        <ns0:f>ROUND(D34*D35,2)</ns0:f>
        <ns0:v>67918.31</ns0:v>
      </ns0:c>
      <ns0:c r="E36" s="3">
        <ns0:f>ROUND(E34*E35,2)</ns0:f>
        <ns0:v>82872.00</ns0:v>
      </ns0:c>
      <ns0:c r="F36" s="3">
        <ns0:f>ROUND(F34*F35,2)</ns0:f>
        <ns0:v>71800.75</ns0:v>
      </ns0:c>
      <ns0:c r="G36" s="3">
        <ns0:f>ROUND(G34*G35,2)</ns0:f>
        <ns0:v>79060.59</ns0:v>
      </ns0:c>
      <ns0:c r="H36" s="3">
        <ns0:f>ROUND(H34*H35,2)</ns0:f>
        <ns0:v>51204.65</ns0:v>
      </ns0:c>
      <ns0:c r="I36" s="3">
        <ns0:f>ROUND(I34*I35,2)</ns0:f>
        <ns0:v>73328.60</ns0:v>
      </ns0:c>
      <ns0:c r="J36" s="3">
        <ns0:f>ROUND(J34*J35,2)</ns0:f>
        <ns0:v>55614.09</ns0:v>
      </ns0:c>
      <ns0:c r="K36" s="3">
        <ns0:f>ROUND(K34*K35,2)</ns0:f>
        <ns0:v>48871.82</ns0:v>
      </ns0:c>
      <ns0:c r="L36" s="3">
        <ns0:f>ROUND(L34*L35,2)</ns0:f>
        <ns0:v>49720.29</ns0:v>
      </ns0:c>
      <ns0:c r="M36" s="3">
        <ns0:f>ROUND(M34*M35,2)</ns0:f>
        <ns0:v>72164.57</ns0:v>
      </ns0:c>
      <ns0:c r="N36" s="3">
        <ns0:f>ROUND(N34*N35,2)</ns0:f>
        <ns0:v>81997.52</ns0:v>
      </ns0:c>
      <ns0:c r="O36" s="3">
        <ns0:f>SUM(C36:N36)</ns0:f>
        <ns0:v>801730.90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67177.71</ns0:v>
      </ns0:c>
      <ns0:c r="D37" s="3">
        <ns0:f>D36</ns0:f>
        <ns0:v>67918.31</ns0:v>
      </ns0:c>
      <ns0:c r="E37" s="3">
        <ns0:f>E36</ns0:f>
        <ns0:v>82872.00</ns0:v>
      </ns0:c>
      <ns0:c r="F37" s="3">
        <ns0:f>F36</ns0:f>
        <ns0:v>71800.75</ns0:v>
      </ns0:c>
      <ns0:c r="G37" s="3">
        <ns0:f>G36</ns0:f>
        <ns0:v>79060.59</ns0:v>
      </ns0:c>
      <ns0:c r="H37" s="3">
        <ns0:f>H36</ns0:f>
        <ns0:v>51204.65</ns0:v>
      </ns0:c>
      <ns0:c r="I37" s="3">
        <ns0:f>I36</ns0:f>
        <ns0:v>73328.60</ns0:v>
      </ns0:c>
      <ns0:c r="J37" s="3">
        <ns0:f>J36</ns0:f>
        <ns0:v>55614.09</ns0:v>
      </ns0:c>
      <ns0:c r="K37" s="3">
        <ns0:f>K36</ns0:f>
        <ns0:v>48871.82</ns0:v>
      </ns0:c>
      <ns0:c r="L37" s="3">
        <ns0:f>L36</ns0:f>
        <ns0:v>49720.29</ns0:v>
      </ns0:c>
      <ns0:c r="M37" s="3">
        <ns0:f>M36</ns0:f>
        <ns0:v>72164.57</ns0:v>
      </ns0:c>
      <ns0:c r="N37" s="3">
        <ns0:f>N36</ns0:f>
        <ns0:v>81997.52</ns0:v>
      </ns0:c>
      <ns0:c r="O37" s="3">
        <ns0:f>SUM(C37:N37)</ns0:f>
        <ns0:v>801730.90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0.00638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369164.30</ns0:v>
      </ns0:c>
      <ns0:c r="D32" s="3">
        <ns0:f>'收入非主控'!D33+'收入主控'!D33</ns0:f>
        <ns0:v>394228.47</ns0:v>
      </ns0:c>
      <ns0:c r="E32" s="3">
        <ns0:f>'收入非主控'!E33+'收入主控'!E33</ns0:f>
        <ns0:v>307534.22</ns0:v>
      </ns0:c>
      <ns0:c r="F32" s="3">
        <ns0:f>'收入非主控'!F33+'收入主控'!F33</ns0:f>
        <ns0:v>359269.20</ns0:v>
      </ns0:c>
      <ns0:c r="G32" s="3">
        <ns0:f>'收入非主控'!G33+'收入主控'!G33</ns0:f>
        <ns0:v>333128.70</ns0:v>
      </ns0:c>
      <ns0:c r="H32" s="3">
        <ns0:f>'收入非主控'!H33+'收入主控'!H33</ns0:f>
        <ns0:v>333531.50</ns0:v>
      </ns0:c>
      <ns0:c r="I32" s="3">
        <ns0:f>'收入非主控'!I33+'收入主控'!I33</ns0:f>
        <ns0:v>604880.91</ns0:v>
      </ns0:c>
      <ns0:c r="J32" s="3">
        <ns0:f>'收入非主控'!J33+'收入主控'!J33</ns0:f>
        <ns0:v>296141.30</ns0:v>
      </ns0:c>
      <ns0:c r="K32" s="3">
        <ns0:f>'收入非主控'!K33+'收入主控'!K33</ns0:f>
        <ns0:v>366194.80</ns0:v>
      </ns0:c>
      <ns0:c r="L32" s="3">
        <ns0:f>'收入非主控'!L33+'收入主控'!L33</ns0:f>
        <ns0:v>292160.06</ns0:v>
      </ns0:c>
      <ns0:c r="M32" s="3">
        <ns0:f>'收入非主控'!M33+'收入主控'!M33</ns0:f>
        <ns0:v>441295.43</ns0:v>
      </ns0:c>
      <ns0:c r="N32" s="3">
        <ns0:f>'收入非主控'!N33+'收入主控'!N33</ns0:f>
        <ns0:v>484396.04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2355.27</ns0:v>
      </ns0:c>
      <ns0:c r="D33" s="3">
        <ns0:f>ROUND(D32*$C$31,2)</ns0:f>
        <ns0:v>2515.18</ns0:v>
      </ns0:c>
      <ns0:c r="E33" s="3">
        <ns0:f>ROUND(E32*$C$31,2)</ns0:f>
        <ns0:v>1962.07</ns0:v>
      </ns0:c>
      <ns0:c r="F33" s="3">
        <ns0:f>ROUND(F32*$C$31,2)</ns0:f>
        <ns0:v>2292.14</ns0:v>
      </ns0:c>
      <ns0:c r="G33" s="3">
        <ns0:f>ROUND(G32*$C$31,2)</ns0:f>
        <ns0:v>2125.36</ns0:v>
      </ns0:c>
      <ns0:c r="H33" s="3">
        <ns0:f>ROUND(H32*$C$31,2)</ns0:f>
        <ns0:v>2127.93</ns0:v>
      </ns0:c>
      <ns0:c r="I33" s="3">
        <ns0:f>ROUND(I32*$C$31,2)</ns0:f>
        <ns0:v>3859.14</ns0:v>
      </ns0:c>
      <ns0:c r="J33" s="3">
        <ns0:f>ROUND(J32*$C$31,2)</ns0:f>
        <ns0:v>1889.38</ns0:v>
      </ns0:c>
      <ns0:c r="K33" s="3">
        <ns0:f>ROUND(K32*$C$31,2)</ns0:f>
        <ns0:v>2336.32</ns0:v>
      </ns0:c>
      <ns0:c r="L33" s="3">
        <ns0:f>ROUND(L32*$C$31,2)</ns0:f>
        <ns0:v>1863.98</ns0:v>
      </ns0:c>
      <ns0:c r="M33" s="3">
        <ns0:f>ROUND(M32*$C$31,2)</ns0:f>
        <ns0:v>2815.46</ns0:v>
      </ns0:c>
      <ns0:c r="N33" s="3">
        <ns0:f>ROUND(N32*$C$31,2)</ns0:f>
        <ns0:v>3090.45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348.28</ns0:v>
      </ns0:c>
      <ns0:c r="D4" s="3">
        <ns0:f>ROUND(D204*D324,2)</ns0:f>
        <ns0:v>107.23</ns0:v>
      </ns0:c>
      <ns0:c r="E4" s="3">
        <ns0:f>ROUND(E204*E324,2)</ns0:f>
        <ns0:v>298.13</ns0:v>
      </ns0:c>
      <ns0:c r="F4" s="3">
        <ns0:f>ROUND(F204*F324,2)</ns0:f>
        <ns0:v>506.17</ns0:v>
      </ns0:c>
      <ns0:c r="G4" s="3">
        <ns0:f>ROUND(G204*G324,2)</ns0:f>
        <ns0:v>584.23</ns0:v>
      </ns0:c>
      <ns0:c r="H4" s="3">
        <ns0:f>ROUND(H204*H324,2)</ns0:f>
        <ns0:v>97.46</ns0:v>
      </ns0:c>
      <ns0:c r="I4" s="3">
        <ns0:f>ROUND(I204*I324,2)</ns0:f>
        <ns0:v>123.51</ns0:v>
      </ns0:c>
      <ns0:c r="J4" s="3">
        <ns0:f>ROUND(J204*J324,2)</ns0:f>
        <ns0:v>83.43</ns0:v>
      </ns0:c>
      <ns0:c r="K4" s="3">
        <ns0:f>ROUND(K204*K324,2)</ns0:f>
        <ns0:v>348.95</ns0:v>
      </ns0:c>
      <ns0:c r="L4" s="3">
        <ns0:f>ROUND(L204*L324,2)</ns0:f>
        <ns0:v>225.82</ns0:v>
      </ns0:c>
      <ns0:c r="M4" s="3">
        <ns0:f>ROUND(M204*M324,2)</ns0:f>
        <ns0:v>215.00</ns0:v>
      </ns0:c>
      <ns0:c r="N4" s="3">
        <ns0:f>ROUND(N204*N324,2)</ns0:f>
        <ns0:v>292.98</ns0:v>
      </ns0:c>
      <ns0:c r="O4" s="3">
        <ns0:f>SUM(C4:N4)</ns0:f>
        <ns0:v>3231.19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114.83</ns0:v>
      </ns0:c>
      <ns0:c r="D5" s="3">
        <ns0:f>ROUND(D205*D325,2)</ns0:f>
        <ns0:v>427.83</ns0:v>
      </ns0:c>
      <ns0:c r="E5" s="3">
        <ns0:f>ROUND(E205*E325,2)</ns0:f>
        <ns0:v>192.75</ns0:v>
      </ns0:c>
      <ns0:c r="F5" s="3">
        <ns0:f>ROUND(F205*F325,2)</ns0:f>
        <ns0:v>498.33</ns0:v>
      </ns0:c>
      <ns0:c r="G5" s="3">
        <ns0:f>ROUND(G205*G325,2)</ns0:f>
        <ns0:v>336.59</ns0:v>
      </ns0:c>
      <ns0:c r="H5" s="3">
        <ns0:f>ROUND(H205*H325,2)</ns0:f>
        <ns0:v>216.13</ns0:v>
      </ns0:c>
      <ns0:c r="I5" s="3">
        <ns0:f>ROUND(I205*I325,2)</ns0:f>
        <ns0:v>377.59</ns0:v>
      </ns0:c>
      <ns0:c r="J5" s="3">
        <ns0:f>ROUND(J205*J325,2)</ns0:f>
        <ns0:v>117.85</ns0:v>
      </ns0:c>
      <ns0:c r="K5" s="3">
        <ns0:f>ROUND(K205*K325,2)</ns0:f>
        <ns0:v>183.79</ns0:v>
      </ns0:c>
      <ns0:c r="L5" s="3">
        <ns0:f>ROUND(L205*L325,2)</ns0:f>
        <ns0:v>87.65</ns0:v>
      </ns0:c>
      <ns0:c r="M5" s="3">
        <ns0:f>ROUND(M205*M325,2)</ns0:f>
        <ns0:v>56.64</ns0:v>
      </ns0:c>
      <ns0:c r="N5" s="3">
        <ns0:f>ROUND(N205*N325,2)</ns0:f>
        <ns0:v>407.46</ns0:v>
      </ns0:c>
      <ns0:c r="O5" s="3">
        <ns0:f>SUM(C5:N5)</ns0:f>
        <ns0:v>3017.44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412.35</ns0:v>
      </ns0:c>
      <ns0:c r="D6" s="3">
        <ns0:f>ROUND(D206*D326,2)</ns0:f>
        <ns0:v>442.82</ns0:v>
      </ns0:c>
      <ns0:c r="E6" s="3">
        <ns0:f>ROUND(E206*E326,2)</ns0:f>
        <ns0:v>146.24</ns0:v>
      </ns0:c>
      <ns0:c r="F6" s="3">
        <ns0:f>ROUND(F206*F326,2)</ns0:f>
        <ns0:v>153.76</ns0:v>
      </ns0:c>
      <ns0:c r="G6" s="3">
        <ns0:f>ROUND(G206*G326,2)</ns0:f>
        <ns0:v>129.10</ns0:v>
      </ns0:c>
      <ns0:c r="H6" s="3">
        <ns0:f>ROUND(H206*H326,2)</ns0:f>
        <ns0:v>420.88</ns0:v>
      </ns0:c>
      <ns0:c r="I6" s="3">
        <ns0:f>ROUND(I206*I326,2)</ns0:f>
        <ns0:v>131.67</ns0:v>
      </ns0:c>
      <ns0:c r="J6" s="3">
        <ns0:f>ROUND(J206*J326,2)</ns0:f>
        <ns0:v>119.92</ns0:v>
      </ns0:c>
      <ns0:c r="K6" s="3">
        <ns0:f>ROUND(K206*K326,2)</ns0:f>
        <ns0:v>415.19</ns0:v>
      </ns0:c>
      <ns0:c r="L6" s="3">
        <ns0:f>ROUND(L206*L326,2)</ns0:f>
        <ns0:v>337.67</ns0:v>
      </ns0:c>
      <ns0:c r="M6" s="3">
        <ns0:f>ROUND(M206*M326,2)</ns0:f>
        <ns0:v>173.59</ns0:v>
      </ns0:c>
      <ns0:c r="N6" s="3">
        <ns0:f>ROUND(N206*N326,2)</ns0:f>
        <ns0:v>88.69</ns0:v>
      </ns0:c>
      <ns0:c r="O6" s="3">
        <ns0:f>SUM(C6:N6)</ns0:f>
        <ns0:v>2971.88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238.03</ns0:v>
      </ns0:c>
      <ns0:c r="D7" s="3">
        <ns0:f>ROUND(D207*D327,2)</ns0:f>
        <ns0:v>112.42</ns0:v>
      </ns0:c>
      <ns0:c r="E7" s="3">
        <ns0:f>ROUND(E207*E327,2)</ns0:f>
        <ns0:v>134.43</ns0:v>
      </ns0:c>
      <ns0:c r="F7" s="3">
        <ns0:f>ROUND(F207*F327,2)</ns0:f>
        <ns0:v>244.13</ns0:v>
      </ns0:c>
      <ns0:c r="G7" s="3">
        <ns0:f>ROUND(G207*G327,2)</ns0:f>
        <ns0:v>90.21</ns0:v>
      </ns0:c>
      <ns0:c r="H7" s="3">
        <ns0:f>ROUND(H207*H327,2)</ns0:f>
        <ns0:v>87.07</ns0:v>
      </ns0:c>
      <ns0:c r="I7" s="3">
        <ns0:f>ROUND(I207*I327,2)</ns0:f>
        <ns0:v>345.54</ns0:v>
      </ns0:c>
      <ns0:c r="J7" s="3">
        <ns0:f>ROUND(J207*J327,2)</ns0:f>
        <ns0:v>374.88</ns0:v>
      </ns0:c>
      <ns0:c r="K7" s="3">
        <ns0:f>ROUND(K207*K327,2)</ns0:f>
        <ns0:v>230.72</ns0:v>
      </ns0:c>
      <ns0:c r="L7" s="3">
        <ns0:f>ROUND(L207*L327,2)</ns0:f>
        <ns0:v>368.10</ns0:v>
      </ns0:c>
      <ns0:c r="M7" s="3">
        <ns0:f>ROUND(M207*M327,2)</ns0:f>
        <ns0:v>165.13</ns0:v>
      </ns0:c>
      <ns0:c r="N7" s="3">
        <ns0:f>ROUND(N207*N327,2)</ns0:f>
        <ns0:v>346.65</ns0:v>
      </ns0:c>
      <ns0:c r="O7" s="3">
        <ns0:f>SUM(C7:N7)</ns0:f>
        <ns0:v>2737.31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465.37</ns0:v>
      </ns0:c>
      <ns0:c r="D8" s="3">
        <ns0:f>ROUND(D208*D328,2)</ns0:f>
        <ns0:v>72.62</ns0:v>
      </ns0:c>
      <ns0:c r="E8" s="3">
        <ns0:f>ROUND(E208*E328,2)</ns0:f>
        <ns0:v>257.99</ns0:v>
      </ns0:c>
      <ns0:c r="F8" s="3">
        <ns0:f>ROUND(F208*F328,2)</ns0:f>
        <ns0:v>195.33</ns0:v>
      </ns0:c>
      <ns0:c r="G8" s="3">
        <ns0:f>ROUND(G208*G328,2)</ns0:f>
        <ns0:v>299.00</ns0:v>
      </ns0:c>
      <ns0:c r="H8" s="3">
        <ns0:f>ROUND(H208*H328,2)</ns0:f>
        <ns0:v>148.19</ns0:v>
      </ns0:c>
      <ns0:c r="I8" s="3">
        <ns0:f>ROUND(I208*I328,2)</ns0:f>
        <ns0:v>277.65</ns0:v>
      </ns0:c>
      <ns0:c r="J8" s="3">
        <ns0:f>ROUND(J208*J328,2)</ns0:f>
        <ns0:v>172.35</ns0:v>
      </ns0:c>
      <ns0:c r="K8" s="3">
        <ns0:f>ROUND(K208*K328,2)</ns0:f>
        <ns0:v>99.80</ns0:v>
      </ns0:c>
      <ns0:c r="L8" s="3">
        <ns0:f>ROUND(L208*L328,2)</ns0:f>
        <ns0:v>91.69</ns0:v>
      </ns0:c>
      <ns0:c r="M8" s="3">
        <ns0:f>ROUND(M208*M328,2)</ns0:f>
        <ns0:v>276.11</ns0:v>
      </ns0:c>
      <ns0:c r="N8" s="3">
        <ns0:f>ROUND(N208*N328,2)</ns0:f>
        <ns0:v>228.16</ns0:v>
      </ns0:c>
      <ns0:c r="O8" s="3">
        <ns0:f>SUM(C8:N8)</ns0:f>
        <ns0:v>2584.26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82.30</ns0:v>
      </ns0:c>
      <ns0:c r="D9" s="3">
        <ns0:f>ROUND(D209*D329,2)</ns0:f>
        <ns0:v>160.68</ns0:v>
      </ns0:c>
      <ns0:c r="E9" s="3">
        <ns0:f>ROUND(E209*E329,2)</ns0:f>
        <ns0:v>345.64</ns0:v>
      </ns0:c>
      <ns0:c r="F9" s="3">
        <ns0:f>ROUND(F209*F329,2)</ns0:f>
        <ns0:v>487.62</ns0:v>
      </ns0:c>
      <ns0:c r="G9" s="3">
        <ns0:f>ROUND(G209*G329,2)</ns0:f>
        <ns0:v>249.55</ns0:v>
      </ns0:c>
      <ns0:c r="H9" s="3">
        <ns0:f>ROUND(H209*H329,2)</ns0:f>
        <ns0:v>202.80</ns0:v>
      </ns0:c>
      <ns0:c r="I9" s="3">
        <ns0:f>ROUND(I209*I329,2)</ns0:f>
        <ns0:v>173.59</ns0:v>
      </ns0:c>
      <ns0:c r="J9" s="3">
        <ns0:f>ROUND(J209*J329,2)</ns0:f>
        <ns0:v>98.08</ns0:v>
      </ns0:c>
      <ns0:c r="K9" s="3">
        <ns0:f>ROUND(K209*K329,2)</ns0:f>
        <ns0:v>463.95</ns0:v>
      </ns0:c>
      <ns0:c r="L9" s="3">
        <ns0:f>ROUND(L209*L329,2)</ns0:f>
        <ns0:v>196.89</ns0:v>
      </ns0:c>
      <ns0:c r="M9" s="3">
        <ns0:f>ROUND(M209*M329,2)</ns0:f>
        <ns0:v>356.61</ns0:v>
      </ns0:c>
      <ns0:c r="N9" s="3">
        <ns0:f>ROUND(N209*N329,2)</ns0:f>
        <ns0:v>290.49</ns0:v>
      </ns0:c>
      <ns0:c r="O9" s="3">
        <ns0:f>SUM(C9:N9)</ns0:f>
        <ns0:v>3108.20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129.00</ns0:v>
      </ns0:c>
      <ns0:c r="D10" s="3">
        <ns0:f>ROUND(D210*D330,2)</ns0:f>
        <ns0:v>130.99</ns0:v>
      </ns0:c>
      <ns0:c r="E10" s="3">
        <ns0:f>ROUND(E210*E330,2)</ns0:f>
        <ns0:v>239.64</ns0:v>
      </ns0:c>
      <ns0:c r="F10" s="3">
        <ns0:f>ROUND(F210*F330,2)</ns0:f>
        <ns0:v>184.76</ns0:v>
      </ns0:c>
      <ns0:c r="G10" s="3">
        <ns0:f>ROUND(G210*G330,2)</ns0:f>
        <ns0:v>191.43</ns0:v>
      </ns0:c>
      <ns0:c r="H10" s="3">
        <ns0:f>ROUND(H210*H330,2)</ns0:f>
        <ns0:v>428.06</ns0:v>
      </ns0:c>
      <ns0:c r="I10" s="3">
        <ns0:f>ROUND(I210*I330,2)</ns0:f>
        <ns0:v>151.22</ns0:v>
      </ns0:c>
      <ns0:c r="J10" s="3">
        <ns0:f>ROUND(J210*J330,2)</ns0:f>
        <ns0:v>204.87</ns0:v>
      </ns0:c>
      <ns0:c r="K10" s="3">
        <ns0:f>ROUND(K210*K330,2)</ns0:f>
        <ns0:v>180.06</ns0:v>
      </ns0:c>
      <ns0:c r="L10" s="3">
        <ns0:f>ROUND(L210*L330,2)</ns0:f>
        <ns0:v>380.35</ns0:v>
      </ns0:c>
      <ns0:c r="M10" s="3">
        <ns0:f>ROUND(M210*M330,2)</ns0:f>
        <ns0:v>333.15</ns0:v>
      </ns0:c>
      <ns0:c r="N10" s="3">
        <ns0:f>ROUND(N210*N330,2)</ns0:f>
        <ns0:v>615.18</ns0:v>
      </ns0:c>
      <ns0:c r="O10" s="3">
        <ns0:f>SUM(C10:N10)</ns0:f>
        <ns0:v>3168.71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116.97</ns0:v>
      </ns0:c>
      <ns0:c r="D11" s="3">
        <ns0:f>ROUND(D211*D331,2)</ns0:f>
        <ns0:v>226.33</ns0:v>
      </ns0:c>
      <ns0:c r="E11" s="3">
        <ns0:f>ROUND(E211*E331,2)</ns0:f>
        <ns0:v>146.00</ns0:v>
      </ns0:c>
      <ns0:c r="F11" s="3">
        <ns0:f>ROUND(F211*F331,2)</ns0:f>
        <ns0:v>372.92</ns0:v>
      </ns0:c>
      <ns0:c r="G11" s="3">
        <ns0:f>ROUND(G211*G331,2)</ns0:f>
        <ns0:v>256.96</ns0:v>
      </ns0:c>
      <ns0:c r="H11" s="3">
        <ns0:f>ROUND(H211*H331,2)</ns0:f>
        <ns0:v>92.72</ns0:v>
      </ns0:c>
      <ns0:c r="I11" s="3">
        <ns0:f>ROUND(I211*I331,2)</ns0:f>
        <ns0:v>144.69</ns0:v>
      </ns0:c>
      <ns0:c r="J11" s="3">
        <ns0:f>ROUND(J211*J331,2)</ns0:f>
        <ns0:v>304.27</ns0:v>
      </ns0:c>
      <ns0:c r="K11" s="3">
        <ns0:f>ROUND(K211*K331,2)</ns0:f>
        <ns0:v>569.24</ns0:v>
      </ns0:c>
      <ns0:c r="L11" s="3">
        <ns0:f>ROUND(L211*L331,2)</ns0:f>
        <ns0:v>86.70</ns0:v>
      </ns0:c>
      <ns0:c r="M11" s="3">
        <ns0:f>ROUND(M211*M331,2)</ns0:f>
        <ns0:v>144.68</ns0:v>
      </ns0:c>
      <ns0:c r="N11" s="3">
        <ns0:f>ROUND(N211*N331,2)</ns0:f>
        <ns0:v>109.59</ns0:v>
      </ns0:c>
      <ns0:c r="O11" s="3">
        <ns0:f>SUM(C11:N11)</ns0:f>
        <ns0:v>2571.07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111.77</ns0:v>
      </ns0:c>
      <ns0:c r="D12" s="3">
        <ns0:f>ROUND(D212*D332,2)</ns0:f>
        <ns0:v>277.70</ns0:v>
      </ns0:c>
      <ns0:c r="E12" s="3">
        <ns0:f>ROUND(E212*E332,2)</ns0:f>
        <ns0:v>245.55</ns0:v>
      </ns0:c>
      <ns0:c r="F12" s="3">
        <ns0:f>ROUND(F212*F332,2)</ns0:f>
        <ns0:v>104.23</ns0:v>
      </ns0:c>
      <ns0:c r="G12" s="3">
        <ns0:f>ROUND(G212*G332,2)</ns0:f>
        <ns0:v>214.85</ns0:v>
      </ns0:c>
      <ns0:c r="H12" s="3">
        <ns0:f>ROUND(H212*H332,2)</ns0:f>
        <ns0:v>70.00</ns0:v>
      </ns0:c>
      <ns0:c r="I12" s="3">
        <ns0:f>ROUND(I212*I332,2)</ns0:f>
        <ns0:v>163.95</ns0:v>
      </ns0:c>
      <ns0:c r="J12" s="3">
        <ns0:f>ROUND(J212*J332,2)</ns0:f>
        <ns0:v>289.57</ns0:v>
      </ns0:c>
      <ns0:c r="K12" s="3">
        <ns0:f>ROUND(K212*K332,2)</ns0:f>
        <ns0:v>365.36</ns0:v>
      </ns0:c>
      <ns0:c r="L12" s="3">
        <ns0:f>ROUND(L212*L332,2)</ns0:f>
        <ns0:v>288.50</ns0:v>
      </ns0:c>
      <ns0:c r="M12" s="3">
        <ns0:f>ROUND(M212*M332,2)</ns0:f>
        <ns0:v>287.82</ns0:v>
      </ns0:c>
      <ns0:c r="N12" s="3">
        <ns0:f>ROUND(N212*N332,2)</ns0:f>
        <ns0:v>290.07</ns0:v>
      </ns0:c>
      <ns0:c r="O12" s="3">
        <ns0:f>SUM(C12:N12)</ns0:f>
        <ns0:v>2709.37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133.88</ns0:v>
      </ns0:c>
      <ns0:c r="D13" s="3">
        <ns0:f>ROUND(D213*D333,2)</ns0:f>
        <ns0:v>208.60</ns0:v>
      </ns0:c>
      <ns0:c r="E13" s="3">
        <ns0:f>ROUND(E213*E333,2)</ns0:f>
        <ns0:v>106.41</ns0:v>
      </ns0:c>
      <ns0:c r="F13" s="3">
        <ns0:f>ROUND(F213*F333,2)</ns0:f>
        <ns0:v>278.17</ns0:v>
      </ns0:c>
      <ns0:c r="G13" s="3">
        <ns0:f>ROUND(G213*G333,2)</ns0:f>
        <ns0:v>360.55</ns0:v>
      </ns0:c>
      <ns0:c r="H13" s="3">
        <ns0:f>ROUND(H213*H333,2)</ns0:f>
        <ns0:v>319.86</ns0:v>
      </ns0:c>
      <ns0:c r="I13" s="3">
        <ns0:f>ROUND(I213*I333,2)</ns0:f>
        <ns0:v>65.19</ns0:v>
      </ns0:c>
      <ns0:c r="J13" s="3">
        <ns0:f>ROUND(J213*J333,2)</ns0:f>
        <ns0:v>453.68</ns0:v>
      </ns0:c>
      <ns0:c r="K13" s="3">
        <ns0:f>ROUND(K213*K333,2)</ns0:f>
        <ns0:v>189.90</ns0:v>
      </ns0:c>
      <ns0:c r="L13" s="3">
        <ns0:f>ROUND(L213*L333,2)</ns0:f>
        <ns0:v>399.63</ns0:v>
      </ns0:c>
      <ns0:c r="M13" s="3">
        <ns0:f>ROUND(M213*M333,2)</ns0:f>
        <ns0:v>542.30</ns0:v>
      </ns0:c>
      <ns0:c r="N13" s="3">
        <ns0:f>ROUND(N213*N333,2)</ns0:f>
        <ns0:v>272.94</ns0:v>
      </ns0:c>
      <ns0:c r="O13" s="3">
        <ns0:f>SUM(C13:N13)</ns0:f>
        <ns0:v>3331.11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127.54</ns0:v>
      </ns0:c>
      <ns0:c r="D14" s="3">
        <ns0:f>ROUND(D214*D334,2)</ns0:f>
        <ns0:v>432.01</ns0:v>
      </ns0:c>
      <ns0:c r="E14" s="3">
        <ns0:f>ROUND(E214*E334,2)</ns0:f>
        <ns0:v>189.18</ns0:v>
      </ns0:c>
      <ns0:c r="F14" s="3">
        <ns0:f>ROUND(F214*F334,2)</ns0:f>
        <ns0:v>312.57</ns0:v>
      </ns0:c>
      <ns0:c r="G14" s="3">
        <ns0:f>ROUND(G214*G334,2)</ns0:f>
        <ns0:v>206.69</ns0:v>
      </ns0:c>
      <ns0:c r="H14" s="3">
        <ns0:f>ROUND(H214*H334,2)</ns0:f>
        <ns0:v>260.61</ns0:v>
      </ns0:c>
      <ns0:c r="I14" s="3">
        <ns0:f>ROUND(I214*I334,2)</ns0:f>
        <ns0:v>249.75</ns0:v>
      </ns0:c>
      <ns0:c r="J14" s="3">
        <ns0:f>ROUND(J214*J334,2)</ns0:f>
        <ns0:v>238.53</ns0:v>
      </ns0:c>
      <ns0:c r="K14" s="3">
        <ns0:f>ROUND(K214*K334,2)</ns0:f>
        <ns0:v>251.67</ns0:v>
      </ns0:c>
      <ns0:c r="L14" s="3">
        <ns0:f>ROUND(L214*L334,2)</ns0:f>
        <ns0:v>281.10</ns0:v>
      </ns0:c>
      <ns0:c r="M14" s="3">
        <ns0:f>ROUND(M214*M334,2)</ns0:f>
        <ns0:v>147.91</ns0:v>
      </ns0:c>
      <ns0:c r="N14" s="3">
        <ns0:f>ROUND(N214*N334,2)</ns0:f>
        <ns0:v>322.60</ns0:v>
      </ns0:c>
      <ns0:c r="O14" s="3">
        <ns0:f>SUM(C14:N14)</ns0:f>
        <ns0:v>3020.16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173.87</ns0:v>
      </ns0:c>
      <ns0:c r="D15" s="3">
        <ns0:f>ROUND(D215*D335,2)</ns0:f>
        <ns0:v>316.61</ns0:v>
      </ns0:c>
      <ns0:c r="E15" s="3">
        <ns0:f>ROUND(E215*E335,2)</ns0:f>
        <ns0:v>65.99</ns0:v>
      </ns0:c>
      <ns0:c r="F15" s="3">
        <ns0:f>ROUND(F215*F335,2)</ns0:f>
        <ns0:v>173.72</ns0:v>
      </ns0:c>
      <ns0:c r="G15" s="3">
        <ns0:f>ROUND(G215*G335,2)</ns0:f>
        <ns0:v>190.91</ns0:v>
      </ns0:c>
      <ns0:c r="H15" s="3">
        <ns0:f>ROUND(H215*H335,2)</ns0:f>
        <ns0:v>79.37</ns0:v>
      </ns0:c>
      <ns0:c r="I15" s="3">
        <ns0:f>ROUND(I215*I335,2)</ns0:f>
        <ns0:v>395.73</ns0:v>
      </ns0:c>
      <ns0:c r="J15" s="3">
        <ns0:f>ROUND(J215*J335,2)</ns0:f>
        <ns0:v>341.58</ns0:v>
      </ns0:c>
      <ns0:c r="K15" s="3">
        <ns0:f>ROUND(K215*K335,2)</ns0:f>
        <ns0:v>99.04</ns0:v>
      </ns0:c>
      <ns0:c r="L15" s="3">
        <ns0:f>ROUND(L215*L335,2)</ns0:f>
        <ns0:v>328.14</ns0:v>
      </ns0:c>
      <ns0:c r="M15" s="3">
        <ns0:f>ROUND(M215*M335,2)</ns0:f>
        <ns0:v>200.17</ns0:v>
      </ns0:c>
      <ns0:c r="N15" s="3">
        <ns0:f>ROUND(N215*N335,2)</ns0:f>
        <ns0:v>290.83</ns0:v>
      </ns0:c>
      <ns0:c r="O15" s="3">
        <ns0:f>SUM(C15:N15)</ns0:f>
        <ns0:v>2655.96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119.26</ns0:v>
      </ns0:c>
      <ns0:c r="D16" s="3">
        <ns0:f>ROUND(D216*D336,2)</ns0:f>
        <ns0:v>305.88</ns0:v>
      </ns0:c>
      <ns0:c r="E16" s="3">
        <ns0:f>ROUND(E216*E336,2)</ns0:f>
        <ns0:v>217.67</ns0:v>
      </ns0:c>
      <ns0:c r="F16" s="3">
        <ns0:f>ROUND(F216*F336,2)</ns0:f>
        <ns0:v>102.66</ns0:v>
      </ns0:c>
      <ns0:c r="G16" s="3">
        <ns0:f>ROUND(G216*G336,2)</ns0:f>
        <ns0:v>139.98</ns0:v>
      </ns0:c>
      <ns0:c r="H16" s="3">
        <ns0:f>ROUND(H216*H336,2)</ns0:f>
        <ns0:v>281.54</ns0:v>
      </ns0:c>
      <ns0:c r="I16" s="3">
        <ns0:f>ROUND(I216*I336,2)</ns0:f>
        <ns0:v>303.95</ns0:v>
      </ns0:c>
      <ns0:c r="J16" s="3">
        <ns0:f>ROUND(J216*J336,2)</ns0:f>
        <ns0:v>154.09</ns0:v>
      </ns0:c>
      <ns0:c r="K16" s="3">
        <ns0:f>ROUND(K216*K336,2)</ns0:f>
        <ns0:v>67.22</ns0:v>
      </ns0:c>
      <ns0:c r="L16" s="3">
        <ns0:f>ROUND(L216*L336,2)</ns0:f>
        <ns0:v>93.79</ns0:v>
      </ns0:c>
      <ns0:c r="M16" s="3">
        <ns0:f>ROUND(M216*M336,2)</ns0:f>
        <ns0:v>141.60</ns0:v>
      </ns0:c>
      <ns0:c r="N16" s="3">
        <ns0:f>ROUND(N216*N336,2)</ns0:f>
        <ns0:v>114.78</ns0:v>
      </ns0:c>
      <ns0:c r="O16" s="3">
        <ns0:f>SUM(C16:N16)</ns0:f>
        <ns0:v>2042.42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159.16</ns0:v>
      </ns0:c>
      <ns0:c r="D17" s="3">
        <ns0:f>ROUND(D217*D337,2)</ns0:f>
        <ns0:v>49.96</ns0:v>
      </ns0:c>
      <ns0:c r="E17" s="3">
        <ns0:f>ROUND(E217*E337,2)</ns0:f>
        <ns0:v>122.15</ns0:v>
      </ns0:c>
      <ns0:c r="F17" s="3">
        <ns0:f>ROUND(F217*F337,2)</ns0:f>
        <ns0:v>208.68</ns0:v>
      </ns0:c>
      <ns0:c r="G17" s="3">
        <ns0:f>ROUND(G217*G337,2)</ns0:f>
        <ns0:v>505.96</ns0:v>
      </ns0:c>
      <ns0:c r="H17" s="3">
        <ns0:f>ROUND(H217*H337,2)</ns0:f>
        <ns0:v>152.03</ns0:v>
      </ns0:c>
      <ns0:c r="I17" s="3">
        <ns0:f>ROUND(I217*I337,2)</ns0:f>
        <ns0:v>102.47</ns0:v>
      </ns0:c>
      <ns0:c r="J17" s="3">
        <ns0:f>ROUND(J217*J337,2)</ns0:f>
        <ns0:v>451.51</ns0:v>
      </ns0:c>
      <ns0:c r="K17" s="3">
        <ns0:f>ROUND(K217*K337,2)</ns0:f>
        <ns0:v>330.63</ns0:v>
      </ns0:c>
      <ns0:c r="L17" s="3">
        <ns0:f>ROUND(L217*L337,2)</ns0:f>
        <ns0:v>310.75</ns0:v>
      </ns0:c>
      <ns0:c r="M17" s="3">
        <ns0:f>ROUND(M217*M337,2)</ns0:f>
        <ns0:v>144.90</ns0:v>
      </ns0:c>
      <ns0:c r="N17" s="3">
        <ns0:f>ROUND(N217*N337,2)</ns0:f>
        <ns0:v>96.96</ns0:v>
      </ns0:c>
      <ns0:c r="O17" s="3">
        <ns0:f>SUM(C17:N17)</ns0:f>
        <ns0:v>2635.16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339.29</ns0:v>
      </ns0:c>
      <ns0:c r="D18" s="3">
        <ns0:f>ROUND(D218*D338,2)</ns0:f>
        <ns0:v>118.31</ns0:v>
      </ns0:c>
      <ns0:c r="E18" s="3">
        <ns0:f>ROUND(E218*E338,2)</ns0:f>
        <ns0:v>150.56</ns0:v>
      </ns0:c>
      <ns0:c r="F18" s="3">
        <ns0:f>ROUND(F218*F338,2)</ns0:f>
        <ns0:v>150.26</ns0:v>
      </ns0:c>
      <ns0:c r="G18" s="3">
        <ns0:f>ROUND(G218*G338,2)</ns0:f>
        <ns0:v>200.02</ns0:v>
      </ns0:c>
      <ns0:c r="H18" s="3">
        <ns0:f>ROUND(H218*H338,2)</ns0:f>
        <ns0:v>646.06</ns0:v>
      </ns0:c>
      <ns0:c r="I18" s="3">
        <ns0:f>ROUND(I218*I338,2)</ns0:f>
        <ns0:v>308.41</ns0:v>
      </ns0:c>
      <ns0:c r="J18" s="3">
        <ns0:f>ROUND(J218*J338,2)</ns0:f>
        <ns0:v>125.79</ns0:v>
      </ns0:c>
      <ns0:c r="K18" s="3">
        <ns0:f>ROUND(K218*K338,2)</ns0:f>
        <ns0:v>189.26</ns0:v>
      </ns0:c>
      <ns0:c r="L18" s="3">
        <ns0:f>ROUND(L218*L338,2)</ns0:f>
        <ns0:v>418.61</ns0:v>
      </ns0:c>
      <ns0:c r="M18" s="3">
        <ns0:f>ROUND(M218*M338,2)</ns0:f>
        <ns0:v>299.92</ns0:v>
      </ns0:c>
      <ns0:c r="N18" s="3">
        <ns0:f>ROUND(N218*N338,2)</ns0:f>
        <ns0:v>65.41</ns0:v>
      </ns0:c>
      <ns0:c r="O18" s="3">
        <ns0:f>SUM(C18:N18)</ns0:f>
        <ns0:v>3011.90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201.24</ns0:v>
      </ns0:c>
      <ns0:c r="D19" s="3">
        <ns0:f>ROUND(D219*D339,2)</ns0:f>
        <ns0:v>342.71</ns0:v>
      </ns0:c>
      <ns0:c r="E19" s="3">
        <ns0:f>ROUND(E219*E339,2)</ns0:f>
        <ns0:v>200.38</ns0:v>
      </ns0:c>
      <ns0:c r="F19" s="3">
        <ns0:f>ROUND(F219*F339,2)</ns0:f>
        <ns0:v>199.82</ns0:v>
      </ns0:c>
      <ns0:c r="G19" s="3">
        <ns0:f>ROUND(G219*G339,2)</ns0:f>
        <ns0:v>94.24</ns0:v>
      </ns0:c>
      <ns0:c r="H19" s="3">
        <ns0:f>ROUND(H219*H339,2)</ns0:f>
        <ns0:v>308.62</ns0:v>
      </ns0:c>
      <ns0:c r="I19" s="3">
        <ns0:f>ROUND(I219*I339,2)</ns0:f>
        <ns0:v>272.07</ns0:v>
      </ns0:c>
      <ns0:c r="J19" s="3">
        <ns0:f>ROUND(J219*J339,2)</ns0:f>
        <ns0:v>186.77</ns0:v>
      </ns0:c>
      <ns0:c r="K19" s="3">
        <ns0:f>ROUND(K219*K339,2)</ns0:f>
        <ns0:v>367.39</ns0:v>
      </ns0:c>
      <ns0:c r="L19" s="3">
        <ns0:f>ROUND(L219*L339,2)</ns0:f>
        <ns0:v>239.95</ns0:v>
      </ns0:c>
      <ns0:c r="M19" s="3">
        <ns0:f>ROUND(M219*M339,2)</ns0:f>
        <ns0:v>475.85</ns0:v>
      </ns0:c>
      <ns0:c r="N19" s="3">
        <ns0:f>ROUND(N219*N339,2)</ns0:f>
        <ns0:v>250.97</ns0:v>
      </ns0:c>
      <ns0:c r="O19" s="3">
        <ns0:f>SUM(C19:N19)</ns0:f>
        <ns0:v>3140.01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620.71</ns0:v>
      </ns0:c>
      <ns0:c r="D20" s="3">
        <ns0:f>ROUND('摊销明细'!D33/3,2)</ns0:f>
        <ns0:v>620.71</ns0:v>
      </ns0:c>
      <ns0:c r="E20" s="3">
        <ns0:f>ROUND('摊销明细'!E33/3,2)</ns0:f>
        <ns0:v>620.71</ns0:v>
      </ns0:c>
      <ns0:c r="F20" s="3">
        <ns0:f>ROUND('摊销明细'!F33/3,2)</ns0:f>
        <ns0:v>620.71</ns0:v>
      </ns0:c>
      <ns0:c r="G20" s="3">
        <ns0:f>ROUND('摊销明细'!G33/3,2)</ns0:f>
        <ns0:v>620.71</ns0:v>
      </ns0:c>
      <ns0:c r="H20" s="3">
        <ns0:f>ROUND('摊销明细'!H33/3,2)</ns0:f>
        <ns0:v>620.71</ns0:v>
      </ns0:c>
      <ns0:c r="I20" s="3">
        <ns0:f>ROUND('摊销明细'!I33/3,2)</ns0:f>
        <ns0:v>620.71</ns0:v>
      </ns0:c>
      <ns0:c r="J20" s="3">
        <ns0:f>ROUND('摊销明细'!J33/3,2)</ns0:f>
        <ns0:v>620.71</ns0:v>
      </ns0:c>
      <ns0:c r="K20" s="3">
        <ns0:f>ROUND('摊销明细'!K33/3,2)</ns0:f>
        <ns0:v>620.71</ns0:v>
      </ns0:c>
      <ns0:c r="L20" s="3">
        <ns0:f>ROUND('摊销明细'!L33/3,2)</ns0:f>
        <ns0:v>620.71</ns0:v>
      </ns0:c>
      <ns0:c r="M20" s="3">
        <ns0:f>ROUND('摊销明细'!M33/3,2)</ns0:f>
        <ns0:v>620.71</ns0:v>
      </ns0:c>
      <ns0:c r="N20" s="3">
        <ns0:f>ROUND('摊销明细'!N33/3,2)</ns0:f>
        <ns0:v>620.71</ns0:v>
      </ns0:c>
      <ns0:c r="O20" s="3">
        <ns0:f>SUM(C20:N20)</ns0:f>
        <ns0:v>7448.52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163.18</ns0:v>
      </ns0:c>
      <ns0:c r="D21" s="3">
        <ns0:f>ROUND(D221*D341,2)</ns0:f>
        <ns0:v>417.60</ns0:v>
      </ns0:c>
      <ns0:c r="E21" s="3">
        <ns0:f>ROUND(E221*E341,2)</ns0:f>
        <ns0:v>131.73</ns0:v>
      </ns0:c>
      <ns0:c r="F21" s="3">
        <ns0:f>ROUND(F221*F341,2)</ns0:f>
        <ns0:v>556.51</ns0:v>
      </ns0:c>
      <ns0:c r="G21" s="3">
        <ns0:f>ROUND(G221*G341,2)</ns0:f>
        <ns0:v>69.46</ns0:v>
      </ns0:c>
      <ns0:c r="H21" s="3">
        <ns0:f>ROUND(H221*H341,2)</ns0:f>
        <ns0:v>304.91</ns0:v>
      </ns0:c>
      <ns0:c r="I21" s="3">
        <ns0:f>ROUND(I221*I341,2)</ns0:f>
        <ns0:v>36.08</ns0:v>
      </ns0:c>
      <ns0:c r="J21" s="3">
        <ns0:f>ROUND(J221*J341,2)</ns0:f>
        <ns0:v>226.58</ns0:v>
      </ns0:c>
      <ns0:c r="K21" s="3">
        <ns0:f>ROUND(K221*K341,2)</ns0:f>
        <ns0:v>110.06</ns0:v>
      </ns0:c>
      <ns0:c r="L21" s="3">
        <ns0:f>ROUND(L221*L341,2)</ns0:f>
        <ns0:v>396.93</ns0:v>
      </ns0:c>
      <ns0:c r="M21" s="3">
        <ns0:f>ROUND(M221*M341,2)</ns0:f>
        <ns0:v>126.10</ns0:v>
      </ns0:c>
      <ns0:c r="N21" s="3">
        <ns0:f>ROUND(N221*N341,2)</ns0:f>
        <ns0:v>288.12</ns0:v>
      </ns0:c>
      <ns0:c r="O21" s="3">
        <ns0:f>SUM(C21:N21)</ns0:f>
        <ns0:v>2827.26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39.12</ns0:v>
      </ns0:c>
      <ns0:c r="D22" s="3">
        <ns0:f>ROUND(D222*D342,2)</ns0:f>
        <ns0:v>83.37</ns0:v>
      </ns0:c>
      <ns0:c r="E22" s="3">
        <ns0:f>ROUND(E222*E342,2)</ns0:f>
        <ns0:v>312.97</ns0:v>
      </ns0:c>
      <ns0:c r="F22" s="3">
        <ns0:f>ROUND(F222*F342,2)</ns0:f>
        <ns0:v>269.65</ns0:v>
      </ns0:c>
      <ns0:c r="G22" s="3">
        <ns0:f>ROUND(G222*G342,2)</ns0:f>
        <ns0:v>159.41</ns0:v>
      </ns0:c>
      <ns0:c r="H22" s="3">
        <ns0:f>ROUND(H222*H342,2)</ns0:f>
        <ns0:v>126.99</ns0:v>
      </ns0:c>
      <ns0:c r="I22" s="3">
        <ns0:f>ROUND(I222*I342,2)</ns0:f>
        <ns0:v>203.36</ns0:v>
      </ns0:c>
      <ns0:c r="J22" s="3">
        <ns0:f>ROUND(J222*J342,2)</ns0:f>
        <ns0:v>260.03</ns0:v>
      </ns0:c>
      <ns0:c r="K22" s="3">
        <ns0:f>ROUND(K222*K342,2)</ns0:f>
        <ns0:v>131.28</ns0:v>
      </ns0:c>
      <ns0:c r="L22" s="3">
        <ns0:f>ROUND(L222*L342,2)</ns0:f>
        <ns0:v>158.52</ns0:v>
      </ns0:c>
      <ns0:c r="M22" s="3">
        <ns0:f>ROUND(M222*M342,2)</ns0:f>
        <ns0:v>130.48</ns0:v>
      </ns0:c>
      <ns0:c r="N22" s="3">
        <ns0:f>ROUND(N222*N342,2)</ns0:f>
        <ns0:v>176.64</ns0:v>
      </ns0:c>
      <ns0:c r="O22" s="3">
        <ns0:f>SUM(C22:N22)</ns0:f>
        <ns0:v>2051.82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225.95</ns0:v>
      </ns0:c>
      <ns0:c r="D23" s="3">
        <ns0:f>ROUND(D223*D343,2)</ns0:f>
        <ns0:v>323.35</ns0:v>
      </ns0:c>
      <ns0:c r="E23" s="3">
        <ns0:f>ROUND(E223*E343,2)</ns0:f>
        <ns0:v>63.24</ns0:v>
      </ns0:c>
      <ns0:c r="F23" s="3">
        <ns0:f>ROUND(F223*F343,2)</ns0:f>
        <ns0:v>66.39</ns0:v>
      </ns0:c>
      <ns0:c r="G23" s="3">
        <ns0:f>ROUND(G223*G343,2)</ns0:f>
        <ns0:v>159.99</ns0:v>
      </ns0:c>
      <ns0:c r="H23" s="3">
        <ns0:f>ROUND(H223*H343,2)</ns0:f>
        <ns0:v>143.01</ns0:v>
      </ns0:c>
      <ns0:c r="I23" s="3">
        <ns0:f>ROUND(I223*I343,2)</ns0:f>
        <ns0:v>235.37</ns0:v>
      </ns0:c>
      <ns0:c r="J23" s="3">
        <ns0:f>ROUND(J223*J343,2)</ns0:f>
        <ns0:v>135.43</ns0:v>
      </ns0:c>
      <ns0:c r="K23" s="3">
        <ns0:f>ROUND(K223*K343,2)</ns0:f>
        <ns0:v>174.62</ns0:v>
      </ns0:c>
      <ns0:c r="L23" s="3">
        <ns0:f>ROUND(L223*L343,2)</ns0:f>
        <ns0:v>185.54</ns0:v>
      </ns0:c>
      <ns0:c r="M23" s="3">
        <ns0:f>ROUND(M223*M343,2)</ns0:f>
        <ns0:v>312.74</ns0:v>
      </ns0:c>
      <ns0:c r="N23" s="3">
        <ns0:f>ROUND(N223*N343,2)</ns0:f>
        <ns0:v>527.98</ns0:v>
      </ns0:c>
      <ns0:c r="O23" s="3">
        <ns0:f>SUM(C23:N23)</ns0:f>
        <ns0:v>2553.61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200.82</ns0:v>
      </ns0:c>
      <ns0:c r="D24" s="3">
        <ns0:f>ROUND(D224*D344,2)</ns0:f>
        <ns0:v>99.98</ns0:v>
      </ns0:c>
      <ns0:c r="E24" s="3">
        <ns0:f>ROUND(E224*E344,2)</ns0:f>
        <ns0:v>397.58</ns0:v>
      </ns0:c>
      <ns0:c r="F24" s="3">
        <ns0:f>ROUND(F224*F344,2)</ns0:f>
        <ns0:v>118.62</ns0:v>
      </ns0:c>
      <ns0:c r="G24" s="3">
        <ns0:f>ROUND(G224*G344,2)</ns0:f>
        <ns0:v>584.19</ns0:v>
      </ns0:c>
      <ns0:c r="H24" s="3">
        <ns0:f>ROUND(H224*H344,2)</ns0:f>
        <ns0:v>183.77</ns0:v>
      </ns0:c>
      <ns0:c r="I24" s="3">
        <ns0:f>ROUND(I224*I344,2)</ns0:f>
        <ns0:v>495.10</ns0:v>
      </ns0:c>
      <ns0:c r="J24" s="3">
        <ns0:f>ROUND(J224*J344,2)</ns0:f>
        <ns0:v>94.01</ns0:v>
      </ns0:c>
      <ns0:c r="K24" s="3">
        <ns0:f>ROUND(K224*K344,2)</ns0:f>
        <ns0:v>137.57</ns0:v>
      </ns0:c>
      <ns0:c r="L24" s="3">
        <ns0:f>ROUND(L224*L344,2)</ns0:f>
        <ns0:v>212.06</ns0:v>
      </ns0:c>
      <ns0:c r="M24" s="3">
        <ns0:f>ROUND(M224*M344,2)</ns0:f>
        <ns0:v>288.09</ns0:v>
      </ns0:c>
      <ns0:c r="N24" s="3">
        <ns0:f>ROUND(N224*N344,2)</ns0:f>
        <ns0:v>438.19</ns0:v>
      </ns0:c>
      <ns0:c r="O24" s="3">
        <ns0:f>SUM(C24:N24)</ns0:f>
        <ns0:v>3249.98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268.35</ns0:v>
      </ns0:c>
      <ns0:c r="D25" s="3">
        <ns0:f>ROUND(D225*D345,2)</ns0:f>
        <ns0:v>454.85</ns0:v>
      </ns0:c>
      <ns0:c r="E25" s="3">
        <ns0:f>ROUND(E225*E345,2)</ns0:f>
        <ns0:v>204.89</ns0:v>
      </ns0:c>
      <ns0:c r="F25" s="3">
        <ns0:f>ROUND(F225*F345,2)</ns0:f>
        <ns0:v>354.64</ns0:v>
      </ns0:c>
      <ns0:c r="G25" s="3">
        <ns0:f>ROUND(G225*G345,2)</ns0:f>
        <ns0:v>148.58</ns0:v>
      </ns0:c>
      <ns0:c r="H25" s="3">
        <ns0:f>ROUND(H225*H345,2)</ns0:f>
        <ns0:v>185.32</ns0:v>
      </ns0:c>
      <ns0:c r="I25" s="3">
        <ns0:f>ROUND(I225*I345,2)</ns0:f>
        <ns0:v>391.10</ns0:v>
      </ns0:c>
      <ns0:c r="J25" s="3">
        <ns0:f>ROUND(J225*J345,2)</ns0:f>
        <ns0:v>233.24</ns0:v>
      </ns0:c>
      <ns0:c r="K25" s="3">
        <ns0:f>ROUND(K225*K345,2)</ns0:f>
        <ns0:v>241.22</ns0:v>
      </ns0:c>
      <ns0:c r="L25" s="3">
        <ns0:f>ROUND(L225*L345,2)</ns0:f>
        <ns0:v>180.95</ns0:v>
      </ns0:c>
      <ns0:c r="M25" s="3">
        <ns0:f>ROUND(M225*M345,2)</ns0:f>
        <ns0:v>88.16</ns0:v>
      </ns0:c>
      <ns0:c r="N25" s="3">
        <ns0:f>ROUND(N225*N345,2)</ns0:f>
        <ns0:v>280.26</ns0:v>
      </ns0:c>
      <ns0:c r="O25" s="3">
        <ns0:f>SUM(C25:N25)</ns0:f>
        <ns0:v>3031.56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147.48</ns0:v>
      </ns0:c>
      <ns0:c r="D26" s="3">
        <ns0:f>ROUND(D226*D346,2)</ns0:f>
        <ns0:v>167.52</ns0:v>
      </ns0:c>
      <ns0:c r="E26" s="3">
        <ns0:f>ROUND(E226*E346,2)</ns0:f>
        <ns0:v>404.76</ns0:v>
      </ns0:c>
      <ns0:c r="F26" s="3">
        <ns0:f>ROUND(F226*F346,2)</ns0:f>
        <ns0:v>508.69</ns0:v>
      </ns0:c>
      <ns0:c r="G26" s="3">
        <ns0:f>ROUND(G226*G346,2)</ns0:f>
        <ns0:v>162.18</ns0:v>
      </ns0:c>
      <ns0:c r="H26" s="3">
        <ns0:f>ROUND(H226*H346,2)</ns0:f>
        <ns0:v>203.26</ns0:v>
      </ns0:c>
      <ns0:c r="I26" s="3">
        <ns0:f>ROUND(I226*I346,2)</ns0:f>
        <ns0:v>207.85</ns0:v>
      </ns0:c>
      <ns0:c r="J26" s="3">
        <ns0:f>ROUND(J226*J346,2)</ns0:f>
        <ns0:v>201.31</ns0:v>
      </ns0:c>
      <ns0:c r="K26" s="3">
        <ns0:f>ROUND(K226*K346,2)</ns0:f>
        <ns0:v>158.70</ns0:v>
      </ns0:c>
      <ns0:c r="L26" s="3">
        <ns0:f>ROUND(L226*L346,2)</ns0:f>
        <ns0:v>207.72</ns0:v>
      </ns0:c>
      <ns0:c r="M26" s="3">
        <ns0:f>ROUND(M226*M346,2)</ns0:f>
        <ns0:v>225.74</ns0:v>
      </ns0:c>
      <ns0:c r="N26" s="3">
        <ns0:f>ROUND(N226*N346,2)</ns0:f>
        <ns0:v>244.92</ns0:v>
      </ns0:c>
      <ns0:c r="O26" s="3">
        <ns0:f>SUM(C26:N26)</ns0:f>
        <ns0:v>2840.13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146.01</ns0:v>
      </ns0:c>
      <ns0:c r="D27" s="3">
        <ns0:f>ROUND(D227*D347,2)</ns0:f>
        <ns0:v>188.62</ns0:v>
      </ns0:c>
      <ns0:c r="E27" s="3">
        <ns0:f>ROUND(E227*E347,2)</ns0:f>
        <ns0:v>213.59</ns0:v>
      </ns0:c>
      <ns0:c r="F27" s="3">
        <ns0:f>ROUND(F227*F347,2)</ns0:f>
        <ns0:v>74.40</ns0:v>
      </ns0:c>
      <ns0:c r="G27" s="3">
        <ns0:f>ROUND(G227*G347,2)</ns0:f>
        <ns0:v>118.96</ns0:v>
      </ns0:c>
      <ns0:c r="H27" s="3">
        <ns0:f>ROUND(H227*H347,2)</ns0:f>
        <ns0:v>283.27</ns0:v>
      </ns0:c>
      <ns0:c r="I27" s="3">
        <ns0:f>ROUND(I227*I347,2)</ns0:f>
        <ns0:v>133.58</ns0:v>
      </ns0:c>
      <ns0:c r="J27" s="3">
        <ns0:f>ROUND(J227*J347,2)</ns0:f>
        <ns0:v>236.99</ns0:v>
      </ns0:c>
      <ns0:c r="K27" s="3">
        <ns0:f>ROUND(K227*K347,2)</ns0:f>
        <ns0:v>619.71</ns0:v>
      </ns0:c>
      <ns0:c r="L27" s="3">
        <ns0:f>ROUND(L227*L347,2)</ns0:f>
        <ns0:v>283.17</ns0:v>
      </ns0:c>
      <ns0:c r="M27" s="3">
        <ns0:f>ROUND(M227*M347,2)</ns0:f>
        <ns0:v>203.99</ns0:v>
      </ns0:c>
      <ns0:c r="N27" s="3">
        <ns0:f>ROUND(N227*N347,2)</ns0:f>
        <ns0:v>193.91</ns0:v>
      </ns0:c>
      <ns0:c r="O27" s="3">
        <ns0:f>SUM(C27:N27)</ns0:f>
        <ns0:v>2696.20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237.99</ns0:v>
      </ns0:c>
      <ns0:c r="D28" s="3">
        <ns0:f>ROUND(D228*D348,2)</ns0:f>
        <ns0:v>234.59</ns0:v>
      </ns0:c>
      <ns0:c r="E28" s="3">
        <ns0:f>ROUND(E228*E348,2)</ns0:f>
        <ns0:v>118.58</ns0:v>
      </ns0:c>
      <ns0:c r="F28" s="3">
        <ns0:f>ROUND(F228*F348,2)</ns0:f>
        <ns0:v>282.02</ns0:v>
      </ns0:c>
      <ns0:c r="G28" s="3">
        <ns0:f>ROUND(G228*G348,2)</ns0:f>
        <ns0:v>421.68</ns0:v>
      </ns0:c>
      <ns0:c r="H28" s="3">
        <ns0:f>ROUND(H228*H348,2)</ns0:f>
        <ns0:v>577.46</ns0:v>
      </ns0:c>
      <ns0:c r="I28" s="3">
        <ns0:f>ROUND(I228*I348,2)</ns0:f>
        <ns0:v>318.27</ns0:v>
      </ns0:c>
      <ns0:c r="J28" s="3">
        <ns0:f>ROUND(J228*J348,2)</ns0:f>
        <ns0:v>172.04</ns0:v>
      </ns0:c>
      <ns0:c r="K28" s="3">
        <ns0:f>ROUND(K228*K348,2)</ns0:f>
        <ns0:v>147.18</ns0:v>
      </ns0:c>
      <ns0:c r="L28" s="3">
        <ns0:f>ROUND(L228*L348,2)</ns0:f>
        <ns0:v>275.23</ns0:v>
      </ns0:c>
      <ns0:c r="M28" s="3">
        <ns0:f>ROUND(M228*M348,2)</ns0:f>
        <ns0:v>233.27</ns0:v>
      </ns0:c>
      <ns0:c r="N28" s="3">
        <ns0:f>ROUND(N228*N348,2)</ns0:f>
        <ns0:v>250.54</ns0:v>
      </ns0:c>
      <ns0:c r="O28" s="3">
        <ns0:f>SUM(C28:N28)</ns0:f>
        <ns0:v>3268.85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125.79</ns0:v>
      </ns0:c>
      <ns0:c r="D30" s="6">
        <ns0:f>ROUND(D230*D350,2)</ns0:f>
        <ns0:v>292.56</ns0:v>
      </ns0:c>
      <ns0:c r="E30" s="6">
        <ns0:f>ROUND(E230*E350,2)</ns0:f>
        <ns0:v>53.71</ns0:v>
      </ns0:c>
      <ns0:c r="F30" s="6">
        <ns0:f>ROUND(F230*F350,2)</ns0:f>
        <ns0:v>243.29</ns0:v>
      </ns0:c>
      <ns0:c r="G30" s="6">
        <ns0:f>ROUND(G230*G350,2)</ns0:f>
        <ns0:v>184.39</ns0:v>
      </ns0:c>
      <ns0:c r="H30" s="6">
        <ns0:f>ROUND(H230*H350,2)</ns0:f>
        <ns0:v>363.54</ns0:v>
      </ns0:c>
      <ns0:c r="I30" s="6">
        <ns0:f>ROUND(I230*I350,2)</ns0:f>
        <ns0:v>69.80</ns0:v>
      </ns0:c>
      <ns0:c r="J30" s="6">
        <ns0:f>ROUND(J230*J350,2)</ns0:f>
        <ns0:v>222.01</ns0:v>
      </ns0:c>
      <ns0:c r="K30" s="6">
        <ns0:f>ROUND(K230*K350,2)</ns0:f>
        <ns0:v>183.25</ns0:v>
      </ns0:c>
      <ns0:c r="L30" s="6">
        <ns0:f>ROUND(L230*L350,2)</ns0:f>
        <ns0:v>199.60</ns0:v>
      </ns0:c>
      <ns0:c r="M30" s="6">
        <ns0:f>ROUND(M230*M350,2)</ns0:f>
        <ns0:v>138.40</ns0:v>
      </ns0:c>
      <ns0:c r="N30" s="6">
        <ns0:f>ROUND(N230*N350,2)</ns0:f>
        <ns0:v>207.13</ns0:v>
      </ns0:c>
      <ns0:c r="O30" s="6">
        <ns0:f>SUM(C30:N30)</ns0:f>
        <ns0:v>2283.47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551.03</ns0:v>
      </ns0:c>
      <ns0:c r="D31" s="3">
        <ns0:f>ROUND(D231*D351,2)</ns0:f>
        <ns0:v>136.94</ns0:v>
      </ns0:c>
      <ns0:c r="E31" s="3">
        <ns0:f>ROUND(E231*E351,2)</ns0:f>
        <ns0:v>215.90</ns0:v>
      </ns0:c>
      <ns0:c r="F31" s="3">
        <ns0:f>ROUND(F231*F351,2)</ns0:f>
        <ns0:v>299.48</ns0:v>
      </ns0:c>
      <ns0:c r="G31" s="3">
        <ns0:f>ROUND(G231*G351,2)</ns0:f>
        <ns0:v>160.41</ns0:v>
      </ns0:c>
      <ns0:c r="H31" s="3">
        <ns0:f>ROUND(H231*H351,2)</ns0:f>
        <ns0:v>362.37</ns0:v>
      </ns0:c>
      <ns0:c r="I31" s="3">
        <ns0:f>ROUND(I231*I351,2)</ns0:f>
        <ns0:v>84.25</ns0:v>
      </ns0:c>
      <ns0:c r="J31" s="3">
        <ns0:f>ROUND(J231*J351,2)</ns0:f>
        <ns0:v>176.32</ns0:v>
      </ns0:c>
      <ns0:c r="K31" s="3">
        <ns0:f>ROUND(K231*K351,2)</ns0:f>
        <ns0:v>56.85</ns0:v>
      </ns0:c>
      <ns0:c r="L31" s="3">
        <ns0:f>ROUND(L231*L351,2)</ns0:f>
        <ns0:v>248.20</ns0:v>
      </ns0:c>
      <ns0:c r="M31" s="3">
        <ns0:f>ROUND(M231*M351,2)</ns0:f>
        <ns0:v>271.14</ns0:v>
      </ns0:c>
      <ns0:c r="N31" s="3">
        <ns0:f>ROUND(N231*N351,2)</ns0:f>
        <ns0:v>90.60</ns0:v>
      </ns0:c>
      <ns0:c r="O31" s="3">
        <ns0:f>SUM(C31:N31)</ns0:f>
        <ns0:v>2653.49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316.53</ns0:v>
      </ns0:c>
      <ns0:c r="D32" s="3">
        <ns0:f>ROUND(D232*D352,2)</ns0:f>
        <ns0:v>97.91</ns0:v>
      </ns0:c>
      <ns0:c r="E32" s="3">
        <ns0:f>ROUND(E232*E352,2)</ns0:f>
        <ns0:v>213.02</ns0:v>
      </ns0:c>
      <ns0:c r="F32" s="3">
        <ns0:f>ROUND(F232*F352,2)</ns0:f>
        <ns0:v>124.15</ns0:v>
      </ns0:c>
      <ns0:c r="G32" s="3">
        <ns0:f>ROUND(G232*G352,2)</ns0:f>
        <ns0:v>237.32</ns0:v>
      </ns0:c>
      <ns0:c r="H32" s="3">
        <ns0:f>ROUND(H232*H352,2)</ns0:f>
        <ns0:v>159.83</ns0:v>
      </ns0:c>
      <ns0:c r="I32" s="3">
        <ns0:f>ROUND(I232*I352,2)</ns0:f>
        <ns0:v>471.42</ns0:v>
      </ns0:c>
      <ns0:c r="J32" s="3">
        <ns0:f>ROUND(J232*J352,2)</ns0:f>
        <ns0:v>374.07</ns0:v>
      </ns0:c>
      <ns0:c r="K32" s="3">
        <ns0:f>ROUND(K232*K352,2)</ns0:f>
        <ns0:v>253.70</ns0:v>
      </ns0:c>
      <ns0:c r="L32" s="3">
        <ns0:f>ROUND(L232*L352,2)</ns0:f>
        <ns0:v>201.30</ns0:v>
      </ns0:c>
      <ns0:c r="M32" s="3">
        <ns0:f>ROUND(M232*M352,2)</ns0:f>
        <ns0:v>130.52</ns0:v>
      </ns0:c>
      <ns0:c r="N32" s="3">
        <ns0:f>ROUND(N232*N352,2)</ns0:f>
        <ns0:v>102.19</ns0:v>
      </ns0:c>
      <ns0:c r="O32" s="3">
        <ns0:f>SUM(C32:N32)</ns0:f>
        <ns0:v>2681.96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68.44</ns0:v>
      </ns0:c>
      <ns0:c r="D33" s="3">
        <ns0:f>ROUND(D233*D353,2)</ns0:f>
        <ns0:v>200.73</ns0:v>
      </ns0:c>
      <ns0:c r="E33" s="3">
        <ns0:f>ROUND(E233*E353,2)</ns0:f>
        <ns0:v>115.09</ns0:v>
      </ns0:c>
      <ns0:c r="F33" s="3">
        <ns0:f>ROUND(F233*F353,2)</ns0:f>
        <ns0:v>163.17</ns0:v>
      </ns0:c>
      <ns0:c r="G33" s="3">
        <ns0:f>ROUND(G233*G353,2)</ns0:f>
        <ns0:v>431.30</ns0:v>
      </ns0:c>
      <ns0:c r="H33" s="3">
        <ns0:f>ROUND(H233*H353,2)</ns0:f>
        <ns0:v>188.07</ns0:v>
      </ns0:c>
      <ns0:c r="I33" s="3">
        <ns0:f>ROUND(I233*I353,2)</ns0:f>
        <ns0:v>183.35</ns0:v>
      </ns0:c>
      <ns0:c r="J33" s="3">
        <ns0:f>ROUND(J233*J353,2)</ns0:f>
        <ns0:v>153.72</ns0:v>
      </ns0:c>
      <ns0:c r="K33" s="3">
        <ns0:f>ROUND(K233*K353,2)</ns0:f>
        <ns0:v>221.04</ns0:v>
      </ns0:c>
      <ns0:c r="L33" s="3">
        <ns0:f>ROUND(L233*L353,2)</ns0:f>
        <ns0:v>163.07</ns0:v>
      </ns0:c>
      <ns0:c r="M33" s="3">
        <ns0:f>ROUND(M233*M353,2)</ns0:f>
        <ns0:v>343.91</ns0:v>
      </ns0:c>
      <ns0:c r="N33" s="3">
        <ns0:f>ROUND(N233*N353,2)</ns0:f>
        <ns0:v>376.62</ns0:v>
      </ns0:c>
      <ns0:c r="O33" s="3">
        <ns0:f>SUM(C33:N33)</ns0:f>
        <ns0:v>2608.51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6384.54</ns0:v>
      </ns0:c>
      <ns0:c r="D34" s="3">
        <ns0:f>SUM(D4:D33)</ns0:f>
        <ns0:v>7051.43</ns0:v>
      </ns0:c>
      <ns0:c r="E34" s="3">
        <ns0:f>SUM(E4:E33)</ns0:f>
        <ns0:v>6124.48</ns0:v>
      </ns0:c>
      <ns0:c r="F34" s="3">
        <ns0:f>SUM(F4:F33)</ns0:f>
        <ns0:v>7854.85</ns0:v>
      </ns0:c>
      <ns0:c r="G34" s="3">
        <ns0:f>SUM(G4:G33)</ns0:f>
        <ns0:v>7508.85</ns0:v>
      </ns0:c>
      <ns0:c r="H34" s="3">
        <ns0:f>SUM(H4:H33)</ns0:f>
        <ns0:v>7513.91</ns0:v>
      </ns0:c>
      <ns0:c r="I34" s="3">
        <ns0:f>SUM(I4:I33)</ns0:f>
        <ns0:v>7037.22</ns0:v>
      </ns0:c>
      <ns0:c r="J34" s="3">
        <ns0:f>SUM(J4:J33)</ns0:f>
        <ns0:v>6823.63</ns0:v>
      </ns0:c>
      <ns0:c r="K34" s="3">
        <ns0:f>SUM(K4:K33)</ns0:f>
        <ns0:v>7408.06</ns0:v>
      </ns0:c>
      <ns0:c r="L34" s="3">
        <ns0:f>SUM(L4:L33)</ns0:f>
        <ns0:v>7468.34</ns0:v>
      </ns0:c>
      <ns0:c r="M34" s="3">
        <ns0:f>SUM(M4:M33)</ns0:f>
        <ns0:v>7074.63</ns0:v>
      </ns0:c>
      <ns0:c r="N34" s="3">
        <ns0:f>SUM(N4:N33)</ns0:f>
        <ns0:v>7881.57</ns0:v>
      </ns0:c>
      <ns0:c r="O34" s="3">
        <ns0:f>SUM(C34:N34)</ns0:f>
        <ns0:v>86131.51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59.13</ns0:v>
      </ns0:c>
      <ns0:c r="D204" s="4">
        <ns0:v>27.01</ns0:v>
      </ns0:c>
      <ns0:c r="E204" s="4">
        <ns0:v>67.45</ns0:v>
      </ns0:c>
      <ns0:c r="F204" s="4">
        <ns0:v>66.08</ns0:v>
      </ns0:c>
      <ns0:c r="G204" s="4">
        <ns0:v>63.85</ns0:v>
      </ns0:c>
      <ns0:c r="H204" s="4">
        <ns0:v>35.70</ns0:v>
      </ns0:c>
      <ns0:c r="I204" s="4">
        <ns0:v>35.49</ns0:v>
      </ns0:c>
      <ns0:c r="J204" s="4">
        <ns0:v>34.62</ns0:v>
      </ns0:c>
      <ns0:c r="K204" s="4">
        <ns0:v>63.91</ns0:v>
      </ns0:c>
      <ns0:c r="L204" s="4">
        <ns0:v>33.16</ns0:v>
      </ns0:c>
      <ns0:c r="M204" s="4">
        <ns0:v>26.06</ns0:v>
      </ns0:c>
      <ns0:c r="N204" s="4">
        <ns0:v>61.55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40.01</ns0:v>
      </ns0:c>
      <ns0:c r="D205" s="4">
        <ns0:v>70.95</ns0:v>
      </ns0:c>
      <ns0:c r="E205" s="4">
        <ns0:v>39.66</ns0:v>
      </ns0:c>
      <ns0:c r="F205" s="4">
        <ns0:v>63.16</ns0:v>
      </ns0:c>
      <ns0:c r="G205" s="4">
        <ns0:v>48.64</ns0:v>
      </ns0:c>
      <ns0:c r="H205" s="4">
        <ns0:v>49.01</ns0:v>
      </ns0:c>
      <ns0:c r="I205" s="4">
        <ns0:v>45.88</ns0:v>
      </ns0:c>
      <ns0:c r="J205" s="4">
        <ns0:v>40.36</ns0:v>
      </ns0:c>
      <ns0:c r="K205" s="4">
        <ns0:v>32.02</ns0:v>
      </ns0:c>
      <ns0:c r="L205" s="4">
        <ns0:v>27.22</ns0:v>
      </ns0:c>
      <ns0:c r="M205" s="4">
        <ns0:v>20.30</ns0:v>
      </ns0:c>
      <ns0:c r="N205" s="4">
        <ns0:v>50.18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50.97</ns0:v>
      </ns0:c>
      <ns0:c r="D206" s="4">
        <ns0:v>54.94</ns0:v>
      </ns0:c>
      <ns0:c r="E206" s="4">
        <ns0:v>23.74</ns0:v>
      </ns0:c>
      <ns0:c r="F206" s="4">
        <ns0:v>24.10</ns0:v>
      </ns0:c>
      <ns0:c r="G206" s="4">
        <ns0:v>23.22</ns0:v>
      </ns0:c>
      <ns0:c r="H206" s="4">
        <ns0:v>70.03</ns0:v>
      </ns0:c>
      <ns0:c r="I206" s="4">
        <ns0:v>52.46</ns0:v>
      </ns0:c>
      <ns0:c r="J206" s="4">
        <ns0:v>26.07</ns0:v>
      </ns0:c>
      <ns0:c r="K206" s="4">
        <ns0:v>47.02</ns0:v>
      </ns0:c>
      <ns0:c r="L206" s="4">
        <ns0:v>58.32</ns0:v>
      </ns0:c>
      <ns0:c r="M206" s="4">
        <ns0:v>66.51</ns0:v>
      </ns0:c>
      <ns0:c r="N206" s="4">
        <ns0:v>16.83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34.15</ns0:v>
      </ns0:c>
      <ns0:c r="D207" s="4">
        <ns0:v>22.35</ns0:v>
      </ns0:c>
      <ns0:c r="E207" s="4">
        <ns0:v>42.95</ns0:v>
      </ns0:c>
      <ns0:c r="F207" s="4">
        <ns0:v>37.85</ns0:v>
      </ns0:c>
      <ns0:c r="G207" s="4">
        <ns0:v>29.29</ns0:v>
      </ns0:c>
      <ns0:c r="H207" s="4">
        <ns0:v>35.11</ns0:v>
      </ns0:c>
      <ns0:c r="I207" s="4">
        <ns0:v>48.26</ns0:v>
      </ns0:c>
      <ns0:c r="J207" s="4">
        <ns0:v>59.79</ns0:v>
      </ns0:c>
      <ns0:c r="K207" s="4">
        <ns0:v>68.26</ns0:v>
      </ns0:c>
      <ns0:c r="L207" s="4">
        <ns0:v>62.39</ns0:v>
      </ns0:c>
      <ns0:c r="M207" s="4">
        <ns0:v>37.36</ns0:v>
      </ns0:c>
      <ns0:c r="N207" s="4">
        <ns0:v>42.12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53.80</ns0:v>
      </ns0:c>
      <ns0:c r="D208" s="4">
        <ns0:v>19.06</ns0:v>
      </ns0:c>
      <ns0:c r="E208" s="4">
        <ns0:v>48.77</ns0:v>
      </ns0:c>
      <ns0:c r="F208" s="4">
        <ns0:v>30.33</ns0:v>
      </ns0:c>
      <ns0:c r="G208" s="4">
        <ns0:v>39.92</ns0:v>
      </ns0:c>
      <ns0:c r="H208" s="4">
        <ns0:v>18.05</ns0:v>
      </ns0:c>
      <ns0:c r="I208" s="4">
        <ns0:v>70.65</ns0:v>
      </ns0:c>
      <ns0:c r="J208" s="4">
        <ns0:v>56.88</ns0:v>
      </ns0:c>
      <ns0:c r="K208" s="4">
        <ns0:v>23.65</ns0:v>
      </ns0:c>
      <ns0:c r="L208" s="4">
        <ns0:v>26.50</ns0:v>
      </ns0:c>
      <ns0:c r="M208" s="4">
        <ns0:v>36.62</ns0:v>
      </ns0:c>
      <ns0:c r="N208" s="4">
        <ns0:v>46.85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20.27</ns0:v>
      </ns0:c>
      <ns0:c r="D209" s="4">
        <ns0:v>20.60</ns0:v>
      </ns0:c>
      <ns0:c r="E209" s="4">
        <ns0:v>54.09</ns0:v>
      </ns0:c>
      <ns0:c r="F209" s="4">
        <ns0:v>76.31</ns0:v>
      </ns0:c>
      <ns0:c r="G209" s="4">
        <ns0:v>41.80</ns0:v>
      </ns0:c>
      <ns0:c r="H209" s="4">
        <ns0:v>55.11</ns0:v>
      </ns0:c>
      <ns0:c r="I209" s="4">
        <ns0:v>58.25</ns0:v>
      </ns0:c>
      <ns0:c r="J209" s="4">
        <ns0:v>34.78</ns0:v>
      </ns0:c>
      <ns0:c r="K209" s="4">
        <ns0:v>56.51</ns0:v>
      </ns0:c>
      <ns0:c r="L209" s="4">
        <ns0:v>21.24</ns0:v>
      </ns0:c>
      <ns0:c r="M209" s="4">
        <ns0:v>58.46</ns0:v>
      </ns0:c>
      <ns0:c r="N209" s="4">
        <ns0:v>52.34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40.44</ns0:v>
      </ns0:c>
      <ns0:c r="D210" s="4">
        <ns0:v>40.43</ns0:v>
      </ns0:c>
      <ns0:c r="E210" s="4">
        <ns0:v>30.03</ns0:v>
      </ns0:c>
      <ns0:c r="F210" s="4">
        <ns0:v>25.52</ns0:v>
      </ns0:c>
      <ns0:c r="G210" s="4">
        <ns0:v>46.69</ns0:v>
      </ns0:c>
      <ns0:c r="H210" s="4">
        <ns0:v>61.68</ns0:v>
      </ns0:c>
      <ns0:c r="I210" s="4">
        <ns0:v>33.83</ns0:v>
      </ns0:c>
      <ns0:c r="J210" s="4">
        <ns0:v>35.63</ns0:v>
      </ns0:c>
      <ns0:c r="K210" s="4">
        <ns0:v>56.80</ns0:v>
      </ns0:c>
      <ns0:c r="L210" s="4">
        <ns0:v>44.59</ns0:v>
      </ns0:c>
      <ns0:c r="M210" s="4">
        <ns0:v>57.44</ns0:v>
      </ns0:c>
      <ns0:c r="N210" s="4">
        <ns0:v>66.94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23.63</ns0:v>
      </ns0:c>
      <ns0:c r="D211" s="4">
        <ns0:v>33.63</ns0:v>
      </ns0:c>
      <ns0:c r="E211" s="4">
        <ns0:v>33.64</ns0:v>
      </ns0:c>
      <ns0:c r="F211" s="4">
        <ns0:v>44.93</ns0:v>
      </ns0:c>
      <ns0:c r="G211" s="4">
        <ns0:v>57.23</ns0:v>
      </ns0:c>
      <ns0:c r="H211" s="4">
        <ns0:v>40.49</ns0:v>
      </ns0:c>
      <ns0:c r="I211" s="4">
        <ns0:v>56.08</ns0:v>
      </ns0:c>
      <ns0:c r="J211" s="4">
        <ns0:v>33.40</ns0:v>
      </ns0:c>
      <ns0:c r="K211" s="4">
        <ns0:v>62.28</ns0:v>
      </ns0:c>
      <ns0:c r="L211" s="4">
        <ns0:v>33.09</ns0:v>
      </ns0:c>
      <ns0:c r="M211" s="4">
        <ns0:v>38.58</ns0:v>
      </ns0:c>
      <ns0:c r="N211" s="4">
        <ns0:v>18.83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42.66</ns0:v>
      </ns0:c>
      <ns0:c r="D212" s="4">
        <ns0:v>69.95</ns0:v>
      </ns0:c>
      <ns0:c r="E212" s="4">
        <ns0:v>51.05</ns0:v>
      </ns0:c>
      <ns0:c r="F212" s="4">
        <ns0:v>43.43</ns0:v>
      </ns0:c>
      <ns0:c r="G212" s="4">
        <ns0:v>27.58</ns0:v>
      </ns0:c>
      <ns0:c r="H212" s="4">
        <ns0:v>18.04</ns0:v>
      </ns0:c>
      <ns0:c r="I212" s="4">
        <ns0:v>73.19</ns0:v>
      </ns0:c>
      <ns0:c r="J212" s="4">
        <ns0:v>33.71</ns0:v>
      </ns0:c>
      <ns0:c r="K212" s="4">
        <ns0:v>53.26</ns0:v>
      </ns0:c>
      <ns0:c r="L212" s="4">
        <ns0:v>29.99</ns0:v>
      </ns0:c>
      <ns0:c r="M212" s="4">
        <ns0:v>34.93</ns0:v>
      </ns0:c>
      <ns0:c r="N212" s="4">
        <ns0:v>46.19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52.71</ns0:v>
      </ns0:c>
      <ns0:c r="D213" s="4">
        <ns0:v>62.27</ns0:v>
      </ns0:c>
      <ns0:c r="E213" s="4">
        <ns0:v>20.23</ns0:v>
      </ns0:c>
      <ns0:c r="F213" s="4">
        <ns0:v>31.08</ns0:v>
      </ns0:c>
      <ns0:c r="G213" s="4">
        <ns0:v>53.10</ns0:v>
      </ns0:c>
      <ns0:c r="H213" s="4">
        <ns0:v>45.37</ns0:v>
      </ns0:c>
      <ns0:c r="I213" s="4">
        <ns0:v>30.75</ns0:v>
      </ns0:c>
      <ns0:c r="J213" s="4">
        <ns0:v>63.54</ns0:v>
      </ns0:c>
      <ns0:c r="K213" s="4">
        <ns0:v>45.98</ns0:v>
      </ns0:c>
      <ns0:c r="L213" s="4">
        <ns0:v>49.52</ns0:v>
      </ns0:c>
      <ns0:c r="M213" s="4">
        <ns0:v>64.33</ns0:v>
      </ns0:c>
      <ns0:c r="N213" s="4">
        <ns0:v>42.78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22.98</ns0:v>
      </ns0:c>
      <ns0:c r="D214" s="4">
        <ns0:v>62.61</ns0:v>
      </ns0:c>
      <ns0:c r="E214" s="4">
        <ns0:v>65.46</ns0:v>
      </ns0:c>
      <ns0:c r="F214" s="4">
        <ns0:v>48.46</ns0:v>
      </ns0:c>
      <ns0:c r="G214" s="4">
        <ns0:v>29.57</ns0:v>
      </ns0:c>
      <ns0:c r="H214" s="4">
        <ns0:v>34.61</ns0:v>
      </ns0:c>
      <ns0:c r="I214" s="4">
        <ns0:v>34.64</ns0:v>
      </ns0:c>
      <ns0:c r="J214" s="4">
        <ns0:v>45.09</ns0:v>
      </ns0:c>
      <ns0:c r="K214" s="4">
        <ns0:v>54.71</ns0:v>
      </ns0:c>
      <ns0:c r="L214" s="4">
        <ns0:v>39.76</ns0:v>
      </ns0:c>
      <ns0:c r="M214" s="4">
        <ns0:v>16.77</ns0:v>
      </ns0:c>
      <ns0:c r="N214" s="4">
        <ns0:v>51.37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43.25</ns0:v>
      </ns0:c>
      <ns0:c r="D215" s="4">
        <ns0:v>41.88</ns0:v>
      </ns0:c>
      <ns0:c r="E215" s="4">
        <ns0:v>20.18</ns0:v>
      </ns0:c>
      <ns0:c r="F215" s="4">
        <ns0:v>21.99</ns0:v>
      </ns0:c>
      <ns0:c r="G215" s="4">
        <ns0:v>69.42</ns0:v>
      </ns0:c>
      <ns0:c r="H215" s="4">
        <ns0:v>24.88</ns0:v>
      </ns0:c>
      <ns0:c r="I215" s="4">
        <ns0:v>55.27</ns0:v>
      </ns0:c>
      <ns0:c r="J215" s="4">
        <ns0:v>68.18</ns0:v>
      </ns0:c>
      <ns0:c r="K215" s="4">
        <ns0:v>18.34</ns0:v>
      </ns0:c>
      <ns0:c r="L215" s="4">
        <ns0:v>55.15</ns0:v>
      </ns0:c>
      <ns0:c r="M215" s="4">
        <ns0:v>31.13</ns0:v>
      </ns0:c>
      <ns0:c r="N215" s="4">
        <ns0:v>43.15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39.36</ns0:v>
      </ns0:c>
      <ns0:c r="D216" s="4">
        <ns0:v>51.15</ns0:v>
      </ns0:c>
      <ns0:c r="E216" s="4">
        <ns0:v>72.80</ns0:v>
      </ns0:c>
      <ns0:c r="F216" s="4">
        <ns0:v>19.37</ns0:v>
      </ns0:c>
      <ns0:c r="G216" s="4">
        <ns0:v>16.41</ns0:v>
      </ns0:c>
      <ns0:c r="H216" s="4">
        <ns0:v>42.40</ns0:v>
      </ns0:c>
      <ns0:c r="I216" s="4">
        <ns0:v>50.49</ns0:v>
      </ns0:c>
      <ns0:c r="J216" s="4">
        <ns0:v>63.15</ns0:v>
      </ns0:c>
      <ns0:c r="K216" s="4">
        <ns0:v>17.83</ns0:v>
      </ns0:c>
      <ns0:c r="L216" s="4">
        <ns0:v>28.08</ns0:v>
      </ns0:c>
      <ns0:c r="M216" s="4">
        <ns0:v>21.52</ns0:v>
      </ns0:c>
      <ns0:c r="N216" s="4">
        <ns0:v>16.78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28.17</ns0:v>
      </ns0:c>
      <ns0:c r="D217" s="4">
        <ns0:v>19.44</ns0:v>
      </ns0:c>
      <ns0:c r="E217" s="4">
        <ns0:v>22.25</ns0:v>
      </ns0:c>
      <ns0:c r="F217" s="4">
        <ns0:v>31.24</ns0:v>
      </ns0:c>
      <ns0:c r="G217" s="4">
        <ns0:v>62.31</ns0:v>
      </ns0:c>
      <ns0:c r="H217" s="4">
        <ns0:v>24.76</ns0:v>
      </ns0:c>
      <ns0:c r="I217" s="4">
        <ns0:v>32.95</ns0:v>
      </ns0:c>
      <ns0:c r="J217" s="4">
        <ns0:v>69.57</ns0:v>
      </ns0:c>
      <ns0:c r="K217" s="4">
        <ns0:v>60.89</ns0:v>
      </ns0:c>
      <ns0:c r="L217" s="4">
        <ns0:v>55.59</ns0:v>
      </ns0:c>
      <ns0:c r="M217" s="4">
        <ns0:v>20.97</ns0:v>
      </ns0:c>
      <ns0:c r="N217" s="4">
        <ns0:v>26.71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49.03</ns0:v>
      </ns0:c>
      <ns0:c r="D218" s="4">
        <ns0:v>21.95</ns0:v>
      </ns0:c>
      <ns0:c r="E218" s="4">
        <ns0:v>21.98</ns0:v>
      </ns0:c>
      <ns0:c r="F218" s="4">
        <ns0:v>49.59</ns0:v>
      </ns0:c>
      <ns0:c r="G218" s="4">
        <ns0:v>32.47</ns0:v>
      </ns0:c>
      <ns0:c r="H218" s="4">
        <ns0:v>69.92</ns0:v>
      </ns0:c>
      <ns0:c r="I218" s="4">
        <ns0:v>35.49</ns0:v>
      </ns0:c>
      <ns0:c r="J218" s="4">
        <ns0:v>36.89</ns0:v>
      </ns0:c>
      <ns0:c r="K218" s="4">
        <ns0:v>61.05</ns0:v>
      </ns0:c>
      <ns0:c r="L218" s="4">
        <ns0:v>53.19</ns0:v>
      </ns0:c>
      <ns0:c r="M218" s="4">
        <ns0:v>37.35</ns0:v>
      </ns0:c>
      <ns0:c r="N218" s="4">
        <ns0:v>17.35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32.51</ns0:v>
      </ns0:c>
      <ns0:c r="D219" s="4">
        <ns0:v>60.55</ns0:v>
      </ns0:c>
      <ns0:c r="E219" s="4">
        <ns0:v>60.72</ns0:v>
      </ns0:c>
      <ns0:c r="F219" s="4">
        <ns0:v>39.18</ns0:v>
      </ns0:c>
      <ns0:c r="G219" s="4">
        <ns0:v>42.45</ns0:v>
      </ns0:c>
      <ns0:c r="H219" s="4">
        <ns0:v>60.16</ns0:v>
      </ns0:c>
      <ns0:c r="I219" s="4">
        <ns0:v>36.47</ns0:v>
      </ns0:c>
      <ns0:c r="J219" s="4">
        <ns0:v>46.46</ns0:v>
      </ns0:c>
      <ns0:c r="K219" s="4">
        <ns0:v>54.59</ns0:v>
      </ns0:c>
      <ns0:c r="L219" s="4">
        <ns0:v>40.67</ns0:v>
      </ns0:c>
      <ns0:c r="M219" s="4">
        <ns0:v>55.72</ns0:v>
      </ns0:c>
      <ns0:c r="N219" s="4">
        <ns0:v>42.61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20.17</ns0:v>
      </ns0:c>
      <ns0:c r="D221" s="4">
        <ns0:v>57.84</ns0:v>
      </ns0:c>
      <ns0:c r="E221" s="4">
        <ns0:v>21.11</ns0:v>
      </ns0:c>
      <ns0:c r="F221" s="4">
        <ns0:v>64.71</ns0:v>
      </ns0:c>
      <ns0:c r="G221" s="4">
        <ns0:v>25.35</ns0:v>
      </ns0:c>
      <ns0:c r="H221" s="4">
        <ns0:v>51.68</ns0:v>
      </ns0:c>
      <ns0:c r="I221" s="4">
        <ns0:v>18.41</ns0:v>
      </ns0:c>
      <ns0:c r="J221" s="4">
        <ns0:v>50.24</ns0:v>
      </ns0:c>
      <ns0:c r="K221" s="4">
        <ns0:v>41.69</ns0:v>
      </ns0:c>
      <ns0:c r="L221" s="4">
        <ns0:v>45.52</ns0:v>
      </ns0:c>
      <ns0:c r="M221" s="4">
        <ns0:v>46.19</ns0:v>
      </ns0:c>
      <ns0:c r="N221" s="4">
        <ns0:v>58.92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18.28</ns0:v>
      </ns0:c>
      <ns0:c r="D222" s="4">
        <ns0:v>31.11</ns0:v>
      </ns0:c>
      <ns0:c r="E222" s="4">
        <ns0:v>62.47</ns0:v>
      </ns0:c>
      <ns0:c r="F222" s="4">
        <ns0:v>37.66</ns0:v>
      </ns0:c>
      <ns0:c r="G222" s="4">
        <ns0:v>38.32</ns0:v>
      </ns0:c>
      <ns0:c r="H222" s="4">
        <ns0:v>20.75</ns0:v>
      </ns0:c>
      <ns0:c r="I222" s="4">
        <ns0:v>52.82</ns0:v>
      </ns0:c>
      <ns0:c r="J222" s="4">
        <ns0:v>33.38</ns0:v>
      </ns0:c>
      <ns0:c r="K222" s="4">
        <ns0:v>31.71</ns0:v>
      </ns0:c>
      <ns0:c r="L222" s="4">
        <ns0:v>47.32</ns0:v>
      </ns0:c>
      <ns0:c r="M222" s="4">
        <ns0:v>33.89</ns0:v>
      </ns0:c>
      <ns0:c r="N222" s="4">
        <ns0:v>36.80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66.26</ns0:v>
      </ns0:c>
      <ns0:c r="D223" s="4">
        <ns0:v>56.53</ns0:v>
      </ns0:c>
      <ns0:c r="E223" s="4">
        <ns0:v>16.73</ns0:v>
      </ns0:c>
      <ns0:c r="F223" s="4">
        <ns0:v>21.28</ns0:v>
      </ns0:c>
      <ns0:c r="G223" s="4">
        <ns0:v>36.61</ns0:v>
      </ns0:c>
      <ns0:c r="H223" s="4">
        <ns0:v>42.31</ns0:v>
      </ns0:c>
      <ns0:c r="I223" s="4">
        <ns0:v>46.15</ns0:v>
      </ns0:c>
      <ns0:c r="J223" s="4">
        <ns0:v>36.21</ns0:v>
      </ns0:c>
      <ns0:c r="K223" s="4">
        <ns0:v>49.19</ns0:v>
      </ns0:c>
      <ns0:c r="L223" s="4">
        <ns0:v>62.47</ns0:v>
      </ns0:c>
      <ns0:c r="M223" s="4">
        <ns0:v>33.52</ns0:v>
      </ns0:c>
      <ns0:c r="N223" s="4">
        <ns0:v>68.48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36.78</ns0:v>
      </ns0:c>
      <ns0:c r="D224" s="4">
        <ns0:v>20.28</ns0:v>
      </ns0:c>
      <ns0:c r="E224" s="4">
        <ns0:v>53.80</ns0:v>
      </ns0:c>
      <ns0:c r="F224" s="4">
        <ns0:v>24.61</ns0:v>
      </ns0:c>
      <ns0:c r="G224" s="4">
        <ns0:v>70.30</ns0:v>
      </ns0:c>
      <ns0:c r="H224" s="4">
        <ns0:v>39.10</ns0:v>
      </ns0:c>
      <ns0:c r="I224" s="4">
        <ns0:v>61.58</ns0:v>
      </ns0:c>
      <ns0:c r="J224" s="4">
        <ns0:v>27.57</ns0:v>
      </ns0:c>
      <ns0:c r="K224" s="4">
        <ns0:v>57.56</ns0:v>
      </ns0:c>
      <ns0:c r="L224" s="4">
        <ns0:v>41.58</ns0:v>
      </ns0:c>
      <ns0:c r="M224" s="4">
        <ns0:v>69.42</ns0:v>
      </ns0:c>
      <ns0:c r="N224" s="4">
        <ns0:v>48.58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34.76</ns0:v>
      </ns0:c>
      <ns0:c r="D225" s="4">
        <ns0:v>61.30</ns0:v>
      </ns0:c>
      <ns0:c r="E225" s="4">
        <ns0:v>45.53</ns0:v>
      </ns0:c>
      <ns0:c r="F225" s="4">
        <ns0:v>67.55</ns0:v>
      </ns0:c>
      <ns0:c r="G225" s="4">
        <ns0:v>54.03</ns0:v>
      </ns0:c>
      <ns0:c r="H225" s="4">
        <ns0:v>46.10</ns0:v>
      </ns0:c>
      <ns0:c r="I225" s="4">
        <ns0:v>51.46</ns0:v>
      </ns0:c>
      <ns0:c r="J225" s="4">
        <ns0:v>72.21</ns0:v>
      </ns0:c>
      <ns0:c r="K225" s="4">
        <ns0:v>41.59</ns0:v>
      </ns0:c>
      <ns0:c r="L225" s="4">
        <ns0:v>40.48</ns0:v>
      </ns0:c>
      <ns0:c r="M225" s="4">
        <ns0:v>37.20</ns0:v>
      </ns0:c>
      <ns0:c r="N225" s="4">
        <ns0:v>43.05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32.20</ns0:v>
      </ns0:c>
      <ns0:c r="D226" s="4">
        <ns0:v>43.74</ns0:v>
      </ns0:c>
      <ns0:c r="E226" s="4">
        <ns0:v>61.05</ns0:v>
      </ns0:c>
      <ns0:c r="F226" s="4">
        <ns0:v>56.90</ns0:v>
      </ns0:c>
      <ns0:c r="G226" s="4">
        <ns0:v>48.85</ns0:v>
      </ns0:c>
      <ns0:c r="H226" s="4">
        <ns0:v>71.57</ns0:v>
      </ns0:c>
      <ns0:c r="I226" s="4">
        <ns0:v>25.41</ns0:v>
      </ns0:c>
      <ns0:c r="J226" s="4">
        <ns0:v>23.06</ns0:v>
      </ns0:c>
      <ns0:c r="K226" s="4">
        <ns0:v>41.22</ns0:v>
      </ns0:c>
      <ns0:c r="L226" s="4">
        <ns0:v>40.57</ns0:v>
      </ns0:c>
      <ns0:c r="M226" s="4">
        <ns0:v>50.50</ns0:v>
      </ns0:c>
      <ns0:c r="N226" s="4">
        <ns0:v>40.15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53.88</ns0:v>
      </ns0:c>
      <ns0:c r="D227" s="4">
        <ns0:v>34.61</ns0:v>
      </ns0:c>
      <ns0:c r="E227" s="4">
        <ns0:v>29.06</ns0:v>
      </ns0:c>
      <ns0:c r="F227" s="4">
        <ns0:v>18.19</ns0:v>
      </ns0:c>
      <ns0:c r="G227" s="4">
        <ns0:v>39.13</ns0:v>
      </ns0:c>
      <ns0:c r="H227" s="4">
        <ns0:v>34.17</ns0:v>
      </ns0:c>
      <ns0:c r="I227" s="4">
        <ns0:v>39.52</ns0:v>
      </ns0:c>
      <ns0:c r="J227" s="4">
        <ns0:v>49.27</ns0:v>
      </ns0:c>
      <ns0:c r="K227" s="4">
        <ns0:v>68.78</ns0:v>
      </ns0:c>
      <ns0:c r="L227" s="4">
        <ns0:v>40.92</ns0:v>
      </ns0:c>
      <ns0:c r="M227" s="4">
        <ns0:v>34.40</ns0:v>
      </ns0:c>
      <ns0:c r="N227" s="4">
        <ns0:v>37.80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49.07</ns0:v>
      </ns0:c>
      <ns0:c r="D228" s="4">
        <ns0:v>26.24</ns0:v>
      </ns0:c>
      <ns0:c r="E228" s="4">
        <ns0:v>49.41</ns0:v>
      </ns0:c>
      <ns0:c r="F228" s="4">
        <ns0:v>38.58</ns0:v>
      </ns0:c>
      <ns0:c r="G228" s="4">
        <ns0:v>61.29</ns0:v>
      </ns0:c>
      <ns0:c r="H228" s="4">
        <ns0:v>61.76</ns0:v>
      </ns0:c>
      <ns0:c r="I228" s="4">
        <ns0:v>45.86</ns0:v>
      </ns0:c>
      <ns0:c r="J228" s="4">
        <ns0:v>70.80</ns0:v>
      </ns0:c>
      <ns0:c r="K228" s="4">
        <ns0:v>20.30</ns0:v>
      </ns0:c>
      <ns0:c r="L228" s="4">
        <ns0:v>36.60</ns0:v>
      </ns0:c>
      <ns0:c r="M228" s="4">
        <ns0:v>27.87</ns0:v>
      </ns0:c>
      <ns0:c r="N228" s="4">
        <ns0:v>47.45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18.58</ns0:v>
      </ns0:c>
      <ns0:c r="D230" s="4">
        <ns0:v>41.38</ns0:v>
      </ns0:c>
      <ns0:c r="E230" s="4">
        <ns0:v>20.98</ns0:v>
      </ns0:c>
      <ns0:c r="F230" s="4">
        <ns0:v>68.92</ns0:v>
      </ns0:c>
      <ns0:c r="G230" s="4">
        <ns0:v>37.25</ns0:v>
      </ns0:c>
      <ns0:c r="H230" s="4">
        <ns0:v>58.92</ns0:v>
      </ns0:c>
      <ns0:c r="I230" s="4">
        <ns0:v>25.20</ns0:v>
      </ns0:c>
      <ns0:c r="J230" s="4">
        <ns0:v>47.95</ns0:v>
      </ns0:c>
      <ns0:c r="K230" s="4">
        <ns0:v>23.05</ns0:v>
      </ns0:c>
      <ns0:c r="L230" s="4">
        <ns0:v>25.33</ns0:v>
      </ns0:c>
      <ns0:c r="M230" s="4">
        <ns0:v>48.56</ns0:v>
      </ns0:c>
      <ns0:c r="N230" s="4">
        <ns0:v>33.14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60.42</ns0:v>
      </ns0:c>
      <ns0:c r="D231" s="4">
        <ns0:v>24.63</ns0:v>
      </ns0:c>
      <ns0:c r="E231" s="4">
        <ns0:v>23.57</ns0:v>
      </ns0:c>
      <ns0:c r="F231" s="4">
        <ns0:v>63.72</ns0:v>
      </ns0:c>
      <ns0:c r="G231" s="4">
        <ns0:v>30.38</ns0:v>
      </ns0:c>
      <ns0:c r="H231" s="4">
        <ns0:v>41.99</ns0:v>
      </ns0:c>
      <ns0:c r="I231" s="4">
        <ns0:v>41.30</ns0:v>
      </ns0:c>
      <ns0:c r="J231" s="4">
        <ns0:v>57.81</ns0:v>
      </ns0:c>
      <ns0:c r="K231" s="4">
        <ns0:v>19.47</ns0:v>
      </ns0:c>
      <ns0:c r="L231" s="4">
        <ns0:v>44.64</ns0:v>
      </ns0:c>
      <ns0:c r="M231" s="4">
        <ns0:v>63.35</ns0:v>
      </ns0:c>
      <ns0:c r="N231" s="4">
        <ns0:v>39.05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45.94</ns0:v>
      </ns0:c>
      <ns0:c r="D232" s="4">
        <ns0:v>39.32</ns0:v>
      </ns0:c>
      <ns0:c r="E232" s="4">
        <ns0:v>33.18</ns0:v>
      </ns0:c>
      <ns0:c r="F232" s="4">
        <ns0:v>37.62</ns0:v>
      </ns0:c>
      <ns0:c r="G232" s="4">
        <ns0:v>55.19</ns0:v>
      </ns0:c>
      <ns0:c r="H232" s="4">
        <ns0:v>50.90</ns0:v>
      </ns0:c>
      <ns0:c r="I232" s="4">
        <ns0:v>58.78</ns0:v>
      </ns0:c>
      <ns0:c r="J232" s="4">
        <ns0:v>53.06</ns0:v>
      </ns0:c>
      <ns0:c r="K232" s="4">
        <ns0:v>54.56</ns0:v>
      </ns0:c>
      <ns0:c r="L232" s="4">
        <ns0:v>40.34</ns0:v>
      </ns0:c>
      <ns0:c r="M232" s="4">
        <ns0:v>26.00</ns0:v>
      </ns0:c>
      <ns0:c r="N232" s="4">
        <ns0:v>37.99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25.16</ns0:v>
      </ns0:c>
      <ns0:c r="D233" s="4">
        <ns0:v>43.26</ns0:v>
      </ns0:c>
      <ns0:c r="E233" s="4">
        <ns0:v>23.11</ns0:v>
      </ns0:c>
      <ns0:c r="F233" s="4">
        <ns0:v>51.80</ns0:v>
      </ns0:c>
      <ns0:c r="G233" s="4">
        <ns0:v>52.92</ns0:v>
      </ns0:c>
      <ns0:c r="H233" s="4">
        <ns0:v>43.84</ns0:v>
      </ns0:c>
      <ns0:c r="I233" s="4">
        <ns0:v>26.65</ns0:v>
      </ns0:c>
      <ns0:c r="J233" s="4">
        <ns0:v>37.77</ns0:v>
      </ns0:c>
      <ns0:c r="K233" s="4">
        <ns0:v>41.01</ns0:v>
      </ns0:c>
      <ns0:c r="L233" s="4">
        <ns0:v>58.87</ns0:v>
      </ns0:c>
      <ns0:c r="M233" s="4">
        <ns0:v>41.94</ns0:v>
      </ns0:c>
      <ns0:c r="N233" s="4">
        <ns0:v>64.60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5.89</ns0:v>
      </ns0:c>
      <ns0:c r="D324" s="4">
        <ns0:v>3.97</ns0:v>
      </ns0:c>
      <ns0:c r="E324" s="4">
        <ns0:v>4.42</ns0:v>
      </ns0:c>
      <ns0:c r="F324" s="4">
        <ns0:v>7.66</ns0:v>
      </ns0:c>
      <ns0:c r="G324" s="4">
        <ns0:v>9.15</ns0:v>
      </ns0:c>
      <ns0:c r="H324" s="4">
        <ns0:v>2.73</ns0:v>
      </ns0:c>
      <ns0:c r="I324" s="4">
        <ns0:v>3.48</ns0:v>
      </ns0:c>
      <ns0:c r="J324" s="4">
        <ns0:v>2.41</ns0:v>
      </ns0:c>
      <ns0:c r="K324" s="4">
        <ns0:v>5.46</ns0:v>
      </ns0:c>
      <ns0:c r="L324" s="4">
        <ns0:v>6.81</ns0:v>
      </ns0:c>
      <ns0:c r="M324" s="4">
        <ns0:v>8.25</ns0:v>
      </ns0:c>
      <ns0:c r="N324" s="4">
        <ns0:v>4.76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2.87</ns0:v>
      </ns0:c>
      <ns0:c r="D325" s="4">
        <ns0:v>6.03</ns0:v>
      </ns0:c>
      <ns0:c r="E325" s="4">
        <ns0:v>4.86</ns0:v>
      </ns0:c>
      <ns0:c r="F325" s="4">
        <ns0:v>7.89</ns0:v>
      </ns0:c>
      <ns0:c r="G325" s="4">
        <ns0:v>6.92</ns0:v>
      </ns0:c>
      <ns0:c r="H325" s="4">
        <ns0:v>4.41</ns0:v>
      </ns0:c>
      <ns0:c r="I325" s="4">
        <ns0:v>8.23</ns0:v>
      </ns0:c>
      <ns0:c r="J325" s="4">
        <ns0:v>2.92</ns0:v>
      </ns0:c>
      <ns0:c r="K325" s="4">
        <ns0:v>5.74</ns0:v>
      </ns0:c>
      <ns0:c r="L325" s="4">
        <ns0:v>3.22</ns0:v>
      </ns0:c>
      <ns0:c r="M325" s="4">
        <ns0:v>2.79</ns0:v>
      </ns0:c>
      <ns0:c r="N325" s="4">
        <ns0:v>8.12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8.09</ns0:v>
      </ns0:c>
      <ns0:c r="D326" s="4">
        <ns0:v>8.06</ns0:v>
      </ns0:c>
      <ns0:c r="E326" s="4">
        <ns0:v>6.16</ns0:v>
      </ns0:c>
      <ns0:c r="F326" s="4">
        <ns0:v>6.38</ns0:v>
      </ns0:c>
      <ns0:c r="G326" s="4">
        <ns0:v>5.56</ns0:v>
      </ns0:c>
      <ns0:c r="H326" s="4">
        <ns0:v>6.01</ns0:v>
      </ns0:c>
      <ns0:c r="I326" s="4">
        <ns0:v>2.51</ns0:v>
      </ns0:c>
      <ns0:c r="J326" s="4">
        <ns0:v>4.60</ns0:v>
      </ns0:c>
      <ns0:c r="K326" s="4">
        <ns0:v>8.83</ns0:v>
      </ns0:c>
      <ns0:c r="L326" s="4">
        <ns0:v>5.79</ns0:v>
      </ns0:c>
      <ns0:c r="M326" s="4">
        <ns0:v>2.61</ns0:v>
      </ns0:c>
      <ns0:c r="N326" s="4">
        <ns0:v>5.27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6.97</ns0:v>
      </ns0:c>
      <ns0:c r="D327" s="4">
        <ns0:v>5.03</ns0:v>
      </ns0:c>
      <ns0:c r="E327" s="4">
        <ns0:v>3.13</ns0:v>
      </ns0:c>
      <ns0:c r="F327" s="4">
        <ns0:v>6.45</ns0:v>
      </ns0:c>
      <ns0:c r="G327" s="4">
        <ns0:v>3.08</ns0:v>
      </ns0:c>
      <ns0:c r="H327" s="4">
        <ns0:v>2.48</ns0:v>
      </ns0:c>
      <ns0:c r="I327" s="4">
        <ns0:v>7.16</ns0:v>
      </ns0:c>
      <ns0:c r="J327" s="4">
        <ns0:v>6.27</ns0:v>
      </ns0:c>
      <ns0:c r="K327" s="4">
        <ns0:v>3.38</ns0:v>
      </ns0:c>
      <ns0:c r="L327" s="4">
        <ns0:v>5.90</ns0:v>
      </ns0:c>
      <ns0:c r="M327" s="4">
        <ns0:v>4.42</ns0:v>
      </ns0:c>
      <ns0:c r="N327" s="4">
        <ns0:v>8.23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8.65</ns0:v>
      </ns0:c>
      <ns0:c r="D328" s="4">
        <ns0:v>3.81</ns0:v>
      </ns0:c>
      <ns0:c r="E328" s="4">
        <ns0:v>5.29</ns0:v>
      </ns0:c>
      <ns0:c r="F328" s="4">
        <ns0:v>6.44</ns0:v>
      </ns0:c>
      <ns0:c r="G328" s="4">
        <ns0:v>7.49</ns0:v>
      </ns0:c>
      <ns0:c r="H328" s="4">
        <ns0:v>8.21</ns0:v>
      </ns0:c>
      <ns0:c r="I328" s="4">
        <ns0:v>3.93</ns0:v>
      </ns0:c>
      <ns0:c r="J328" s="4">
        <ns0:v>3.03</ns0:v>
      </ns0:c>
      <ns0:c r="K328" s="4">
        <ns0:v>4.22</ns0:v>
      </ns0:c>
      <ns0:c r="L328" s="4">
        <ns0:v>3.46</ns0:v>
      </ns0:c>
      <ns0:c r="M328" s="4">
        <ns0:v>7.54</ns0:v>
      </ns0:c>
      <ns0:c r="N328" s="4">
        <ns0:v>4.87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4.06</ns0:v>
      </ns0:c>
      <ns0:c r="D329" s="4">
        <ns0:v>7.80</ns0:v>
      </ns0:c>
      <ns0:c r="E329" s="4">
        <ns0:v>6.39</ns0:v>
      </ns0:c>
      <ns0:c r="F329" s="4">
        <ns0:v>6.39</ns0:v>
      </ns0:c>
      <ns0:c r="G329" s="4">
        <ns0:v>5.97</ns0:v>
      </ns0:c>
      <ns0:c r="H329" s="4">
        <ns0:v>3.68</ns0:v>
      </ns0:c>
      <ns0:c r="I329" s="4">
        <ns0:v>2.98</ns0:v>
      </ns0:c>
      <ns0:c r="J329" s="4">
        <ns0:v>2.82</ns0:v>
      </ns0:c>
      <ns0:c r="K329" s="4">
        <ns0:v>8.21</ns0:v>
      </ns0:c>
      <ns0:c r="L329" s="4">
        <ns0:v>9.27</ns0:v>
      </ns0:c>
      <ns0:c r="M329" s="4">
        <ns0:v>6.10</ns0:v>
      </ns0:c>
      <ns0:c r="N329" s="4">
        <ns0:v>5.55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3.19</ns0:v>
      </ns0:c>
      <ns0:c r="D330" s="4">
        <ns0:v>3.24</ns0:v>
      </ns0:c>
      <ns0:c r="E330" s="4">
        <ns0:v>7.98</ns0:v>
      </ns0:c>
      <ns0:c r="F330" s="4">
        <ns0:v>7.24</ns0:v>
      </ns0:c>
      <ns0:c r="G330" s="4">
        <ns0:v>4.10</ns0:v>
      </ns0:c>
      <ns0:c r="H330" s="4">
        <ns0:v>6.94</ns0:v>
      </ns0:c>
      <ns0:c r="I330" s="4">
        <ns0:v>4.47</ns0:v>
      </ns0:c>
      <ns0:c r="J330" s="4">
        <ns0:v>5.75</ns0:v>
      </ns0:c>
      <ns0:c r="K330" s="4">
        <ns0:v>3.17</ns0:v>
      </ns0:c>
      <ns0:c r="L330" s="4">
        <ns0:v>8.53</ns0:v>
      </ns0:c>
      <ns0:c r="M330" s="4">
        <ns0:v>5.80</ns0:v>
      </ns0:c>
      <ns0:c r="N330" s="4">
        <ns0:v>9.19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4.95</ns0:v>
      </ns0:c>
      <ns0:c r="D331" s="4">
        <ns0:v>6.73</ns0:v>
      </ns0:c>
      <ns0:c r="E331" s="4">
        <ns0:v>4.34</ns0:v>
      </ns0:c>
      <ns0:c r="F331" s="4">
        <ns0:v>8.30</ns0:v>
      </ns0:c>
      <ns0:c r="G331" s="4">
        <ns0:v>4.49</ns0:v>
      </ns0:c>
      <ns0:c r="H331" s="4">
        <ns0:v>2.29</ns0:v>
      </ns0:c>
      <ns0:c r="I331" s="4">
        <ns0:v>2.58</ns0:v>
      </ns0:c>
      <ns0:c r="J331" s="4">
        <ns0:v>9.11</ns0:v>
      </ns0:c>
      <ns0:c r="K331" s="4">
        <ns0:v>9.14</ns0:v>
      </ns0:c>
      <ns0:c r="L331" s="4">
        <ns0:v>2.62</ns0:v>
      </ns0:c>
      <ns0:c r="M331" s="4">
        <ns0:v>3.75</ns0:v>
      </ns0:c>
      <ns0:c r="N331" s="4">
        <ns0:v>5.82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2.62</ns0:v>
      </ns0:c>
      <ns0:c r="D332" s="4">
        <ns0:v>3.97</ns0:v>
      </ns0:c>
      <ns0:c r="E332" s="4">
        <ns0:v>4.81</ns0:v>
      </ns0:c>
      <ns0:c r="F332" s="4">
        <ns0:v>2.40</ns0:v>
      </ns0:c>
      <ns0:c r="G332" s="4">
        <ns0:v>7.79</ns0:v>
      </ns0:c>
      <ns0:c r="H332" s="4">
        <ns0:v>3.88</ns0:v>
      </ns0:c>
      <ns0:c r="I332" s="4">
        <ns0:v>2.24</ns0:v>
      </ns0:c>
      <ns0:c r="J332" s="4">
        <ns0:v>8.59</ns0:v>
      </ns0:c>
      <ns0:c r="K332" s="4">
        <ns0:v>6.86</ns0:v>
      </ns0:c>
      <ns0:c r="L332" s="4">
        <ns0:v>9.62</ns0:v>
      </ns0:c>
      <ns0:c r="M332" s="4">
        <ns0:v>8.24</ns0:v>
      </ns0:c>
      <ns0:c r="N332" s="4">
        <ns0:v>6.28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2.54</ns0:v>
      </ns0:c>
      <ns0:c r="D333" s="4">
        <ns0:v>3.35</ns0:v>
      </ns0:c>
      <ns0:c r="E333" s="4">
        <ns0:v>5.26</ns0:v>
      </ns0:c>
      <ns0:c r="F333" s="4">
        <ns0:v>8.95</ns0:v>
      </ns0:c>
      <ns0:c r="G333" s="4">
        <ns0:v>6.79</ns0:v>
      </ns0:c>
      <ns0:c r="H333" s="4">
        <ns0:v>7.05</ns0:v>
      </ns0:c>
      <ns0:c r="I333" s="4">
        <ns0:v>2.12</ns0:v>
      </ns0:c>
      <ns0:c r="J333" s="4">
        <ns0:v>7.14</ns0:v>
      </ns0:c>
      <ns0:c r="K333" s="4">
        <ns0:v>4.13</ns0:v>
      </ns0:c>
      <ns0:c r="L333" s="4">
        <ns0:v>8.07</ns0:v>
      </ns0:c>
      <ns0:c r="M333" s="4">
        <ns0:v>8.43</ns0:v>
      </ns0:c>
      <ns0:c r="N333" s="4">
        <ns0:v>6.38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5.55</ns0:v>
      </ns0:c>
      <ns0:c r="D334" s="4">
        <ns0:v>6.90</ns0:v>
      </ns0:c>
      <ns0:c r="E334" s="4">
        <ns0:v>2.89</ns0:v>
      </ns0:c>
      <ns0:c r="F334" s="4">
        <ns0:v>6.45</ns0:v>
      </ns0:c>
      <ns0:c r="G334" s="4">
        <ns0:v>6.99</ns0:v>
      </ns0:c>
      <ns0:c r="H334" s="4">
        <ns0:v>7.53</ns0:v>
      </ns0:c>
      <ns0:c r="I334" s="4">
        <ns0:v>7.21</ns0:v>
      </ns0:c>
      <ns0:c r="J334" s="4">
        <ns0:v>5.29</ns0:v>
      </ns0:c>
      <ns0:c r="K334" s="4">
        <ns0:v>4.60</ns0:v>
      </ns0:c>
      <ns0:c r="L334" s="4">
        <ns0:v>7.07</ns0:v>
      </ns0:c>
      <ns0:c r="M334" s="4">
        <ns0:v>8.82</ns0:v>
      </ns0:c>
      <ns0:c r="N334" s="4">
        <ns0:v>6.28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4.02</ns0:v>
      </ns0:c>
      <ns0:c r="D335" s="4">
        <ns0:v>7.56</ns0:v>
      </ns0:c>
      <ns0:c r="E335" s="4">
        <ns0:v>3.27</ns0:v>
      </ns0:c>
      <ns0:c r="F335" s="4">
        <ns0:v>7.90</ns0:v>
      </ns0:c>
      <ns0:c r="G335" s="4">
        <ns0:v>2.75</ns0:v>
      </ns0:c>
      <ns0:c r="H335" s="4">
        <ns0:v>3.19</ns0:v>
      </ns0:c>
      <ns0:c r="I335" s="4">
        <ns0:v>7.16</ns0:v>
      </ns0:c>
      <ns0:c r="J335" s="4">
        <ns0:v>5.01</ns0:v>
      </ns0:c>
      <ns0:c r="K335" s="4">
        <ns0:v>5.40</ns0:v>
      </ns0:c>
      <ns0:c r="L335" s="4">
        <ns0:v>5.95</ns0:v>
      </ns0:c>
      <ns0:c r="M335" s="4">
        <ns0:v>6.43</ns0:v>
      </ns0:c>
      <ns0:c r="N335" s="4">
        <ns0:v>6.74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3.03</ns0:v>
      </ns0:c>
      <ns0:c r="D336" s="4">
        <ns0:v>5.98</ns0:v>
      </ns0:c>
      <ns0:c r="E336" s="4">
        <ns0:v>2.99</ns0:v>
      </ns0:c>
      <ns0:c r="F336" s="4">
        <ns0:v>5.30</ns0:v>
      </ns0:c>
      <ns0:c r="G336" s="4">
        <ns0:v>8.53</ns0:v>
      </ns0:c>
      <ns0:c r="H336" s="4">
        <ns0:v>6.64</ns0:v>
      </ns0:c>
      <ns0:c r="I336" s="4">
        <ns0:v>6.02</ns0:v>
      </ns0:c>
      <ns0:c r="J336" s="4">
        <ns0:v>2.44</ns0:v>
      </ns0:c>
      <ns0:c r="K336" s="4">
        <ns0:v>3.77</ns0:v>
      </ns0:c>
      <ns0:c r="L336" s="4">
        <ns0:v>3.34</ns0:v>
      </ns0:c>
      <ns0:c r="M336" s="4">
        <ns0:v>6.58</ns0:v>
      </ns0:c>
      <ns0:c r="N336" s="4">
        <ns0:v>6.84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5.65</ns0:v>
      </ns0:c>
      <ns0:c r="D337" s="4">
        <ns0:v>2.57</ns0:v>
      </ns0:c>
      <ns0:c r="E337" s="4">
        <ns0:v>5.49</ns0:v>
      </ns0:c>
      <ns0:c r="F337" s="4">
        <ns0:v>6.68</ns0:v>
      </ns0:c>
      <ns0:c r="G337" s="4">
        <ns0:v>8.12</ns0:v>
      </ns0:c>
      <ns0:c r="H337" s="4">
        <ns0:v>6.14</ns0:v>
      </ns0:c>
      <ns0:c r="I337" s="4">
        <ns0:v>3.11</ns0:v>
      </ns0:c>
      <ns0:c r="J337" s="4">
        <ns0:v>6.49</ns0:v>
      </ns0:c>
      <ns0:c r="K337" s="4">
        <ns0:v>5.43</ns0:v>
      </ns0:c>
      <ns0:c r="L337" s="4">
        <ns0:v>5.59</ns0:v>
      </ns0:c>
      <ns0:c r="M337" s="4">
        <ns0:v>6.91</ns0:v>
      </ns0:c>
      <ns0:c r="N337" s="4">
        <ns0:v>3.63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6.92</ns0:v>
      </ns0:c>
      <ns0:c r="D338" s="4">
        <ns0:v>5.39</ns0:v>
      </ns0:c>
      <ns0:c r="E338" s="4">
        <ns0:v>6.85</ns0:v>
      </ns0:c>
      <ns0:c r="F338" s="4">
        <ns0:v>3.03</ns0:v>
      </ns0:c>
      <ns0:c r="G338" s="4">
        <ns0:v>6.16</ns0:v>
      </ns0:c>
      <ns0:c r="H338" s="4">
        <ns0:v>9.24</ns0:v>
      </ns0:c>
      <ns0:c r="I338" s="4">
        <ns0:v>8.69</ns0:v>
      </ns0:c>
      <ns0:c r="J338" s="4">
        <ns0:v>3.41</ns0:v>
      </ns0:c>
      <ns0:c r="K338" s="4">
        <ns0:v>3.10</ns0:v>
      </ns0:c>
      <ns0:c r="L338" s="4">
        <ns0:v>7.87</ns0:v>
      </ns0:c>
      <ns0:c r="M338" s="4">
        <ns0:v>8.03</ns0:v>
      </ns0:c>
      <ns0:c r="N338" s="4">
        <ns0:v>3.77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6.19</ns0:v>
      </ns0:c>
      <ns0:c r="D339" s="4">
        <ns0:v>5.66</ns0:v>
      </ns0:c>
      <ns0:c r="E339" s="4">
        <ns0:v>3.30</ns0:v>
      </ns0:c>
      <ns0:c r="F339" s="4">
        <ns0:v>5.10</ns0:v>
      </ns0:c>
      <ns0:c r="G339" s="4">
        <ns0:v>2.22</ns0:v>
      </ns0:c>
      <ns0:c r="H339" s="4">
        <ns0:v>5.13</ns0:v>
      </ns0:c>
      <ns0:c r="I339" s="4">
        <ns0:v>7.46</ns0:v>
      </ns0:c>
      <ns0:c r="J339" s="4">
        <ns0:v>4.02</ns0:v>
      </ns0:c>
      <ns0:c r="K339" s="4">
        <ns0:v>6.73</ns0:v>
      </ns0:c>
      <ns0:c r="L339" s="4">
        <ns0:v>5.90</ns0:v>
      </ns0:c>
      <ns0:c r="M339" s="4">
        <ns0:v>8.54</ns0:v>
      </ns0:c>
      <ns0:c r="N339" s="4">
        <ns0:v>5.89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8.09</ns0:v>
      </ns0:c>
      <ns0:c r="D341" s="4">
        <ns0:v>7.22</ns0:v>
      </ns0:c>
      <ns0:c r="E341" s="4">
        <ns0:v>6.24</ns0:v>
      </ns0:c>
      <ns0:c r="F341" s="4">
        <ns0:v>8.60</ns0:v>
      </ns0:c>
      <ns0:c r="G341" s="4">
        <ns0:v>2.74</ns0:v>
      </ns0:c>
      <ns0:c r="H341" s="4">
        <ns0:v>5.90</ns0:v>
      </ns0:c>
      <ns0:c r="I341" s="4">
        <ns0:v>1.96</ns0:v>
      </ns0:c>
      <ns0:c r="J341" s="4">
        <ns0:v>4.51</ns0:v>
      </ns0:c>
      <ns0:c r="K341" s="4">
        <ns0:v>2.64</ns0:v>
      </ns0:c>
      <ns0:c r="L341" s="4">
        <ns0:v>8.72</ns0:v>
      </ns0:c>
      <ns0:c r="M341" s="4">
        <ns0:v>2.73</ns0:v>
      </ns0:c>
      <ns0:c r="N341" s="4">
        <ns0:v>4.89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2.14</ns0:v>
      </ns0:c>
      <ns0:c r="D342" s="4">
        <ns0:v>2.68</ns0:v>
      </ns0:c>
      <ns0:c r="E342" s="4">
        <ns0:v>5.01</ns0:v>
      </ns0:c>
      <ns0:c r="F342" s="4">
        <ns0:v>7.16</ns0:v>
      </ns0:c>
      <ns0:c r="G342" s="4">
        <ns0:v>4.16</ns0:v>
      </ns0:c>
      <ns0:c r="H342" s="4">
        <ns0:v>6.12</ns0:v>
      </ns0:c>
      <ns0:c r="I342" s="4">
        <ns0:v>3.85</ns0:v>
      </ns0:c>
      <ns0:c r="J342" s="4">
        <ns0:v>7.79</ns0:v>
      </ns0:c>
      <ns0:c r="K342" s="4">
        <ns0:v>4.14</ns0:v>
      </ns0:c>
      <ns0:c r="L342" s="4">
        <ns0:v>3.35</ns0:v>
      </ns0:c>
      <ns0:c r="M342" s="4">
        <ns0:v>3.85</ns0:v>
      </ns0:c>
      <ns0:c r="N342" s="4">
        <ns0:v>4.80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3.41</ns0:v>
      </ns0:c>
      <ns0:c r="D343" s="4">
        <ns0:v>5.72</ns0:v>
      </ns0:c>
      <ns0:c r="E343" s="4">
        <ns0:v>3.78</ns0:v>
      </ns0:c>
      <ns0:c r="F343" s="4">
        <ns0:v>3.12</ns0:v>
      </ns0:c>
      <ns0:c r="G343" s="4">
        <ns0:v>4.37</ns0:v>
      </ns0:c>
      <ns0:c r="H343" s="4">
        <ns0:v>3.38</ns0:v>
      </ns0:c>
      <ns0:c r="I343" s="4">
        <ns0:v>5.10</ns0:v>
      </ns0:c>
      <ns0:c r="J343" s="4">
        <ns0:v>3.74</ns0:v>
      </ns0:c>
      <ns0:c r="K343" s="4">
        <ns0:v>3.55</ns0:v>
      </ns0:c>
      <ns0:c r="L343" s="4">
        <ns0:v>2.97</ns0:v>
      </ns0:c>
      <ns0:c r="M343" s="4">
        <ns0:v>9.33</ns0:v>
      </ns0:c>
      <ns0:c r="N343" s="4">
        <ns0:v>7.71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5.46</ns0:v>
      </ns0:c>
      <ns0:c r="D344" s="4">
        <ns0:v>4.93</ns0:v>
      </ns0:c>
      <ns0:c r="E344" s="4">
        <ns0:v>7.39</ns0:v>
      </ns0:c>
      <ns0:c r="F344" s="4">
        <ns0:v>4.82</ns0:v>
      </ns0:c>
      <ns0:c r="G344" s="4">
        <ns0:v>8.31</ns0:v>
      </ns0:c>
      <ns0:c r="H344" s="4">
        <ns0:v>4.70</ns0:v>
      </ns0:c>
      <ns0:c r="I344" s="4">
        <ns0:v>8.04</ns0:v>
      </ns0:c>
      <ns0:c r="J344" s="4">
        <ns0:v>3.41</ns0:v>
      </ns0:c>
      <ns0:c r="K344" s="4">
        <ns0:v>2.39</ns0:v>
      </ns0:c>
      <ns0:c r="L344" s="4">
        <ns0:v>5.10</ns0:v>
      </ns0:c>
      <ns0:c r="M344" s="4">
        <ns0:v>4.15</ns0:v>
      </ns0:c>
      <ns0:c r="N344" s="4">
        <ns0:v>9.02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7.72</ns0:v>
      </ns0:c>
      <ns0:c r="D345" s="4">
        <ns0:v>7.42</ns0:v>
      </ns0:c>
      <ns0:c r="E345" s="4">
        <ns0:v>4.50</ns0:v>
      </ns0:c>
      <ns0:c r="F345" s="4">
        <ns0:v>5.25</ns0:v>
      </ns0:c>
      <ns0:c r="G345" s="4">
        <ns0:v>2.75</ns0:v>
      </ns0:c>
      <ns0:c r="H345" s="4">
        <ns0:v>4.02</ns0:v>
      </ns0:c>
      <ns0:c r="I345" s="4">
        <ns0:v>7.60</ns0:v>
      </ns0:c>
      <ns0:c r="J345" s="4">
        <ns0:v>3.23</ns0:v>
      </ns0:c>
      <ns0:c r="K345" s="4">
        <ns0:v>5.80</ns0:v>
      </ns0:c>
      <ns0:c r="L345" s="4">
        <ns0:v>4.47</ns0:v>
      </ns0:c>
      <ns0:c r="M345" s="4">
        <ns0:v>2.37</ns0:v>
      </ns0:c>
      <ns0:c r="N345" s="4">
        <ns0:v>6.51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4.58</ns0:v>
      </ns0:c>
      <ns0:c r="D346" s="4">
        <ns0:v>3.83</ns0:v>
      </ns0:c>
      <ns0:c r="E346" s="4">
        <ns0:v>6.63</ns0:v>
      </ns0:c>
      <ns0:c r="F346" s="4">
        <ns0:v>8.94</ns0:v>
      </ns0:c>
      <ns0:c r="G346" s="4">
        <ns0:v>3.32</ns0:v>
      </ns0:c>
      <ns0:c r="H346" s="4">
        <ns0:v>2.84</ns0:v>
      </ns0:c>
      <ns0:c r="I346" s="4">
        <ns0:v>8.18</ns0:v>
      </ns0:c>
      <ns0:c r="J346" s="4">
        <ns0:v>8.73</ns0:v>
      </ns0:c>
      <ns0:c r="K346" s="4">
        <ns0:v>3.85</ns0:v>
      </ns0:c>
      <ns0:c r="L346" s="4">
        <ns0:v>5.12</ns0:v>
      </ns0:c>
      <ns0:c r="M346" s="4">
        <ns0:v>4.47</ns0:v>
      </ns0:c>
      <ns0:c r="N346" s="4">
        <ns0:v>6.10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2.71</ns0:v>
      </ns0:c>
      <ns0:c r="D347" s="4">
        <ns0:v>5.45</ns0:v>
      </ns0:c>
      <ns0:c r="E347" s="4">
        <ns0:v>7.35</ns0:v>
      </ns0:c>
      <ns0:c r="F347" s="4">
        <ns0:v>4.09</ns0:v>
      </ns0:c>
      <ns0:c r="G347" s="4">
        <ns0:v>3.04</ns0:v>
      </ns0:c>
      <ns0:c r="H347" s="4">
        <ns0:v>8.29</ns0:v>
      </ns0:c>
      <ns0:c r="I347" s="4">
        <ns0:v>3.38</ns0:v>
      </ns0:c>
      <ns0:c r="J347" s="4">
        <ns0:v>4.81</ns0:v>
      </ns0:c>
      <ns0:c r="K347" s="4">
        <ns0:v>9.01</ns0:v>
      </ns0:c>
      <ns0:c r="L347" s="4">
        <ns0:v>6.92</ns0:v>
      </ns0:c>
      <ns0:c r="M347" s="4">
        <ns0:v>5.93</ns0:v>
      </ns0:c>
      <ns0:c r="N347" s="4">
        <ns0:v>5.13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4.85</ns0:v>
      </ns0:c>
      <ns0:c r="D348" s="4">
        <ns0:v>8.94</ns0:v>
      </ns0:c>
      <ns0:c r="E348" s="4">
        <ns0:v>2.40</ns0:v>
      </ns0:c>
      <ns0:c r="F348" s="4">
        <ns0:v>7.31</ns0:v>
      </ns0:c>
      <ns0:c r="G348" s="4">
        <ns0:v>6.88</ns0:v>
      </ns0:c>
      <ns0:c r="H348" s="4">
        <ns0:v>9.35</ns0:v>
      </ns0:c>
      <ns0:c r="I348" s="4">
        <ns0:v>6.94</ns0:v>
      </ns0:c>
      <ns0:c r="J348" s="4">
        <ns0:v>2.43</ns0:v>
      </ns0:c>
      <ns0:c r="K348" s="4">
        <ns0:v>7.25</ns0:v>
      </ns0:c>
      <ns0:c r="L348" s="4">
        <ns0:v>7.52</ns0:v>
      </ns0:c>
      <ns0:c r="M348" s="4">
        <ns0:v>8.37</ns0:v>
      </ns0:c>
      <ns0:c r="N348" s="4">
        <ns0:v>5.28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6.77</ns0:v>
      </ns0:c>
      <ns0:c r="D350" s="4">
        <ns0:v>7.07</ns0:v>
      </ns0:c>
      <ns0:c r="E350" s="4">
        <ns0:v>2.56</ns0:v>
      </ns0:c>
      <ns0:c r="F350" s="4">
        <ns0:v>3.53</ns0:v>
      </ns0:c>
      <ns0:c r="G350" s="4">
        <ns0:v>4.95</ns0:v>
      </ns0:c>
      <ns0:c r="H350" s="4">
        <ns0:v>6.17</ns0:v>
      </ns0:c>
      <ns0:c r="I350" s="4">
        <ns0:v>2.77</ns0:v>
      </ns0:c>
      <ns0:c r="J350" s="4">
        <ns0:v>4.63</ns0:v>
      </ns0:c>
      <ns0:c r="K350" s="4">
        <ns0:v>7.95</ns0:v>
      </ns0:c>
      <ns0:c r="L350" s="4">
        <ns0:v>7.88</ns0:v>
      </ns0:c>
      <ns0:c r="M350" s="4">
        <ns0:v>2.85</ns0:v>
      </ns0:c>
      <ns0:c r="N350" s="4">
        <ns0:v>6.25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9.12</ns0:v>
      </ns0:c>
      <ns0:c r="D351" s="4">
        <ns0:v>5.56</ns0:v>
      </ns0:c>
      <ns0:c r="E351" s="4">
        <ns0:v>9.16</ns0:v>
      </ns0:c>
      <ns0:c r="F351" s="4">
        <ns0:v>4.70</ns0:v>
      </ns0:c>
      <ns0:c r="G351" s="4">
        <ns0:v>5.28</ns0:v>
      </ns0:c>
      <ns0:c r="H351" s="4">
        <ns0:v>8.63</ns0:v>
      </ns0:c>
      <ns0:c r="I351" s="4">
        <ns0:v>2.04</ns0:v>
      </ns0:c>
      <ns0:c r="J351" s="4">
        <ns0:v>3.05</ns0:v>
      </ns0:c>
      <ns0:c r="K351" s="4">
        <ns0:v>2.92</ns0:v>
      </ns0:c>
      <ns0:c r="L351" s="4">
        <ns0:v>5.56</ns0:v>
      </ns0:c>
      <ns0:c r="M351" s="4">
        <ns0:v>4.28</ns0:v>
      </ns0:c>
      <ns0:c r="N351" s="4">
        <ns0:v>2.32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6.89</ns0:v>
      </ns0:c>
      <ns0:c r="D352" s="4">
        <ns0:v>2.49</ns0:v>
      </ns0:c>
      <ns0:c r="E352" s="4">
        <ns0:v>6.42</ns0:v>
      </ns0:c>
      <ns0:c r="F352" s="4">
        <ns0:v>3.30</ns0:v>
      </ns0:c>
      <ns0:c r="G352" s="4">
        <ns0:v>4.30</ns0:v>
      </ns0:c>
      <ns0:c r="H352" s="4">
        <ns0:v>3.14</ns0:v>
      </ns0:c>
      <ns0:c r="I352" s="4">
        <ns0:v>8.02</ns0:v>
      </ns0:c>
      <ns0:c r="J352" s="4">
        <ns0:v>7.05</ns0:v>
      </ns0:c>
      <ns0:c r="K352" s="4">
        <ns0:v>4.65</ns0:v>
      </ns0:c>
      <ns0:c r="L352" s="4">
        <ns0:v>4.99</ns0:v>
      </ns0:c>
      <ns0:c r="M352" s="4">
        <ns0:v>5.02</ns0:v>
      </ns0:c>
      <ns0:c r="N352" s="4">
        <ns0:v>2.69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2.72</ns0:v>
      </ns0:c>
      <ns0:c r="D353" s="4">
        <ns0:v>4.64</ns0:v>
      </ns0:c>
      <ns0:c r="E353" s="4">
        <ns0:v>4.98</ns0:v>
      </ns0:c>
      <ns0:c r="F353" s="4">
        <ns0:v>3.15</ns0:v>
      </ns0:c>
      <ns0:c r="G353" s="4">
        <ns0:v>8.15</ns0:v>
      </ns0:c>
      <ns0:c r="H353" s="4">
        <ns0:v>4.29</ns0:v>
      </ns0:c>
      <ns0:c r="I353" s="4">
        <ns0:v>6.88</ns0:v>
      </ns0:c>
      <ns0:c r="J353" s="4">
        <ns0:v>4.07</ns0:v>
      </ns0:c>
      <ns0:c r="K353" s="4">
        <ns0:v>5.39</ns0:v>
      </ns0:c>
      <ns0:c r="L353" s="4">
        <ns0:v>2.77</ns0:v>
      </ns0:c>
      <ns0:c r="M353" s="4">
        <ns0:v>8.20</ns0:v>
      </ns0:c>
      <ns0:c r="N353" s="4">
        <ns0:v>5.83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367.45</ns0:v>
      </ns0:c>
      <ns0:c r="D4" s="3">
        <ns0:f>ROUND(D204*D324,2)</ns0:f>
        <ns0:v>181.90</ns0:v>
      </ns0:c>
      <ns0:c r="E4" s="3">
        <ns0:f>ROUND(E204*E324,2)</ns0:f>
        <ns0:v>299.33</ns0:v>
      </ns0:c>
      <ns0:c r="F4" s="3">
        <ns0:f>ROUND(F204*F324,2)</ns0:f>
        <ns0:v>198.16</ns0:v>
      </ns0:c>
      <ns0:c r="G4" s="3">
        <ns0:f>ROUND(G204*G324,2)</ns0:f>
        <ns0:v>126.95</ns0:v>
      </ns0:c>
      <ns0:c r="H4" s="3">
        <ns0:f>ROUND(H204*H324,2)</ns0:f>
        <ns0:v>359.23</ns0:v>
      </ns0:c>
      <ns0:c r="I4" s="3">
        <ns0:f>ROUND(I204*I324,2)</ns0:f>
        <ns0:v>352.04</ns0:v>
      </ns0:c>
      <ns0:c r="J4" s="3">
        <ns0:f>ROUND(J204*J324,2)</ns0:f>
        <ns0:v>117.06</ns0:v>
      </ns0:c>
      <ns0:c r="K4" s="3">
        <ns0:f>ROUND(K204*K324,2)</ns0:f>
        <ns0:v>143.33</ns0:v>
      </ns0:c>
      <ns0:c r="L4" s="3">
        <ns0:f>ROUND(L204*L324,2)</ns0:f>
        <ns0:v>290.51</ns0:v>
      </ns0:c>
      <ns0:c r="M4" s="3">
        <ns0:f>ROUND(M204*M324,2)</ns0:f>
        <ns0:v>283.05</ns0:v>
      </ns0:c>
      <ns0:c r="N4" s="3">
        <ns0:f>ROUND(N204*N324,2)</ns0:f>
        <ns0:v>609.87</ns0:v>
      </ns0:c>
      <ns0:c r="O4" s="3">
        <ns0:f>SUM(C4:N4)</ns0:f>
        <ns0:v>3328.88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250.83</ns0:v>
      </ns0:c>
      <ns0:c r="D5" s="3">
        <ns0:f>ROUND(D205*D325,2)</ns0:f>
        <ns0:v>133.58</ns0:v>
      </ns0:c>
      <ns0:c r="E5" s="3">
        <ns0:f>ROUND(E205*E325,2)</ns0:f>
        <ns0:v>156.65</ns0:v>
      </ns0:c>
      <ns0:c r="F5" s="3">
        <ns0:f>ROUND(F205*F325,2)</ns0:f>
        <ns0:v>336.08</ns0:v>
      </ns0:c>
      <ns0:c r="G5" s="3">
        <ns0:f>ROUND(G205*G325,2)</ns0:f>
        <ns0:v>360.93</ns0:v>
      </ns0:c>
      <ns0:c r="H5" s="3">
        <ns0:f>ROUND(H205*H325,2)</ns0:f>
        <ns0:v>322.45</ns0:v>
      </ns0:c>
      <ns0:c r="I5" s="3">
        <ns0:f>ROUND(I205*I325,2)</ns0:f>
        <ns0:v>355.86</ns0:v>
      </ns0:c>
      <ns0:c r="J5" s="3">
        <ns0:f>ROUND(J205*J325,2)</ns0:f>
        <ns0:v>243.74</ns0:v>
      </ns0:c>
      <ns0:c r="K5" s="3">
        <ns0:f>ROUND(K205*K325,2)</ns0:f>
        <ns0:v>177.23</ns0:v>
      </ns0:c>
      <ns0:c r="L5" s="3">
        <ns0:f>ROUND(L205*L325,2)</ns0:f>
        <ns0:v>174.12</ns0:v>
      </ns0:c>
      <ns0:c r="M5" s="3">
        <ns0:f>ROUND(M205*M325,2)</ns0:f>
        <ns0:v>141.42</ns0:v>
      </ns0:c>
      <ns0:c r="N5" s="3">
        <ns0:f>ROUND(N205*N325,2)</ns0:f>
        <ns0:v>91.77</ns0:v>
      </ns0:c>
      <ns0:c r="O5" s="3">
        <ns0:f>SUM(C5:N5)</ns0:f>
        <ns0:v>2744.66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139.65</ns0:v>
      </ns0:c>
      <ns0:c r="D6" s="3">
        <ns0:f>ROUND(D206*D326,2)</ns0:f>
        <ns0:v>364.60</ns0:v>
      </ns0:c>
      <ns0:c r="E6" s="3">
        <ns0:f>ROUND(E206*E326,2)</ns0:f>
        <ns0:v>256.03</ns0:v>
      </ns0:c>
      <ns0:c r="F6" s="3">
        <ns0:f>ROUND(F206*F326,2)</ns0:f>
        <ns0:v>216.76</ns0:v>
      </ns0:c>
      <ns0:c r="G6" s="3">
        <ns0:f>ROUND(G206*G326,2)</ns0:f>
        <ns0:v>318.70</ns0:v>
      </ns0:c>
      <ns0:c r="H6" s="3">
        <ns0:f>ROUND(H206*H326,2)</ns0:f>
        <ns0:v>98.51</ns0:v>
      </ns0:c>
      <ns0:c r="I6" s="3">
        <ns0:f>ROUND(I206*I326,2)</ns0:f>
        <ns0:v>83.70</ns0:v>
      </ns0:c>
      <ns0:c r="J6" s="3">
        <ns0:f>ROUND(J206*J326,2)</ns0:f>
        <ns0:v>144.43</ns0:v>
      </ns0:c>
      <ns0:c r="K6" s="3">
        <ns0:f>ROUND(K206*K326,2)</ns0:f>
        <ns0:v>449.76</ns0:v>
      </ns0:c>
      <ns0:c r="L6" s="3">
        <ns0:f>ROUND(L206*L326,2)</ns0:f>
        <ns0:v>105.43</ns0:v>
      </ns0:c>
      <ns0:c r="M6" s="3">
        <ns0:f>ROUND(M206*M326,2)</ns0:f>
        <ns0:v>221.68</ns0:v>
      </ns0:c>
      <ns0:c r="N6" s="3">
        <ns0:f>ROUND(N206*N326,2)</ns0:f>
        <ns0:v>293.96</ns0:v>
      </ns0:c>
      <ns0:c r="O6" s="3">
        <ns0:f>SUM(C6:N6)</ns0:f>
        <ns0:v>2693.21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175.39</ns0:v>
      </ns0:c>
      <ns0:c r="D7" s="3">
        <ns0:f>ROUND(D207*D327,2)</ns0:f>
        <ns0:v>182.00</ns0:v>
      </ns0:c>
      <ns0:c r="E7" s="3">
        <ns0:f>ROUND(E207*E327,2)</ns0:f>
        <ns0:v>188.89</ns0:v>
      </ns0:c>
      <ns0:c r="F7" s="3">
        <ns0:f>ROUND(F207*F327,2)</ns0:f>
        <ns0:v>89.43</ns0:v>
      </ns0:c>
      <ns0:c r="G7" s="3">
        <ns0:f>ROUND(G207*G327,2)</ns0:f>
        <ns0:v>114.26</ns0:v>
      </ns0:c>
      <ns0:c r="H7" s="3">
        <ns0:f>ROUND(H207*H327,2)</ns0:f>
        <ns0:v>439.83</ns0:v>
      </ns0:c>
      <ns0:c r="I7" s="3">
        <ns0:f>ROUND(I207*I327,2)</ns0:f>
        <ns0:v>73.14</ns0:v>
      </ns0:c>
      <ns0:c r="J7" s="3">
        <ns0:f>ROUND(J207*J327,2)</ns0:f>
        <ns0:v>80.24</ns0:v>
      </ns0:c>
      <ns0:c r="K7" s="3">
        <ns0:f>ROUND(K207*K327,2)</ns0:f>
        <ns0:v>477.75</ns0:v>
      </ns0:c>
      <ns0:c r="L7" s="3">
        <ns0:f>ROUND(L207*L327,2)</ns0:f>
        <ns0:v>166.95</ns0:v>
      </ns0:c>
      <ns0:c r="M7" s="3">
        <ns0:f>ROUND(M207*M327,2)</ns0:f>
        <ns0:v>365.84</ns0:v>
      </ns0:c>
      <ns0:c r="N7" s="3">
        <ns0:f>ROUND(N207*N327,2)</ns0:f>
        <ns0:v>255.34</ns0:v>
      </ns0:c>
      <ns0:c r="O7" s="3">
        <ns0:f>SUM(C7:N7)</ns0:f>
        <ns0:v>2609.06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409.05</ns0:v>
      </ns0:c>
      <ns0:c r="D8" s="3">
        <ns0:f>ROUND(D208*D328,2)</ns0:f>
        <ns0:v>92.30</ns0:v>
      </ns0:c>
      <ns0:c r="E8" s="3">
        <ns0:f>ROUND(E208*E328,2)</ns0:f>
        <ns0:v>83.06</ns0:v>
      </ns0:c>
      <ns0:c r="F8" s="3">
        <ns0:f>ROUND(F208*F328,2)</ns0:f>
        <ns0:v>365.48</ns0:v>
      </ns0:c>
      <ns0:c r="G8" s="3">
        <ns0:f>ROUND(G208*G328,2)</ns0:f>
        <ns0:v>305.56</ns0:v>
      </ns0:c>
      <ns0:c r="H8" s="3">
        <ns0:f>ROUND(H208*H328,2)</ns0:f>
        <ns0:v>371.85</ns0:v>
      </ns0:c>
      <ns0:c r="I8" s="3">
        <ns0:f>ROUND(I208*I328,2)</ns0:f>
        <ns0:v>140.84</ns0:v>
      </ns0:c>
      <ns0:c r="J8" s="3">
        <ns0:f>ROUND(J208*J328,2)</ns0:f>
        <ns0:v>287.20</ns0:v>
      </ns0:c>
      <ns0:c r="K8" s="3">
        <ns0:f>ROUND(K208*K328,2)</ns0:f>
        <ns0:v>118.03</ns0:v>
      </ns0:c>
      <ns0:c r="L8" s="3">
        <ns0:f>ROUND(L208*L328,2)</ns0:f>
        <ns0:v>307.71</ns0:v>
      </ns0:c>
      <ns0:c r="M8" s="3">
        <ns0:f>ROUND(M208*M328,2)</ns0:f>
        <ns0:v>158.05</ns0:v>
      </ns0:c>
      <ns0:c r="N8" s="3">
        <ns0:f>ROUND(N208*N328,2)</ns0:f>
        <ns0:v>208.00</ns0:v>
      </ns0:c>
      <ns0:c r="O8" s="3">
        <ns0:f>SUM(C8:N8)</ns0:f>
        <ns0:v>2847.13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194.99</ns0:v>
      </ns0:c>
      <ns0:c r="D9" s="3">
        <ns0:f>ROUND(D209*D329,2)</ns0:f>
        <ns0:v>232.54</ns0:v>
      </ns0:c>
      <ns0:c r="E9" s="3">
        <ns0:f>ROUND(E209*E329,2)</ns0:f>
        <ns0:v>331.13</ns0:v>
      </ns0:c>
      <ns0:c r="F9" s="3">
        <ns0:f>ROUND(F209*F329,2)</ns0:f>
        <ns0:v>64.56</ns0:v>
      </ns0:c>
      <ns0:c r="G9" s="3">
        <ns0:f>ROUND(G209*G329,2)</ns0:f>
        <ns0:v>58.89</ns0:v>
      </ns0:c>
      <ns0:c r="H9" s="3">
        <ns0:f>ROUND(H209*H329,2)</ns0:f>
        <ns0:v>69.09</ns0:v>
      </ns0:c>
      <ns0:c r="I9" s="3">
        <ns0:f>ROUND(I209*I329,2)</ns0:f>
        <ns0:v>147.70</ns0:v>
      </ns0:c>
      <ns0:c r="J9" s="3">
        <ns0:f>ROUND(J209*J329,2)</ns0:f>
        <ns0:v>336.41</ns0:v>
      </ns0:c>
      <ns0:c r="K9" s="3">
        <ns0:f>ROUND(K209*K329,2)</ns0:f>
        <ns0:v>284.23</ns0:v>
      </ns0:c>
      <ns0:c r="L9" s="3">
        <ns0:f>ROUND(L209*L329,2)</ns0:f>
        <ns0:v>84.10</ns0:v>
      </ns0:c>
      <ns0:c r="M9" s="3">
        <ns0:f>ROUND(M209*M329,2)</ns0:f>
        <ns0:v>324.52</ns0:v>
      </ns0:c>
      <ns0:c r="N9" s="3">
        <ns0:f>ROUND(N209*N329,2)</ns0:f>
        <ns0:v>311.46</ns0:v>
      </ns0:c>
      <ns0:c r="O9" s="3">
        <ns0:f>SUM(C9:N9)</ns0:f>
        <ns0:v>2439.62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185.43</ns0:v>
      </ns0:c>
      <ns0:c r="D10" s="3">
        <ns0:f>ROUND(D210*D330,2)</ns0:f>
        <ns0:v>96.44</ns0:v>
      </ns0:c>
      <ns0:c r="E10" s="3">
        <ns0:f>ROUND(E210*E330,2)</ns0:f>
        <ns0:v>126.86</ns0:v>
      </ns0:c>
      <ns0:c r="F10" s="3">
        <ns0:f>ROUND(F210*F330,2)</ns0:f>
        <ns0:v>75.43</ns0:v>
      </ns0:c>
      <ns0:c r="G10" s="3">
        <ns0:f>ROUND(G210*G330,2)</ns0:f>
        <ns0:v>186.29</ns0:v>
      </ns0:c>
      <ns0:c r="H10" s="3">
        <ns0:f>ROUND(H210*H330,2)</ns0:f>
        <ns0:v>86.90</ns0:v>
      </ns0:c>
      <ns0:c r="I10" s="3">
        <ns0:f>ROUND(I210*I330,2)</ns0:f>
        <ns0:v>324.53</ns0:v>
      </ns0:c>
      <ns0:c r="J10" s="3">
        <ns0:f>ROUND(J210*J330,2)</ns0:f>
        <ns0:v>639.40</ns0:v>
      </ns0:c>
      <ns0:c r="K10" s="3">
        <ns0:f>ROUND(K210*K330,2)</ns0:f>
        <ns0:v>276.86</ns0:v>
      </ns0:c>
      <ns0:c r="L10" s="3">
        <ns0:f>ROUND(L210*L330,2)</ns0:f>
        <ns0:v>153.20</ns0:v>
      </ns0:c>
      <ns0:c r="M10" s="3">
        <ns0:f>ROUND(M210*M330,2)</ns0:f>
        <ns0:v>156.40</ns0:v>
      </ns0:c>
      <ns0:c r="N10" s="3">
        <ns0:f>ROUND(N210*N330,2)</ns0:f>
        <ns0:v>111.47</ns0:v>
      </ns0:c>
      <ns0:c r="O10" s="3">
        <ns0:f>SUM(C10:N10)</ns0:f>
        <ns0:v>2419.21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274.30</ns0:v>
      </ns0:c>
      <ns0:c r="D11" s="3">
        <ns0:f>ROUND(D211*D331,2)</ns0:f>
        <ns0:v>628.02</ns0:v>
      </ns0:c>
      <ns0:c r="E11" s="3">
        <ns0:f>ROUND(E211*E331,2)</ns0:f>
        <ns0:v>117.32</ns0:v>
      </ns0:c>
      <ns0:c r="F11" s="3">
        <ns0:f>ROUND(F211*F331,2)</ns0:f>
        <ns0:v>236.19</ns0:v>
      </ns0:c>
      <ns0:c r="G11" s="3">
        <ns0:f>ROUND(G211*G331,2)</ns0:f>
        <ns0:v>167.14</ns0:v>
      </ns0:c>
      <ns0:c r="H11" s="3">
        <ns0:f>ROUND(H211*H331,2)</ns0:f>
        <ns0:v>515.57</ns0:v>
      </ns0:c>
      <ns0:c r="I11" s="3">
        <ns0:f>ROUND(I211*I331,2)</ns0:f>
        <ns0:v>514.32</ns0:v>
      </ns0:c>
      <ns0:c r="J11" s="3">
        <ns0:f>ROUND(J211*J331,2)</ns0:f>
        <ns0:v>486.82</ns0:v>
      </ns0:c>
      <ns0:c r="K11" s="3">
        <ns0:f>ROUND(K211*K331,2)</ns0:f>
        <ns0:v>172.19</ns0:v>
      </ns0:c>
      <ns0:c r="L11" s="3">
        <ns0:f>ROUND(L211*L331,2)</ns0:f>
        <ns0:v>175.05</ns0:v>
      </ns0:c>
      <ns0:c r="M11" s="3">
        <ns0:f>ROUND(M211*M331,2)</ns0:f>
        <ns0:v>245.82</ns0:v>
      </ns0:c>
      <ns0:c r="N11" s="3">
        <ns0:f>ROUND(N211*N331,2)</ns0:f>
        <ns0:v>112.97</ns0:v>
      </ns0:c>
      <ns0:c r="O11" s="3">
        <ns0:f>SUM(C11:N11)</ns0:f>
        <ns0:v>3645.71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98.68</ns0:v>
      </ns0:c>
      <ns0:c r="D12" s="3">
        <ns0:f>ROUND(D212*D332,2)</ns0:f>
        <ns0:v>210.92</ns0:v>
      </ns0:c>
      <ns0:c r="E12" s="3">
        <ns0:f>ROUND(E212*E332,2)</ns0:f>
        <ns0:v>265.81</ns0:v>
      </ns0:c>
      <ns0:c r="F12" s="3">
        <ns0:f>ROUND(F212*F332,2)</ns0:f>
        <ns0:v>214.19</ns0:v>
      </ns0:c>
      <ns0:c r="G12" s="3">
        <ns0:f>ROUND(G212*G332,2)</ns0:f>
        <ns0:v>168.04</ns0:v>
      </ns0:c>
      <ns0:c r="H12" s="3">
        <ns0:f>ROUND(H212*H332,2)</ns0:f>
        <ns0:v>341.15</ns0:v>
      </ns0:c>
      <ns0:c r="I12" s="3">
        <ns0:f>ROUND(I212*I332,2)</ns0:f>
        <ns0:v>176.19</ns0:v>
      </ns0:c>
      <ns0:c r="J12" s="3">
        <ns0:f>ROUND(J212*J332,2)</ns0:f>
        <ns0:v>275.61</ns0:v>
      </ns0:c>
      <ns0:c r="K12" s="3">
        <ns0:f>ROUND(K212*K332,2)</ns0:f>
        <ns0:v>149.50</ns0:v>
      </ns0:c>
      <ns0:c r="L12" s="3">
        <ns0:f>ROUND(L212*L332,2)</ns0:f>
        <ns0:v>146.62</ns0:v>
      </ns0:c>
      <ns0:c r="M12" s="3">
        <ns0:f>ROUND(M212*M332,2)</ns0:f>
        <ns0:v>151.67</ns0:v>
      </ns0:c>
      <ns0:c r="N12" s="3">
        <ns0:f>ROUND(N212*N332,2)</ns0:f>
        <ns0:v>152.98</ns0:v>
      </ns0:c>
      <ns0:c r="O12" s="3">
        <ns0:f>SUM(C12:N12)</ns0:f>
        <ns0:v>2351.36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201.89</ns0:v>
      </ns0:c>
      <ns0:c r="D13" s="3">
        <ns0:f>ROUND(D213*D333,2)</ns0:f>
        <ns0:v>185.98</ns0:v>
      </ns0:c>
      <ns0:c r="E13" s="3">
        <ns0:f>ROUND(E213*E333,2)</ns0:f>
        <ns0:v>92.63</ns0:v>
      </ns0:c>
      <ns0:c r="F13" s="3">
        <ns0:f>ROUND(F213*F333,2)</ns0:f>
        <ns0:v>285.68</ns0:v>
      </ns0:c>
      <ns0:c r="G13" s="3">
        <ns0:f>ROUND(G213*G333,2)</ns0:f>
        <ns0:v>171.26</ns0:v>
      </ns0:c>
      <ns0:c r="H13" s="3">
        <ns0:f>ROUND(H213*H333,2)</ns0:f>
        <ns0:v>246.14</ns0:v>
      </ns0:c>
      <ns0:c r="I13" s="3">
        <ns0:f>ROUND(I213*I333,2)</ns0:f>
        <ns0:v>212.56</ns0:v>
      </ns0:c>
      <ns0:c r="J13" s="3">
        <ns0:f>ROUND(J213*J333,2)</ns0:f>
        <ns0:v>230.37</ns0:v>
      </ns0:c>
      <ns0:c r="K13" s="3">
        <ns0:f>ROUND(K213*K333,2)</ns0:f>
        <ns0:v>205.36</ns0:v>
      </ns0:c>
      <ns0:c r="L13" s="3">
        <ns0:f>ROUND(L213*L333,2)</ns0:f>
        <ns0:v>161.37</ns0:v>
      </ns0:c>
      <ns0:c r="M13" s="3">
        <ns0:f>ROUND(M213*M333,2)</ns0:f>
        <ns0:v>157.97</ns0:v>
      </ns0:c>
      <ns0:c r="N13" s="3">
        <ns0:f>ROUND(N213*N333,2)</ns0:f>
        <ns0:v>251.82</ns0:v>
      </ns0:c>
      <ns0:c r="O13" s="3">
        <ns0:f>SUM(C13:N13)</ns0:f>
        <ns0:v>2403.03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172.91</ns0:v>
      </ns0:c>
      <ns0:c r="D14" s="3">
        <ns0:f>ROUND(D214*D334,2)</ns0:f>
        <ns0:v>247.05</ns0:v>
      </ns0:c>
      <ns0:c r="E14" s="3">
        <ns0:f>ROUND(E214*E334,2)</ns0:f>
        <ns0:v>142.62</ns0:v>
      </ns0:c>
      <ns0:c r="F14" s="3">
        <ns0:f>ROUND(F214*F334,2)</ns0:f>
        <ns0:v>368.70</ns0:v>
      </ns0:c>
      <ns0:c r="G14" s="3">
        <ns0:f>ROUND(G214*G334,2)</ns0:f>
        <ns0:v>75.34</ns0:v>
      </ns0:c>
      <ns0:c r="H14" s="3">
        <ns0:f>ROUND(H214*H334,2)</ns0:f>
        <ns0:v>161.00</ns0:v>
      </ns0:c>
      <ns0:c r="I14" s="3">
        <ns0:f>ROUND(I214*I334,2)</ns0:f>
        <ns0:v>71.96</ns0:v>
      </ns0:c>
      <ns0:c r="J14" s="3">
        <ns0:f>ROUND(J214*J334,2)</ns0:f>
        <ns0:v>39.51</ns0:v>
      </ns0:c>
      <ns0:c r="K14" s="3">
        <ns0:f>ROUND(K214*K334,2)</ns0:f>
        <ns0:v>156.66</ns0:v>
      </ns0:c>
      <ns0:c r="L14" s="3">
        <ns0:f>ROUND(L214*L334,2)</ns0:f>
        <ns0:v>352.00</ns0:v>
      </ns0:c>
      <ns0:c r="M14" s="3">
        <ns0:f>ROUND(M214*M334,2)</ns0:f>
        <ns0:v>217.28</ns0:v>
      </ns0:c>
      <ns0:c r="N14" s="3">
        <ns0:f>ROUND(N214*N334,2)</ns0:f>
        <ns0:v>363.12</ns0:v>
      </ns0:c>
      <ns0:c r="O14" s="3">
        <ns0:f>SUM(C14:N14)</ns0:f>
        <ns0:v>2368.15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134.68</ns0:v>
      </ns0:c>
      <ns0:c r="D15" s="3">
        <ns0:f>ROUND(D215*D335,2)</ns0:f>
        <ns0:v>505.58</ns0:v>
      </ns0:c>
      <ns0:c r="E15" s="3">
        <ns0:f>ROUND(E215*E335,2)</ns0:f>
        <ns0:v>219.18</ns0:v>
      </ns0:c>
      <ns0:c r="F15" s="3">
        <ns0:f>ROUND(F215*F335,2)</ns0:f>
        <ns0:v>135.04</ns0:v>
      </ns0:c>
      <ns0:c r="G15" s="3">
        <ns0:f>ROUND(G215*G335,2)</ns0:f>
        <ns0:v>205.70</ns0:v>
      </ns0:c>
      <ns0:c r="H15" s="3">
        <ns0:f>ROUND(H215*H335,2)</ns0:f>
        <ns0:v>395.04</ns0:v>
      </ns0:c>
      <ns0:c r="I15" s="3">
        <ns0:f>ROUND(I215*I335,2)</ns0:f>
        <ns0:v>465.85</ns0:v>
      </ns0:c>
      <ns0:c r="J15" s="3">
        <ns0:f>ROUND(J215*J335,2)</ns0:f>
        <ns0:v>291.16</ns0:v>
      </ns0:c>
      <ns0:c r="K15" s="3">
        <ns0:f>ROUND(K215*K335,2)</ns0:f>
        <ns0:v>494.98</ns0:v>
      </ns0:c>
      <ns0:c r="L15" s="3">
        <ns0:f>ROUND(L215*L335,2)</ns0:f>
        <ns0:v>147.78</ns0:v>
      </ns0:c>
      <ns0:c r="M15" s="3">
        <ns0:f>ROUND(M215*M335,2)</ns0:f>
        <ns0:v>457.34</ns0:v>
      </ns0:c>
      <ns0:c r="N15" s="3">
        <ns0:f>ROUND(N215*N335,2)</ns0:f>
        <ns0:v>140.22</ns0:v>
      </ns0:c>
      <ns0:c r="O15" s="3">
        <ns0:f>SUM(C15:N15)</ns0:f>
        <ns0:v>3592.55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121.65</ns0:v>
      </ns0:c>
      <ns0:c r="D16" s="3">
        <ns0:f>ROUND(D216*D336,2)</ns0:f>
        <ns0:v>265.16</ns0:v>
      </ns0:c>
      <ns0:c r="E16" s="3">
        <ns0:f>ROUND(E216*E336,2)</ns0:f>
        <ns0:v>191.56</ns0:v>
      </ns0:c>
      <ns0:c r="F16" s="3">
        <ns0:f>ROUND(F216*F336,2)</ns0:f>
        <ns0:v>444.19</ns0:v>
      </ns0:c>
      <ns0:c r="G16" s="3">
        <ns0:f>ROUND(G216*G336,2)</ns0:f>
        <ns0:v>195.38</ns0:v>
      </ns0:c>
      <ns0:c r="H16" s="3">
        <ns0:f>ROUND(H216*H336,2)</ns0:f>
        <ns0:v>427.45</ns0:v>
      </ns0:c>
      <ns0:c r="I16" s="3">
        <ns0:f>ROUND(I216*I336,2)</ns0:f>
        <ns0:v>279.89</ns0:v>
      </ns0:c>
      <ns0:c r="J16" s="3">
        <ns0:f>ROUND(J216*J336,2)</ns0:f>
        <ns0:v>234.13</ns0:v>
      </ns0:c>
      <ns0:c r="K16" s="3">
        <ns0:f>ROUND(K216*K336,2)</ns0:f>
        <ns0:v>55.81</ns0:v>
      </ns0:c>
      <ns0:c r="L16" s="3">
        <ns0:f>ROUND(L216*L336,2)</ns0:f>
        <ns0:v>246.44</ns0:v>
      </ns0:c>
      <ns0:c r="M16" s="3">
        <ns0:f>ROUND(M216*M336,2)</ns0:f>
        <ns0:v>224.50</ns0:v>
      </ns0:c>
      <ns0:c r="N16" s="3">
        <ns0:f>ROUND(N216*N336,2)</ns0:f>
        <ns0:v>133.81</ns0:v>
      </ns0:c>
      <ns0:c r="O16" s="3">
        <ns0:f>SUM(C16:N16)</ns0:f>
        <ns0:v>2819.97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438.85</ns0:v>
      </ns0:c>
      <ns0:c r="D17" s="3">
        <ns0:f>ROUND(D217*D337,2)</ns0:f>
        <ns0:v>95.39</ns0:v>
      </ns0:c>
      <ns0:c r="E17" s="3">
        <ns0:f>ROUND(E217*E337,2)</ns0:f>
        <ns0:v>190.62</ns0:v>
      </ns0:c>
      <ns0:c r="F17" s="3">
        <ns0:f>ROUND(F217*F337,2)</ns0:f>
        <ns0:v>147.03</ns0:v>
      </ns0:c>
      <ns0:c r="G17" s="3">
        <ns0:f>ROUND(G217*G337,2)</ns0:f>
        <ns0:v>300.48</ns0:v>
      </ns0:c>
      <ns0:c r="H17" s="3">
        <ns0:f>ROUND(H217*H337,2)</ns0:f>
        <ns0:v>411.34</ns0:v>
      </ns0:c>
      <ns0:c r="I17" s="3">
        <ns0:f>ROUND(I217*I337,2)</ns0:f>
        <ns0:v>330.63</ns0:v>
      </ns0:c>
      <ns0:c r="J17" s="3">
        <ns0:f>ROUND(J217*J337,2)</ns0:f>
        <ns0:v>90.49</ns0:v>
      </ns0:c>
      <ns0:c r="K17" s="3">
        <ns0:f>ROUND(K217*K337,2)</ns0:f>
        <ns0:v>101.60</ns0:v>
      </ns0:c>
      <ns0:c r="L17" s="3">
        <ns0:f>ROUND(L217*L337,2)</ns0:f>
        <ns0:v>130.89</ns0:v>
      </ns0:c>
      <ns0:c r="M17" s="3">
        <ns0:f>ROUND(M217*M337,2)</ns0:f>
        <ns0:v>350.78</ns0:v>
      </ns0:c>
      <ns0:c r="N17" s="3">
        <ns0:f>ROUND(N217*N337,2)</ns0:f>
        <ns0:v>174.36</ns0:v>
      </ns0:c>
      <ns0:c r="O17" s="3">
        <ns0:f>SUM(C17:N17)</ns0:f>
        <ns0:v>2762.46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376.98</ns0:v>
      </ns0:c>
      <ns0:c r="D18" s="3">
        <ns0:f>ROUND(D218*D338,2)</ns0:f>
        <ns0:v>200.07</ns0:v>
      </ns0:c>
      <ns0:c r="E18" s="3">
        <ns0:f>ROUND(E218*E338,2)</ns0:f>
        <ns0:v>199.39</ns0:v>
      </ns0:c>
      <ns0:c r="F18" s="3">
        <ns0:f>ROUND(F218*F338,2)</ns0:f>
        <ns0:v>363.99</ns0:v>
      </ns0:c>
      <ns0:c r="G18" s="3">
        <ns0:f>ROUND(G218*G338,2)</ns0:f>
        <ns0:v>251.85</ns0:v>
      </ns0:c>
      <ns0:c r="H18" s="3">
        <ns0:f>ROUND(H218*H338,2)</ns0:f>
        <ns0:v>323.68</ns0:v>
      </ns0:c>
      <ns0:c r="I18" s="3">
        <ns0:f>ROUND(I218*I338,2)</ns0:f>
        <ns0:v>406.16</ns0:v>
      </ns0:c>
      <ns0:c r="J18" s="3">
        <ns0:f>ROUND(J218*J338,2)</ns0:f>
        <ns0:v>150.78</ns0:v>
      </ns0:c>
      <ns0:c r="K18" s="3">
        <ns0:f>ROUND(K218*K338,2)</ns0:f>
        <ns0:v>259.89</ns0:v>
      </ns0:c>
      <ns0:c r="L18" s="3">
        <ns0:f>ROUND(L218*L338,2)</ns0:f>
        <ns0:v>499.64</ns0:v>
      </ns0:c>
      <ns0:c r="M18" s="3">
        <ns0:f>ROUND(M218*M338,2)</ns0:f>
        <ns0:v>345.84</ns0:v>
      </ns0:c>
      <ns0:c r="N18" s="3">
        <ns0:f>ROUND(N218*N338,2)</ns0:f>
        <ns0:v>179.90</ns0:v>
      </ns0:c>
      <ns0:c r="O18" s="3">
        <ns0:f>SUM(C18:N18)</ns0:f>
        <ns0:v>3558.17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71.47</ns0:v>
      </ns0:c>
      <ns0:c r="D19" s="3">
        <ns0:f>ROUND(D219*D339,2)</ns0:f>
        <ns0:v>116.32</ns0:v>
      </ns0:c>
      <ns0:c r="E19" s="3">
        <ns0:f>ROUND(E219*E339,2)</ns0:f>
        <ns0:v>95.51</ns0:v>
      </ns0:c>
      <ns0:c r="F19" s="3">
        <ns0:f>ROUND(F219*F339,2)</ns0:f>
        <ns0:v>107.18</ns0:v>
      </ns0:c>
      <ns0:c r="G19" s="3">
        <ns0:f>ROUND(G219*G339,2)</ns0:f>
        <ns0:v>177.32</ns0:v>
      </ns0:c>
      <ns0:c r="H19" s="3">
        <ns0:f>ROUND(H219*H339,2)</ns0:f>
        <ns0:v>272.73</ns0:v>
      </ns0:c>
      <ns0:c r="I19" s="3">
        <ns0:f>ROUND(I219*I339,2)</ns0:f>
        <ns0:v>110.81</ns0:v>
      </ns0:c>
      <ns0:c r="J19" s="3">
        <ns0:f>ROUND(J219*J339,2)</ns0:f>
        <ns0:v>173.45</ns0:v>
      </ns0:c>
      <ns0:c r="K19" s="3">
        <ns0:f>ROUND(K219*K339,2)</ns0:f>
        <ns0:v>191.17</ns0:v>
      </ns0:c>
      <ns0:c r="L19" s="3">
        <ns0:f>ROUND(L219*L339,2)</ns0:f>
        <ns0:v>201.94</ns0:v>
      </ns0:c>
      <ns0:c r="M19" s="3">
        <ns0:f>ROUND(M219*M339,2)</ns0:f>
        <ns0:v>386.42</ns0:v>
      </ns0:c>
      <ns0:c r="N19" s="3">
        <ns0:f>ROUND(N219*N339,2)</ns0:f>
        <ns0:v>118.53</ns0:v>
      </ns0:c>
      <ns0:c r="O19" s="3">
        <ns0:f>SUM(C19:N19)</ns0:f>
        <ns0:v>2022.85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620.71</ns0:v>
      </ns0:c>
      <ns0:c r="D20" s="3">
        <ns0:f>ROUND('摊销明细'!D33/3,2)</ns0:f>
        <ns0:v>620.71</ns0:v>
      </ns0:c>
      <ns0:c r="E20" s="3">
        <ns0:f>ROUND('摊销明细'!E33/3,2)</ns0:f>
        <ns0:v>620.71</ns0:v>
      </ns0:c>
      <ns0:c r="F20" s="3">
        <ns0:f>ROUND('摊销明细'!F33/3,2)</ns0:f>
        <ns0:v>620.71</ns0:v>
      </ns0:c>
      <ns0:c r="G20" s="3">
        <ns0:f>ROUND('摊销明细'!G33/3,2)</ns0:f>
        <ns0:v>620.71</ns0:v>
      </ns0:c>
      <ns0:c r="H20" s="3">
        <ns0:f>ROUND('摊销明细'!H33/3,2)</ns0:f>
        <ns0:v>620.71</ns0:v>
      </ns0:c>
      <ns0:c r="I20" s="3">
        <ns0:f>ROUND('摊销明细'!I33/3,2)</ns0:f>
        <ns0:v>620.71</ns0:v>
      </ns0:c>
      <ns0:c r="J20" s="3">
        <ns0:f>ROUND('摊销明细'!J33/3,2)</ns0:f>
        <ns0:v>620.71</ns0:v>
      </ns0:c>
      <ns0:c r="K20" s="3">
        <ns0:f>ROUND('摊销明细'!K33/3,2)</ns0:f>
        <ns0:v>620.71</ns0:v>
      </ns0:c>
      <ns0:c r="L20" s="3">
        <ns0:f>ROUND('摊销明细'!L33/3,2)</ns0:f>
        <ns0:v>620.71</ns0:v>
      </ns0:c>
      <ns0:c r="M20" s="3">
        <ns0:f>ROUND('摊销明细'!M33/3,2)</ns0:f>
        <ns0:v>620.71</ns0:v>
      </ns0:c>
      <ns0:c r="N20" s="3">
        <ns0:f>ROUND('摊销明细'!N33/3,2)</ns0:f>
        <ns0:v>620.71</ns0:v>
      </ns0:c>
      <ns0:c r="O20" s="3">
        <ns0:f>SUM(C20:N20)</ns0:f>
        <ns0:v>7448.52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188.11</ns0:v>
      </ns0:c>
      <ns0:c r="D21" s="3">
        <ns0:f>ROUND(D221*D341,2)</ns0:f>
        <ns0:v>63.95</ns0:v>
      </ns0:c>
      <ns0:c r="E21" s="3">
        <ns0:f>ROUND(E221*E341,2)</ns0:f>
        <ns0:v>398.73</ns0:v>
      </ns0:c>
      <ns0:c r="F21" s="3">
        <ns0:f>ROUND(F221*F341,2)</ns0:f>
        <ns0:v>232.94</ns0:v>
      </ns0:c>
      <ns0:c r="G21" s="3">
        <ns0:f>ROUND(G221*G341,2)</ns0:f>
        <ns0:v>181.70</ns0:v>
      </ns0:c>
      <ns0:c r="H21" s="3">
        <ns0:f>ROUND(H221*H341,2)</ns0:f>
        <ns0:v>137.15</ns0:v>
      </ns0:c>
      <ns0:c r="I21" s="3">
        <ns0:f>ROUND(I221*I341,2)</ns0:f>
        <ns0:v>274.14</ns0:v>
      </ns0:c>
      <ns0:c r="J21" s="3">
        <ns0:f>ROUND(J221*J341,2)</ns0:f>
        <ns0:v>150.11</ns0:v>
      </ns0:c>
      <ns0:c r="K21" s="3">
        <ns0:f>ROUND(K221*K341,2)</ns0:f>
        <ns0:v>117.59</ns0:v>
      </ns0:c>
      <ns0:c r="L21" s="3">
        <ns0:f>ROUND(L221*L341,2)</ns0:f>
        <ns0:v>248.68</ns0:v>
      </ns0:c>
      <ns0:c r="M21" s="3">
        <ns0:f>ROUND(M221*M341,2)</ns0:f>
        <ns0:v>271.36</ns0:v>
      </ns0:c>
      <ns0:c r="N21" s="3">
        <ns0:f>ROUND(N221*N341,2)</ns0:f>
        <ns0:v>491.80</ns0:v>
      </ns0:c>
      <ns0:c r="O21" s="3">
        <ns0:f>SUM(C21:N21)</ns0:f>
        <ns0:v>2756.26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50.98</ns0:v>
      </ns0:c>
      <ns0:c r="D22" s="3">
        <ns0:f>ROUND(D222*D342,2)</ns0:f>
        <ns0:v>447.00</ns0:v>
      </ns0:c>
      <ns0:c r="E22" s="3">
        <ns0:f>ROUND(E222*E342,2)</ns0:f>
        <ns0:v>297.77</ns0:v>
      </ns0:c>
      <ns0:c r="F22" s="3">
        <ns0:f>ROUND(F222*F342,2)</ns0:f>
        <ns0:v>81.79</ns0:v>
      </ns0:c>
      <ns0:c r="G22" s="3">
        <ns0:f>ROUND(G222*G342,2)</ns0:f>
        <ns0:v>131.36</ns0:v>
      </ns0:c>
      <ns0:c r="H22" s="3">
        <ns0:f>ROUND(H222*H342,2)</ns0:f>
        <ns0:v>380.58</ns0:v>
      </ns0:c>
      <ns0:c r="I22" s="3">
        <ns0:f>ROUND(I222*I342,2)</ns0:f>
        <ns0:v>147.74</ns0:v>
      </ns0:c>
      <ns0:c r="J22" s="3">
        <ns0:f>ROUND(J222*J342,2)</ns0:f>
        <ns0:v>119.92</ns0:v>
      </ns0:c>
      <ns0:c r="K22" s="3">
        <ns0:f>ROUND(K222*K342,2)</ns0:f>
        <ns0:v>331.78</ns0:v>
      </ns0:c>
      <ns0:c r="L22" s="3">
        <ns0:f>ROUND(L222*L342,2)</ns0:f>
        <ns0:v>300.11</ns0:v>
      </ns0:c>
      <ns0:c r="M22" s="3">
        <ns0:f>ROUND(M222*M342,2)</ns0:f>
        <ns0:v>251.78</ns0:v>
      </ns0:c>
      <ns0:c r="N22" s="3">
        <ns0:f>ROUND(N222*N342,2)</ns0:f>
        <ns0:v>411.18</ns0:v>
      </ns0:c>
      <ns0:c r="O22" s="3">
        <ns0:f>SUM(C22:N22)</ns0:f>
        <ns0:v>2951.99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98.41</ns0:v>
      </ns0:c>
      <ns0:c r="D23" s="3">
        <ns0:f>ROUND(D223*D343,2)</ns0:f>
        <ns0:v>129.83</ns0:v>
      </ns0:c>
      <ns0:c r="E23" s="3">
        <ns0:f>ROUND(E223*E343,2)</ns0:f>
        <ns0:v>186.36</ns0:v>
      </ns0:c>
      <ns0:c r="F23" s="3">
        <ns0:f>ROUND(F223*F343,2)</ns0:f>
        <ns0:v>140.22</ns0:v>
      </ns0:c>
      <ns0:c r="G23" s="3">
        <ns0:f>ROUND(G223*G343,2)</ns0:f>
        <ns0:v>147.03</ns0:v>
      </ns0:c>
      <ns0:c r="H23" s="3">
        <ns0:f>ROUND(H223*H343,2)</ns0:f>
        <ns0:v>166.94</ns0:v>
      </ns0:c>
      <ns0:c r="I23" s="3">
        <ns0:f>ROUND(I223*I343,2)</ns0:f>
        <ns0:v>97.35</ns0:v>
      </ns0:c>
      <ns0:c r="J23" s="3">
        <ns0:f>ROUND(J223*J343,2)</ns0:f>
        <ns0:v>97.18</ns0:v>
      </ns0:c>
      <ns0:c r="K23" s="3">
        <ns0:f>ROUND(K223*K343,2)</ns0:f>
        <ns0:v>540.99</ns0:v>
      </ns0:c>
      <ns0:c r="L23" s="3">
        <ns0:f>ROUND(L223*L343,2)</ns0:f>
        <ns0:v>121.72</ns0:v>
      </ns0:c>
      <ns0:c r="M23" s="3">
        <ns0:f>ROUND(M223*M343,2)</ns0:f>
        <ns0:v>112.17</ns0:v>
      </ns0:c>
      <ns0:c r="N23" s="3">
        <ns0:f>ROUND(N223*N343,2)</ns0:f>
        <ns0:v>410.87</ns0:v>
      </ns0:c>
      <ns0:c r="O23" s="3">
        <ns0:f>SUM(C23:N23)</ns0:f>
        <ns0:v>2249.07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96.78</ns0:v>
      </ns0:c>
      <ns0:c r="D24" s="3">
        <ns0:f>ROUND(D224*D344,2)</ns0:f>
        <ns0:v>139.47</ns0:v>
      </ns0:c>
      <ns0:c r="E24" s="3">
        <ns0:f>ROUND(E224*E344,2)</ns0:f>
        <ns0:v>105.76</ns0:v>
      </ns0:c>
      <ns0:c r="F24" s="3">
        <ns0:f>ROUND(F224*F344,2)</ns0:f>
        <ns0:v>161.22</ns0:v>
      </ns0:c>
      <ns0:c r="G24" s="3">
        <ns0:f>ROUND(G224*G344,2)</ns0:f>
        <ns0:v>309.72</ns0:v>
      </ns0:c>
      <ns0:c r="H24" s="3">
        <ns0:f>ROUND(H224*H344,2)</ns0:f>
        <ns0:v>145.96</ns0:v>
      </ns0:c>
      <ns0:c r="I24" s="3">
        <ns0:f>ROUND(I224*I344,2)</ns0:f>
        <ns0:v>212.73</ns0:v>
      </ns0:c>
      <ns0:c r="J24" s="3">
        <ns0:f>ROUND(J224*J344,2)</ns0:f>
        <ns0:v>121.07</ns0:v>
      </ns0:c>
      <ns0:c r="K24" s="3">
        <ns0:f>ROUND(K224*K344,2)</ns0:f>
        <ns0:v>268.01</ns0:v>
      </ns0:c>
      <ns0:c r="L24" s="3">
        <ns0:f>ROUND(L224*L344,2)</ns0:f>
        <ns0:v>149.96</ns0:v>
      </ns0:c>
      <ns0:c r="M24" s="3">
        <ns0:f>ROUND(M224*M344,2)</ns0:f>
        <ns0:v>226.16</ns0:v>
      </ns0:c>
      <ns0:c r="N24" s="3">
        <ns0:f>ROUND(N224*N344,2)</ns0:f>
        <ns0:v>220.30</ns0:v>
      </ns0:c>
      <ns0:c r="O24" s="3">
        <ns0:f>SUM(C24:N24)</ns0:f>
        <ns0:v>2157.14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64.47</ns0:v>
      </ns0:c>
      <ns0:c r="D25" s="3">
        <ns0:f>ROUND(D225*D345,2)</ns0:f>
        <ns0:v>118.58</ns0:v>
      </ns0:c>
      <ns0:c r="E25" s="3">
        <ns0:f>ROUND(E225*E345,2)</ns0:f>
        <ns0:v>231.30</ns0:v>
      </ns0:c>
      <ns0:c r="F25" s="3">
        <ns0:f>ROUND(F225*F345,2)</ns0:f>
        <ns0:v>157.02</ns0:v>
      </ns0:c>
      <ns0:c r="G25" s="3">
        <ns0:f>ROUND(G225*G345,2)</ns0:f>
        <ns0:v>173.67</ns0:v>
      </ns0:c>
      <ns0:c r="H25" s="3">
        <ns0:f>ROUND(H225*H345,2)</ns0:f>
        <ns0:v>265.12</ns0:v>
      </ns0:c>
      <ns0:c r="I25" s="3">
        <ns0:f>ROUND(I225*I345,2)</ns0:f>
        <ns0:v>405.58</ns0:v>
      </ns0:c>
      <ns0:c r="J25" s="3">
        <ns0:f>ROUND(J225*J345,2)</ns0:f>
        <ns0:v>231.40</ns0:v>
      </ns0:c>
      <ns0:c r="K25" s="3">
        <ns0:f>ROUND(K225*K345,2)</ns0:f>
        <ns0:v>83.02</ns0:v>
      </ns0:c>
      <ns0:c r="L25" s="3">
        <ns0:f>ROUND(L225*L345,2)</ns0:f>
        <ns0:v>250.48</ns0:v>
      </ns0:c>
      <ns0:c r="M25" s="3">
        <ns0:f>ROUND(M225*M345,2)</ns0:f>
        <ns0:v>73.51</ns0:v>
      </ns0:c>
      <ns0:c r="N25" s="3">
        <ns0:f>ROUND(N225*N345,2)</ns0:f>
        <ns0:v>75.00</ns0:v>
      </ns0:c>
      <ns0:c r="O25" s="3">
        <ns0:f>SUM(C25:N25)</ns0:f>
        <ns0:v>2129.15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48.77</ns0:v>
      </ns0:c>
      <ns0:c r="D26" s="3">
        <ns0:f>ROUND(D226*D346,2)</ns0:f>
        <ns0:v>279.92</ns0:v>
      </ns0:c>
      <ns0:c r="E26" s="3">
        <ns0:f>ROUND(E226*E346,2)</ns0:f>
        <ns0:v>317.25</ns0:v>
      </ns0:c>
      <ns0:c r="F26" s="3">
        <ns0:f>ROUND(F226*F346,2)</ns0:f>
        <ns0:v>191.21</ns0:v>
      </ns0:c>
      <ns0:c r="G26" s="3">
        <ns0:f>ROUND(G226*G346,2)</ns0:f>
        <ns0:v>65.40</ns0:v>
      </ns0:c>
      <ns0:c r="H26" s="3">
        <ns0:f>ROUND(H226*H346,2)</ns0:f>
        <ns0:v>287.13</ns0:v>
      </ns0:c>
      <ns0:c r="I26" s="3">
        <ns0:f>ROUND(I226*I346,2)</ns0:f>
        <ns0:v>112.65</ns0:v>
      </ns0:c>
      <ns0:c r="J26" s="3">
        <ns0:f>ROUND(J226*J346,2)</ns0:f>
        <ns0:v>300.17</ns0:v>
      </ns0:c>
      <ns0:c r="K26" s="3">
        <ns0:f>ROUND(K226*K346,2)</ns0:f>
        <ns0:v>278.12</ns0:v>
      </ns0:c>
      <ns0:c r="L26" s="3">
        <ns0:f>ROUND(L226*L346,2)</ns0:f>
        <ns0:v>175.90</ns0:v>
      </ns0:c>
      <ns0:c r="M26" s="3">
        <ns0:f>ROUND(M226*M346,2)</ns0:f>
        <ns0:v>196.47</ns0:v>
      </ns0:c>
      <ns0:c r="N26" s="3">
        <ns0:f>ROUND(N226*N346,2)</ns0:f>
        <ns0:v>188.97</ns0:v>
      </ns0:c>
      <ns0:c r="O26" s="3">
        <ns0:f>SUM(C26:N26)</ns0:f>
        <ns0:v>2441.96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435.00</ns0:v>
      </ns0:c>
      <ns0:c r="D27" s="3">
        <ns0:f>ROUND(D227*D347,2)</ns0:f>
        <ns0:v>253.17</ns0:v>
      </ns0:c>
      <ns0:c r="E27" s="3">
        <ns0:f>ROUND(E227*E347,2)</ns0:f>
        <ns0:v>239.03</ns0:v>
      </ns0:c>
      <ns0:c r="F27" s="3">
        <ns0:f>ROUND(F227*F347,2)</ns0:f>
        <ns0:v>200.55</ns0:v>
      </ns0:c>
      <ns0:c r="G27" s="3">
        <ns0:f>ROUND(G227*G347,2)</ns0:f>
        <ns0:v>431.03</ns0:v>
      </ns0:c>
      <ns0:c r="H27" s="3">
        <ns0:f>ROUND(H227*H347,2)</ns0:f>
        <ns0:v>211.36</ns0:v>
      </ns0:c>
      <ns0:c r="I27" s="3">
        <ns0:f>ROUND(I227*I347,2)</ns0:f>
        <ns0:v>451.95</ns0:v>
      </ns0:c>
      <ns0:c r="J27" s="3">
        <ns0:f>ROUND(J227*J347,2)</ns0:f>
        <ns0:v>244.61</ns0:v>
      </ns0:c>
      <ns0:c r="K27" s="3">
        <ns0:f>ROUND(K227*K347,2)</ns0:f>
        <ns0:v>208.38</ns0:v>
      </ns0:c>
      <ns0:c r="L27" s="3">
        <ns0:f>ROUND(L227*L347,2)</ns0:f>
        <ns0:v>259.90</ns0:v>
      </ns0:c>
      <ns0:c r="M27" s="3">
        <ns0:f>ROUND(M227*M347,2)</ns0:f>
        <ns0:v>64.69</ns0:v>
      </ns0:c>
      <ns0:c r="N27" s="3">
        <ns0:f>ROUND(N227*N347,2)</ns0:f>
        <ns0:v>284.02</ns0:v>
      </ns0:c>
      <ns0:c r="O27" s="3">
        <ns0:f>SUM(C27:N27)</ns0:f>
        <ns0:v>3283.69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165.38</ns0:v>
      </ns0:c>
      <ns0:c r="D28" s="3">
        <ns0:f>ROUND(D228*D348,2)</ns0:f>
        <ns0:v>93.16</ns0:v>
      </ns0:c>
      <ns0:c r="E28" s="3">
        <ns0:f>ROUND(E228*E348,2)</ns0:f>
        <ns0:v>187.97</ns0:v>
      </ns0:c>
      <ns0:c r="F28" s="3">
        <ns0:f>ROUND(F228*F348,2)</ns0:f>
        <ns0:v>373.97</ns0:v>
      </ns0:c>
      <ns0:c r="G28" s="3">
        <ns0:f>ROUND(G228*G348,2)</ns0:f>
        <ns0:v>376.65</ns0:v>
      </ns0:c>
      <ns0:c r="H28" s="3">
        <ns0:f>ROUND(H228*H348,2)</ns0:f>
        <ns0:v>210.72</ns0:v>
      </ns0:c>
      <ns0:c r="I28" s="3">
        <ns0:f>ROUND(I228*I348,2)</ns0:f>
        <ns0:v>374.22</ns0:v>
      </ns0:c>
      <ns0:c r="J28" s="3">
        <ns0:f>ROUND(J228*J348,2)</ns0:f>
        <ns0:v>87.71</ns0:v>
      </ns0:c>
      <ns0:c r="K28" s="3">
        <ns0:f>ROUND(K228*K348,2)</ns0:f>
        <ns0:v>92.30</ns0:v>
      </ns0:c>
      <ns0:c r="L28" s="3">
        <ns0:f>ROUND(L228*L348,2)</ns0:f>
        <ns0:v>400.22</ns0:v>
      </ns0:c>
      <ns0:c r="M28" s="3">
        <ns0:f>ROUND(M228*M348,2)</ns0:f>
        <ns0:v>117.12</ns0:v>
      </ns0:c>
      <ns0:c r="N28" s="3">
        <ns0:f>ROUND(N228*N348,2)</ns0:f>
        <ns0:v>406.46</ns0:v>
      </ns0:c>
      <ns0:c r="O28" s="3">
        <ns0:f>SUM(C28:N28)</ns0:f>
        <ns0:v>2885.88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120.56</ns0:v>
      </ns0:c>
      <ns0:c r="D30" s="6">
        <ns0:f>ROUND(D230*D350,2)</ns0:f>
        <ns0:v>205.34</ns0:v>
      </ns0:c>
      <ns0:c r="E30" s="6">
        <ns0:f>ROUND(E230*E350,2)</ns0:f>
        <ns0:v>395.93</ns0:v>
      </ns0:c>
      <ns0:c r="F30" s="6">
        <ns0:f>ROUND(F230*F350,2)</ns0:f>
        <ns0:v>411.64</ns0:v>
      </ns0:c>
      <ns0:c r="G30" s="6">
        <ns0:f>ROUND(G230*G350,2)</ns0:f>
        <ns0:v>249.55</ns0:v>
      </ns0:c>
      <ns0:c r="H30" s="6">
        <ns0:f>ROUND(H230*H350,2)</ns0:f>
        <ns0:v>239.76</ns0:v>
      </ns0:c>
      <ns0:c r="I30" s="6">
        <ns0:f>ROUND(I230*I350,2)</ns0:f>
        <ns0:v>62.76</ns0:v>
      </ns0:c>
      <ns0:c r="J30" s="6">
        <ns0:f>ROUND(J230*J350,2)</ns0:f>
        <ns0:v>187.98</ns0:v>
      </ns0:c>
      <ns0:c r="K30" s="6">
        <ns0:f>ROUND(K230*K350,2)</ns0:f>
        <ns0:v>314.73</ns0:v>
      </ns0:c>
      <ns0:c r="L30" s="6">
        <ns0:f>ROUND(L230*L350,2)</ns0:f>
        <ns0:v>453.06</ns0:v>
      </ns0:c>
      <ns0:c r="M30" s="6">
        <ns0:f>ROUND(M230*M350,2)</ns0:f>
        <ns0:v>572.98</ns0:v>
      </ns0:c>
      <ns0:c r="N30" s="6">
        <ns0:f>ROUND(N230*N350,2)</ns0:f>
        <ns0:v>200.93</ns0:v>
      </ns0:c>
      <ns0:c r="O30" s="6">
        <ns0:f>SUM(C30:N30)</ns0:f>
        <ns0:v>3415.22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285.99</ns0:v>
      </ns0:c>
      <ns0:c r="D31" s="3">
        <ns0:f>ROUND(D231*D351,2)</ns0:f>
        <ns0:v>98.65</ns0:v>
      </ns0:c>
      <ns0:c r="E31" s="3">
        <ns0:f>ROUND(E231*E351,2)</ns0:f>
        <ns0:v>110.59</ns0:v>
      </ns0:c>
      <ns0:c r="F31" s="3">
        <ns0:f>ROUND(F231*F351,2)</ns0:f>
        <ns0:v>317.68</ns0:v>
      </ns0:c>
      <ns0:c r="G31" s="3">
        <ns0:f>ROUND(G231*G351,2)</ns0:f>
        <ns0:v>88.91</ns0:v>
      </ns0:c>
      <ns0:c r="H31" s="3">
        <ns0:f>ROUND(H231*H351,2)</ns0:f>
        <ns0:v>156.07</ns0:v>
      </ns0:c>
      <ns0:c r="I31" s="3">
        <ns0:f>ROUND(I231*I351,2)</ns0:f>
        <ns0:v>310.39</ns0:v>
      </ns0:c>
      <ns0:c r="J31" s="3">
        <ns0:f>ROUND(J231*J351,2)</ns0:f>
        <ns0:v>299.33</ns0:v>
      </ns0:c>
      <ns0:c r="K31" s="3">
        <ns0:f>ROUND(K231*K351,2)</ns0:f>
        <ns0:v>139.36</ns0:v>
      </ns0:c>
      <ns0:c r="L31" s="3">
        <ns0:f>ROUND(L231*L351,2)</ns0:f>
        <ns0:v>439.10</ns0:v>
      </ns0:c>
      <ns0:c r="M31" s="3">
        <ns0:f>ROUND(M231*M351,2)</ns0:f>
        <ns0:v>149.62</ns0:v>
      </ns0:c>
      <ns0:c r="N31" s="3">
        <ns0:f>ROUND(N231*N351,2)</ns0:f>
        <ns0:v>200.43</ns0:v>
      </ns0:c>
      <ns0:c r="O31" s="3">
        <ns0:f>SUM(C31:N31)</ns0:f>
        <ns0:v>2596.12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112.93</ns0:v>
      </ns0:c>
      <ns0:c r="D32" s="3">
        <ns0:f>ROUND(D232*D352,2)</ns0:f>
        <ns0:v>127.76</ns0:v>
      </ns0:c>
      <ns0:c r="E32" s="3">
        <ns0:f>ROUND(E232*E352,2)</ns0:f>
        <ns0:v>361.62</ns0:v>
      </ns0:c>
      <ns0:c r="F32" s="3">
        <ns0:f>ROUND(F232*F352,2)</ns0:f>
        <ns0:v>188.12</ns0:v>
      </ns0:c>
      <ns0:c r="G32" s="3">
        <ns0:f>ROUND(G232*G352,2)</ns0:f>
        <ns0:v>207.26</ns0:v>
      </ns0:c>
      <ns0:c r="H32" s="3">
        <ns0:f>ROUND(H232*H352,2)</ns0:f>
        <ns0:v>550.54</ns0:v>
      </ns0:c>
      <ns0:c r="I32" s="3">
        <ns0:f>ROUND(I232*I352,2)</ns0:f>
        <ns0:v>159.68</ns0:v>
      </ns0:c>
      <ns0:c r="J32" s="3">
        <ns0:f>ROUND(J232*J352,2)</ns0:f>
        <ns0:v>131.73</ns0:v>
      </ns0:c>
      <ns0:c r="K32" s="3">
        <ns0:f>ROUND(K232*K352,2)</ns0:f>
        <ns0:v>151.14</ns0:v>
      </ns0:c>
      <ns0:c r="L32" s="3">
        <ns0:f>ROUND(L232*L352,2)</ns0:f>
        <ns0:v>146.45</ns0:v>
      </ns0:c>
      <ns0:c r="M32" s="3">
        <ns0:f>ROUND(M232*M352,2)</ns0:f>
        <ns0:v>278.24</ns0:v>
      </ns0:c>
      <ns0:c r="N32" s="3">
        <ns0:f>ROUND(N232*N352,2)</ns0:f>
        <ns0:v>123.29</ns0:v>
      </ns0:c>
      <ns0:c r="O32" s="3">
        <ns0:f>SUM(C32:N32)</ns0:f>
        <ns0:v>2538.76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279.66</ns0:v>
      </ns0:c>
      <ns0:c r="D33" s="3">
        <ns0:f>ROUND(D233*D353,2)</ns0:f>
        <ns0:v>255.34</ns0:v>
      </ns0:c>
      <ns0:c r="E33" s="3">
        <ns0:f>ROUND(E233*E353,2)</ns0:f>
        <ns0:v>202.80</ns0:v>
      </ns0:c>
      <ns0:c r="F33" s="3">
        <ns0:f>ROUND(F233*F353,2)</ns0:f>
        <ns0:v>216.54</ns0:v>
      </ns0:c>
      <ns0:c r="G33" s="3">
        <ns0:f>ROUND(G233*G353,2)</ns0:f>
        <ns0:v>140.61</ns0:v>
      </ns0:c>
      <ns0:c r="H33" s="3">
        <ns0:f>ROUND(H233*H353,2)</ns0:f>
        <ns0:v>172.35</ns0:v>
      </ns0:c>
      <ns0:c r="I33" s="3">
        <ns0:f>ROUND(I233*I353,2)</ns0:f>
        <ns0:v>445.84</ns0:v>
      </ns0:c>
      <ns0:c r="J33" s="3">
        <ns0:f>ROUND(J233*J353,2)</ns0:f>
        <ns0:v>78.71</ns0:v>
      </ns0:c>
      <ns0:c r="K33" s="3">
        <ns0:f>ROUND(K233*K353,2)</ns0:f>
        <ns0:v>204.65</ns0:v>
      </ns0:c>
      <ns0:c r="L33" s="3">
        <ns0:f>ROUND(L233*L353,2)</ns0:f>
        <ns0:v>348.00</ns0:v>
      </ns0:c>
      <ns0:c r="M33" s="3">
        <ns0:f>ROUND(M233*M353,2)</ns0:f>
        <ns0:v>556.21</ns0:v>
      </ns0:c>
      <ns0:c r="N33" s="3">
        <ns0:f>ROUND(N233*N353,2)</ns0:f>
        <ns0:v>117.48</ns0:v>
      </ns0:c>
      <ns0:c r="O33" s="3">
        <ns0:f>SUM(C33:N33)</ns0:f>
        <ns0:v>3018.19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6181.95</ns0:v>
      </ns0:c>
      <ns0:c r="D34" s="3">
        <ns0:f>SUM(D4:D33)</ns0:f>
        <ns0:v>6570.73</ns0:v>
      </ns0:c>
      <ns0:c r="E34" s="3">
        <ns0:f>SUM(E4:E33)</ns0:f>
        <ns0:v>6612.41</ns0:v>
      </ns0:c>
      <ns0:c r="F34" s="3">
        <ns0:f>SUM(F4:F33)</ns0:f>
        <ns0:v>6941.70</ns0:v>
      </ns0:c>
      <ns0:c r="G34" s="3">
        <ns0:f>SUM(G4:G33)</ns0:f>
        <ns0:v>6307.69</ns0:v>
      </ns0:c>
      <ns0:c r="H34" s="3">
        <ns0:f>SUM(H4:H33)</ns0:f>
        <ns0:v>8386.35</ns0:v>
      </ns0:c>
      <ns0:c r="I34" s="3">
        <ns0:f>SUM(I4:I33)</ns0:f>
        <ns0:v>7721.92</ns0:v>
      </ns0:c>
      <ns0:c r="J34" s="3">
        <ns0:f>SUM(J4:J33)</ns0:f>
        <ns0:v>6491.43</ns0:v>
      </ns0:c>
      <ns0:c r="K34" s="3">
        <ns0:f>SUM(K4:K33)</ns0:f>
        <ns0:v>7065.13</ns0:v>
      </ns0:c>
      <ns0:c r="L34" s="3">
        <ns0:f>SUM(L4:L33)</ns0:f>
        <ns0:v>7258.04</ns0:v>
      </ns0:c>
      <ns0:c r="M34" s="3">
        <ns0:f>SUM(M4:M33)</ns0:f>
        <ns0:v>7679.60</ns0:v>
      </ns0:c>
      <ns0:c r="N34" s="3">
        <ns0:f>SUM(N4:N33)</ns0:f>
        <ns0:v>7261.02</ns0:v>
      </ns0:c>
      <ns0:c r="O34" s="3">
        <ns0:f>SUM(C34:N34)</ns0:f>
        <ns0:v>84477.97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61.14</ns0:v>
      </ns0:c>
      <ns0:c r="D204" s="4">
        <ns0:v>37.66</ns0:v>
      </ns0:c>
      <ns0:c r="E204" s="4">
        <ns0:v>42.10</ns0:v>
      </ns0:c>
      <ns0:c r="F204" s="4">
        <ns0:v>37.04</ns0:v>
      </ns0:c>
      <ns0:c r="G204" s="4">
        <ns0:v>44.70</ns0:v>
      </ns0:c>
      <ns0:c r="H204" s="4">
        <ns0:v>47.58</ns0:v>
      </ns0:c>
      <ns0:c r="I204" s="4">
        <ns0:v>48.49</ns0:v>
      </ns0:c>
      <ns0:c r="J204" s="4">
        <ns0:v>27.35</ns0:v>
      </ns0:c>
      <ns0:c r="K204" s="4">
        <ns0:v>52.31</ns0:v>
      </ns0:c>
      <ns0:c r="L204" s="4">
        <ns0:v>67.56</ns0:v>
      </ns0:c>
      <ns0:c r="M204" s="4">
        <ns0:v>32.46</ns0:v>
      </ns0:c>
      <ns0:c r="N204" s="4">
        <ns0:v>64.88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31.71</ns0:v>
      </ns0:c>
      <ns0:c r="D205" s="4">
        <ns0:v>63.31</ns0:v>
      </ns0:c>
      <ns0:c r="E205" s="4">
        <ns0:v>18.76</ns0:v>
      </ns0:c>
      <ns0:c r="F205" s="4">
        <ns0:v>45.85</ns0:v>
      </ns0:c>
      <ns0:c r="G205" s="4">
        <ns0:v>58.12</ns0:v>
      </ns0:c>
      <ns0:c r="H205" s="4">
        <ns0:v>51.02</ns0:v>
      </ns0:c>
      <ns0:c r="I205" s="4">
        <ns0:v>60.52</ns0:v>
      </ns0:c>
      <ns0:c r="J205" s="4">
        <ns0:v>63.31</ns0:v>
      </ns0:c>
      <ns0:c r="K205" s="4">
        <ns0:v>70.89</ns0:v>
      </ns0:c>
      <ns0:c r="L205" s="4">
        <ns0:v>27.55</ns0:v>
      </ns0:c>
      <ns0:c r="M205" s="4">
        <ns0:v>59.42</ns0:v>
      </ns0:c>
      <ns0:c r="N205" s="4">
        <ns0:v>15.45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38.26</ns0:v>
      </ns0:c>
      <ns0:c r="D206" s="4">
        <ns0:v>51.57</ns0:v>
      </ns0:c>
      <ns0:c r="E206" s="4">
        <ns0:v>65.48</ns0:v>
      </ns0:c>
      <ns0:c r="F206" s="4">
        <ns0:v>27.79</ns0:v>
      </ns0:c>
      <ns0:c r="G206" s="4">
        <ns0:v>46.39</ns0:v>
      </ns0:c>
      <ns0:c r="H206" s="4">
        <ns0:v>24.94</ns0:v>
      </ns0:c>
      <ns0:c r="I206" s="4">
        <ns0:v>26.74</ns0:v>
      </ns0:c>
      <ns0:c r="J206" s="4">
        <ns0:v>26.26</ns0:v>
      </ns0:c>
      <ns0:c r="K206" s="4">
        <ns0:v>60.37</ns0:v>
      </ns0:c>
      <ns0:c r="L206" s="4">
        <ns0:v>17.34</ns0:v>
      </ns0:c>
      <ns0:c r="M206" s="4">
        <ns0:v>26.58</ns0:v>
      </ns0:c>
      <ns0:c r="N206" s="4">
        <ns0:v>36.93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25.20</ns0:v>
      </ns0:c>
      <ns0:c r="D207" s="4">
        <ns0:v>27.66</ns0:v>
      </ns0:c>
      <ns0:c r="E207" s="4">
        <ns0:v>53.51</ns0:v>
      </ns0:c>
      <ns0:c r="F207" s="4">
        <ns0:v>28.48</ns0:v>
      </ns0:c>
      <ns0:c r="G207" s="4">
        <ns0:v>48.83</ns0:v>
      </ns0:c>
      <ns0:c r="H207" s="4">
        <ns0:v>68.19</ns0:v>
      </ns0:c>
      <ns0:c r="I207" s="4">
        <ns0:v>17.21</ns0:v>
      </ns0:c>
      <ns0:c r="J207" s="4">
        <ns0:v>22.29</ns0:v>
      </ns0:c>
      <ns0:c r="K207" s="4">
        <ns0:v>71.20</ns0:v>
      </ns0:c>
      <ns0:c r="L207" s="4">
        <ns0:v>22.44</ns0:v>
      </ns0:c>
      <ns0:c r="M207" s="4">
        <ns0:v>53.02</ns0:v>
      </ns0:c>
      <ns0:c r="N207" s="4">
        <ns0:v>55.75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48.01</ns0:v>
      </ns0:c>
      <ns0:c r="D208" s="4">
        <ns0:v>26.60</ns0:v>
      </ns0:c>
      <ns0:c r="E208" s="4">
        <ns0:v>22.82</ns0:v>
      </ns0:c>
      <ns0:c r="F208" s="4">
        <ns0:v>47.90</ns0:v>
      </ns0:c>
      <ns0:c r="G208" s="4">
        <ns0:v>37.77</ns0:v>
      </ns0:c>
      <ns0:c r="H208" s="4">
        <ns0:v>66.64</ns0:v>
      </ns0:c>
      <ns0:c r="I208" s="4">
        <ns0:v>45.58</ns0:v>
      </ns0:c>
      <ns0:c r="J208" s="4">
        <ns0:v>65.72</ns0:v>
      </ns0:c>
      <ns0:c r="K208" s="4">
        <ns0:v>36.77</ns0:v>
      </ns0:c>
      <ns0:c r="L208" s="4">
        <ns0:v>53.33</ns0:v>
      </ns0:c>
      <ns0:c r="M208" s="4">
        <ns0:v>23.45</ns0:v>
      </ns0:c>
      <ns0:c r="N208" s="4">
        <ns0:v>23.24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61.51</ns0:v>
      </ns0:c>
      <ns0:c r="D209" s="4">
        <ns0:v>34.45</ns0:v>
      </ns0:c>
      <ns0:c r="E209" s="4">
        <ns0:v>50.40</ns0:v>
      </ns0:c>
      <ns0:c r="F209" s="4">
        <ns0:v>24.09</ns0:v>
      </ns0:c>
      <ns0:c r="G209" s="4">
        <ns0:v>21.65</ns0:v>
      </ns0:c>
      <ns0:c r="H209" s="4">
        <ns0:v>20.44</ns0:v>
      </ns0:c>
      <ns0:c r="I209" s="4">
        <ns0:v>36.47</ns0:v>
      </ns0:c>
      <ns0:c r="J209" s="4">
        <ns0:v>44.44</ns0:v>
      </ns0:c>
      <ns0:c r="K209" s="4">
        <ns0:v>56.96</ns0:v>
      </ns0:c>
      <ns0:c r="L209" s="4">
        <ns0:v>26.20</ns0:v>
      </ns0:c>
      <ns0:c r="M209" s="4">
        <ns0:v>58.79</ns0:v>
      </ns0:c>
      <ns0:c r="N209" s="4">
        <ns0:v>40.24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54.86</ns0:v>
      </ns0:c>
      <ns0:c r="D210" s="4">
        <ns0:v>38.73</ns0:v>
      </ns0:c>
      <ns0:c r="E210" s="4">
        <ns0:v>38.56</ns0:v>
      </ns0:c>
      <ns0:c r="F210" s="4">
        <ns0:v>33.23</ns0:v>
      </ns0:c>
      <ns0:c r="G210" s="4">
        <ns0:v>26.35</ns0:v>
      </ns0:c>
      <ns0:c r="H210" s="4">
        <ns0:v>27.24</ns0:v>
      </ns0:c>
      <ns0:c r="I210" s="4">
        <ns0:v>50.55</ns0:v>
      </ns0:c>
      <ns0:c r="J210" s="4">
        <ns0:v>69.05</ns0:v>
      </ns0:c>
      <ns0:c r="K210" s="4">
        <ns0:v>60.45</ns0:v>
      </ns0:c>
      <ns0:c r="L210" s="4">
        <ns0:v>24.83</ns0:v>
      </ns0:c>
      <ns0:c r="M210" s="4">
        <ns0:v>55.66</ns0:v>
      </ns0:c>
      <ns0:c r="N210" s="4">
        <ns0:v>30.29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41.31</ns0:v>
      </ns0:c>
      <ns0:c r="D211" s="4">
        <ns0:v>67.24</ns0:v>
      </ns0:c>
      <ns0:c r="E211" s="4">
        <ns0:v>49.71</ns0:v>
      </ns0:c>
      <ns0:c r="F211" s="4">
        <ns0:v>47.05</ns0:v>
      </ns0:c>
      <ns0:c r="G211" s="4">
        <ns0:v>19.78</ns0:v>
      </ns0:c>
      <ns0:c r="H211" s="4">
        <ns0:v>69.39</ns0:v>
      </ns0:c>
      <ns0:c r="I211" s="4">
        <ns0:v>68.76</ns0:v>
      </ns0:c>
      <ns0:c r="J211" s="4">
        <ns0:v>64.48</ns0:v>
      </ns0:c>
      <ns0:c r="K211" s="4">
        <ns0:v>44.84</ns0:v>
      </ns0:c>
      <ns0:c r="L211" s="4">
        <ns0:v>24.38</ns0:v>
      </ns0:c>
      <ns0:c r="M211" s="4">
        <ns0:v>49.66</ns0:v>
      </ns0:c>
      <ns0:c r="N211" s="4">
        <ns0:v>37.53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32.04</ns0:v>
      </ns0:c>
      <ns0:c r="D212" s="4">
        <ns0:v>25.05</ns0:v>
      </ns0:c>
      <ns0:c r="E212" s="4">
        <ns0:v>54.92</ns0:v>
      </ns0:c>
      <ns0:c r="F212" s="4">
        <ns0:v>26.64</ns0:v>
      </ns0:c>
      <ns0:c r="G212" s="4">
        <ns0:v>49.28</ns0:v>
      </ns0:c>
      <ns0:c r="H212" s="4">
        <ns0:v>54.41</ns0:v>
      </ns0:c>
      <ns0:c r="I212" s="4">
        <ns0:v>53.07</ns0:v>
      </ns0:c>
      <ns0:c r="J212" s="4">
        <ns0:v>48.10</ns0:v>
      </ns0:c>
      <ns0:c r="K212" s="4">
        <ns0:v>18.90</ns0:v>
      </ns0:c>
      <ns0:c r="L212" s="4">
        <ns0:v>28.92</ns0:v>
      </ns0:c>
      <ns0:c r="M212" s="4">
        <ns0:v>28.51</ns0:v>
      </ns0:c>
      <ns0:c r="N212" s="4">
        <ns0:v>52.39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48.07</ns0:v>
      </ns0:c>
      <ns0:c r="D213" s="4">
        <ns0:v>58.67</ns0:v>
      </ns0:c>
      <ns0:c r="E213" s="4">
        <ns0:v>24.44</ns0:v>
      </ns0:c>
      <ns0:c r="F213" s="4">
        <ns0:v>45.93</ns0:v>
      </ns0:c>
      <ns0:c r="G213" s="4">
        <ns0:v>22.30</ns0:v>
      </ns0:c>
      <ns0:c r="H213" s="4">
        <ns0:v>71.14</ns0:v>
      </ns0:c>
      <ns0:c r="I213" s="4">
        <ns0:v>50.73</ns0:v>
      </ns0:c>
      <ns0:c r="J213" s="4">
        <ns0:v>29.61</ns0:v>
      </ns0:c>
      <ns0:c r="K213" s="4">
        <ns0:v>38.82</ns0:v>
      </ns0:c>
      <ns0:c r="L213" s="4">
        <ns0:v>22.32</ns0:v>
      </ns0:c>
      <ns0:c r="M213" s="4">
        <ns0:v>20.41</ns0:v>
      </ns0:c>
      <ns0:c r="N213" s="4">
        <ns0:v>34.83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40.40</ns0:v>
      </ns0:c>
      <ns0:c r="D214" s="4">
        <ns0:v>27.03</ns0:v>
      </ns0:c>
      <ns0:c r="E214" s="4">
        <ns0:v>45.71</ns0:v>
      </ns0:c>
      <ns0:c r="F214" s="4">
        <ns0:v>46.03</ns0:v>
      </ns0:c>
      <ns0:c r="G214" s="4">
        <ns0:v>26.25</ns0:v>
      </ns0:c>
      <ns0:c r="H214" s="4">
        <ns0:v>26.48</ns0:v>
      </ns0:c>
      <ns0:c r="I214" s="4">
        <ns0:v>20.10</ns0:v>
      </ns0:c>
      <ns0:c r="J214" s="4">
        <ns0:v>19.18</ns0:v>
      </ns0:c>
      <ns0:c r="K214" s="4">
        <ns0:v>23.14</ns0:v>
      </ns0:c>
      <ns0:c r="L214" s="4">
        <ns0:v>56.41</ns0:v>
      </ns0:c>
      <ns0:c r="M214" s="4">
        <ns0:v>30.22</ns0:v>
      </ns0:c>
      <ns0:c r="N214" s="4">
        <ns0:v>51.36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19.69</ns0:v>
      </ns0:c>
      <ns0:c r="D215" s="4">
        <ns0:v>59.41</ns0:v>
      </ns0:c>
      <ns0:c r="E215" s="4">
        <ns0:v>26.00</ns0:v>
      </ns0:c>
      <ns0:c r="F215" s="4">
        <ns0:v>41.55</ns0:v>
      </ns0:c>
      <ns0:c r="G215" s="4">
        <ns0:v>59.11</ns0:v>
      </ns0:c>
      <ns0:c r="H215" s="4">
        <ns0:v>46.75</ns0:v>
      </ns0:c>
      <ns0:c r="I215" s="4">
        <ns0:v>57.23</ns0:v>
      </ns0:c>
      <ns0:c r="J215" s="4">
        <ns0:v>34.58</ns0:v>
      </ns0:c>
      <ns0:c r="K215" s="4">
        <ns0:v>57.69</ns0:v>
      </ns0:c>
      <ns0:c r="L215" s="4">
        <ns0:v>34.69</ns0:v>
      </ns0:c>
      <ns0:c r="M215" s="4">
        <ns0:v>51.56</ns0:v>
      </ns0:c>
      <ns0:c r="N215" s="4">
        <ns0:v>20.44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23.76</ns0:v>
      </ns0:c>
      <ns0:c r="D216" s="4">
        <ns0:v>29.17</ns0:v>
      </ns0:c>
      <ns0:c r="E216" s="4">
        <ns0:v>24.91</ns0:v>
      </ns0:c>
      <ns0:c r="F216" s="4">
        <ns0:v>55.11</ns0:v>
      </ns0:c>
      <ns0:c r="G216" s="4">
        <ns0:v>26.51</ns0:v>
      </ns0:c>
      <ns0:c r="H216" s="4">
        <ns0:v>63.42</ns0:v>
      </ns0:c>
      <ns0:c r="I216" s="4">
        <ns0:v>50.07</ns0:v>
      </ns0:c>
      <ns0:c r="J216" s="4">
        <ns0:v>36.02</ns0:v>
      </ns0:c>
      <ns0:c r="K216" s="4">
        <ns0:v>19.65</ns0:v>
      </ns0:c>
      <ns0:c r="L216" s="4">
        <ns0:v>63.19</ns0:v>
      </ns0:c>
      <ns0:c r="M216" s="4">
        <ns0:v>62.71</ns0:v>
      </ns0:c>
      <ns0:c r="N216" s="4">
        <ns0:v>38.34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48.12</ns0:v>
      </ns0:c>
      <ns0:c r="D217" s="4">
        <ns0:v>35.20</ns0:v>
      </ns0:c>
      <ns0:c r="E217" s="4">
        <ns0:v>39.63</ns0:v>
      </ns0:c>
      <ns0:c r="F217" s="4">
        <ns0:v>33.04</ns0:v>
      </ns0:c>
      <ns0:c r="G217" s="4">
        <ns0:v>42.50</ns0:v>
      </ns0:c>
      <ns0:c r="H217" s="4">
        <ns0:v>67.99</ns0:v>
      </ns0:c>
      <ns0:c r="I217" s="4">
        <ns0:v>62.62</ns0:v>
      </ns0:c>
      <ns0:c r="J217" s="4">
        <ns0:v>32.55</ns0:v>
      </ns0:c>
      <ns0:c r="K217" s="4">
        <ns0:v>35.65</ns0:v>
      </ns0:c>
      <ns0:c r="L217" s="4">
        <ns0:v>64.48</ns0:v>
      </ns0:c>
      <ns0:c r="M217" s="4">
        <ns0:v>64.84</ns0:v>
      </ns0:c>
      <ns0:c r="N217" s="4">
        <ns0:v>46.87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41.20</ns0:v>
      </ns0:c>
      <ns0:c r="D218" s="4">
        <ns0:v>28.50</ns0:v>
      </ns0:c>
      <ns0:c r="E218" s="4">
        <ns0:v>60.79</ns0:v>
      </ns0:c>
      <ns0:c r="F218" s="4">
        <ns0:v>38.64</ns0:v>
      </ns0:c>
      <ns0:c r="G218" s="4">
        <ns0:v>30.94</ns0:v>
      </ns0:c>
      <ns0:c r="H218" s="4">
        <ns0:v>59.39</ns0:v>
      </ns0:c>
      <ns0:c r="I218" s="4">
        <ns0:v>47.84</ns0:v>
      </ns0:c>
      <ns0:c r="J218" s="4">
        <ns0:v>19.84</ns0:v>
      </ns0:c>
      <ns0:c r="K218" s="4">
        <ns0:v>70.43</ns0:v>
      </ns0:c>
      <ns0:c r="L218" s="4">
        <ns0:v>53.04</ns0:v>
      </ns0:c>
      <ns0:c r="M218" s="4">
        <ns0:v>53.37</ns0:v>
      </ns0:c>
      <ns0:c r="N218" s="4">
        <ns0:v>20.10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33.87</ns0:v>
      </ns0:c>
      <ns0:c r="D219" s="4">
        <ns0:v>20.92</ns0:v>
      </ns0:c>
      <ns0:c r="E219" s="4">
        <ns0:v>17.24</ns0:v>
      </ns0:c>
      <ns0:c r="F219" s="4">
        <ns0:v>23.15</ns0:v>
      </ns0:c>
      <ns0:c r="G219" s="4">
        <ns0:v>26.27</ns0:v>
      </ns0:c>
      <ns0:c r="H219" s="4">
        <ns0:v>33.26</ns0:v>
      </ns0:c>
      <ns0:c r="I219" s="4">
        <ns0:v>35.63</ns0:v>
      </ns0:c>
      <ns0:c r="J219" s="4">
        <ns0:v>60.86</ns0:v>
      </ns0:c>
      <ns0:c r="K219" s="4">
        <ns0:v>34.26</ns0:v>
      </ns0:c>
      <ns0:c r="L219" s="4">
        <ns0:v>34.17</ns0:v>
      </ns0:c>
      <ns0:c r="M219" s="4">
        <ns0:v>65.83</ns0:v>
      </ns0:c>
      <ns0:c r="N219" s="4">
        <ns0:v>22.28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34.14</ns0:v>
      </ns0:c>
      <ns0:c r="D221" s="4">
        <ns0:v>26.87</ns0:v>
      </ns0:c>
      <ns0:c r="E221" s="4">
        <ns0:v>58.55</ns0:v>
      </ns0:c>
      <ns0:c r="F221" s="4">
        <ns0:v>37.51</ns0:v>
      </ns0:c>
      <ns0:c r="G221" s="4">
        <ns0:v>19.35</ns0:v>
      </ns0:c>
      <ns0:c r="H221" s="4">
        <ns0:v>43.54</ns0:v>
      </ns0:c>
      <ns0:c r="I221" s="4">
        <ns0:v>28.32</ns0:v>
      </ns0:c>
      <ns0:c r="J221" s="4">
        <ns0:v>19.70</ns0:v>
      </ns0:c>
      <ns0:c r="K221" s="4">
        <ns0:v>29.47</ns0:v>
      </ns0:c>
      <ns0:c r="L221" s="4">
        <ns0:v>50.96</ns0:v>
      </ns0:c>
      <ns0:c r="M221" s="4">
        <ns0:v>33.46</ns0:v>
      </ns0:c>
      <ns0:c r="N221" s="4">
        <ns0:v>62.65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15.31</ns0:v>
      </ns0:c>
      <ns0:c r="D222" s="4">
        <ns0:v>54.78</ns0:v>
      </ns0:c>
      <ns0:c r="E222" s="4">
        <ns0:v>52.89</ns0:v>
      </ns0:c>
      <ns0:c r="F222" s="4">
        <ns0:v>25.64</ns0:v>
      </ns0:c>
      <ns0:c r="G222" s="4">
        <ns0:v>16.44</ns0:v>
      </ns0:c>
      <ns0:c r="H222" s="4">
        <ns0:v>46.64</ns0:v>
      </ns0:c>
      <ns0:c r="I222" s="4">
        <ns0:v>50.08</ns0:v>
      </ns0:c>
      <ns0:c r="J222" s="4">
        <ns0:v>21.15</ns0:v>
      </ns0:c>
      <ns0:c r="K222" s="4">
        <ns0:v>59.14</ns0:v>
      </ns0:c>
      <ns0:c r="L222" s="4">
        <ns0:v>58.16</ns0:v>
      </ns0:c>
      <ns0:c r="M222" s="4">
        <ns0:v>37.19</ns0:v>
      </ns0:c>
      <ns0:c r="N222" s="4">
        <ns0:v>47.48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17.48</ns0:v>
      </ns0:c>
      <ns0:c r="D223" s="4">
        <ns0:v>25.16</ns0:v>
      </ns0:c>
      <ns0:c r="E223" s="4">
        <ns0:v>54.49</ns0:v>
      </ns0:c>
      <ns0:c r="F223" s="4">
        <ns0:v>60.18</ns0:v>
      </ns0:c>
      <ns0:c r="G223" s="4">
        <ns0:v>17.40</ns0:v>
      </ns0:c>
      <ns0:c r="H223" s="4">
        <ns0:v>31.03</ns0:v>
      </ns0:c>
      <ns0:c r="I223" s="4">
        <ns0:v>18.83</ns0:v>
      </ns0:c>
      <ns0:c r="J223" s="4">
        <ns0:v>50.88</ns0:v>
      </ns0:c>
      <ns0:c r="K223" s="4">
        <ns0:v>70.81</ns0:v>
      </ns0:c>
      <ns0:c r="L223" s="4">
        <ns0:v>22.09</ns0:v>
      </ns0:c>
      <ns0:c r="M223" s="4">
        <ns0:v>46.35</ns0:v>
      </ns0:c>
      <ns0:c r="N223" s="4">
        <ns0:v>57.95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16.95</ns0:v>
      </ns0:c>
      <ns0:c r="D224" s="4">
        <ns0:v>23.48</ns0:v>
      </ns0:c>
      <ns0:c r="E224" s="4">
        <ns0:v>34.45</ns0:v>
      </ns0:c>
      <ns0:c r="F224" s="4">
        <ns0:v>57.58</ns0:v>
      </ns0:c>
      <ns0:c r="G224" s="4">
        <ns0:v>58.66</ns0:v>
      </ns0:c>
      <ns0:c r="H224" s="4">
        <ns0:v>35.95</ns0:v>
      </ns0:c>
      <ns0:c r="I224" s="4">
        <ns0:v>51.76</ns0:v>
      </ns0:c>
      <ns0:c r="J224" s="4">
        <ns0:v>20.59</ns0:v>
      </ns0:c>
      <ns0:c r="K224" s="4">
        <ns0:v>45.12</ns0:v>
      </ns0:c>
      <ns0:c r="L224" s="4">
        <ns0:v>57.02</ns0:v>
      </ns0:c>
      <ns0:c r="M224" s="4">
        <ns0:v>29.07</ns0:v>
      </ns0:c>
      <ns0:c r="N224" s="4">
        <ns0:v>59.38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29.71</ns0:v>
      </ns0:c>
      <ns0:c r="D225" s="4">
        <ns0:v>21.25</ns0:v>
      </ns0:c>
      <ns0:c r="E225" s="4">
        <ns0:v>51.40</ns0:v>
      </ns0:c>
      <ns0:c r="F225" s="4">
        <ns0:v>21.51</ns0:v>
      </ns0:c>
      <ns0:c r="G225" s="4">
        <ns0:v>38.68</ns0:v>
      </ns0:c>
      <ns0:c r="H225" s="4">
        <ns0:v>33.73</ns0:v>
      </ns0:c>
      <ns0:c r="I225" s="4">
        <ns0:v>54.15</ns0:v>
      </ns0:c>
      <ns0:c r="J225" s="4">
        <ns0:v>30.69</ns0:v>
      </ns0:c>
      <ns0:c r="K225" s="4">
        <ns0:v>17.59</ns0:v>
      </ns0:c>
      <ns0:c r="L225" s="4">
        <ns0:v>49.60</ns0:v>
      </ns0:c>
      <ns0:c r="M225" s="4">
        <ns0:v>19.76</ns0:v>
      </ns0:c>
      <ns0:c r="N225" s="4">
        <ns0:v>21.49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25.14</ns0:v>
      </ns0:c>
      <ns0:c r="D226" s="4">
        <ns0:v>38.45</ns0:v>
      </ns0:c>
      <ns0:c r="E226" s="4">
        <ns0:v>54.23</ns0:v>
      </ns0:c>
      <ns0:c r="F226" s="4">
        <ns0:v>46.41</ns0:v>
      </ns0:c>
      <ns0:c r="G226" s="4">
        <ns0:v>30.85</ns0:v>
      </ns0:c>
      <ns0:c r="H226" s="4">
        <ns0:v>59.57</ns0:v>
      </ns0:c>
      <ns0:c r="I226" s="4">
        <ns0:v>34.77</ns0:v>
      </ns0:c>
      <ns0:c r="J226" s="4">
        <ns0:v>40.40</ns0:v>
      </ns0:c>
      <ns0:c r="K226" s="4">
        <ns0:v>31.39</ns0:v>
      </ns0:c>
      <ns0:c r="L226" s="4">
        <ns0:v>70.36</ns0:v>
      </ns0:c>
      <ns0:c r="M226" s="4">
        <ns0:v>46.89</ns0:v>
      </ns0:c>
      <ns0:c r="N226" s="4">
        <ns0:v>34.61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65.71</ns0:v>
      </ns0:c>
      <ns0:c r="D227" s="4">
        <ns0:v>62.51</ns0:v>
      </ns0:c>
      <ns0:c r="E227" s="4">
        <ns0:v>44.02</ns0:v>
      </ns0:c>
      <ns0:c r="F227" s="4">
        <ns0:v>42.40</ns0:v>
      </ns0:c>
      <ns0:c r="G227" s="4">
        <ns0:v>51.07</ns0:v>
      </ns0:c>
      <ns0:c r="H227" s="4">
        <ns0:v>31.64</ns0:v>
      </ns0:c>
      <ns0:c r="I227" s="4">
        <ns0:v>60.26</ns0:v>
      </ns0:c>
      <ns0:c r="J227" s="4">
        <ns0:v>51.28</ns0:v>
      </ns0:c>
      <ns0:c r="K227" s="4">
        <ns0:v>35.20</ns0:v>
      </ns0:c>
      <ns0:c r="L227" s="4">
        <ns0:v>39.68</ns0:v>
      </ns0:c>
      <ns0:c r="M227" s="4">
        <ns0:v>21.42</ns0:v>
      </ns0:c>
      <ns0:c r="N227" s="4">
        <ns0:v>54.62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59.92</ns0:v>
      </ns0:c>
      <ns0:c r="D228" s="4">
        <ns0:v>27.32</ns0:v>
      </ns0:c>
      <ns0:c r="E228" s="4">
        <ns0:v>27.93</ns0:v>
      </ns0:c>
      <ns0:c r="F228" s="4">
        <ns0:v>65.38</ns0:v>
      </ns0:c>
      <ns0:c r="G228" s="4">
        <ns0:v>65.39</ns0:v>
      </ns0:c>
      <ns0:c r="H228" s="4">
        <ns0:v>56.95</ns0:v>
      </ns0:c>
      <ns0:c r="I228" s="4">
        <ns0:v>49.50</ns0:v>
      </ns0:c>
      <ns0:c r="J228" s="4">
        <ns0:v>26.74</ns0:v>
      </ns0:c>
      <ns0:c r="K228" s="4">
        <ns0:v>37.07</ns0:v>
      </ns0:c>
      <ns0:c r="L228" s="4">
        <ns0:v>54.75</ns0:v>
      </ns0:c>
      <ns0:c r="M228" s="4">
        <ns0:v>56.31</ns0:v>
      </ns0:c>
      <ns0:c r="N228" s="4">
        <ns0:v>45.98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35.46</ns0:v>
      </ns0:c>
      <ns0:c r="D230" s="4">
        <ns0:v>27.27</ns0:v>
      </ns0:c>
      <ns0:c r="E230" s="4">
        <ns0:v>48.82</ns0:v>
      </ns0:c>
      <ns0:c r="F230" s="4">
        <ns0:v>50.57</ns0:v>
      </ns0:c>
      <ns0:c r="G230" s="4">
        <ns0:v>65.67</ns0:v>
      </ns0:c>
      <ns0:c r="H230" s="4">
        <ns0:v>40.16</ns0:v>
      </ns0:c>
      <ns0:c r="I230" s="4">
        <ns0:v>21.06</ns0:v>
      </ns0:c>
      <ns0:c r="J230" s="4">
        <ns0:v>26.00</ns0:v>
      </ns0:c>
      <ns0:c r="K230" s="4">
        <ns0:v>52.63</ns0:v>
      </ns0:c>
      <ns0:c r="L230" s="4">
        <ns0:v>60.57</ns0:v>
      </ns0:c>
      <ns0:c r="M230" s="4">
        <ns0:v>60.25</ns0:v>
      </ns0:c>
      <ns0:c r="N230" s="4">
        <ns0:v>58.75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32.61</ns0:v>
      </ns0:c>
      <ns0:c r="D231" s="4">
        <ns0:v>27.71</ns0:v>
      </ns0:c>
      <ns0:c r="E231" s="4">
        <ns0:v>18.07</ns0:v>
      </ns0:c>
      <ns0:c r="F231" s="4">
        <ns0:v>44.87</ns0:v>
      </ns0:c>
      <ns0:c r="G231" s="4">
        <ns0:v>21.22</ns0:v>
      </ns0:c>
      <ns0:c r="H231" s="4">
        <ns0:v>35.31</ns0:v>
      </ns0:c>
      <ns0:c r="I231" s="4">
        <ns0:v>59.92</ns0:v>
      </ns0:c>
      <ns0:c r="J231" s="4">
        <ns0:v>48.99</ns0:v>
      </ns0:c>
      <ns0:c r="K231" s="4">
        <ns0:v>26.80</ns0:v>
      </ns0:c>
      <ns0:c r="L231" s="4">
        <ns0:v>67.45</ns0:v>
      </ns0:c>
      <ns0:c r="M231" s="4">
        <ns0:v>43.62</ns0:v>
      </ns0:c>
      <ns0:c r="N231" s="4">
        <ns0:v>47.95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22.54</ns0:v>
      </ns0:c>
      <ns0:c r="D232" s="4">
        <ns0:v>16.70</ns0:v>
      </ns0:c>
      <ns0:c r="E232" s="4">
        <ns0:v>67.72</ns0:v>
      </ns0:c>
      <ns0:c r="F232" s="4">
        <ns0:v>45.66</ns0:v>
      </ns0:c>
      <ns0:c r="G232" s="4">
        <ns0:v>30.39</ns0:v>
      </ns0:c>
      <ns0:c r="H232" s="4">
        <ns0:v>72.63</ns0:v>
      </ns0:c>
      <ns0:c r="I232" s="4">
        <ns0:v>40.02</ns0:v>
      </ns0:c>
      <ns0:c r="J232" s="4">
        <ns0:v>36.09</ns0:v>
      </ns0:c>
      <ns0:c r="K232" s="4">
        <ns0:v>17.74</ns0:v>
      </ns0:c>
      <ns0:c r="L232" s="4">
        <ns0:v>19.32</ns0:v>
      </ns0:c>
      <ns0:c r="M232" s="4">
        <ns0:v>43.34</ns0:v>
      </ns0:c>
      <ns0:c r="N232" s="4">
        <ns0:v>28.74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47.16</ns0:v>
      </ns0:c>
      <ns0:c r="D233" s="4">
        <ns0:v>51.17</ns0:v>
      </ns0:c>
      <ns0:c r="E233" s="4">
        <ns0:v>44.67</ns0:v>
      </ns0:c>
      <ns0:c r="F233" s="4">
        <ns0:v>55.24</ns0:v>
      </ns0:c>
      <ns0:c r="G233" s="4">
        <ns0:v>27.68</ns0:v>
      </ns0:c>
      <ns0:c r="H233" s="4">
        <ns0:v>36.67</ns0:v>
      </ns0:c>
      <ns0:c r="I233" s="4">
        <ns0:v>73.45</ns0:v>
      </ns0:c>
      <ns0:c r="J233" s="4">
        <ns0:v>28.11</ns0:v>
      </ns0:c>
      <ns0:c r="K233" s="4">
        <ns0:v>59.49</ns0:v>
      </ns0:c>
      <ns0:c r="L233" s="4">
        <ns0:v>54.29</ns0:v>
      </ns0:c>
      <ns0:c r="M233" s="4">
        <ns0:v>65.36</ns0:v>
      </ns0:c>
      <ns0:c r="N233" s="4">
        <ns0:v>36.26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6.01</ns0:v>
      </ns0:c>
      <ns0:c r="D324" s="4">
        <ns0:v>4.83</ns0:v>
      </ns0:c>
      <ns0:c r="E324" s="4">
        <ns0:v>7.11</ns0:v>
      </ns0:c>
      <ns0:c r="F324" s="4">
        <ns0:v>5.35</ns0:v>
      </ns0:c>
      <ns0:c r="G324" s="4">
        <ns0:v>2.84</ns0:v>
      </ns0:c>
      <ns0:c r="H324" s="4">
        <ns0:v>7.55</ns0:v>
      </ns0:c>
      <ns0:c r="I324" s="4">
        <ns0:v>7.26</ns0:v>
      </ns0:c>
      <ns0:c r="J324" s="4">
        <ns0:v>4.28</ns0:v>
      </ns0:c>
      <ns0:c r="K324" s="4">
        <ns0:v>2.74</ns0:v>
      </ns0:c>
      <ns0:c r="L324" s="4">
        <ns0:v>4.30</ns0:v>
      </ns0:c>
      <ns0:c r="M324" s="4">
        <ns0:v>8.72</ns0:v>
      </ns0:c>
      <ns0:c r="N324" s="4">
        <ns0:v>9.40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7.91</ns0:v>
      </ns0:c>
      <ns0:c r="D325" s="4">
        <ns0:v>2.11</ns0:v>
      </ns0:c>
      <ns0:c r="E325" s="4">
        <ns0:v>8.35</ns0:v>
      </ns0:c>
      <ns0:c r="F325" s="4">
        <ns0:v>7.33</ns0:v>
      </ns0:c>
      <ns0:c r="G325" s="4">
        <ns0:v>6.21</ns0:v>
      </ns0:c>
      <ns0:c r="H325" s="4">
        <ns0:v>6.32</ns0:v>
      </ns0:c>
      <ns0:c r="I325" s="4">
        <ns0:v>5.88</ns0:v>
      </ns0:c>
      <ns0:c r="J325" s="4">
        <ns0:v>3.85</ns0:v>
      </ns0:c>
      <ns0:c r="K325" s="4">
        <ns0:v>2.50</ns0:v>
      </ns0:c>
      <ns0:c r="L325" s="4">
        <ns0:v>6.32</ns0:v>
      </ns0:c>
      <ns0:c r="M325" s="4">
        <ns0:v>2.38</ns0:v>
      </ns0:c>
      <ns0:c r="N325" s="4">
        <ns0:v>5.94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3.65</ns0:v>
      </ns0:c>
      <ns0:c r="D326" s="4">
        <ns0:v>7.07</ns0:v>
      </ns0:c>
      <ns0:c r="E326" s="4">
        <ns0:v>3.91</ns0:v>
      </ns0:c>
      <ns0:c r="F326" s="4">
        <ns0:v>7.80</ns0:v>
      </ns0:c>
      <ns0:c r="G326" s="4">
        <ns0:v>6.87</ns0:v>
      </ns0:c>
      <ns0:c r="H326" s="4">
        <ns0:v>3.95</ns0:v>
      </ns0:c>
      <ns0:c r="I326" s="4">
        <ns0:v>3.13</ns0:v>
      </ns0:c>
      <ns0:c r="J326" s="4">
        <ns0:v>5.50</ns0:v>
      </ns0:c>
      <ns0:c r="K326" s="4">
        <ns0:v>7.45</ns0:v>
      </ns0:c>
      <ns0:c r="L326" s="4">
        <ns0:v>6.08</ns0:v>
      </ns0:c>
      <ns0:c r="M326" s="4">
        <ns0:v>8.34</ns0:v>
      </ns0:c>
      <ns0:c r="N326" s="4">
        <ns0:v>7.96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6.96</ns0:v>
      </ns0:c>
      <ns0:c r="D327" s="4">
        <ns0:v>6.58</ns0:v>
      </ns0:c>
      <ns0:c r="E327" s="4">
        <ns0:v>3.53</ns0:v>
      </ns0:c>
      <ns0:c r="F327" s="4">
        <ns0:v>3.14</ns0:v>
      </ns0:c>
      <ns0:c r="G327" s="4">
        <ns0:v>2.34</ns0:v>
      </ns0:c>
      <ns0:c r="H327" s="4">
        <ns0:v>6.45</ns0:v>
      </ns0:c>
      <ns0:c r="I327" s="4">
        <ns0:v>4.25</ns0:v>
      </ns0:c>
      <ns0:c r="J327" s="4">
        <ns0:v>3.60</ns0:v>
      </ns0:c>
      <ns0:c r="K327" s="4">
        <ns0:v>6.71</ns0:v>
      </ns0:c>
      <ns0:c r="L327" s="4">
        <ns0:v>7.44</ns0:v>
      </ns0:c>
      <ns0:c r="M327" s="4">
        <ns0:v>6.90</ns0:v>
      </ns0:c>
      <ns0:c r="N327" s="4">
        <ns0:v>4.58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8.52</ns0:v>
      </ns0:c>
      <ns0:c r="D328" s="4">
        <ns0:v>3.47</ns0:v>
      </ns0:c>
      <ns0:c r="E328" s="4">
        <ns0:v>3.64</ns0:v>
      </ns0:c>
      <ns0:c r="F328" s="4">
        <ns0:v>7.63</ns0:v>
      </ns0:c>
      <ns0:c r="G328" s="4">
        <ns0:v>8.09</ns0:v>
      </ns0:c>
      <ns0:c r="H328" s="4">
        <ns0:v>5.58</ns0:v>
      </ns0:c>
      <ns0:c r="I328" s="4">
        <ns0:v>3.09</ns0:v>
      </ns0:c>
      <ns0:c r="J328" s="4">
        <ns0:v>4.37</ns0:v>
      </ns0:c>
      <ns0:c r="K328" s="4">
        <ns0:v>3.21</ns0:v>
      </ns0:c>
      <ns0:c r="L328" s="4">
        <ns0:v>5.77</ns0:v>
      </ns0:c>
      <ns0:c r="M328" s="4">
        <ns0:v>6.74</ns0:v>
      </ns0:c>
      <ns0:c r="N328" s="4">
        <ns0:v>8.95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3.17</ns0:v>
      </ns0:c>
      <ns0:c r="D329" s="4">
        <ns0:v>6.75</ns0:v>
      </ns0:c>
      <ns0:c r="E329" s="4">
        <ns0:v>6.57</ns0:v>
      </ns0:c>
      <ns0:c r="F329" s="4">
        <ns0:v>2.68</ns0:v>
      </ns0:c>
      <ns0:c r="G329" s="4">
        <ns0:v>2.72</ns0:v>
      </ns0:c>
      <ns0:c r="H329" s="4">
        <ns0:v>3.38</ns0:v>
      </ns0:c>
      <ns0:c r="I329" s="4">
        <ns0:v>4.05</ns0:v>
      </ns0:c>
      <ns0:c r="J329" s="4">
        <ns0:v>7.57</ns0:v>
      </ns0:c>
      <ns0:c r="K329" s="4">
        <ns0:v>4.99</ns0:v>
      </ns0:c>
      <ns0:c r="L329" s="4">
        <ns0:v>3.21</ns0:v>
      </ns0:c>
      <ns0:c r="M329" s="4">
        <ns0:v>5.52</ns0:v>
      </ns0:c>
      <ns0:c r="N329" s="4">
        <ns0:v>7.74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3.38</ns0:v>
      </ns0:c>
      <ns0:c r="D330" s="4">
        <ns0:v>2.49</ns0:v>
      </ns0:c>
      <ns0:c r="E330" s="4">
        <ns0:v>3.29</ns0:v>
      </ns0:c>
      <ns0:c r="F330" s="4">
        <ns0:v>2.27</ns0:v>
      </ns0:c>
      <ns0:c r="G330" s="4">
        <ns0:v>7.07</ns0:v>
      </ns0:c>
      <ns0:c r="H330" s="4">
        <ns0:v>3.19</ns0:v>
      </ns0:c>
      <ns0:c r="I330" s="4">
        <ns0:v>6.42</ns0:v>
      </ns0:c>
      <ns0:c r="J330" s="4">
        <ns0:v>9.26</ns0:v>
      </ns0:c>
      <ns0:c r="K330" s="4">
        <ns0:v>4.58</ns0:v>
      </ns0:c>
      <ns0:c r="L330" s="4">
        <ns0:v>6.17</ns0:v>
      </ns0:c>
      <ns0:c r="M330" s="4">
        <ns0:v>2.81</ns0:v>
      </ns0:c>
      <ns0:c r="N330" s="4">
        <ns0:v>3.68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6.64</ns0:v>
      </ns0:c>
      <ns0:c r="D331" s="4">
        <ns0:v>9.34</ns0:v>
      </ns0:c>
      <ns0:c r="E331" s="4">
        <ns0:v>2.36</ns0:v>
      </ns0:c>
      <ns0:c r="F331" s="4">
        <ns0:v>5.02</ns0:v>
      </ns0:c>
      <ns0:c r="G331" s="4">
        <ns0:v>8.45</ns0:v>
      </ns0:c>
      <ns0:c r="H331" s="4">
        <ns0:v>7.43</ns0:v>
      </ns0:c>
      <ns0:c r="I331" s="4">
        <ns0:v>7.48</ns0:v>
      </ns0:c>
      <ns0:c r="J331" s="4">
        <ns0:v>7.55</ns0:v>
      </ns0:c>
      <ns0:c r="K331" s="4">
        <ns0:v>3.84</ns0:v>
      </ns0:c>
      <ns0:c r="L331" s="4">
        <ns0:v>7.18</ns0:v>
      </ns0:c>
      <ns0:c r="M331" s="4">
        <ns0:v>4.95</ns0:v>
      </ns0:c>
      <ns0:c r="N331" s="4">
        <ns0:v>3.01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3.08</ns0:v>
      </ns0:c>
      <ns0:c r="D332" s="4">
        <ns0:v>8.42</ns0:v>
      </ns0:c>
      <ns0:c r="E332" s="4">
        <ns0:v>4.84</ns0:v>
      </ns0:c>
      <ns0:c r="F332" s="4">
        <ns0:v>8.04</ns0:v>
      </ns0:c>
      <ns0:c r="G332" s="4">
        <ns0:v>3.41</ns0:v>
      </ns0:c>
      <ns0:c r="H332" s="4">
        <ns0:v>6.27</ns0:v>
      </ns0:c>
      <ns0:c r="I332" s="4">
        <ns0:v>3.32</ns0:v>
      </ns0:c>
      <ns0:c r="J332" s="4">
        <ns0:v>5.73</ns0:v>
      </ns0:c>
      <ns0:c r="K332" s="4">
        <ns0:v>7.91</ns0:v>
      </ns0:c>
      <ns0:c r="L332" s="4">
        <ns0:v>5.07</ns0:v>
      </ns0:c>
      <ns0:c r="M332" s="4">
        <ns0:v>5.32</ns0:v>
      </ns0:c>
      <ns0:c r="N332" s="4">
        <ns0:v>2.92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4.20</ns0:v>
      </ns0:c>
      <ns0:c r="D333" s="4">
        <ns0:v>3.17</ns0:v>
      </ns0:c>
      <ns0:c r="E333" s="4">
        <ns0:v>3.79</ns0:v>
      </ns0:c>
      <ns0:c r="F333" s="4">
        <ns0:v>6.22</ns0:v>
      </ns0:c>
      <ns0:c r="G333" s="4">
        <ns0:v>7.68</ns0:v>
      </ns0:c>
      <ns0:c r="H333" s="4">
        <ns0:v>3.46</ns0:v>
      </ns0:c>
      <ns0:c r="I333" s="4">
        <ns0:v>4.19</ns0:v>
      </ns0:c>
      <ns0:c r="J333" s="4">
        <ns0:v>7.78</ns0:v>
      </ns0:c>
      <ns0:c r="K333" s="4">
        <ns0:v>5.29</ns0:v>
      </ns0:c>
      <ns0:c r="L333" s="4">
        <ns0:v>7.23</ns0:v>
      </ns0:c>
      <ns0:c r="M333" s="4">
        <ns0:v>7.74</ns0:v>
      </ns0:c>
      <ns0:c r="N333" s="4">
        <ns0:v>7.23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4.28</ns0:v>
      </ns0:c>
      <ns0:c r="D334" s="4">
        <ns0:v>9.14</ns0:v>
      </ns0:c>
      <ns0:c r="E334" s="4">
        <ns0:v>3.12</ns0:v>
      </ns0:c>
      <ns0:c r="F334" s="4">
        <ns0:v>8.01</ns0:v>
      </ns0:c>
      <ns0:c r="G334" s="4">
        <ns0:v>2.87</ns0:v>
      </ns0:c>
      <ns0:c r="H334" s="4">
        <ns0:v>6.08</ns0:v>
      </ns0:c>
      <ns0:c r="I334" s="4">
        <ns0:v>3.58</ns0:v>
      </ns0:c>
      <ns0:c r="J334" s="4">
        <ns0:v>2.06</ns0:v>
      </ns0:c>
      <ns0:c r="K334" s="4">
        <ns0:v>6.77</ns0:v>
      </ns0:c>
      <ns0:c r="L334" s="4">
        <ns0:v>6.24</ns0:v>
      </ns0:c>
      <ns0:c r="M334" s="4">
        <ns0:v>7.19</ns0:v>
      </ns0:c>
      <ns0:c r="N334" s="4">
        <ns0:v>7.07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6.84</ns0:v>
      </ns0:c>
      <ns0:c r="D335" s="4">
        <ns0:v>8.51</ns0:v>
      </ns0:c>
      <ns0:c r="E335" s="4">
        <ns0:v>8.43</ns0:v>
      </ns0:c>
      <ns0:c r="F335" s="4">
        <ns0:v>3.25</ns0:v>
      </ns0:c>
      <ns0:c r="G335" s="4">
        <ns0:v>3.48</ns0:v>
      </ns0:c>
      <ns0:c r="H335" s="4">
        <ns0:v>8.45</ns0:v>
      </ns0:c>
      <ns0:c r="I335" s="4">
        <ns0:v>8.14</ns0:v>
      </ns0:c>
      <ns0:c r="J335" s="4">
        <ns0:v>8.42</ns0:v>
      </ns0:c>
      <ns0:c r="K335" s="4">
        <ns0:v>8.58</ns0:v>
      </ns0:c>
      <ns0:c r="L335" s="4">
        <ns0:v>4.26</ns0:v>
      </ns0:c>
      <ns0:c r="M335" s="4">
        <ns0:v>8.87</ns0:v>
      </ns0:c>
      <ns0:c r="N335" s="4">
        <ns0:v>6.86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5.12</ns0:v>
      </ns0:c>
      <ns0:c r="D336" s="4">
        <ns0:v>9.09</ns0:v>
      </ns0:c>
      <ns0:c r="E336" s="4">
        <ns0:v>7.69</ns0:v>
      </ns0:c>
      <ns0:c r="F336" s="4">
        <ns0:v>8.06</ns0:v>
      </ns0:c>
      <ns0:c r="G336" s="4">
        <ns0:v>7.37</ns0:v>
      </ns0:c>
      <ns0:c r="H336" s="4">
        <ns0:v>6.74</ns0:v>
      </ns0:c>
      <ns0:c r="I336" s="4">
        <ns0:v>5.59</ns0:v>
      </ns0:c>
      <ns0:c r="J336" s="4">
        <ns0:v>6.50</ns0:v>
      </ns0:c>
      <ns0:c r="K336" s="4">
        <ns0:v>2.84</ns0:v>
      </ns0:c>
      <ns0:c r="L336" s="4">
        <ns0:v>3.90</ns0:v>
      </ns0:c>
      <ns0:c r="M336" s="4">
        <ns0:v>3.58</ns0:v>
      </ns0:c>
      <ns0:c r="N336" s="4">
        <ns0:v>3.49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9.12</ns0:v>
      </ns0:c>
      <ns0:c r="D337" s="4">
        <ns0:v>2.71</ns0:v>
      </ns0:c>
      <ns0:c r="E337" s="4">
        <ns0:v>4.81</ns0:v>
      </ns0:c>
      <ns0:c r="F337" s="4">
        <ns0:v>4.45</ns0:v>
      </ns0:c>
      <ns0:c r="G337" s="4">
        <ns0:v>7.07</ns0:v>
      </ns0:c>
      <ns0:c r="H337" s="4">
        <ns0:v>6.05</ns0:v>
      </ns0:c>
      <ns0:c r="I337" s="4">
        <ns0:v>5.28</ns0:v>
      </ns0:c>
      <ns0:c r="J337" s="4">
        <ns0:v>2.78</ns0:v>
      </ns0:c>
      <ns0:c r="K337" s="4">
        <ns0:v>2.85</ns0:v>
      </ns0:c>
      <ns0:c r="L337" s="4">
        <ns0:v>2.03</ns0:v>
      </ns0:c>
      <ns0:c r="M337" s="4">
        <ns0:v>5.41</ns0:v>
      </ns0:c>
      <ns0:c r="N337" s="4">
        <ns0:v>3.72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9.15</ns0:v>
      </ns0:c>
      <ns0:c r="D338" s="4">
        <ns0:v>7.02</ns0:v>
      </ns0:c>
      <ns0:c r="E338" s="4">
        <ns0:v>3.28</ns0:v>
      </ns0:c>
      <ns0:c r="F338" s="4">
        <ns0:v>9.42</ns0:v>
      </ns0:c>
      <ns0:c r="G338" s="4">
        <ns0:v>8.14</ns0:v>
      </ns0:c>
      <ns0:c r="H338" s="4">
        <ns0:v>5.45</ns0:v>
      </ns0:c>
      <ns0:c r="I338" s="4">
        <ns0:v>8.49</ns0:v>
      </ns0:c>
      <ns0:c r="J338" s="4">
        <ns0:v>7.60</ns0:v>
      </ns0:c>
      <ns0:c r="K338" s="4">
        <ns0:v>3.69</ns0:v>
      </ns0:c>
      <ns0:c r="L338" s="4">
        <ns0:v>9.42</ns0:v>
      </ns0:c>
      <ns0:c r="M338" s="4">
        <ns0:v>6.48</ns0:v>
      </ns0:c>
      <ns0:c r="N338" s="4">
        <ns0:v>8.95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2.11</ns0:v>
      </ns0:c>
      <ns0:c r="D339" s="4">
        <ns0:v>5.56</ns0:v>
      </ns0:c>
      <ns0:c r="E339" s="4">
        <ns0:v>5.54</ns0:v>
      </ns0:c>
      <ns0:c r="F339" s="4">
        <ns0:v>4.63</ns0:v>
      </ns0:c>
      <ns0:c r="G339" s="4">
        <ns0:v>6.75</ns0:v>
      </ns0:c>
      <ns0:c r="H339" s="4">
        <ns0:v>8.20</ns0:v>
      </ns0:c>
      <ns0:c r="I339" s="4">
        <ns0:v>3.11</ns0:v>
      </ns0:c>
      <ns0:c r="J339" s="4">
        <ns0:v>2.85</ns0:v>
      </ns0:c>
      <ns0:c r="K339" s="4">
        <ns0:v>5.58</ns0:v>
      </ns0:c>
      <ns0:c r="L339" s="4">
        <ns0:v>5.91</ns0:v>
      </ns0:c>
      <ns0:c r="M339" s="4">
        <ns0:v>5.87</ns0:v>
      </ns0:c>
      <ns0:c r="N339" s="4">
        <ns0:v>5.32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5.51</ns0:v>
      </ns0:c>
      <ns0:c r="D341" s="4">
        <ns0:v>2.38</ns0:v>
      </ns0:c>
      <ns0:c r="E341" s="4">
        <ns0:v>6.81</ns0:v>
      </ns0:c>
      <ns0:c r="F341" s="4">
        <ns0:v>6.21</ns0:v>
      </ns0:c>
      <ns0:c r="G341" s="4">
        <ns0:v>9.39</ns0:v>
      </ns0:c>
      <ns0:c r="H341" s="4">
        <ns0:v>3.15</ns0:v>
      </ns0:c>
      <ns0:c r="I341" s="4">
        <ns0:v>9.68</ns0:v>
      </ns0:c>
      <ns0:c r="J341" s="4">
        <ns0:v>7.62</ns0:v>
      </ns0:c>
      <ns0:c r="K341" s="4">
        <ns0:v>3.99</ns0:v>
      </ns0:c>
      <ns0:c r="L341" s="4">
        <ns0:v>4.88</ns0:v>
      </ns0:c>
      <ns0:c r="M341" s="4">
        <ns0:v>8.11</ns0:v>
      </ns0:c>
      <ns0:c r="N341" s="4">
        <ns0:v>7.85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3.33</ns0:v>
      </ns0:c>
      <ns0:c r="D342" s="4">
        <ns0:v>8.16</ns0:v>
      </ns0:c>
      <ns0:c r="E342" s="4">
        <ns0:v>5.63</ns0:v>
      </ns0:c>
      <ns0:c r="F342" s="4">
        <ns0:v>3.19</ns0:v>
      </ns0:c>
      <ns0:c r="G342" s="4">
        <ns0:v>7.99</ns0:v>
      </ns0:c>
      <ns0:c r="H342" s="4">
        <ns0:v>8.16</ns0:v>
      </ns0:c>
      <ns0:c r="I342" s="4">
        <ns0:v>2.95</ns0:v>
      </ns0:c>
      <ns0:c r="J342" s="4">
        <ns0:v>5.67</ns0:v>
      </ns0:c>
      <ns0:c r="K342" s="4">
        <ns0:v>5.61</ns0:v>
      </ns0:c>
      <ns0:c r="L342" s="4">
        <ns0:v>5.16</ns0:v>
      </ns0:c>
      <ns0:c r="M342" s="4">
        <ns0:v>6.77</ns0:v>
      </ns0:c>
      <ns0:c r="N342" s="4">
        <ns0:v>8.66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5.63</ns0:v>
      </ns0:c>
      <ns0:c r="D343" s="4">
        <ns0:v>5.16</ns0:v>
      </ns0:c>
      <ns0:c r="E343" s="4">
        <ns0:v>3.42</ns0:v>
      </ns0:c>
      <ns0:c r="F343" s="4">
        <ns0:v>2.33</ns0:v>
      </ns0:c>
      <ns0:c r="G343" s="4">
        <ns0:v>8.45</ns0:v>
      </ns0:c>
      <ns0:c r="H343" s="4">
        <ns0:v>5.38</ns0:v>
      </ns0:c>
      <ns0:c r="I343" s="4">
        <ns0:v>5.17</ns0:v>
      </ns0:c>
      <ns0:c r="J343" s="4">
        <ns0:v>1.91</ns0:v>
      </ns0:c>
      <ns0:c r="K343" s="4">
        <ns0:v>7.64</ns0:v>
      </ns0:c>
      <ns0:c r="L343" s="4">
        <ns0:v>5.51</ns0:v>
      </ns0:c>
      <ns0:c r="M343" s="4">
        <ns0:v>2.42</ns0:v>
      </ns0:c>
      <ns0:c r="N343" s="4">
        <ns0:v>7.09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5.71</ns0:v>
      </ns0:c>
      <ns0:c r="D344" s="4">
        <ns0:v>5.94</ns0:v>
      </ns0:c>
      <ns0:c r="E344" s="4">
        <ns0:v>3.07</ns0:v>
      </ns0:c>
      <ns0:c r="F344" s="4">
        <ns0:v>2.80</ns0:v>
      </ns0:c>
      <ns0:c r="G344" s="4">
        <ns0:v>5.28</ns0:v>
      </ns0:c>
      <ns0:c r="H344" s="4">
        <ns0:v>4.06</ns0:v>
      </ns0:c>
      <ns0:c r="I344" s="4">
        <ns0:v>4.11</ns0:v>
      </ns0:c>
      <ns0:c r="J344" s="4">
        <ns0:v>5.88</ns0:v>
      </ns0:c>
      <ns0:c r="K344" s="4">
        <ns0:v>5.94</ns0:v>
      </ns0:c>
      <ns0:c r="L344" s="4">
        <ns0:v>2.63</ns0:v>
      </ns0:c>
      <ns0:c r="M344" s="4">
        <ns0:v>7.78</ns0:v>
      </ns0:c>
      <ns0:c r="N344" s="4">
        <ns0:v>3.71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2.17</ns0:v>
      </ns0:c>
      <ns0:c r="D345" s="4">
        <ns0:v>5.58</ns0:v>
      </ns0:c>
      <ns0:c r="E345" s="4">
        <ns0:v>4.50</ns0:v>
      </ns0:c>
      <ns0:c r="F345" s="4">
        <ns0:v>7.30</ns0:v>
      </ns0:c>
      <ns0:c r="G345" s="4">
        <ns0:v>4.49</ns0:v>
      </ns0:c>
      <ns0:c r="H345" s="4">
        <ns0:v>7.86</ns0:v>
      </ns0:c>
      <ns0:c r="I345" s="4">
        <ns0:v>7.49</ns0:v>
      </ns0:c>
      <ns0:c r="J345" s="4">
        <ns0:v>7.54</ns0:v>
      </ns0:c>
      <ns0:c r="K345" s="4">
        <ns0:v>4.72</ns0:v>
      </ns0:c>
      <ns0:c r="L345" s="4">
        <ns0:v>5.05</ns0:v>
      </ns0:c>
      <ns0:c r="M345" s="4">
        <ns0:v>3.72</ns0:v>
      </ns0:c>
      <ns0:c r="N345" s="4">
        <ns0:v>3.49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1.94</ns0:v>
      </ns0:c>
      <ns0:c r="D346" s="4">
        <ns0:v>7.28</ns0:v>
      </ns0:c>
      <ns0:c r="E346" s="4">
        <ns0:v>5.85</ns0:v>
      </ns0:c>
      <ns0:c r="F346" s="4">
        <ns0:v>4.12</ns0:v>
      </ns0:c>
      <ns0:c r="G346" s="4">
        <ns0:v>2.12</ns0:v>
      </ns0:c>
      <ns0:c r="H346" s="4">
        <ns0:v>4.82</ns0:v>
      </ns0:c>
      <ns0:c r="I346" s="4">
        <ns0:v>3.24</ns0:v>
      </ns0:c>
      <ns0:c r="J346" s="4">
        <ns0:v>7.43</ns0:v>
      </ns0:c>
      <ns0:c r="K346" s="4">
        <ns0:v>8.86</ns0:v>
      </ns0:c>
      <ns0:c r="L346" s="4">
        <ns0:v>2.50</ns0:v>
      </ns0:c>
      <ns0:c r="M346" s="4">
        <ns0:v>4.19</ns0:v>
      </ns0:c>
      <ns0:c r="N346" s="4">
        <ns0:v>5.46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6.62</ns0:v>
      </ns0:c>
      <ns0:c r="D347" s="4">
        <ns0:v>4.05</ns0:v>
      </ns0:c>
      <ns0:c r="E347" s="4">
        <ns0:v>5.43</ns0:v>
      </ns0:c>
      <ns0:c r="F347" s="4">
        <ns0:v>4.73</ns0:v>
      </ns0:c>
      <ns0:c r="G347" s="4">
        <ns0:v>8.44</ns0:v>
      </ns0:c>
      <ns0:c r="H347" s="4">
        <ns0:v>6.68</ns0:v>
      </ns0:c>
      <ns0:c r="I347" s="4">
        <ns0:v>7.50</ns0:v>
      </ns0:c>
      <ns0:c r="J347" s="4">
        <ns0:v>4.77</ns0:v>
      </ns0:c>
      <ns0:c r="K347" s="4">
        <ns0:v>5.92</ns0:v>
      </ns0:c>
      <ns0:c r="L347" s="4">
        <ns0:v>6.55</ns0:v>
      </ns0:c>
      <ns0:c r="M347" s="4">
        <ns0:v>3.02</ns0:v>
      </ns0:c>
      <ns0:c r="N347" s="4">
        <ns0:v>5.20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2.76</ns0:v>
      </ns0:c>
      <ns0:c r="D348" s="4">
        <ns0:v>3.41</ns0:v>
      </ns0:c>
      <ns0:c r="E348" s="4">
        <ns0:v>6.73</ns0:v>
      </ns0:c>
      <ns0:c r="F348" s="4">
        <ns0:v>5.72</ns0:v>
      </ns0:c>
      <ns0:c r="G348" s="4">
        <ns0:v>5.76</ns0:v>
      </ns0:c>
      <ns0:c r="H348" s="4">
        <ns0:v>3.70</ns0:v>
      </ns0:c>
      <ns0:c r="I348" s="4">
        <ns0:v>7.56</ns0:v>
      </ns0:c>
      <ns0:c r="J348" s="4">
        <ns0:v>3.28</ns0:v>
      </ns0:c>
      <ns0:c r="K348" s="4">
        <ns0:v>2.49</ns0:v>
      </ns0:c>
      <ns0:c r="L348" s="4">
        <ns0:v>7.31</ns0:v>
      </ns0:c>
      <ns0:c r="M348" s="4">
        <ns0:v>2.08</ns0:v>
      </ns0:c>
      <ns0:c r="N348" s="4">
        <ns0:v>8.84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3.40</ns0:v>
      </ns0:c>
      <ns0:c r="D350" s="4">
        <ns0:v>7.53</ns0:v>
      </ns0:c>
      <ns0:c r="E350" s="4">
        <ns0:v>8.11</ns0:v>
      </ns0:c>
      <ns0:c r="F350" s="4">
        <ns0:v>8.14</ns0:v>
      </ns0:c>
      <ns0:c r="G350" s="4">
        <ns0:v>3.80</ns0:v>
      </ns0:c>
      <ns0:c r="H350" s="4">
        <ns0:v>5.97</ns0:v>
      </ns0:c>
      <ns0:c r="I350" s="4">
        <ns0:v>2.98</ns0:v>
      </ns0:c>
      <ns0:c r="J350" s="4">
        <ns0:v>7.23</ns0:v>
      </ns0:c>
      <ns0:c r="K350" s="4">
        <ns0:v>5.98</ns0:v>
      </ns0:c>
      <ns0:c r="L350" s="4">
        <ns0:v>7.48</ns0:v>
      </ns0:c>
      <ns0:c r="M350" s="4">
        <ns0:v>9.51</ns0:v>
      </ns0:c>
      <ns0:c r="N350" s="4">
        <ns0:v>3.42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8.77</ns0:v>
      </ns0:c>
      <ns0:c r="D351" s="4">
        <ns0:v>3.56</ns0:v>
      </ns0:c>
      <ns0:c r="E351" s="4">
        <ns0:v>6.12</ns0:v>
      </ns0:c>
      <ns0:c r="F351" s="4">
        <ns0:v>7.08</ns0:v>
      </ns0:c>
      <ns0:c r="G351" s="4">
        <ns0:v>4.19</ns0:v>
      </ns0:c>
      <ns0:c r="H351" s="4">
        <ns0:v>4.42</ns0:v>
      </ns0:c>
      <ns0:c r="I351" s="4">
        <ns0:v>5.18</ns0:v>
      </ns0:c>
      <ns0:c r="J351" s="4">
        <ns0:v>6.11</ns0:v>
      </ns0:c>
      <ns0:c r="K351" s="4">
        <ns0:v>5.20</ns0:v>
      </ns0:c>
      <ns0:c r="L351" s="4">
        <ns0:v>6.51</ns0:v>
      </ns0:c>
      <ns0:c r="M351" s="4">
        <ns0:v>3.43</ns0:v>
      </ns0:c>
      <ns0:c r="N351" s="4">
        <ns0:v>4.18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5.01</ns0:v>
      </ns0:c>
      <ns0:c r="D352" s="4">
        <ns0:v>7.65</ns0:v>
      </ns0:c>
      <ns0:c r="E352" s="4">
        <ns0:v>5.34</ns0:v>
      </ns0:c>
      <ns0:c r="F352" s="4">
        <ns0:v>4.12</ns0:v>
      </ns0:c>
      <ns0:c r="G352" s="4">
        <ns0:v>6.82</ns0:v>
      </ns0:c>
      <ns0:c r="H352" s="4">
        <ns0:v>7.58</ns0:v>
      </ns0:c>
      <ns0:c r="I352" s="4">
        <ns0:v>3.99</ns0:v>
      </ns0:c>
      <ns0:c r="J352" s="4">
        <ns0:v>3.65</ns0:v>
      </ns0:c>
      <ns0:c r="K352" s="4">
        <ns0:v>8.52</ns0:v>
      </ns0:c>
      <ns0:c r="L352" s="4">
        <ns0:v>7.58</ns0:v>
      </ns0:c>
      <ns0:c r="M352" s="4">
        <ns0:v>6.42</ns0:v>
      </ns0:c>
      <ns0:c r="N352" s="4">
        <ns0:v>4.29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5.93</ns0:v>
      </ns0:c>
      <ns0:c r="D353" s="4">
        <ns0:v>4.99</ns0:v>
      </ns0:c>
      <ns0:c r="E353" s="4">
        <ns0:v>4.54</ns0:v>
      </ns0:c>
      <ns0:c r="F353" s="4">
        <ns0:v>3.92</ns0:v>
      </ns0:c>
      <ns0:c r="G353" s="4">
        <ns0:v>5.08</ns0:v>
      </ns0:c>
      <ns0:c r="H353" s="4">
        <ns0:v>4.70</ns0:v>
      </ns0:c>
      <ns0:c r="I353" s="4">
        <ns0:v>6.07</ns0:v>
      </ns0:c>
      <ns0:c r="J353" s="4">
        <ns0:v>2.80</ns0:v>
      </ns0:c>
      <ns0:c r="K353" s="4">
        <ns0:v>3.44</ns0:v>
      </ns0:c>
      <ns0:c r="L353" s="4">
        <ns0:v>6.41</ns0:v>
      </ns0:c>
      <ns0:c r="M353" s="4">
        <ns0:v>8.51</ns0:v>
      </ns0:c>
      <ns0:c r="N353" s="4">
        <ns0:v>3.24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98.95</ns0:v>
      </ns0:c>
      <ns0:c r="D4" s="3">
        <ns0:f>ROUND(D204*D324,2)</ns0:f>
        <ns0:v>146.77</ns0:v>
      </ns0:c>
      <ns0:c r="E4" s="3">
        <ns0:f>ROUND(E204*E324,2)</ns0:f>
        <ns0:v>279.75</ns0:v>
      </ns0:c>
      <ns0:c r="F4" s="3">
        <ns0:f>ROUND(F204*F324,2)</ns0:f>
        <ns0:v>181.67</ns0:v>
      </ns0:c>
      <ns0:c r="G4" s="3">
        <ns0:f>ROUND(G204*G324,2)</ns0:f>
        <ns0:v>538.47</ns0:v>
      </ns0:c>
      <ns0:c r="H4" s="3">
        <ns0:f>ROUND(H204*H324,2)</ns0:f>
        <ns0:v>150.48</ns0:v>
      </ns0:c>
      <ns0:c r="I4" s="3">
        <ns0:f>ROUND(I204*I324,2)</ns0:f>
        <ns0:v>156.61</ns0:v>
      </ns0:c>
      <ns0:c r="J4" s="3">
        <ns0:f>ROUND(J204*J324,2)</ns0:f>
        <ns0:v>142.02</ns0:v>
      </ns0:c>
      <ns0:c r="K4" s="3">
        <ns0:f>ROUND(K204*K324,2)</ns0:f>
        <ns0:v>538.35</ns0:v>
      </ns0:c>
      <ns0:c r="L4" s="3">
        <ns0:f>ROUND(L204*L324,2)</ns0:f>
        <ns0:v>177.29</ns0:v>
      </ns0:c>
      <ns0:c r="M4" s="3">
        <ns0:f>ROUND(M204*M324,2)</ns0:f>
        <ns0:v>190.63</ns0:v>
      </ns0:c>
      <ns0:c r="N4" s="3">
        <ns0:f>ROUND(N204*N324,2)</ns0:f>
        <ns0:v>318.29</ns0:v>
      </ns0:c>
      <ns0:c r="O4" s="3">
        <ns0:f>SUM(C4:N4)</ns0:f>
        <ns0:v>2919.28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153.86</ns0:v>
      </ns0:c>
      <ns0:c r="D5" s="3">
        <ns0:f>ROUND(D205*D325,2)</ns0:f>
        <ns0:v>300.28</ns0:v>
      </ns0:c>
      <ns0:c r="E5" s="3">
        <ns0:f>ROUND(E205*E325,2)</ns0:f>
        <ns0:v>100.14</ns0:v>
      </ns0:c>
      <ns0:c r="F5" s="3">
        <ns0:f>ROUND(F205*F325,2)</ns0:f>
        <ns0:v>375.17</ns0:v>
      </ns0:c>
      <ns0:c r="G5" s="3">
        <ns0:f>ROUND(G205*G325,2)</ns0:f>
        <ns0:v>248.17</ns0:v>
      </ns0:c>
      <ns0:c r="H5" s="3">
        <ns0:f>ROUND(H205*H325,2)</ns0:f>
        <ns0:v>98.53</ns0:v>
      </ns0:c>
      <ns0:c r="I5" s="3">
        <ns0:f>ROUND(I205*I325,2)</ns0:f>
        <ns0:v>196.26</ns0:v>
      </ns0:c>
      <ns0:c r="J5" s="3">
        <ns0:f>ROUND(J205*J325,2)</ns0:f>
        <ns0:v>92.94</ns0:v>
      </ns0:c>
      <ns0:c r="K5" s="3">
        <ns0:f>ROUND(K205*K325,2)</ns0:f>
        <ns0:v>130.57</ns0:v>
      </ns0:c>
      <ns0:c r="L5" s="3">
        <ns0:f>ROUND(L205*L325,2)</ns0:f>
        <ns0:v>320.40</ns0:v>
      </ns0:c>
      <ns0:c r="M5" s="3">
        <ns0:f>ROUND(M205*M325,2)</ns0:f>
        <ns0:v>111.07</ns0:v>
      </ns0:c>
      <ns0:c r="N5" s="3">
        <ns0:f>ROUND(N205*N325,2)</ns0:f>
        <ns0:v>94.73</ns0:v>
      </ns0:c>
      <ns0:c r="O5" s="3">
        <ns0:f>SUM(C5:N5)</ns0:f>
        <ns0:v>2222.12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111.49</ns0:v>
      </ns0:c>
      <ns0:c r="D6" s="3">
        <ns0:f>ROUND(D206*D326,2)</ns0:f>
        <ns0:v>399.84</ns0:v>
      </ns0:c>
      <ns0:c r="E6" s="3">
        <ns0:f>ROUND(E206*E326,2)</ns0:f>
        <ns0:v>112.91</ns0:v>
      </ns0:c>
      <ns0:c r="F6" s="3">
        <ns0:f>ROUND(F206*F326,2)</ns0:f>
        <ns0:v>217.63</ns0:v>
      </ns0:c>
      <ns0:c r="G6" s="3">
        <ns0:f>ROUND(G206*G326,2)</ns0:f>
        <ns0:v>309.55</ns0:v>
      </ns0:c>
      <ns0:c r="H6" s="3">
        <ns0:f>ROUND(H206*H326,2)</ns0:f>
        <ns0:v>326.66</ns0:v>
      </ns0:c>
      <ns0:c r="I6" s="3">
        <ns0:f>ROUND(I206*I326,2)</ns0:f>
        <ns0:v>382.57</ns0:v>
      </ns0:c>
      <ns0:c r="J6" s="3">
        <ns0:f>ROUND(J206*J326,2)</ns0:f>
        <ns0:v>384.87</ns0:v>
      </ns0:c>
      <ns0:c r="K6" s="3">
        <ns0:f>ROUND(K206*K326,2)</ns0:f>
        <ns0:v>119.57</ns0:v>
      </ns0:c>
      <ns0:c r="L6" s="3">
        <ns0:f>ROUND(L206*L326,2)</ns0:f>
        <ns0:v>210.13</ns0:v>
      </ns0:c>
      <ns0:c r="M6" s="3">
        <ns0:f>ROUND(M206*M326,2)</ns0:f>
        <ns0:v>64.13</ns0:v>
      </ns0:c>
      <ns0:c r="N6" s="3">
        <ns0:f>ROUND(N206*N326,2)</ns0:f>
        <ns0:v>425.06</ns0:v>
      </ns0:c>
      <ns0:c r="O6" s="3">
        <ns0:f>SUM(C6:N6)</ns0:f>
        <ns0:v>3064.41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129.99</ns0:v>
      </ns0:c>
      <ns0:c r="D7" s="3">
        <ns0:f>ROUND(D207*D327,2)</ns0:f>
        <ns0:v>123.86</ns0:v>
      </ns0:c>
      <ns0:c r="E7" s="3">
        <ns0:f>ROUND(E207*E327,2)</ns0:f>
        <ns0:v>334.11</ns0:v>
      </ns0:c>
      <ns0:c r="F7" s="3">
        <ns0:f>ROUND(F207*F327,2)</ns0:f>
        <ns0:v>90.16</ns0:v>
      </ns0:c>
      <ns0:c r="G7" s="3">
        <ns0:f>ROUND(G207*G327,2)</ns0:f>
        <ns0:v>308.58</ns0:v>
      </ns0:c>
      <ns0:c r="H7" s="3">
        <ns0:f>ROUND(H207*H327,2)</ns0:f>
        <ns0:v>520.96</ns0:v>
      </ns0:c>
      <ns0:c r="I7" s="3">
        <ns0:f>ROUND(I207*I327,2)</ns0:f>
        <ns0:v>82.13</ns0:v>
      </ns0:c>
      <ns0:c r="J7" s="3">
        <ns0:f>ROUND(J207*J327,2)</ns0:f>
        <ns0:v>112.66</ns0:v>
      </ns0:c>
      <ns0:c r="K7" s="3">
        <ns0:f>ROUND(K207*K327,2)</ns0:f>
        <ns0:v>204.19</ns0:v>
      </ns0:c>
      <ns0:c r="L7" s="3">
        <ns0:f>ROUND(L207*L327,2)</ns0:f>
        <ns0:v>102.96</ns0:v>
      </ns0:c>
      <ns0:c r="M7" s="3">
        <ns0:f>ROUND(M207*M327,2)</ns0:f>
        <ns0:v>151.45</ns0:v>
      </ns0:c>
      <ns0:c r="N7" s="3">
        <ns0:f>ROUND(N207*N327,2)</ns0:f>
        <ns0:v>302.45</ns0:v>
      </ns0:c>
      <ns0:c r="O7" s="3">
        <ns0:f>SUM(C7:N7)</ns0:f>
        <ns0:v>2463.50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69.60</ns0:v>
      </ns0:c>
      <ns0:c r="D8" s="3">
        <ns0:f>ROUND(D208*D328,2)</ns0:f>
        <ns0:v>207.50</ns0:v>
      </ns0:c>
      <ns0:c r="E8" s="3">
        <ns0:f>ROUND(E208*E328,2)</ns0:f>
        <ns0:v>218.53</ns0:v>
      </ns0:c>
      <ns0:c r="F8" s="3">
        <ns0:f>ROUND(F208*F328,2)</ns0:f>
        <ns0:v>343.88</ns0:v>
      </ns0:c>
      <ns0:c r="G8" s="3">
        <ns0:f>ROUND(G208*G328,2)</ns0:f>
        <ns0:v>246.30</ns0:v>
      </ns0:c>
      <ns0:c r="H8" s="3">
        <ns0:f>ROUND(H208*H328,2)</ns0:f>
        <ns0:v>94.39</ns0:v>
      </ns0:c>
      <ns0:c r="I8" s="3">
        <ns0:f>ROUND(I208*I328,2)</ns0:f>
        <ns0:v>285.78</ns0:v>
      </ns0:c>
      <ns0:c r="J8" s="3">
        <ns0:f>ROUND(J208*J328,2)</ns0:f>
        <ns0:v>140.07</ns0:v>
      </ns0:c>
      <ns0:c r="K8" s="3">
        <ns0:f>ROUND(K208*K328,2)</ns0:f>
        <ns0:v>109.72</ns0:v>
      </ns0:c>
      <ns0:c r="L8" s="3">
        <ns0:f>ROUND(L208*L328,2)</ns0:f>
        <ns0:v>115.01</ns0:v>
      </ns0:c>
      <ns0:c r="M8" s="3">
        <ns0:f>ROUND(M208*M328,2)</ns0:f>
        <ns0:v>591.98</ns0:v>
      </ns0:c>
      <ns0:c r="N8" s="3">
        <ns0:f>ROUND(N208*N328,2)</ns0:f>
        <ns0:v>277.77</ns0:v>
      </ns0:c>
      <ns0:c r="O8" s="3">
        <ns0:f>SUM(C8:N8)</ns0:f>
        <ns0:v>2700.53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298.22</ns0:v>
      </ns0:c>
      <ns0:c r="D9" s="3">
        <ns0:f>ROUND(D209*D329,2)</ns0:f>
        <ns0:v>230.38</ns0:v>
      </ns0:c>
      <ns0:c r="E9" s="3">
        <ns0:f>ROUND(E209*E329,2)</ns0:f>
        <ns0:v>317.32</ns0:v>
      </ns0:c>
      <ns0:c r="F9" s="3">
        <ns0:f>ROUND(F209*F329,2)</ns0:f>
        <ns0:v>422.95</ns0:v>
      </ns0:c>
      <ns0:c r="G9" s="3">
        <ns0:f>ROUND(G209*G329,2)</ns0:f>
        <ns0:v>187.48</ns0:v>
      </ns0:c>
      <ns0:c r="H9" s="3">
        <ns0:f>ROUND(H209*H329,2)</ns0:f>
        <ns0:v>235.35</ns0:v>
      </ns0:c>
      <ns0:c r="I9" s="3">
        <ns0:f>ROUND(I209*I329,2)</ns0:f>
        <ns0:v>129.02</ns0:v>
      </ns0:c>
      <ns0:c r="J9" s="3">
        <ns0:f>ROUND(J209*J329,2)</ns0:f>
        <ns0:v>227.70</ns0:v>
      </ns0:c>
      <ns0:c r="K9" s="3">
        <ns0:f>ROUND(K209*K329,2)</ns0:f>
        <ns0:v>311.00</ns0:v>
      </ns0:c>
      <ns0:c r="L9" s="3">
        <ns0:f>ROUND(L209*L329,2)</ns0:f>
        <ns0:v>68.12</ns0:v>
      </ns0:c>
      <ns0:c r="M9" s="3">
        <ns0:f>ROUND(M209*M329,2)</ns0:f>
        <ns0:v>335.54</ns0:v>
      </ns0:c>
      <ns0:c r="N9" s="3">
        <ns0:f>ROUND(N209*N329,2)</ns0:f>
        <ns0:v>385.06</ns0:v>
      </ns0:c>
      <ns0:c r="O9" s="3">
        <ns0:f>SUM(C9:N9)</ns0:f>
        <ns0:v>3148.14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556.31</ns0:v>
      </ns0:c>
      <ns0:c r="D10" s="3">
        <ns0:f>ROUND(D210*D330,2)</ns0:f>
        <ns0:v>191.59</ns0:v>
      </ns0:c>
      <ns0:c r="E10" s="3">
        <ns0:f>ROUND(E210*E330,2)</ns0:f>
        <ns0:v>383.71</ns0:v>
      </ns0:c>
      <ns0:c r="F10" s="3">
        <ns0:f>ROUND(F210*F330,2)</ns0:f>
        <ns0:v>255.58</ns0:v>
      </ns0:c>
      <ns0:c r="G10" s="3">
        <ns0:f>ROUND(G210*G330,2)</ns0:f>
        <ns0:v>111.42</ns0:v>
      </ns0:c>
      <ns0:c r="H10" s="3">
        <ns0:f>ROUND(H210*H330,2)</ns0:f>
        <ns0:v>89.16</ns0:v>
      </ns0:c>
      <ns0:c r="I10" s="3">
        <ns0:f>ROUND(I210*I330,2)</ns0:f>
        <ns0:v>289.64</ns0:v>
      </ns0:c>
      <ns0:c r="J10" s="3">
        <ns0:f>ROUND(J210*J330,2)</ns0:f>
        <ns0:v>567.46</ns0:v>
      </ns0:c>
      <ns0:c r="K10" s="3">
        <ns0:f>ROUND(K210*K330,2)</ns0:f>
        <ns0:v>56.86</ns0:v>
      </ns0:c>
      <ns0:c r="L10" s="3">
        <ns0:f>ROUND(L210*L330,2)</ns0:f>
        <ns0:v>59.00</ns0:v>
      </ns0:c>
      <ns0:c r="M10" s="3">
        <ns0:f>ROUND(M210*M330,2)</ns0:f>
        <ns0:v>269.55</ns0:v>
      </ns0:c>
      <ns0:c r="N10" s="3">
        <ns0:f>ROUND(N210*N330,2)</ns0:f>
        <ns0:v>546.66</ns0:v>
      </ns0:c>
      <ns0:c r="O10" s="3">
        <ns0:f>SUM(C10:N10)</ns0:f>
        <ns0:v>3376.94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590.67</ns0:v>
      </ns0:c>
      <ns0:c r="D11" s="3">
        <ns0:f>ROUND(D211*D331,2)</ns0:f>
        <ns0:v>118.59</ns0:v>
      </ns0:c>
      <ns0:c r="E11" s="3">
        <ns0:f>ROUND(E211*E331,2)</ns0:f>
        <ns0:v>540.61</ns0:v>
      </ns0:c>
      <ns0:c r="F11" s="3">
        <ns0:f>ROUND(F211*F331,2)</ns0:f>
        <ns0:v>155.24</ns0:v>
      </ns0:c>
      <ns0:c r="G11" s="3">
        <ns0:f>ROUND(G211*G331,2)</ns0:f>
        <ns0:v>74.74</ns0:v>
      </ns0:c>
      <ns0:c r="H11" s="3">
        <ns0:f>ROUND(H211*H331,2)</ns0:f>
        <ns0:v>289.54</ns0:v>
      </ns0:c>
      <ns0:c r="I11" s="3">
        <ns0:f>ROUND(I211*I331,2)</ns0:f>
        <ns0:v>84.35</ns0:v>
      </ns0:c>
      <ns0:c r="J11" s="3">
        <ns0:f>ROUND(J211*J331,2)</ns0:f>
        <ns0:v>223.97</ns0:v>
      </ns0:c>
      <ns0:c r="K11" s="3">
        <ns0:f>ROUND(K211*K331,2)</ns0:f>
        <ns0:v>111.68</ns0:v>
      </ns0:c>
      <ns0:c r="L11" s="3">
        <ns0:f>ROUND(L211*L331,2)</ns0:f>
        <ns0:v>102.70</ns0:v>
      </ns0:c>
      <ns0:c r="M11" s="3">
        <ns0:f>ROUND(M211*M331,2)</ns0:f>
        <ns0:v>483.28</ns0:v>
      </ns0:c>
      <ns0:c r="N11" s="3">
        <ns0:f>ROUND(N211*N331,2)</ns0:f>
        <ns0:v>142.68</ns0:v>
      </ns0:c>
      <ns0:c r="O11" s="3">
        <ns0:f>SUM(C11:N11)</ns0:f>
        <ns0:v>2918.05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128.27</ns0:v>
      </ns0:c>
      <ns0:c r="D12" s="3">
        <ns0:f>ROUND(D212*D332,2)</ns0:f>
        <ns0:v>72.02</ns0:v>
      </ns0:c>
      <ns0:c r="E12" s="3">
        <ns0:f>ROUND(E212*E332,2)</ns0:f>
        <ns0:v>202.75</ns0:v>
      </ns0:c>
      <ns0:c r="F12" s="3">
        <ns0:f>ROUND(F212*F332,2)</ns0:f>
        <ns0:v>211.45</ns0:v>
      </ns0:c>
      <ns0:c r="G12" s="3">
        <ns0:f>ROUND(G212*G332,2)</ns0:f>
        <ns0:v>184.22</ns0:v>
      </ns0:c>
      <ns0:c r="H12" s="3">
        <ns0:f>ROUND(H212*H332,2)</ns0:f>
        <ns0:v>242.45</ns0:v>
      </ns0:c>
      <ns0:c r="I12" s="3">
        <ns0:f>ROUND(I212*I332,2)</ns0:f>
        <ns0:v>43.50</ns0:v>
      </ns0:c>
      <ns0:c r="J12" s="3">
        <ns0:f>ROUND(J212*J332,2)</ns0:f>
        <ns0:v>268.07</ns0:v>
      </ns0:c>
      <ns0:c r="K12" s="3">
        <ns0:f>ROUND(K212*K332,2)</ns0:f>
        <ns0:v>107.37</ns0:v>
      </ns0:c>
      <ns0:c r="L12" s="3">
        <ns0:f>ROUND(L212*L332,2)</ns0:f>
        <ns0:v>240.68</ns0:v>
      </ns0:c>
      <ns0:c r="M12" s="3">
        <ns0:f>ROUND(M212*M332,2)</ns0:f>
        <ns0:v>115.75</ns0:v>
      </ns0:c>
      <ns0:c r="N12" s="3">
        <ns0:f>ROUND(N212*N332,2)</ns0:f>
        <ns0:v>128.21</ns0:v>
      </ns0:c>
      <ns0:c r="O12" s="3">
        <ns0:f>SUM(C12:N12)</ns0:f>
        <ns0:v>1944.74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357.69</ns0:v>
      </ns0:c>
      <ns0:c r="D13" s="3">
        <ns0:f>ROUND(D213*D333,2)</ns0:f>
        <ns0:v>511.59</ns0:v>
      </ns0:c>
      <ns0:c r="E13" s="3">
        <ns0:f>ROUND(E213*E333,2)</ns0:f>
        <ns0:v>193.00</ns0:v>
      </ns0:c>
      <ns0:c r="F13" s="3">
        <ns0:f>ROUND(F213*F333,2)</ns0:f>
        <ns0:v>133.29</ns0:v>
      </ns0:c>
      <ns0:c r="G13" s="3">
        <ns0:f>ROUND(G213*G333,2)</ns0:f>
        <ns0:v>153.37</ns0:v>
      </ns0:c>
      <ns0:c r="H13" s="3">
        <ns0:f>ROUND(H213*H333,2)</ns0:f>
        <ns0:v>110.64</ns0:v>
      </ns0:c>
      <ns0:c r="I13" s="3">
        <ns0:f>ROUND(I213*I333,2)</ns0:f>
        <ns0:v>324.99</ns0:v>
      </ns0:c>
      <ns0:c r="J13" s="3">
        <ns0:f>ROUND(J213*J333,2)</ns0:f>
        <ns0:v>98.21</ns0:v>
      </ns0:c>
      <ns0:c r="K13" s="3">
        <ns0:f>ROUND(K213*K333,2)</ns0:f>
        <ns0:v>114.10</ns0:v>
      </ns0:c>
      <ns0:c r="L13" s="3">
        <ns0:f>ROUND(L213*L333,2)</ns0:f>
        <ns0:v>411.66</ns0:v>
      </ns0:c>
      <ns0:c r="M13" s="3">
        <ns0:f>ROUND(M213*M333,2)</ns0:f>
        <ns0:v>156.29</ns0:v>
      </ns0:c>
      <ns0:c r="N13" s="3">
        <ns0:f>ROUND(N213*N333,2)</ns0:f>
        <ns0:v>117.64</ns0:v>
      </ns0:c>
      <ns0:c r="O13" s="3">
        <ns0:f>SUM(C13:N13)</ns0:f>
        <ns0:v>2682.47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105.47</ns0:v>
      </ns0:c>
      <ns0:c r="D14" s="3">
        <ns0:f>ROUND(D214*D334,2)</ns0:f>
        <ns0:v>200.98</ns0:v>
      </ns0:c>
      <ns0:c r="E14" s="3">
        <ns0:f>ROUND(E214*E334,2)</ns0:f>
        <ns0:v>126.08</ns0:v>
      </ns0:c>
      <ns0:c r="F14" s="3">
        <ns0:f>ROUND(F214*F334,2)</ns0:f>
        <ns0:v>188.76</ns0:v>
      </ns0:c>
      <ns0:c r="G14" s="3">
        <ns0:f>ROUND(G214*G334,2)</ns0:f>
        <ns0:v>205.57</ns0:v>
      </ns0:c>
      <ns0:c r="H14" s="3">
        <ns0:f>ROUND(H214*H334,2)</ns0:f>
        <ns0:v>491.89</ns0:v>
      </ns0:c>
      <ns0:c r="I14" s="3">
        <ns0:f>ROUND(I214*I334,2)</ns0:f>
        <ns0:v>87.41</ns0:v>
      </ns0:c>
      <ns0:c r="J14" s="3">
        <ns0:f>ROUND(J214*J334,2)</ns0:f>
        <ns0:v>107.22</ns0:v>
      </ns0:c>
      <ns0:c r="K14" s="3">
        <ns0:f>ROUND(K214*K334,2)</ns0:f>
        <ns0:v>201.32</ns0:v>
      </ns0:c>
      <ns0:c r="L14" s="3">
        <ns0:f>ROUND(L214*L334,2)</ns0:f>
        <ns0:v>381.92</ns0:v>
      </ns0:c>
      <ns0:c r="M14" s="3">
        <ns0:f>ROUND(M214*M334,2)</ns0:f>
        <ns0:v>217.71</ns0:v>
      </ns0:c>
      <ns0:c r="N14" s="3">
        <ns0:f>ROUND(N214*N334,2)</ns0:f>
        <ns0:v>154.96</ns0:v>
      </ns0:c>
      <ns0:c r="O14" s="3">
        <ns0:f>SUM(C14:N14)</ns0:f>
        <ns0:v>2469.29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456.12</ns0:v>
      </ns0:c>
      <ns0:c r="D15" s="3">
        <ns0:f>ROUND(D215*D335,2)</ns0:f>
        <ns0:v>323.45</ns0:v>
      </ns0:c>
      <ns0:c r="E15" s="3">
        <ns0:f>ROUND(E215*E335,2)</ns0:f>
        <ns0:v>276.70</ns0:v>
      </ns0:c>
      <ns0:c r="F15" s="3">
        <ns0:f>ROUND(F215*F335,2)</ns0:f>
        <ns0:v>246.89</ns0:v>
      </ns0:c>
      <ns0:c r="G15" s="3">
        <ns0:f>ROUND(G215*G335,2)</ns0:f>
        <ns0:v>301.86</ns0:v>
      </ns0:c>
      <ns0:c r="H15" s="3">
        <ns0:f>ROUND(H215*H335,2)</ns0:f>
        <ns0:v>474.79</ns0:v>
      </ns0:c>
      <ns0:c r="I15" s="3">
        <ns0:f>ROUND(I215*I335,2)</ns0:f>
        <ns0:v>334.91</ns0:v>
      </ns0:c>
      <ns0:c r="J15" s="3">
        <ns0:f>ROUND(J215*J335,2)</ns0:f>
        <ns0:v>95.67</ns0:v>
      </ns0:c>
      <ns0:c r="K15" s="3">
        <ns0:f>ROUND(K215*K335,2)</ns0:f>
        <ns0:v>240.00</ns0:v>
      </ns0:c>
      <ns0:c r="L15" s="3">
        <ns0:f>ROUND(L215*L335,2)</ns0:f>
        <ns0:v>141.21</ns0:v>
      </ns0:c>
      <ns0:c r="M15" s="3">
        <ns0:f>ROUND(M215*M335,2)</ns0:f>
        <ns0:v>372.08</ns0:v>
      </ns0:c>
      <ns0:c r="N15" s="3">
        <ns0:f>ROUND(N215*N335,2)</ns0:f>
        <ns0:v>155.42</ns0:v>
      </ns0:c>
      <ns0:c r="O15" s="3">
        <ns0:f>SUM(C15:N15)</ns0:f>
        <ns0:v>3419.10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112.60</ns0:v>
      </ns0:c>
      <ns0:c r="D16" s="3">
        <ns0:f>ROUND(D216*D336,2)</ns0:f>
        <ns0:v>550.24</ns0:v>
      </ns0:c>
      <ns0:c r="E16" s="3">
        <ns0:f>ROUND(E216*E336,2)</ns0:f>
        <ns0:v>88.23</ns0:v>
      </ns0:c>
      <ns0:c r="F16" s="3">
        <ns0:f>ROUND(F216*F336,2)</ns0:f>
        <ns0:v>583.41</ns0:v>
      </ns0:c>
      <ns0:c r="G16" s="3">
        <ns0:f>ROUND(G216*G336,2)</ns0:f>
        <ns0:v>176.48</ns0:v>
      </ns0:c>
      <ns0:c r="H16" s="3">
        <ns0:f>ROUND(H216*H336,2)</ns0:f>
        <ns0:v>180.31</ns0:v>
      </ns0:c>
      <ns0:c r="I16" s="3">
        <ns0:f>ROUND(I216*I336,2)</ns0:f>
        <ns0:v>191.82</ns0:v>
      </ns0:c>
      <ns0:c r="J16" s="3">
        <ns0:f>ROUND(J216*J336,2)</ns0:f>
        <ns0:v>225.80</ns0:v>
      </ns0:c>
      <ns0:c r="K16" s="3">
        <ns0:f>ROUND(K216*K336,2)</ns0:f>
        <ns0:v>118.74</ns0:v>
      </ns0:c>
      <ns0:c r="L16" s="3">
        <ns0:f>ROUND(L216*L336,2)</ns0:f>
        <ns0:v>312.23</ns0:v>
      </ns0:c>
      <ns0:c r="M16" s="3">
        <ns0:f>ROUND(M216*M336,2)</ns0:f>
        <ns0:v>186.25</ns0:v>
      </ns0:c>
      <ns0:c r="N16" s="3">
        <ns0:f>ROUND(N216*N336,2)</ns0:f>
        <ns0:v>136.42</ns0:v>
      </ns0:c>
      <ns0:c r="O16" s="3">
        <ns0:f>SUM(C16:N16)</ns0:f>
        <ns0:v>2862.53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254.56</ns0:v>
      </ns0:c>
      <ns0:c r="D17" s="3">
        <ns0:f>ROUND(D217*D337,2)</ns0:f>
        <ns0:v>511.17</ns0:v>
      </ns0:c>
      <ns0:c r="E17" s="3">
        <ns0:f>ROUND(E217*E337,2)</ns0:f>
        <ns0:v>550.47</ns0:v>
      </ns0:c>
      <ns0:c r="F17" s="3">
        <ns0:f>ROUND(F217*F337,2)</ns0:f>
        <ns0:v>339.55</ns0:v>
      </ns0:c>
      <ns0:c r="G17" s="3">
        <ns0:f>ROUND(G217*G337,2)</ns0:f>
        <ns0:v>175.35</ns0:v>
      </ns0:c>
      <ns0:c r="H17" s="3">
        <ns0:f>ROUND(H217*H337,2)</ns0:f>
        <ns0:v>97.08</ns0:v>
      </ns0:c>
      <ns0:c r="I17" s="3">
        <ns0:f>ROUND(I217*I337,2)</ns0:f>
        <ns0:v>92.95</ns0:v>
      </ns0:c>
      <ns0:c r="J17" s="3">
        <ns0:f>ROUND(J217*J337,2)</ns0:f>
        <ns0:v>335.48</ns0:v>
      </ns0:c>
      <ns0:c r="K17" s="3">
        <ns0:f>ROUND(K217*K337,2)</ns0:f>
        <ns0:v>314.94</ns0:v>
      </ns0:c>
      <ns0:c r="L17" s="3">
        <ns0:f>ROUND(L217*L337,2)</ns0:f>
        <ns0:v>103.16</ns0:v>
      </ns0:c>
      <ns0:c r="M17" s="3">
        <ns0:f>ROUND(M217*M337,2)</ns0:f>
        <ns0:v>218.31</ns0:v>
      </ns0:c>
      <ns0:c r="N17" s="3">
        <ns0:f>ROUND(N217*N337,2)</ns0:f>
        <ns0:v>657.95</ns0:v>
      </ns0:c>
      <ns0:c r="O17" s="3">
        <ns0:f>SUM(C17:N17)</ns0:f>
        <ns0:v>3650.97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90.74</ns0:v>
      </ns0:c>
      <ns0:c r="D18" s="3">
        <ns0:f>ROUND(D218*D338,2)</ns0:f>
        <ns0:v>402.63</ns0:v>
      </ns0:c>
      <ns0:c r="E18" s="3">
        <ns0:f>ROUND(E218*E338,2)</ns0:f>
        <ns0:v>203.19</ns0:v>
      </ns0:c>
      <ns0:c r="F18" s="3">
        <ns0:f>ROUND(F218*F338,2)</ns0:f>
        <ns0:v>163.07</ns0:v>
      </ns0:c>
      <ns0:c r="G18" s="3">
        <ns0:f>ROUND(G218*G338,2)</ns0:f>
        <ns0:v>191.82</ns0:v>
      </ns0:c>
      <ns0:c r="H18" s="3">
        <ns0:f>ROUND(H218*H338,2)</ns0:f>
        <ns0:v>252.27</ns0:v>
      </ns0:c>
      <ns0:c r="I18" s="3">
        <ns0:f>ROUND(I218*I338,2)</ns0:f>
        <ns0:v>186.02</ns0:v>
      </ns0:c>
      <ns0:c r="J18" s="3">
        <ns0:f>ROUND(J218*J338,2)</ns0:f>
        <ns0:v>275.95</ns0:v>
      </ns0:c>
      <ns0:c r="K18" s="3">
        <ns0:f>ROUND(K218*K338,2)</ns0:f>
        <ns0:v>343.15</ns0:v>
      </ns0:c>
      <ns0:c r="L18" s="3">
        <ns0:f>ROUND(L218*L338,2)</ns0:f>
        <ns0:v>142.54</ns0:v>
      </ns0:c>
      <ns0:c r="M18" s="3">
        <ns0:f>ROUND(M218*M338,2)</ns0:f>
        <ns0:v>346.58</ns0:v>
      </ns0:c>
      <ns0:c r="N18" s="3">
        <ns0:f>ROUND(N218*N338,2)</ns0:f>
        <ns0:v>321.32</ns0:v>
      </ns0:c>
      <ns0:c r="O18" s="3">
        <ns0:f>SUM(C18:N18)</ns0:f>
        <ns0:v>2919.28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113.85</ns0:v>
      </ns0:c>
      <ns0:c r="D19" s="3">
        <ns0:f>ROUND(D219*D339,2)</ns0:f>
        <ns0:v>239.39</ns0:v>
      </ns0:c>
      <ns0:c r="E19" s="3">
        <ns0:f>ROUND(E219*E339,2)</ns0:f>
        <ns0:v>151.93</ns0:v>
      </ns0:c>
      <ns0:c r="F19" s="3">
        <ns0:f>ROUND(F219*F339,2)</ns0:f>
        <ns0:v>166.25</ns0:v>
      </ns0:c>
      <ns0:c r="G19" s="3">
        <ns0:f>ROUND(G219*G339,2)</ns0:f>
        <ns0:v>385.99</ns0:v>
      </ns0:c>
      <ns0:c r="H19" s="3">
        <ns0:f>ROUND(H219*H339,2)</ns0:f>
        <ns0:v>222.46</ns0:v>
      </ns0:c>
      <ns0:c r="I19" s="3">
        <ns0:f>ROUND(I219*I339,2)</ns0:f>
        <ns0:v>122.47</ns0:v>
      </ns0:c>
      <ns0:c r="J19" s="3">
        <ns0:f>ROUND(J219*J339,2)</ns0:f>
        <ns0:v>130.71</ns0:v>
      </ns0:c>
      <ns0:c r="K19" s="3">
        <ns0:f>ROUND(K219*K339,2)</ns0:f>
        <ns0:v>83.76</ns0:v>
      </ns0:c>
      <ns0:c r="L19" s="3">
        <ns0:f>ROUND(L219*L339,2)</ns0:f>
        <ns0:v>129.74</ns0:v>
      </ns0:c>
      <ns0:c r="M19" s="3">
        <ns0:f>ROUND(M219*M339,2)</ns0:f>
        <ns0:v>140.50</ns0:v>
      </ns0:c>
      <ns0:c r="N19" s="3">
        <ns0:f>ROUND(N219*N339,2)</ns0:f>
        <ns0:v>116.76</ns0:v>
      </ns0:c>
      <ns0:c r="O19" s="3">
        <ns0:f>SUM(C19:N19)</ns0:f>
        <ns0:v>2003.81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620.71</ns0:v>
      </ns0:c>
      <ns0:c r="D20" s="3">
        <ns0:f>ROUND('摊销明细'!D33/3,2)</ns0:f>
        <ns0:v>620.71</ns0:v>
      </ns0:c>
      <ns0:c r="E20" s="3">
        <ns0:f>ROUND('摊销明细'!E33/3,2)</ns0:f>
        <ns0:v>620.71</ns0:v>
      </ns0:c>
      <ns0:c r="F20" s="3">
        <ns0:f>ROUND('摊销明细'!F33/3,2)</ns0:f>
        <ns0:v>620.71</ns0:v>
      </ns0:c>
      <ns0:c r="G20" s="3">
        <ns0:f>ROUND('摊销明细'!G33/3,2)</ns0:f>
        <ns0:v>620.71</ns0:v>
      </ns0:c>
      <ns0:c r="H20" s="3">
        <ns0:f>ROUND('摊销明细'!H33/3,2)</ns0:f>
        <ns0:v>620.71</ns0:v>
      </ns0:c>
      <ns0:c r="I20" s="3">
        <ns0:f>ROUND('摊销明细'!I33/3,2)</ns0:f>
        <ns0:v>620.71</ns0:v>
      </ns0:c>
      <ns0:c r="J20" s="3">
        <ns0:f>ROUND('摊销明细'!J33/3,2)</ns0:f>
        <ns0:v>620.71</ns0:v>
      </ns0:c>
      <ns0:c r="K20" s="3">
        <ns0:f>ROUND('摊销明细'!K33/3,2)</ns0:f>
        <ns0:v>620.71</ns0:v>
      </ns0:c>
      <ns0:c r="L20" s="3">
        <ns0:f>ROUND('摊销明细'!L33/3,2)</ns0:f>
        <ns0:v>620.71</ns0:v>
      </ns0:c>
      <ns0:c r="M20" s="3">
        <ns0:f>ROUND('摊销明细'!M33/3,2)</ns0:f>
        <ns0:v>620.71</ns0:v>
      </ns0:c>
      <ns0:c r="N20" s="3">
        <ns0:f>ROUND('摊销明细'!N33/3,2)</ns0:f>
        <ns0:v>620.71</ns0:v>
      </ns0:c>
      <ns0:c r="O20" s="3">
        <ns0:f>SUM(C20:N20)</ns0:f>
        <ns0:v>7448.52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427.50</ns0:v>
      </ns0:c>
      <ns0:c r="D21" s="3">
        <ns0:f>ROUND(D221*D341,2)</ns0:f>
        <ns0:v>388.87</ns0:v>
      </ns0:c>
      <ns0:c r="E21" s="3">
        <ns0:f>ROUND(E221*E341,2)</ns0:f>
        <ns0:v>73.52</ns0:v>
      </ns0:c>
      <ns0:c r="F21" s="3">
        <ns0:f>ROUND(F221*F341,2)</ns0:f>
        <ns0:v>157.68</ns0:v>
      </ns0:c>
      <ns0:c r="G21" s="3">
        <ns0:f>ROUND(G221*G341,2)</ns0:f>
        <ns0:v>68.02</ns0:v>
      </ns0:c>
      <ns0:c r="H21" s="3">
        <ns0:f>ROUND(H221*H341,2)</ns0:f>
        <ns0:v>144.84</ns0:v>
      </ns0:c>
      <ns0:c r="I21" s="3">
        <ns0:f>ROUND(I221*I341,2)</ns0:f>
        <ns0:v>168.00</ns0:v>
      </ns0:c>
      <ns0:c r="J21" s="3">
        <ns0:f>ROUND(J221*J341,2)</ns0:f>
        <ns0:v>349.99</ns0:v>
      </ns0:c>
      <ns0:c r="K21" s="3">
        <ns0:f>ROUND(K221*K341,2)</ns0:f>
        <ns0:v>175.13</ns0:v>
      </ns0:c>
      <ns0:c r="L21" s="3">
        <ns0:f>ROUND(L221*L341,2)</ns0:f>
        <ns0:v>98.95</ns0:v>
      </ns0:c>
      <ns0:c r="M21" s="3">
        <ns0:f>ROUND(M221*M341,2)</ns0:f>
        <ns0:v>159.38</ns0:v>
      </ns0:c>
      <ns0:c r="N21" s="3">
        <ns0:f>ROUND(N221*N341,2)</ns0:f>
        <ns0:v>164.44</ns0:v>
      </ns0:c>
      <ns0:c r="O21" s="3">
        <ns0:f>SUM(C21:N21)</ns0:f>
        <ns0:v>2376.32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81.77</ns0:v>
      </ns0:c>
      <ns0:c r="D22" s="3">
        <ns0:f>ROUND(D222*D342,2)</ns0:f>
        <ns0:v>240.71</ns0:v>
      </ns0:c>
      <ns0:c r="E22" s="3">
        <ns0:f>ROUND(E222*E342,2)</ns0:f>
        <ns0:v>249.25</ns0:v>
      </ns0:c>
      <ns0:c r="F22" s="3">
        <ns0:f>ROUND(F222*F342,2)</ns0:f>
        <ns0:v>246.24</ns0:v>
      </ns0:c>
      <ns0:c r="G22" s="3">
        <ns0:f>ROUND(G222*G342,2)</ns0:f>
        <ns0:v>150.11</ns0:v>
      </ns0:c>
      <ns0:c r="H22" s="3">
        <ns0:f>ROUND(H222*H342,2)</ns0:f>
        <ns0:v>399.59</ns0:v>
      </ns0:c>
      <ns0:c r="I22" s="3">
        <ns0:f>ROUND(I222*I342,2)</ns0:f>
        <ns0:v>46.49</ns0:v>
      </ns0:c>
      <ns0:c r="J22" s="3">
        <ns0:f>ROUND(J222*J342,2)</ns0:f>
        <ns0:v>80.91</ns0:v>
      </ns0:c>
      <ns0:c r="K22" s="3">
        <ns0:f>ROUND(K222*K342,2)</ns0:f>
        <ns0:v>290.68</ns0:v>
      </ns0:c>
      <ns0:c r="L22" s="3">
        <ns0:f>ROUND(L222*L342,2)</ns0:f>
        <ns0:v>279.65</ns0:v>
      </ns0:c>
      <ns0:c r="M22" s="3">
        <ns0:f>ROUND(M222*M342,2)</ns0:f>
        <ns0:v>273.15</ns0:v>
      </ns0:c>
      <ns0:c r="N22" s="3">
        <ns0:f>ROUND(N222*N342,2)</ns0:f>
        <ns0:v>191.17</ns0:v>
      </ns0:c>
      <ns0:c r="O22" s="3">
        <ns0:f>SUM(C22:N22)</ns0:f>
        <ns0:v>2529.72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219.52</ns0:v>
      </ns0:c>
      <ns0:c r="D23" s="3">
        <ns0:f>ROUND(D223*D343,2)</ns0:f>
        <ns0:v>190.83</ns0:v>
      </ns0:c>
      <ns0:c r="E23" s="3">
        <ns0:f>ROUND(E223*E343,2)</ns0:f>
        <ns0:v>234.61</ns0:v>
      </ns0:c>
      <ns0:c r="F23" s="3">
        <ns0:f>ROUND(F223*F343,2)</ns0:f>
        <ns0:v>460.89</ns0:v>
      </ns0:c>
      <ns0:c r="G23" s="3">
        <ns0:f>ROUND(G223*G343,2)</ns0:f>
        <ns0:v>432.66</ns0:v>
      </ns0:c>
      <ns0:c r="H23" s="3">
        <ns0:f>ROUND(H223*H343,2)</ns0:f>
        <ns0:v>185.35</ns0:v>
      </ns0:c>
      <ns0:c r="I23" s="3">
        <ns0:f>ROUND(I223*I343,2)</ns0:f>
        <ns0:v>439.48</ns0:v>
      </ns0:c>
      <ns0:c r="J23" s="3">
        <ns0:f>ROUND(J223*J343,2)</ns0:f>
        <ns0:v>148.50</ns0:v>
      </ns0:c>
      <ns0:c r="K23" s="3">
        <ns0:f>ROUND(K223*K343,2)</ns0:f>
        <ns0:v>392.95</ns0:v>
      </ns0:c>
      <ns0:c r="L23" s="3">
        <ns0:f>ROUND(L223*L343,2)</ns0:f>
        <ns0:v>179.28</ns0:v>
      </ns0:c>
      <ns0:c r="M23" s="3">
        <ns0:f>ROUND(M223*M343,2)</ns0:f>
        <ns0:v>476.89</ns0:v>
      </ns0:c>
      <ns0:c r="N23" s="3">
        <ns0:f>ROUND(N223*N343,2)</ns0:f>
        <ns0:v>245.27</ns0:v>
      </ns0:c>
      <ns0:c r="O23" s="3">
        <ns0:f>SUM(C23:N23)</ns0:f>
        <ns0:v>3606.23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374.07</ns0:v>
      </ns0:c>
      <ns0:c r="D24" s="3">
        <ns0:f>ROUND(D224*D344,2)</ns0:f>
        <ns0:v>319.08</ns0:v>
      </ns0:c>
      <ns0:c r="E24" s="3">
        <ns0:f>ROUND(E224*E344,2)</ns0:f>
        <ns0:v>291.25</ns0:v>
      </ns0:c>
      <ns0:c r="F24" s="3">
        <ns0:f>ROUND(F224*F344,2)</ns0:f>
        <ns0:v>313.20</ns0:v>
      </ns0:c>
      <ns0:c r="G24" s="3">
        <ns0:f>ROUND(G224*G344,2)</ns0:f>
        <ns0:v>251.45</ns0:v>
      </ns0:c>
      <ns0:c r="H24" s="3">
        <ns0:f>ROUND(H224*H344,2)</ns0:f>
        <ns0:v>90.18</ns0:v>
      </ns0:c>
      <ns0:c r="I24" s="3">
        <ns0:f>ROUND(I224*I344,2)</ns0:f>
        <ns0:v>158.09</ns0:v>
      </ns0:c>
      <ns0:c r="J24" s="3">
        <ns0:f>ROUND(J224*J344,2)</ns0:f>
        <ns0:v>185.31</ns0:v>
      </ns0:c>
      <ns0:c r="K24" s="3">
        <ns0:f>ROUND(K224*K344,2)</ns0:f>
        <ns0:v>115.48</ns0:v>
      </ns0:c>
      <ns0:c r="L24" s="3">
        <ns0:f>ROUND(L224*L344,2)</ns0:f>
        <ns0:v>204.80</ns0:v>
      </ns0:c>
      <ns0:c r="M24" s="3">
        <ns0:f>ROUND(M224*M344,2)</ns0:f>
        <ns0:v>454.71</ns0:v>
      </ns0:c>
      <ns0:c r="N24" s="3">
        <ns0:f>ROUND(N224*N344,2)</ns0:f>
        <ns0:v>86.27</ns0:v>
      </ns0:c>
      <ns0:c r="O24" s="3">
        <ns0:f>SUM(C24:N24)</ns0:f>
        <ns0:v>2843.89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280.35</ns0:v>
      </ns0:c>
      <ns0:c r="D25" s="3">
        <ns0:f>ROUND(D225*D345,2)</ns0:f>
        <ns0:v>446.60</ns0:v>
      </ns0:c>
      <ns0:c r="E25" s="3">
        <ns0:f>ROUND(E225*E345,2)</ns0:f>
        <ns0:v>239.95</ns0:v>
      </ns0:c>
      <ns0:c r="F25" s="3">
        <ns0:f>ROUND(F225*F345,2)</ns0:f>
        <ns0:v>382.46</ns0:v>
      </ns0:c>
      <ns0:c r="G25" s="3">
        <ns0:f>ROUND(G225*G345,2)</ns0:f>
        <ns0:v>416.33</ns0:v>
      </ns0:c>
      <ns0:c r="H25" s="3">
        <ns0:f>ROUND(H225*H345,2)</ns0:f>
        <ns0:v>128.51</ns0:v>
      </ns0:c>
      <ns0:c r="I25" s="3">
        <ns0:f>ROUND(I225*I345,2)</ns0:f>
        <ns0:v>404.08</ns0:v>
      </ns0:c>
      <ns0:c r="J25" s="3">
        <ns0:f>ROUND(J225*J345,2)</ns0:f>
        <ns0:v>163.20</ns0:v>
      </ns0:c>
      <ns0:c r="K25" s="3">
        <ns0:f>ROUND(K225*K345,2)</ns0:f>
        <ns0:v>228.77</ns0:v>
      </ns0:c>
      <ns0:c r="L25" s="3">
        <ns0:f>ROUND(L225*L345,2)</ns0:f>
        <ns0:v>300.36</ns0:v>
      </ns0:c>
      <ns0:c r="M25" s="3">
        <ns0:f>ROUND(M225*M345,2)</ns0:f>
        <ns0:v>273.02</ns0:v>
      </ns0:c>
      <ns0:c r="N25" s="3">
        <ns0:f>ROUND(N225*N345,2)</ns0:f>
        <ns0:v>44.15</ns0:v>
      </ns0:c>
      <ns0:c r="O25" s="3">
        <ns0:f>SUM(C25:N25)</ns0:f>
        <ns0:v>3307.78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377.95</ns0:v>
      </ns0:c>
      <ns0:c r="D26" s="3">
        <ns0:f>ROUND(D226*D346,2)</ns0:f>
        <ns0:v>307.10</ns0:v>
      </ns0:c>
      <ns0:c r="E26" s="3">
        <ns0:f>ROUND(E226*E346,2)</ns0:f>
        <ns0:v>150.02</ns0:v>
      </ns0:c>
      <ns0:c r="F26" s="3">
        <ns0:f>ROUND(F226*F346,2)</ns0:f>
        <ns0:v>199.20</ns0:v>
      </ns0:c>
      <ns0:c r="G26" s="3">
        <ns0:f>ROUND(G226*G346,2)</ns0:f>
        <ns0:v>155.89</ns0:v>
      </ns0:c>
      <ns0:c r="H26" s="3">
        <ns0:f>ROUND(H226*H346,2)</ns0:f>
        <ns0:v>151.63</ns0:v>
      </ns0:c>
      <ns0:c r="I26" s="3">
        <ns0:f>ROUND(I226*I346,2)</ns0:f>
        <ns0:v>234.92</ns0:v>
      </ns0:c>
      <ns0:c r="J26" s="3">
        <ns0:f>ROUND(J226*J346,2)</ns0:f>
        <ns0:v>209.66</ns0:v>
      </ns0:c>
      <ns0:c r="K26" s="3">
        <ns0:f>ROUND(K226*K346,2)</ns0:f>
        <ns0:v>207.24</ns0:v>
      </ns0:c>
      <ns0:c r="L26" s="3">
        <ns0:f>ROUND(L226*L346,2)</ns0:f>
        <ns0:v>270.21</ns0:v>
      </ns0:c>
      <ns0:c r="M26" s="3">
        <ns0:f>ROUND(M226*M346,2)</ns0:f>
        <ns0:v>151.19</ns0:v>
      </ns0:c>
      <ns0:c r="N26" s="3">
        <ns0:f>ROUND(N226*N346,2)</ns0:f>
        <ns0:v>242.06</ns0:v>
      </ns0:c>
      <ns0:c r="O26" s="3">
        <ns0:f>SUM(C26:N26)</ns0:f>
        <ns0:v>2657.07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124.30</ns0:v>
      </ns0:c>
      <ns0:c r="D27" s="3">
        <ns0:f>ROUND(D227*D347,2)</ns0:f>
        <ns0:v>270.93</ns0:v>
      </ns0:c>
      <ns0:c r="E27" s="3">
        <ns0:f>ROUND(E227*E347,2)</ns0:f>
        <ns0:v>185.68</ns0:v>
      </ns0:c>
      <ns0:c r="F27" s="3">
        <ns0:f>ROUND(F227*F347,2)</ns0:f>
        <ns0:v>283.77</ns0:v>
      </ns0:c>
      <ns0:c r="G27" s="3">
        <ns0:f>ROUND(G227*G347,2)</ns0:f>
        <ns0:v>535.20</ns0:v>
      </ns0:c>
      <ns0:c r="H27" s="3">
        <ns0:f>ROUND(H227*H347,2)</ns0:f>
        <ns0:v>176.09</ns0:v>
      </ns0:c>
      <ns0:c r="I27" s="3">
        <ns0:f>ROUND(I227*I347,2)</ns0:f>
        <ns0:v>282.54</ns0:v>
      </ns0:c>
      <ns0:c r="J27" s="3">
        <ns0:f>ROUND(J227*J347,2)</ns0:f>
        <ns0:v>178.52</ns0:v>
      </ns0:c>
      <ns0:c r="K27" s="3">
        <ns0:f>ROUND(K227*K347,2)</ns0:f>
        <ns0:v>233.49</ns0:v>
      </ns0:c>
      <ns0:c r="L27" s="3">
        <ns0:f>ROUND(L227*L347,2)</ns0:f>
        <ns0:v>144.93</ns0:v>
      </ns0:c>
      <ns0:c r="M27" s="3">
        <ns0:f>ROUND(M227*M347,2)</ns0:f>
        <ns0:v>70.67</ns0:v>
      </ns0:c>
      <ns0:c r="N27" s="3">
        <ns0:f>ROUND(N227*N347,2)</ns0:f>
        <ns0:v>425.58</ns0:v>
      </ns0:c>
      <ns0:c r="O27" s="3">
        <ns0:f>SUM(C27:N27)</ns0:f>
        <ns0:v>2911.70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201.63</ns0:v>
      </ns0:c>
      <ns0:c r="D28" s="3">
        <ns0:f>ROUND(D228*D348,2)</ns0:f>
        <ns0:v>149.04</ns0:v>
      </ns0:c>
      <ns0:c r="E28" s="3">
        <ns0:f>ROUND(E228*E348,2)</ns0:f>
        <ns0:v>402.59</ns0:v>
      </ns0:c>
      <ns0:c r="F28" s="3">
        <ns0:f>ROUND(F228*F348,2)</ns0:f>
        <ns0:v>214.81</ns0:v>
      </ns0:c>
      <ns0:c r="G28" s="3">
        <ns0:f>ROUND(G228*G348,2)</ns0:f>
        <ns0:v>190.65</ns0:v>
      </ns0:c>
      <ns0:c r="H28" s="3">
        <ns0:f>ROUND(H228*H348,2)</ns0:f>
        <ns0:v>123.07</ns0:v>
      </ns0:c>
      <ns0:c r="I28" s="3">
        <ns0:f>ROUND(I228*I348,2)</ns0:f>
        <ns0:v>200.44</ns0:v>
      </ns0:c>
      <ns0:c r="J28" s="3">
        <ns0:f>ROUND(J228*J348,2)</ns0:f>
        <ns0:v>87.44</ns0:v>
      </ns0:c>
      <ns0:c r="K28" s="3">
        <ns0:f>ROUND(K228*K348,2)</ns0:f>
        <ns0:v>637.69</ns0:v>
      </ns0:c>
      <ns0:c r="L28" s="3">
        <ns0:f>ROUND(L228*L348,2)</ns0:f>
        <ns0:v>329.16</ns0:v>
      </ns0:c>
      <ns0:c r="M28" s="3">
        <ns0:f>ROUND(M228*M348,2)</ns0:f>
        <ns0:v>86.07</ns0:v>
      </ns0:c>
      <ns0:c r="N28" s="3">
        <ns0:f>ROUND(N228*N348,2)</ns0:f>
        <ns0:v>182.60</ns0:v>
      </ns0:c>
      <ns0:c r="O28" s="3">
        <ns0:f>SUM(C28:N28)</ns0:f>
        <ns0:v>2805.19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582.88</ns0:v>
      </ns0:c>
      <ns0:c r="D30" s="6">
        <ns0:f>ROUND(D230*D350,2)</ns0:f>
        <ns0:v>114.29</ns0:v>
      </ns0:c>
      <ns0:c r="E30" s="6">
        <ns0:f>ROUND(E230*E350,2)</ns0:f>
        <ns0:v>99.30</ns0:v>
      </ns0:c>
      <ns0:c r="F30" s="6">
        <ns0:f>ROUND(F230*F350,2)</ns0:f>
        <ns0:v>164.66</ns0:v>
      </ns0:c>
      <ns0:c r="G30" s="6">
        <ns0:f>ROUND(G230*G350,2)</ns0:f>
        <ns0:v>213.80</ns0:v>
      </ns0:c>
      <ns0:c r="H30" s="6">
        <ns0:f>ROUND(H230*H350,2)</ns0:f>
        <ns0:v>49.08</ns0:v>
      </ns0:c>
      <ns0:c r="I30" s="6">
        <ns0:f>ROUND(I230*I350,2)</ns0:f>
        <ns0:v>69.96</ns0:v>
      </ns0:c>
      <ns0:c r="J30" s="6">
        <ns0:f>ROUND(J230*J350,2)</ns0:f>
        <ns0:v>197.96</ns0:v>
      </ns0:c>
      <ns0:c r="K30" s="6">
        <ns0:f>ROUND(K230*K350,2)</ns0:f>
        <ns0:v>247.45</ns0:v>
      </ns0:c>
      <ns0:c r="L30" s="6">
        <ns0:f>ROUND(L230*L350,2)</ns0:f>
        <ns0:v>296.81</ns0:v>
      </ns0:c>
      <ns0:c r="M30" s="6">
        <ns0:f>ROUND(M230*M350,2)</ns0:f>
        <ns0:v>104.10</ns0:v>
      </ns0:c>
      <ns0:c r="N30" s="6">
        <ns0:f>ROUND(N230*N350,2)</ns0:f>
        <ns0:v>250.85</ns0:v>
      </ns0:c>
      <ns0:c r="O30" s="6">
        <ns0:f>SUM(C30:N30)</ns0:f>
        <ns0:v>2391.14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183.45</ns0:v>
      </ns0:c>
      <ns0:c r="D31" s="3">
        <ns0:f>ROUND(D231*D351,2)</ns0:f>
        <ns0:v>86.98</ns0:v>
      </ns0:c>
      <ns0:c r="E31" s="3">
        <ns0:f>ROUND(E231*E351,2)</ns0:f>
        <ns0:v>153.82</ns0:v>
      </ns0:c>
      <ns0:c r="F31" s="3">
        <ns0:f>ROUND(F231*F351,2)</ns0:f>
        <ns0:v>208.82</ns0:v>
      </ns0:c>
      <ns0:c r="G31" s="3">
        <ns0:f>ROUND(G231*G351,2)</ns0:f>
        <ns0:v>183.40</ns0:v>
      </ns0:c>
      <ns0:c r="H31" s="3">
        <ns0:f>ROUND(H231*H351,2)</ns0:f>
        <ns0:v>176.67</ns0:v>
      </ns0:c>
      <ns0:c r="I31" s="3">
        <ns0:f>ROUND(I231*I351,2)</ns0:f>
        <ns0:v>170.53</ns0:v>
      </ns0:c>
      <ns0:c r="J31" s="3">
        <ns0:f>ROUND(J231*J351,2)</ns0:f>
        <ns0:v>148.04</ns0:v>
      </ns0:c>
      <ns0:c r="K31" s="3">
        <ns0:f>ROUND(K231*K351,2)</ns0:f>
        <ns0:v>253.71</ns0:v>
      </ns0:c>
      <ns0:c r="L31" s="3">
        <ns0:f>ROUND(L231*L351,2)</ns0:f>
        <ns0:v>433.29</ns0:v>
      </ns0:c>
      <ns0:c r="M31" s="3">
        <ns0:f>ROUND(M231*M351,2)</ns0:f>
        <ns0:v>224.97</ns0:v>
      </ns0:c>
      <ns0:c r="N31" s="3">
        <ns0:f>ROUND(N231*N351,2)</ns0:f>
        <ns0:v>122.67</ns0:v>
      </ns0:c>
      <ns0:c r="O31" s="3">
        <ns0:f>SUM(C31:N31)</ns0:f>
        <ns0:v>2346.35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186.26</ns0:v>
      </ns0:c>
      <ns0:c r="D32" s="3">
        <ns0:f>ROUND(D232*D352,2)</ns0:f>
        <ns0:v>154.36</ns0:v>
      </ns0:c>
      <ns0:c r="E32" s="3">
        <ns0:f>ROUND(E232*E352,2)</ns0:f>
        <ns0:v>342.72</ns0:v>
      </ns0:c>
      <ns0:c r="F32" s="3">
        <ns0:f>ROUND(F232*F352,2)</ns0:f>
        <ns0:v>152.33</ns0:v>
      </ns0:c>
      <ns0:c r="G32" s="3">
        <ns0:f>ROUND(G232*G352,2)</ns0:f>
        <ns0:v>150.00</ns0:v>
      </ns0:c>
      <ns0:c r="H32" s="3">
        <ns0:f>ROUND(H232*H352,2)</ns0:f>
        <ns0:v>167.41</ns0:v>
      </ns0:c>
      <ns0:c r="I32" s="3">
        <ns0:f>ROUND(I232*I352,2)</ns0:f>
        <ns0:v>108.03</ns0:v>
      </ns0:c>
      <ns0:c r="J32" s="3">
        <ns0:f>ROUND(J232*J352,2)</ns0:f>
        <ns0:v>304.39</ns0:v>
      </ns0:c>
      <ns0:c r="K32" s="3">
        <ns0:f>ROUND(K232*K352,2)</ns0:f>
        <ns0:v>282.11</ns0:v>
      </ns0:c>
      <ns0:c r="L32" s="3">
        <ns0:f>ROUND(L232*L352,2)</ns0:f>
        <ns0:v>166.98</ns0:v>
      </ns0:c>
      <ns0:c r="M32" s="3">
        <ns0:f>ROUND(M232*M352,2)</ns0:f>
        <ns0:v>472.08</ns0:v>
      </ns0:c>
      <ns0:c r="N32" s="3">
        <ns0:f>ROUND(N232*N352,2)</ns0:f>
        <ns0:v>281.67</ns0:v>
      </ns0:c>
      <ns0:c r="O32" s="3">
        <ns0:f>SUM(C32:N32)</ns0:f>
        <ns0:v>2768.34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64.35</ns0:v>
      </ns0:c>
      <ns0:c r="D33" s="3">
        <ns0:f>ROUND(D233*D353,2)</ns0:f>
        <ns0:v>368.86</ns0:v>
      </ns0:c>
      <ns0:c r="E33" s="3">
        <ns0:f>ROUND(E233*E353,2)</ns0:f>
        <ns0:v>177.15</ns0:v>
      </ns0:c>
      <ns0:c r="F33" s="3">
        <ns0:f>ROUND(F233*F353,2)</ns0:f>
        <ns0:v>451.39</ns0:v>
      </ns0:c>
      <ns0:c r="G33" s="3">
        <ns0:f>ROUND(G233*G353,2)</ns0:f>
        <ns0:v>348.88</ns0:v>
      </ns0:c>
      <ns0:c r="H33" s="3">
        <ns0:f>ROUND(H233*H353,2)</ns0:f>
        <ns0:v>244.27</ns0:v>
      </ns0:c>
      <ns0:c r="I33" s="3">
        <ns0:f>ROUND(I233*I353,2)</ns0:f>
        <ns0:v>158.00</ns0:v>
      </ns0:c>
      <ns0:c r="J33" s="3">
        <ns0:f>ROUND(J233*J353,2)</ns0:f>
        <ns0:v>267.31</ns0:v>
      </ns0:c>
      <ns0:c r="K33" s="3">
        <ns0:f>ROUND(K233*K353,2)</ns0:f>
        <ns0:v>327.64</ns0:v>
      </ns0:c>
      <ns0:c r="L33" s="3">
        <ns0:f>ROUND(L233*L353,2)</ns0:f>
        <ns0:v>479.97</ns0:v>
      </ns0:c>
      <ns0:c r="M33" s="3">
        <ns0:f>ROUND(M233*M353,2)</ns0:f>
        <ns0:v>261.98</ns0:v>
      </ns0:c>
      <ns0:c r="N33" s="3">
        <ns0:f>ROUND(N233*N353,2)</ns0:f>
        <ns0:v>428.83</ns0:v>
      </ns0:c>
      <ns0:c r="O33" s="3">
        <ns0:f>SUM(C33:N33)</ns0:f>
        <ns0:v>3578.63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7353.13</ns0:v>
      </ns0:c>
      <ns0:c r="D34" s="3">
        <ns0:f>SUM(D4:D33)</ns0:f>
        <ns0:v>8188.64</ns0:v>
      </ns0:c>
      <ns0:c r="E34" s="3">
        <ns0:f>SUM(E4:E33)</ns0:f>
        <ns0:v>7300.00</ns0:v>
      </ns0:c>
      <ns0:c r="F34" s="3">
        <ns0:f>SUM(F4:F33)</ns0:f>
        <ns0:v>7931.11</ns0:v>
      </ns0:c>
      <ns0:c r="G34" s="3">
        <ns0:f>SUM(G4:G33)</ns0:f>
        <ns0:v>7516.47</ns0:v>
      </ns0:c>
      <ns0:c r="H34" s="3">
        <ns0:f>SUM(H4:H33)</ns0:f>
        <ns0:v>6534.36</ns0:v>
      </ns0:c>
      <ns0:c r="I34" s="3">
        <ns0:f>SUM(I4:I33)</ns0:f>
        <ns0:v>6051.70</ns0:v>
      </ns0:c>
      <ns0:c r="J34" s="3">
        <ns0:f>SUM(J4:J33)</ns0:f>
        <ns0:v>6370.74</ns0:v>
      </ns0:c>
      <ns0:c r="K34" s="3">
        <ns0:f>SUM(K4:K33)</ns0:f>
        <ns0:v>7118.37</ns0:v>
      </ns0:c>
      <ns0:c r="L34" s="3">
        <ns0:f>SUM(L4:L33)</ns0:f>
        <ns0:v>6823.85</ns0:v>
      </ns0:c>
      <ns0:c r="M34" s="3">
        <ns0:f>SUM(M4:M33)</ns0:f>
        <ns0:v>7580.02</ns0:v>
      </ns0:c>
      <ns0:c r="N34" s="3">
        <ns0:f>SUM(N4:N33)</ns0:f>
        <ns0:v>7567.65</ns0:v>
      </ns0:c>
      <ns0:c r="O34" s="3">
        <ns0:f>SUM(C34:N34)</ns0:f>
        <ns0:v>86336.04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47.80</ns0:v>
      </ns0:c>
      <ns0:c r="D204" s="4">
        <ns0:v>24.34</ns0:v>
      </ns0:c>
      <ns0:c r="E204" s="4">
        <ns0:v>61.62</ns0:v>
      </ns0:c>
      <ns0:c r="F204" s="4">
        <ns0:v>28.21</ns0:v>
      </ns0:c>
      <ns0:c r="G204" s="4">
        <ns0:v>63.80</ns0:v>
      </ns0:c>
      <ns0:c r="H204" s="4">
        <ns0:v>39.29</ns0:v>
      </ns0:c>
      <ns0:c r="I204" s="4">
        <ns0:v>27.19</ns0:v>
      </ns0:c>
      <ns0:c r="J204" s="4">
        <ns0:v>25.18</ns0:v>
      </ns0:c>
      <ns0:c r="K204" s="4">
        <ns0:v>59.42</ns0:v>
      </ns0:c>
      <ns0:c r="L204" s="4">
        <ns0:v>30.41</ns0:v>
      </ns0:c>
      <ns0:c r="M204" s="4">
        <ns0:v>31.25</ns0:v>
      </ns0:c>
      <ns0:c r="N204" s="4">
        <ns0:v>42.27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19.93</ns0:v>
      </ns0:c>
      <ns0:c r="D205" s="4">
        <ns0:v>63.35</ns0:v>
      </ns0:c>
      <ns0:c r="E205" s="4">
        <ns0:v>40.38</ns0:v>
      </ns0:c>
      <ns0:c r="F205" s="4">
        <ns0:v>57.63</ns0:v>
      </ns0:c>
      <ns0:c r="G205" s="4">
        <ns0:v>43.31</ns0:v>
      </ns0:c>
      <ns0:c r="H205" s="4">
        <ns0:v>35.57</ns0:v>
      </ns0:c>
      <ns0:c r="I205" s="4">
        <ns0:v>48.82</ns0:v>
      </ns0:c>
      <ns0:c r="J205" s="4">
        <ns0:v>23.83</ns0:v>
      </ns0:c>
      <ns0:c r="K205" s="4">
        <ns0:v>29.81</ns0:v>
      </ns0:c>
      <ns0:c r="L205" s="4">
        <ns0:v>50.22</ns0:v>
      </ns0:c>
      <ns0:c r="M205" s="4">
        <ns0:v>55.26</ns0:v>
      </ns0:c>
      <ns0:c r="N205" s="4">
        <ns0:v>24.29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27.46</ns0:v>
      </ns0:c>
      <ns0:c r="D206" s="4">
        <ns0:v>49.12</ns0:v>
      </ns0:c>
      <ns0:c r="E206" s="4">
        <ns0:v>39.34</ns0:v>
      </ns0:c>
      <ns0:c r="F206" s="4">
        <ns0:v>63.82</ns0:v>
      </ns0:c>
      <ns0:c r="G206" s="4">
        <ns0:v>46.34</ns0:v>
      </ns0:c>
      <ns0:c r="H206" s="4">
        <ns0:v>64.05</ns0:v>
      </ns0:c>
      <ns0:c r="I206" s="4">
        <ns0:v>63.13</ns0:v>
      </ns0:c>
      <ns0:c r="J206" s="4">
        <ns0:v>52.94</ns0:v>
      </ns0:c>
      <ns0:c r="K206" s="4">
        <ns0:v>22.56</ns0:v>
      </ns0:c>
      <ns0:c r="L206" s="4">
        <ns0:v>48.53</ns0:v>
      </ns0:c>
      <ns0:c r="M206" s="4">
        <ns0:v>16.70</ns0:v>
      </ns0:c>
      <ns0:c r="N206" s="4">
        <ns0:v>58.71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33.94</ns0:v>
      </ns0:c>
      <ns0:c r="D207" s="4">
        <ns0:v>21.10</ns0:v>
      </ns0:c>
      <ns0:c r="E207" s="4">
        <ns0:v>59.77</ns0:v>
      </ns0:c>
      <ns0:c r="F207" s="4">
        <ns0:v>32.55</ns0:v>
      </ns0:c>
      <ns0:c r="G207" s="4">
        <ns0:v>62.34</ns0:v>
      </ns0:c>
      <ns0:c r="H207" s="4">
        <ns0:v>62.54</ns0:v>
      </ns0:c>
      <ns0:c r="I207" s="4">
        <ns0:v>25.35</ns0:v>
      </ns0:c>
      <ns0:c r="J207" s="4">
        <ns0:v>28.45</ns0:v>
      </ns0:c>
      <ns0:c r="K207" s="4">
        <ns0:v>56.25</ns0:v>
      </ns0:c>
      <ns0:c r="L207" s="4">
        <ns0:v>35.02</ns0:v>
      </ns0:c>
      <ns0:c r="M207" s="4">
        <ns0:v>58.70</ns0:v>
      </ns0:c>
      <ns0:c r="N207" s="4">
        <ns0:v>56.01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27.40</ns0:v>
      </ns0:c>
      <ns0:c r="D208" s="4">
        <ns0:v>43.50</ns0:v>
      </ns0:c>
      <ns0:c r="E208" s="4">
        <ns0:v>68.29</ns0:v>
      </ns0:c>
      <ns0:c r="F208" s="4">
        <ns0:v>48.23</ns0:v>
      </ns0:c>
      <ns0:c r="G208" s="4">
        <ns0:v>72.87</ns0:v>
      </ns0:c>
      <ns0:c r="H208" s="4">
        <ns0:v>27.52</ns0:v>
      </ns0:c>
      <ns0:c r="I208" s="4">
        <ns0:v>48.52</ns0:v>
      </ns0:c>
      <ns0:c r="J208" s="4">
        <ns0:v>64.55</ns0:v>
      </ns0:c>
      <ns0:c r="K208" s="4">
        <ns0:v>21.43</ns0:v>
      </ns0:c>
      <ns0:c r="L208" s="4">
        <ns0:v>25.73</ns0:v>
      </ns0:c>
      <ns0:c r="M208" s="4">
        <ns0:v>76.98</ns0:v>
      </ns0:c>
      <ns0:c r="N208" s="4">
        <ns0:v>29.27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44.51</ns0:v>
      </ns0:c>
      <ns0:c r="D209" s="4">
        <ns0:v>29.31</ns0:v>
      </ns0:c>
      <ns0:c r="E209" s="4">
        <ns0:v>64.76</ns0:v>
      </ns0:c>
      <ns0:c r="F209" s="4">
        <ns0:v>63.89</ns0:v>
      </ns0:c>
      <ns0:c r="G209" s="4">
        <ns0:v>23.26</ns0:v>
      </ns0:c>
      <ns0:c r="H209" s="4">
        <ns0:v>30.25</ns0:v>
      </ns0:c>
      <ns0:c r="I209" s="4">
        <ns0:v>41.89</ns0:v>
      </ns0:c>
      <ns0:c r="J209" s="4">
        <ns0:v>29.96</ns0:v>
      </ns0:c>
      <ns0:c r="K209" s="4">
        <ns0:v>58.68</ns0:v>
      </ns0:c>
      <ns0:c r="L209" s="4">
        <ns0:v>18.02</ns0:v>
      </ns0:c>
      <ns0:c r="M209" s="4">
        <ns0:v>63.43</ns0:v>
      </ns0:c>
      <ns0:c r="N209" s="4">
        <ns0:v>56.05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71.69</ns0:v>
      </ns0:c>
      <ns0:c r="D210" s="4">
        <ns0:v>68.18</ns0:v>
      </ns0:c>
      <ns0:c r="E210" s="4">
        <ns0:v>59.49</ns0:v>
      </ns0:c>
      <ns0:c r="F210" s="4">
        <ns0:v>50.41</ns0:v>
      </ns0:c>
      <ns0:c r="G210" s="4">
        <ns0:v>28.79</ns0:v>
      </ns0:c>
      <ns0:c r="H210" s="4">
        <ns0:v>18.77</ns0:v>
      </ns0:c>
      <ns0:c r="I210" s="4">
        <ns0:v>38.67</ns0:v>
      </ns0:c>
      <ns0:c r="J210" s="4">
        <ns0:v>61.95</ns0:v>
      </ns0:c>
      <ns0:c r="K210" s="4">
        <ns0:v>24.51</ns0:v>
      </ns0:c>
      <ns0:c r="L210" s="4">
        <ns0:v>30.89</ns0:v>
      </ns0:c>
      <ns0:c r="M210" s="4">
        <ns0:v>51.54</ns0:v>
      </ns0:c>
      <ns0:c r="N210" s="4">
        <ns0:v>69.55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61.40</ns0:v>
      </ns0:c>
      <ns0:c r="D211" s="4">
        <ns0:v>19.70</ns0:v>
      </ns0:c>
      <ns0:c r="E211" s="4">
        <ns0:v>54.94</ns0:v>
      </ns0:c>
      <ns0:c r="F211" s="4">
        <ns0:v>25.96</ns0:v>
      </ns0:c>
      <ns0:c r="G211" s="4">
        <ns0:v>23.14</ns0:v>
      </ns0:c>
      <ns0:c r="H211" s="4">
        <ns0:v>37.70</ns0:v>
      </ns0:c>
      <ns0:c r="I211" s="4">
        <ns0:v>22.14</ns0:v>
      </ns0:c>
      <ns0:c r="J211" s="4">
        <ns0:v>27.28</ns0:v>
      </ns0:c>
      <ns0:c r="K211" s="4">
        <ns0:v>49.20</ns0:v>
      </ns0:c>
      <ns0:c r="L211" s="4">
        <ns0:v>21.85</ns0:v>
      </ns0:c>
      <ns0:c r="M211" s="4">
        <ns0:v>56.59</ns0:v>
      </ns0:c>
      <ns0:c r="N211" s="4">
        <ns0:v>30.95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36.86</ns0:v>
      </ns0:c>
      <ns0:c r="D212" s="4">
        <ns0:v>20.46</ns0:v>
      </ns0:c>
      <ns0:c r="E212" s="4">
        <ns0:v>25.60</ns0:v>
      </ns0:c>
      <ns0:c r="F212" s="4">
        <ns0:v>41.38</ns0:v>
      </ns0:c>
      <ns0:c r="G212" s="4">
        <ns0:v>25.48</ns0:v>
      </ns0:c>
      <ns0:c r="H212" s="4">
        <ns0:v>42.61</ns0:v>
      </ns0:c>
      <ns0:c r="I212" s="4">
        <ns0:v>20.52</ns0:v>
      </ns0:c>
      <ns0:c r="J212" s="4">
        <ns0:v>45.13</ns0:v>
      </ns0:c>
      <ns0:c r="K212" s="4">
        <ns0:v>41.78</ns0:v>
      </ns0:c>
      <ns0:c r="L212" s="4">
        <ns0:v>31.71</ns0:v>
      </ns0:c>
      <ns0:c r="M212" s="4">
        <ns0:v>18.64</ns0:v>
      </ns0:c>
      <ns0:c r="N212" s="4">
        <ns0:v>40.19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61.04</ns0:v>
      </ns0:c>
      <ns0:c r="D213" s="4">
        <ns0:v>69.04</ns0:v>
      </ns0:c>
      <ns0:c r="E213" s="4">
        <ns0:v>29.11</ns0:v>
      </ns0:c>
      <ns0:c r="F213" s="4">
        <ns0:v>24.06</ns0:v>
      </ns0:c>
      <ns0:c r="G213" s="4">
        <ns0:v>23.89</ns0:v>
      </ns0:c>
      <ns0:c r="H213" s="4">
        <ns0:v>43.73</ns0:v>
      </ns0:c>
      <ns0:c r="I213" s="4">
        <ns0:v>41.19</ns0:v>
      </ns0:c>
      <ns0:c r="J213" s="4">
        <ns0:v>18.85</ns0:v>
      </ns0:c>
      <ns0:c r="K213" s="4">
        <ns0:v>20.86</ns0:v>
      </ns0:c>
      <ns0:c r="L213" s="4">
        <ns0:v>44.99</ns0:v>
      </ns0:c>
      <ns0:c r="M213" s="4">
        <ns0:v>26.40</ns0:v>
      </ns0:c>
      <ns0:c r="N213" s="4">
        <ns0:v>26.20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24.19</ns0:v>
      </ns0:c>
      <ns0:c r="D214" s="4">
        <ns0:v>30.36</ns0:v>
      </ns0:c>
      <ns0:c r="E214" s="4">
        <ns0:v>28.59</ns0:v>
      </ns0:c>
      <ns0:c r="F214" s="4">
        <ns0:v>39.08</ns0:v>
      </ns0:c>
      <ns0:c r="G214" s="4">
        <ns0:v>47.15</ns0:v>
      </ns0:c>
      <ns0:c r="H214" s="4">
        <ns0:v>61.41</ns0:v>
      </ns0:c>
      <ns0:c r="I214" s="4">
        <ns0:v>19.21</ns0:v>
      </ns0:c>
      <ns0:c r="J214" s="4">
        <ns0:v>19.01</ns0:v>
      </ns0:c>
      <ns0:c r="K214" s="4">
        <ns0:v>69.42</ns0:v>
      </ns0:c>
      <ns0:c r="L214" s="4">
        <ns0:v>56.33</ns0:v>
      </ns0:c>
      <ns0:c r="M214" s="4">
        <ns0:v>23.69</ns0:v>
      </ns0:c>
      <ns0:c r="N214" s="4">
        <ns0:v>28.75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59.78</ns0:v>
      </ns0:c>
      <ns0:c r="D215" s="4">
        <ns0:v>36.18</ns0:v>
      </ns0:c>
      <ns0:c r="E215" s="4">
        <ns0:v>40.16</ns0:v>
      </ns0:c>
      <ns0:c r="F215" s="4">
        <ns0:v>33.59</ns0:v>
      </ns0:c>
      <ns0:c r="G215" s="4">
        <ns0:v>34.38</ns0:v>
      </ns0:c>
      <ns0:c r="H215" s="4">
        <ns0:v>73.27</ns0:v>
      </ns0:c>
      <ns0:c r="I215" s="4">
        <ns0:v>58.55</ns0:v>
      </ns0:c>
      <ns0:c r="J215" s="4">
        <ns0:v>40.03</ns0:v>
      </ns0:c>
      <ns0:c r="K215" s="4">
        <ns0:v>36.98</ns0:v>
      </ns0:c>
      <ns0:c r="L215" s="4">
        <ns0:v>36.87</ns0:v>
      </ns0:c>
      <ns0:c r="M215" s="4">
        <ns0:v>51.11</ns0:v>
      </ns0:c>
      <ns0:c r="N215" s="4">
        <ns0:v>64.49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32.17</ns0:v>
      </ns0:c>
      <ns0:c r="D216" s="4">
        <ns0:v>65.74</ns0:v>
      </ns0:c>
      <ns0:c r="E216" s="4">
        <ns0:v>26.18</ns0:v>
      </ns0:c>
      <ns0:c r="F216" s="4">
        <ns0:v>74.32</ns0:v>
      </ns0:c>
      <ns0:c r="G216" s="4">
        <ns0:v>21.06</ns0:v>
      </ns0:c>
      <ns0:c r="H216" s="4">
        <ns0:v>37.96</ns0:v>
      </ns0:c>
      <ns0:c r="I216" s="4">
        <ns0:v>37.32</ns0:v>
      </ns0:c>
      <ns0:c r="J216" s="4">
        <ns0:v>54.94</ns0:v>
      </ns0:c>
      <ns0:c r="K216" s="4">
        <ns0:v>15.03</ns0:v>
      </ns0:c>
      <ns0:c r="L216" s="4">
        <ns0:v>41.91</ns0:v>
      </ns0:c>
      <ns0:c r="M216" s="4">
        <ns0:v>47.88</ns0:v>
      </ns0:c>
      <ns0:c r="N216" s="4">
        <ns0:v>35.90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37.00</ns0:v>
      </ns0:c>
      <ns0:c r="D217" s="4">
        <ns0:v>63.42</ns0:v>
      </ns0:c>
      <ns0:c r="E217" s="4">
        <ns0:v>59.51</ns0:v>
      </ns0:c>
      <ns0:c r="F217" s="4">
        <ns0:v>61.07</ns0:v>
      </ns0:c>
      <ns0:c r="G217" s="4">
        <ns0:v>44.17</ns0:v>
      </ns0:c>
      <ns0:c r="H217" s="4">
        <ns0:v>22.95</ns0:v>
      </ns0:c>
      <ns0:c r="I217" s="4">
        <ns0:v>18.97</ns0:v>
      </ns0:c>
      <ns0:c r="J217" s="4">
        <ns0:v>39.10</ns0:v>
      </ns0:c>
      <ns0:c r="K217" s="4">
        <ns0:v>53.29</ns0:v>
      </ns0:c>
      <ns0:c r="L217" s="4">
        <ns0:v>41.43</ns0:v>
      </ns0:c>
      <ns0:c r="M217" s="4">
        <ns0:v>57.15</ns0:v>
      </ns0:c>
      <ns0:c r="N217" s="4">
        <ns0:v>75.28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17.45</ns0:v>
      </ns0:c>
      <ns0:c r="D218" s="4">
        <ns0:v>59.56</ns0:v>
      </ns0:c>
      <ns0:c r="E218" s="4">
        <ns0:v>50.17</ns0:v>
      </ns0:c>
      <ns0:c r="F218" s="4">
        <ns0:v>63.95</ns0:v>
      </ns0:c>
      <ns0:c r="G218" s="4">
        <ns0:v>54.65</ns0:v>
      </ns0:c>
      <ns0:c r="H218" s="4">
        <ns0:v>32.26</ns0:v>
      </ns0:c>
      <ns0:c r="I218" s="4">
        <ns0:v>64.59</ns0:v>
      </ns0:c>
      <ns0:c r="J218" s="4">
        <ns0:v>50.54</ns0:v>
      </ns0:c>
      <ns0:c r="K218" s="4">
        <ns0:v>65.99</ns0:v>
      </ns0:c>
      <ns0:c r="L218" s="4">
        <ns0:v>18.02</ns0:v>
      </ns0:c>
      <ns0:c r="M218" s="4">
        <ns0:v>48.27</ns0:v>
      </ns0:c>
      <ns0:c r="N218" s="4">
        <ns0:v>40.88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28.25</ns0:v>
      </ns0:c>
      <ns0:c r="D219" s="4">
        <ns0:v>60.76</ns0:v>
      </ns0:c>
      <ns0:c r="E219" s="4">
        <ns0:v>21.55</ns0:v>
      </ns0:c>
      <ns0:c r="F219" s="4">
        <ns0:v>35.60</ns0:v>
      </ns0:c>
      <ns0:c r="G219" s="4">
        <ns0:v>51.26</ns0:v>
      </ns0:c>
      <ns0:c r="H219" s="4">
        <ns0:v>22.91</ns0:v>
      </ns0:c>
      <ns0:c r="I219" s="4">
        <ns0:v>29.51</ns0:v>
      </ns0:c>
      <ns0:c r="J219" s="4">
        <ns0:v>20.98</ns0:v>
      </ns0:c>
      <ns0:c r="K219" s="4">
        <ns0:v>18.78</ns0:v>
      </ns0:c>
      <ns0:c r="L219" s="4">
        <ns0:v>60.91</ns0:v>
      </ns0:c>
      <ns0:c r="M219" s="4">
        <ns0:v>62.17</ns0:v>
      </ns0:c>
      <ns0:c r="N219" s="4">
        <ns0:v>34.24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63.24</ns0:v>
      </ns0:c>
      <ns0:c r="D221" s="4">
        <ns0:v>51.78</ns0:v>
      </ns0:c>
      <ns0:c r="E221" s="4">
        <ns0:v>22.69</ns0:v>
      </ns0:c>
      <ns0:c r="F221" s="4">
        <ns0:v>23.43</ns0:v>
      </ns0:c>
      <ns0:c r="G221" s="4">
        <ns0:v>28.82</ns0:v>
      </ns0:c>
      <ns0:c r="H221" s="4">
        <ns0:v>36.30</ns0:v>
      </ns0:c>
      <ns0:c r="I221" s="4">
        <ns0:v>40.58</ns0:v>
      </ns0:c>
      <ns0:c r="J221" s="4">
        <ns0:v>48.61</ns0:v>
      </ns0:c>
      <ns0:c r="K221" s="4">
        <ns0:v>23.57</ns0:v>
      </ns0:c>
      <ns0:c r="L221" s="4">
        <ns0:v>38.50</ns0:v>
      </ns0:c>
      <ns0:c r="M221" s="4">
        <ns0:v>61.30</ns0:v>
      </ns0:c>
      <ns0:c r="N221" s="4">
        <ns0:v>30.34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18.09</ns0:v>
      </ns0:c>
      <ns0:c r="D222" s="4">
        <ns0:v>33.34</ns0:v>
      </ns0:c>
      <ns0:c r="E222" s="4">
        <ns0:v>42.68</ns0:v>
      </ns0:c>
      <ns0:c r="F222" s="4">
        <ns0:v>34.20</ns0:v>
      </ns0:c>
      <ns0:c r="G222" s="4">
        <ns0:v>52.12</ns0:v>
      </ns0:c>
      <ns0:c r="H222" s="4">
        <ns0:v>49.15</ns0:v>
      </ns0:c>
      <ns0:c r="I222" s="4">
        <ns0:v>23.72</ns0:v>
      </ns0:c>
      <ns0:c r="J222" s="4">
        <ns0:v>28.59</ns0:v>
      </ns0:c>
      <ns0:c r="K222" s="4">
        <ns0:v>48.69</ns0:v>
      </ns0:c>
      <ns0:c r="L222" s="4">
        <ns0:v>45.25</ns0:v>
      </ns0:c>
      <ns0:c r="M222" s="4">
        <ns0:v>55.07</ns0:v>
      </ns0:c>
      <ns0:c r="N222" s="4">
        <ns0:v>26.85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34.79</ns0:v>
      </ns0:c>
      <ns0:c r="D223" s="4">
        <ns0:v>30.73</ns0:v>
      </ns0:c>
      <ns0:c r="E223" s="4">
        <ns0:v>27.93</ns0:v>
      </ns0:c>
      <ns0:c r="F223" s="4">
        <ns0:v>49.88</ns0:v>
      </ns0:c>
      <ns0:c r="G223" s="4">
        <ns0:v>55.54</ns0:v>
      </ns0:c>
      <ns0:c r="H223" s="4">
        <ns0:v>35.44</ns0:v>
      </ns0:c>
      <ns0:c r="I223" s="4">
        <ns0:v>55.28</ns0:v>
      </ns0:c>
      <ns0:c r="J223" s="4">
        <ns0:v>41.83</ns0:v>
      </ns0:c>
      <ns0:c r="K223" s="4">
        <ns0:v>53.39</ns0:v>
      </ns0:c>
      <ns0:c r="L223" s="4">
        <ns0:v>29.98</ns0:v>
      </ns0:c>
      <ns0:c r="M223" s="4">
        <ns0:v>56.37</ns0:v>
      </ns0:c>
      <ns0:c r="N223" s="4">
        <ns0:v>42.88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50.55</ns0:v>
      </ns0:c>
      <ns0:c r="D224" s="4">
        <ns0:v>48.64</ns0:v>
      </ns0:c>
      <ns0:c r="E224" s="4">
        <ns0:v>42.21</ns0:v>
      </ns0:c>
      <ns0:c r="F224" s="4">
        <ns0:v>62.02</ns0:v>
      </ns0:c>
      <ns0:c r="G224" s="4">
        <ns0:v>58.34</ns0:v>
      </ns0:c>
      <ns0:c r="H224" s="4">
        <ns0:v>19.27</ns0:v>
      </ns0:c>
      <ns0:c r="I224" s="4">
        <ns0:v>21.48</ns0:v>
      </ns0:c>
      <ns0:c r="J224" s="4">
        <ns0:v>53.25</ns0:v>
      </ns0:c>
      <ns0:c r="K224" s="4">
        <ns0:v>53.71</ns0:v>
      </ns0:c>
      <ns0:c r="L224" s="4">
        <ns0:v>34.77</ns0:v>
      </ns0:c>
      <ns0:c r="M224" s="4">
        <ns0:v>50.58</ns0:v>
      </ns0:c>
      <ns0:c r="N224" s="4">
        <ns0:v>19.43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53.40</ns0:v>
      </ns0:c>
      <ns0:c r="D225" s="4">
        <ns0:v>51.75</ns0:v>
      </ns0:c>
      <ns0:c r="E225" s="4">
        <ns0:v>49.68</ns0:v>
      </ns0:c>
      <ns0:c r="F225" s="4">
        <ns0:v>52.68</ns0:v>
      </ns0:c>
      <ns0:c r="G225" s="4">
        <ns0:v>46.31</ns0:v>
      </ns0:c>
      <ns0:c r="H225" s="4">
        <ns0:v>23.28</ns0:v>
      </ns0:c>
      <ns0:c r="I225" s="4">
        <ns0:v>52.41</ns0:v>
      </ns0:c>
      <ns0:c r="J225" s="4">
        <ns0:v>65.28</ns0:v>
      </ns0:c>
      <ns0:c r="K225" s="4">
        <ns0:v>24.92</ns0:v>
      </ns0:c>
      <ns0:c r="L225" s="4">
        <ns0:v>47.60</ns0:v>
      </ns0:c>
      <ns0:c r="M225" s="4">
        <ns0:v>48.58</ns0:v>
      </ns0:c>
      <ns0:c r="N225" s="4">
        <ns0:v>16.98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53.61</ns0:v>
      </ns0:c>
      <ns0:c r="D226" s="4">
        <ns0:v>54.84</ns0:v>
      </ns0:c>
      <ns0:c r="E226" s="4">
        <ns0:v>21.90</ns0:v>
      </ns0:c>
      <ns0:c r="F226" s="4">
        <ns0:v>52.56</ns0:v>
      </ns0:c>
      <ns0:c r="G226" s="4">
        <ns0:v>20.62</ns0:v>
      </ns0:c>
      <ns0:c r="H226" s="4">
        <ns0:v>22.43</ns0:v>
      </ns0:c>
      <ns0:c r="I226" s="4">
        <ns0:v>51.18</ns0:v>
      </ns0:c>
      <ns0:c r="J226" s="4">
        <ns0:v>48.42</ns0:v>
      </ns0:c>
      <ns0:c r="K226" s="4">
        <ns0:v>29.23</ns0:v>
      </ns0:c>
      <ns0:c r="L226" s="4">
        <ns0:v>40.45</ns0:v>
      </ns0:c>
      <ns0:c r="M226" s="4">
        <ns0:v>18.37</ns0:v>
      </ns0:c>
      <ns0:c r="N226" s="4">
        <ns0:v>26.34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49.72</ns0:v>
      </ns0:c>
      <ns0:c r="D227" s="4">
        <ns0:v>31.07</ns0:v>
      </ns0:c>
      <ns0:c r="E227" s="4">
        <ns0:v>40.19</ns0:v>
      </ns0:c>
      <ns0:c r="F227" s="4">
        <ns0:v>57.56</ns0:v>
      </ns0:c>
      <ns0:c r="G227" s="4">
        <ns0:v>64.25</ns0:v>
      </ns0:c>
      <ns0:c r="H227" s="4">
        <ns0:v>22.81</ns0:v>
      </ns0:c>
      <ns0:c r="I227" s="4">
        <ns0:v>40.02</ns0:v>
      </ns0:c>
      <ns0:c r="J227" s="4">
        <ns0:v>41.71</ns0:v>
      </ns0:c>
      <ns0:c r="K227" s="4">
        <ns0:v>41.62</ns0:v>
      </ns0:c>
      <ns0:c r="L227" s="4">
        <ns0:v>21.44</ns0:v>
      </ns0:c>
      <ns0:c r="M227" s="4">
        <ns0:v>26.37</ns0:v>
      </ns0:c>
      <ns0:c r="N227" s="4">
        <ns0:v>61.50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28.24</ns0:v>
      </ns0:c>
      <ns0:c r="D228" s="4">
        <ns0:v>18.56</ns0:v>
      </ns0:c>
      <ns0:c r="E228" s="4">
        <ns0:v>54.33</ns0:v>
      </ns0:c>
      <ns0:c r="F228" s="4">
        <ns0:v>42.12</ns0:v>
      </ns0:c>
      <ns0:c r="G228" s="4">
        <ns0:v>46.05</ns0:v>
      </ns0:c>
      <ns0:c r="H228" s="4">
        <ns0:v>20.41</ns0:v>
      </ns0:c>
      <ns0:c r="I228" s="4">
        <ns0:v>66.59</ns0:v>
      </ns0:c>
      <ns0:c r="J228" s="4">
        <ns0:v>34.56</ns0:v>
      </ns0:c>
      <ns0:c r="K228" s="4">
        <ns0:v>66.15</ns0:v>
      </ns0:c>
      <ns0:c r="L228" s="4">
        <ns0:v>47.43</ns0:v>
      </ns0:c>
      <ns0:c r="M228" s="4">
        <ns0:v>24.52</ns0:v>
      </ns0:c>
      <ns0:c r="N228" s="4">
        <ns0:v>59.87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73.41</ns0:v>
      </ns0:c>
      <ns0:c r="D230" s="4">
        <ns0:v>32.47</ns0:v>
      </ns0:c>
      <ns0:c r="E230" s="4">
        <ns0:v>16.83</ns0:v>
      </ns0:c>
      <ns0:c r="F230" s="4">
        <ns0:v>53.81</ns0:v>
      </ns0:c>
      <ns0:c r="G230" s="4">
        <ns0:v>39.23</ns0:v>
      </ns0:c>
      <ns0:c r="H230" s="4">
        <ns0:v>21.34</ns0:v>
      </ns0:c>
      <ns0:c r="I230" s="4">
        <ns0:v>31.80</ns0:v>
      </ns0:c>
      <ns0:c r="J230" s="4">
        <ns0:v>52.65</ns0:v>
      </ns0:c>
      <ns0:c r="K230" s="4">
        <ns0:v>48.33</ns0:v>
      </ns0:c>
      <ns0:c r="L230" s="4">
        <ns0:v>67.61</ns0:v>
      </ns0:c>
      <ns0:c r="M230" s="4">
        <ns0:v>29.49</ns0:v>
      </ns0:c>
      <ns0:c r="N230" s="4">
        <ns0:v>45.86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31.52</ns0:v>
      </ns0:c>
      <ns0:c r="D231" s="4">
        <ns0:v>19.59</ns0:v>
      </ns0:c>
      <ns0:c r="E231" s="4">
        <ns0:v>56.97</ns0:v>
      </ns0:c>
      <ns0:c r="F231" s="4">
        <ns0:v>29.62</ns0:v>
      </ns0:c>
      <ns0:c r="G231" s="4">
        <ns0:v>61.75</ns0:v>
      </ns0:c>
      <ns0:c r="H231" s="4">
        <ns0:v>31.89</ns0:v>
      </ns0:c>
      <ns0:c r="I231" s="4">
        <ns0:v>28.28</ns0:v>
      </ns0:c>
      <ns0:c r="J231" s="4">
        <ns0:v>30.65</ns0:v>
      </ns0:c>
      <ns0:c r="K231" s="4">
        <ns0:v>36.61</ns0:v>
      </ns0:c>
      <ns0:c r="L231" s="4">
        <ns0:v>55.55</ns0:v>
      </ns0:c>
      <ns0:c r="M231" s="4">
        <ns0:v>32.23</ns0:v>
      </ns0:c>
      <ns0:c r="N231" s="4">
        <ns0:v>23.50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33.32</ns0:v>
      </ns0:c>
      <ns0:c r="D232" s="4">
        <ns0:v>22.80</ns0:v>
      </ns0:c>
      <ns0:c r="E232" s="4">
        <ns0:v>45.88</ns0:v>
      </ns0:c>
      <ns0:c r="F232" s="4">
        <ns0:v>21.70</ns0:v>
      </ns0:c>
      <ns0:c r="G232" s="4">
        <ns0:v>46.44</ns0:v>
      </ns0:c>
      <ns0:c r="H232" s="4">
        <ns0:v>33.82</ns0:v>
      </ns0:c>
      <ns0:c r="I232" s="4">
        <ns0:v>19.12</ns0:v>
      </ns0:c>
      <ns0:c r="J232" s="4">
        <ns0:v>56.16</ns0:v>
      </ns0:c>
      <ns0:c r="K232" s="4">
        <ns0:v>36.03</ns0:v>
      </ns0:c>
      <ns0:c r="L232" s="4">
        <ns0:v>20.64</ns0:v>
      </ns0:c>
      <ns0:c r="M232" s="4">
        <ns0:v>62.28</ns0:v>
      </ns0:c>
      <ns0:c r="N232" s="4">
        <ns0:v>67.71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20.11</ns0:v>
      </ns0:c>
      <ns0:c r="D233" s="4">
        <ns0:v>60.37</ns0:v>
      </ns0:c>
      <ns0:c r="E233" s="4">
        <ns0:v>25.60</ns0:v>
      </ns0:c>
      <ns0:c r="F233" s="4">
        <ns0:v>45.92</ns0:v>
      </ns0:c>
      <ns0:c r="G233" s="4">
        <ns0:v>47.21</ns0:v>
      </ns0:c>
      <ns0:c r="H233" s="4">
        <ns0:v>33.01</ns0:v>
      </ns0:c>
      <ns0:c r="I233" s="4">
        <ns0:v>20.52</ns0:v>
      </ns0:c>
      <ns0:c r="J233" s="4">
        <ns0:v>57.86</ns0:v>
      </ns0:c>
      <ns0:c r="K233" s="4">
        <ns0:v>77.64</ns0:v>
      </ns0:c>
      <ns0:c r="L233" s="4">
        <ns0:v>55.81</ns0:v>
      </ns0:c>
      <ns0:c r="M233" s="4">
        <ns0:v>35.26</ns0:v>
      </ns0:c>
      <ns0:c r="N233" s="4">
        <ns0:v>50.87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2.07</ns0:v>
      </ns0:c>
      <ns0:c r="D324" s="4">
        <ns0:v>6.03</ns0:v>
      </ns0:c>
      <ns0:c r="E324" s="4">
        <ns0:v>4.54</ns0:v>
      </ns0:c>
      <ns0:c r="F324" s="4">
        <ns0:v>6.44</ns0:v>
      </ns0:c>
      <ns0:c r="G324" s="4">
        <ns0:v>8.44</ns0:v>
      </ns0:c>
      <ns0:c r="H324" s="4">
        <ns0:v>3.83</ns0:v>
      </ns0:c>
      <ns0:c r="I324" s="4">
        <ns0:v>5.76</ns0:v>
      </ns0:c>
      <ns0:c r="J324" s="4">
        <ns0:v>5.64</ns0:v>
      </ns0:c>
      <ns0:c r="K324" s="4">
        <ns0:v>9.06</ns0:v>
      </ns0:c>
      <ns0:c r="L324" s="4">
        <ns0:v>5.83</ns0:v>
      </ns0:c>
      <ns0:c r="M324" s="4">
        <ns0:v>6.10</ns0:v>
      </ns0:c>
      <ns0:c r="N324" s="4">
        <ns0:v>7.53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7.72</ns0:v>
      </ns0:c>
      <ns0:c r="D325" s="4">
        <ns0:v>4.74</ns0:v>
      </ns0:c>
      <ns0:c r="E325" s="4">
        <ns0:v>2.48</ns0:v>
      </ns0:c>
      <ns0:c r="F325" s="4">
        <ns0:v>6.51</ns0:v>
      </ns0:c>
      <ns0:c r="G325" s="4">
        <ns0:v>5.73</ns0:v>
      </ns0:c>
      <ns0:c r="H325" s="4">
        <ns0:v>2.77</ns0:v>
      </ns0:c>
      <ns0:c r="I325" s="4">
        <ns0:v>4.02</ns0:v>
      </ns0:c>
      <ns0:c r="J325" s="4">
        <ns0:v>3.90</ns0:v>
      </ns0:c>
      <ns0:c r="K325" s="4">
        <ns0:v>4.38</ns0:v>
      </ns0:c>
      <ns0:c r="L325" s="4">
        <ns0:v>6.38</ns0:v>
      </ns0:c>
      <ns0:c r="M325" s="4">
        <ns0:v>2.01</ns0:v>
      </ns0:c>
      <ns0:c r="N325" s="4">
        <ns0:v>3.90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4.06</ns0:v>
      </ns0:c>
      <ns0:c r="D326" s="4">
        <ns0:v>8.14</ns0:v>
      </ns0:c>
      <ns0:c r="E326" s="4">
        <ns0:v>2.87</ns0:v>
      </ns0:c>
      <ns0:c r="F326" s="4">
        <ns0:v>3.41</ns0:v>
      </ns0:c>
      <ns0:c r="G326" s="4">
        <ns0:v>6.68</ns0:v>
      </ns0:c>
      <ns0:c r="H326" s="4">
        <ns0:v>5.10</ns0:v>
      </ns0:c>
      <ns0:c r="I326" s="4">
        <ns0:v>6.06</ns0:v>
      </ns0:c>
      <ns0:c r="J326" s="4">
        <ns0:v>7.27</ns0:v>
      </ns0:c>
      <ns0:c r="K326" s="4">
        <ns0:v>5.30</ns0:v>
      </ns0:c>
      <ns0:c r="L326" s="4">
        <ns0:v>4.33</ns0:v>
      </ns0:c>
      <ns0:c r="M326" s="4">
        <ns0:v>3.84</ns0:v>
      </ns0:c>
      <ns0:c r="N326" s="4">
        <ns0:v>7.24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3.83</ns0:v>
      </ns0:c>
      <ns0:c r="D327" s="4">
        <ns0:v>5.87</ns0:v>
      </ns0:c>
      <ns0:c r="E327" s="4">
        <ns0:v>5.59</ns0:v>
      </ns0:c>
      <ns0:c r="F327" s="4">
        <ns0:v>2.77</ns0:v>
      </ns0:c>
      <ns0:c r="G327" s="4">
        <ns0:v>4.95</ns0:v>
      </ns0:c>
      <ns0:c r="H327" s="4">
        <ns0:v>8.33</ns0:v>
      </ns0:c>
      <ns0:c r="I327" s="4">
        <ns0:v>3.24</ns0:v>
      </ns0:c>
      <ns0:c r="J327" s="4">
        <ns0:v>3.96</ns0:v>
      </ns0:c>
      <ns0:c r="K327" s="4">
        <ns0:v>3.63</ns0:v>
      </ns0:c>
      <ns0:c r="L327" s="4">
        <ns0:v>2.94</ns0:v>
      </ns0:c>
      <ns0:c r="M327" s="4">
        <ns0:v>2.58</ns0:v>
      </ns0:c>
      <ns0:c r="N327" s="4">
        <ns0:v>5.40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2.54</ns0:v>
      </ns0:c>
      <ns0:c r="D328" s="4">
        <ns0:v>4.77</ns0:v>
      </ns0:c>
      <ns0:c r="E328" s="4">
        <ns0:v>3.20</ns0:v>
      </ns0:c>
      <ns0:c r="F328" s="4">
        <ns0:v>7.13</ns0:v>
      </ns0:c>
      <ns0:c r="G328" s="4">
        <ns0:v>3.38</ns0:v>
      </ns0:c>
      <ns0:c r="H328" s="4">
        <ns0:v>3.43</ns0:v>
      </ns0:c>
      <ns0:c r="I328" s="4">
        <ns0:v>5.89</ns0:v>
      </ns0:c>
      <ns0:c r="J328" s="4">
        <ns0:v>2.17</ns0:v>
      </ns0:c>
      <ns0:c r="K328" s="4">
        <ns0:v>5.12</ns0:v>
      </ns0:c>
      <ns0:c r="L328" s="4">
        <ns0:v>4.47</ns0:v>
      </ns0:c>
      <ns0:c r="M328" s="4">
        <ns0:v>7.69</ns0:v>
      </ns0:c>
      <ns0:c r="N328" s="4">
        <ns0:v>9.49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6.70</ns0:v>
      </ns0:c>
      <ns0:c r="D329" s="4">
        <ns0:v>7.86</ns0:v>
      </ns0:c>
      <ns0:c r="E329" s="4">
        <ns0:v>4.90</ns0:v>
      </ns0:c>
      <ns0:c r="F329" s="4">
        <ns0:v>6.62</ns0:v>
      </ns0:c>
      <ns0:c r="G329" s="4">
        <ns0:v>8.06</ns0:v>
      </ns0:c>
      <ns0:c r="H329" s="4">
        <ns0:v>7.78</ns0:v>
      </ns0:c>
      <ns0:c r="I329" s="4">
        <ns0:v>3.08</ns0:v>
      </ns0:c>
      <ns0:c r="J329" s="4">
        <ns0:v>7.60</ns0:v>
      </ns0:c>
      <ns0:c r="K329" s="4">
        <ns0:v>5.30</ns0:v>
      </ns0:c>
      <ns0:c r="L329" s="4">
        <ns0:v>3.78</ns0:v>
      </ns0:c>
      <ns0:c r="M329" s="4">
        <ns0:v>5.29</ns0:v>
      </ns0:c>
      <ns0:c r="N329" s="4">
        <ns0:v>6.87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7.76</ns0:v>
      </ns0:c>
      <ns0:c r="D330" s="4">
        <ns0:v>2.81</ns0:v>
      </ns0:c>
      <ns0:c r="E330" s="4">
        <ns0:v>6.45</ns0:v>
      </ns0:c>
      <ns0:c r="F330" s="4">
        <ns0:v>5.07</ns0:v>
      </ns0:c>
      <ns0:c r="G330" s="4">
        <ns0:v>3.87</ns0:v>
      </ns0:c>
      <ns0:c r="H330" s="4">
        <ns0:v>4.75</ns0:v>
      </ns0:c>
      <ns0:c r="I330" s="4">
        <ns0:v>7.49</ns0:v>
      </ns0:c>
      <ns0:c r="J330" s="4">
        <ns0:v>9.16</ns0:v>
      </ns0:c>
      <ns0:c r="K330" s="4">
        <ns0:v>2.32</ns0:v>
      </ns0:c>
      <ns0:c r="L330" s="4">
        <ns0:v>1.91</ns0:v>
      </ns0:c>
      <ns0:c r="M330" s="4">
        <ns0:v>5.23</ns0:v>
      </ns0:c>
      <ns0:c r="N330" s="4">
        <ns0:v>7.86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9.62</ns0:v>
      </ns0:c>
      <ns0:c r="D331" s="4">
        <ns0:v>6.02</ns0:v>
      </ns0:c>
      <ns0:c r="E331" s="4">
        <ns0:v>9.84</ns0:v>
      </ns0:c>
      <ns0:c r="F331" s="4">
        <ns0:v>5.98</ns0:v>
      </ns0:c>
      <ns0:c r="G331" s="4">
        <ns0:v>3.23</ns0:v>
      </ns0:c>
      <ns0:c r="H331" s="4">
        <ns0:v>7.68</ns0:v>
      </ns0:c>
      <ns0:c r="I331" s="4">
        <ns0:v>3.81</ns0:v>
      </ns0:c>
      <ns0:c r="J331" s="4">
        <ns0:v>8.21</ns0:v>
      </ns0:c>
      <ns0:c r="K331" s="4">
        <ns0:v>2.27</ns0:v>
      </ns0:c>
      <ns0:c r="L331" s="4">
        <ns0:v>4.70</ns0:v>
      </ns0:c>
      <ns0:c r="M331" s="4">
        <ns0:v>8.54</ns0:v>
      </ns0:c>
      <ns0:c r="N331" s="4">
        <ns0:v>4.61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3.48</ns0:v>
      </ns0:c>
      <ns0:c r="D332" s="4">
        <ns0:v>3.52</ns0:v>
      </ns0:c>
      <ns0:c r="E332" s="4">
        <ns0:v>7.92</ns0:v>
      </ns0:c>
      <ns0:c r="F332" s="4">
        <ns0:v>5.11</ns0:v>
      </ns0:c>
      <ns0:c r="G332" s="4">
        <ns0:v>7.23</ns0:v>
      </ns0:c>
      <ns0:c r="H332" s="4">
        <ns0:v>5.69</ns0:v>
      </ns0:c>
      <ns0:c r="I332" s="4">
        <ns0:v>2.12</ns0:v>
      </ns0:c>
      <ns0:c r="J332" s="4">
        <ns0:v>5.94</ns0:v>
      </ns0:c>
      <ns0:c r="K332" s="4">
        <ns0:v>2.57</ns0:v>
      </ns0:c>
      <ns0:c r="L332" s="4">
        <ns0:v>7.59</ns0:v>
      </ns0:c>
      <ns0:c r="M332" s="4">
        <ns0:v>6.21</ns0:v>
      </ns0:c>
      <ns0:c r="N332" s="4">
        <ns0:v>3.19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5.86</ns0:v>
      </ns0:c>
      <ns0:c r="D333" s="4">
        <ns0:v>7.41</ns0:v>
      </ns0:c>
      <ns0:c r="E333" s="4">
        <ns0:v>6.63</ns0:v>
      </ns0:c>
      <ns0:c r="F333" s="4">
        <ns0:v>5.54</ns0:v>
      </ns0:c>
      <ns0:c r="G333" s="4">
        <ns0:v>6.42</ns0:v>
      </ns0:c>
      <ns0:c r="H333" s="4">
        <ns0:v>2.53</ns0:v>
      </ns0:c>
      <ns0:c r="I333" s="4">
        <ns0:v>7.89</ns0:v>
      </ns0:c>
      <ns0:c r="J333" s="4">
        <ns0:v>5.21</ns0:v>
      </ns0:c>
      <ns0:c r="K333" s="4">
        <ns0:v>5.47</ns0:v>
      </ns0:c>
      <ns0:c r="L333" s="4">
        <ns0:v>9.15</ns0:v>
      </ns0:c>
      <ns0:c r="M333" s="4">
        <ns0:v>5.92</ns0:v>
      </ns0:c>
      <ns0:c r="N333" s="4">
        <ns0:v>4.49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4.36</ns0:v>
      </ns0:c>
      <ns0:c r="D334" s="4">
        <ns0:v>6.62</ns0:v>
      </ns0:c>
      <ns0:c r="E334" s="4">
        <ns0:v>4.41</ns0:v>
      </ns0:c>
      <ns0:c r="F334" s="4">
        <ns0:v>4.83</ns0:v>
      </ns0:c>
      <ns0:c r="G334" s="4">
        <ns0:v>4.36</ns0:v>
      </ns0:c>
      <ns0:c r="H334" s="4">
        <ns0:v>8.01</ns0:v>
      </ns0:c>
      <ns0:c r="I334" s="4">
        <ns0:v>4.55</ns0:v>
      </ns0:c>
      <ns0:c r="J334" s="4">
        <ns0:v>5.64</ns0:v>
      </ns0:c>
      <ns0:c r="K334" s="4">
        <ns0:v>2.90</ns0:v>
      </ns0:c>
      <ns0:c r="L334" s="4">
        <ns0:v>6.78</ns0:v>
      </ns0:c>
      <ns0:c r="M334" s="4">
        <ns0:v>9.19</ns0:v>
      </ns0:c>
      <ns0:c r="N334" s="4">
        <ns0:v>5.39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7.63</ns0:v>
      </ns0:c>
      <ns0:c r="D335" s="4">
        <ns0:v>8.94</ns0:v>
      </ns0:c>
      <ns0:c r="E335" s="4">
        <ns0:v>6.89</ns0:v>
      </ns0:c>
      <ns0:c r="F335" s="4">
        <ns0:v>7.35</ns0:v>
      </ns0:c>
      <ns0:c r="G335" s="4">
        <ns0:v>8.78</ns0:v>
      </ns0:c>
      <ns0:c r="H335" s="4">
        <ns0:v>6.48</ns0:v>
      </ns0:c>
      <ns0:c r="I335" s="4">
        <ns0:v>5.72</ns0:v>
      </ns0:c>
      <ns0:c r="J335" s="4">
        <ns0:v>2.39</ns0:v>
      </ns0:c>
      <ns0:c r="K335" s="4">
        <ns0:v>6.49</ns0:v>
      </ns0:c>
      <ns0:c r="L335" s="4">
        <ns0:v>3.83</ns0:v>
      </ns0:c>
      <ns0:c r="M335" s="4">
        <ns0:v>7.28</ns0:v>
      </ns0:c>
      <ns0:c r="N335" s="4">
        <ns0:v>2.41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3.50</ns0:v>
      </ns0:c>
      <ns0:c r="D336" s="4">
        <ns0:v>8.37</ns0:v>
      </ns0:c>
      <ns0:c r="E336" s="4">
        <ns0:v>3.37</ns0:v>
      </ns0:c>
      <ns0:c r="F336" s="4">
        <ns0:v>7.85</ns0:v>
      </ns0:c>
      <ns0:c r="G336" s="4">
        <ns0:v>8.38</ns0:v>
      </ns0:c>
      <ns0:c r="H336" s="4">
        <ns0:v>4.75</ns0:v>
      </ns0:c>
      <ns0:c r="I336" s="4">
        <ns0:v>5.14</ns0:v>
      </ns0:c>
      <ns0:c r="J336" s="4">
        <ns0:v>4.11</ns0:v>
      </ns0:c>
      <ns0:c r="K336" s="4">
        <ns0:v>7.90</ns0:v>
      </ns0:c>
      <ns0:c r="L336" s="4">
        <ns0:v>7.45</ns0:v>
      </ns0:c>
      <ns0:c r="M336" s="4">
        <ns0:v>3.89</ns0:v>
      </ns0:c>
      <ns0:c r="N336" s="4">
        <ns0:v>3.80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6.88</ns0:v>
      </ns0:c>
      <ns0:c r="D337" s="4">
        <ns0:v>8.06</ns0:v>
      </ns0:c>
      <ns0:c r="E337" s="4">
        <ns0:v>9.25</ns0:v>
      </ns0:c>
      <ns0:c r="F337" s="4">
        <ns0:v>5.56</ns0:v>
      </ns0:c>
      <ns0:c r="G337" s="4">
        <ns0:v>3.97</ns0:v>
      </ns0:c>
      <ns0:c r="H337" s="4">
        <ns0:v>4.23</ns0:v>
      </ns0:c>
      <ns0:c r="I337" s="4">
        <ns0:v>4.90</ns0:v>
      </ns0:c>
      <ns0:c r="J337" s="4">
        <ns0:v>8.58</ns0:v>
      </ns0:c>
      <ns0:c r="K337" s="4">
        <ns0:v>5.91</ns0:v>
      </ns0:c>
      <ns0:c r="L337" s="4">
        <ns0:v>2.49</ns0:v>
      </ns0:c>
      <ns0:c r="M337" s="4">
        <ns0:v>3.82</ns0:v>
      </ns0:c>
      <ns0:c r="N337" s="4">
        <ns0:v>8.74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5.20</ns0:v>
      </ns0:c>
      <ns0:c r="D338" s="4">
        <ns0:v>6.76</ns0:v>
      </ns0:c>
      <ns0:c r="E338" s="4">
        <ns0:v>4.05</ns0:v>
      </ns0:c>
      <ns0:c r="F338" s="4">
        <ns0:v>2.55</ns0:v>
      </ns0:c>
      <ns0:c r="G338" s="4">
        <ns0:v>3.51</ns0:v>
      </ns0:c>
      <ns0:c r="H338" s="4">
        <ns0:v>7.82</ns0:v>
      </ns0:c>
      <ns0:c r="I338" s="4">
        <ns0:v>2.88</ns0:v>
      </ns0:c>
      <ns0:c r="J338" s="4">
        <ns0:v>5.46</ns0:v>
      </ns0:c>
      <ns0:c r="K338" s="4">
        <ns0:v>5.20</ns0:v>
      </ns0:c>
      <ns0:c r="L338" s="4">
        <ns0:v>7.91</ns0:v>
      </ns0:c>
      <ns0:c r="M338" s="4">
        <ns0:v>7.18</ns0:v>
      </ns0:c>
      <ns0:c r="N338" s="4">
        <ns0:v>7.86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4.03</ns0:v>
      </ns0:c>
      <ns0:c r="D339" s="4">
        <ns0:v>3.94</ns0:v>
      </ns0:c>
      <ns0:c r="E339" s="4">
        <ns0:v>7.05</ns0:v>
      </ns0:c>
      <ns0:c r="F339" s="4">
        <ns0:v>4.67</ns0:v>
      </ns0:c>
      <ns0:c r="G339" s="4">
        <ns0:v>7.53</ns0:v>
      </ns0:c>
      <ns0:c r="H339" s="4">
        <ns0:v>9.71</ns0:v>
      </ns0:c>
      <ns0:c r="I339" s="4">
        <ns0:v>4.15</ns0:v>
      </ns0:c>
      <ns0:c r="J339" s="4">
        <ns0:v>6.23</ns0:v>
      </ns0:c>
      <ns0:c r="K339" s="4">
        <ns0:v>4.46</ns0:v>
      </ns0:c>
      <ns0:c r="L339" s="4">
        <ns0:v>2.13</ns0:v>
      </ns0:c>
      <ns0:c r="M339" s="4">
        <ns0:v>2.26</ns0:v>
      </ns0:c>
      <ns0:c r="N339" s="4">
        <ns0:v>3.41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6.76</ns0:v>
      </ns0:c>
      <ns0:c r="D341" s="4">
        <ns0:v>7.51</ns0:v>
      </ns0:c>
      <ns0:c r="E341" s="4">
        <ns0:v>3.24</ns0:v>
      </ns0:c>
      <ns0:c r="F341" s="4">
        <ns0:v>6.73</ns0:v>
      </ns0:c>
      <ns0:c r="G341" s="4">
        <ns0:v>2.36</ns0:v>
      </ns0:c>
      <ns0:c r="H341" s="4">
        <ns0:v>3.99</ns0:v>
      </ns0:c>
      <ns0:c r="I341" s="4">
        <ns0:v>4.14</ns0:v>
      </ns0:c>
      <ns0:c r="J341" s="4">
        <ns0:v>7.20</ns0:v>
      </ns0:c>
      <ns0:c r="K341" s="4">
        <ns0:v>7.43</ns0:v>
      </ns0:c>
      <ns0:c r="L341" s="4">
        <ns0:v>2.57</ns0:v>
      </ns0:c>
      <ns0:c r="M341" s="4">
        <ns0:v>2.60</ns0:v>
      </ns0:c>
      <ns0:c r="N341" s="4">
        <ns0:v>5.42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4.52</ns0:v>
      </ns0:c>
      <ns0:c r="D342" s="4">
        <ns0:v>7.22</ns0:v>
      </ns0:c>
      <ns0:c r="E342" s="4">
        <ns0:v>5.84</ns0:v>
      </ns0:c>
      <ns0:c r="F342" s="4">
        <ns0:v>7.20</ns0:v>
      </ns0:c>
      <ns0:c r="G342" s="4">
        <ns0:v>2.88</ns0:v>
      </ns0:c>
      <ns0:c r="H342" s="4">
        <ns0:v>8.13</ns0:v>
      </ns0:c>
      <ns0:c r="I342" s="4">
        <ns0:v>1.96</ns0:v>
      </ns0:c>
      <ns0:c r="J342" s="4">
        <ns0:v>2.83</ns0:v>
      </ns0:c>
      <ns0:c r="K342" s="4">
        <ns0:v>5.97</ns0:v>
      </ns0:c>
      <ns0:c r="L342" s="4">
        <ns0:v>6.18</ns0:v>
      </ns0:c>
      <ns0:c r="M342" s="4">
        <ns0:v>4.96</ns0:v>
      </ns0:c>
      <ns0:c r="N342" s="4">
        <ns0:v>7.12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6.31</ns0:v>
      </ns0:c>
      <ns0:c r="D343" s="4">
        <ns0:v>6.21</ns0:v>
      </ns0:c>
      <ns0:c r="E343" s="4">
        <ns0:v>8.40</ns0:v>
      </ns0:c>
      <ns0:c r="F343" s="4">
        <ns0:v>9.24</ns0:v>
      </ns0:c>
      <ns0:c r="G343" s="4">
        <ns0:v>7.79</ns0:v>
      </ns0:c>
      <ns0:c r="H343" s="4">
        <ns0:v>5.23</ns0:v>
      </ns0:c>
      <ns0:c r="I343" s="4">
        <ns0:v>7.95</ns0:v>
      </ns0:c>
      <ns0:c r="J343" s="4">
        <ns0:v>3.55</ns0:v>
      </ns0:c>
      <ns0:c r="K343" s="4">
        <ns0:v>7.36</ns0:v>
      </ns0:c>
      <ns0:c r="L343" s="4">
        <ns0:v>5.98</ns0:v>
      </ns0:c>
      <ns0:c r="M343" s="4">
        <ns0:v>8.46</ns0:v>
      </ns0:c>
      <ns0:c r="N343" s="4">
        <ns0:v>5.72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7.40</ns0:v>
      </ns0:c>
      <ns0:c r="D344" s="4">
        <ns0:v>6.56</ns0:v>
      </ns0:c>
      <ns0:c r="E344" s="4">
        <ns0:v>6.90</ns0:v>
      </ns0:c>
      <ns0:c r="F344" s="4">
        <ns0:v>5.05</ns0:v>
      </ns0:c>
      <ns0:c r="G344" s="4">
        <ns0:v>4.31</ns0:v>
      </ns0:c>
      <ns0:c r="H344" s="4">
        <ns0:v>4.68</ns0:v>
      </ns0:c>
      <ns0:c r="I344" s="4">
        <ns0:v>7.36</ns0:v>
      </ns0:c>
      <ns0:c r="J344" s="4">
        <ns0:v>3.48</ns0:v>
      </ns0:c>
      <ns0:c r="K344" s="4">
        <ns0:v>2.15</ns0:v>
      </ns0:c>
      <ns0:c r="L344" s="4">
        <ns0:v>5.89</ns0:v>
      </ns0:c>
      <ns0:c r="M344" s="4">
        <ns0:v>8.99</ns0:v>
      </ns0:c>
      <ns0:c r="N344" s="4">
        <ns0:v>4.44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5.25</ns0:v>
      </ns0:c>
      <ns0:c r="D345" s="4">
        <ns0:v>8.63</ns0:v>
      </ns0:c>
      <ns0:c r="E345" s="4">
        <ns0:v>4.83</ns0:v>
      </ns0:c>
      <ns0:c r="F345" s="4">
        <ns0:v>7.26</ns0:v>
      </ns0:c>
      <ns0:c r="G345" s="4">
        <ns0:v>8.99</ns0:v>
      </ns0:c>
      <ns0:c r="H345" s="4">
        <ns0:v>5.52</ns0:v>
      </ns0:c>
      <ns0:c r="I345" s="4">
        <ns0:v>7.71</ns0:v>
      </ns0:c>
      <ns0:c r="J345" s="4">
        <ns0:v>2.50</ns0:v>
      </ns0:c>
      <ns0:c r="K345" s="4">
        <ns0:v>9.18</ns0:v>
      </ns0:c>
      <ns0:c r="L345" s="4">
        <ns0:v>6.31</ns0:v>
      </ns0:c>
      <ns0:c r="M345" s="4">
        <ns0:v>5.62</ns0:v>
      </ns0:c>
      <ns0:c r="N345" s="4">
        <ns0:v>2.60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7.05</ns0:v>
      </ns0:c>
      <ns0:c r="D346" s="4">
        <ns0:v>5.60</ns0:v>
      </ns0:c>
      <ns0:c r="E346" s="4">
        <ns0:v>6.85</ns0:v>
      </ns0:c>
      <ns0:c r="F346" s="4">
        <ns0:v>3.79</ns0:v>
      </ns0:c>
      <ns0:c r="G346" s="4">
        <ns0:v>7.56</ns0:v>
      </ns0:c>
      <ns0:c r="H346" s="4">
        <ns0:v>6.76</ns0:v>
      </ns0:c>
      <ns0:c r="I346" s="4">
        <ns0:v>4.59</ns0:v>
      </ns0:c>
      <ns0:c r="J346" s="4">
        <ns0:v>4.33</ns0:v>
      </ns0:c>
      <ns0:c r="K346" s="4">
        <ns0:v>7.09</ns0:v>
      </ns0:c>
      <ns0:c r="L346" s="4">
        <ns0:v>6.68</ns0:v>
      </ns0:c>
      <ns0:c r="M346" s="4">
        <ns0:v>8.23</ns0:v>
      </ns0:c>
      <ns0:c r="N346" s="4">
        <ns0:v>9.19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2.50</ns0:v>
      </ns0:c>
      <ns0:c r="D347" s="4">
        <ns0:v>8.72</ns0:v>
      </ns0:c>
      <ns0:c r="E347" s="4">
        <ns0:v>4.62</ns0:v>
      </ns0:c>
      <ns0:c r="F347" s="4">
        <ns0:v>4.93</ns0:v>
      </ns0:c>
      <ns0:c r="G347" s="4">
        <ns0:v>8.33</ns0:v>
      </ns0:c>
      <ns0:c r="H347" s="4">
        <ns0:v>7.72</ns0:v>
      </ns0:c>
      <ns0:c r="I347" s="4">
        <ns0:v>7.06</ns0:v>
      </ns0:c>
      <ns0:c r="J347" s="4">
        <ns0:v>4.28</ns0:v>
      </ns0:c>
      <ns0:c r="K347" s="4">
        <ns0:v>5.61</ns0:v>
      </ns0:c>
      <ns0:c r="L347" s="4">
        <ns0:v>6.76</ns0:v>
      </ns0:c>
      <ns0:c r="M347" s="4">
        <ns0:v>2.68</ns0:v>
      </ns0:c>
      <ns0:c r="N347" s="4">
        <ns0:v>6.92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7.14</ns0:v>
      </ns0:c>
      <ns0:c r="D348" s="4">
        <ns0:v>8.03</ns0:v>
      </ns0:c>
      <ns0:c r="E348" s="4">
        <ns0:v>7.41</ns0:v>
      </ns0:c>
      <ns0:c r="F348" s="4">
        <ns0:v>5.10</ns0:v>
      </ns0:c>
      <ns0:c r="G348" s="4">
        <ns0:v>4.14</ns0:v>
      </ns0:c>
      <ns0:c r="H348" s="4">
        <ns0:v>6.03</ns0:v>
      </ns0:c>
      <ns0:c r="I348" s="4">
        <ns0:v>3.01</ns0:v>
      </ns0:c>
      <ns0:c r="J348" s="4">
        <ns0:v>2.53</ns0:v>
      </ns0:c>
      <ns0:c r="K348" s="4">
        <ns0:v>9.64</ns0:v>
      </ns0:c>
      <ns0:c r="L348" s="4">
        <ns0:v>6.94</ns0:v>
      </ns0:c>
      <ns0:c r="M348" s="4">
        <ns0:v>3.51</ns0:v>
      </ns0:c>
      <ns0:c r="N348" s="4">
        <ns0:v>3.05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7.94</ns0:v>
      </ns0:c>
      <ns0:c r="D350" s="4">
        <ns0:v>3.52</ns0:v>
      </ns0:c>
      <ns0:c r="E350" s="4">
        <ns0:v>5.90</ns0:v>
      </ns0:c>
      <ns0:c r="F350" s="4">
        <ns0:v>3.06</ns0:v>
      </ns0:c>
      <ns0:c r="G350" s="4">
        <ns0:v>5.45</ns0:v>
      </ns0:c>
      <ns0:c r="H350" s="4">
        <ns0:v>2.30</ns0:v>
      </ns0:c>
      <ns0:c r="I350" s="4">
        <ns0:v>2.20</ns0:v>
      </ns0:c>
      <ns0:c r="J350" s="4">
        <ns0:v>3.76</ns0:v>
      </ns0:c>
      <ns0:c r="K350" s="4">
        <ns0:v>5.12</ns0:v>
      </ns0:c>
      <ns0:c r="L350" s="4">
        <ns0:v>4.39</ns0:v>
      </ns0:c>
      <ns0:c r="M350" s="4">
        <ns0:v>3.53</ns0:v>
      </ns0:c>
      <ns0:c r="N350" s="4">
        <ns0:v>5.47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5.82</ns0:v>
      </ns0:c>
      <ns0:c r="D351" s="4">
        <ns0:v>4.44</ns0:v>
      </ns0:c>
      <ns0:c r="E351" s="4">
        <ns0:v>2.70</ns0:v>
      </ns0:c>
      <ns0:c r="F351" s="4">
        <ns0:v>7.05</ns0:v>
      </ns0:c>
      <ns0:c r="G351" s="4">
        <ns0:v>2.97</ns0:v>
      </ns0:c>
      <ns0:c r="H351" s="4">
        <ns0:v>5.54</ns0:v>
      </ns0:c>
      <ns0:c r="I351" s="4">
        <ns0:v>6.03</ns0:v>
      </ns0:c>
      <ns0:c r="J351" s="4">
        <ns0:v>4.83</ns0:v>
      </ns0:c>
      <ns0:c r="K351" s="4">
        <ns0:v>6.93</ns0:v>
      </ns0:c>
      <ns0:c r="L351" s="4">
        <ns0:v>7.80</ns0:v>
      </ns0:c>
      <ns0:c r="M351" s="4">
        <ns0:v>6.98</ns0:v>
      </ns0:c>
      <ns0:c r="N351" s="4">
        <ns0:v>5.22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5.59</ns0:v>
      </ns0:c>
      <ns0:c r="D352" s="4">
        <ns0:v>6.77</ns0:v>
      </ns0:c>
      <ns0:c r="E352" s="4">
        <ns0:v>7.47</ns0:v>
      </ns0:c>
      <ns0:c r="F352" s="4">
        <ns0:v>7.02</ns0:v>
      </ns0:c>
      <ns0:c r="G352" s="4">
        <ns0:v>3.23</ns0:v>
      </ns0:c>
      <ns0:c r="H352" s="4">
        <ns0:v>4.95</ns0:v>
      </ns0:c>
      <ns0:c r="I352" s="4">
        <ns0:v>5.65</ns0:v>
      </ns0:c>
      <ns0:c r="J352" s="4">
        <ns0:v>5.42</ns0:v>
      </ns0:c>
      <ns0:c r="K352" s="4">
        <ns0:v>7.83</ns0:v>
      </ns0:c>
      <ns0:c r="L352" s="4">
        <ns0:v>8.09</ns0:v>
      </ns0:c>
      <ns0:c r="M352" s="4">
        <ns0:v>7.58</ns0:v>
      </ns0:c>
      <ns0:c r="N352" s="4">
        <ns0:v>4.16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3.20</ns0:v>
      </ns0:c>
      <ns0:c r="D353" s="4">
        <ns0:v>6.11</ns0:v>
      </ns0:c>
      <ns0:c r="E353" s="4">
        <ns0:v>6.92</ns0:v>
      </ns0:c>
      <ns0:c r="F353" s="4">
        <ns0:v>9.83</ns0:v>
      </ns0:c>
      <ns0:c r="G353" s="4">
        <ns0:v>7.39</ns0:v>
      </ns0:c>
      <ns0:c r="H353" s="4">
        <ns0:v>7.40</ns0:v>
      </ns0:c>
      <ns0:c r="I353" s="4">
        <ns0:v>7.70</ns0:v>
      </ns0:c>
      <ns0:c r="J353" s="4">
        <ns0:v>4.62</ns0:v>
      </ns0:c>
      <ns0:c r="K353" s="4">
        <ns0:v>4.22</ns0:v>
      </ns0:c>
      <ns0:c r="L353" s="4">
        <ns0:v>8.60</ns0:v>
      </ns0:c>
      <ns0:c r="M353" s="4">
        <ns0:v>7.43</ns0:v>
      </ns0:c>
      <ns0:c r="N353" s="4">
        <ns0:v>8.43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814.68</ns0:v>
      </ns0:c>
      <ns0:c r="D4" s="3">
        <ns0:f>'销售费用'!D4+'管理费用'!D4+'蓝恐龙费用'!D4</ns0:f>
        <ns0:v>435.90</ns0:v>
      </ns0:c>
      <ns0:c r="E4" s="3">
        <ns0:f>'销售费用'!E4+'管理费用'!E4+'蓝恐龙费用'!E4</ns0:f>
        <ns0:v>877.21</ns0:v>
      </ns0:c>
      <ns0:c r="F4" s="3">
        <ns0:f>'销售费用'!F4+'管理费用'!F4+'蓝恐龙费用'!F4</ns0:f>
        <ns0:v>886.00</ns0:v>
      </ns0:c>
      <ns0:c r="G4" s="3">
        <ns0:f>'销售费用'!G4+'管理费用'!G4+'蓝恐龙费用'!G4</ns0:f>
        <ns0:v>1249.65</ns0:v>
      </ns0:c>
      <ns0:c r="H4" s="3">
        <ns0:f>'销售费用'!H4+'管理费用'!H4+'蓝恐龙费用'!H4</ns0:f>
        <ns0:v>607.17</ns0:v>
      </ns0:c>
      <ns0:c r="I4" s="3">
        <ns0:f>'销售费用'!I4+'管理费用'!I4+'蓝恐龙费用'!I4</ns0:f>
        <ns0:v>632.16</ns0:v>
      </ns0:c>
      <ns0:c r="J4" s="3">
        <ns0:f>'销售费用'!J4+'管理费用'!J4+'蓝恐龙费用'!J4</ns0:f>
        <ns0:v>342.51</ns0:v>
      </ns0:c>
      <ns0:c r="K4" s="3">
        <ns0:f>'销售费用'!K4+'管理费用'!K4+'蓝恐龙费用'!K4</ns0:f>
        <ns0:v>1030.63</ns0:v>
      </ns0:c>
      <ns0:c r="L4" s="3">
        <ns0:f>'销售费用'!L4+'管理费用'!L4+'蓝恐龙费用'!L4</ns0:f>
        <ns0:v>693.62</ns0:v>
      </ns0:c>
      <ns0:c r="M4" s="3">
        <ns0:f>'销售费用'!M4+'管理费用'!M4+'蓝恐龙费用'!M4</ns0:f>
        <ns0:v>688.68</ns0:v>
      </ns0:c>
      <ns0:c r="N4" s="3">
        <ns0:f>'销售费用'!N4+'管理费用'!N4+'蓝恐龙费用'!N4</ns0:f>
        <ns0:v>1221.14</ns0:v>
      </ns0:c>
      <ns0:c r="O4" s="3">
        <ns0:f>SUM(C4:N4)</ns0:f>
        <ns0:v>9479.35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519.52</ns0:v>
      </ns0:c>
      <ns0:c r="D5" s="3">
        <ns0:f>'销售费用'!D5+'管理费用'!D5+'蓝恐龙费用'!D5</ns0:f>
        <ns0:v>861.69</ns0:v>
      </ns0:c>
      <ns0:c r="E5" s="3">
        <ns0:f>'销售费用'!E5+'管理费用'!E5+'蓝恐龙费用'!E5</ns0:f>
        <ns0:v>449.54</ns0:v>
      </ns0:c>
      <ns0:c r="F5" s="3">
        <ns0:f>'销售费用'!F5+'管理费用'!F5+'蓝恐龙费用'!F5</ns0:f>
        <ns0:v>1209.58</ns0:v>
      </ns0:c>
      <ns0:c r="G5" s="3">
        <ns0:f>'销售费用'!G5+'管理费用'!G5+'蓝恐龙费用'!G5</ns0:f>
        <ns0:v>945.69</ns0:v>
      </ns0:c>
      <ns0:c r="H5" s="3">
        <ns0:f>'销售费用'!H5+'管理费用'!H5+'蓝恐龙费用'!H5</ns0:f>
        <ns0:v>637.11</ns0:v>
      </ns0:c>
      <ns0:c r="I5" s="3">
        <ns0:f>'销售费用'!I5+'管理费用'!I5+'蓝恐龙费用'!I5</ns0:f>
        <ns0:v>929.71</ns0:v>
      </ns0:c>
      <ns0:c r="J5" s="3">
        <ns0:f>'销售费用'!J5+'管理费用'!J5+'蓝恐龙费用'!J5</ns0:f>
        <ns0:v>454.53</ns0:v>
      </ns0:c>
      <ns0:c r="K5" s="3">
        <ns0:f>'销售费用'!K5+'管理费用'!K5+'蓝恐龙费用'!K5</ns0:f>
        <ns0:v>491.59</ns0:v>
      </ns0:c>
      <ns0:c r="L5" s="3">
        <ns0:f>'销售费用'!L5+'管理费用'!L5+'蓝恐龙费用'!L5</ns0:f>
        <ns0:v>582.17</ns0:v>
      </ns0:c>
      <ns0:c r="M5" s="3">
        <ns0:f>'销售费用'!M5+'管理费用'!M5+'蓝恐龙费用'!M5</ns0:f>
        <ns0:v>309.13</ns0:v>
      </ns0:c>
      <ns0:c r="N5" s="3">
        <ns0:f>'销售费用'!N5+'管理费用'!N5+'蓝恐龙费用'!N5</ns0:f>
        <ns0:v>593.96</ns0:v>
      </ns0:c>
      <ns0:c r="O5" s="3">
        <ns0:f>SUM(C5:N5)</ns0:f>
        <ns0:v>7984.22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663.49</ns0:v>
      </ns0:c>
      <ns0:c r="D6" s="3">
        <ns0:f>'销售费用'!D6+'管理费用'!D6+'蓝恐龙费用'!D6</ns0:f>
        <ns0:v>1207.26</ns0:v>
      </ns0:c>
      <ns0:c r="E6" s="3">
        <ns0:f>'销售费用'!E6+'管理费用'!E6+'蓝恐龙费用'!E6</ns0:f>
        <ns0:v>515.18</ns0:v>
      </ns0:c>
      <ns0:c r="F6" s="3">
        <ns0:f>'销售费用'!F6+'管理费用'!F6+'蓝恐龙费用'!F6</ns0:f>
        <ns0:v>588.15</ns0:v>
      </ns0:c>
      <ns0:c r="G6" s="3">
        <ns0:f>'销售费用'!G6+'管理费用'!G6+'蓝恐龙费用'!G6</ns0:f>
        <ns0:v>757.35</ns0:v>
      </ns0:c>
      <ns0:c r="H6" s="3">
        <ns0:f>'销售费用'!H6+'管理费用'!H6+'蓝恐龙费用'!H6</ns0:f>
        <ns0:v>846.05</ns0:v>
      </ns0:c>
      <ns0:c r="I6" s="3">
        <ns0:f>'销售费用'!I6+'管理费用'!I6+'蓝恐龙费用'!I6</ns0:f>
        <ns0:v>597.94</ns0:v>
      </ns0:c>
      <ns0:c r="J6" s="3">
        <ns0:f>'销售费用'!J6+'管理费用'!J6+'蓝恐龙费用'!J6</ns0:f>
        <ns0:v>649.22</ns0:v>
      </ns0:c>
      <ns0:c r="K6" s="3">
        <ns0:f>'销售费用'!K6+'管理费用'!K6+'蓝恐龙费用'!K6</ns0:f>
        <ns0:v>984.52</ns0:v>
      </ns0:c>
      <ns0:c r="L6" s="3">
        <ns0:f>'销售费用'!L6+'管理费用'!L6+'蓝恐龙费用'!L6</ns0:f>
        <ns0:v>653.23</ns0:v>
      </ns0:c>
      <ns0:c r="M6" s="3">
        <ns0:f>'销售费用'!M6+'管理费用'!M6+'蓝恐龙费用'!M6</ns0:f>
        <ns0:v>459.40</ns0:v>
      </ns0:c>
      <ns0:c r="N6" s="3">
        <ns0:f>'销售费用'!N6+'管理费用'!N6+'蓝恐龙费用'!N6</ns0:f>
        <ns0:v>807.71</ns0:v>
      </ns0:c>
      <ns0:c r="O6" s="3">
        <ns0:f>SUM(C6:N6)</ns0:f>
        <ns0:v>8729.50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543.41</ns0:v>
      </ns0:c>
      <ns0:c r="D7" s="3">
        <ns0:f>'销售费用'!D7+'管理费用'!D7+'蓝恐龙费用'!D7</ns0:f>
        <ns0:v>418.28</ns0:v>
      </ns0:c>
      <ns0:c r="E7" s="3">
        <ns0:f>'销售费用'!E7+'管理费用'!E7+'蓝恐龙费用'!E7</ns0:f>
        <ns0:v>657.43</ns0:v>
      </ns0:c>
      <ns0:c r="F7" s="3">
        <ns0:f>'销售费用'!F7+'管理费用'!F7+'蓝恐龙费用'!F7</ns0:f>
        <ns0:v>423.72</ns0:v>
      </ns0:c>
      <ns0:c r="G7" s="3">
        <ns0:f>'销售费用'!G7+'管理费用'!G7+'蓝恐龙费用'!G7</ns0:f>
        <ns0:v>513.05</ns0:v>
      </ns0:c>
      <ns0:c r="H7" s="3">
        <ns0:f>'销售费用'!H7+'管理费用'!H7+'蓝恐龙费用'!H7</ns0:f>
        <ns0:v>1047.86</ns0:v>
      </ns0:c>
      <ns0:c r="I7" s="3">
        <ns0:f>'销售费用'!I7+'管理费用'!I7+'蓝恐龙费用'!I7</ns0:f>
        <ns0:v>500.81</ns0:v>
      </ns0:c>
      <ns0:c r="J7" s="3">
        <ns0:f>'销售费用'!J7+'管理费用'!J7+'蓝恐龙费用'!J7</ns0:f>
        <ns0:v>567.78</ns0:v>
      </ns0:c>
      <ns0:c r="K7" s="3">
        <ns0:f>'销售费用'!K7+'管理费用'!K7+'蓝恐龙费用'!K7</ns0:f>
        <ns0:v>912.66</ns0:v>
      </ns0:c>
      <ns0:c r="L7" s="3">
        <ns0:f>'销售费用'!L7+'管理费用'!L7+'蓝恐龙费用'!L7</ns0:f>
        <ns0:v>638.01</ns0:v>
      </ns0:c>
      <ns0:c r="M7" s="3">
        <ns0:f>'销售费用'!M7+'管理费用'!M7+'蓝恐龙费用'!M7</ns0:f>
        <ns0:v>682.42</ns0:v>
      </ns0:c>
      <ns0:c r="N7" s="3">
        <ns0:f>'销售费用'!N7+'管理费用'!N7+'蓝恐龙费用'!N7</ns0:f>
        <ns0:v>904.44</ns0:v>
      </ns0:c>
      <ns0:c r="O7" s="3">
        <ns0:f>SUM(C7:N7)</ns0:f>
        <ns0:v>7809.87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944.02</ns0:v>
      </ns0:c>
      <ns0:c r="D8" s="3">
        <ns0:f>'销售费用'!D8+'管理费用'!D8+'蓝恐龙费用'!D8</ns0:f>
        <ns0:v>372.42</ns0:v>
      </ns0:c>
      <ns0:c r="E8" s="3">
        <ns0:f>'销售费用'!E8+'管理费用'!E8+'蓝恐龙费用'!E8</ns0:f>
        <ns0:v>559.58</ns0:v>
      </ns0:c>
      <ns0:c r="F8" s="3">
        <ns0:f>'销售费用'!F8+'管理费用'!F8+'蓝恐龙费用'!F8</ns0:f>
        <ns0:v>904.69</ns0:v>
      </ns0:c>
      <ns0:c r="G8" s="3">
        <ns0:f>'销售费用'!G8+'管理费用'!G8+'蓝恐龙费用'!G8</ns0:f>
        <ns0:v>850.86</ns0:v>
      </ns0:c>
      <ns0:c r="H8" s="3">
        <ns0:f>'销售费用'!H8+'管理费用'!H8+'蓝恐龙费用'!H8</ns0:f>
        <ns0:v>614.43</ns0:v>
      </ns0:c>
      <ns0:c r="I8" s="3">
        <ns0:f>'销售费用'!I8+'管理费用'!I8+'蓝恐龙费用'!I8</ns0:f>
        <ns0:v>704.27</ns0:v>
      </ns0:c>
      <ns0:c r="J8" s="3">
        <ns0:f>'销售费用'!J8+'管理费用'!J8+'蓝恐龙费用'!J8</ns0:f>
        <ns0:v>599.62</ns0:v>
      </ns0:c>
      <ns0:c r="K8" s="3">
        <ns0:f>'销售费用'!K8+'管理费用'!K8+'蓝恐龙费用'!K8</ns0:f>
        <ns0:v>327.55</ns0:v>
      </ns0:c>
      <ns0:c r="L8" s="3">
        <ns0:f>'销售费用'!L8+'管理费用'!L8+'蓝恐龙费用'!L8</ns0:f>
        <ns0:v>514.41</ns0:v>
      </ns0:c>
      <ns0:c r="M8" s="3">
        <ns0:f>'销售费用'!M8+'管理费用'!M8+'蓝恐龙费用'!M8</ns0:f>
        <ns0:v>1026.14</ns0:v>
      </ns0:c>
      <ns0:c r="N8" s="3">
        <ns0:f>'销售费用'!N8+'管理费用'!N8+'蓝恐龙费用'!N8</ns0:f>
        <ns0:v>713.93</ns0:v>
      </ns0:c>
      <ns0:c r="O8" s="3">
        <ns0:f>SUM(C8:N8)</ns0:f>
        <ns0:v>8131.92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575.51</ns0:v>
      </ns0:c>
      <ns0:c r="D9" s="3">
        <ns0:f>'销售费用'!D9+'管理费用'!D9+'蓝恐龙费用'!D9</ns0:f>
        <ns0:v>623.60</ns0:v>
      </ns0:c>
      <ns0:c r="E9" s="3">
        <ns0:f>'销售费用'!E9+'管理费用'!E9+'蓝恐龙费用'!E9</ns0:f>
        <ns0:v>994.09</ns0:v>
      </ns0:c>
      <ns0:c r="F9" s="3">
        <ns0:f>'销售费用'!F9+'管理费用'!F9+'蓝恐龙费用'!F9</ns0:f>
        <ns0:v>975.13</ns0:v>
      </ns0:c>
      <ns0:c r="G9" s="3">
        <ns0:f>'销售费用'!G9+'管理费用'!G9+'蓝恐龙费用'!G9</ns0:f>
        <ns0:v>495.92</ns0:v>
      </ns0:c>
      <ns0:c r="H9" s="3">
        <ns0:f>'销售费用'!H9+'管理费用'!H9+'蓝恐龙费用'!H9</ns0:f>
        <ns0:v>507.24</ns0:v>
      </ns0:c>
      <ns0:c r="I9" s="3">
        <ns0:f>'销售费用'!I9+'管理费用'!I9+'蓝恐龙费用'!I9</ns0:f>
        <ns0:v>450.31</ns0:v>
      </ns0:c>
      <ns0:c r="J9" s="3">
        <ns0:f>'销售费用'!J9+'管理费用'!J9+'蓝恐龙费用'!J9</ns0:f>
        <ns0:v>662.19</ns0:v>
      </ns0:c>
      <ns0:c r="K9" s="3">
        <ns0:f>'销售费用'!K9+'管理费用'!K9+'蓝恐龙费用'!K9</ns0:f>
        <ns0:v>1059.18</ns0:v>
      </ns0:c>
      <ns0:c r="L9" s="3">
        <ns0:f>'销售费用'!L9+'管理费用'!L9+'蓝恐龙费用'!L9</ns0:f>
        <ns0:v>349.11</ns0:v>
      </ns0:c>
      <ns0:c r="M9" s="3">
        <ns0:f>'销售费用'!M9+'管理费用'!M9+'蓝恐龙费用'!M9</ns0:f>
        <ns0:v>1016.67</ns0:v>
      </ns0:c>
      <ns0:c r="N9" s="3">
        <ns0:f>'销售费用'!N9+'管理费用'!N9+'蓝恐龙费用'!N9</ns0:f>
        <ns0:v>987.01</ns0:v>
      </ns0:c>
      <ns0:c r="O9" s="3">
        <ns0:f>SUM(C9:N9)</ns0:f>
        <ns0:v>8695.96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870.74</ns0:v>
      </ns0:c>
      <ns0:c r="D10" s="3">
        <ns0:f>'销售费用'!D10+'管理费用'!D10+'蓝恐龙费用'!D10</ns0:f>
        <ns0:v>419.02</ns0:v>
      </ns0:c>
      <ns0:c r="E10" s="3">
        <ns0:f>'销售费用'!E10+'管理费用'!E10+'蓝恐龙费用'!E10</ns0:f>
        <ns0:v>750.21</ns0:v>
      </ns0:c>
      <ns0:c r="F10" s="3">
        <ns0:f>'销售费用'!F10+'管理费用'!F10+'蓝恐龙费用'!F10</ns0:f>
        <ns0:v>515.77</ns0:v>
      </ns0:c>
      <ns0:c r="G10" s="3">
        <ns0:f>'销售费用'!G10+'管理费用'!G10+'蓝恐龙费用'!G10</ns0:f>
        <ns0:v>489.14</ns0:v>
      </ns0:c>
      <ns0:c r="H10" s="3">
        <ns0:f>'销售费用'!H10+'管理费用'!H10+'蓝恐龙费用'!H10</ns0:f>
        <ns0:v>604.12</ns0:v>
      </ns0:c>
      <ns0:c r="I10" s="3">
        <ns0:f>'销售费用'!I10+'管理费用'!I10+'蓝恐龙费用'!I10</ns0:f>
        <ns0:v>765.39</ns0:v>
      </ns0:c>
      <ns0:c r="J10" s="3">
        <ns0:f>'销售费用'!J10+'管理费用'!J10+'蓝恐龙费用'!J10</ns0:f>
        <ns0:v>1411.73</ns0:v>
      </ns0:c>
      <ns0:c r="K10" s="3">
        <ns0:f>'销售费用'!K10+'管理费用'!K10+'蓝恐龙费用'!K10</ns0:f>
        <ns0:v>513.78</ns0:v>
      </ns0:c>
      <ns0:c r="L10" s="3">
        <ns0:f>'销售费用'!L10+'管理费用'!L10+'蓝恐龙费用'!L10</ns0:f>
        <ns0:v>592.55</ns0:v>
      </ns0:c>
      <ns0:c r="M10" s="3">
        <ns0:f>'销售费用'!M10+'管理费用'!M10+'蓝恐龙费用'!M10</ns0:f>
        <ns0:v>759.10</ns0:v>
      </ns0:c>
      <ns0:c r="N10" s="3">
        <ns0:f>'销售费用'!N10+'管理费用'!N10+'蓝恐龙费用'!N10</ns0:f>
        <ns0:v>1273.31</ns0:v>
      </ns0:c>
      <ns0:c r="O10" s="3">
        <ns0:f>SUM(C10:N10)</ns0:f>
        <ns0:v>8964.86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981.94</ns0:v>
      </ns0:c>
      <ns0:c r="D11" s="3">
        <ns0:f>'销售费用'!D11+'管理费用'!D11+'蓝恐龙费用'!D11</ns0:f>
        <ns0:v>972.94</ns0:v>
      </ns0:c>
      <ns0:c r="E11" s="3">
        <ns0:f>'销售费用'!E11+'管理费用'!E11+'蓝恐龙费用'!E11</ns0:f>
        <ns0:v>803.93</ns0:v>
      </ns0:c>
      <ns0:c r="F11" s="3">
        <ns0:f>'销售费用'!F11+'管理费用'!F11+'蓝恐龙费用'!F11</ns0:f>
        <ns0:v>764.35</ns0:v>
      </ns0:c>
      <ns0:c r="G11" s="3">
        <ns0:f>'销售费用'!G11+'管理费用'!G11+'蓝恐龙费用'!G11</ns0:f>
        <ns0:v>498.84</ns0:v>
      </ns0:c>
      <ns0:c r="H11" s="3">
        <ns0:f>'销售费用'!H11+'管理费用'!H11+'蓝恐龙费用'!H11</ns0:f>
        <ns0:v>897.83</ns0:v>
      </ns0:c>
      <ns0:c r="I11" s="3">
        <ns0:f>'销售费用'!I11+'管理费用'!I11+'蓝恐龙费用'!I11</ns0:f>
        <ns0:v>743.36</ns0:v>
      </ns0:c>
      <ns0:c r="J11" s="3">
        <ns0:f>'销售费用'!J11+'管理费用'!J11+'蓝恐龙费用'!J11</ns0:f>
        <ns0:v>1015.06</ns0:v>
      </ns0:c>
      <ns0:c r="K11" s="3">
        <ns0:f>'销售费用'!K11+'管理费用'!K11+'蓝恐龙费用'!K11</ns0:f>
        <ns0:v>853.11</ns0:v>
      </ns0:c>
      <ns0:c r="L11" s="3">
        <ns0:f>'销售费用'!L11+'管理费用'!L11+'蓝恐龙费用'!L11</ns0:f>
        <ns0:v>364.45</ns0:v>
      </ns0:c>
      <ns0:c r="M11" s="3">
        <ns0:f>'销售费用'!M11+'管理费用'!M11+'蓝恐龙费用'!M11</ns0:f>
        <ns0:v>873.78</ns0:v>
      </ns0:c>
      <ns0:c r="N11" s="3">
        <ns0:f>'销售费用'!N11+'管理费用'!N11+'蓝恐龙费用'!N11</ns0:f>
        <ns0:v>365.24</ns0:v>
      </ns0:c>
      <ns0:c r="O11" s="3">
        <ns0:f>SUM(C11:N11)</ns0:f>
        <ns0:v>9134.83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338.72</ns0:v>
      </ns0:c>
      <ns0:c r="D12" s="3">
        <ns0:f>'销售费用'!D12+'管理费用'!D12+'蓝恐龙费用'!D12</ns0:f>
        <ns0:v>560.64</ns0:v>
      </ns0:c>
      <ns0:c r="E12" s="3">
        <ns0:f>'销售费用'!E12+'管理费用'!E12+'蓝恐龙费用'!E12</ns0:f>
        <ns0:v>714.11</ns0:v>
      </ns0:c>
      <ns0:c r="F12" s="3">
        <ns0:f>'销售费用'!F12+'管理费用'!F12+'蓝恐龙费用'!F12</ns0:f>
        <ns0:v>529.87</ns0:v>
      </ns0:c>
      <ns0:c r="G12" s="3">
        <ns0:f>'销售费用'!G12+'管理费用'!G12+'蓝恐龙费用'!G12</ns0:f>
        <ns0:v>567.11</ns0:v>
      </ns0:c>
      <ns0:c r="H12" s="3">
        <ns0:f>'销售费用'!H12+'管理费用'!H12+'蓝恐龙费用'!H12</ns0:f>
        <ns0:v>653.60</ns0:v>
      </ns0:c>
      <ns0:c r="I12" s="3">
        <ns0:f>'销售费用'!I12+'管理费用'!I12+'蓝恐龙费用'!I12</ns0:f>
        <ns0:v>383.64</ns0:v>
      </ns0:c>
      <ns0:c r="J12" s="3">
        <ns0:f>'销售费用'!J12+'管理费用'!J12+'蓝恐龙费用'!J12</ns0:f>
        <ns0:v>833.25</ns0:v>
      </ns0:c>
      <ns0:c r="K12" s="3">
        <ns0:f>'销售费用'!K12+'管理费用'!K12+'蓝恐龙费用'!K12</ns0:f>
        <ns0:v>622.23</ns0:v>
      </ns0:c>
      <ns0:c r="L12" s="3">
        <ns0:f>'销售费用'!L12+'管理费用'!L12+'蓝恐龙费用'!L12</ns0:f>
        <ns0:v>675.80</ns0:v>
      </ns0:c>
      <ns0:c r="M12" s="3">
        <ns0:f>'销售费用'!M12+'管理费用'!M12+'蓝恐龙费用'!M12</ns0:f>
        <ns0:v>555.24</ns0:v>
      </ns0:c>
      <ns0:c r="N12" s="3">
        <ns0:f>'销售费用'!N12+'管理费用'!N12+'蓝恐龙费用'!N12</ns0:f>
        <ns0:v>571.26</ns0:v>
      </ns0:c>
      <ns0:c r="O12" s="3">
        <ns0:f>SUM(C12:N12)</ns0:f>
        <ns0:v>7005.47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693.46</ns0:v>
      </ns0:c>
      <ns0:c r="D13" s="3">
        <ns0:f>'销售费用'!D13+'管理费用'!D13+'蓝恐龙费用'!D13</ns0:f>
        <ns0:v>906.17</ns0:v>
      </ns0:c>
      <ns0:c r="E13" s="3">
        <ns0:f>'销售费用'!E13+'管理费用'!E13+'蓝恐龙费用'!E13</ns0:f>
        <ns0:v>392.04</ns0:v>
      </ns0:c>
      <ns0:c r="F13" s="3">
        <ns0:f>'销售费用'!F13+'管理费用'!F13+'蓝恐龙费用'!F13</ns0:f>
        <ns0:v>697.14</ns0:v>
      </ns0:c>
      <ns0:c r="G13" s="3">
        <ns0:f>'销售费用'!G13+'管理费用'!G13+'蓝恐龙费用'!G13</ns0:f>
        <ns0:v>685.18</ns0:v>
      </ns0:c>
      <ns0:c r="H13" s="3">
        <ns0:f>'销售费用'!H13+'管理费用'!H13+'蓝恐龙费用'!H13</ns0:f>
        <ns0:v>676.64</ns0:v>
      </ns0:c>
      <ns0:c r="I13" s="3">
        <ns0:f>'销售费用'!I13+'管理费用'!I13+'蓝恐龙费用'!I13</ns0:f>
        <ns0:v>602.74</ns0:v>
      </ns0:c>
      <ns0:c r="J13" s="3">
        <ns0:f>'销售费用'!J13+'管理费用'!J13+'蓝恐龙费用'!J13</ns0:f>
        <ns0:v>782.26</ns0:v>
      </ns0:c>
      <ns0:c r="K13" s="3">
        <ns0:f>'销售费用'!K13+'管理费用'!K13+'蓝恐龙费用'!K13</ns0:f>
        <ns0:v>509.36</ns0:v>
      </ns0:c>
      <ns0:c r="L13" s="3">
        <ns0:f>'销售费用'!L13+'管理费用'!L13+'蓝恐龙费用'!L13</ns0:f>
        <ns0:v>972.66</ns0:v>
      </ns0:c>
      <ns0:c r="M13" s="3">
        <ns0:f>'销售费用'!M13+'管理费用'!M13+'蓝恐龙费用'!M13</ns0:f>
        <ns0:v>856.56</ns0:v>
      </ns0:c>
      <ns0:c r="N13" s="3">
        <ns0:f>'销售费用'!N13+'管理费用'!N13+'蓝恐龙费用'!N13</ns0:f>
        <ns0:v>642.40</ns0:v>
      </ns0:c>
      <ns0:c r="O13" s="3">
        <ns0:f>SUM(C13:N13)</ns0:f>
        <ns0:v>8416.61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405.92</ns0:v>
      </ns0:c>
      <ns0:c r="D14" s="3">
        <ns0:f>'销售费用'!D14+'管理费用'!D14+'蓝恐龙费用'!D14</ns0:f>
        <ns0:v>880.04</ns0:v>
      </ns0:c>
      <ns0:c r="E14" s="3">
        <ns0:f>'销售费用'!E14+'管理费用'!E14+'蓝恐龙费用'!E14</ns0:f>
        <ns0:v>457.88</ns0:v>
      </ns0:c>
      <ns0:c r="F14" s="3">
        <ns0:f>'销售费用'!F14+'管理费用'!F14+'蓝恐龙费用'!F14</ns0:f>
        <ns0:v>870.03</ns0:v>
      </ns0:c>
      <ns0:c r="G14" s="3">
        <ns0:f>'销售费用'!G14+'管理费用'!G14+'蓝恐龙费用'!G14</ns0:f>
        <ns0:v>487.60</ns0:v>
      </ns0:c>
      <ns0:c r="H14" s="3">
        <ns0:f>'销售费用'!H14+'管理费用'!H14+'蓝恐龙费用'!H14</ns0:f>
        <ns0:v>913.50</ns0:v>
      </ns0:c>
      <ns0:c r="I14" s="3">
        <ns0:f>'销售费用'!I14+'管理费用'!I14+'蓝恐龙费用'!I14</ns0:f>
        <ns0:v>409.12</ns0:v>
      </ns0:c>
      <ns0:c r="J14" s="3">
        <ns0:f>'销售费用'!J14+'管理费用'!J14+'蓝恐龙费用'!J14</ns0:f>
        <ns0:v>385.26</ns0:v>
      </ns0:c>
      <ns0:c r="K14" s="3">
        <ns0:f>'销售费用'!K14+'管理费用'!K14+'蓝恐龙费用'!K14</ns0:f>
        <ns0:v>609.65</ns0:v>
      </ns0:c>
      <ns0:c r="L14" s="3">
        <ns0:f>'销售费用'!L14+'管理费用'!L14+'蓝恐龙费用'!L14</ns0:f>
        <ns0:v>1015.02</ns0:v>
      </ns0:c>
      <ns0:c r="M14" s="3">
        <ns0:f>'销售费用'!M14+'管理费用'!M14+'蓝恐龙费用'!M14</ns0:f>
        <ns0:v>582.90</ns0:v>
      </ns0:c>
      <ns0:c r="N14" s="3">
        <ns0:f>'销售费用'!N14+'管理费用'!N14+'蓝恐龙费用'!N14</ns0:f>
        <ns0:v>840.68</ns0:v>
      </ns0:c>
      <ns0:c r="O14" s="3">
        <ns0:f>SUM(C14:N14)</ns0:f>
        <ns0:v>7857.60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764.67</ns0:v>
      </ns0:c>
      <ns0:c r="D15" s="3">
        <ns0:f>'销售费用'!D15+'管理费用'!D15+'蓝恐龙费用'!D15</ns0:f>
        <ns0:v>1145.64</ns0:v>
      </ns0:c>
      <ns0:c r="E15" s="3">
        <ns0:f>'销售费用'!E15+'管理费用'!E15+'蓝恐龙费用'!E15</ns0:f>
        <ns0:v>561.87</ns0:v>
      </ns0:c>
      <ns0:c r="F15" s="3">
        <ns0:f>'销售费用'!F15+'管理费用'!F15+'蓝恐龙费用'!F15</ns0:f>
        <ns0:v>555.65</ns0:v>
      </ns0:c>
      <ns0:c r="G15" s="3">
        <ns0:f>'销售费用'!G15+'管理费用'!G15+'蓝恐龙费用'!G15</ns0:f>
        <ns0:v>698.47</ns0:v>
      </ns0:c>
      <ns0:c r="H15" s="3">
        <ns0:f>'销售费用'!H15+'管理费用'!H15+'蓝恐龙费用'!H15</ns0:f>
        <ns0:v>949.20</ns0:v>
      </ns0:c>
      <ns0:c r="I15" s="3">
        <ns0:f>'销售费用'!I15+'管理费用'!I15+'蓝恐龙费用'!I15</ns0:f>
        <ns0:v>1196.49</ns0:v>
      </ns0:c>
      <ns0:c r="J15" s="3">
        <ns0:f>'销售费用'!J15+'管理费用'!J15+'蓝恐龙费用'!J15</ns0:f>
        <ns0:v>728.41</ns0:v>
      </ns0:c>
      <ns0:c r="K15" s="3">
        <ns0:f>'销售费用'!K15+'管理费用'!K15+'蓝恐龙费用'!K15</ns0:f>
        <ns0:v>834.02</ns0:v>
      </ns0:c>
      <ns0:c r="L15" s="3">
        <ns0:f>'销售费用'!L15+'管理费用'!L15+'蓝恐龙费用'!L15</ns0:f>
        <ns0:v>617.13</ns0:v>
      </ns0:c>
      <ns0:c r="M15" s="3">
        <ns0:f>'销售费用'!M15+'管理费用'!M15+'蓝恐龙费用'!M15</ns0:f>
        <ns0:v>1029.59</ns0:v>
      </ns0:c>
      <ns0:c r="N15" s="3">
        <ns0:f>'销售费用'!N15+'管理费用'!N15+'蓝恐龙费用'!N15</ns0:f>
        <ns0:v>586.47</ns0:v>
      </ns0:c>
      <ns0:c r="O15" s="3">
        <ns0:f>SUM(C15:N15)</ns0:f>
        <ns0:v>9667.61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353.51</ns0:v>
      </ns0:c>
      <ns0:c r="D16" s="3">
        <ns0:f>'销售费用'!D16+'管理费用'!D16+'蓝恐龙费用'!D16</ns0:f>
        <ns0:v>1121.28</ns0:v>
      </ns0:c>
      <ns0:c r="E16" s="3">
        <ns0:f>'销售费用'!E16+'管理费用'!E16+'蓝恐龙费用'!E16</ns0:f>
        <ns0:v>497.46</ns0:v>
      </ns0:c>
      <ns0:c r="F16" s="3">
        <ns0:f>'销售费用'!F16+'管理费用'!F16+'蓝恐龙费用'!F16</ns0:f>
        <ns0:v>1130.26</ns0:v>
      </ns0:c>
      <ns0:c r="G16" s="3">
        <ns0:f>'销售费用'!G16+'管理费用'!G16+'蓝恐龙费用'!G16</ns0:f>
        <ns0:v>511.84</ns0:v>
      </ns0:c>
      <ns0:c r="H16" s="3">
        <ns0:f>'销售费用'!H16+'管理费用'!H16+'蓝恐龙费用'!H16</ns0:f>
        <ns0:v>889.30</ns0:v>
      </ns0:c>
      <ns0:c r="I16" s="3">
        <ns0:f>'销售费用'!I16+'管理费用'!I16+'蓝恐龙费用'!I16</ns0:f>
        <ns0:v>775.66</ns0:v>
      </ns0:c>
      <ns0:c r="J16" s="3">
        <ns0:f>'销售费用'!J16+'管理费用'!J16+'蓝恐龙费用'!J16</ns0:f>
        <ns0:v>614.02</ns0:v>
      </ns0:c>
      <ns0:c r="K16" s="3">
        <ns0:f>'销售费用'!K16+'管理费用'!K16+'蓝恐龙费用'!K16</ns0:f>
        <ns0:v>241.77</ns0:v>
      </ns0:c>
      <ns0:c r="L16" s="3">
        <ns0:f>'销售费用'!L16+'管理费用'!L16+'蓝恐龙费用'!L16</ns0:f>
        <ns0:v>652.46</ns0:v>
      </ns0:c>
      <ns0:c r="M16" s="3">
        <ns0:f>'销售费用'!M16+'管理费用'!M16+'蓝恐龙费用'!M16</ns0:f>
        <ns0:v>552.35</ns0:v>
      </ns0:c>
      <ns0:c r="N16" s="3">
        <ns0:f>'销售费用'!N16+'管理费用'!N16+'蓝恐龙费用'!N16</ns0:f>
        <ns0:v>385.01</ns0:v>
      </ns0:c>
      <ns0:c r="O16" s="3">
        <ns0:f>SUM(C16:N16)</ns0:f>
        <ns0:v>7724.92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852.57</ns0:v>
      </ns0:c>
      <ns0:c r="D17" s="3">
        <ns0:f>'销售费用'!D17+'管理费用'!D17+'蓝恐龙费用'!D17</ns0:f>
        <ns0:v>656.52</ns0:v>
      </ns0:c>
      <ns0:c r="E17" s="3">
        <ns0:f>'销售费用'!E17+'管理费用'!E17+'蓝恐龙费用'!E17</ns0:f>
        <ns0:v>863.24</ns0:v>
      </ns0:c>
      <ns0:c r="F17" s="3">
        <ns0:f>'销售费用'!F17+'管理费用'!F17+'蓝恐龙费用'!F17</ns0:f>
        <ns0:v>695.26</ns0:v>
      </ns0:c>
      <ns0:c r="G17" s="3">
        <ns0:f>'销售费用'!G17+'管理费用'!G17+'蓝恐龙费用'!G17</ns0:f>
        <ns0:v>981.79</ns0:v>
      </ns0:c>
      <ns0:c r="H17" s="3">
        <ns0:f>'销售费用'!H17+'管理费用'!H17+'蓝恐龙费用'!H17</ns0:f>
        <ns0:v>660.45</ns0:v>
      </ns0:c>
      <ns0:c r="I17" s="3">
        <ns0:f>'销售费用'!I17+'管理费用'!I17+'蓝恐龙费用'!I17</ns0:f>
        <ns0:v>526.05</ns0:v>
      </ns0:c>
      <ns0:c r="J17" s="3">
        <ns0:f>'销售费用'!J17+'管理费用'!J17+'蓝恐龙费用'!J17</ns0:f>
        <ns0:v>877.48</ns0:v>
      </ns0:c>
      <ns0:c r="K17" s="3">
        <ns0:f>'销售费用'!K17+'管理费用'!K17+'蓝恐龙费用'!K17</ns0:f>
        <ns0:v>747.17</ns0:v>
      </ns0:c>
      <ns0:c r="L17" s="3">
        <ns0:f>'销售费用'!L17+'管理费用'!L17+'蓝恐龙费用'!L17</ns0:f>
        <ns0:v>544.80</ns0:v>
      </ns0:c>
      <ns0:c r="M17" s="3">
        <ns0:f>'销售费用'!M17+'管理费用'!M17+'蓝恐龙费用'!M17</ns0:f>
        <ns0:v>713.99</ns0:v>
      </ns0:c>
      <ns0:c r="N17" s="3">
        <ns0:f>'销售费用'!N17+'管理费用'!N17+'蓝恐龙费用'!N17</ns0:f>
        <ns0:v>929.27</ns0:v>
      </ns0:c>
      <ns0:c r="O17" s="3">
        <ns0:f>SUM(C17:N17)</ns0:f>
        <ns0:v>9048.59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807.01</ns0:v>
      </ns0:c>
      <ns0:c r="D18" s="3">
        <ns0:f>'销售费用'!D18+'管理费用'!D18+'蓝恐龙费用'!D18</ns0:f>
        <ns0:v>721.01</ns0:v>
      </ns0:c>
      <ns0:c r="E18" s="3">
        <ns0:f>'销售费用'!E18+'管理费用'!E18+'蓝恐龙费用'!E18</ns0:f>
        <ns0:v>553.14</ns0:v>
      </ns0:c>
      <ns0:c r="F18" s="3">
        <ns0:f>'销售费用'!F18+'管理费用'!F18+'蓝恐龙费用'!F18</ns0:f>
        <ns0:v>677.32</ns0:v>
      </ns0:c>
      <ns0:c r="G18" s="3">
        <ns0:f>'销售费用'!G18+'管理费用'!G18+'蓝恐龙费用'!G18</ns0:f>
        <ns0:v>643.69</ns0:v>
      </ns0:c>
      <ns0:c r="H18" s="3">
        <ns0:f>'销售费用'!H18+'管理费用'!H18+'蓝恐龙费用'!H18</ns0:f>
        <ns0:v>1222.01</ns0:v>
      </ns0:c>
      <ns0:c r="I18" s="3">
        <ns0:f>'销售费用'!I18+'管理费用'!I18+'蓝恐龙费用'!I18</ns0:f>
        <ns0:v>900.59</ns0:v>
      </ns0:c>
      <ns0:c r="J18" s="3">
        <ns0:f>'销售费用'!J18+'管理费用'!J18+'蓝恐龙费用'!J18</ns0:f>
        <ns0:v>552.52</ns0:v>
      </ns0:c>
      <ns0:c r="K18" s="3">
        <ns0:f>'销售费用'!K18+'管理费用'!K18+'蓝恐龙费用'!K18</ns0:f>
        <ns0:v>792.30</ns0:v>
      </ns0:c>
      <ns0:c r="L18" s="3">
        <ns0:f>'销售费用'!L18+'管理费用'!L18+'蓝恐龙费用'!L18</ns0:f>
        <ns0:v>1060.79</ns0:v>
      </ns0:c>
      <ns0:c r="M18" s="3">
        <ns0:f>'销售费用'!M18+'管理费用'!M18+'蓝恐龙费用'!M18</ns0:f>
        <ns0:v>992.34</ns0:v>
      </ns0:c>
      <ns0:c r="N18" s="3">
        <ns0:f>'销售费用'!N18+'管理费用'!N18+'蓝恐龙费用'!N18</ns0:f>
        <ns0:v>566.63</ns0:v>
      </ns0:c>
      <ns0:c r="O18" s="3">
        <ns0:f>SUM(C18:N18)</ns0:f>
        <ns0:v>9489.35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386.56</ns0:v>
      </ns0:c>
      <ns0:c r="D19" s="3">
        <ns0:f>'销售费用'!D19+'管理费用'!D19+'蓝恐龙费用'!D19</ns0:f>
        <ns0:v>698.42</ns0:v>
      </ns0:c>
      <ns0:c r="E19" s="3">
        <ns0:f>'销售费用'!E19+'管理费用'!E19+'蓝恐龙费用'!E19</ns0:f>
        <ns0:v>447.82</ns0:v>
      </ns0:c>
      <ns0:c r="F19" s="3">
        <ns0:f>'销售费用'!F19+'管理费用'!F19+'蓝恐龙费用'!F19</ns0:f>
        <ns0:v>473.25</ns0:v>
      </ns0:c>
      <ns0:c r="G19" s="3">
        <ns0:f>'销售费用'!G19+'管理费用'!G19+'蓝恐龙费用'!G19</ns0:f>
        <ns0:v>657.55</ns0:v>
      </ns0:c>
      <ns0:c r="H19" s="3">
        <ns0:f>'销售费用'!H19+'管理费用'!H19+'蓝恐龙费用'!H19</ns0:f>
        <ns0:v>803.81</ns0:v>
      </ns0:c>
      <ns0:c r="I19" s="3">
        <ns0:f>'销售费用'!I19+'管理费用'!I19+'蓝恐龙费用'!I19</ns0:f>
        <ns0:v>505.35</ns0:v>
      </ns0:c>
      <ns0:c r="J19" s="3">
        <ns0:f>'销售费用'!J19+'管理费用'!J19+'蓝恐龙费用'!J19</ns0:f>
        <ns0:v>490.93</ns0:v>
      </ns0:c>
      <ns0:c r="K19" s="3">
        <ns0:f>'销售费用'!K19+'管理费用'!K19+'蓝恐龙费用'!K19</ns0:f>
        <ns0:v>642.32</ns0:v>
      </ns0:c>
      <ns0:c r="L19" s="3">
        <ns0:f>'销售费用'!L19+'管理费用'!L19+'蓝恐龙费用'!L19</ns0:f>
        <ns0:v>571.63</ns0:v>
      </ns0:c>
      <ns0:c r="M19" s="3">
        <ns0:f>'销售费用'!M19+'管理费用'!M19+'蓝恐龙费用'!M19</ns0:f>
        <ns0:v>1002.77</ns0:v>
      </ns0:c>
      <ns0:c r="N19" s="3">
        <ns0:f>'销售费用'!N19+'管理费用'!N19+'蓝恐龙费用'!N19</ns0:f>
        <ns0:v>486.26</ns0:v>
      </ns0:c>
      <ns0:c r="O19" s="3">
        <ns0:f>SUM(C19:N19)</ns0:f>
        <ns0:v>7166.67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1862.13</ns0:v>
      </ns0:c>
      <ns0:c r="D20" s="3">
        <ns0:f>'销售费用'!D20+'管理费用'!D20+'蓝恐龙费用'!D20</ns0:f>
        <ns0:v>1862.13</ns0:v>
      </ns0:c>
      <ns0:c r="E20" s="3">
        <ns0:f>'销售费用'!E20+'管理费用'!E20+'蓝恐龙费用'!E20</ns0:f>
        <ns0:v>1862.13</ns0:v>
      </ns0:c>
      <ns0:c r="F20" s="3">
        <ns0:f>'销售费用'!F20+'管理费用'!F20+'蓝恐龙费用'!F20</ns0:f>
        <ns0:v>1862.13</ns0:v>
      </ns0:c>
      <ns0:c r="G20" s="3">
        <ns0:f>'销售费用'!G20+'管理费用'!G20+'蓝恐龙费用'!G20</ns0:f>
        <ns0:v>1862.13</ns0:v>
      </ns0:c>
      <ns0:c r="H20" s="3">
        <ns0:f>'销售费用'!H20+'管理费用'!H20+'蓝恐龙费用'!H20</ns0:f>
        <ns0:v>1862.13</ns0:v>
      </ns0:c>
      <ns0:c r="I20" s="3">
        <ns0:f>'销售费用'!I20+'管理费用'!I20+'蓝恐龙费用'!I20</ns0:f>
        <ns0:v>1862.13</ns0:v>
      </ns0:c>
      <ns0:c r="J20" s="3">
        <ns0:f>'销售费用'!J20+'管理费用'!J20+'蓝恐龙费用'!J20</ns0:f>
        <ns0:v>1862.13</ns0:v>
      </ns0:c>
      <ns0:c r="K20" s="3">
        <ns0:f>'销售费用'!K20+'管理费用'!K20+'蓝恐龙费用'!K20</ns0:f>
        <ns0:v>1862.13</ns0:v>
      </ns0:c>
      <ns0:c r="L20" s="3">
        <ns0:f>'销售费用'!L20+'管理费用'!L20+'蓝恐龙费用'!L20</ns0:f>
        <ns0:v>1862.13</ns0:v>
      </ns0:c>
      <ns0:c r="M20" s="3">
        <ns0:f>'销售费用'!M20+'管理费用'!M20+'蓝恐龙费用'!M20</ns0:f>
        <ns0:v>1862.13</ns0:v>
      </ns0:c>
      <ns0:c r="N20" s="3">
        <ns0:f>'销售费用'!N20+'管理费用'!N20+'蓝恐龙费用'!N20</ns0:f>
        <ns0:v>1862.13</ns0:v>
      </ns0:c>
      <ns0:c r="O20" s="3">
        <ns0:f>SUM(C20:N20)</ns0:f>
        <ns0:v>22345.56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778.79</ns0:v>
      </ns0:c>
      <ns0:c r="D21" s="3">
        <ns0:f>'销售费用'!D21+'管理费用'!D21+'蓝恐龙费用'!D21</ns0:f>
        <ns0:v>870.42</ns0:v>
      </ns0:c>
      <ns0:c r="E21" s="3">
        <ns0:f>'销售费用'!E21+'管理费用'!E21+'蓝恐龙费用'!E21</ns0:f>
        <ns0:v>603.98</ns0:v>
      </ns0:c>
      <ns0:c r="F21" s="3">
        <ns0:f>'销售费用'!F21+'管理费用'!F21+'蓝恐龙费用'!F21</ns0:f>
        <ns0:v>947.13</ns0:v>
      </ns0:c>
      <ns0:c r="G21" s="3">
        <ns0:f>'销售费用'!G21+'管理费用'!G21+'蓝恐龙费用'!G21</ns0:f>
        <ns0:v>319.18</ns0:v>
      </ns0:c>
      <ns0:c r="H21" s="3">
        <ns0:f>'销售费用'!H21+'管理费用'!H21+'蓝恐龙费用'!H21</ns0:f>
        <ns0:v>586.90</ns0:v>
      </ns0:c>
      <ns0:c r="I21" s="3">
        <ns0:f>'销售费用'!I21+'管理费用'!I21+'蓝恐龙费用'!I21</ns0:f>
        <ns0:v>478.22</ns0:v>
      </ns0:c>
      <ns0:c r="J21" s="3">
        <ns0:f>'销售费用'!J21+'管理费用'!J21+'蓝恐龙费用'!J21</ns0:f>
        <ns0:v>726.68</ns0:v>
      </ns0:c>
      <ns0:c r="K21" s="3">
        <ns0:f>'销售费用'!K21+'管理费用'!K21+'蓝恐龙费用'!K21</ns0:f>
        <ns0:v>402.78</ns0:v>
      </ns0:c>
      <ns0:c r="L21" s="3">
        <ns0:f>'销售费用'!L21+'管理费用'!L21+'蓝恐龙费用'!L21</ns0:f>
        <ns0:v>744.56</ns0:v>
      </ns0:c>
      <ns0:c r="M21" s="3">
        <ns0:f>'销售费用'!M21+'管理费用'!M21+'蓝恐龙费用'!M21</ns0:f>
        <ns0:v>556.84</ns0:v>
      </ns0:c>
      <ns0:c r="N21" s="3">
        <ns0:f>'销售费用'!N21+'管理费用'!N21+'蓝恐龙费用'!N21</ns0:f>
        <ns0:v>944.36</ns0:v>
      </ns0:c>
      <ns0:c r="O21" s="3">
        <ns0:f>SUM(C21:N21)</ns0:f>
        <ns0:v>7959.84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171.87</ns0:v>
      </ns0:c>
      <ns0:c r="D22" s="3">
        <ns0:f>'销售费用'!D22+'管理费用'!D22+'蓝恐龙费用'!D22</ns0:f>
        <ns0:v>771.08</ns0:v>
      </ns0:c>
      <ns0:c r="E22" s="3">
        <ns0:f>'销售费用'!E22+'管理费用'!E22+'蓝恐龙费用'!E22</ns0:f>
        <ns0:v>859.99</ns0:v>
      </ns0:c>
      <ns0:c r="F22" s="3">
        <ns0:f>'销售费用'!F22+'管理费用'!F22+'蓝恐龙费用'!F22</ns0:f>
        <ns0:v>597.68</ns0:v>
      </ns0:c>
      <ns0:c r="G22" s="3">
        <ns0:f>'销售费用'!G22+'管理费用'!G22+'蓝恐龙费用'!G22</ns0:f>
        <ns0:v>440.88</ns0:v>
      </ns0:c>
      <ns0:c r="H22" s="3">
        <ns0:f>'销售费用'!H22+'管理费用'!H22+'蓝恐龙费用'!H22</ns0:f>
        <ns0:v>907.16</ns0:v>
      </ns0:c>
      <ns0:c r="I22" s="3">
        <ns0:f>'销售费用'!I22+'管理费用'!I22+'蓝恐龙费用'!I22</ns0:f>
        <ns0:v>397.59</ns0:v>
      </ns0:c>
      <ns0:c r="J22" s="3">
        <ns0:f>'销售费用'!J22+'管理费用'!J22+'蓝恐龙费用'!J22</ns0:f>
        <ns0:v>460.86</ns0:v>
      </ns0:c>
      <ns0:c r="K22" s="3">
        <ns0:f>'销售费用'!K22+'管理费用'!K22+'蓝恐龙费用'!K22</ns0:f>
        <ns0:v>753.74</ns0:v>
      </ns0:c>
      <ns0:c r="L22" s="3">
        <ns0:f>'销售费用'!L22+'管理费用'!L22+'蓝恐龙费用'!L22</ns0:f>
        <ns0:v>738.28</ns0:v>
      </ns0:c>
      <ns0:c r="M22" s="3">
        <ns0:f>'销售费用'!M22+'管理费用'!M22+'蓝恐龙费用'!M22</ns0:f>
        <ns0:v>655.41</ns0:v>
      </ns0:c>
      <ns0:c r="N22" s="3">
        <ns0:f>'销售费用'!N22+'管理费用'!N22+'蓝恐龙费用'!N22</ns0:f>
        <ns0:v>778.99</ns0:v>
      </ns0:c>
      <ns0:c r="O22" s="3">
        <ns0:f>SUM(C22:N22)</ns0:f>
        <ns0:v>7533.53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543.88</ns0:v>
      </ns0:c>
      <ns0:c r="D23" s="3">
        <ns0:f>'销售费用'!D23+'管理费用'!D23+'蓝恐龙费用'!D23</ns0:f>
        <ns0:v>644.01</ns0:v>
      </ns0:c>
      <ns0:c r="E23" s="3">
        <ns0:f>'销售费用'!E23+'管理费用'!E23+'蓝恐龙费用'!E23</ns0:f>
        <ns0:v>484.21</ns0:v>
      </ns0:c>
      <ns0:c r="F23" s="3">
        <ns0:f>'销售费用'!F23+'管理费用'!F23+'蓝恐龙费用'!F23</ns0:f>
        <ns0:v>667.50</ns0:v>
      </ns0:c>
      <ns0:c r="G23" s="3">
        <ns0:f>'销售费用'!G23+'管理费用'!G23+'蓝恐龙费用'!G23</ns0:f>
        <ns0:v>739.68</ns0:v>
      </ns0:c>
      <ns0:c r="H23" s="3">
        <ns0:f>'销售费用'!H23+'管理费用'!H23+'蓝恐龙费用'!H23</ns0:f>
        <ns0:v>495.30</ns0:v>
      </ns0:c>
      <ns0:c r="I23" s="3">
        <ns0:f>'销售费用'!I23+'管理费用'!I23+'蓝恐龙费用'!I23</ns0:f>
        <ns0:v>772.20</ns0:v>
      </ns0:c>
      <ns0:c r="J23" s="3">
        <ns0:f>'销售费用'!J23+'管理费用'!J23+'蓝恐龙费用'!J23</ns0:f>
        <ns0:v>381.11</ns0:v>
      </ns0:c>
      <ns0:c r="K23" s="3">
        <ns0:f>'销售费用'!K23+'管理费用'!K23+'蓝恐龙费用'!K23</ns0:f>
        <ns0:v>1108.56</ns0:v>
      </ns0:c>
      <ns0:c r="L23" s="3">
        <ns0:f>'销售费用'!L23+'管理费用'!L23+'蓝恐龙费用'!L23</ns0:f>
        <ns0:v>486.54</ns0:v>
      </ns0:c>
      <ns0:c r="M23" s="3">
        <ns0:f>'销售费用'!M23+'管理费用'!M23+'蓝恐龙费用'!M23</ns0:f>
        <ns0:v>901.80</ns0:v>
      </ns0:c>
      <ns0:c r="N23" s="3">
        <ns0:f>'销售费用'!N23+'管理费用'!N23+'蓝恐龙费用'!N23</ns0:f>
        <ns0:v>1184.12</ns0:v>
      </ns0:c>
      <ns0:c r="O23" s="3">
        <ns0:f>SUM(C23:N23)</ns0:f>
        <ns0:v>8408.91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671.67</ns0:v>
      </ns0:c>
      <ns0:c r="D24" s="3">
        <ns0:f>'销售费用'!D24+'管理费用'!D24+'蓝恐龙费用'!D24</ns0:f>
        <ns0:v>558.53</ns0:v>
      </ns0:c>
      <ns0:c r="E24" s="3">
        <ns0:f>'销售费用'!E24+'管理费用'!E24+'蓝恐龙费用'!E24</ns0:f>
        <ns0:v>794.59</ns0:v>
      </ns0:c>
      <ns0:c r="F24" s="3">
        <ns0:f>'销售费用'!F24+'管理费用'!F24+'蓝恐龙费用'!F24</ns0:f>
        <ns0:v>593.04</ns0:v>
      </ns0:c>
      <ns0:c r="G24" s="3">
        <ns0:f>'销售费用'!G24+'管理费用'!G24+'蓝恐龙费用'!G24</ns0:f>
        <ns0:v>1145.36</ns0:v>
      </ns0:c>
      <ns0:c r="H24" s="3">
        <ns0:f>'销售费用'!H24+'管理费用'!H24+'蓝恐龙费用'!H24</ns0:f>
        <ns0:v>419.91</ns0:v>
      </ns0:c>
      <ns0:c r="I24" s="3">
        <ns0:f>'销售费用'!I24+'管理费用'!I24+'蓝恐龙费用'!I24</ns0:f>
        <ns0:v>865.92</ns0:v>
      </ns0:c>
      <ns0:c r="J24" s="3">
        <ns0:f>'销售费用'!J24+'管理费用'!J24+'蓝恐龙费用'!J24</ns0:f>
        <ns0:v>400.39</ns0:v>
      </ns0:c>
      <ns0:c r="K24" s="3">
        <ns0:f>'销售费用'!K24+'管理费用'!K24+'蓝恐龙费用'!K24</ns0:f>
        <ns0:v>521.06</ns0:v>
      </ns0:c>
      <ns0:c r="L24" s="3">
        <ns0:f>'销售费用'!L24+'管理费用'!L24+'蓝恐龙费用'!L24</ns0:f>
        <ns0:v>566.82</ns0:v>
      </ns0:c>
      <ns0:c r="M24" s="3">
        <ns0:f>'销售费用'!M24+'管理费用'!M24+'蓝恐龙费用'!M24</ns0:f>
        <ns0:v>968.96</ns0:v>
      </ns0:c>
      <ns0:c r="N24" s="3">
        <ns0:f>'销售费用'!N24+'管理费用'!N24+'蓝恐龙费用'!N24</ns0:f>
        <ns0:v>744.76</ns0:v>
      </ns0:c>
      <ns0:c r="O24" s="3">
        <ns0:f>SUM(C24:N24)</ns0:f>
        <ns0:v>8251.01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613.17</ns0:v>
      </ns0:c>
      <ns0:c r="D25" s="3">
        <ns0:f>'销售费用'!D25+'管理费用'!D25+'蓝恐龙费用'!D25</ns0:f>
        <ns0:v>1020.03</ns0:v>
      </ns0:c>
      <ns0:c r="E25" s="3">
        <ns0:f>'销售费用'!E25+'管理费用'!E25+'蓝恐龙费用'!E25</ns0:f>
        <ns0:v>676.14</ns0:v>
      </ns0:c>
      <ns0:c r="F25" s="3">
        <ns0:f>'销售费用'!F25+'管理费用'!F25+'蓝恐龙费用'!F25</ns0:f>
        <ns0:v>894.12</ns0:v>
      </ns0:c>
      <ns0:c r="G25" s="3">
        <ns0:f>'销售费用'!G25+'管理费用'!G25+'蓝恐龙费用'!G25</ns0:f>
        <ns0:v>738.58</ns0:v>
      </ns0:c>
      <ns0:c r="H25" s="3">
        <ns0:f>'销售费用'!H25+'管理费用'!H25+'蓝恐龙费用'!H25</ns0:f>
        <ns0:v>578.95</ns0:v>
      </ns0:c>
      <ns0:c r="I25" s="3">
        <ns0:f>'销售费用'!I25+'管理费用'!I25+'蓝恐龙费用'!I25</ns0:f>
        <ns0:v>1200.76</ns0:v>
      </ns0:c>
      <ns0:c r="J25" s="3">
        <ns0:f>'销售费用'!J25+'管理费用'!J25+'蓝恐龙费用'!J25</ns0:f>
        <ns0:v>627.84</ns0:v>
      </ns0:c>
      <ns0:c r="K25" s="3">
        <ns0:f>'销售费用'!K25+'管理费用'!K25+'蓝恐龙费用'!K25</ns0:f>
        <ns0:v>553.01</ns0:v>
      </ns0:c>
      <ns0:c r="L25" s="3">
        <ns0:f>'销售费用'!L25+'管理费用'!L25+'蓝恐龙费用'!L25</ns0:f>
        <ns0:v>731.79</ns0:v>
      </ns0:c>
      <ns0:c r="M25" s="3">
        <ns0:f>'销售费用'!M25+'管理费用'!M25+'蓝恐龙费用'!M25</ns0:f>
        <ns0:v>434.69</ns0:v>
      </ns0:c>
      <ns0:c r="N25" s="3">
        <ns0:f>'销售费用'!N25+'管理费用'!N25+'蓝恐龙费用'!N25</ns0:f>
        <ns0:v>399.41</ns0:v>
      </ns0:c>
      <ns0:c r="O25" s="3">
        <ns0:f>SUM(C25:N25)</ns0:f>
        <ns0:v>8468.49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574.20</ns0:v>
      </ns0:c>
      <ns0:c r="D26" s="3">
        <ns0:f>'销售费用'!D26+'管理费用'!D26+'蓝恐龙费用'!D26</ns0:f>
        <ns0:v>754.54</ns0:v>
      </ns0:c>
      <ns0:c r="E26" s="3">
        <ns0:f>'销售费用'!E26+'管理费用'!E26+'蓝恐龙费用'!E26</ns0:f>
        <ns0:v>872.03</ns0:v>
      </ns0:c>
      <ns0:c r="F26" s="3">
        <ns0:f>'销售费用'!F26+'管理费用'!F26+'蓝恐龙费用'!F26</ns0:f>
        <ns0:v>899.10</ns0:v>
      </ns0:c>
      <ns0:c r="G26" s="3">
        <ns0:f>'销售费用'!G26+'管理费用'!G26+'蓝恐龙费用'!G26</ns0:f>
        <ns0:v>383.47</ns0:v>
      </ns0:c>
      <ns0:c r="H26" s="3">
        <ns0:f>'销售费用'!H26+'管理费用'!H26+'蓝恐龙费用'!H26</ns0:f>
        <ns0:v>642.02</ns0:v>
      </ns0:c>
      <ns0:c r="I26" s="3">
        <ns0:f>'销售费用'!I26+'管理费用'!I26+'蓝恐龙费用'!I26</ns0:f>
        <ns0:v>555.42</ns0:v>
      </ns0:c>
      <ns0:c r="J26" s="3">
        <ns0:f>'销售费用'!J26+'管理费用'!J26+'蓝恐龙费用'!J26</ns0:f>
        <ns0:v>711.14</ns0:v>
      </ns0:c>
      <ns0:c r="K26" s="3">
        <ns0:f>'销售费用'!K26+'管理费用'!K26+'蓝恐龙费用'!K26</ns0:f>
        <ns0:v>644.06</ns0:v>
      </ns0:c>
      <ns0:c r="L26" s="3">
        <ns0:f>'销售费用'!L26+'管理费用'!L26+'蓝恐龙费用'!L26</ns0:f>
        <ns0:v>653.83</ns0:v>
      </ns0:c>
      <ns0:c r="M26" s="3">
        <ns0:f>'销售费用'!M26+'管理费用'!M26+'蓝恐龙费用'!M26</ns0:f>
        <ns0:v>573.40</ns0:v>
      </ns0:c>
      <ns0:c r="N26" s="3">
        <ns0:f>'销售费用'!N26+'管理费用'!N26+'蓝恐龙费用'!N26</ns0:f>
        <ns0:v>675.95</ns0:v>
      </ns0:c>
      <ns0:c r="O26" s="3">
        <ns0:f>SUM(C26:N26)</ns0:f>
        <ns0:v>7939.16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705.31</ns0:v>
      </ns0:c>
      <ns0:c r="D27" s="3">
        <ns0:f>'销售费用'!D27+'管理费用'!D27+'蓝恐龙费用'!D27</ns0:f>
        <ns0:v>712.72</ns0:v>
      </ns0:c>
      <ns0:c r="E27" s="3">
        <ns0:f>'销售费用'!E27+'管理费用'!E27+'蓝恐龙费用'!E27</ns0:f>
        <ns0:v>638.30</ns0:v>
      </ns0:c>
      <ns0:c r="F27" s="3">
        <ns0:f>'销售费用'!F27+'管理费用'!F27+'蓝恐龙费用'!F27</ns0:f>
        <ns0:v>558.72</ns0:v>
      </ns0:c>
      <ns0:c r="G27" s="3">
        <ns0:f>'销售费用'!G27+'管理费用'!G27+'蓝恐龙费用'!G27</ns0:f>
        <ns0:v>1085.19</ns0:v>
      </ns0:c>
      <ns0:c r="H27" s="3">
        <ns0:f>'销售费用'!H27+'管理费用'!H27+'蓝恐龙费用'!H27</ns0:f>
        <ns0:v>670.72</ns0:v>
      </ns0:c>
      <ns0:c r="I27" s="3">
        <ns0:f>'销售费用'!I27+'管理费用'!I27+'蓝恐龙费用'!I27</ns0:f>
        <ns0:v>868.07</ns0:v>
      </ns0:c>
      <ns0:c r="J27" s="3">
        <ns0:f>'销售费用'!J27+'管理费用'!J27+'蓝恐龙费用'!J27</ns0:f>
        <ns0:v>660.12</ns0:v>
      </ns0:c>
      <ns0:c r="K27" s="3">
        <ns0:f>'销售费用'!K27+'管理费用'!K27+'蓝恐龙费用'!K27</ns0:f>
        <ns0:v>1061.58</ns0:v>
      </ns0:c>
      <ns0:c r="L27" s="3">
        <ns0:f>'销售费用'!L27+'管理费用'!L27+'蓝恐龙费用'!L27</ns0:f>
        <ns0:v>688.00</ns0:v>
      </ns0:c>
      <ns0:c r="M27" s="3">
        <ns0:f>'销售费用'!M27+'管理费用'!M27+'蓝恐龙费用'!M27</ns0:f>
        <ns0:v>339.35</ns0:v>
      </ns0:c>
      <ns0:c r="N27" s="3">
        <ns0:f>'销售费用'!N27+'管理费用'!N27+'蓝恐龙费用'!N27</ns0:f>
        <ns0:v>903.51</ns0:v>
      </ns0:c>
      <ns0:c r="O27" s="3">
        <ns0:f>SUM(C27:N27)</ns0:f>
        <ns0:v>8891.59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605.00</ns0:v>
      </ns0:c>
      <ns0:c r="D28" s="3">
        <ns0:f>'销售费用'!D28+'管理费用'!D28+'蓝恐龙费用'!D28</ns0:f>
        <ns0:v>476.79</ns0:v>
      </ns0:c>
      <ns0:c r="E28" s="3">
        <ns0:f>'销售费用'!E28+'管理费用'!E28+'蓝恐龙费用'!E28</ns0:f>
        <ns0:v>709.14</ns0:v>
      </ns0:c>
      <ns0:c r="F28" s="3">
        <ns0:f>'销售费用'!F28+'管理费用'!F28+'蓝恐龙费用'!F28</ns0:f>
        <ns0:v>870.80</ns0:v>
      </ns0:c>
      <ns0:c r="G28" s="3">
        <ns0:f>'销售费用'!G28+'管理费用'!G28+'蓝恐龙费用'!G28</ns0:f>
        <ns0:v>988.98</ns0:v>
      </ns0:c>
      <ns0:c r="H28" s="3">
        <ns0:f>'销售费用'!H28+'管理费用'!H28+'蓝恐龙费用'!H28</ns0:f>
        <ns0:v>911.25</ns0:v>
      </ns0:c>
      <ns0:c r="I28" s="3">
        <ns0:f>'销售费用'!I28+'管理费用'!I28+'蓝恐龙费用'!I28</ns0:f>
        <ns0:v>892.93</ns0:v>
      </ns0:c>
      <ns0:c r="J28" s="3">
        <ns0:f>'销售费用'!J28+'管理费用'!J28+'蓝恐龙费用'!J28</ns0:f>
        <ns0:v>347.19</ns0:v>
      </ns0:c>
      <ns0:c r="K28" s="3">
        <ns0:f>'销售费用'!K28+'管理费用'!K28+'蓝恐龙费用'!K28</ns0:f>
        <ns0:v>877.17</ns0:v>
      </ns0:c>
      <ns0:c r="L28" s="3">
        <ns0:f>'销售费用'!L28+'管理费用'!L28+'蓝恐龙费用'!L28</ns0:f>
        <ns0:v>1004.61</ns0:v>
      </ns0:c>
      <ns0:c r="M28" s="3">
        <ns0:f>'销售费用'!M28+'管理费用'!M28+'蓝恐龙费用'!M28</ns0:f>
        <ns0:v>436.46</ns0:v>
      </ns0:c>
      <ns0:c r="N28" s="3">
        <ns0:f>'销售费用'!N28+'管理费用'!N28+'蓝恐龙费用'!N28</ns0:f>
        <ns0:v>839.60</ns0:v>
      </ns0:c>
      <ns0:c r="O28" s="3">
        <ns0:f>SUM(C28:N28)</ns0:f>
        <ns0:v>8959.92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829.23</ns0:v>
      </ns0:c>
      <ns0:c r="D30" s="6">
        <ns0:f>'销售费用'!D30+'管理费用'!D30+'蓝恐龙费用'!D30</ns0:f>
        <ns0:v>612.19</ns0:v>
      </ns0:c>
      <ns0:c r="E30" s="6">
        <ns0:f>'销售费用'!E30+'管理费用'!E30+'蓝恐龙费用'!E30</ns0:f>
        <ns0:v>548.94</ns0:v>
      </ns0:c>
      <ns0:c r="F30" s="6">
        <ns0:f>'销售费用'!F30+'管理费用'!F30+'蓝恐龙费用'!F30</ns0:f>
        <ns0:v>819.59</ns0:v>
      </ns0:c>
      <ns0:c r="G30" s="6">
        <ns0:f>'销售费用'!G30+'管理费用'!G30+'蓝恐龙费用'!G30</ns0:f>
        <ns0:v>647.74</ns0:v>
      </ns0:c>
      <ns0:c r="H30" s="6">
        <ns0:f>'销售费用'!H30+'管理费用'!H30+'蓝恐龙费用'!H30</ns0:f>
        <ns0:v>652.38</ns0:v>
      </ns0:c>
      <ns0:c r="I30" s="6">
        <ns0:f>'销售费用'!I30+'管理费用'!I30+'蓝恐龙费用'!I30</ns0:f>
        <ns0:v>202.52</ns0:v>
      </ns0:c>
      <ns0:c r="J30" s="6">
        <ns0:f>'销售费用'!J30+'管理费用'!J30+'蓝恐龙费用'!J30</ns0:f>
        <ns0:v>607.95</ns0:v>
      </ns0:c>
      <ns0:c r="K30" s="6">
        <ns0:f>'销售费用'!K30+'管理费用'!K30+'蓝恐龙费用'!K30</ns0:f>
        <ns0:v>745.43</ns0:v>
      </ns0:c>
      <ns0:c r="L30" s="6">
        <ns0:f>'销售费用'!L30+'管理费用'!L30+'蓝恐龙费用'!L30</ns0:f>
        <ns0:v>949.47</ns0:v>
      </ns0:c>
      <ns0:c r="M30" s="6">
        <ns0:f>'销售费用'!M30+'管理费用'!M30+'蓝恐龙费用'!M30</ns0:f>
        <ns0:v>815.48</ns0:v>
      </ns0:c>
      <ns0:c r="N30" s="6">
        <ns0:f>'销售费用'!N30+'管理费用'!N30+'蓝恐龙费用'!N30</ns0:f>
        <ns0:v>658.91</ns0:v>
      </ns0:c>
      <ns0:c r="O30" s="6">
        <ns0:f>SUM(C30:N30)</ns0:f>
        <ns0:v>8089.83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1020.47</ns0:v>
      </ns0:c>
      <ns0:c r="D31" s="3">
        <ns0:f>'销售费用'!D31+'管理费用'!D31+'蓝恐龙费用'!D31</ns0:f>
        <ns0:v>322.57</ns0:v>
      </ns0:c>
      <ns0:c r="E31" s="3">
        <ns0:f>'销售费用'!E31+'管理费用'!E31+'蓝恐龙费用'!E31</ns0:f>
        <ns0:v>480.31</ns0:v>
      </ns0:c>
      <ns0:c r="F31" s="3">
        <ns0:f>'销售费用'!F31+'管理费用'!F31+'蓝恐龙费用'!F31</ns0:f>
        <ns0:v>825.98</ns0:v>
      </ns0:c>
      <ns0:c r="G31" s="3">
        <ns0:f>'销售费用'!G31+'管理费用'!G31+'蓝恐龙费用'!G31</ns0:f>
        <ns0:v>432.72</ns0:v>
      </ns0:c>
      <ns0:c r="H31" s="3">
        <ns0:f>'销售费用'!H31+'管理费用'!H31+'蓝恐龙费用'!H31</ns0:f>
        <ns0:v>695.11</ns0:v>
      </ns0:c>
      <ns0:c r="I31" s="3">
        <ns0:f>'销售费用'!I31+'管理费用'!I31+'蓝恐龙费用'!I31</ns0:f>
        <ns0:v>565.17</ns0:v>
      </ns0:c>
      <ns0:c r="J31" s="3">
        <ns0:f>'销售费用'!J31+'管理费用'!J31+'蓝恐龙费用'!J31</ns0:f>
        <ns0:v>623.69</ns0:v>
      </ns0:c>
      <ns0:c r="K31" s="3">
        <ns0:f>'销售费用'!K31+'管理费用'!K31+'蓝恐龙费用'!K31</ns0:f>
        <ns0:v>449.92</ns0:v>
      </ns0:c>
      <ns0:c r="L31" s="3">
        <ns0:f>'销售费用'!L31+'管理费用'!L31+'蓝恐龙费用'!L31</ns0:f>
        <ns0:v>1120.59</ns0:v>
      </ns0:c>
      <ns0:c r="M31" s="3">
        <ns0:f>'销售费用'!M31+'管理费用'!M31+'蓝恐龙费用'!M31</ns0:f>
        <ns0:v>645.73</ns0:v>
      </ns0:c>
      <ns0:c r="N31" s="3">
        <ns0:f>'销售费用'!N31+'管理费用'!N31+'蓝恐龙费用'!N31</ns0:f>
        <ns0:v>413.70</ns0:v>
      </ns0:c>
      <ns0:c r="O31" s="3">
        <ns0:f>SUM(C31:N31)</ns0:f>
        <ns0:v>7595.96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615.72</ns0:v>
      </ns0:c>
      <ns0:c r="D32" s="3">
        <ns0:f>'销售费用'!D32+'管理费用'!D32+'蓝恐龙费用'!D32</ns0:f>
        <ns0:v>380.03</ns0:v>
      </ns0:c>
      <ns0:c r="E32" s="3">
        <ns0:f>'销售费用'!E32+'管理费用'!E32+'蓝恐龙费用'!E32</ns0:f>
        <ns0:v>917.36</ns0:v>
      </ns0:c>
      <ns0:c r="F32" s="3">
        <ns0:f>'销售费用'!F32+'管理费用'!F32+'蓝恐龙费用'!F32</ns0:f>
        <ns0:v>464.60</ns0:v>
      </ns0:c>
      <ns0:c r="G32" s="3">
        <ns0:f>'销售费用'!G32+'管理费用'!G32+'蓝恐龙费用'!G32</ns0:f>
        <ns0:v>594.58</ns0:v>
      </ns0:c>
      <ns0:c r="H32" s="3">
        <ns0:f>'销售费用'!H32+'管理费用'!H32+'蓝恐龙费用'!H32</ns0:f>
        <ns0:v>877.78</ns0:v>
      </ns0:c>
      <ns0:c r="I32" s="3">
        <ns0:f>'销售费用'!I32+'管理费用'!I32+'蓝恐龙费用'!I32</ns0:f>
        <ns0:v>739.13</ns0:v>
      </ns0:c>
      <ns0:c r="J32" s="3">
        <ns0:f>'销售费用'!J32+'管理费用'!J32+'蓝恐龙费用'!J32</ns0:f>
        <ns0:v>810.19</ns0:v>
      </ns0:c>
      <ns0:c r="K32" s="3">
        <ns0:f>'销售费用'!K32+'管理费用'!K32+'蓝恐龙费用'!K32</ns0:f>
        <ns0:v>686.95</ns0:v>
      </ns0:c>
      <ns0:c r="L32" s="3">
        <ns0:f>'销售费用'!L32+'管理费用'!L32+'蓝恐龙费用'!L32</ns0:f>
        <ns0:v>514.73</ns0:v>
      </ns0:c>
      <ns0:c r="M32" s="3">
        <ns0:f>'销售费用'!M32+'管理费用'!M32+'蓝恐龙费用'!M32</ns0:f>
        <ns0:v>880.84</ns0:v>
      </ns0:c>
      <ns0:c r="N32" s="3">
        <ns0:f>'销售费用'!N32+'管理费用'!N32+'蓝恐龙费用'!N32</ns0:f>
        <ns0:v>507.15</ns0:v>
      </ns0:c>
      <ns0:c r="O32" s="3">
        <ns0:f>SUM(C32:N32)</ns0:f>
        <ns0:v>7989.06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412.45</ns0:v>
      </ns0:c>
      <ns0:c r="D33" s="3">
        <ns0:f>'销售费用'!D33+'管理费用'!D33+'蓝恐龙费用'!D33</ns0:f>
        <ns0:v>824.93</ns0:v>
      </ns0:c>
      <ns0:c r="E33" s="3">
        <ns0:f>'销售费用'!E33+'管理费用'!E33+'蓝恐龙费用'!E33</ns0:f>
        <ns0:v>495.04</ns0:v>
      </ns0:c>
      <ns0:c r="F33" s="3">
        <ns0:f>'销售费用'!F33+'管理费用'!F33+'蓝恐龙费用'!F33</ns0:f>
        <ns0:v>831.10</ns0:v>
      </ns0:c>
      <ns0:c r="G33" s="3">
        <ns0:f>'销售费用'!G33+'管理费用'!G33+'蓝恐龙费用'!G33</ns0:f>
        <ns0:v>920.79</ns0:v>
      </ns0:c>
      <ns0:c r="H33" s="3">
        <ns0:f>'销售费用'!H33+'管理费用'!H33+'蓝恐龙费用'!H33</ns0:f>
        <ns0:v>604.69</ns0:v>
      </ns0:c>
      <ns0:c r="I33" s="3">
        <ns0:f>'销售费用'!I33+'管理费用'!I33+'蓝恐龙费用'!I33</ns0:f>
        <ns0:v>787.19</ns0:v>
      </ns0:c>
      <ns0:c r="J33" s="3">
        <ns0:f>'销售费用'!J33+'管理费用'!J33+'蓝恐龙费用'!J33</ns0:f>
        <ns0:v>499.74</ns0:v>
      </ns0:c>
      <ns0:c r="K33" s="3">
        <ns0:f>'销售费用'!K33+'管理费用'!K33+'蓝恐龙费用'!K33</ns0:f>
        <ns0:v>753.33</ns0:v>
      </ns0:c>
      <ns0:c r="L33" s="3">
        <ns0:f>'销售费用'!L33+'管理费用'!L33+'蓝恐龙费用'!L33</ns0:f>
        <ns0:v>991.04</ns0:v>
      </ns0:c>
      <ns0:c r="M33" s="3">
        <ns0:f>'销售费用'!M33+'管理费用'!M33+'蓝恐龙费用'!M33</ns0:f>
        <ns0:v>1162.10</ns0:v>
      </ns0:c>
      <ns0:c r="N33" s="3">
        <ns0:f>'销售费用'!N33+'管理费用'!N33+'蓝恐龙费用'!N33</ns0:f>
        <ns0:v>922.93</ns0:v>
      </ns0:c>
      <ns0:c r="O33" s="3">
        <ns0:f>SUM(C33:N33)</ns0:f>
        <ns0:v>9205.33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19919.62</ns0:v>
      </ns0:c>
      <ns0:c r="D34" s="3">
        <ns0:f>SUM(D4:D33)</ns0:f>
        <ns0:v>21810.80</ns0:v>
      </ns0:c>
      <ns0:c r="E34" s="3">
        <ns0:f>SUM(E4:E33)</ns0:f>
        <ns0:v>20036.89</ns0:v>
      </ns0:c>
      <ns0:c r="F34" s="3">
        <ns0:f>SUM(F4:F33)</ns0:f>
        <ns0:v>22727.66</ns0:v>
      </ns0:c>
      <ns0:c r="G34" s="3">
        <ns0:f>SUM(G4:G33)</ns0:f>
        <ns0:v>21333.01</ns0:v>
      </ns0:c>
      <ns0:c r="H34" s="3">
        <ns0:f>SUM(H4:H33)</ns0:f>
        <ns0:v>22434.62</ns0:v>
      </ns0:c>
      <ns0:c r="I34" s="3">
        <ns0:f>SUM(I4:I33)</ns0:f>
        <ns0:v>20810.84</ns0:v>
      </ns0:c>
      <ns0:c r="J34" s="3">
        <ns0:f>SUM(J4:J33)</ns0:f>
        <ns0:v>19685.80</ns0:v>
      </ns0:c>
      <ns0:c r="K34" s="3">
        <ns0:f>SUM(K4:K33)</ns0:f>
        <ns0:v>21591.56</ns0:v>
      </ns0:c>
      <ns0:c r="L34" s="3">
        <ns0:f>SUM(L4:L33)</ns0:f>
        <ns0:v>21550.23</ns0:v>
      </ns0:c>
      <ns0:c r="M34" s="3">
        <ns0:f>SUM(M4:M33)</ns0:f>
        <ns0:v>22334.25</ns0:v>
      </ns0:c>
      <ns0:c r="N34" s="3">
        <ns0:f>SUM(N4:N33)</ns0:f>
        <ns0:v>22710.24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100555.74</ns0:v>
      </ns0:c>
      <ns0:c r="D31" s="3">
        <ns0:f>$C$31</ns0:f>
        <ns0:v>100555.74</ns0:v>
      </ns0:c>
      <ns0:c r="E31" s="3">
        <ns0:f>$C$31</ns0:f>
        <ns0:v>100555.74</ns0:v>
      </ns0:c>
      <ns0:c r="F31" s="3">
        <ns0:f>$C$31</ns0:f>
        <ns0:v>100555.74</ns0:v>
      </ns0:c>
      <ns0:c r="G31" s="3">
        <ns0:f>$C$31</ns0:f>
        <ns0:v>100555.74</ns0:v>
      </ns0:c>
      <ns0:c r="H31" s="3">
        <ns0:f>$C$31</ns0:f>
        <ns0:v>100555.74</ns0:v>
      </ns0:c>
      <ns0:c r="I31" s="3">
        <ns0:f>$C$31</ns0:f>
        <ns0:v>100555.74</ns0:v>
      </ns0:c>
      <ns0:c r="J31" s="3">
        <ns0:f>$C$31</ns0:f>
        <ns0:v>100555.74</ns0:v>
      </ns0:c>
      <ns0:c r="K31" s="3">
        <ns0:f>$C$31</ns0:f>
        <ns0:v>100555.74</ns0:v>
      </ns0:c>
      <ns0:c r="L31" s="3">
        <ns0:f>$C$31</ns0:f>
        <ns0:v>100555.74</ns0:v>
      </ns0:c>
      <ns0:c r="M31" s="3">
        <ns0:f>$C$31</ns0:f>
        <ns0:v>100555.74</ns0:v>
      </ns0:c>
      <ns0:c r="N31" s="3">
        <ns0:f>$C$31</ns0:f>
        <ns0:v>100555.74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54</ns0:v>
      </ns0:c>
      <ns0:c r="D32" s="3">
        <ns0:f>$C$32</ns0:f>
        <ns0:v>54</ns0:v>
      </ns0:c>
      <ns0:c r="E32" s="3">
        <ns0:f>$C$32</ns0:f>
        <ns0:v>54</ns0:v>
      </ns0:c>
      <ns0:c r="F32" s="3">
        <ns0:f>$C$32</ns0:f>
        <ns0:v>54</ns0:v>
      </ns0:c>
      <ns0:c r="G32" s="3">
        <ns0:f>$C$32</ns0:f>
        <ns0:v>54</ns0:v>
      </ns0:c>
      <ns0:c r="H32" s="3">
        <ns0:f>$C$32</ns0:f>
        <ns0:v>54</ns0:v>
      </ns0:c>
      <ns0:c r="I32" s="3">
        <ns0:f>$C$32</ns0:f>
        <ns0:v>54</ns0:v>
      </ns0:c>
      <ns0:c r="J32" s="3">
        <ns0:f>$C$32</ns0:f>
        <ns0:v>54</ns0:v>
      </ns0:c>
      <ns0:c r="K32" s="3">
        <ns0:f>$C$32</ns0:f>
        <ns0:v>54</ns0:v>
      </ns0:c>
      <ns0:c r="L32" s="3">
        <ns0:f>$C$32</ns0:f>
        <ns0:v>54</ns0:v>
      </ns0:c>
      <ns0:c r="M32" s="3">
        <ns0:f>$C$32</ns0:f>
        <ns0:v>54</ns0:v>
      </ns0:c>
      <ns0:c r="N32" s="3">
        <ns0:f>$C$32</ns0:f>
        <ns0:v>54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ROUND(C31/MAX(C32,1),2)</ns0:f>
        <ns0:v>1862.14</ns0:v>
      </ns0:c>
      <ns0:c r="D33" s="3">
        <ns0:f>ROUND(D31/MAX(D32,1),2)</ns0:f>
        <ns0:v>1862.14</ns0:v>
      </ns0:c>
      <ns0:c r="E33" s="3">
        <ns0:f>ROUND(E31/MAX(E32,1),2)</ns0:f>
        <ns0:v>1862.14</ns0:v>
      </ns0:c>
      <ns0:c r="F33" s="3">
        <ns0:f>ROUND(F31/MAX(F32,1),2)</ns0:f>
        <ns0:v>1862.14</ns0:v>
      </ns0:c>
      <ns0:c r="G33" s="3">
        <ns0:f>ROUND(G31/MAX(G32,1),2)</ns0:f>
        <ns0:v>1862.14</ns0:v>
      </ns0:c>
      <ns0:c r="H33" s="3">
        <ns0:f>ROUND(H31/MAX(H32,1),2)</ns0:f>
        <ns0:v>1862.14</ns0:v>
      </ns0:c>
      <ns0:c r="I33" s="3">
        <ns0:f>ROUND(I31/MAX(I32,1),2)</ns0:f>
        <ns0:v>1862.14</ns0:v>
      </ns0:c>
      <ns0:c r="J33" s="3">
        <ns0:f>ROUND(J31/MAX(J32,1),2)</ns0:f>
        <ns0:v>1862.14</ns0:v>
      </ns0:c>
      <ns0:c r="K33" s="3">
        <ns0:f>ROUND(K31/MAX(K32,1),2)</ns0:f>
        <ns0:v>1862.14</ns0:v>
      </ns0:c>
      <ns0:c r="L33" s="3">
        <ns0:f>ROUND(L31/MAX(L32,1),2)</ns0:f>
        <ns0:v>1862.14</ns0:v>
      </ns0:c>
      <ns0:c r="M33" s="3">
        <ns0:f>ROUND(M31/MAX(M32,1),2)</ns0:f>
        <ns0:v>1862.14</ns0:v>
      </ns0:c>
      <ns0:c r="N33" s="3">
        <ns0:f>ROUND(N31/MAX(N32,1),2)</ns0:f>
        <ns0:v>1862.14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1862.14</ns0:v>
      </ns0:c>
      <ns0:c r="D34" s="3">
        <ns0:f>SUM($C33:D33)</ns0:f>
        <ns0:v>3724.28</ns0:v>
      </ns0:c>
      <ns0:c r="E34" s="3">
        <ns0:f>SUM($C33:E33)</ns0:f>
        <ns0:v>5586.42</ns0:v>
      </ns0:c>
      <ns0:c r="F34" s="3">
        <ns0:f>SUM($C33:F33)</ns0:f>
        <ns0:v>7448.56</ns0:v>
      </ns0:c>
      <ns0:c r="G34" s="3">
        <ns0:f>SUM($C33:G33)</ns0:f>
        <ns0:v>9310.70</ns0:v>
      </ns0:c>
      <ns0:c r="H34" s="3">
        <ns0:f>SUM($C33:H33)</ns0:f>
        <ns0:v>11172.84</ns0:v>
      </ns0:c>
      <ns0:c r="I34" s="3">
        <ns0:f>SUM($C33:I33)</ns0:f>
        <ns0:v>13034.98</ns0:v>
      </ns0:c>
      <ns0:c r="J34" s="3">
        <ns0:f>SUM($C33:J33)</ns0:f>
        <ns0:v>14897.12</ns0:v>
      </ns0:c>
      <ns0:c r="K34" s="3">
        <ns0:f>SUM($C33:K33)</ns0:f>
        <ns0:v>16759.26</ns0:v>
      </ns0:c>
      <ns0:c r="L34" s="3">
        <ns0:f>SUM($C33:L33)</ns0:f>
        <ns0:v>18621.40</ns0:v>
      </ns0:c>
      <ns0:c r="M34" s="3">
        <ns0:f>SUM($C33:M33)</ns0:f>
        <ns0:v>20483.54</ns0:v>
      </ns0:c>
      <ns0:c r="N34" s="3">
        <ns0:f>SUM($C33:N33)</ns0:f>
        <ns0:v>22345.68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98693.60</ns0:v>
      </ns0:c>
      <ns0:c r="D35" s="3">
        <ns0:f>D31-D34</ns0:f>
        <ns0:v>96831.46</ns0:v>
      </ns0:c>
      <ns0:c r="E35" s="3">
        <ns0:f>E31-E34</ns0:f>
        <ns0:v>94969.32</ns0:v>
      </ns0:c>
      <ns0:c r="F35" s="3">
        <ns0:f>F31-F34</ns0:f>
        <ns0:v>93107.18</ns0:v>
      </ns0:c>
      <ns0:c r="G35" s="3">
        <ns0:f>G31-G34</ns0:f>
        <ns0:v>91245.04</ns0:v>
      </ns0:c>
      <ns0:c r="H35" s="3">
        <ns0:f>H31-H34</ns0:f>
        <ns0:v>89382.90</ns0:v>
      </ns0:c>
      <ns0:c r="I35" s="3">
        <ns0:f>I31-I34</ns0:f>
        <ns0:v>87520.76</ns0:v>
      </ns0:c>
      <ns0:c r="J35" s="3">
        <ns0:f>J31-J34</ns0:f>
        <ns0:v>85658.62</ns0:v>
      </ns0:c>
      <ns0:c r="K35" s="3">
        <ns0:f>K31-K34</ns0:f>
        <ns0:v>83796.48</ns0:v>
      </ns0:c>
      <ns0:c r="L35" s="3">
        <ns0:f>L31-L34</ns0:f>
        <ns0:v>81934.34</ns0:v>
      </ns0:c>
      <ns0:c r="M35" s="3">
        <ns0:f>M31-M34</ns0:f>
        <ns0:v>80072.20</ns0:v>
      </ns0:c>
      <ns0:c r="N35" s="3">
        <ns0:f>N31-N34</ns0:f>
        <ns0:v>78210.06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'利润表'!C61</ns0:f>
        <ns0:v>369164.30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369164.30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'利润表'!D61</ns0:f>
        <ns0:v>394228.47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394228.47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'利润表'!E61</ns0:f>
        <ns0:v>307534.22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307534.22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'利润表'!F61</ns0:f>
        <ns0:v>359269.20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359269.20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'利润表'!G61</ns0:f>
        <ns0:v>333128.70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333128.70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'利润表'!H61</ns0:f>
        <ns0:v>333531.50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333531.50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'利润表'!I61</ns0:f>
        <ns0:v>604880.91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604880.91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'利润表'!J61</ns0:f>
        <ns0:v>296141.30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296141.30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'利润表'!K61</ns0:f>
        <ns0:v>366194.80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366194.80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'利润表'!L61</ns0:f>
        <ns0:v>292160.06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292160.06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'利润表'!M61</ns0:f>
        <ns0:v>441295.43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441295.43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'利润表'!N61</ns0:f>
        <ns0:v>484396.04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484396.04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