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5a24bc2bb341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利润表" sheetId="1" r:id="R86ac04bbfe2d44a0"/>
    <x:sheet xmlns:r="http://schemas.openxmlformats.org/officeDocument/2006/relationships" name="资产负债表" sheetId="2" r:id="R557fb5b09f074fb9"/>
    <x:sheet xmlns:r="http://schemas.openxmlformats.org/officeDocument/2006/relationships" name="现金流量表" sheetId="3" r:id="Re47f445ed50248d6"/>
    <x:sheet xmlns:r="http://schemas.openxmlformats.org/officeDocument/2006/relationships" name="收入非主控" sheetId="4" r:id="Raf8f270b19e64c7a"/>
    <x:sheet xmlns:r="http://schemas.openxmlformats.org/officeDocument/2006/relationships" name="收入主控" sheetId="5" r:id="R951a5b9cc32c44e1"/>
    <x:sheet xmlns:r="http://schemas.openxmlformats.org/officeDocument/2006/relationships" name="税金及附加" sheetId="6" r:id="R100f205694ea4d77"/>
    <x:sheet xmlns:r="http://schemas.openxmlformats.org/officeDocument/2006/relationships" name="销售费用" sheetId="7" r:id="R5ef33cc9504b4897"/>
    <x:sheet xmlns:r="http://schemas.openxmlformats.org/officeDocument/2006/relationships" name="管理费用" sheetId="8" r:id="Re34eb92468b2415e"/>
    <x:sheet xmlns:r="http://schemas.openxmlformats.org/officeDocument/2006/relationships" name="蓝恐龙费用" sheetId="9" r:id="R26defd99712e4366"/>
    <x:sheet xmlns:r="http://schemas.openxmlformats.org/officeDocument/2006/relationships" name="费用表月度汇总" sheetId="10" r:id="Rd754dae0b3054818"/>
    <x:sheet xmlns:r="http://schemas.openxmlformats.org/officeDocument/2006/relationships" name="摊销明细" sheetId="11" r:id="Rcbd72bafa8184647"/>
    <x:sheet xmlns:r="http://schemas.openxmlformats.org/officeDocument/2006/relationships" name="分录" sheetId="12" r:id="Rfdc5e3340ac54115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200" formatCode="#,##0.00;(#,##0.00);&quot;—&quot;"/>
  </x:numFmts>
  <x:fonts count="3">
    <x:font>
      <x:sz val="11"/>
      <x:name val="Carlito"/>
    </x:font>
    <x:font>
      <x:sz val="10"/>
      <x:name val="Microsoft YaHei"/>
    </x:font>
    <x:font>
      <x:sz val="10"/>
      <x:color rgb="FF0000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E5EAF0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4c76f3152a4fb2" /><Relationship Type="http://schemas.openxmlformats.org/officeDocument/2006/relationships/theme" Target="/xl/theme/theme1.xml" Id="R1e87b76cd0424561" /><Relationship Type="http://schemas.openxmlformats.org/officeDocument/2006/relationships/sharedStrings" Target="/xl/sharedStrings.xml" Id="Rb0086af23267444e" /><Relationship Type="http://schemas.openxmlformats.org/officeDocument/2006/relationships/worksheet" Target="/xl/worksheets/sheet1.xml" Id="R86ac04bbfe2d44a0" /><Relationship Type="http://schemas.openxmlformats.org/officeDocument/2006/relationships/worksheet" Target="/xl/worksheets/sheet2.xml" Id="R557fb5b09f074fb9" /><Relationship Type="http://schemas.openxmlformats.org/officeDocument/2006/relationships/worksheet" Target="/xl/worksheets/sheet3.xml" Id="Re47f445ed50248d6" /><Relationship Type="http://schemas.openxmlformats.org/officeDocument/2006/relationships/worksheet" Target="/xl/worksheets/sheet4.xml" Id="Raf8f270b19e64c7a" /><Relationship Type="http://schemas.openxmlformats.org/officeDocument/2006/relationships/worksheet" Target="/xl/worksheets/sheet5.xml" Id="R951a5b9cc32c44e1" /><Relationship Type="http://schemas.openxmlformats.org/officeDocument/2006/relationships/worksheet" Target="/xl/worksheets/sheet6.xml" Id="R100f205694ea4d77" /><Relationship Type="http://schemas.openxmlformats.org/officeDocument/2006/relationships/worksheet" Target="/xl/worksheets/sheet7.xml" Id="R5ef33cc9504b4897" /><Relationship Type="http://schemas.openxmlformats.org/officeDocument/2006/relationships/worksheet" Target="/xl/worksheets/sheet8.xml" Id="Re34eb92468b2415e" /><Relationship Type="http://schemas.openxmlformats.org/officeDocument/2006/relationships/worksheet" Target="/xl/worksheets/sheet9.xml" Id="R26defd99712e4366" /><Relationship Type="http://schemas.openxmlformats.org/officeDocument/2006/relationships/worksheet" Target="/xl/worksheets/sheet10.xml" Id="Rd754dae0b3054818" /><Relationship Type="http://schemas.openxmlformats.org/officeDocument/2006/relationships/worksheet" Target="/xl/worksheets/sheet11.xml" Id="Rcbd72bafa8184647" /><Relationship Type="http://schemas.openxmlformats.org/officeDocument/2006/relationships/worksheet" Target="/xl/worksheets/sheet12.xml" Id="Rfdc5e3340ac541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44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10.25" hidden="0" customWidth="1"/>
    <ns0:col min="17" max="17" width="10.25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 t="inlineStr">
        <ns0:is>
          <ns0:t>利润表</ns0:t>
        </ns0:is>
      </ns0:c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2" t="inlineStr">
        <ns0:is>
          <ns0:t>项     目</ns0:t>
        </ns0:is>
      </ns0:c>
      <ns0:c r="B2" s="2" t="inlineStr">
        <ns0:is>
          <ns0:t>行数</ns0:t>
        </ns0:is>
      </ns0:c>
      <ns0:c r="C2" s="3" t="inlineStr">
        <ns0:is>
          <ns0:t>主体乙 / 扩展情景</ns0:t>
        </ns0:is>
      </ns0:c>
      <ns0:c r="D2" s="3"/>
      <ns0:c r="E2" s="3"/>
      <ns0:c r="F2" s="3" t="inlineStr">
        <ns0:is>
          <ns0:t>其他主体费用计入管理费用展示</ns0:t>
        </ns0:is>
      </ns0:c>
      <ns0:c r="G2" s="3"/>
      <ns0:c r="H2" s="3"/>
      <ns0:c r="I2" s="3"/>
      <ns0:c r="J2" s="3"/>
      <ns0:c r="K2" s="3"/>
      <ns0:c r="L2" s="3"/>
      <ns0:c r="M2" s="3"/>
      <ns0:c r="N2" s="3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E-5f17fa2948</ns0:t>
        </ns0:is>
      </ns0:c>
    </ns0:row>
    <ns0:row r="3" ht="20" customHeight="1">
      <ns0:c r="A3" s="2"/>
      <ns0:c r="B3" s="2"/>
      <ns0:c r="C3" s="6" t="inlineStr">
        <ns0:is>
          <ns0:t>全年实时经营</ns0:t>
        </ns0:is>
      </ns0:c>
      <ns0:c r="D3" s="6" t="inlineStr">
        <ns0:is>
          <ns0:t>非本次输入</ns0:t>
        </ns0:is>
      </ns0:c>
      <ns0:c r="E3" s="6"/>
      <ns0:c r="F3" s="6"/>
      <ns0:c r="G3" s="6"/>
      <ns0:c r="H3" s="6"/>
      <ns0:c r="I3" s="6"/>
      <ns0:c r="J3" s="6"/>
      <ns0:c r="K3" s="6"/>
      <ns0:c r="L3" s="6"/>
      <ns0:c r="M3" s="6"/>
      <ns0:c r="N3" s="6"/>
      <ns0:c r="O3" s="6"/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主体乙</ns0:t>
        </ns0:is>
      </ns0:c>
    </ns0:row>
    <ns0:row r="4" ht="20" customHeight="1">
      <ns0:c r="A4" s="2" t="inlineStr">
        <ns0:is>
          <ns0:t>一、营业收入</ns0:t>
        </ns0:is>
      </ns0:c>
      <ns0:c r="B4" s="2"/>
      <ns0:c r="C4" s="3">
        <ns0:f>SUM(C61:N61)</ns0:f>
        <ns0:v>4685117.58</ns0:v>
      </ns0:c>
      <ns0:c r="D4" s="3"/>
      <ns0:c r="E4" s="3"/>
      <ns0:c r="F4" s="3"/>
      <ns0:c r="G4" s="3"/>
      <ns0:c r="H4" s="3"/>
      <ns0:c r="I4" s="3"/>
      <ns0:c r="J4" s="3"/>
      <ns0:c r="K4" s="3"/>
      <ns0:c r="L4" s="3"/>
      <ns0:c r="M4" s="3"/>
      <ns0:c r="N4" s="3"/>
      <ns0:c r="O4" s="3"/>
      <ns0:c r="P4" s="2"/>
      <ns0:c r="Q4" s="2"/>
      <ns0:c r="R4" s="2"/>
      <ns0:c r="S4" s="2"/>
      <ns0:c r="T4" s="2"/>
      <ns0:c r="U4" s="2"/>
      <ns0:c r="V4" s="2"/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S-03e3bfa6bf</ns0:t>
        </ns0:is>
      </ns0:c>
    </ns0:row>
    <ns0:row r="5" ht="20" customHeight="1">
      <ns0:c r="A5" s="2" t="inlineStr">
        <ns0:is>
          <ns0:t>减：营业成本</ns0:t>
        </ns0:is>
      </ns0:c>
      <ns0:c r="B5" s="2"/>
      <ns0:c r="C5" s="3">
        <ns0:f>SUM(C62:N62)</ns0:f>
        <ns0:v>1638166.39</ns0:v>
      </ns0:c>
      <ns0:c r="D5" s="3"/>
      <ns0:c r="E5" s="3"/>
      <ns0:c r="F5" s="3"/>
      <ns0:c r="G5" s="3"/>
      <ns0:c r="H5" s="3"/>
      <ns0:c r="I5" s="3"/>
      <ns0:c r="J5" s="3"/>
      <ns0:c r="K5" s="3"/>
      <ns0:c r="L5" s="3"/>
      <ns0:c r="M5" s="3"/>
      <ns0:c r="N5" s="3"/>
      <ns0:c r="O5" s="3"/>
      <ns0:c r="P5" s="2"/>
      <ns0:c r="Q5" s="2"/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扩展情景</ns0:t>
        </ns0:is>
      </ns0:c>
    </ns0:row>
    <ns0:row r="6" ht="20" customHeight="1">
      <ns0:c r="A6" s="2" t="inlineStr">
        <ns0:is>
          <ns0:t>营业税金及附加</ns0:t>
        </ns0:is>
      </ns0:c>
      <ns0:c r="B6" s="2"/>
      <ns0:c r="C6" s="3">
        <ns0:f>SUM(C63:N63)</ns0:f>
        <ns0:v>26330.36</ns0:v>
      </ns0:c>
      <ns0:c r="D6" s="3"/>
      <ns0:c r="E6" s="3"/>
      <ns0:c r="F6" s="3"/>
      <ns0:c r="G6" s="3"/>
      <ns0:c r="H6" s="3"/>
      <ns0:c r="I6" s="3"/>
      <ns0:c r="J6" s="3"/>
      <ns0:c r="K6" s="3"/>
      <ns0:c r="L6" s="3"/>
      <ns0:c r="M6" s="3"/>
      <ns0:c r="N6" s="3"/>
      <ns0:c r="O6" s="3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2" t="inlineStr">
        <ns0:is>
          <ns0:t>销售费用</ns0:t>
        </ns0:is>
      </ns0:c>
      <ns0:c r="B7" s="2"/>
      <ns0:c r="C7" s="3">
        <ns0:f>SUM(C64:N64)</ns0:f>
        <ns0:v>89458.48</ns0:v>
      </ns0:c>
      <ns0:c r="D7" s="3"/>
      <ns0:c r="E7" s="3"/>
      <ns0:c r="F7" s="3"/>
      <ns0:c r="G7" s="3"/>
      <ns0:c r="H7" s="3"/>
      <ns0:c r="I7" s="3"/>
      <ns0:c r="J7" s="3"/>
      <ns0:c r="K7" s="3"/>
      <ns0:c r="L7" s="3"/>
      <ns0:c r="M7" s="3"/>
      <ns0:c r="N7" s="3"/>
      <ns0:c r="O7" s="3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季度</ns0:t>
        </ns0:is>
      </ns0:c>
    </ns0:row>
    <ns0:row r="8" ht="20" customHeight="1">
      <ns0:c r="A8" s="2" t="inlineStr">
        <ns0:is>
          <ns0:t>管理费用</ns0:t>
        </ns0:is>
      </ns0:c>
      <ns0:c r="B8" s="2"/>
      <ns0:c r="C8" s="3">
        <ns0:f>SUM(C65:N66)</ns0:f>
        <ns0:v>176533.30</ns0:v>
      </ns0:c>
      <ns0:c r="D8" s="3"/>
      <ns0:c r="E8" s="3"/>
      <ns0:c r="F8" s="3"/>
      <ns0:c r="G8" s="3"/>
      <ns0:c r="H8" s="3"/>
      <ns0:c r="I8" s="3"/>
      <ns0:c r="J8" s="3"/>
      <ns0:c r="K8" s="3"/>
      <ns0:c r="L8" s="3"/>
      <ns0:c r="M8" s="3"/>
      <ns0:c r="N8" s="3"/>
      <ns0:c r="O8" s="3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2" t="inlineStr">
        <ns0:is>
          <ns0:t>财务费用</ns0:t>
        </ns0:is>
      </ns0:c>
      <ns0:c r="B9" s="2"/>
      <ns0:c r="C9" s="3"/>
      <ns0:c r="D9" s="3"/>
      <ns0:c r="E9" s="3"/>
      <ns0:c r="F9" s="3"/>
      <ns0:c r="G9" s="3"/>
      <ns0:c r="H9" s="3"/>
      <ns0:c r="I9" s="3"/>
      <ns0:c r="J9" s="3"/>
      <ns0:c r="K9" s="3"/>
      <ns0:c r="L9" s="3"/>
      <ns0:c r="M9" s="3"/>
      <ns0:c r="N9" s="3"/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2" t="inlineStr">
        <ns0:is>
          <ns0:t>资产减值损失</ns0:t>
        </ns0:is>
      </ns0:c>
      <ns0:c r="B10" s="2"/>
      <ns0:c r="C10" s="3"/>
      <ns0:c r="D10" s="3"/>
      <ns0:c r="E10" s="3"/>
      <ns0:c r="F10" s="3"/>
      <ns0:c r="G10" s="3"/>
      <ns0:c r="H10" s="3"/>
      <ns0:c r="I10" s="3"/>
      <ns0:c r="J10" s="3"/>
      <ns0:c r="K10" s="3"/>
      <ns0:c r="L10" s="3"/>
      <ns0:c r="M10" s="3"/>
      <ns0:c r="N10" s="3"/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2" t="inlineStr">
        <ns0:is>
          <ns0:t>加：公允价值变动收益（损失以“-”号填列）</ns0:t>
        </ns0:is>
      </ns0:c>
      <ns0:c r="B11" s="2"/>
      <ns0:c r="C11" s="3"/>
      <ns0:c r="D11" s="3"/>
      <ns0:c r="E11" s="3"/>
      <ns0:c r="F11" s="3"/>
      <ns0:c r="G11" s="3"/>
      <ns0:c r="H11" s="3"/>
      <ns0:c r="I11" s="3"/>
      <ns0:c r="J11" s="3"/>
      <ns0:c r="K11" s="3"/>
      <ns0:c r="L11" s="3"/>
      <ns0:c r="M11" s="3"/>
      <ns0:c r="N11" s="3"/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2" t="inlineStr">
        <ns0:is>
          <ns0:t>投资收益（损失以“-”号填列）</ns0:t>
        </ns0:is>
      </ns0:c>
      <ns0:c r="B12" s="2"/>
      <ns0:c r="C12" s="3"/>
      <ns0:c r="D12" s="3"/>
      <ns0:c r="E12" s="3"/>
      <ns0:c r="F12" s="3"/>
      <ns0:c r="G12" s="3"/>
      <ns0:c r="H12" s="3"/>
      <ns0:c r="I12" s="3"/>
      <ns0:c r="J12" s="3"/>
      <ns0:c r="K12" s="3"/>
      <ns0:c r="L12" s="3"/>
      <ns0:c r="M12" s="3"/>
      <ns0:c r="N12" s="3"/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2" t="inlineStr">
        <ns0:is>
          <ns0:t>其中:对联营企业和合营企业的投资收益</ns0:t>
        </ns0:is>
      </ns0:c>
      <ns0:c r="B13" s="2"/>
      <ns0:c r="C13" s="3"/>
      <ns0:c r="D13" s="3"/>
      <ns0:c r="E13" s="3"/>
      <ns0:c r="F13" s="3"/>
      <ns0:c r="G13" s="3"/>
      <ns0:c r="H13" s="3"/>
      <ns0:c r="I13" s="3"/>
      <ns0:c r="J13" s="3"/>
      <ns0:c r="K13" s="3"/>
      <ns0:c r="L13" s="3"/>
      <ns0:c r="M13" s="3"/>
      <ns0:c r="N13" s="3"/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2" t="inlineStr">
        <ns0:is>
          <ns0:t>二、营业利润（亏损以“-”号填列）</ns0:t>
        </ns0:is>
      </ns0:c>
      <ns0:c r="B14" s="2"/>
      <ns0:c r="C14" s="3">
        <ns0:f>SUM(C67:N67)</ns0:f>
        <ns0:v>2754629.05</ns0:v>
      </ns0:c>
      <ns0:c r="D14" s="3"/>
      <ns0:c r="E14" s="3"/>
      <ns0:c r="F14" s="3"/>
      <ns0:c r="G14" s="3"/>
      <ns0:c r="H14" s="3"/>
      <ns0:c r="I14" s="3"/>
      <ns0:c r="J14" s="3"/>
      <ns0:c r="K14" s="3"/>
      <ns0:c r="L14" s="3"/>
      <ns0:c r="M14" s="3"/>
      <ns0:c r="N14" s="3"/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2" t="inlineStr">
        <ns0:is>
          <ns0:t>加：营业外收入</ns0:t>
        </ns0:is>
      </ns0:c>
      <ns0:c r="B15" s="2"/>
      <ns0:c r="C15" s="3"/>
      <ns0:c r="D15" s="3"/>
      <ns0:c r="E15" s="3"/>
      <ns0:c r="F15" s="3"/>
      <ns0:c r="G15" s="3"/>
      <ns0:c r="H15" s="3"/>
      <ns0:c r="I15" s="3"/>
      <ns0:c r="J15" s="3"/>
      <ns0:c r="K15" s="3"/>
      <ns0:c r="L15" s="3"/>
      <ns0:c r="M15" s="3"/>
      <ns0:c r="N15" s="3"/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2" t="inlineStr">
        <ns0:is>
          <ns0:t>减：营业外支出</ns0:t>
        </ns0:is>
      </ns0:c>
      <ns0:c r="B16" s="2"/>
      <ns0:c r="C16" s="3"/>
      <ns0:c r="D16" s="3"/>
      <ns0:c r="E16" s="3"/>
      <ns0:c r="F16" s="3"/>
      <ns0:c r="G16" s="3"/>
      <ns0:c r="H16" s="3"/>
      <ns0:c r="I16" s="3"/>
      <ns0:c r="J16" s="3"/>
      <ns0:c r="K16" s="3"/>
      <ns0:c r="L16" s="3"/>
      <ns0:c r="M16" s="3"/>
      <ns0:c r="N16" s="3"/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实时经营</ns0:t>
        </ns0:is>
      </ns0:c>
    </ns0:row>
    <ns0:row r="17" ht="20" customHeight="1">
      <ns0:c r="A17" s="2" t="inlineStr">
        <ns0:is>
          <ns0:t>其中：非流动资产处置损失</ns0:t>
        </ns0:is>
      </ns0:c>
      <ns0:c r="B17" s="2"/>
      <ns0:c r="C17" s="3"/>
      <ns0:c r="D17" s="3"/>
      <ns0:c r="E17" s="3"/>
      <ns0:c r="F17" s="3"/>
      <ns0:c r="G17" s="3"/>
      <ns0:c r="H17" s="3"/>
      <ns0:c r="I17" s="3"/>
      <ns0:c r="J17" s="3"/>
      <ns0:c r="K17" s="3"/>
      <ns0:c r="L17" s="3"/>
      <ns0:c r="M17" s="3"/>
      <ns0:c r="N17" s="3"/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蓝色为实时经营输入参数；示例数值为占位；金额单位：元</ns0:t>
        </ns0:is>
      </ns0:c>
    </ns0:row>
    <ns0:row r="18" ht="20" customHeight="1">
      <ns0:c r="A18" s="2" t="inlineStr">
        <ns0:is>
          <ns0:t>三、利润总额（亏损总额以“-”号填列）</ns0:t>
        </ns0:is>
      </ns0:c>
      <ns0:c r="B18" s="2"/>
      <ns0:c r="C18" s="3">
        <ns0:f>SUM(C67:N67)</ns0:f>
        <ns0:v>2754629.05</ns0:v>
      </ns0:c>
      <ns0:c r="D18" s="3"/>
      <ns0:c r="E18" s="3"/>
      <ns0:c r="F18" s="3"/>
      <ns0:c r="G18" s="3"/>
      <ns0:c r="H18" s="3"/>
      <ns0:c r="I18" s="3"/>
      <ns0:c r="J18" s="3"/>
      <ns0:c r="K18" s="3"/>
      <ns0:c r="L18" s="3"/>
      <ns0:c r="M18" s="3"/>
      <ns0:c r="N18" s="3"/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2" t="inlineStr">
        <ns0:is>
          <ns0:t>减：所得税费用</ns0:t>
        </ns0:is>
      </ns0:c>
      <ns0:c r="B19" s="2"/>
      <ns0:c r="C19" s="3">
        <ns0:f>SUM(C68:N68)</ns0:f>
        <ns0:v>591997.33</ns0:v>
      </ns0:c>
      <ns0:c r="D19" s="3"/>
      <ns0:c r="E19" s="3"/>
      <ns0:c r="F19" s="3"/>
      <ns0:c r="G19" s="3"/>
      <ns0:c r="H19" s="3"/>
      <ns0:c r="I19" s="3"/>
      <ns0:c r="J19" s="3"/>
      <ns0:c r="K19" s="3"/>
      <ns0:c r="L19" s="3"/>
      <ns0:c r="M19" s="3"/>
      <ns0:c r="N19" s="3"/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2" t="inlineStr">
        <ns0:is>
          <ns0:t>四、净利润（净亏损以“-”号填列）</ns0:t>
        </ns0:is>
      </ns0:c>
      <ns0:c r="B20" s="2"/>
      <ns0:c r="C20" s="3">
        <ns0:f>SUM(C69:N69)</ns0:f>
        <ns0:v>2162631.72</ns0:v>
      </ns0:c>
      <ns0:c r="D20" s="3"/>
      <ns0:c r="E20" s="3"/>
      <ns0:c r="F20" s="3"/>
      <ns0:c r="G20" s="3"/>
      <ns0:c r="H20" s="3"/>
      <ns0:c r="I20" s="3"/>
      <ns0:c r="J20" s="3"/>
      <ns0:c r="K20" s="3"/>
      <ns0:c r="L20" s="3"/>
      <ns0:c r="M20" s="3"/>
      <ns0:c r="N20" s="3"/>
      <ns0:c r="O20" s="3"/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2" t="inlineStr">
        <ns0:is>
          <ns0:t>五、每股收益：</ns0:t>
        </ns0:is>
      </ns0:c>
      <ns0:c r="B21" s="2"/>
      <ns0:c r="C21" s="3"/>
      <ns0:c r="D21" s="3"/>
      <ns0:c r="E21" s="3"/>
      <ns0:c r="F21" s="3"/>
      <ns0:c r="G21" s="3"/>
      <ns0:c r="H21" s="3"/>
      <ns0:c r="I21" s="3"/>
      <ns0:c r="J21" s="3"/>
      <ns0:c r="K21" s="3"/>
      <ns0:c r="L21" s="3"/>
      <ns0:c r="M21" s="3"/>
      <ns0:c r="N21" s="3"/>
      <ns0:c r="O21" s="3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2" t="inlineStr">
        <ns0:is>
          <ns0:t>（一）基本每股收益</ns0:t>
        </ns0:is>
      </ns0:c>
      <ns0:c r="B22" s="2"/>
      <ns0:c r="C22" s="3"/>
      <ns0:c r="D22" s="3"/>
      <ns0:c r="E22" s="3"/>
      <ns0:c r="F22" s="3"/>
      <ns0:c r="G22" s="3"/>
      <ns0:c r="H22" s="3"/>
      <ns0:c r="I22" s="3"/>
      <ns0:c r="J22" s="3"/>
      <ns0:c r="K22" s="3"/>
      <ns0:c r="L22" s="3"/>
      <ns0:c r="M22" s="3"/>
      <ns0:c r="N22" s="3"/>
      <ns0:c r="O22" s="3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2" t="inlineStr">
        <ns0:is>
          <ns0:t>（二）稀释每股收益</ns0:t>
        </ns0:is>
      </ns0:c>
      <ns0:c r="B23" s="2"/>
      <ns0:c r="C23" s="3"/>
      <ns0:c r="D23" s="3"/>
      <ns0:c r="E23" s="3"/>
      <ns0:c r="F23" s="3"/>
      <ns0:c r="G23" s="3"/>
      <ns0:c r="H23" s="3"/>
      <ns0:c r="I23" s="3"/>
      <ns0:c r="J23" s="3"/>
      <ns0:c r="K23" s="3"/>
      <ns0:c r="L23" s="3"/>
      <ns0:c r="M23" s="3"/>
      <ns0:c r="N23" s="3"/>
      <ns0:c r="O23" s="3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/>
      <ns0:c r="B24" s="2"/>
      <ns0:c r="C24" s="3"/>
      <ns0:c r="D24" s="3"/>
      <ns0:c r="E24" s="3"/>
      <ns0:c r="F24" s="3"/>
      <ns0:c r="G24" s="3"/>
      <ns0:c r="H24" s="3"/>
      <ns0:c r="I24" s="3"/>
      <ns0:c r="J24" s="3"/>
      <ns0:c r="K24" s="3"/>
      <ns0:c r="L24" s="3"/>
      <ns0:c r="M24" s="3"/>
      <ns0:c r="N24" s="3"/>
      <ns0:c r="O24" s="3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/>
      <ns0:c r="B25" s="2"/>
      <ns0:c r="C25" s="3"/>
      <ns0:c r="D25" s="3"/>
      <ns0:c r="E25" s="3"/>
      <ns0:c r="F25" s="3"/>
      <ns0:c r="G25" s="3"/>
      <ns0:c r="H25" s="3"/>
      <ns0:c r="I25" s="3"/>
      <ns0:c r="J25" s="3"/>
      <ns0:c r="K25" s="3"/>
      <ns0:c r="L25" s="3"/>
      <ns0:c r="M25" s="3"/>
      <ns0:c r="N25" s="3"/>
      <ns0:c r="O25" s="3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/>
      <ns0:c r="B26" s="2"/>
      <ns0:c r="C26" s="3"/>
      <ns0:c r="D26" s="3"/>
      <ns0:c r="E26" s="3"/>
      <ns0:c r="F26" s="3"/>
      <ns0:c r="G26" s="3"/>
      <ns0:c r="H26" s="3"/>
      <ns0:c r="I26" s="3"/>
      <ns0:c r="J26" s="3"/>
      <ns0:c r="K26" s="3"/>
      <ns0:c r="L26" s="3"/>
      <ns0:c r="M26" s="3"/>
      <ns0:c r="N26" s="3"/>
      <ns0:c r="O26" s="3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/>
      <ns0:c r="B27" s="2"/>
      <ns0:c r="C27" s="3"/>
      <ns0:c r="D27" s="3"/>
      <ns0:c r="E27" s="3"/>
      <ns0:c r="F27" s="3"/>
      <ns0:c r="G27" s="3"/>
      <ns0:c r="H27" s="3"/>
      <ns0:c r="I27" s="3"/>
      <ns0:c r="J27" s="3"/>
      <ns0:c r="K27" s="3"/>
      <ns0:c r="L27" s="3"/>
      <ns0:c r="M27" s="3"/>
      <ns0:c r="N27" s="3"/>
      <ns0:c r="O27" s="3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/>
      <ns0:c r="B28" s="2"/>
      <ns0:c r="C28" s="3"/>
      <ns0:c r="D28" s="3"/>
      <ns0:c r="E28" s="3"/>
      <ns0:c r="F28" s="3"/>
      <ns0:c r="G28" s="3"/>
      <ns0:c r="H28" s="3"/>
      <ns0:c r="I28" s="3"/>
      <ns0:c r="J28" s="3"/>
      <ns0:c r="K28" s="3"/>
      <ns0:c r="L28" s="3"/>
      <ns0:c r="M28" s="3"/>
      <ns0:c r="N28" s="3"/>
      <ns0:c r="O28" s="3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/>
      <ns0:c r="B29" s="2"/>
      <ns0:c r="C29" s="3"/>
      <ns0:c r="D29" s="3"/>
      <ns0:c r="E29" s="3"/>
      <ns0:c r="F29" s="3"/>
      <ns0:c r="G29" s="3"/>
      <ns0:c r="H29" s="3"/>
      <ns0:c r="I29" s="3"/>
      <ns0:c r="J29" s="3"/>
      <ns0:c r="K29" s="3"/>
      <ns0:c r="L29" s="3"/>
      <ns0:c r="M29" s="3"/>
      <ns0:c r="N29" s="3"/>
      <ns0:c r="O29" s="3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/>
      <ns0:c r="B30" s="5"/>
      <ns0:c r="C30" s="6"/>
      <ns0:c r="D30" s="6"/>
      <ns0:c r="E30" s="6"/>
      <ns0:c r="F30" s="6"/>
      <ns0:c r="G30" s="6"/>
      <ns0:c r="H30" s="6"/>
      <ns0:c r="I30" s="6"/>
      <ns0:c r="J30" s="6"/>
      <ns0:c r="K30" s="6"/>
      <ns0:c r="L30" s="6"/>
      <ns0:c r="M30" s="6"/>
      <ns0:c r="N30" s="6"/>
      <ns0:c r="O30" s="6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/>
      <ns0:c r="B31" s="2"/>
      <ns0:c r="C31" s="3"/>
      <ns0:c r="D31" s="3"/>
      <ns0:c r="E31" s="3"/>
      <ns0:c r="F31" s="3"/>
      <ns0:c r="G31" s="3"/>
      <ns0:c r="H31" s="3"/>
      <ns0:c r="I31" s="3"/>
      <ns0:c r="J31" s="3"/>
      <ns0:c r="K31" s="3"/>
      <ns0:c r="L31" s="3"/>
      <ns0:c r="M31" s="3"/>
      <ns0:c r="N31" s="3"/>
      <ns0:c r="O31" s="3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/>
      <ns0:c r="B32" s="2"/>
      <ns0:c r="C32" s="3"/>
      <ns0:c r="D32" s="3"/>
      <ns0:c r="E32" s="3"/>
      <ns0:c r="F32" s="3"/>
      <ns0:c r="G32" s="3"/>
      <ns0:c r="H32" s="3"/>
      <ns0:c r="I32" s="3"/>
      <ns0:c r="J32" s="3"/>
      <ns0:c r="K32" s="3"/>
      <ns0:c r="L32" s="3"/>
      <ns0:c r="M32" s="3"/>
      <ns0:c r="N32" s="3"/>
      <ns0:c r="O32" s="3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/>
      <ns0:c r="B33" s="2"/>
      <ns0:c r="C33" s="3"/>
      <ns0:c r="D33" s="3"/>
      <ns0:c r="E33" s="3"/>
      <ns0:c r="F33" s="3"/>
      <ns0:c r="G33" s="3"/>
      <ns0:c r="H33" s="3"/>
      <ns0:c r="I33" s="3"/>
      <ns0:c r="J33" s="3"/>
      <ns0:c r="K33" s="3"/>
      <ns0:c r="L33" s="3"/>
      <ns0:c r="M33" s="3"/>
      <ns0:c r="N33" s="3"/>
      <ns0:c r="O33" s="3"/>
      <ns0:c r="P33" s="2"/>
      <ns0:c r="Q33" s="2"/>
      <ns0:c r="R33" s="2"/>
      <ns0:c r="S33" s="2"/>
      <ns0:c r="T33" s="2"/>
      <ns0:c r="U33" s="2"/>
      <ns0:c r="V33" s="2"/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/>
      <ns0:c r="B34" s="2"/>
      <ns0:c r="C34" s="3"/>
      <ns0:c r="D34" s="3"/>
      <ns0:c r="E34" s="3"/>
      <ns0:c r="F34" s="3"/>
      <ns0:c r="G34" s="3"/>
      <ns0:c r="H34" s="3"/>
      <ns0:c r="I34" s="3"/>
      <ns0:c r="J34" s="3"/>
      <ns0:c r="K34" s="3"/>
      <ns0:c r="L34" s="3"/>
      <ns0:c r="M34" s="3"/>
      <ns0:c r="N34" s="3"/>
      <ns0:c r="O34" s="3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/>
      <ns0:c r="B35" s="2"/>
      <ns0:c r="C35" s="3"/>
      <ns0:c r="D35" s="3"/>
      <ns0:c r="E35" s="3"/>
      <ns0:c r="F35" s="3"/>
      <ns0:c r="G35" s="3"/>
      <ns0:c r="H35" s="3"/>
      <ns0:c r="I35" s="3"/>
      <ns0:c r="J35" s="3"/>
      <ns0:c r="K35" s="3"/>
      <ns0:c r="L35" s="3"/>
      <ns0:c r="M35" s="3"/>
      <ns0:c r="N35" s="3"/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/>
      <ns0:c r="B36" s="2"/>
      <ns0:c r="C36" s="3"/>
      <ns0:c r="D36" s="3"/>
      <ns0:c r="E36" s="3"/>
      <ns0:c r="F36" s="3"/>
      <ns0:c r="G36" s="3"/>
      <ns0:c r="H36" s="3"/>
      <ns0:c r="I36" s="3"/>
      <ns0:c r="J36" s="3"/>
      <ns0:c r="K36" s="3"/>
      <ns0:c r="L36" s="3"/>
      <ns0:c r="M36" s="3"/>
      <ns0:c r="N36" s="3"/>
      <ns0:c r="O36" s="3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 t="inlineStr">
        <ns0:is>
          <ns0:t>实时经营月度勾稽</ns0:t>
        </ns0:is>
      </ns0:c>
      <ns0:c r="C60" s="6" t="inlineStr">
        <ns0:is>
          <ns0:t>2027-01</ns0:t>
        </ns0:is>
      </ns0:c>
      <ns0:c r="D60" s="6" t="inlineStr">
        <ns0:is>
          <ns0:t>2027-02</ns0:t>
        </ns0:is>
      </ns0:c>
      <ns0:c r="E60" s="6" t="inlineStr">
        <ns0:is>
          <ns0:t>2027-03</ns0:t>
        </ns0:is>
      </ns0:c>
      <ns0:c r="F60" s="6" t="inlineStr">
        <ns0:is>
          <ns0:t>2027-04</ns0:t>
        </ns0:is>
      </ns0:c>
      <ns0:c r="G60" s="6" t="inlineStr">
        <ns0:is>
          <ns0:t>2027-05</ns0:t>
        </ns0:is>
      </ns0:c>
      <ns0:c r="H60" s="6" t="inlineStr">
        <ns0:is>
          <ns0:t>2027-06</ns0:t>
        </ns0:is>
      </ns0:c>
      <ns0:c r="I60" s="6" t="inlineStr">
        <ns0:is>
          <ns0:t>2027-07</ns0:t>
        </ns0:is>
      </ns0:c>
      <ns0:c r="J60" s="6" t="inlineStr">
        <ns0:is>
          <ns0:t>2027-08</ns0:t>
        </ns0:is>
      </ns0:c>
      <ns0:c r="K60" s="6" t="inlineStr">
        <ns0:is>
          <ns0:t>2027-09</ns0:t>
        </ns0:is>
      </ns0:c>
      <ns0:c r="L60" s="6" t="inlineStr">
        <ns0:is>
          <ns0:t>2027-10</ns0:t>
        </ns0:is>
      </ns0:c>
      <ns0:c r="M60" s="6" t="inlineStr">
        <ns0:is>
          <ns0:t>2027-11</ns0:t>
        </ns0:is>
      </ns0:c>
      <ns0:c r="N60" s="6" t="inlineStr">
        <ns0:is>
          <ns0:t>2027-12</ns0:t>
        </ns0:is>
      </ns0:c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 t="inlineStr">
        <ns0:is>
          <ns0:t>营业收入</ns0:t>
        </ns0:is>
      </ns0:c>
      <ns0:c r="C61" s="3">
        <ns0:f>'收入非主控'!C33+'收入主控'!C33</ns0:f>
        <ns0:v>408623.09</ns0:v>
      </ns0:c>
      <ns0:c r="D61" s="3">
        <ns0:f>'收入非主控'!D33+'收入主控'!D33</ns0:f>
        <ns0:v>415340.14</ns0:v>
      </ns0:c>
      <ns0:c r="E61" s="3">
        <ns0:f>'收入非主控'!E33+'收入主控'!E33</ns0:f>
        <ns0:v>378755.26</ns0:v>
      </ns0:c>
      <ns0:c r="F61" s="3">
        <ns0:f>'收入非主控'!F33+'收入主控'!F33</ns0:f>
        <ns0:v>319119.29</ns0:v>
      </ns0:c>
      <ns0:c r="G61" s="3">
        <ns0:f>'收入非主控'!G33+'收入主控'!G33</ns0:f>
        <ns0:v>401999.60</ns0:v>
      </ns0:c>
      <ns0:c r="H61" s="3">
        <ns0:f>'收入非主控'!H33+'收入主控'!H33</ns0:f>
        <ns0:v>367020.74</ns0:v>
      </ns0:c>
      <ns0:c r="I61" s="3">
        <ns0:f>'收入非主控'!I33+'收入主控'!I33</ns0:f>
        <ns0:v>425331.12</ns0:v>
      </ns0:c>
      <ns0:c r="J61" s="3">
        <ns0:f>'收入非主控'!J33+'收入主控'!J33</ns0:f>
        <ns0:v>498913.82</ns0:v>
      </ns0:c>
      <ns0:c r="K61" s="3">
        <ns0:f>'收入非主控'!K33+'收入主控'!K33</ns0:f>
        <ns0:v>365030.03</ns0:v>
      </ns0:c>
      <ns0:c r="L61" s="3">
        <ns0:f>'收入非主控'!L33+'收入主控'!L33</ns0:f>
        <ns0:v>349631.91</ns0:v>
      </ns0:c>
      <ns0:c r="M61" s="3">
        <ns0:f>'收入非主控'!M33+'收入主控'!M33</ns0:f>
        <ns0:v>349914.67</ns0:v>
      </ns0:c>
      <ns0:c r="N61" s="3">
        <ns0:f>'收入非主控'!N33+'收入主控'!N33</ns0:f>
        <ns0:v>405437.91</ns0:v>
      </ns0:c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 t="inlineStr">
        <ns0:is>
          <ns0:t>营业成本</ns0:t>
        </ns0:is>
      </ns0:c>
      <ns0:c r="C62" s="3">
        <ns0:f>'收入非主控'!C36+'收入主控'!C36</ns0:f>
        <ns0:v>134400.35</ns0:v>
      </ns0:c>
      <ns0:c r="D62" s="3">
        <ns0:f>'收入非主控'!D36+'收入主控'!D36</ns0:f>
        <ns0:v>118636.03</ns0:v>
      </ns0:c>
      <ns0:c r="E62" s="3">
        <ns0:f>'收入非主控'!E36+'收入主控'!E36</ns0:f>
        <ns0:v>130953.21</ns0:v>
      </ns0:c>
      <ns0:c r="F62" s="3">
        <ns0:f>'收入非主控'!F36+'收入主控'!F36</ns0:f>
        <ns0:v>148459.74</ns0:v>
      </ns0:c>
      <ns0:c r="G62" s="3">
        <ns0:f>'收入非主控'!G36+'收入主控'!G36</ns0:f>
        <ns0:v>163784.75</ns0:v>
      </ns0:c>
      <ns0:c r="H62" s="3">
        <ns0:f>'收入非主控'!H36+'收入主控'!H36</ns0:f>
        <ns0:v>118580.07</ns0:v>
      </ns0:c>
      <ns0:c r="I62" s="3">
        <ns0:f>'收入非主控'!I36+'收入主控'!I36</ns0:f>
        <ns0:v>177250.43</ns0:v>
      </ns0:c>
      <ns0:c r="J62" s="3">
        <ns0:f>'收入非主控'!J36+'收入主控'!J36</ns0:f>
        <ns0:v>152550.87</ns0:v>
      </ns0:c>
      <ns0:c r="K62" s="3">
        <ns0:f>'收入非主控'!K36+'收入主控'!K36</ns0:f>
        <ns0:v>103682.20</ns0:v>
      </ns0:c>
      <ns0:c r="L62" s="3">
        <ns0:f>'收入非主控'!L36+'收入主控'!L36</ns0:f>
        <ns0:v>141150.65</ns0:v>
      </ns0:c>
      <ns0:c r="M62" s="3">
        <ns0:f>'收入非主控'!M36+'收入主控'!M36</ns0:f>
        <ns0:v>148835.20</ns0:v>
      </ns0:c>
      <ns0:c r="N62" s="3">
        <ns0:f>'收入非主控'!N36+'收入主控'!N36</ns0:f>
        <ns0:v>99882.89</ns0:v>
      </ns0:c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 t="inlineStr">
        <ns0:is>
          <ns0:t>税金及附加</ns0:t>
        </ns0:is>
      </ns0:c>
      <ns0:c r="C63" s="3">
        <ns0:f>'税金及附加'!C33</ns0:f>
        <ns0:v>2296.46</ns0:v>
      </ns0:c>
      <ns0:c r="D63" s="3">
        <ns0:f>'税金及附加'!D33</ns0:f>
        <ns0:v>2334.21</ns0:v>
      </ns0:c>
      <ns0:c r="E63" s="3">
        <ns0:f>'税金及附加'!E33</ns0:f>
        <ns0:v>2128.60</ns0:v>
      </ns0:c>
      <ns0:c r="F63" s="3">
        <ns0:f>'税金及附加'!F33</ns0:f>
        <ns0:v>1793.45</ns0:v>
      </ns0:c>
      <ns0:c r="G63" s="3">
        <ns0:f>'税金及附加'!G33</ns0:f>
        <ns0:v>2259.24</ns0:v>
      </ns0:c>
      <ns0:c r="H63" s="3">
        <ns0:f>'税金及附加'!H33</ns0:f>
        <ns0:v>2062.66</ns0:v>
      </ns0:c>
      <ns0:c r="I63" s="3">
        <ns0:f>'税金及附加'!I33</ns0:f>
        <ns0:v>2390.36</ns0:v>
      </ns0:c>
      <ns0:c r="J63" s="3">
        <ns0:f>'税金及附加'!J33</ns0:f>
        <ns0:v>2803.90</ns0:v>
      </ns0:c>
      <ns0:c r="K63" s="3">
        <ns0:f>'税金及附加'!K33</ns0:f>
        <ns0:v>2051.47</ns0:v>
      </ns0:c>
      <ns0:c r="L63" s="3">
        <ns0:f>'税金及附加'!L33</ns0:f>
        <ns0:v>1964.93</ns0:v>
      </ns0:c>
      <ns0:c r="M63" s="3">
        <ns0:f>'税金及附加'!M33</ns0:f>
        <ns0:v>1966.52</ns0:v>
      </ns0:c>
      <ns0:c r="N63" s="3">
        <ns0:f>'税金及附加'!N33</ns0:f>
        <ns0:v>2278.56</ns0:v>
      </ns0:c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 t="inlineStr">
        <ns0:is>
          <ns0:t>销售费用</ns0:t>
        </ns0:is>
      </ns0:c>
      <ns0:c r="C64" s="3">
        <ns0:f>'销售费用'!C34</ns0:f>
        <ns0:v>7437.25</ns0:v>
      </ns0:c>
      <ns0:c r="D64" s="3">
        <ns0:f>'销售费用'!D34</ns0:f>
        <ns0:v>7122.70</ns0:v>
      </ns0:c>
      <ns0:c r="E64" s="3">
        <ns0:f>'销售费用'!E34</ns0:f>
        <ns0:v>7496.89</ns0:v>
      </ns0:c>
      <ns0:c r="F64" s="3">
        <ns0:f>'销售费用'!F34</ns0:f>
        <ns0:v>8418.50</ns0:v>
      </ns0:c>
      <ns0:c r="G64" s="3">
        <ns0:f>'销售费用'!G34</ns0:f>
        <ns0:v>6575.98</ns0:v>
      </ns0:c>
      <ns0:c r="H64" s="3">
        <ns0:f>'销售费用'!H34</ns0:f>
        <ns0:v>7417.29</ns0:v>
      </ns0:c>
      <ns0:c r="I64" s="3">
        <ns0:f>'销售费用'!I34</ns0:f>
        <ns0:v>7160.77</ns0:v>
      </ns0:c>
      <ns0:c r="J64" s="3">
        <ns0:f>'销售费用'!J34</ns0:f>
        <ns0:v>6817.42</ns0:v>
      </ns0:c>
      <ns0:c r="K64" s="3">
        <ns0:f>'销售费用'!K34</ns0:f>
        <ns0:v>8226.30</ns0:v>
      </ns0:c>
      <ns0:c r="L64" s="3">
        <ns0:f>'销售费用'!L34</ns0:f>
        <ns0:v>6958.18</ns0:v>
      </ns0:c>
      <ns0:c r="M64" s="3">
        <ns0:f>'销售费用'!M34</ns0:f>
        <ns0:v>7577.01</ns0:v>
      </ns0:c>
      <ns0:c r="N64" s="3">
        <ns0:f>'销售费用'!N34</ns0:f>
        <ns0:v>8250.19</ns0:v>
      </ns0:c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 t="inlineStr">
        <ns0:is>
          <ns0:t>管理费用</ns0:t>
        </ns0:is>
      </ns0:c>
      <ns0:c r="C65" s="3">
        <ns0:f>'管理费用'!C34</ns0:f>
        <ns0:v>6965.49</ns0:v>
      </ns0:c>
      <ns0:c r="D65" s="3">
        <ns0:f>'管理费用'!D34</ns0:f>
        <ns0:v>7371.36</ns0:v>
      </ns0:c>
      <ns0:c r="E65" s="3">
        <ns0:f>'管理费用'!E34</ns0:f>
        <ns0:v>6502.29</ns0:v>
      </ns0:c>
      <ns0:c r="F65" s="3">
        <ns0:f>'管理费用'!F34</ns0:f>
        <ns0:v>7377.88</ns0:v>
      </ns0:c>
      <ns0:c r="G65" s="3">
        <ns0:f>'管理费用'!G34</ns0:f>
        <ns0:v>7071.54</ns0:v>
      </ns0:c>
      <ns0:c r="H65" s="3">
        <ns0:f>'管理费用'!H34</ns0:f>
        <ns0:v>6764.54</ns0:v>
      </ns0:c>
      <ns0:c r="I65" s="3">
        <ns0:f>'管理费用'!I34</ns0:f>
        <ns0:v>7398.99</ns0:v>
      </ns0:c>
      <ns0:c r="J65" s="3">
        <ns0:f>'管理费用'!J34</ns0:f>
        <ns0:v>6314.21</ns0:v>
      </ns0:c>
      <ns0:c r="K65" s="3">
        <ns0:f>'管理费用'!K34</ns0:f>
        <ns0:v>8678.02</ns0:v>
      </ns0:c>
      <ns0:c r="L65" s="3">
        <ns0:f>'管理费用'!L34</ns0:f>
        <ns0:v>7686.28</ns0:v>
      </ns0:c>
      <ns0:c r="M65" s="3">
        <ns0:f>'管理费用'!M34</ns0:f>
        <ns0:v>7897.76</ns0:v>
      </ns0:c>
      <ns0:c r="N65" s="3">
        <ns0:f>'管理费用'!N34</ns0:f>
        <ns0:v>8983.59</ns0:v>
      </ns0:c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 t="inlineStr">
        <ns0:is>
          <ns0:t>其他主体费用</ns0:t>
        </ns0:is>
      </ns0:c>
      <ns0:c r="C66" s="3">
        <ns0:f>'蓝恐龙费用'!C34</ns0:f>
        <ns0:v>7014.18</ns0:v>
      </ns0:c>
      <ns0:c r="D66" s="3">
        <ns0:f>'蓝恐龙费用'!D34</ns0:f>
        <ns0:v>7866.51</ns0:v>
      </ns0:c>
      <ns0:c r="E66" s="3">
        <ns0:f>'蓝恐龙费用'!E34</ns0:f>
        <ns0:v>7553.93</ns0:v>
      </ns0:c>
      <ns0:c r="F66" s="3">
        <ns0:f>'蓝恐龙费用'!F34</ns0:f>
        <ns0:v>7952.95</ns0:v>
      </ns0:c>
      <ns0:c r="G66" s="3">
        <ns0:f>'蓝恐龙费用'!G34</ns0:f>
        <ns0:v>7885.40</ns0:v>
      </ns0:c>
      <ns0:c r="H66" s="3">
        <ns0:f>'蓝恐龙费用'!H34</ns0:f>
        <ns0:v>7167.82</ns0:v>
      </ns0:c>
      <ns0:c r="I66" s="3">
        <ns0:f>'蓝恐龙费用'!I34</ns0:f>
        <ns0:v>7868.58</ns0:v>
      </ns0:c>
      <ns0:c r="J66" s="3">
        <ns0:f>'蓝恐龙费用'!J34</ns0:f>
        <ns0:v>7471.13</ns0:v>
      </ns0:c>
      <ns0:c r="K66" s="3">
        <ns0:f>'蓝恐龙费用'!K34</ns0:f>
        <ns0:v>7544.69</ns0:v>
      </ns0:c>
      <ns0:c r="L66" s="3">
        <ns0:f>'蓝恐龙费用'!L34</ns0:f>
        <ns0:v>6523.25</ns0:v>
      </ns0:c>
      <ns0:c r="M66" s="3">
        <ns0:f>'蓝恐龙费用'!M34</ns0:f>
        <ns0:v>6366.46</ns0:v>
      </ns0:c>
      <ns0:c r="N66" s="3">
        <ns0:f>'蓝恐龙费用'!N34</ns0:f>
        <ns0:v>6306.45</ns0:v>
      </ns0:c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 t="inlineStr">
        <ns0:is>
          <ns0:t>税前利润</ns0:t>
        </ns0:is>
      </ns0:c>
      <ns0:c r="C67" s="3">
        <ns0:f>C61-SUM(C62:C66)</ns0:f>
        <ns0:v>250509.36</ns0:v>
      </ns0:c>
      <ns0:c r="D67" s="3">
        <ns0:f>D61-SUM(D62:D66)</ns0:f>
        <ns0:v>272009.33</ns0:v>
      </ns0:c>
      <ns0:c r="E67" s="3">
        <ns0:f>E61-SUM(E62:E66)</ns0:f>
        <ns0:v>224120.34</ns0:v>
      </ns0:c>
      <ns0:c r="F67" s="3">
        <ns0:f>F61-SUM(F62:F66)</ns0:f>
        <ns0:v>145116.77</ns0:v>
      </ns0:c>
      <ns0:c r="G67" s="3">
        <ns0:f>G61-SUM(G62:G66)</ns0:f>
        <ns0:v>214422.69</ns0:v>
      </ns0:c>
      <ns0:c r="H67" s="3">
        <ns0:f>H61-SUM(H62:H66)</ns0:f>
        <ns0:v>225028.36</ns0:v>
      </ns0:c>
      <ns0:c r="I67" s="3">
        <ns0:f>I61-SUM(I62:I66)</ns0:f>
        <ns0:v>223261.99</ns0:v>
      </ns0:c>
      <ns0:c r="J67" s="3">
        <ns0:f>J61-SUM(J62:J66)</ns0:f>
        <ns0:v>322956.29</ns0:v>
      </ns0:c>
      <ns0:c r="K67" s="3">
        <ns0:f>K61-SUM(K62:K66)</ns0:f>
        <ns0:v>234847.35</ns0:v>
      </ns0:c>
      <ns0:c r="L67" s="3">
        <ns0:f>L61-SUM(L62:L66)</ns0:f>
        <ns0:v>185348.62</ns0:v>
      </ns0:c>
      <ns0:c r="M67" s="3">
        <ns0:f>M61-SUM(M62:M66)</ns0:f>
        <ns0:v>177271.72</ns0:v>
      </ns0:c>
      <ns0:c r="N67" s="3">
        <ns0:f>N61-SUM(N62:N66)</ns0:f>
        <ns0:v>279736.23</ns0:v>
      </ns0:c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 t="inlineStr">
        <ns0:is>
          <ns0:t>所得税费用</ns0:t>
        </ns0:is>
      </ns0:c>
      <ns0:c r="C68" s="3">
        <ns0:f>ROUND(MAX(C67,0)*$C$200,2)</ns0:f>
        <ns0:v>53836.97</ns0:v>
      </ns0:c>
      <ns0:c r="D68" s="3">
        <ns0:f>ROUND(MAX(D67,0)*$C$200,2)</ns0:f>
        <ns0:v>58457.53</ns0:v>
      </ns0:c>
      <ns0:c r="E68" s="3">
        <ns0:f>ROUND(MAX(E67,0)*$C$200,2)</ns0:f>
        <ns0:v>48165.70</ns0:v>
      </ns0:c>
      <ns0:c r="F68" s="3">
        <ns0:f>ROUND(MAX(F67,0)*$C$200,2)</ns0:f>
        <ns0:v>31187.05</ns0:v>
      </ns0:c>
      <ns0:c r="G68" s="3">
        <ns0:f>ROUND(MAX(G67,0)*$C$200,2)</ns0:f>
        <ns0:v>46081.58</ns0:v>
      </ns0:c>
      <ns0:c r="H68" s="3">
        <ns0:f>ROUND(MAX(H67,0)*$C$200,2)</ns0:f>
        <ns0:v>48360.84</ns0:v>
      </ns0:c>
      <ns0:c r="I68" s="3">
        <ns0:f>ROUND(MAX(I67,0)*$C$200,2)</ns0:f>
        <ns0:v>47981.23</ns0:v>
      </ns0:c>
      <ns0:c r="J68" s="3">
        <ns0:f>ROUND(MAX(J67,0)*$C$200,2)</ns0:f>
        <ns0:v>69406.54</ns0:v>
      </ns0:c>
      <ns0:c r="K68" s="3">
        <ns0:f>ROUND(MAX(K67,0)*$C$200,2)</ns0:f>
        <ns0:v>50471.04</ns0:v>
      </ns0:c>
      <ns0:c r="L68" s="3">
        <ns0:f>ROUND(MAX(L67,0)*$C$200,2)</ns0:f>
        <ns0:v>39833.27</ns0:v>
      </ns0:c>
      <ns0:c r="M68" s="3">
        <ns0:f>ROUND(MAX(M67,0)*$C$200,2)</ns0:f>
        <ns0:v>38097.47</ns0:v>
      </ns0:c>
      <ns0:c r="N68" s="3">
        <ns0:f>ROUND(MAX(N67,0)*$C$200,2)</ns0:f>
        <ns0:v>60118.11</ns0:v>
      </ns0:c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 t="inlineStr">
        <ns0:is>
          <ns0:t>净利润</ns0:t>
        </ns0:is>
      </ns0:c>
      <ns0:c r="C69" s="3">
        <ns0:f>C67-C68</ns0:f>
        <ns0:v>196672.39</ns0:v>
      </ns0:c>
      <ns0:c r="D69" s="3">
        <ns0:f>D67-D68</ns0:f>
        <ns0:v>213551.80</ns0:v>
      </ns0:c>
      <ns0:c r="E69" s="3">
        <ns0:f>E67-E68</ns0:f>
        <ns0:v>175954.64</ns0:v>
      </ns0:c>
      <ns0:c r="F69" s="3">
        <ns0:f>F67-F68</ns0:f>
        <ns0:v>113929.72</ns0:v>
      </ns0:c>
      <ns0:c r="G69" s="3">
        <ns0:f>G67-G68</ns0:f>
        <ns0:v>168341.11</ns0:v>
      </ns0:c>
      <ns0:c r="H69" s="3">
        <ns0:f>H67-H68</ns0:f>
        <ns0:v>176667.52</ns0:v>
      </ns0:c>
      <ns0:c r="I69" s="3">
        <ns0:f>I67-I68</ns0:f>
        <ns0:v>175280.76</ns0:v>
      </ns0:c>
      <ns0:c r="J69" s="3">
        <ns0:f>J67-J68</ns0:f>
        <ns0:v>253549.75</ns0:v>
      </ns0:c>
      <ns0:c r="K69" s="3">
        <ns0:f>K67-K68</ns0:f>
        <ns0:v>184376.31</ns0:v>
      </ns0:c>
      <ns0:c r="L69" s="3">
        <ns0:f>L67-L68</ns0:f>
        <ns0:v>145515.35</ns0:v>
      </ns0:c>
      <ns0:c r="M69" s="3">
        <ns0:f>M67-M68</ns0:f>
        <ns0:v>139174.25</ns0:v>
      </ns0:c>
      <ns0:c r="N69" s="3">
        <ns0:f>N67-N68</ns0:f>
        <ns0:v>219618.12</ns0:v>
      </ns0:c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 t="inlineStr">
        <ns0:is>
          <ns0:t>所得税率（演示假设）</ns0:t>
        </ns0:is>
      </ns0:c>
      <ns0:c r="C200" s="4">
        <ns0:v>0.21491</ns0:v>
      </ns0:c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A1:H1"/>
    <ns0:mergeCell ref="C2:E2"/>
    <ns0:mergeCell ref="F2:H2"/>
    <ns0:mergeCell ref="A27:H27"/>
    <ns0:mergeCell ref="A2:A3"/>
    <ns0:mergeCell ref="B2:B3"/>
  </ns0:mergeCells>
  <ns0:pageMargins left="0.7" right="0.7" top="0.75" bottom="0.75" header="0.3" footer="0.3"/>
</ns0:worksheet>
</file>

<file path=xl/worksheets/sheet2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44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20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 t="inlineStr">
        <ns0:is>
          <ns0:t>资 产 负 债 表</ns0:t>
        </ns0:is>
      </ns0:c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2" t="inlineStr">
        <ns0:is>
          <ns0:t>资产</ns0:t>
        </ns0:is>
      </ns0:c>
      <ns0:c r="B2" s="2" t="inlineStr">
        <ns0:is>
          <ns0:t>行次</ns0:t>
        </ns0:is>
      </ns0:c>
      <ns0:c r="C2" s="3" t="inlineStr">
        <ns0:is>
          <ns0:t>年初数</ns0:t>
        </ns0:is>
      </ns0:c>
      <ns0:c r="D2" s="3" t="inlineStr">
        <ns0:is>
          <ns0:t>期末数</ns0:t>
        </ns0:is>
      </ns0:c>
      <ns0:c r="E2" s="3" t="inlineStr">
        <ns0:is>
          <ns0:t>负债和所有者权益        (或股东权益)</ns0:t>
        </ns0:is>
      </ns0:c>
      <ns0:c r="F2" s="3" t="inlineStr">
        <ns0:is>
          <ns0:t>行次</ns0:t>
        </ns0:is>
      </ns0:c>
      <ns0:c r="G2" s="3" t="inlineStr">
        <ns0:is>
          <ns0:t>全年实时经营</ns0:t>
        </ns0:is>
      </ns0:c>
      <ns0:c r="H2" s="3" t="inlineStr">
        <ns0:is>
          <ns0:t>非本次输入</ns0:t>
        </ns0:is>
      </ns0:c>
      <ns0:c r="I2" s="3"/>
      <ns0:c r="J2" s="3"/>
      <ns0:c r="K2" s="3"/>
      <ns0:c r="L2" s="3"/>
      <ns0:c r="M2" s="3"/>
      <ns0:c r="N2" s="3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E-5f17fa2948</ns0:t>
        </ns0:is>
      </ns0:c>
    </ns0:row>
    <ns0:row r="3" ht="20" customHeight="1">
      <ns0:c r="A3" s="2" t="inlineStr">
        <ns0:is>
          <ns0:t>流动资产：</ns0:t>
        </ns0:is>
      </ns0:c>
      <ns0:c r="B3" s="2"/>
      <ns0:c r="C3" s="6" t="inlineStr">
        <ns0:is>
          <ns0:t>全年实时经营</ns0:t>
        </ns0:is>
      </ns0:c>
      <ns0:c r="D3" s="6" t="inlineStr">
        <ns0:is>
          <ns0:t>非本次输入</ns0:t>
        </ns0:is>
      </ns0:c>
      <ns0:c r="E3" s="6" t="inlineStr">
        <ns0:is>
          <ns0:t>流动负债：</ns0:t>
        </ns0:is>
      </ns0:c>
      <ns0:c r="F3" s="6"/>
      <ns0:c r="G3" s="6"/>
      <ns0:c r="H3" s="6"/>
      <ns0:c r="I3" s="6"/>
      <ns0:c r="J3" s="6"/>
      <ns0:c r="K3" s="6"/>
      <ns0:c r="L3" s="6"/>
      <ns0:c r="M3" s="6"/>
      <ns0:c r="N3" s="6"/>
      <ns0:c r="O3" s="6"/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主体乙</ns0:t>
        </ns0:is>
      </ns0:c>
    </ns0:row>
    <ns0:row r="4" ht="20" customHeight="1">
      <ns0:c r="A4" s="2" t="inlineStr">
        <ns0:is>
          <ns0:t>货币资金</ns0:t>
        </ns0:is>
      </ns0:c>
      <ns0:c r="B4" s="2"/>
      <ns0:c r="C4" s="3">
        <ns0:f>N61</ns0:f>
        <ns0:v>2338147.86</ns0:v>
      </ns0:c>
      <ns0:c r="D4" s="3"/>
      <ns0:c r="E4" s="3" t="inlineStr">
        <ns0:is>
          <ns0:t>短期借款</ns0:t>
        </ns0:is>
      </ns0:c>
      <ns0:c r="F4" s="3"/>
      <ns0:c r="G4" s="3"/>
      <ns0:c r="H4" s="3"/>
      <ns0:c r="I4" s="3"/>
      <ns0:c r="J4" s="3"/>
      <ns0:c r="K4" s="3"/>
      <ns0:c r="L4" s="3"/>
      <ns0:c r="M4" s="3"/>
      <ns0:c r="N4" s="3"/>
      <ns0:c r="O4" s="3"/>
      <ns0:c r="P4" s="2"/>
      <ns0:c r="Q4" s="2"/>
      <ns0:c r="R4" s="2"/>
      <ns0:c r="S4" s="2"/>
      <ns0:c r="T4" s="2"/>
      <ns0:c r="U4" s="2"/>
      <ns0:c r="V4" s="2"/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S-03e3bfa6bf</ns0:t>
        </ns0:is>
      </ns0:c>
    </ns0:row>
    <ns0:row r="5" ht="20" customHeight="1">
      <ns0:c r="A5" s="2" t="inlineStr">
        <ns0:is>
          <ns0:t>短期投资</ns0:t>
        </ns0:is>
      </ns0:c>
      <ns0:c r="B5" s="2"/>
      <ns0:c r="C5" s="3"/>
      <ns0:c r="D5" s="3"/>
      <ns0:c r="E5" s="3" t="inlineStr">
        <ns0:is>
          <ns0:t>应付票据</ns0:t>
        </ns0:is>
      </ns0:c>
      <ns0:c r="F5" s="3"/>
      <ns0:c r="G5" s="3"/>
      <ns0:c r="H5" s="3"/>
      <ns0:c r="I5" s="3"/>
      <ns0:c r="J5" s="3"/>
      <ns0:c r="K5" s="3"/>
      <ns0:c r="L5" s="3"/>
      <ns0:c r="M5" s="3"/>
      <ns0:c r="N5" s="3"/>
      <ns0:c r="O5" s="3"/>
      <ns0:c r="P5" s="2"/>
      <ns0:c r="Q5" s="2"/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扩展情景</ns0:t>
        </ns0:is>
      </ns0:c>
    </ns0:row>
    <ns0:row r="6" ht="20" customHeight="1">
      <ns0:c r="A6" s="2" t="inlineStr">
        <ns0:is>
          <ns0:t>应收票据</ns0:t>
        </ns0:is>
      </ns0:c>
      <ns0:c r="B6" s="2"/>
      <ns0:c r="C6" s="3"/>
      <ns0:c r="D6" s="3"/>
      <ns0:c r="E6" s="3" t="inlineStr">
        <ns0:is>
          <ns0:t>应付账款</ns0:t>
        </ns0:is>
      </ns0:c>
      <ns0:c r="F6" s="3"/>
      <ns0:c r="G6" s="3"/>
      <ns0:c r="H6" s="3"/>
      <ns0:c r="I6" s="3"/>
      <ns0:c r="J6" s="3"/>
      <ns0:c r="K6" s="3"/>
      <ns0:c r="L6" s="3"/>
      <ns0:c r="M6" s="3"/>
      <ns0:c r="N6" s="3"/>
      <ns0:c r="O6" s="3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2" t="inlineStr">
        <ns0:is>
          <ns0:t>应收股利</ns0:t>
        </ns0:is>
      </ns0:c>
      <ns0:c r="B7" s="2"/>
      <ns0:c r="C7" s="3"/>
      <ns0:c r="D7" s="3"/>
      <ns0:c r="E7" s="3" t="inlineStr">
        <ns0:is>
          <ns0:t>预收账款</ns0:t>
        </ns0:is>
      </ns0:c>
      <ns0:c r="F7" s="3"/>
      <ns0:c r="G7" s="3"/>
      <ns0:c r="H7" s="3"/>
      <ns0:c r="I7" s="3"/>
      <ns0:c r="J7" s="3"/>
      <ns0:c r="K7" s="3"/>
      <ns0:c r="L7" s="3"/>
      <ns0:c r="M7" s="3"/>
      <ns0:c r="N7" s="3"/>
      <ns0:c r="O7" s="3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季度</ns0:t>
        </ns0:is>
      </ns0:c>
    </ns0:row>
    <ns0:row r="8" ht="20" customHeight="1">
      <ns0:c r="A8" s="2" t="inlineStr">
        <ns0:is>
          <ns0:t>应收利息</ns0:t>
        </ns0:is>
      </ns0:c>
      <ns0:c r="B8" s="2"/>
      <ns0:c r="C8" s="3"/>
      <ns0:c r="D8" s="3"/>
      <ns0:c r="E8" s="3" t="inlineStr">
        <ns0:is>
          <ns0:t>应付工资</ns0:t>
        </ns0:is>
      </ns0:c>
      <ns0:c r="F8" s="3"/>
      <ns0:c r="G8" s="3"/>
      <ns0:c r="H8" s="3"/>
      <ns0:c r="I8" s="3"/>
      <ns0:c r="J8" s="3"/>
      <ns0:c r="K8" s="3"/>
      <ns0:c r="L8" s="3"/>
      <ns0:c r="M8" s="3"/>
      <ns0:c r="N8" s="3"/>
      <ns0:c r="O8" s="3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2" t="inlineStr">
        <ns0:is>
          <ns0:t>应收账款</ns0:t>
        </ns0:is>
      </ns0:c>
      <ns0:c r="B9" s="2"/>
      <ns0:c r="C9" s="3"/>
      <ns0:c r="D9" s="3"/>
      <ns0:c r="E9" s="3" t="inlineStr">
        <ns0:is>
          <ns0:t>应付福利费</ns0:t>
        </ns0:is>
      </ns0:c>
      <ns0:c r="F9" s="3"/>
      <ns0:c r="G9" s="3"/>
      <ns0:c r="H9" s="3"/>
      <ns0:c r="I9" s="3"/>
      <ns0:c r="J9" s="3"/>
      <ns0:c r="K9" s="3"/>
      <ns0:c r="L9" s="3"/>
      <ns0:c r="M9" s="3"/>
      <ns0:c r="N9" s="3"/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2" t="inlineStr">
        <ns0:is>
          <ns0:t>其他应收款</ns0:t>
        </ns0:is>
      </ns0:c>
      <ns0:c r="B10" s="2"/>
      <ns0:c r="C10" s="3"/>
      <ns0:c r="D10" s="3"/>
      <ns0:c r="E10" s="3" t="inlineStr">
        <ns0:is>
          <ns0:t>应付利息</ns0:t>
        </ns0:is>
      </ns0:c>
      <ns0:c r="F10" s="3"/>
      <ns0:c r="G10" s="3"/>
      <ns0:c r="H10" s="3"/>
      <ns0:c r="I10" s="3"/>
      <ns0:c r="J10" s="3"/>
      <ns0:c r="K10" s="3"/>
      <ns0:c r="L10" s="3"/>
      <ns0:c r="M10" s="3"/>
      <ns0:c r="N10" s="3"/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2" t="inlineStr">
        <ns0:is>
          <ns0:t>预付账款</ns0:t>
        </ns0:is>
      </ns0:c>
      <ns0:c r="B11" s="2"/>
      <ns0:c r="C11" s="3"/>
      <ns0:c r="D11" s="3"/>
      <ns0:c r="E11" s="3" t="inlineStr">
        <ns0:is>
          <ns0:t>应交税金</ns0:t>
        </ns0:is>
      </ns0:c>
      <ns0:c r="F11" s="3"/>
      <ns0:c r="G11" s="3"/>
      <ns0:c r="H11" s="3"/>
      <ns0:c r="I11" s="3"/>
      <ns0:c r="J11" s="3"/>
      <ns0:c r="K11" s="3"/>
      <ns0:c r="L11" s="3"/>
      <ns0:c r="M11" s="3"/>
      <ns0:c r="N11" s="3"/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2" t="inlineStr">
        <ns0:is>
          <ns0:t>应收补贴款</ns0:t>
        </ns0:is>
      </ns0:c>
      <ns0:c r="B12" s="2"/>
      <ns0:c r="C12" s="3"/>
      <ns0:c r="D12" s="3"/>
      <ns0:c r="E12" s="3" t="inlineStr">
        <ns0:is>
          <ns0:t>其他应交款</ns0:t>
        </ns0:is>
      </ns0:c>
      <ns0:c r="F12" s="3"/>
      <ns0:c r="G12" s="3"/>
      <ns0:c r="H12" s="3"/>
      <ns0:c r="I12" s="3"/>
      <ns0:c r="J12" s="3"/>
      <ns0:c r="K12" s="3"/>
      <ns0:c r="L12" s="3"/>
      <ns0:c r="M12" s="3"/>
      <ns0:c r="N12" s="3"/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2" t="inlineStr">
        <ns0:is>
          <ns0:t>存货</ns0:t>
        </ns0:is>
      </ns0:c>
      <ns0:c r="B13" s="2"/>
      <ns0:c r="C13" s="3"/>
      <ns0:c r="D13" s="3"/>
      <ns0:c r="E13" s="3" t="inlineStr">
        <ns0:is>
          <ns0:t>其他应付款</ns0:t>
        </ns0:is>
      </ns0:c>
      <ns0:c r="F13" s="3"/>
      <ns0:c r="G13" s="3"/>
      <ns0:c r="H13" s="3"/>
      <ns0:c r="I13" s="3"/>
      <ns0:c r="J13" s="3"/>
      <ns0:c r="K13" s="3"/>
      <ns0:c r="L13" s="3"/>
      <ns0:c r="M13" s="3"/>
      <ns0:c r="N13" s="3"/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2" t="inlineStr">
        <ns0:is>
          <ns0:t>待摊费用</ns0:t>
        </ns0:is>
      </ns0:c>
      <ns0:c r="B14" s="2"/>
      <ns0:c r="C14" s="3"/>
      <ns0:c r="D14" s="3"/>
      <ns0:c r="E14" s="3" t="inlineStr">
        <ns0:is>
          <ns0:t>预提费用</ns0:t>
        </ns0:is>
      </ns0:c>
      <ns0:c r="F14" s="3"/>
      <ns0:c r="G14" s="3"/>
      <ns0:c r="H14" s="3"/>
      <ns0:c r="I14" s="3"/>
      <ns0:c r="J14" s="3"/>
      <ns0:c r="K14" s="3"/>
      <ns0:c r="L14" s="3"/>
      <ns0:c r="M14" s="3"/>
      <ns0:c r="N14" s="3"/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2" t="inlineStr">
        <ns0:is>
          <ns0:t>一年内到期的长期债券投资</ns0:t>
        </ns0:is>
      </ns0:c>
      <ns0:c r="B15" s="2"/>
      <ns0:c r="C15" s="3"/>
      <ns0:c r="D15" s="3"/>
      <ns0:c r="E15" s="3" t="inlineStr">
        <ns0:is>
          <ns0:t>预计负债</ns0:t>
        </ns0:is>
      </ns0:c>
      <ns0:c r="F15" s="3"/>
      <ns0:c r="G15" s="3"/>
      <ns0:c r="H15" s="3"/>
      <ns0:c r="I15" s="3"/>
      <ns0:c r="J15" s="3"/>
      <ns0:c r="K15" s="3"/>
      <ns0:c r="L15" s="3"/>
      <ns0:c r="M15" s="3"/>
      <ns0:c r="N15" s="3"/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2" t="inlineStr">
        <ns0:is>
          <ns0:t>其他流动资产</ns0:t>
        </ns0:is>
      </ns0:c>
      <ns0:c r="B16" s="2"/>
      <ns0:c r="C16" s="3"/>
      <ns0:c r="D16" s="3"/>
      <ns0:c r="E16" s="3" t="inlineStr">
        <ns0:is>
          <ns0:t>一年内到期的长期负债</ns0:t>
        </ns0:is>
      </ns0:c>
      <ns0:c r="F16" s="3"/>
      <ns0:c r="G16" s="3"/>
      <ns0:c r="H16" s="3"/>
      <ns0:c r="I16" s="3"/>
      <ns0:c r="J16" s="3"/>
      <ns0:c r="K16" s="3"/>
      <ns0:c r="L16" s="3"/>
      <ns0:c r="M16" s="3"/>
      <ns0:c r="N16" s="3"/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实时经营</ns0:t>
        </ns0:is>
      </ns0:c>
    </ns0:row>
    <ns0:row r="17" ht="20" customHeight="1">
      <ns0:c r="A17" s="2" t="inlineStr">
        <ns0:is>
          <ns0:t>流动资产合计</ns0:t>
        </ns0:is>
      </ns0:c>
      <ns0:c r="B17" s="2"/>
      <ns0:c r="C17" s="3"/>
      <ns0:c r="D17" s="3"/>
      <ns0:c r="E17" s="3" t="inlineStr">
        <ns0:is>
          <ns0:t>其他流动负债</ns0:t>
        </ns0:is>
      </ns0:c>
      <ns0:c r="F17" s="3"/>
      <ns0:c r="G17" s="3"/>
      <ns0:c r="H17" s="3"/>
      <ns0:c r="I17" s="3"/>
      <ns0:c r="J17" s="3"/>
      <ns0:c r="K17" s="3"/>
      <ns0:c r="L17" s="3"/>
      <ns0:c r="M17" s="3"/>
      <ns0:c r="N17" s="3"/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蓝色为实时经营输入参数；示例数值为占位；金额单位：元</ns0:t>
        </ns0:is>
      </ns0:c>
    </ns0:row>
    <ns0:row r="18" ht="20" customHeight="1">
      <ns0:c r="A18" s="2" t="inlineStr">
        <ns0:is>
          <ns0:t>长期资产：</ns0:t>
        </ns0:is>
      </ns0:c>
      <ns0:c r="B18" s="2"/>
      <ns0:c r="C18" s="3"/>
      <ns0:c r="D18" s="3"/>
      <ns0:c r="E18" s="3"/>
      <ns0:c r="F18" s="3"/>
      <ns0:c r="G18" s="3"/>
      <ns0:c r="H18" s="3"/>
      <ns0:c r="I18" s="3"/>
      <ns0:c r="J18" s="3"/>
      <ns0:c r="K18" s="3"/>
      <ns0:c r="L18" s="3"/>
      <ns0:c r="M18" s="3"/>
      <ns0:c r="N18" s="3"/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2" t="inlineStr">
        <ns0:is>
          <ns0:t>长期股权投资</ns0:t>
        </ns0:is>
      </ns0:c>
      <ns0:c r="B19" s="2"/>
      <ns0:c r="C19" s="3"/>
      <ns0:c r="D19" s="3"/>
      <ns0:c r="E19" s="3" t="inlineStr">
        <ns0:is>
          <ns0:t>流动负债合计</ns0:t>
        </ns0:is>
      </ns0:c>
      <ns0:c r="F19" s="3"/>
      <ns0:c r="G19" s="3"/>
      <ns0:c r="H19" s="3"/>
      <ns0:c r="I19" s="3"/>
      <ns0:c r="J19" s="3"/>
      <ns0:c r="K19" s="3"/>
      <ns0:c r="L19" s="3"/>
      <ns0:c r="M19" s="3"/>
      <ns0:c r="N19" s="3"/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2" t="inlineStr">
        <ns0:is>
          <ns0:t>长期债券投资</ns0:t>
        </ns0:is>
      </ns0:c>
      <ns0:c r="B20" s="2"/>
      <ns0:c r="C20" s="3"/>
      <ns0:c r="D20" s="3"/>
      <ns0:c r="E20" s="3" t="inlineStr">
        <ns0:is>
          <ns0:t>长期负债：</ns0:t>
        </ns0:is>
      </ns0:c>
      <ns0:c r="F20" s="3"/>
      <ns0:c r="G20" s="3"/>
      <ns0:c r="H20" s="3"/>
      <ns0:c r="I20" s="3"/>
      <ns0:c r="J20" s="3"/>
      <ns0:c r="K20" s="3"/>
      <ns0:c r="L20" s="3"/>
      <ns0:c r="M20" s="3"/>
      <ns0:c r="N20" s="3"/>
      <ns0:c r="O20" s="3"/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2" t="inlineStr">
        <ns0:is>
          <ns0:t>长期投资合计</ns0:t>
        </ns0:is>
      </ns0:c>
      <ns0:c r="B21" s="2"/>
      <ns0:c r="C21" s="3"/>
      <ns0:c r="D21" s="3"/>
      <ns0:c r="E21" s="3" t="inlineStr">
        <ns0:is>
          <ns0:t>长期借款</ns0:t>
        </ns0:is>
      </ns0:c>
      <ns0:c r="F21" s="3"/>
      <ns0:c r="G21" s="3"/>
      <ns0:c r="H21" s="3"/>
      <ns0:c r="I21" s="3"/>
      <ns0:c r="J21" s="3"/>
      <ns0:c r="K21" s="3"/>
      <ns0:c r="L21" s="3"/>
      <ns0:c r="M21" s="3"/>
      <ns0:c r="N21" s="3"/>
      <ns0:c r="O21" s="3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2" t="inlineStr">
        <ns0:is>
          <ns0:t>固定资产：</ns0:t>
        </ns0:is>
      </ns0:c>
      <ns0:c r="B22" s="2"/>
      <ns0:c r="C22" s="3"/>
      <ns0:c r="D22" s="3"/>
      <ns0:c r="E22" s="3" t="inlineStr">
        <ns0:is>
          <ns0:t>应付债券</ns0:t>
        </ns0:is>
      </ns0:c>
      <ns0:c r="F22" s="3"/>
      <ns0:c r="G22" s="3"/>
      <ns0:c r="H22" s="3"/>
      <ns0:c r="I22" s="3"/>
      <ns0:c r="J22" s="3"/>
      <ns0:c r="K22" s="3"/>
      <ns0:c r="L22" s="3"/>
      <ns0:c r="M22" s="3"/>
      <ns0:c r="N22" s="3"/>
      <ns0:c r="O22" s="3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2" t="inlineStr">
        <ns0:is>
          <ns0:t>固定资产原价</ns0:t>
        </ns0:is>
      </ns0:c>
      <ns0:c r="B23" s="2"/>
      <ns0:c r="C23" s="3"/>
      <ns0:c r="D23" s="3"/>
      <ns0:c r="E23" s="3" t="inlineStr">
        <ns0:is>
          <ns0:t>长期应付款</ns0:t>
        </ns0:is>
      </ns0:c>
      <ns0:c r="F23" s="3"/>
      <ns0:c r="G23" s="3"/>
      <ns0:c r="H23" s="3"/>
      <ns0:c r="I23" s="3"/>
      <ns0:c r="J23" s="3"/>
      <ns0:c r="K23" s="3"/>
      <ns0:c r="L23" s="3"/>
      <ns0:c r="M23" s="3"/>
      <ns0:c r="N23" s="3"/>
      <ns0:c r="O23" s="3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 t="inlineStr">
        <ns0:is>
          <ns0:t>减：累计折旧</ns0:t>
        </ns0:is>
      </ns0:c>
      <ns0:c r="B24" s="2"/>
      <ns0:c r="C24" s="3"/>
      <ns0:c r="D24" s="3"/>
      <ns0:c r="E24" s="3" t="inlineStr">
        <ns0:is>
          <ns0:t>专项应付款</ns0:t>
        </ns0:is>
      </ns0:c>
      <ns0:c r="F24" s="3"/>
      <ns0:c r="G24" s="3"/>
      <ns0:c r="H24" s="3"/>
      <ns0:c r="I24" s="3"/>
      <ns0:c r="J24" s="3"/>
      <ns0:c r="K24" s="3"/>
      <ns0:c r="L24" s="3"/>
      <ns0:c r="M24" s="3"/>
      <ns0:c r="N24" s="3"/>
      <ns0:c r="O24" s="3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 t="inlineStr">
        <ns0:is>
          <ns0:t>固定资产净值</ns0:t>
        </ns0:is>
      </ns0:c>
      <ns0:c r="B25" s="2"/>
      <ns0:c r="C25" s="3"/>
      <ns0:c r="D25" s="3"/>
      <ns0:c r="E25" s="3" t="inlineStr">
        <ns0:is>
          <ns0:t>其他长期负债</ns0:t>
        </ns0:is>
      </ns0:c>
      <ns0:c r="F25" s="3"/>
      <ns0:c r="G25" s="3"/>
      <ns0:c r="H25" s="3"/>
      <ns0:c r="I25" s="3"/>
      <ns0:c r="J25" s="3"/>
      <ns0:c r="K25" s="3"/>
      <ns0:c r="L25" s="3"/>
      <ns0:c r="M25" s="3"/>
      <ns0:c r="N25" s="3"/>
      <ns0:c r="O25" s="3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 t="inlineStr">
        <ns0:is>
          <ns0:t>减：固定资产减值准备</ns0:t>
        </ns0:is>
      </ns0:c>
      <ns0:c r="B26" s="2"/>
      <ns0:c r="C26" s="3"/>
      <ns0:c r="D26" s="3"/>
      <ns0:c r="E26" s="3" t="inlineStr">
        <ns0:is>
          <ns0:t>长期负债合计</ns0:t>
        </ns0:is>
      </ns0:c>
      <ns0:c r="F26" s="3"/>
      <ns0:c r="G26" s="3"/>
      <ns0:c r="H26" s="3"/>
      <ns0:c r="I26" s="3"/>
      <ns0:c r="J26" s="3"/>
      <ns0:c r="K26" s="3"/>
      <ns0:c r="L26" s="3"/>
      <ns0:c r="M26" s="3"/>
      <ns0:c r="N26" s="3"/>
      <ns0:c r="O26" s="3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 t="inlineStr">
        <ns0:is>
          <ns0:t>固定资产净额</ns0:t>
        </ns0:is>
      </ns0:c>
      <ns0:c r="B27" s="2"/>
      <ns0:c r="C27" s="3"/>
      <ns0:c r="D27" s="3"/>
      <ns0:c r="E27" s="3" t="inlineStr">
        <ns0:is>
          <ns0:t>递延税项：</ns0:t>
        </ns0:is>
      </ns0:c>
      <ns0:c r="F27" s="3"/>
      <ns0:c r="G27" s="3"/>
      <ns0:c r="H27" s="3"/>
      <ns0:c r="I27" s="3"/>
      <ns0:c r="J27" s="3"/>
      <ns0:c r="K27" s="3"/>
      <ns0:c r="L27" s="3"/>
      <ns0:c r="M27" s="3"/>
      <ns0:c r="N27" s="3"/>
      <ns0:c r="O27" s="3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 t="inlineStr">
        <ns0:is>
          <ns0:t>工程物资</ns0:t>
        </ns0:is>
      </ns0:c>
      <ns0:c r="B28" s="2"/>
      <ns0:c r="C28" s="3"/>
      <ns0:c r="D28" s="3"/>
      <ns0:c r="E28" s="3" t="inlineStr">
        <ns0:is>
          <ns0:t>递延税款贷项</ns0:t>
        </ns0:is>
      </ns0:c>
      <ns0:c r="F28" s="3"/>
      <ns0:c r="G28" s="3"/>
      <ns0:c r="H28" s="3"/>
      <ns0:c r="I28" s="3"/>
      <ns0:c r="J28" s="3"/>
      <ns0:c r="K28" s="3"/>
      <ns0:c r="L28" s="3"/>
      <ns0:c r="M28" s="3"/>
      <ns0:c r="N28" s="3"/>
      <ns0:c r="O28" s="3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 t="inlineStr">
        <ns0:is>
          <ns0:t>在建工程</ns0:t>
        </ns0:is>
      </ns0:c>
      <ns0:c r="B29" s="2"/>
      <ns0:c r="C29" s="3"/>
      <ns0:c r="D29" s="3"/>
      <ns0:c r="E29" s="3" t="inlineStr">
        <ns0:is>
          <ns0:t>负债合计</ns0:t>
        </ns0:is>
      </ns0:c>
      <ns0:c r="F29" s="3"/>
      <ns0:c r="G29" s="3">
        <ns0:f>N64</ns0:f>
        <ns0:v>0</ns0:v>
      </ns0:c>
      <ns0:c r="H29" s="3"/>
      <ns0:c r="I29" s="3"/>
      <ns0:c r="J29" s="3"/>
      <ns0:c r="K29" s="3"/>
      <ns0:c r="L29" s="3"/>
      <ns0:c r="M29" s="3"/>
      <ns0:c r="N29" s="3"/>
      <ns0:c r="O29" s="3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 t="inlineStr">
        <ns0:is>
          <ns0:t>固定资产清理</ns0:t>
        </ns0:is>
      </ns0:c>
      <ns0:c r="B30" s="5"/>
      <ns0:c r="C30" s="6"/>
      <ns0:c r="D30" s="6"/>
      <ns0:c r="E30" s="6"/>
      <ns0:c r="F30" s="6"/>
      <ns0:c r="G30" s="6"/>
      <ns0:c r="H30" s="6"/>
      <ns0:c r="I30" s="6"/>
      <ns0:c r="J30" s="6"/>
      <ns0:c r="K30" s="6"/>
      <ns0:c r="L30" s="6"/>
      <ns0:c r="M30" s="6"/>
      <ns0:c r="N30" s="6"/>
      <ns0:c r="O30" s="6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 t="inlineStr">
        <ns0:is>
          <ns0:t>固定资产合计</ns0:t>
        </ns0:is>
      </ns0:c>
      <ns0:c r="B31" s="2"/>
      <ns0:c r="C31" s="3"/>
      <ns0:c r="D31" s="3"/>
      <ns0:c r="E31" s="3" t="inlineStr">
        <ns0:is>
          <ns0:t>所有者权益(或股东权益)：</ns0:t>
        </ns0:is>
      </ns0:c>
      <ns0:c r="F31" s="3"/>
      <ns0:c r="G31" s="3"/>
      <ns0:c r="H31" s="3"/>
      <ns0:c r="I31" s="3"/>
      <ns0:c r="J31" s="3"/>
      <ns0:c r="K31" s="3"/>
      <ns0:c r="L31" s="3"/>
      <ns0:c r="M31" s="3"/>
      <ns0:c r="N31" s="3"/>
      <ns0:c r="O31" s="3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 t="inlineStr">
        <ns0:is>
          <ns0:t>无形资产及其他资产：</ns0:t>
        </ns0:is>
      </ns0:c>
      <ns0:c r="B32" s="2"/>
      <ns0:c r="C32" s="3"/>
      <ns0:c r="D32" s="3"/>
      <ns0:c r="E32" s="3" t="inlineStr">
        <ns0:is>
          <ns0:t>实收资本(或股本)</ns0:t>
        </ns0:is>
      </ns0:c>
      <ns0:c r="F32" s="3"/>
      <ns0:c r="G32" s="3">
        <ns0:f>N65</ns0:f>
        <ns0:v>260901.20</ns0:v>
      </ns0:c>
      <ns0:c r="H32" s="3"/>
      <ns0:c r="I32" s="3"/>
      <ns0:c r="J32" s="3"/>
      <ns0:c r="K32" s="3"/>
      <ns0:c r="L32" s="3"/>
      <ns0:c r="M32" s="3"/>
      <ns0:c r="N32" s="3"/>
      <ns0:c r="O32" s="3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 t="inlineStr">
        <ns0:is>
          <ns0:t>无形资产</ns0:t>
        </ns0:is>
      </ns0:c>
      <ns0:c r="B33" s="2"/>
      <ns0:c r="C33" s="3"/>
      <ns0:c r="D33" s="3"/>
      <ns0:c r="E33" s="3" t="inlineStr">
        <ns0:is>
          <ns0:t>减：已归还投资</ns0:t>
        </ns0:is>
      </ns0:c>
      <ns0:c r="F33" s="3"/>
      <ns0:c r="G33" s="3"/>
      <ns0:c r="H33" s="3"/>
      <ns0:c r="I33" s="3"/>
      <ns0:c r="J33" s="3"/>
      <ns0:c r="K33" s="3"/>
      <ns0:c r="L33" s="3"/>
      <ns0:c r="M33" s="3"/>
      <ns0:c r="N33" s="3"/>
      <ns0:c r="O33" s="3"/>
      <ns0:c r="P33" s="2"/>
      <ns0:c r="Q33" s="2"/>
      <ns0:c r="R33" s="2"/>
      <ns0:c r="S33" s="2"/>
      <ns0:c r="T33" s="2"/>
      <ns0:c r="U33" s="2"/>
      <ns0:c r="V33" s="2"/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 t="inlineStr">
        <ns0:is>
          <ns0:t>长期待摊费用</ns0:t>
        </ns0:is>
      </ns0:c>
      <ns0:c r="B34" s="2"/>
      <ns0:c r="C34" s="3">
        <ns0:f>N62</ns0:f>
        <ns0:v>85385.06</ns0:v>
      </ns0:c>
      <ns0:c r="D34" s="3"/>
      <ns0:c r="E34" s="3" t="inlineStr">
        <ns0:is>
          <ns0:t>实收资本(或股本)净额</ns0:t>
        </ns0:is>
      </ns0:c>
      <ns0:c r="F34" s="3"/>
      <ns0:c r="G34" s="3">
        <ns0:f>N65</ns0:f>
        <ns0:v>260901.20</ns0:v>
      </ns0:c>
      <ns0:c r="H34" s="3"/>
      <ns0:c r="I34" s="3"/>
      <ns0:c r="J34" s="3"/>
      <ns0:c r="K34" s="3"/>
      <ns0:c r="L34" s="3"/>
      <ns0:c r="M34" s="3"/>
      <ns0:c r="N34" s="3"/>
      <ns0:c r="O34" s="3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 t="inlineStr">
        <ns0:is>
          <ns0:t>其他长期资产</ns0:t>
        </ns0:is>
      </ns0:c>
      <ns0:c r="B35" s="2"/>
      <ns0:c r="C35" s="3"/>
      <ns0:c r="D35" s="3"/>
      <ns0:c r="E35" s="3" t="inlineStr">
        <ns0:is>
          <ns0:t>资本公积</ns0:t>
        </ns0:is>
      </ns0:c>
      <ns0:c r="F35" s="3"/>
      <ns0:c r="G35" s="3"/>
      <ns0:c r="H35" s="3"/>
      <ns0:c r="I35" s="3"/>
      <ns0:c r="J35" s="3"/>
      <ns0:c r="K35" s="3"/>
      <ns0:c r="L35" s="3"/>
      <ns0:c r="M35" s="3"/>
      <ns0:c r="N35" s="3"/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 t="inlineStr">
        <ns0:is>
          <ns0:t>无形资产及其他资产合计</ns0:t>
        </ns0:is>
      </ns0:c>
      <ns0:c r="B36" s="2"/>
      <ns0:c r="C36" s="3"/>
      <ns0:c r="D36" s="3"/>
      <ns0:c r="E36" s="3" t="inlineStr">
        <ns0:is>
          <ns0:t>盈余公积</ns0:t>
        </ns0:is>
      </ns0:c>
      <ns0:c r="F36" s="3"/>
      <ns0:c r="G36" s="3"/>
      <ns0:c r="H36" s="3"/>
      <ns0:c r="I36" s="3"/>
      <ns0:c r="J36" s="3"/>
      <ns0:c r="K36" s="3"/>
      <ns0:c r="L36" s="3"/>
      <ns0:c r="M36" s="3"/>
      <ns0:c r="N36" s="3"/>
      <ns0:c r="O36" s="3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/>
      <ns0:c r="C37" s="3"/>
      <ns0:c r="D37" s="3"/>
      <ns0:c r="E37" s="3" t="inlineStr">
        <ns0:is>
          <ns0:t>其中：法定公益金</ns0:t>
        </ns0:is>
      </ns0:c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 t="inlineStr">
        <ns0:is>
          <ns0:t>递延税款：</ns0:t>
        </ns0:is>
      </ns0:c>
      <ns0:c r="B38" s="2"/>
      <ns0:c r="C38" s="3"/>
      <ns0:c r="D38" s="3"/>
      <ns0:c r="E38" s="3" t="inlineStr">
        <ns0:is>
          <ns0:t>未分配利润</ns0:t>
        </ns0:is>
      </ns0:c>
      <ns0:c r="F38" s="3"/>
      <ns0:c r="G38" s="3">
        <ns0:f>N66</ns0:f>
        <ns0:v>2162631.72</ns0:v>
      </ns0:c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 t="inlineStr">
        <ns0:is>
          <ns0:t>递延税款借项</ns0:t>
        </ns0:is>
      </ns0:c>
      <ns0:c r="B39" s="2"/>
      <ns0:c r="C39" s="3"/>
      <ns0:c r="D39" s="3"/>
      <ns0:c r="E39" s="3" t="inlineStr">
        <ns0:is>
          <ns0:t>所有者权益(或股东权益)合计</ns0:t>
        </ns0:is>
      </ns0:c>
      <ns0:c r="F39" s="3"/>
      <ns0:c r="G39" s="3">
        <ns0:f>N67</ns0:f>
        <ns0:v>2423532.92</ns0:v>
      </ns0:c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 t="inlineStr">
        <ns0:is>
          <ns0:t>资产总计</ns0:t>
        </ns0:is>
      </ns0:c>
      <ns0:c r="B40" s="2"/>
      <ns0:c r="C40" s="3">
        <ns0:f>N63</ns0:f>
        <ns0:v>2423532.92</ns0:v>
      </ns0:c>
      <ns0:c r="D40" s="3"/>
      <ns0:c r="E40" s="3" t="inlineStr">
        <ns0:is>
          <ns0:t>负债和所有者权益(或股东权益)总计</ns0:t>
        </ns0:is>
      </ns0:c>
      <ns0:c r="F40" s="3"/>
      <ns0:c r="G40" s="3">
        <ns0:f>N68</ns0:f>
        <ns0:v>2423532.92</ns0:v>
      </ns0:c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 t="inlineStr">
        <ns0:is>
          <ns0:t>实时经营月度勾稽</ns0:t>
        </ns0:is>
      </ns0:c>
      <ns0:c r="C60" s="6" t="inlineStr">
        <ns0:is>
          <ns0:t>2027-01</ns0:t>
        </ns0:is>
      </ns0:c>
      <ns0:c r="D60" s="6" t="inlineStr">
        <ns0:is>
          <ns0:t>2027-02</ns0:t>
        </ns0:is>
      </ns0:c>
      <ns0:c r="E60" s="6" t="inlineStr">
        <ns0:is>
          <ns0:t>2027-03</ns0:t>
        </ns0:is>
      </ns0:c>
      <ns0:c r="F60" s="6" t="inlineStr">
        <ns0:is>
          <ns0:t>2027-04</ns0:t>
        </ns0:is>
      </ns0:c>
      <ns0:c r="G60" s="6" t="inlineStr">
        <ns0:is>
          <ns0:t>2027-05</ns0:t>
        </ns0:is>
      </ns0:c>
      <ns0:c r="H60" s="6" t="inlineStr">
        <ns0:is>
          <ns0:t>2027-06</ns0:t>
        </ns0:is>
      </ns0:c>
      <ns0:c r="I60" s="6" t="inlineStr">
        <ns0:is>
          <ns0:t>2027-07</ns0:t>
        </ns0:is>
      </ns0:c>
      <ns0:c r="J60" s="6" t="inlineStr">
        <ns0:is>
          <ns0:t>2027-08</ns0:t>
        </ns0:is>
      </ns0:c>
      <ns0:c r="K60" s="6" t="inlineStr">
        <ns0:is>
          <ns0:t>2027-09</ns0:t>
        </ns0:is>
      </ns0:c>
      <ns0:c r="L60" s="6" t="inlineStr">
        <ns0:is>
          <ns0:t>2027-10</ns0:t>
        </ns0:is>
      </ns0:c>
      <ns0:c r="M60" s="6" t="inlineStr">
        <ns0:is>
          <ns0:t>2027-11</ns0:t>
        </ns0:is>
      </ns0:c>
      <ns0:c r="N60" s="6" t="inlineStr">
        <ns0:is>
          <ns0:t>2027-12</ns0:t>
        </ns0:is>
      </ns0:c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 t="inlineStr">
        <ns0:is>
          <ns0:t>货币资金</ns0:t>
        </ns0:is>
      </ns0:c>
      <ns0:c r="C61" s="3">
        <ns0:f>'现金流量表'!C68</ns0:f>
        <ns0:v>349825.75</ns0:v>
      </ns0:c>
      <ns0:c r="D61" s="3">
        <ns0:f>'现金流量表'!D68</ns0:f>
        <ns0:v>565410.53</ns0:v>
      </ns0:c>
      <ns0:c r="E61" s="3">
        <ns0:f>'现金流量表'!E68</ns0:f>
        <ns0:v>743398.15</ns0:v>
      </ns0:c>
      <ns0:c r="F61" s="3">
        <ns0:f>'现金流量表'!F68</ns0:f>
        <ns0:v>859360.85</ns0:v>
      </ns0:c>
      <ns0:c r="G61" s="3">
        <ns0:f>'现金流量表'!G68</ns0:f>
        <ns0:v>1029734.94</ns0:v>
      </ns0:c>
      <ns0:c r="H61" s="3">
        <ns0:f>'现金流量表'!H68</ns0:f>
        <ns0:v>1208435.44</ns0:v>
      </ns0:c>
      <ns0:c r="I61" s="3">
        <ns0:f>'现金流量表'!I68</ns0:f>
        <ns0:v>1385749.18</ns0:v>
      </ns0:c>
      <ns0:c r="J61" s="3">
        <ns0:f>'现金流量表'!J68</ns0:f>
        <ns0:v>1641331.91</ns0:v>
      </ns0:c>
      <ns0:c r="K61" s="3">
        <ns0:f>'现金流量表'!K68</ns0:f>
        <ns0:v>1827741.20</ns0:v>
      </ns0:c>
      <ns0:c r="L61" s="3">
        <ns0:f>'现金流量表'!L68</ns0:f>
        <ns0:v>1975289.53</ns0:v>
      </ns0:c>
      <ns0:c r="M61" s="3">
        <ns0:f>'现金流量表'!M68</ns0:f>
        <ns0:v>2116496.76</ns0:v>
      </ns0:c>
      <ns0:c r="N61" s="3">
        <ns0:f>'现金流量表'!N68</ns0:f>
        <ns0:v>2338147.86</ns0:v>
      </ns0:c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 t="inlineStr">
        <ns0:is>
          <ns0:t>未摊销资产</ns0:t>
        </ns0:is>
      </ns0:c>
      <ns0:c r="C62" s="3">
        <ns0:f>'摊销明细'!$C$31-SUM('现金流量表'!$C62:C62)</ns0:f>
        <ns0:v>107747.84</ns0:v>
      </ns0:c>
      <ns0:c r="D62" s="3">
        <ns0:f>'摊销明细'!$C$31-SUM('现金流量表'!$C62:D62)</ns0:f>
        <ns0:v>105714.86</ns0:v>
      </ns0:c>
      <ns0:c r="E62" s="3">
        <ns0:f>'摊销明细'!$C$31-SUM('现金流量表'!$C62:E62)</ns0:f>
        <ns0:v>103681.88</ns0:v>
      </ns0:c>
      <ns0:c r="F62" s="3">
        <ns0:f>'摊销明细'!$C$31-SUM('现金流量表'!$C62:F62)</ns0:f>
        <ns0:v>101648.90</ns0:v>
      </ns0:c>
      <ns0:c r="G62" s="3">
        <ns0:f>'摊销明细'!$C$31-SUM('现金流量表'!$C62:G62)</ns0:f>
        <ns0:v>99615.92</ns0:v>
      </ns0:c>
      <ns0:c r="H62" s="3">
        <ns0:f>'摊销明细'!$C$31-SUM('现金流量表'!$C62:H62)</ns0:f>
        <ns0:v>97582.94</ns0:v>
      </ns0:c>
      <ns0:c r="I62" s="3">
        <ns0:f>'摊销明细'!$C$31-SUM('现金流量表'!$C62:I62)</ns0:f>
        <ns0:v>95549.96</ns0:v>
      </ns0:c>
      <ns0:c r="J62" s="3">
        <ns0:f>'摊销明细'!$C$31-SUM('现金流量表'!$C62:J62)</ns0:f>
        <ns0:v>93516.98</ns0:v>
      </ns0:c>
      <ns0:c r="K62" s="3">
        <ns0:f>'摊销明细'!$C$31-SUM('现金流量表'!$C62:K62)</ns0:f>
        <ns0:v>91484.00</ns0:v>
      </ns0:c>
      <ns0:c r="L62" s="3">
        <ns0:f>'摊销明细'!$C$31-SUM('现金流量表'!$C62:L62)</ns0:f>
        <ns0:v>89451.02</ns0:v>
      </ns0:c>
      <ns0:c r="M62" s="3">
        <ns0:f>'摊销明细'!$C$31-SUM('现金流量表'!$C62:M62)</ns0:f>
        <ns0:v>87418.04</ns0:v>
      </ns0:c>
      <ns0:c r="N62" s="3">
        <ns0:f>'摊销明细'!$C$31-SUM('现金流量表'!$C62:N62)</ns0:f>
        <ns0:v>85385.06</ns0:v>
      </ns0:c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 t="inlineStr">
        <ns0:is>
          <ns0:t>资产总额</ns0:t>
        </ns0:is>
      </ns0:c>
      <ns0:c r="C63" s="3">
        <ns0:f>SUM(C61:C62)</ns0:f>
        <ns0:v>457573.59</ns0:v>
      </ns0:c>
      <ns0:c r="D63" s="3">
        <ns0:f>SUM(D61:D62)</ns0:f>
        <ns0:v>671125.39</ns0:v>
      </ns0:c>
      <ns0:c r="E63" s="3">
        <ns0:f>SUM(E61:E62)</ns0:f>
        <ns0:v>847080.03</ns0:v>
      </ns0:c>
      <ns0:c r="F63" s="3">
        <ns0:f>SUM(F61:F62)</ns0:f>
        <ns0:v>961009.75</ns0:v>
      </ns0:c>
      <ns0:c r="G63" s="3">
        <ns0:f>SUM(G61:G62)</ns0:f>
        <ns0:v>1129350.86</ns0:v>
      </ns0:c>
      <ns0:c r="H63" s="3">
        <ns0:f>SUM(H61:H62)</ns0:f>
        <ns0:v>1306018.38</ns0:v>
      </ns0:c>
      <ns0:c r="I63" s="3">
        <ns0:f>SUM(I61:I62)</ns0:f>
        <ns0:v>1481299.14</ns0:v>
      </ns0:c>
      <ns0:c r="J63" s="3">
        <ns0:f>SUM(J61:J62)</ns0:f>
        <ns0:v>1734848.89</ns0:v>
      </ns0:c>
      <ns0:c r="K63" s="3">
        <ns0:f>SUM(K61:K62)</ns0:f>
        <ns0:v>1919225.20</ns0:v>
      </ns0:c>
      <ns0:c r="L63" s="3">
        <ns0:f>SUM(L61:L62)</ns0:f>
        <ns0:v>2064740.55</ns0:v>
      </ns0:c>
      <ns0:c r="M63" s="3">
        <ns0:f>SUM(M61:M62)</ns0:f>
        <ns0:v>2203914.80</ns0:v>
      </ns0:c>
      <ns0:c r="N63" s="3">
        <ns0:f>SUM(N61:N62)</ns0:f>
        <ns0:v>2423532.92</ns0:v>
      </ns0:c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 t="inlineStr">
        <ns0:is>
          <ns0:t>负债总额</ns0:t>
        </ns0:is>
      </ns0:c>
      <ns0:c r="C64" s="3">
        <ns0:f>0</ns0:f>
        <ns0:v>0</ns0:v>
      </ns0:c>
      <ns0:c r="D64" s="3">
        <ns0:f>0</ns0:f>
        <ns0:v>0</ns0:v>
      </ns0:c>
      <ns0:c r="E64" s="3">
        <ns0:f>0</ns0:f>
        <ns0:v>0</ns0:v>
      </ns0:c>
      <ns0:c r="F64" s="3">
        <ns0:f>0</ns0:f>
        <ns0:v>0</ns0:v>
      </ns0:c>
      <ns0:c r="G64" s="3">
        <ns0:f>0</ns0:f>
        <ns0:v>0</ns0:v>
      </ns0:c>
      <ns0:c r="H64" s="3">
        <ns0:f>0</ns0:f>
        <ns0:v>0</ns0:v>
      </ns0:c>
      <ns0:c r="I64" s="3">
        <ns0:f>0</ns0:f>
        <ns0:v>0</ns0:v>
      </ns0:c>
      <ns0:c r="J64" s="3">
        <ns0:f>0</ns0:f>
        <ns0:v>0</ns0:v>
      </ns0:c>
      <ns0:c r="K64" s="3">
        <ns0:f>0</ns0:f>
        <ns0:v>0</ns0:v>
      </ns0:c>
      <ns0:c r="L64" s="3">
        <ns0:f>0</ns0:f>
        <ns0:v>0</ns0:v>
      </ns0:c>
      <ns0:c r="M64" s="3">
        <ns0:f>0</ns0:f>
        <ns0:v>0</ns0:v>
      </ns0:c>
      <ns0:c r="N64" s="3">
        <ns0:f>0</ns0:f>
        <ns0:v>0</ns0:v>
      </ns0:c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 t="inlineStr">
        <ns0:is>
          <ns0:t>实收资本</ns0:t>
        </ns0:is>
      </ns0:c>
      <ns0:c r="C65" s="3">
        <ns0:f>$C$200+'摊销明细'!$C$31</ns0:f>
        <ns0:v>260901.20</ns0:v>
      </ns0:c>
      <ns0:c r="D65" s="3">
        <ns0:f>$C$200+'摊销明细'!$C$31</ns0:f>
        <ns0:v>260901.20</ns0:v>
      </ns0:c>
      <ns0:c r="E65" s="3">
        <ns0:f>$C$200+'摊销明细'!$C$31</ns0:f>
        <ns0:v>260901.20</ns0:v>
      </ns0:c>
      <ns0:c r="F65" s="3">
        <ns0:f>$C$200+'摊销明细'!$C$31</ns0:f>
        <ns0:v>260901.20</ns0:v>
      </ns0:c>
      <ns0:c r="G65" s="3">
        <ns0:f>$C$200+'摊销明细'!$C$31</ns0:f>
        <ns0:v>260901.20</ns0:v>
      </ns0:c>
      <ns0:c r="H65" s="3">
        <ns0:f>$C$200+'摊销明细'!$C$31</ns0:f>
        <ns0:v>260901.20</ns0:v>
      </ns0:c>
      <ns0:c r="I65" s="3">
        <ns0:f>$C$200+'摊销明细'!$C$31</ns0:f>
        <ns0:v>260901.20</ns0:v>
      </ns0:c>
      <ns0:c r="J65" s="3">
        <ns0:f>$C$200+'摊销明细'!$C$31</ns0:f>
        <ns0:v>260901.20</ns0:v>
      </ns0:c>
      <ns0:c r="K65" s="3">
        <ns0:f>$C$200+'摊销明细'!$C$31</ns0:f>
        <ns0:v>260901.20</ns0:v>
      </ns0:c>
      <ns0:c r="L65" s="3">
        <ns0:f>$C$200+'摊销明细'!$C$31</ns0:f>
        <ns0:v>260901.20</ns0:v>
      </ns0:c>
      <ns0:c r="M65" s="3">
        <ns0:f>$C$200+'摊销明细'!$C$31</ns0:f>
        <ns0:v>260901.20</ns0:v>
      </ns0:c>
      <ns0:c r="N65" s="3">
        <ns0:f>$C$200+'摊销明细'!$C$31</ns0:f>
        <ns0:v>260901.20</ns0:v>
      </ns0:c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 t="inlineStr">
        <ns0:is>
          <ns0:t>累计未分配利润</ns0:t>
        </ns0:is>
      </ns0:c>
      <ns0:c r="C66" s="3">
        <ns0:f>SUM('利润表'!$C69:C69)</ns0:f>
        <ns0:v>196672.39</ns0:v>
      </ns0:c>
      <ns0:c r="D66" s="3">
        <ns0:f>SUM('利润表'!$C69:D69)</ns0:f>
        <ns0:v>410224.19</ns0:v>
      </ns0:c>
      <ns0:c r="E66" s="3">
        <ns0:f>SUM('利润表'!$C69:E69)</ns0:f>
        <ns0:v>586178.83</ns0:v>
      </ns0:c>
      <ns0:c r="F66" s="3">
        <ns0:f>SUM('利润表'!$C69:F69)</ns0:f>
        <ns0:v>700108.55</ns0:v>
      </ns0:c>
      <ns0:c r="G66" s="3">
        <ns0:f>SUM('利润表'!$C69:G69)</ns0:f>
        <ns0:v>868449.66</ns0:v>
      </ns0:c>
      <ns0:c r="H66" s="3">
        <ns0:f>SUM('利润表'!$C69:H69)</ns0:f>
        <ns0:v>1045117.18</ns0:v>
      </ns0:c>
      <ns0:c r="I66" s="3">
        <ns0:f>SUM('利润表'!$C69:I69)</ns0:f>
        <ns0:v>1220397.94</ns0:v>
      </ns0:c>
      <ns0:c r="J66" s="3">
        <ns0:f>SUM('利润表'!$C69:J69)</ns0:f>
        <ns0:v>1473947.69</ns0:v>
      </ns0:c>
      <ns0:c r="K66" s="3">
        <ns0:f>SUM('利润表'!$C69:K69)</ns0:f>
        <ns0:v>1658324.00</ns0:v>
      </ns0:c>
      <ns0:c r="L66" s="3">
        <ns0:f>SUM('利润表'!$C69:L69)</ns0:f>
        <ns0:v>1803839.35</ns0:v>
      </ns0:c>
      <ns0:c r="M66" s="3">
        <ns0:f>SUM('利润表'!$C69:M69)</ns0:f>
        <ns0:v>1943013.60</ns0:v>
      </ns0:c>
      <ns0:c r="N66" s="3">
        <ns0:f>SUM('利润表'!$C69:N69)</ns0:f>
        <ns0:v>2162631.72</ns0:v>
      </ns0:c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 t="inlineStr">
        <ns0:is>
          <ns0:t>所有者权益</ns0:t>
        </ns0:is>
      </ns0:c>
      <ns0:c r="C67" s="3">
        <ns0:f>SUM(C65:C66)</ns0:f>
        <ns0:v>457573.59</ns0:v>
      </ns0:c>
      <ns0:c r="D67" s="3">
        <ns0:f>SUM(D65:D66)</ns0:f>
        <ns0:v>671125.39</ns0:v>
      </ns0:c>
      <ns0:c r="E67" s="3">
        <ns0:f>SUM(E65:E66)</ns0:f>
        <ns0:v>847080.03</ns0:v>
      </ns0:c>
      <ns0:c r="F67" s="3">
        <ns0:f>SUM(F65:F66)</ns0:f>
        <ns0:v>961009.75</ns0:v>
      </ns0:c>
      <ns0:c r="G67" s="3">
        <ns0:f>SUM(G65:G66)</ns0:f>
        <ns0:v>1129350.86</ns0:v>
      </ns0:c>
      <ns0:c r="H67" s="3">
        <ns0:f>SUM(H65:H66)</ns0:f>
        <ns0:v>1306018.38</ns0:v>
      </ns0:c>
      <ns0:c r="I67" s="3">
        <ns0:f>SUM(I65:I66)</ns0:f>
        <ns0:v>1481299.14</ns0:v>
      </ns0:c>
      <ns0:c r="J67" s="3">
        <ns0:f>SUM(J65:J66)</ns0:f>
        <ns0:v>1734848.89</ns0:v>
      </ns0:c>
      <ns0:c r="K67" s="3">
        <ns0:f>SUM(K65:K66)</ns0:f>
        <ns0:v>1919225.20</ns0:v>
      </ns0:c>
      <ns0:c r="L67" s="3">
        <ns0:f>SUM(L65:L66)</ns0:f>
        <ns0:v>2064740.55</ns0:v>
      </ns0:c>
      <ns0:c r="M67" s="3">
        <ns0:f>SUM(M65:M66)</ns0:f>
        <ns0:v>2203914.80</ns0:v>
      </ns0:c>
      <ns0:c r="N67" s="3">
        <ns0:f>SUM(N65:N66)</ns0:f>
        <ns0:v>2423532.92</ns0:v>
      </ns0:c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 t="inlineStr">
        <ns0:is>
          <ns0:t>负债及权益合计</ns0:t>
        </ns0:is>
      </ns0:c>
      <ns0:c r="C68" s="3">
        <ns0:f>SUM(C64,C67)</ns0:f>
        <ns0:v>457573.59</ns0:v>
      </ns0:c>
      <ns0:c r="D68" s="3">
        <ns0:f>SUM(D64,D67)</ns0:f>
        <ns0:v>671125.39</ns0:v>
      </ns0:c>
      <ns0:c r="E68" s="3">
        <ns0:f>SUM(E64,E67)</ns0:f>
        <ns0:v>847080.03</ns0:v>
      </ns0:c>
      <ns0:c r="F68" s="3">
        <ns0:f>SUM(F64,F67)</ns0:f>
        <ns0:v>961009.75</ns0:v>
      </ns0:c>
      <ns0:c r="G68" s="3">
        <ns0:f>SUM(G64,G67)</ns0:f>
        <ns0:v>1129350.86</ns0:v>
      </ns0:c>
      <ns0:c r="H68" s="3">
        <ns0:f>SUM(H64,H67)</ns0:f>
        <ns0:v>1306018.38</ns0:v>
      </ns0:c>
      <ns0:c r="I68" s="3">
        <ns0:f>SUM(I64,I67)</ns0:f>
        <ns0:v>1481299.14</ns0:v>
      </ns0:c>
      <ns0:c r="J68" s="3">
        <ns0:f>SUM(J64,J67)</ns0:f>
        <ns0:v>1734848.89</ns0:v>
      </ns0:c>
      <ns0:c r="K68" s="3">
        <ns0:f>SUM(K64,K67)</ns0:f>
        <ns0:v>1919225.20</ns0:v>
      </ns0:c>
      <ns0:c r="L68" s="3">
        <ns0:f>SUM(L64,L67)</ns0:f>
        <ns0:v>2064740.55</ns0:v>
      </ns0:c>
      <ns0:c r="M68" s="3">
        <ns0:f>SUM(M64,M67)</ns0:f>
        <ns0:v>2203914.80</ns0:v>
      </ns0:c>
      <ns0:c r="N68" s="3">
        <ns0:f>SUM(N64,N67)</ns0:f>
        <ns0:v>2423532.92</ns0:v>
      </ns0:c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 t="inlineStr">
        <ns0:is>
          <ns0:t>期初现金（投入资本）</ns0:t>
        </ns0:is>
      </ns0:c>
      <ns0:c r="C200" s="4">
        <ns0:v>151120.38</ns0:v>
      </ns0:c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A1:H1"/>
  </ns0:mergeCells>
  <ns0:pageMargins left="0.7" right="0.7" top="0.75" bottom="0.75" header="0.3" footer="0.3"/>
</ns0:worksheet>
</file>

<file path=xl/worksheets/sheet3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44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20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 t="inlineStr">
        <ns0:is>
          <ns0:t>现金流量表</ns0:t>
        </ns0:is>
      </ns0:c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2" t="inlineStr">
        <ns0:is>
          <ns0:t>项      目</ns0:t>
        </ns0:is>
      </ns0:c>
      <ns0:c r="B2" s="2" t="inlineStr">
        <ns0:is>
          <ns0:t>行次</ns0:t>
        </ns0:is>
      </ns0:c>
      <ns0:c r="C2" s="3"/>
      <ns0:c r="D2" s="3"/>
      <ns0:c r="E2" s="3"/>
      <ns0:c r="F2" s="3"/>
      <ns0:c r="G2" s="3"/>
      <ns0:c r="H2" s="3"/>
      <ns0:c r="I2" s="3"/>
      <ns0:c r="J2" s="3"/>
      <ns0:c r="K2" s="3"/>
      <ns0:c r="L2" s="3"/>
      <ns0:c r="M2" s="3"/>
      <ns0:c r="N2" s="3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E-5f17fa2948</ns0:t>
        </ns0:is>
      </ns0:c>
    </ns0:row>
    <ns0:row r="3" ht="20" customHeight="1">
      <ns0:c r="A3" s="2" t="inlineStr">
        <ns0:is>
          <ns0:t>一、经营活动产生的现金流量：</ns0:t>
        </ns0:is>
      </ns0:c>
      <ns0:c r="B3" s="2"/>
      <ns0:c r="C3" s="6" t="inlineStr">
        <ns0:is>
          <ns0:t>全年实时经营</ns0:t>
        </ns0:is>
      </ns0:c>
      <ns0:c r="D3" s="6" t="inlineStr">
        <ns0:is>
          <ns0:t>非本次输入</ns0:t>
        </ns0:is>
      </ns0:c>
      <ns0:c r="E3" s="6"/>
      <ns0:c r="F3" s="6"/>
      <ns0:c r="G3" s="6"/>
      <ns0:c r="H3" s="6"/>
      <ns0:c r="I3" s="6"/>
      <ns0:c r="J3" s="6"/>
      <ns0:c r="K3" s="6"/>
      <ns0:c r="L3" s="6"/>
      <ns0:c r="M3" s="6"/>
      <ns0:c r="N3" s="6"/>
      <ns0:c r="O3" s="6"/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主体乙</ns0:t>
        </ns0:is>
      </ns0:c>
    </ns0:row>
    <ns0:row r="4" ht="20" customHeight="1">
      <ns0:c r="A4" s="2" t="inlineStr">
        <ns0:is>
          <ns0:t>销售商品、提供劳务收到的现金</ns0:t>
        </ns0:is>
      </ns0:c>
      <ns0:c r="B4" s="2"/>
      <ns0:c r="C4" s="3"/>
      <ns0:c r="D4" s="3"/>
      <ns0:c r="E4" s="3"/>
      <ns0:c r="F4" s="3"/>
      <ns0:c r="G4" s="3"/>
      <ns0:c r="H4" s="3"/>
      <ns0:c r="I4" s="3"/>
      <ns0:c r="J4" s="3"/>
      <ns0:c r="K4" s="3"/>
      <ns0:c r="L4" s="3"/>
      <ns0:c r="M4" s="3"/>
      <ns0:c r="N4" s="3"/>
      <ns0:c r="O4" s="3"/>
      <ns0:c r="P4" s="2"/>
      <ns0:c r="Q4" s="2"/>
      <ns0:c r="R4" s="2"/>
      <ns0:c r="S4" s="2"/>
      <ns0:c r="T4" s="2"/>
      <ns0:c r="U4" s="2"/>
      <ns0:c r="V4" s="2"/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S-03e3bfa6bf</ns0:t>
        </ns0:is>
      </ns0:c>
    </ns0:row>
    <ns0:row r="5" ht="20" customHeight="1">
      <ns0:c r="A5" s="2" t="inlineStr">
        <ns0:is>
          <ns0:t>收到的税费返还</ns0:t>
        </ns0:is>
      </ns0:c>
      <ns0:c r="B5" s="2"/>
      <ns0:c r="C5" s="3"/>
      <ns0:c r="D5" s="3"/>
      <ns0:c r="E5" s="3"/>
      <ns0:c r="F5" s="3"/>
      <ns0:c r="G5" s="3"/>
      <ns0:c r="H5" s="3"/>
      <ns0:c r="I5" s="3"/>
      <ns0:c r="J5" s="3"/>
      <ns0:c r="K5" s="3"/>
      <ns0:c r="L5" s="3"/>
      <ns0:c r="M5" s="3"/>
      <ns0:c r="N5" s="3"/>
      <ns0:c r="O5" s="3"/>
      <ns0:c r="P5" s="2"/>
      <ns0:c r="Q5" s="2"/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扩展情景</ns0:t>
        </ns0:is>
      </ns0:c>
    </ns0:row>
    <ns0:row r="6" ht="20" customHeight="1">
      <ns0:c r="A6" s="2" t="inlineStr">
        <ns0:is>
          <ns0:t>收到其他与经营活动有关的现金</ns0:t>
        </ns0:is>
      </ns0:c>
      <ns0:c r="B6" s="2"/>
      <ns0:c r="C6" s="3"/>
      <ns0:c r="D6" s="3"/>
      <ns0:c r="E6" s="3"/>
      <ns0:c r="F6" s="3"/>
      <ns0:c r="G6" s="3"/>
      <ns0:c r="H6" s="3"/>
      <ns0:c r="I6" s="3"/>
      <ns0:c r="J6" s="3"/>
      <ns0:c r="K6" s="3"/>
      <ns0:c r="L6" s="3"/>
      <ns0:c r="M6" s="3"/>
      <ns0:c r="N6" s="3"/>
      <ns0:c r="O6" s="3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2" t="inlineStr">
        <ns0:is>
          <ns0:t>经营活动现金流入小计</ns0:t>
        </ns0:is>
      </ns0:c>
      <ns0:c r="B7" s="2"/>
      <ns0:c r="C7" s="3"/>
      <ns0:c r="D7" s="3"/>
      <ns0:c r="E7" s="3"/>
      <ns0:c r="F7" s="3"/>
      <ns0:c r="G7" s="3"/>
      <ns0:c r="H7" s="3"/>
      <ns0:c r="I7" s="3"/>
      <ns0:c r="J7" s="3"/>
      <ns0:c r="K7" s="3"/>
      <ns0:c r="L7" s="3"/>
      <ns0:c r="M7" s="3"/>
      <ns0:c r="N7" s="3"/>
      <ns0:c r="O7" s="3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季度</ns0:t>
        </ns0:is>
      </ns0:c>
    </ns0:row>
    <ns0:row r="8" ht="20" customHeight="1">
      <ns0:c r="A8" s="2" t="inlineStr">
        <ns0:is>
          <ns0:t>购买商品、接受劳务支付的现金（04）</ns0:t>
        </ns0:is>
      </ns0:c>
      <ns0:c r="B8" s="2"/>
      <ns0:c r="C8" s="3"/>
      <ns0:c r="D8" s="3"/>
      <ns0:c r="E8" s="3"/>
      <ns0:c r="F8" s="3"/>
      <ns0:c r="G8" s="3"/>
      <ns0:c r="H8" s="3"/>
      <ns0:c r="I8" s="3"/>
      <ns0:c r="J8" s="3"/>
      <ns0:c r="K8" s="3"/>
      <ns0:c r="L8" s="3"/>
      <ns0:c r="M8" s="3"/>
      <ns0:c r="N8" s="3"/>
      <ns0:c r="O8" s="3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2" t="inlineStr">
        <ns0:is>
          <ns0:t>支付给职工以及为职工支付的现金（05）</ns0:t>
        </ns0:is>
      </ns0:c>
      <ns0:c r="B9" s="2"/>
      <ns0:c r="C9" s="3"/>
      <ns0:c r="D9" s="3"/>
      <ns0:c r="E9" s="3"/>
      <ns0:c r="F9" s="3"/>
      <ns0:c r="G9" s="3"/>
      <ns0:c r="H9" s="3"/>
      <ns0:c r="I9" s="3"/>
      <ns0:c r="J9" s="3"/>
      <ns0:c r="K9" s="3"/>
      <ns0:c r="L9" s="3"/>
      <ns0:c r="M9" s="3"/>
      <ns0:c r="N9" s="3"/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2" t="inlineStr">
        <ns0:is>
          <ns0:t>支付的各项税费（06）</ns0:t>
        </ns0:is>
      </ns0:c>
      <ns0:c r="B10" s="2"/>
      <ns0:c r="C10" s="3"/>
      <ns0:c r="D10" s="3"/>
      <ns0:c r="E10" s="3"/>
      <ns0:c r="F10" s="3"/>
      <ns0:c r="G10" s="3"/>
      <ns0:c r="H10" s="3"/>
      <ns0:c r="I10" s="3"/>
      <ns0:c r="J10" s="3"/>
      <ns0:c r="K10" s="3"/>
      <ns0:c r="L10" s="3"/>
      <ns0:c r="M10" s="3"/>
      <ns0:c r="N10" s="3"/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2" t="inlineStr">
        <ns0:is>
          <ns0:t>支付其他与经营活动有关的现金（07）</ns0:t>
        </ns0:is>
      </ns0:c>
      <ns0:c r="B11" s="2"/>
      <ns0:c r="C11" s="3"/>
      <ns0:c r="D11" s="3"/>
      <ns0:c r="E11" s="3"/>
      <ns0:c r="F11" s="3"/>
      <ns0:c r="G11" s="3"/>
      <ns0:c r="H11" s="3"/>
      <ns0:c r="I11" s="3"/>
      <ns0:c r="J11" s="3"/>
      <ns0:c r="K11" s="3"/>
      <ns0:c r="L11" s="3"/>
      <ns0:c r="M11" s="3"/>
      <ns0:c r="N11" s="3"/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2" t="inlineStr">
        <ns0:is>
          <ns0:t>经营活动现金流出小计</ns0:t>
        </ns0:is>
      </ns0:c>
      <ns0:c r="B12" s="2"/>
      <ns0:c r="C12" s="3"/>
      <ns0:c r="D12" s="3"/>
      <ns0:c r="E12" s="3"/>
      <ns0:c r="F12" s="3"/>
      <ns0:c r="G12" s="3"/>
      <ns0:c r="H12" s="3"/>
      <ns0:c r="I12" s="3"/>
      <ns0:c r="J12" s="3"/>
      <ns0:c r="K12" s="3"/>
      <ns0:c r="L12" s="3"/>
      <ns0:c r="M12" s="3"/>
      <ns0:c r="N12" s="3"/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2" t="inlineStr">
        <ns0:is>
          <ns0:t>经营活动产生的现金流量净额</ns0:t>
        </ns0:is>
      </ns0:c>
      <ns0:c r="B13" s="2"/>
      <ns0:c r="C13" s="3">
        <ns0:f>SUM(C63:N63)</ns0:f>
        <ns0:v>2187027.48</ns0:v>
      </ns0:c>
      <ns0:c r="D13" s="3"/>
      <ns0:c r="E13" s="3"/>
      <ns0:c r="F13" s="3"/>
      <ns0:c r="G13" s="3"/>
      <ns0:c r="H13" s="3"/>
      <ns0:c r="I13" s="3"/>
      <ns0:c r="J13" s="3"/>
      <ns0:c r="K13" s="3"/>
      <ns0:c r="L13" s="3"/>
      <ns0:c r="M13" s="3"/>
      <ns0:c r="N13" s="3"/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2" t="inlineStr">
        <ns0:is>
          <ns0:t>二、投资活动产生的现金流量：</ns0:t>
        </ns0:is>
      </ns0:c>
      <ns0:c r="B14" s="2"/>
      <ns0:c r="C14" s="3"/>
      <ns0:c r="D14" s="3"/>
      <ns0:c r="E14" s="3"/>
      <ns0:c r="F14" s="3"/>
      <ns0:c r="G14" s="3"/>
      <ns0:c r="H14" s="3"/>
      <ns0:c r="I14" s="3"/>
      <ns0:c r="J14" s="3"/>
      <ns0:c r="K14" s="3"/>
      <ns0:c r="L14" s="3"/>
      <ns0:c r="M14" s="3"/>
      <ns0:c r="N14" s="3"/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2" t="inlineStr">
        <ns0:is>
          <ns0:t>收回投资收到的现金</ns0:t>
        </ns0:is>
      </ns0:c>
      <ns0:c r="B15" s="2"/>
      <ns0:c r="C15" s="3"/>
      <ns0:c r="D15" s="3"/>
      <ns0:c r="E15" s="3"/>
      <ns0:c r="F15" s="3"/>
      <ns0:c r="G15" s="3"/>
      <ns0:c r="H15" s="3"/>
      <ns0:c r="I15" s="3"/>
      <ns0:c r="J15" s="3"/>
      <ns0:c r="K15" s="3"/>
      <ns0:c r="L15" s="3"/>
      <ns0:c r="M15" s="3"/>
      <ns0:c r="N15" s="3"/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2" t="inlineStr">
        <ns0:is>
          <ns0:t>取得投资收益收到的现金</ns0:t>
        </ns0:is>
      </ns0:c>
      <ns0:c r="B16" s="2"/>
      <ns0:c r="C16" s="3"/>
      <ns0:c r="D16" s="3"/>
      <ns0:c r="E16" s="3"/>
      <ns0:c r="F16" s="3"/>
      <ns0:c r="G16" s="3"/>
      <ns0:c r="H16" s="3"/>
      <ns0:c r="I16" s="3"/>
      <ns0:c r="J16" s="3"/>
      <ns0:c r="K16" s="3"/>
      <ns0:c r="L16" s="3"/>
      <ns0:c r="M16" s="3"/>
      <ns0:c r="N16" s="3"/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实时经营</ns0:t>
        </ns0:is>
      </ns0:c>
    </ns0:row>
    <ns0:row r="17" ht="20" customHeight="1">
      <ns0:c r="A17" s="2" t="inlineStr">
        <ns0:is>
          <ns0:t>处置固定资产、无形资产和其他长期资产收回的现金净额</ns0:t>
        </ns0:is>
      </ns0:c>
      <ns0:c r="B17" s="2"/>
      <ns0:c r="C17" s="3"/>
      <ns0:c r="D17" s="3"/>
      <ns0:c r="E17" s="3"/>
      <ns0:c r="F17" s="3"/>
      <ns0:c r="G17" s="3"/>
      <ns0:c r="H17" s="3"/>
      <ns0:c r="I17" s="3"/>
      <ns0:c r="J17" s="3"/>
      <ns0:c r="K17" s="3"/>
      <ns0:c r="L17" s="3"/>
      <ns0:c r="M17" s="3"/>
      <ns0:c r="N17" s="3"/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蓝色为实时经营输入参数；示例数值为占位；金额单位：元</ns0:t>
        </ns0:is>
      </ns0:c>
    </ns0:row>
    <ns0:row r="18" ht="20" customHeight="1">
      <ns0:c r="A18" s="2" t="inlineStr">
        <ns0:is>
          <ns0:t>处置子公司及其他营业单位收到的现金净额</ns0:t>
        </ns0:is>
      </ns0:c>
      <ns0:c r="B18" s="2"/>
      <ns0:c r="C18" s="3"/>
      <ns0:c r="D18" s="3"/>
      <ns0:c r="E18" s="3"/>
      <ns0:c r="F18" s="3"/>
      <ns0:c r="G18" s="3"/>
      <ns0:c r="H18" s="3"/>
      <ns0:c r="I18" s="3"/>
      <ns0:c r="J18" s="3"/>
      <ns0:c r="K18" s="3"/>
      <ns0:c r="L18" s="3"/>
      <ns0:c r="M18" s="3"/>
      <ns0:c r="N18" s="3"/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2" t="inlineStr">
        <ns0:is>
          <ns0:t>收到其他与投资活动有关的现金</ns0:t>
        </ns0:is>
      </ns0:c>
      <ns0:c r="B19" s="2"/>
      <ns0:c r="C19" s="3"/>
      <ns0:c r="D19" s="3"/>
      <ns0:c r="E19" s="3"/>
      <ns0:c r="F19" s="3"/>
      <ns0:c r="G19" s="3"/>
      <ns0:c r="H19" s="3"/>
      <ns0:c r="I19" s="3"/>
      <ns0:c r="J19" s="3"/>
      <ns0:c r="K19" s="3"/>
      <ns0:c r="L19" s="3"/>
      <ns0:c r="M19" s="3"/>
      <ns0:c r="N19" s="3"/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2" t="inlineStr">
        <ns0:is>
          <ns0:t>投资活动现金流入小计</ns0:t>
        </ns0:is>
      </ns0:c>
      <ns0:c r="B20" s="2"/>
      <ns0:c r="C20" s="3"/>
      <ns0:c r="D20" s="3"/>
      <ns0:c r="E20" s="3"/>
      <ns0:c r="F20" s="3"/>
      <ns0:c r="G20" s="3"/>
      <ns0:c r="H20" s="3"/>
      <ns0:c r="I20" s="3"/>
      <ns0:c r="J20" s="3"/>
      <ns0:c r="K20" s="3"/>
      <ns0:c r="L20" s="3"/>
      <ns0:c r="M20" s="3"/>
      <ns0:c r="N20" s="3"/>
      <ns0:c r="O20" s="3"/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2" t="inlineStr">
        <ns0:is>
          <ns0:t>购建固定资产、无形资产和其他长期资产支付的现金（13）</ns0:t>
        </ns0:is>
      </ns0:c>
      <ns0:c r="B21" s="2"/>
      <ns0:c r="C21" s="3"/>
      <ns0:c r="D21" s="3"/>
      <ns0:c r="E21" s="3"/>
      <ns0:c r="F21" s="3"/>
      <ns0:c r="G21" s="3"/>
      <ns0:c r="H21" s="3"/>
      <ns0:c r="I21" s="3"/>
      <ns0:c r="J21" s="3"/>
      <ns0:c r="K21" s="3"/>
      <ns0:c r="L21" s="3"/>
      <ns0:c r="M21" s="3"/>
      <ns0:c r="N21" s="3"/>
      <ns0:c r="O21" s="3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2" t="inlineStr">
        <ns0:is>
          <ns0:t>投资支付的现金（14）</ns0:t>
        </ns0:is>
      </ns0:c>
      <ns0:c r="B22" s="2"/>
      <ns0:c r="C22" s="3"/>
      <ns0:c r="D22" s="3"/>
      <ns0:c r="E22" s="3"/>
      <ns0:c r="F22" s="3"/>
      <ns0:c r="G22" s="3"/>
      <ns0:c r="H22" s="3"/>
      <ns0:c r="I22" s="3"/>
      <ns0:c r="J22" s="3"/>
      <ns0:c r="K22" s="3"/>
      <ns0:c r="L22" s="3"/>
      <ns0:c r="M22" s="3"/>
      <ns0:c r="N22" s="3"/>
      <ns0:c r="O22" s="3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2" t="inlineStr">
        <ns0:is>
          <ns0:t>取得子公司及其他营业单位支付的现金净额</ns0:t>
        </ns0:is>
      </ns0:c>
      <ns0:c r="B23" s="2"/>
      <ns0:c r="C23" s="3"/>
      <ns0:c r="D23" s="3"/>
      <ns0:c r="E23" s="3"/>
      <ns0:c r="F23" s="3"/>
      <ns0:c r="G23" s="3"/>
      <ns0:c r="H23" s="3"/>
      <ns0:c r="I23" s="3"/>
      <ns0:c r="J23" s="3"/>
      <ns0:c r="K23" s="3"/>
      <ns0:c r="L23" s="3"/>
      <ns0:c r="M23" s="3"/>
      <ns0:c r="N23" s="3"/>
      <ns0:c r="O23" s="3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 t="inlineStr">
        <ns0:is>
          <ns0:t>支付其他与投资活动有关的现金</ns0:t>
        </ns0:is>
      </ns0:c>
      <ns0:c r="B24" s="2"/>
      <ns0:c r="C24" s="3"/>
      <ns0:c r="D24" s="3"/>
      <ns0:c r="E24" s="3"/>
      <ns0:c r="F24" s="3"/>
      <ns0:c r="G24" s="3"/>
      <ns0:c r="H24" s="3"/>
      <ns0:c r="I24" s="3"/>
      <ns0:c r="J24" s="3"/>
      <ns0:c r="K24" s="3"/>
      <ns0:c r="L24" s="3"/>
      <ns0:c r="M24" s="3"/>
      <ns0:c r="N24" s="3"/>
      <ns0:c r="O24" s="3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 t="inlineStr">
        <ns0:is>
          <ns0:t>投资活动现金流出小计</ns0:t>
        </ns0:is>
      </ns0:c>
      <ns0:c r="B25" s="2"/>
      <ns0:c r="C25" s="3"/>
      <ns0:c r="D25" s="3"/>
      <ns0:c r="E25" s="3"/>
      <ns0:c r="F25" s="3"/>
      <ns0:c r="G25" s="3"/>
      <ns0:c r="H25" s="3"/>
      <ns0:c r="I25" s="3"/>
      <ns0:c r="J25" s="3"/>
      <ns0:c r="K25" s="3"/>
      <ns0:c r="L25" s="3"/>
      <ns0:c r="M25" s="3"/>
      <ns0:c r="N25" s="3"/>
      <ns0:c r="O25" s="3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 t="inlineStr">
        <ns0:is>
          <ns0:t>投资活动产生的现金流量净额</ns0:t>
        </ns0:is>
      </ns0:c>
      <ns0:c r="B26" s="2"/>
      <ns0:c r="C26" s="3">
        <ns0:f>SUM(C64:N64)</ns0:f>
        <ns0:v>0</ns0:v>
      </ns0:c>
      <ns0:c r="D26" s="3"/>
      <ns0:c r="E26" s="3"/>
      <ns0:c r="F26" s="3"/>
      <ns0:c r="G26" s="3"/>
      <ns0:c r="H26" s="3"/>
      <ns0:c r="I26" s="3"/>
      <ns0:c r="J26" s="3"/>
      <ns0:c r="K26" s="3"/>
      <ns0:c r="L26" s="3"/>
      <ns0:c r="M26" s="3"/>
      <ns0:c r="N26" s="3"/>
      <ns0:c r="O26" s="3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 t="inlineStr">
        <ns0:is>
          <ns0:t>三、筹资活动产生的现金流量：</ns0:t>
        </ns0:is>
      </ns0:c>
      <ns0:c r="B27" s="2"/>
      <ns0:c r="C27" s="3"/>
      <ns0:c r="D27" s="3"/>
      <ns0:c r="E27" s="3"/>
      <ns0:c r="F27" s="3"/>
      <ns0:c r="G27" s="3"/>
      <ns0:c r="H27" s="3"/>
      <ns0:c r="I27" s="3"/>
      <ns0:c r="J27" s="3"/>
      <ns0:c r="K27" s="3"/>
      <ns0:c r="L27" s="3"/>
      <ns0:c r="M27" s="3"/>
      <ns0:c r="N27" s="3"/>
      <ns0:c r="O27" s="3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 t="inlineStr">
        <ns0:is>
          <ns0:t>吸收投资收到的现金</ns0:t>
        </ns0:is>
      </ns0:c>
      <ns0:c r="B28" s="2"/>
      <ns0:c r="C28" s="3"/>
      <ns0:c r="D28" s="3"/>
      <ns0:c r="E28" s="3"/>
      <ns0:c r="F28" s="3"/>
      <ns0:c r="G28" s="3"/>
      <ns0:c r="H28" s="3"/>
      <ns0:c r="I28" s="3"/>
      <ns0:c r="J28" s="3"/>
      <ns0:c r="K28" s="3"/>
      <ns0:c r="L28" s="3"/>
      <ns0:c r="M28" s="3"/>
      <ns0:c r="N28" s="3"/>
      <ns0:c r="O28" s="3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 t="inlineStr">
        <ns0:is>
          <ns0:t>取得借款收到的现金</ns0:t>
        </ns0:is>
      </ns0:c>
      <ns0:c r="B29" s="2"/>
      <ns0:c r="C29" s="3"/>
      <ns0:c r="D29" s="3"/>
      <ns0:c r="E29" s="3"/>
      <ns0:c r="F29" s="3"/>
      <ns0:c r="G29" s="3"/>
      <ns0:c r="H29" s="3"/>
      <ns0:c r="I29" s="3"/>
      <ns0:c r="J29" s="3"/>
      <ns0:c r="K29" s="3"/>
      <ns0:c r="L29" s="3"/>
      <ns0:c r="M29" s="3"/>
      <ns0:c r="N29" s="3"/>
      <ns0:c r="O29" s="3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 t="inlineStr">
        <ns0:is>
          <ns0:t>收到其他与筹资活动有关的现金</ns0:t>
        </ns0:is>
      </ns0:c>
      <ns0:c r="B30" s="5"/>
      <ns0:c r="C30" s="6"/>
      <ns0:c r="D30" s="6"/>
      <ns0:c r="E30" s="6"/>
      <ns0:c r="F30" s="6"/>
      <ns0:c r="G30" s="6"/>
      <ns0:c r="H30" s="6"/>
      <ns0:c r="I30" s="6"/>
      <ns0:c r="J30" s="6"/>
      <ns0:c r="K30" s="6"/>
      <ns0:c r="L30" s="6"/>
      <ns0:c r="M30" s="6"/>
      <ns0:c r="N30" s="6"/>
      <ns0:c r="O30" s="6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 t="inlineStr">
        <ns0:is>
          <ns0:t>筹资活动现金流入小计</ns0:t>
        </ns0:is>
      </ns0:c>
      <ns0:c r="B31" s="2"/>
      <ns0:c r="C31" s="3"/>
      <ns0:c r="D31" s="3"/>
      <ns0:c r="E31" s="3"/>
      <ns0:c r="F31" s="3"/>
      <ns0:c r="G31" s="3"/>
      <ns0:c r="H31" s="3"/>
      <ns0:c r="I31" s="3"/>
      <ns0:c r="J31" s="3"/>
      <ns0:c r="K31" s="3"/>
      <ns0:c r="L31" s="3"/>
      <ns0:c r="M31" s="3"/>
      <ns0:c r="N31" s="3"/>
      <ns0:c r="O31" s="3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 t="inlineStr">
        <ns0:is>
          <ns0:t>偿还债务支付的现金</ns0:t>
        </ns0:is>
      </ns0:c>
      <ns0:c r="B32" s="2"/>
      <ns0:c r="C32" s="3"/>
      <ns0:c r="D32" s="3"/>
      <ns0:c r="E32" s="3"/>
      <ns0:c r="F32" s="3"/>
      <ns0:c r="G32" s="3"/>
      <ns0:c r="H32" s="3"/>
      <ns0:c r="I32" s="3"/>
      <ns0:c r="J32" s="3"/>
      <ns0:c r="K32" s="3"/>
      <ns0:c r="L32" s="3"/>
      <ns0:c r="M32" s="3"/>
      <ns0:c r="N32" s="3"/>
      <ns0:c r="O32" s="3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 t="inlineStr">
        <ns0:is>
          <ns0:t>分配股利、利润或偿付利息支付的现金</ns0:t>
        </ns0:is>
      </ns0:c>
      <ns0:c r="B33" s="2"/>
      <ns0:c r="C33" s="3"/>
      <ns0:c r="D33" s="3"/>
      <ns0:c r="E33" s="3"/>
      <ns0:c r="F33" s="3"/>
      <ns0:c r="G33" s="3"/>
      <ns0:c r="H33" s="3"/>
      <ns0:c r="I33" s="3"/>
      <ns0:c r="J33" s="3"/>
      <ns0:c r="K33" s="3"/>
      <ns0:c r="L33" s="3"/>
      <ns0:c r="M33" s="3"/>
      <ns0:c r="N33" s="3"/>
      <ns0:c r="O33" s="3"/>
      <ns0:c r="P33" s="2"/>
      <ns0:c r="Q33" s="2"/>
      <ns0:c r="R33" s="2"/>
      <ns0:c r="S33" s="2"/>
      <ns0:c r="T33" s="2"/>
      <ns0:c r="U33" s="2"/>
      <ns0:c r="V33" s="2"/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 t="inlineStr">
        <ns0:is>
          <ns0:t>支付其他与筹资活动有关的现金</ns0:t>
        </ns0:is>
      </ns0:c>
      <ns0:c r="B34" s="2"/>
      <ns0:c r="C34" s="3"/>
      <ns0:c r="D34" s="3"/>
      <ns0:c r="E34" s="3"/>
      <ns0:c r="F34" s="3"/>
      <ns0:c r="G34" s="3"/>
      <ns0:c r="H34" s="3"/>
      <ns0:c r="I34" s="3"/>
      <ns0:c r="J34" s="3"/>
      <ns0:c r="K34" s="3"/>
      <ns0:c r="L34" s="3"/>
      <ns0:c r="M34" s="3"/>
      <ns0:c r="N34" s="3"/>
      <ns0:c r="O34" s="3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 t="inlineStr">
        <ns0:is>
          <ns0:t>筹资活动现金流出小计</ns0:t>
        </ns0:is>
      </ns0:c>
      <ns0:c r="B35" s="2"/>
      <ns0:c r="C35" s="3"/>
      <ns0:c r="D35" s="3"/>
      <ns0:c r="E35" s="3"/>
      <ns0:c r="F35" s="3"/>
      <ns0:c r="G35" s="3"/>
      <ns0:c r="H35" s="3"/>
      <ns0:c r="I35" s="3"/>
      <ns0:c r="J35" s="3"/>
      <ns0:c r="K35" s="3"/>
      <ns0:c r="L35" s="3"/>
      <ns0:c r="M35" s="3"/>
      <ns0:c r="N35" s="3"/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 t="inlineStr">
        <ns0:is>
          <ns0:t>筹资活动产生的现金流量净额</ns0:t>
        </ns0:is>
      </ns0:c>
      <ns0:c r="B36" s="2"/>
      <ns0:c r="C36" s="3">
        <ns0:f>SUM(C65:N65)</ns0:f>
        <ns0:v>0</ns0:v>
      </ns0:c>
      <ns0:c r="D36" s="3"/>
      <ns0:c r="E36" s="3"/>
      <ns0:c r="F36" s="3"/>
      <ns0:c r="G36" s="3"/>
      <ns0:c r="H36" s="3"/>
      <ns0:c r="I36" s="3"/>
      <ns0:c r="J36" s="3"/>
      <ns0:c r="K36" s="3"/>
      <ns0:c r="L36" s="3"/>
      <ns0:c r="M36" s="3"/>
      <ns0:c r="N36" s="3"/>
      <ns0:c r="O36" s="3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 t="inlineStr">
        <ns0:is>
          <ns0:t>四、汇率变动对现金及现金等价物的影响</ns0:t>
        </ns0:is>
      </ns0:c>
      <ns0:c r="B37" s="2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 t="inlineStr">
        <ns0:is>
          <ns0:t>五、现金及现金等价物净增加额</ns0:t>
        </ns0:is>
      </ns0:c>
      <ns0:c r="B38" s="2"/>
      <ns0:c r="C38" s="3">
        <ns0:f>SUM(C66:N66)</ns0:f>
        <ns0:v>2187027.48</ns0:v>
      </ns0:c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 t="inlineStr">
        <ns0:is>
          <ns0:t>加：期初现金及现金等价物余额</ns0:t>
        </ns0:is>
      </ns0:c>
      <ns0:c r="B39" s="2"/>
      <ns0:c r="C39" s="3">
        <ns0:f>C67</ns0:f>
        <ns0:v>151120.38</ns0:v>
      </ns0:c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 t="inlineStr">
        <ns0:is>
          <ns0:t>六、期末现金及现金等价物余额</ns0:t>
        </ns0:is>
      </ns0:c>
      <ns0:c r="B40" s="2"/>
      <ns0:c r="C40" s="3">
        <ns0:f>N68</ns0:f>
        <ns0:v>2338147.86</ns0:v>
      </ns0:c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 t="inlineStr">
        <ns0:is>
          <ns0:t>实时经营月度勾稽</ns0:t>
        </ns0:is>
      </ns0:c>
      <ns0:c r="C60" s="6" t="inlineStr">
        <ns0:is>
          <ns0:t>2027-01</ns0:t>
        </ns0:is>
      </ns0:c>
      <ns0:c r="D60" s="6" t="inlineStr">
        <ns0:is>
          <ns0:t>2027-02</ns0:t>
        </ns0:is>
      </ns0:c>
      <ns0:c r="E60" s="6" t="inlineStr">
        <ns0:is>
          <ns0:t>2027-03</ns0:t>
        </ns0:is>
      </ns0:c>
      <ns0:c r="F60" s="6" t="inlineStr">
        <ns0:is>
          <ns0:t>2027-04</ns0:t>
        </ns0:is>
      </ns0:c>
      <ns0:c r="G60" s="6" t="inlineStr">
        <ns0:is>
          <ns0:t>2027-05</ns0:t>
        </ns0:is>
      </ns0:c>
      <ns0:c r="H60" s="6" t="inlineStr">
        <ns0:is>
          <ns0:t>2027-06</ns0:t>
        </ns0:is>
      </ns0:c>
      <ns0:c r="I60" s="6" t="inlineStr">
        <ns0:is>
          <ns0:t>2027-07</ns0:t>
        </ns0:is>
      </ns0:c>
      <ns0:c r="J60" s="6" t="inlineStr">
        <ns0:is>
          <ns0:t>2027-08</ns0:t>
        </ns0:is>
      </ns0:c>
      <ns0:c r="K60" s="6" t="inlineStr">
        <ns0:is>
          <ns0:t>2027-09</ns0:t>
        </ns0:is>
      </ns0:c>
      <ns0:c r="L60" s="6" t="inlineStr">
        <ns0:is>
          <ns0:t>2027-10</ns0:t>
        </ns0:is>
      </ns0:c>
      <ns0:c r="M60" s="6" t="inlineStr">
        <ns0:is>
          <ns0:t>2027-11</ns0:t>
        </ns0:is>
      </ns0:c>
      <ns0:c r="N60" s="6" t="inlineStr">
        <ns0:is>
          <ns0:t>2027-12</ns0:t>
        </ns0:is>
      </ns0:c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 t="inlineStr">
        <ns0:is>
          <ns0:t>净利润</ns0:t>
        </ns0:is>
      </ns0:c>
      <ns0:c r="C61" s="3">
        <ns0:f>'利润表'!C69</ns0:f>
        <ns0:v>196672.39</ns0:v>
      </ns0:c>
      <ns0:c r="D61" s="3">
        <ns0:f>'利润表'!D69</ns0:f>
        <ns0:v>213551.80</ns0:v>
      </ns0:c>
      <ns0:c r="E61" s="3">
        <ns0:f>'利润表'!E69</ns0:f>
        <ns0:v>175954.64</ns0:v>
      </ns0:c>
      <ns0:c r="F61" s="3">
        <ns0:f>'利润表'!F69</ns0:f>
        <ns0:v>113929.72</ns0:v>
      </ns0:c>
      <ns0:c r="G61" s="3">
        <ns0:f>'利润表'!G69</ns0:f>
        <ns0:v>168341.11</ns0:v>
      </ns0:c>
      <ns0:c r="H61" s="3">
        <ns0:f>'利润表'!H69</ns0:f>
        <ns0:v>176667.52</ns0:v>
      </ns0:c>
      <ns0:c r="I61" s="3">
        <ns0:f>'利润表'!I69</ns0:f>
        <ns0:v>175280.76</ns0:v>
      </ns0:c>
      <ns0:c r="J61" s="3">
        <ns0:f>'利润表'!J69</ns0:f>
        <ns0:v>253549.75</ns0:v>
      </ns0:c>
      <ns0:c r="K61" s="3">
        <ns0:f>'利润表'!K69</ns0:f>
        <ns0:v>184376.31</ns0:v>
      </ns0:c>
      <ns0:c r="L61" s="3">
        <ns0:f>'利润表'!L69</ns0:f>
        <ns0:v>145515.35</ns0:v>
      </ns0:c>
      <ns0:c r="M61" s="3">
        <ns0:f>'利润表'!M69</ns0:f>
        <ns0:v>139174.25</ns0:v>
      </ns0:c>
      <ns0:c r="N61" s="3">
        <ns0:f>'利润表'!N69</ns0:f>
        <ns0:v>219618.12</ns0:v>
      </ns0:c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 t="inlineStr">
        <ns0:is>
          <ns0:t>折旧摊销加回</ns0:t>
        </ns0:is>
      </ns0:c>
      <ns0:c r="C62" s="3">
        <ns0:f>'销售费用'!C20+'管理费用'!C20+'蓝恐龙费用'!C20</ns0:f>
        <ns0:v>2032.98</ns0:v>
      </ns0:c>
      <ns0:c r="D62" s="3">
        <ns0:f>'销售费用'!D20+'管理费用'!D20+'蓝恐龙费用'!D20</ns0:f>
        <ns0:v>2032.98</ns0:v>
      </ns0:c>
      <ns0:c r="E62" s="3">
        <ns0:f>'销售费用'!E20+'管理费用'!E20+'蓝恐龙费用'!E20</ns0:f>
        <ns0:v>2032.98</ns0:v>
      </ns0:c>
      <ns0:c r="F62" s="3">
        <ns0:f>'销售费用'!F20+'管理费用'!F20+'蓝恐龙费用'!F20</ns0:f>
        <ns0:v>2032.98</ns0:v>
      </ns0:c>
      <ns0:c r="G62" s="3">
        <ns0:f>'销售费用'!G20+'管理费用'!G20+'蓝恐龙费用'!G20</ns0:f>
        <ns0:v>2032.98</ns0:v>
      </ns0:c>
      <ns0:c r="H62" s="3">
        <ns0:f>'销售费用'!H20+'管理费用'!H20+'蓝恐龙费用'!H20</ns0:f>
        <ns0:v>2032.98</ns0:v>
      </ns0:c>
      <ns0:c r="I62" s="3">
        <ns0:f>'销售费用'!I20+'管理费用'!I20+'蓝恐龙费用'!I20</ns0:f>
        <ns0:v>2032.98</ns0:v>
      </ns0:c>
      <ns0:c r="J62" s="3">
        <ns0:f>'销售费用'!J20+'管理费用'!J20+'蓝恐龙费用'!J20</ns0:f>
        <ns0:v>2032.98</ns0:v>
      </ns0:c>
      <ns0:c r="K62" s="3">
        <ns0:f>'销售费用'!K20+'管理费用'!K20+'蓝恐龙费用'!K20</ns0:f>
        <ns0:v>2032.98</ns0:v>
      </ns0:c>
      <ns0:c r="L62" s="3">
        <ns0:f>'销售费用'!L20+'管理费用'!L20+'蓝恐龙费用'!L20</ns0:f>
        <ns0:v>2032.98</ns0:v>
      </ns0:c>
      <ns0:c r="M62" s="3">
        <ns0:f>'销售费用'!M20+'管理费用'!M20+'蓝恐龙费用'!M20</ns0:f>
        <ns0:v>2032.98</ns0:v>
      </ns0:c>
      <ns0:c r="N62" s="3">
        <ns0:f>'销售费用'!N20+'管理费用'!N20+'蓝恐龙费用'!N20</ns0:f>
        <ns0:v>2032.98</ns0:v>
      </ns0:c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 t="inlineStr">
        <ns0:is>
          <ns0:t>经营现金净流量</ns0:t>
        </ns0:is>
      </ns0:c>
      <ns0:c r="C63" s="3">
        <ns0:f>SUM(C61:C62)</ns0:f>
        <ns0:v>198705.37</ns0:v>
      </ns0:c>
      <ns0:c r="D63" s="3">
        <ns0:f>SUM(D61:D62)</ns0:f>
        <ns0:v>215584.78</ns0:v>
      </ns0:c>
      <ns0:c r="E63" s="3">
        <ns0:f>SUM(E61:E62)</ns0:f>
        <ns0:v>177987.62</ns0:v>
      </ns0:c>
      <ns0:c r="F63" s="3">
        <ns0:f>SUM(F61:F62)</ns0:f>
        <ns0:v>115962.70</ns0:v>
      </ns0:c>
      <ns0:c r="G63" s="3">
        <ns0:f>SUM(G61:G62)</ns0:f>
        <ns0:v>170374.09</ns0:v>
      </ns0:c>
      <ns0:c r="H63" s="3">
        <ns0:f>SUM(H61:H62)</ns0:f>
        <ns0:v>178700.50</ns0:v>
      </ns0:c>
      <ns0:c r="I63" s="3">
        <ns0:f>SUM(I61:I62)</ns0:f>
        <ns0:v>177313.74</ns0:v>
      </ns0:c>
      <ns0:c r="J63" s="3">
        <ns0:f>SUM(J61:J62)</ns0:f>
        <ns0:v>255582.73</ns0:v>
      </ns0:c>
      <ns0:c r="K63" s="3">
        <ns0:f>SUM(K61:K62)</ns0:f>
        <ns0:v>186409.29</ns0:v>
      </ns0:c>
      <ns0:c r="L63" s="3">
        <ns0:f>SUM(L61:L62)</ns0:f>
        <ns0:v>147548.33</ns0:v>
      </ns0:c>
      <ns0:c r="M63" s="3">
        <ns0:f>SUM(M61:M62)</ns0:f>
        <ns0:v>141207.23</ns0:v>
      </ns0:c>
      <ns0:c r="N63" s="3">
        <ns0:f>SUM(N61:N62)</ns0:f>
        <ns0:v>221651.10</ns0:v>
      </ns0:c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 t="inlineStr">
        <ns0:is>
          <ns0:t>投资现金净流量</ns0:t>
        </ns0:is>
      </ns0:c>
      <ns0:c r="C64" s="3">
        <ns0:f>0</ns0:f>
        <ns0:v>0</ns0:v>
      </ns0:c>
      <ns0:c r="D64" s="3">
        <ns0:f>0</ns0:f>
        <ns0:v>0</ns0:v>
      </ns0:c>
      <ns0:c r="E64" s="3">
        <ns0:f>0</ns0:f>
        <ns0:v>0</ns0:v>
      </ns0:c>
      <ns0:c r="F64" s="3">
        <ns0:f>0</ns0:f>
        <ns0:v>0</ns0:v>
      </ns0:c>
      <ns0:c r="G64" s="3">
        <ns0:f>0</ns0:f>
        <ns0:v>0</ns0:v>
      </ns0:c>
      <ns0:c r="H64" s="3">
        <ns0:f>0</ns0:f>
        <ns0:v>0</ns0:v>
      </ns0:c>
      <ns0:c r="I64" s="3">
        <ns0:f>0</ns0:f>
        <ns0:v>0</ns0:v>
      </ns0:c>
      <ns0:c r="J64" s="3">
        <ns0:f>0</ns0:f>
        <ns0:v>0</ns0:v>
      </ns0:c>
      <ns0:c r="K64" s="3">
        <ns0:f>0</ns0:f>
        <ns0:v>0</ns0:v>
      </ns0:c>
      <ns0:c r="L64" s="3">
        <ns0:f>0</ns0:f>
        <ns0:v>0</ns0:v>
      </ns0:c>
      <ns0:c r="M64" s="3">
        <ns0:f>0</ns0:f>
        <ns0:v>0</ns0:v>
      </ns0:c>
      <ns0:c r="N64" s="3">
        <ns0:f>0</ns0:f>
        <ns0:v>0</ns0:v>
      </ns0:c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 t="inlineStr">
        <ns0:is>
          <ns0:t>筹资现金净流量</ns0:t>
        </ns0:is>
      </ns0:c>
      <ns0:c r="C65" s="3">
        <ns0:f>0</ns0:f>
        <ns0:v>0</ns0:v>
      </ns0:c>
      <ns0:c r="D65" s="3">
        <ns0:f>0</ns0:f>
        <ns0:v>0</ns0:v>
      </ns0:c>
      <ns0:c r="E65" s="3">
        <ns0:f>0</ns0:f>
        <ns0:v>0</ns0:v>
      </ns0:c>
      <ns0:c r="F65" s="3">
        <ns0:f>0</ns0:f>
        <ns0:v>0</ns0:v>
      </ns0:c>
      <ns0:c r="G65" s="3">
        <ns0:f>0</ns0:f>
        <ns0:v>0</ns0:v>
      </ns0:c>
      <ns0:c r="H65" s="3">
        <ns0:f>0</ns0:f>
        <ns0:v>0</ns0:v>
      </ns0:c>
      <ns0:c r="I65" s="3">
        <ns0:f>0</ns0:f>
        <ns0:v>0</ns0:v>
      </ns0:c>
      <ns0:c r="J65" s="3">
        <ns0:f>0</ns0:f>
        <ns0:v>0</ns0:v>
      </ns0:c>
      <ns0:c r="K65" s="3">
        <ns0:f>0</ns0:f>
        <ns0:v>0</ns0:v>
      </ns0:c>
      <ns0:c r="L65" s="3">
        <ns0:f>0</ns0:f>
        <ns0:v>0</ns0:v>
      </ns0:c>
      <ns0:c r="M65" s="3">
        <ns0:f>0</ns0:f>
        <ns0:v>0</ns0:v>
      </ns0:c>
      <ns0:c r="N65" s="3">
        <ns0:f>0</ns0:f>
        <ns0:v>0</ns0:v>
      </ns0:c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 t="inlineStr">
        <ns0:is>
          <ns0:t>现金净增加</ns0:t>
        </ns0:is>
      </ns0:c>
      <ns0:c r="C66" s="3">
        <ns0:f>SUM(C63:C65)</ns0:f>
        <ns0:v>198705.37</ns0:v>
      </ns0:c>
      <ns0:c r="D66" s="3">
        <ns0:f>SUM(D63:D65)</ns0:f>
        <ns0:v>215584.78</ns0:v>
      </ns0:c>
      <ns0:c r="E66" s="3">
        <ns0:f>SUM(E63:E65)</ns0:f>
        <ns0:v>177987.62</ns0:v>
      </ns0:c>
      <ns0:c r="F66" s="3">
        <ns0:f>SUM(F63:F65)</ns0:f>
        <ns0:v>115962.70</ns0:v>
      </ns0:c>
      <ns0:c r="G66" s="3">
        <ns0:f>SUM(G63:G65)</ns0:f>
        <ns0:v>170374.09</ns0:v>
      </ns0:c>
      <ns0:c r="H66" s="3">
        <ns0:f>SUM(H63:H65)</ns0:f>
        <ns0:v>178700.50</ns0:v>
      </ns0:c>
      <ns0:c r="I66" s="3">
        <ns0:f>SUM(I63:I65)</ns0:f>
        <ns0:v>177313.74</ns0:v>
      </ns0:c>
      <ns0:c r="J66" s="3">
        <ns0:f>SUM(J63:J65)</ns0:f>
        <ns0:v>255582.73</ns0:v>
      </ns0:c>
      <ns0:c r="K66" s="3">
        <ns0:f>SUM(K63:K65)</ns0:f>
        <ns0:v>186409.29</ns0:v>
      </ns0:c>
      <ns0:c r="L66" s="3">
        <ns0:f>SUM(L63:L65)</ns0:f>
        <ns0:v>147548.33</ns0:v>
      </ns0:c>
      <ns0:c r="M66" s="3">
        <ns0:f>SUM(M63:M65)</ns0:f>
        <ns0:v>141207.23</ns0:v>
      </ns0:c>
      <ns0:c r="N66" s="3">
        <ns0:f>SUM(N63:N65)</ns0:f>
        <ns0:v>221651.10</ns0:v>
      </ns0:c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 t="inlineStr">
        <ns0:is>
          <ns0:t>期初现金</ns0:t>
        </ns0:is>
      </ns0:c>
      <ns0:c r="C67" s="3">
        <ns0:f>'资产负债表'!$C$200</ns0:f>
        <ns0:v>151120.38</ns0:v>
      </ns0:c>
      <ns0:c r="D67" s="3">
        <ns0:f>C68</ns0:f>
        <ns0:v>349825.75</ns0:v>
      </ns0:c>
      <ns0:c r="E67" s="3">
        <ns0:f>D68</ns0:f>
        <ns0:v>565410.53</ns0:v>
      </ns0:c>
      <ns0:c r="F67" s="3">
        <ns0:f>E68</ns0:f>
        <ns0:v>743398.15</ns0:v>
      </ns0:c>
      <ns0:c r="G67" s="3">
        <ns0:f>F68</ns0:f>
        <ns0:v>859360.85</ns0:v>
      </ns0:c>
      <ns0:c r="H67" s="3">
        <ns0:f>G68</ns0:f>
        <ns0:v>1029734.94</ns0:v>
      </ns0:c>
      <ns0:c r="I67" s="3">
        <ns0:f>H68</ns0:f>
        <ns0:v>1208435.44</ns0:v>
      </ns0:c>
      <ns0:c r="J67" s="3">
        <ns0:f>I68</ns0:f>
        <ns0:v>1385749.18</ns0:v>
      </ns0:c>
      <ns0:c r="K67" s="3">
        <ns0:f>J68</ns0:f>
        <ns0:v>1641331.91</ns0:v>
      </ns0:c>
      <ns0:c r="L67" s="3">
        <ns0:f>K68</ns0:f>
        <ns0:v>1827741.20</ns0:v>
      </ns0:c>
      <ns0:c r="M67" s="3">
        <ns0:f>L68</ns0:f>
        <ns0:v>1975289.53</ns0:v>
      </ns0:c>
      <ns0:c r="N67" s="3">
        <ns0:f>M68</ns0:f>
        <ns0:v>2116496.76</ns0:v>
      </ns0:c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 t="inlineStr">
        <ns0:is>
          <ns0:t>期末现金</ns0:t>
        </ns0:is>
      </ns0:c>
      <ns0:c r="C68" s="3">
        <ns0:f>SUM(C66:C67)</ns0:f>
        <ns0:v>349825.75</ns0:v>
      </ns0:c>
      <ns0:c r="D68" s="3">
        <ns0:f>SUM(D66:D67)</ns0:f>
        <ns0:v>565410.53</ns0:v>
      </ns0:c>
      <ns0:c r="E68" s="3">
        <ns0:f>SUM(E66:E67)</ns0:f>
        <ns0:v>743398.15</ns0:v>
      </ns0:c>
      <ns0:c r="F68" s="3">
        <ns0:f>SUM(F66:F67)</ns0:f>
        <ns0:v>859360.85</ns0:v>
      </ns0:c>
      <ns0:c r="G68" s="3">
        <ns0:f>SUM(G66:G67)</ns0:f>
        <ns0:v>1029734.94</ns0:v>
      </ns0:c>
      <ns0:c r="H68" s="3">
        <ns0:f>SUM(H66:H67)</ns0:f>
        <ns0:v>1208435.44</ns0:v>
      </ns0:c>
      <ns0:c r="I68" s="3">
        <ns0:f>SUM(I66:I67)</ns0:f>
        <ns0:v>1385749.18</ns0:v>
      </ns0:c>
      <ns0:c r="J68" s="3">
        <ns0:f>SUM(J66:J67)</ns0:f>
        <ns0:v>1641331.91</ns0:v>
      </ns0:c>
      <ns0:c r="K68" s="3">
        <ns0:f>SUM(K66:K67)</ns0:f>
        <ns0:v>1827741.20</ns0:v>
      </ns0:c>
      <ns0:c r="L68" s="3">
        <ns0:f>SUM(L66:L67)</ns0:f>
        <ns0:v>1975289.53</ns0:v>
      </ns0:c>
      <ns0:c r="M68" s="3">
        <ns0:f>SUM(M66:M67)</ns0:f>
        <ns0:v>2116496.76</ns0:v>
      </ns0:c>
      <ns0:c r="N68" s="3">
        <ns0:f>SUM(N66:N67)</ns0:f>
        <ns0:v>2338147.86</ns0:v>
      </ns0:c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A1:D1"/>
  </ns0:mergeCells>
  <ns0:pageMargins left="0.7" right="0.7" top="0.75" bottom="0.75" header="0.3" footer="0.3"/>
</ns0:worksheet>
</file>

<file path=xl/worksheets/sheet4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2.5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15.75" hidden="0" customWidth="1"/>
    <ns0:col min="17" max="17" width="14.875" hidden="0" customWidth="1"/>
    <ns0:col min="18" max="18" width="9" hidden="0" customWidth="1"/>
    <ns0:col min="19" max="19" width="12.875" hidden="0" customWidth="1"/>
    <ns0:col min="20" max="20" width="15.75" hidden="0" customWidth="1"/>
    <ns0:col min="21" max="21" width="15.75" hidden="0" customWidth="1"/>
    <ns0:col min="22" max="22" width="18.25" hidden="0" customWidth="1"/>
    <ns0:col min="50" max="50" width="20" hidden="0" customWidth="1"/>
    <ns0:col min="51" max="51" width="65" hidden="0" customWidth="1"/>
    <ns0:col min="23" max="23" width="18.875" hidden="0" customWidth="1"/>
    <ns0:col min="24" max="24" width="11.625" hidden="0" customWidth="1"/>
    <ns0:col min="25" max="25" width="18.25" hidden="0" customWidth="1"/>
    <ns0:col min="26" max="26" width="18.25" hidden="0" customWidth="1"/>
    <ns0:col min="27" max="27" width="13" hidden="0" customWidth="1"/>
    <ns0:col min="28" max="28" width="13" hidden="0" customWidth="1"/>
    <ns0:col min="29" max="29" width="13.125" hidden="0" customWidth="1"/>
    <ns0:col min="30" max="30" width="13.125" hidden="0" customWidth="1"/>
    <ns0:col min="31" max="31" width="11.625" hidden="0" customWidth="1"/>
    <ns0:col min="32" max="32" width="11.625" hidden="0" customWidth="1"/>
    <ns0:col min="33" max="33" width="11.125" hidden="0" customWidth="1"/>
    <ns0:col min="34" max="34" width="14.625" hidden="0" customWidth="1"/>
  </ns0:cols>
  <ns0:sheetData>
    <ns0:row r="1" ht="20" customHeight="1">
      <ns0:c r="A1" s="2"/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2"/>
      <ns0:c r="B2" s="2"/>
      <ns0:c r="C2" s="3"/>
      <ns0:c r="D2" s="3"/>
      <ns0:c r="E2" s="3"/>
      <ns0:c r="F2" s="3"/>
      <ns0:c r="G2" s="3"/>
      <ns0:c r="H2" s="3"/>
      <ns0:c r="I2" s="3"/>
      <ns0:c r="J2" s="3"/>
      <ns0:c r="K2" s="3"/>
      <ns0:c r="L2" s="3"/>
      <ns0:c r="M2" s="3"/>
      <ns0:c r="N2" s="3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E-5f17fa2948</ns0:t>
        </ns0:is>
      </ns0:c>
    </ns0:row>
    <ns0:row r="3" ht="20" customHeight="1">
      <ns0:c r="A3" s="2"/>
      <ns0:c r="B3" s="2" t="inlineStr">
        <ns0:is>
          <ns0:t>电视剧</ns0:t>
        </ns0:is>
      </ns0:c>
      <ns0:c r="C3" s="6"/>
      <ns0:c r="D3" s="6" t="inlineStr">
        <ns0:is>
          <ns0:t>项目名称</ns0:t>
        </ns0:is>
      </ns0:c>
      <ns0:c r="E3" s="6"/>
      <ns0:c r="F3" s="6"/>
      <ns0:c r="G3" s="6"/>
      <ns0:c r="H3" s="6"/>
      <ns0:c r="I3" s="6"/>
      <ns0:c r="J3" s="6"/>
      <ns0:c r="K3" s="6"/>
      <ns0:c r="L3" s="6"/>
      <ns0:c r="M3" s="6"/>
      <ns0:c r="N3" s="6"/>
      <ns0:c r="O3" s="6"/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主体乙</ns0:t>
        </ns0:is>
      </ns0:c>
    </ns0:row>
    <ns0:row r="4" ht="20" customHeight="1">
      <ns0:c r="A4" s="2"/>
      <ns0:c r="B4" s="2"/>
      <ns0:c r="C4" s="3"/>
      <ns0:c r="D4" s="3"/>
      <ns0:c r="E4" s="3"/>
      <ns0:c r="F4" s="3"/>
      <ns0:c r="G4" s="3"/>
      <ns0:c r="H4" s="3"/>
      <ns0:c r="I4" s="3"/>
      <ns0:c r="J4" s="3"/>
      <ns0:c r="K4" s="3"/>
      <ns0:c r="L4" s="3"/>
      <ns0:c r="M4" s="3"/>
      <ns0:c r="N4" s="3"/>
      <ns0:c r="O4" s="3"/>
      <ns0:c r="P4" s="2"/>
      <ns0:c r="Q4" s="2"/>
      <ns0:c r="R4" s="2"/>
      <ns0:c r="S4" s="2"/>
      <ns0:c r="T4" s="2"/>
      <ns0:c r="U4" s="2"/>
      <ns0:c r="V4" s="2"/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S-03e3bfa6bf</ns0:t>
        </ns0:is>
      </ns0:c>
    </ns0:row>
    <ns0:row r="5" ht="20" customHeight="1">
      <ns0:c r="A5" s="2"/>
      <ns0:c r="B5" s="2"/>
      <ns0:c r="C5" s="3"/>
      <ns0:c r="D5" s="3"/>
      <ns0:c r="E5" s="3"/>
      <ns0:c r="F5" s="3"/>
      <ns0:c r="G5" s="3"/>
      <ns0:c r="H5" s="3"/>
      <ns0:c r="I5" s="3"/>
      <ns0:c r="J5" s="3"/>
      <ns0:c r="K5" s="3"/>
      <ns0:c r="L5" s="3"/>
      <ns0:c r="M5" s="3"/>
      <ns0:c r="N5" s="3"/>
      <ns0:c r="O5" s="3"/>
      <ns0:c r="P5" s="2"/>
      <ns0:c r="Q5" s="2"/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扩展情景</ns0:t>
        </ns0:is>
      </ns0:c>
    </ns0:row>
    <ns0:row r="6" ht="20" customHeight="1">
      <ns0:c r="A6" s="2"/>
      <ns0:c r="B6" s="2"/>
      <ns0:c r="C6" s="3"/>
      <ns0:c r="D6" s="3"/>
      <ns0:c r="E6" s="3"/>
      <ns0:c r="F6" s="3"/>
      <ns0:c r="G6" s="3"/>
      <ns0:c r="H6" s="3"/>
      <ns0:c r="I6" s="3"/>
      <ns0:c r="J6" s="3"/>
      <ns0:c r="K6" s="3"/>
      <ns0:c r="L6" s="3"/>
      <ns0:c r="M6" s="3"/>
      <ns0:c r="N6" s="3"/>
      <ns0:c r="O6" s="3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2"/>
      <ns0:c r="B7" s="2"/>
      <ns0:c r="C7" s="3"/>
      <ns0:c r="D7" s="3"/>
      <ns0:c r="E7" s="3"/>
      <ns0:c r="F7" s="3"/>
      <ns0:c r="G7" s="3"/>
      <ns0:c r="H7" s="3"/>
      <ns0:c r="I7" s="3"/>
      <ns0:c r="J7" s="3"/>
      <ns0:c r="K7" s="3"/>
      <ns0:c r="L7" s="3"/>
      <ns0:c r="M7" s="3"/>
      <ns0:c r="N7" s="3"/>
      <ns0:c r="O7" s="3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季度</ns0:t>
        </ns0:is>
      </ns0:c>
    </ns0:row>
    <ns0:row r="8" ht="20" customHeight="1">
      <ns0:c r="A8" s="2"/>
      <ns0:c r="B8" s="2"/>
      <ns0:c r="C8" s="3"/>
      <ns0:c r="D8" s="3"/>
      <ns0:c r="E8" s="3"/>
      <ns0:c r="F8" s="3"/>
      <ns0:c r="G8" s="3"/>
      <ns0:c r="H8" s="3"/>
      <ns0:c r="I8" s="3"/>
      <ns0:c r="J8" s="3"/>
      <ns0:c r="K8" s="3"/>
      <ns0:c r="L8" s="3"/>
      <ns0:c r="M8" s="3"/>
      <ns0:c r="N8" s="3"/>
      <ns0:c r="O8" s="3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2"/>
      <ns0:c r="B9" s="2"/>
      <ns0:c r="C9" s="3"/>
      <ns0:c r="D9" s="3"/>
      <ns0:c r="E9" s="3"/>
      <ns0:c r="F9" s="3"/>
      <ns0:c r="G9" s="3"/>
      <ns0:c r="H9" s="3"/>
      <ns0:c r="I9" s="3"/>
      <ns0:c r="J9" s="3"/>
      <ns0:c r="K9" s="3"/>
      <ns0:c r="L9" s="3"/>
      <ns0:c r="M9" s="3"/>
      <ns0:c r="N9" s="3"/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2"/>
      <ns0:c r="B10" s="2"/>
      <ns0:c r="C10" s="3"/>
      <ns0:c r="D10" s="3"/>
      <ns0:c r="E10" s="3"/>
      <ns0:c r="F10" s="3"/>
      <ns0:c r="G10" s="3"/>
      <ns0:c r="H10" s="3"/>
      <ns0:c r="I10" s="3"/>
      <ns0:c r="J10" s="3"/>
      <ns0:c r="K10" s="3"/>
      <ns0:c r="L10" s="3"/>
      <ns0:c r="M10" s="3"/>
      <ns0:c r="N10" s="3"/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2"/>
      <ns0:c r="B11" s="2"/>
      <ns0:c r="C11" s="3"/>
      <ns0:c r="D11" s="3"/>
      <ns0:c r="E11" s="3"/>
      <ns0:c r="F11" s="3"/>
      <ns0:c r="G11" s="3"/>
      <ns0:c r="H11" s="3"/>
      <ns0:c r="I11" s="3"/>
      <ns0:c r="J11" s="3"/>
      <ns0:c r="K11" s="3"/>
      <ns0:c r="L11" s="3"/>
      <ns0:c r="M11" s="3"/>
      <ns0:c r="N11" s="3"/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2"/>
      <ns0:c r="B12" s="2"/>
      <ns0:c r="C12" s="3"/>
      <ns0:c r="D12" s="3"/>
      <ns0:c r="E12" s="3"/>
      <ns0:c r="F12" s="3"/>
      <ns0:c r="G12" s="3"/>
      <ns0:c r="H12" s="3"/>
      <ns0:c r="I12" s="3"/>
      <ns0:c r="J12" s="3"/>
      <ns0:c r="K12" s="3"/>
      <ns0:c r="L12" s="3"/>
      <ns0:c r="M12" s="3"/>
      <ns0:c r="N12" s="3"/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2"/>
      <ns0:c r="B13" s="2"/>
      <ns0:c r="C13" s="3"/>
      <ns0:c r="D13" s="3"/>
      <ns0:c r="E13" s="3"/>
      <ns0:c r="F13" s="3"/>
      <ns0:c r="G13" s="3"/>
      <ns0:c r="H13" s="3"/>
      <ns0:c r="I13" s="3"/>
      <ns0:c r="J13" s="3"/>
      <ns0:c r="K13" s="3"/>
      <ns0:c r="L13" s="3"/>
      <ns0:c r="M13" s="3"/>
      <ns0:c r="N13" s="3"/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2"/>
      <ns0:c r="B14" s="2"/>
      <ns0:c r="C14" s="3"/>
      <ns0:c r="D14" s="3"/>
      <ns0:c r="E14" s="3"/>
      <ns0:c r="F14" s="3"/>
      <ns0:c r="G14" s="3"/>
      <ns0:c r="H14" s="3"/>
      <ns0:c r="I14" s="3"/>
      <ns0:c r="J14" s="3"/>
      <ns0:c r="K14" s="3"/>
      <ns0:c r="L14" s="3"/>
      <ns0:c r="M14" s="3"/>
      <ns0:c r="N14" s="3"/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2"/>
      <ns0:c r="B15" s="2"/>
      <ns0:c r="C15" s="3"/>
      <ns0:c r="D15" s="3"/>
      <ns0:c r="E15" s="3"/>
      <ns0:c r="F15" s="3"/>
      <ns0:c r="G15" s="3"/>
      <ns0:c r="H15" s="3"/>
      <ns0:c r="I15" s="3"/>
      <ns0:c r="J15" s="3"/>
      <ns0:c r="K15" s="3"/>
      <ns0:c r="L15" s="3"/>
      <ns0:c r="M15" s="3"/>
      <ns0:c r="N15" s="3"/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2"/>
      <ns0:c r="B16" s="2"/>
      <ns0:c r="C16" s="3"/>
      <ns0:c r="D16" s="3"/>
      <ns0:c r="E16" s="3"/>
      <ns0:c r="F16" s="3"/>
      <ns0:c r="G16" s="3"/>
      <ns0:c r="H16" s="3"/>
      <ns0:c r="I16" s="3"/>
      <ns0:c r="J16" s="3"/>
      <ns0:c r="K16" s="3"/>
      <ns0:c r="L16" s="3"/>
      <ns0:c r="M16" s="3"/>
      <ns0:c r="N16" s="3"/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实时经营</ns0:t>
        </ns0:is>
      </ns0:c>
    </ns0:row>
    <ns0:row r="17" ht="20" customHeight="1">
      <ns0:c r="A17" s="2"/>
      <ns0:c r="B17" s="2"/>
      <ns0:c r="C17" s="3"/>
      <ns0:c r="D17" s="3"/>
      <ns0:c r="E17" s="3"/>
      <ns0:c r="F17" s="3"/>
      <ns0:c r="G17" s="3"/>
      <ns0:c r="H17" s="3"/>
      <ns0:c r="I17" s="3"/>
      <ns0:c r="J17" s="3"/>
      <ns0:c r="K17" s="3"/>
      <ns0:c r="L17" s="3"/>
      <ns0:c r="M17" s="3"/>
      <ns0:c r="N17" s="3"/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蓝色为实时经营输入参数；示例数值为占位；金额单位：元</ns0:t>
        </ns0:is>
      </ns0:c>
    </ns0:row>
    <ns0:row r="18" ht="20" customHeight="1">
      <ns0:c r="A18" s="2"/>
      <ns0:c r="B18" s="2"/>
      <ns0:c r="C18" s="3"/>
      <ns0:c r="D18" s="3"/>
      <ns0:c r="E18" s="3"/>
      <ns0:c r="F18" s="3"/>
      <ns0:c r="G18" s="3"/>
      <ns0:c r="H18" s="3"/>
      <ns0:c r="I18" s="3"/>
      <ns0:c r="J18" s="3"/>
      <ns0:c r="K18" s="3"/>
      <ns0:c r="L18" s="3"/>
      <ns0:c r="M18" s="3"/>
      <ns0:c r="N18" s="3"/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2"/>
      <ns0:c r="B19" s="2"/>
      <ns0:c r="C19" s="3"/>
      <ns0:c r="D19" s="3"/>
      <ns0:c r="E19" s="3"/>
      <ns0:c r="F19" s="3"/>
      <ns0:c r="G19" s="3"/>
      <ns0:c r="H19" s="3"/>
      <ns0:c r="I19" s="3"/>
      <ns0:c r="J19" s="3"/>
      <ns0:c r="K19" s="3"/>
      <ns0:c r="L19" s="3"/>
      <ns0:c r="M19" s="3"/>
      <ns0:c r="N19" s="3"/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2"/>
      <ns0:c r="B20" s="2"/>
      <ns0:c r="C20" s="3"/>
      <ns0:c r="D20" s="3"/>
      <ns0:c r="E20" s="3"/>
      <ns0:c r="F20" s="3"/>
      <ns0:c r="G20" s="3"/>
      <ns0:c r="H20" s="3"/>
      <ns0:c r="I20" s="3"/>
      <ns0:c r="J20" s="3"/>
      <ns0:c r="K20" s="3"/>
      <ns0:c r="L20" s="3"/>
      <ns0:c r="M20" s="3"/>
      <ns0:c r="N20" s="3"/>
      <ns0:c r="O20" s="3"/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2"/>
      <ns0:c r="B21" s="2"/>
      <ns0:c r="C21" s="3"/>
      <ns0:c r="D21" s="3"/>
      <ns0:c r="E21" s="3"/>
      <ns0:c r="F21" s="3"/>
      <ns0:c r="G21" s="3"/>
      <ns0:c r="H21" s="3"/>
      <ns0:c r="I21" s="3"/>
      <ns0:c r="J21" s="3"/>
      <ns0:c r="K21" s="3"/>
      <ns0:c r="L21" s="3"/>
      <ns0:c r="M21" s="3"/>
      <ns0:c r="N21" s="3"/>
      <ns0:c r="O21" s="3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2"/>
      <ns0:c r="B22" s="2"/>
      <ns0:c r="C22" s="3"/>
      <ns0:c r="D22" s="3"/>
      <ns0:c r="E22" s="3"/>
      <ns0:c r="F22" s="3"/>
      <ns0:c r="G22" s="3"/>
      <ns0:c r="H22" s="3"/>
      <ns0:c r="I22" s="3"/>
      <ns0:c r="J22" s="3"/>
      <ns0:c r="K22" s="3"/>
      <ns0:c r="L22" s="3"/>
      <ns0:c r="M22" s="3"/>
      <ns0:c r="N22" s="3"/>
      <ns0:c r="O22" s="3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2"/>
      <ns0:c r="B23" s="2"/>
      <ns0:c r="C23" s="3"/>
      <ns0:c r="D23" s="3"/>
      <ns0:c r="E23" s="3"/>
      <ns0:c r="F23" s="3"/>
      <ns0:c r="G23" s="3"/>
      <ns0:c r="H23" s="3"/>
      <ns0:c r="I23" s="3"/>
      <ns0:c r="J23" s="3"/>
      <ns0:c r="K23" s="3"/>
      <ns0:c r="L23" s="3"/>
      <ns0:c r="M23" s="3"/>
      <ns0:c r="N23" s="3"/>
      <ns0:c r="O23" s="3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/>
      <ns0:c r="B24" s="2"/>
      <ns0:c r="C24" s="3"/>
      <ns0:c r="D24" s="3"/>
      <ns0:c r="E24" s="3"/>
      <ns0:c r="F24" s="3"/>
      <ns0:c r="G24" s="3"/>
      <ns0:c r="H24" s="3"/>
      <ns0:c r="I24" s="3"/>
      <ns0:c r="J24" s="3"/>
      <ns0:c r="K24" s="3"/>
      <ns0:c r="L24" s="3"/>
      <ns0:c r="M24" s="3"/>
      <ns0:c r="N24" s="3"/>
      <ns0:c r="O24" s="3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/>
      <ns0:c r="B25" s="2"/>
      <ns0:c r="C25" s="3"/>
      <ns0:c r="D25" s="3"/>
      <ns0:c r="E25" s="3"/>
      <ns0:c r="F25" s="3"/>
      <ns0:c r="G25" s="3"/>
      <ns0:c r="H25" s="3"/>
      <ns0:c r="I25" s="3"/>
      <ns0:c r="J25" s="3"/>
      <ns0:c r="K25" s="3"/>
      <ns0:c r="L25" s="3"/>
      <ns0:c r="M25" s="3"/>
      <ns0:c r="N25" s="3"/>
      <ns0:c r="O25" s="3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/>
      <ns0:c r="B26" s="2"/>
      <ns0:c r="C26" s="3"/>
      <ns0:c r="D26" s="3"/>
      <ns0:c r="E26" s="3"/>
      <ns0:c r="F26" s="3"/>
      <ns0:c r="G26" s="3"/>
      <ns0:c r="H26" s="3"/>
      <ns0:c r="I26" s="3"/>
      <ns0:c r="J26" s="3"/>
      <ns0:c r="K26" s="3"/>
      <ns0:c r="L26" s="3"/>
      <ns0:c r="M26" s="3"/>
      <ns0:c r="N26" s="3"/>
      <ns0:c r="O26" s="3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/>
      <ns0:c r="B27" s="2"/>
      <ns0:c r="C27" s="3"/>
      <ns0:c r="D27" s="3"/>
      <ns0:c r="E27" s="3"/>
      <ns0:c r="F27" s="3"/>
      <ns0:c r="G27" s="3"/>
      <ns0:c r="H27" s="3"/>
      <ns0:c r="I27" s="3"/>
      <ns0:c r="J27" s="3"/>
      <ns0:c r="K27" s="3"/>
      <ns0:c r="L27" s="3"/>
      <ns0:c r="M27" s="3"/>
      <ns0:c r="N27" s="3"/>
      <ns0:c r="O27" s="3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/>
      <ns0:c r="B28" s="2"/>
      <ns0:c r="C28" s="3"/>
      <ns0:c r="D28" s="3"/>
      <ns0:c r="E28" s="3"/>
      <ns0:c r="F28" s="3"/>
      <ns0:c r="G28" s="3"/>
      <ns0:c r="H28" s="3"/>
      <ns0:c r="I28" s="3"/>
      <ns0:c r="J28" s="3"/>
      <ns0:c r="K28" s="3"/>
      <ns0:c r="L28" s="3"/>
      <ns0:c r="M28" s="3"/>
      <ns0:c r="N28" s="3"/>
      <ns0:c r="O28" s="3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/>
      <ns0:c r="B29" s="2"/>
      <ns0:c r="C29" s="3"/>
      <ns0:c r="D29" s="3"/>
      <ns0:c r="E29" s="3"/>
      <ns0:c r="F29" s="3"/>
      <ns0:c r="G29" s="3"/>
      <ns0:c r="H29" s="3"/>
      <ns0:c r="I29" s="3"/>
      <ns0:c r="J29" s="3"/>
      <ns0:c r="K29" s="3"/>
      <ns0:c r="L29" s="3"/>
      <ns0:c r="M29" s="3"/>
      <ns0:c r="N29" s="3"/>
      <ns0:c r="O29" s="3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/>
      <ns0:c r="B30" s="5" t="inlineStr">
        <ns0:is>
          <ns0:t>实时经营（月度，元）</ns0:t>
        </ns0:is>
      </ns0:c>
      <ns0:c r="C30" s="6" t="inlineStr">
        <ns0:is>
          <ns0:t>2027-01</ns0:t>
        </ns0:is>
      </ns0:c>
      <ns0:c r="D30" s="6" t="inlineStr">
        <ns0:is>
          <ns0:t>2027-02</ns0:t>
        </ns0:is>
      </ns0:c>
      <ns0:c r="E30" s="6" t="inlineStr">
        <ns0:is>
          <ns0:t>2027-03</ns0:t>
        </ns0:is>
      </ns0:c>
      <ns0:c r="F30" s="6" t="inlineStr">
        <ns0:is>
          <ns0:t>2027-04</ns0:t>
        </ns0:is>
      </ns0:c>
      <ns0:c r="G30" s="6" t="inlineStr">
        <ns0:is>
          <ns0:t>2027-05</ns0:t>
        </ns0:is>
      </ns0:c>
      <ns0:c r="H30" s="6" t="inlineStr">
        <ns0:is>
          <ns0:t>2027-06</ns0:t>
        </ns0:is>
      </ns0:c>
      <ns0:c r="I30" s="6" t="inlineStr">
        <ns0:is>
          <ns0:t>2027-07</ns0:t>
        </ns0:is>
      </ns0:c>
      <ns0:c r="J30" s="6" t="inlineStr">
        <ns0:is>
          <ns0:t>2027-08</ns0:t>
        </ns0:is>
      </ns0:c>
      <ns0:c r="K30" s="6" t="inlineStr">
        <ns0:is>
          <ns0:t>2027-09</ns0:t>
        </ns0:is>
      </ns0:c>
      <ns0:c r="L30" s="6" t="inlineStr">
        <ns0:is>
          <ns0:t>2027-10</ns0:t>
        </ns0:is>
      </ns0:c>
      <ns0:c r="M30" s="6" t="inlineStr">
        <ns0:is>
          <ns0:t>2027-11</ns0:t>
        </ns0:is>
      </ns0:c>
      <ns0:c r="N30" s="6" t="inlineStr">
        <ns0:is>
          <ns0:t>2027-12</ns0:t>
        </ns0:is>
      </ns0:c>
      <ns0:c r="O30" s="6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/>
      <ns0:c r="B31" s="2" t="inlineStr">
        <ns0:is>
          <ns0:t>授权单价</ns0:t>
        </ns0:is>
      </ns0:c>
      <ns0:c r="C31" s="4">
        <ns0:v>2207.19</ns0:v>
      </ns0:c>
      <ns0:c r="D31" s="4">
        <ns0:v>2420.20</ns0:v>
      </ns0:c>
      <ns0:c r="E31" s="4">
        <ns0:v>2063.03</ns0:v>
      </ns0:c>
      <ns0:c r="F31" s="4">
        <ns0:v>1867.33</ns0:v>
      </ns0:c>
      <ns0:c r="G31" s="4">
        <ns0:v>1822.06</ns0:v>
      </ns0:c>
      <ns0:c r="H31" s="4">
        <ns0:v>1726.86</ns0:v>
      </ns0:c>
      <ns0:c r="I31" s="4">
        <ns0:v>1879.97</ns0:v>
      </ns0:c>
      <ns0:c r="J31" s="4">
        <ns0:v>2412.91</ns0:v>
      </ns0:c>
      <ns0:c r="K31" s="4">
        <ns0:v>1755.88</ns0:v>
      </ns0:c>
      <ns0:c r="L31" s="4">
        <ns0:v>1372.33</ns0:v>
      </ns0:c>
      <ns0:c r="M31" s="4">
        <ns0:v>1536.20</ns0:v>
      </ns0:c>
      <ns0:c r="N31" s="4">
        <ns0:v>2367.40</ns0:v>
      </ns0:c>
      <ns0:c r="O31" s="3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/>
      <ns0:c r="B32" s="2" t="inlineStr">
        <ns0:is>
          <ns0:t>授权数量</ns0:t>
        </ns0:is>
      </ns0:c>
      <ns0:c r="C32" s="4">
        <ns0:v>116.64</ns0:v>
      </ns0:c>
      <ns0:c r="D32" s="4">
        <ns0:v>100.02</ns0:v>
      </ns0:c>
      <ns0:c r="E32" s="4">
        <ns0:v>98.02</ns0:v>
      </ns0:c>
      <ns0:c r="F32" s="4">
        <ns0:v>97.53</ns0:v>
      </ns0:c>
      <ns0:c r="G32" s="4">
        <ns0:v>94.22</ns0:v>
      </ns0:c>
      <ns0:c r="H32" s="4">
        <ns0:v>80.12</ns0:v>
      </ns0:c>
      <ns0:c r="I32" s="4">
        <ns0:v>110.62</ns0:v>
      </ns0:c>
      <ns0:c r="J32" s="4">
        <ns0:v>117.89</ns0:v>
      </ns0:c>
      <ns0:c r="K32" s="4">
        <ns0:v>79.33</ns0:v>
      </ns0:c>
      <ns0:c r="L32" s="4">
        <ns0:v>96.22</ns0:v>
      </ns0:c>
      <ns0:c r="M32" s="4">
        <ns0:v>110.41</ns0:v>
      </ns0:c>
      <ns0:c r="N32" s="4">
        <ns0:v>88.48</ns0:v>
      </ns0:c>
      <ns0:c r="O32" s="3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/>
      <ns0:c r="B33" s="2" t="inlineStr">
        <ns0:is>
          <ns0:t>营业收入</ns0:t>
        </ns0:is>
      </ns0:c>
      <ns0:c r="C33" s="3">
        <ns0:f>ROUND(C31*C32,2)</ns0:f>
        <ns0:v>257446.64</ns0:v>
      </ns0:c>
      <ns0:c r="D33" s="3">
        <ns0:f>ROUND(D31*D32,2)</ns0:f>
        <ns0:v>242068.40</ns0:v>
      </ns0:c>
      <ns0:c r="E33" s="3">
        <ns0:f>ROUND(E31*E32,2)</ns0:f>
        <ns0:v>202218.20</ns0:v>
      </ns0:c>
      <ns0:c r="F33" s="3">
        <ns0:f>ROUND(F31*F32,2)</ns0:f>
        <ns0:v>182120.69</ns0:v>
      </ns0:c>
      <ns0:c r="G33" s="3">
        <ns0:f>ROUND(G31*G32,2)</ns0:f>
        <ns0:v>171674.49</ns0:v>
      </ns0:c>
      <ns0:c r="H33" s="3">
        <ns0:f>ROUND(H31*H32,2)</ns0:f>
        <ns0:v>138356.02</ns0:v>
      </ns0:c>
      <ns0:c r="I33" s="3">
        <ns0:f>ROUND(I31*I32,2)</ns0:f>
        <ns0:v>207962.28</ns0:v>
      </ns0:c>
      <ns0:c r="J33" s="3">
        <ns0:f>ROUND(J31*J32,2)</ns0:f>
        <ns0:v>284457.96</ns0:v>
      </ns0:c>
      <ns0:c r="K33" s="3">
        <ns0:f>ROUND(K31*K32,2)</ns0:f>
        <ns0:v>139293.96</ns0:v>
      </ns0:c>
      <ns0:c r="L33" s="3">
        <ns0:f>ROUND(L31*L32,2)</ns0:f>
        <ns0:v>132045.59</ns0:v>
      </ns0:c>
      <ns0:c r="M33" s="3">
        <ns0:f>ROUND(M31*M32,2)</ns0:f>
        <ns0:v>169611.84</ns0:v>
      </ns0:c>
      <ns0:c r="N33" s="3">
        <ns0:f>ROUND(N31*N32,2)</ns0:f>
        <ns0:v>209467.55</ns0:v>
      </ns0:c>
      <ns0:c r="O33" s="3">
        <ns0:f>SUM(C33:N33)</ns0:f>
        <ns0:v>2336723.62</ns0:v>
      </ns0:c>
      <ns0:c r="P33" s="2" t="inlineStr">
        <ns0:is>
          <ns0:t>REV1</ns0:t>
        </ns0:is>
      </ns0:c>
      <ns0:c r="Q33" s="2" t="inlineStr">
        <ns0:is>
          <ns0:t>演示占位-v1</ns0:t>
        </ns0:is>
      </ns0:c>
      <ns0:c r="R33" s="2" t="inlineStr">
        <ns0:is>
          <ns0:t>模拟权责发生制</ns0:t>
        </ns0:is>
      </ns0:c>
      <ns0:c r="S33" s="2" t="inlineStr">
        <ns0:is>
          <ns0:t>2027-01</ns0:t>
        </ns0:is>
      </ns0:c>
      <ns0:c r="T33" s="2" t="inlineStr">
        <ns0:is>
          <ns0:t>2027-06</ns0:t>
        </ns0:is>
      </ns0:c>
      <ns0:c r="U33" s="2" t="inlineStr">
        <ns0:is>
          <ns0:t>无</ns0:t>
        </ns0:is>
      </ns0:c>
      <ns0:c r="V33" s="2" t="inlineStr">
        <ns0:is>
          <ns0:t>无</ns0:t>
        </ns0:is>
      </ns0:c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/>
      <ns0:c r="B34" s="2" t="inlineStr">
        <ns0:is>
          <ns0:t>单位采购成本</ns0:t>
        </ns0:is>
      </ns0:c>
      <ns0:c r="C34" s="4">
        <ns0:v>666.28</ns0:v>
      </ns0:c>
      <ns0:c r="D34" s="4">
        <ns0:v>484.50</ns0:v>
      </ns0:c>
      <ns0:c r="E34" s="4">
        <ns0:v>639.95</ns0:v>
      </ns0:c>
      <ns0:c r="F34" s="4">
        <ns0:v>888.41</ns0:v>
      </ns0:c>
      <ns0:c r="G34" s="4">
        <ns0:v>658.81</ns0:v>
      </ns0:c>
      <ns0:c r="H34" s="4">
        <ns0:v>672.59</ns0:v>
      </ns0:c>
      <ns0:c r="I34" s="4">
        <ns0:v>739.37</ns0:v>
      </ns0:c>
      <ns0:c r="J34" s="4">
        <ns0:v>765.97</ns0:v>
      </ns0:c>
      <ns0:c r="K34" s="4">
        <ns0:v>598.64</ns0:v>
      </ns0:c>
      <ns0:c r="L34" s="4">
        <ns0:v>701.37</ns0:v>
      </ns0:c>
      <ns0:c r="M34" s="4">
        <ns0:v>744.76</ns0:v>
      </ns0:c>
      <ns0:c r="N34" s="4">
        <ns0:v>652.40</ns0:v>
      </ns0:c>
      <ns0:c r="O34" s="3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/>
      <ns0:c r="B35" s="2" t="inlineStr">
        <ns0:is>
          <ns0:t>采购数量</ns0:t>
        </ns0:is>
      </ns0:c>
      <ns0:c r="C35" s="3">
        <ns0:f>C32</ns0:f>
        <ns0:v>116.64</ns0:v>
      </ns0:c>
      <ns0:c r="D35" s="3">
        <ns0:f>D32</ns0:f>
        <ns0:v>100.02</ns0:v>
      </ns0:c>
      <ns0:c r="E35" s="3">
        <ns0:f>E32</ns0:f>
        <ns0:v>98.02</ns0:v>
      </ns0:c>
      <ns0:c r="F35" s="3">
        <ns0:f>F32</ns0:f>
        <ns0:v>97.53</ns0:v>
      </ns0:c>
      <ns0:c r="G35" s="3">
        <ns0:f>G32</ns0:f>
        <ns0:v>94.22</ns0:v>
      </ns0:c>
      <ns0:c r="H35" s="3">
        <ns0:f>H32</ns0:f>
        <ns0:v>80.12</ns0:v>
      </ns0:c>
      <ns0:c r="I35" s="3">
        <ns0:f>I32</ns0:f>
        <ns0:v>110.62</ns0:v>
      </ns0:c>
      <ns0:c r="J35" s="3">
        <ns0:f>J32</ns0:f>
        <ns0:v>117.89</ns0:v>
      </ns0:c>
      <ns0:c r="K35" s="3">
        <ns0:f>K32</ns0:f>
        <ns0:v>79.33</ns0:v>
      </ns0:c>
      <ns0:c r="L35" s="3">
        <ns0:f>L32</ns0:f>
        <ns0:v>96.22</ns0:v>
      </ns0:c>
      <ns0:c r="M35" s="3">
        <ns0:f>M32</ns0:f>
        <ns0:v>110.41</ns0:v>
      </ns0:c>
      <ns0:c r="N35" s="3">
        <ns0:f>N32</ns0:f>
        <ns0:v>88.48</ns0:v>
      </ns0:c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/>
      <ns0:c r="B36" s="2" t="inlineStr">
        <ns0:is>
          <ns0:t>营业成本</ns0:t>
        </ns0:is>
      </ns0:c>
      <ns0:c r="C36" s="3">
        <ns0:f>ROUND(C34*C35,2)</ns0:f>
        <ns0:v>77714.90</ns0:v>
      </ns0:c>
      <ns0:c r="D36" s="3">
        <ns0:f>ROUND(D34*D35,2)</ns0:f>
        <ns0:v>48459.69</ns0:v>
      </ns0:c>
      <ns0:c r="E36" s="3">
        <ns0:f>ROUND(E34*E35,2)</ns0:f>
        <ns0:v>62727.90</ns0:v>
      </ns0:c>
      <ns0:c r="F36" s="3">
        <ns0:f>ROUND(F34*F35,2)</ns0:f>
        <ns0:v>86646.63</ns0:v>
      </ns0:c>
      <ns0:c r="G36" s="3">
        <ns0:f>ROUND(G34*G35,2)</ns0:f>
        <ns0:v>62073.08</ns0:v>
      </ns0:c>
      <ns0:c r="H36" s="3">
        <ns0:f>ROUND(H34*H35,2)</ns0:f>
        <ns0:v>53887.91</ns0:v>
      </ns0:c>
      <ns0:c r="I36" s="3">
        <ns0:f>ROUND(I34*I35,2)</ns0:f>
        <ns0:v>81789.11</ns0:v>
      </ns0:c>
      <ns0:c r="J36" s="3">
        <ns0:f>ROUND(J34*J35,2)</ns0:f>
        <ns0:v>90300.20</ns0:v>
      </ns0:c>
      <ns0:c r="K36" s="3">
        <ns0:f>ROUND(K34*K35,2)</ns0:f>
        <ns0:v>47490.11</ns0:v>
      </ns0:c>
      <ns0:c r="L36" s="3">
        <ns0:f>ROUND(L34*L35,2)</ns0:f>
        <ns0:v>67485.82</ns0:v>
      </ns0:c>
      <ns0:c r="M36" s="3">
        <ns0:f>ROUND(M34*M35,2)</ns0:f>
        <ns0:v>82228.95</ns0:v>
      </ns0:c>
      <ns0:c r="N36" s="3">
        <ns0:f>ROUND(N34*N35,2)</ns0:f>
        <ns0:v>57724.35</ns0:v>
      </ns0:c>
      <ns0:c r="O36" s="3">
        <ns0:f>SUM(C36:N36)</ns0:f>
        <ns0:v>818528.65</ns0:v>
      </ns0:c>
      <ns0:c r="P36" s="2" t="inlineStr">
        <ns0:is>
          <ns0:t>COGS1</ns0:t>
        </ns0:is>
      </ns0:c>
      <ns0:c r="Q36" s="2" t="inlineStr">
        <ns0:is>
          <ns0:t>演示占位-v1</ns0:t>
        </ns0:is>
      </ns0:c>
      <ns0:c r="R36" s="2" t="inlineStr">
        <ns0:is>
          <ns0:t>模拟权责发生制</ns0:t>
        </ns0:is>
      </ns0:c>
      <ns0:c r="S36" s="2" t="inlineStr">
        <ns0:is>
          <ns0:t>2027-01</ns0:t>
        </ns0:is>
      </ns0:c>
      <ns0:c r="T36" s="2" t="inlineStr">
        <ns0:is>
          <ns0:t>2027-06</ns0:t>
        </ns0:is>
      </ns0:c>
      <ns0:c r="U36" s="2" t="inlineStr">
        <ns0:is>
          <ns0:t>无</ns0:t>
        </ns0:is>
      </ns0:c>
      <ns0:c r="V36" s="2" t="inlineStr">
        <ns0:is>
          <ns0:t>无</ns0:t>
        </ns0:is>
      </ns0:c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 t="inlineStr">
        <ns0:is>
          <ns0:t>采购金额（占位）</ns0:t>
        </ns0:is>
      </ns0:c>
      <ns0:c r="C37" s="3">
        <ns0:f>C36</ns0:f>
        <ns0:v>77714.90</ns0:v>
      </ns0:c>
      <ns0:c r="D37" s="3">
        <ns0:f>D36</ns0:f>
        <ns0:v>48459.69</ns0:v>
      </ns0:c>
      <ns0:c r="E37" s="3">
        <ns0:f>E36</ns0:f>
        <ns0:v>62727.90</ns0:v>
      </ns0:c>
      <ns0:c r="F37" s="3">
        <ns0:f>F36</ns0:f>
        <ns0:v>86646.63</ns0:v>
      </ns0:c>
      <ns0:c r="G37" s="3">
        <ns0:f>G36</ns0:f>
        <ns0:v>62073.08</ns0:v>
      </ns0:c>
      <ns0:c r="H37" s="3">
        <ns0:f>H36</ns0:f>
        <ns0:v>53887.91</ns0:v>
      </ns0:c>
      <ns0:c r="I37" s="3">
        <ns0:f>I36</ns0:f>
        <ns0:v>81789.11</ns0:v>
      </ns0:c>
      <ns0:c r="J37" s="3">
        <ns0:f>J36</ns0:f>
        <ns0:v>90300.20</ns0:v>
      </ns0:c>
      <ns0:c r="K37" s="3">
        <ns0:f>K36</ns0:f>
        <ns0:v>47490.11</ns0:v>
      </ns0:c>
      <ns0:c r="L37" s="3">
        <ns0:f>L36</ns0:f>
        <ns0:v>67485.82</ns0:v>
      </ns0:c>
      <ns0:c r="M37" s="3">
        <ns0:f>M36</ns0:f>
        <ns0:v>82228.95</ns0:v>
      </ns0:c>
      <ns0:c r="N37" s="3">
        <ns0:f>N36</ns0:f>
        <ns0:v>57724.35</ns0:v>
      </ns0:c>
      <ns0:c r="O37" s="3">
        <ns0:f>SUM(C37:N37)</ns0:f>
        <ns0:v>818528.65</ns0:v>
      </ns0:c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/>
      <ns0:c r="C64" s="3"/>
      <ns0:c r="D64" s="3"/>
      <ns0:c r="E64" s="3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/>
      <ns0:c r="C65" s="3"/>
      <ns0:c r="D65" s="3"/>
      <ns0:c r="E65" s="3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/>
      <ns0:c r="C66" s="3"/>
      <ns0:c r="D66" s="3"/>
      <ns0:c r="E66" s="3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/>
      <ns0:c r="C67" s="3"/>
      <ns0:c r="D67" s="3"/>
      <ns0:c r="E67" s="3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/>
      <ns0:c r="C68" s="3"/>
      <ns0:c r="D68" s="3"/>
      <ns0:c r="E68" s="3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N3:O3"/>
    <ns0:mergeCell ref="R3:S3"/>
  </ns0:mergeCells>
  <ns0:pageMargins left="0.7" right="0.7" top="0.75" bottom="0.75" header="0.3" footer="0.3"/>
</ns0:worksheet>
</file>

<file path=xl/worksheets/sheet5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20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11.125" hidden="0" customWidth="1"/>
    <ns0:col min="18" max="18" width="11.125" hidden="0" customWidth="1"/>
    <ns0:col min="19" max="19" width="14.625" hidden="0" customWidth="1"/>
    <ns0:col min="20" max="20" width="17.25" hidden="0" customWidth="1"/>
    <ns0:col min="21" max="21" width="20" hidden="0" customWidth="1"/>
    <ns0:col min="22" max="22" width="17.25" hidden="0" customWidth="1"/>
    <ns0:col min="50" max="50" width="20" hidden="0" customWidth="1"/>
    <ns0:col min="51" max="51" width="65" hidden="0" customWidth="1"/>
    <ns0:col min="23" max="23" width="13" hidden="0" customWidth="1"/>
    <ns0:col min="24" max="24" width="13" hidden="0" customWidth="1"/>
    <ns0:col min="25" max="25" width="13" hidden="0" customWidth="1"/>
    <ns0:col min="26" max="26" width="17.25" hidden="0" customWidth="1"/>
    <ns0:col min="27" max="27" width="17.25" hidden="0" customWidth="1"/>
    <ns0:col min="28" max="28" width="17.25" hidden="0" customWidth="1"/>
    <ns0:col min="29" max="29" width="17.25" hidden="0" customWidth="1"/>
    <ns0:col min="30" max="30" width="17.25" hidden="0" customWidth="1"/>
    <ns0:col min="31" max="31" width="17.25" hidden="0" customWidth="1"/>
    <ns0:col min="32" max="32" width="16.125" hidden="0" customWidth="1"/>
  </ns0:cols>
  <ns0:sheetData>
    <ns0:row r="1" ht="20" customHeight="1">
      <ns0:c r="A1" s="2"/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2"/>
      <ns0:c r="B2" s="2" t="inlineStr">
        <ns0:is>
          <ns0:t>项目名称</ns0:t>
        </ns0:is>
      </ns0:c>
      <ns0:c r="C2" s="3"/>
      <ns0:c r="D2" s="3" t="inlineStr">
        <ns0:is>
          <ns0:t>投资比例</ns0:t>
        </ns0:is>
      </ns0:c>
      <ns0:c r="E2" s="3"/>
      <ns0:c r="F2" s="3"/>
      <ns0:c r="G2" s="3"/>
      <ns0:c r="H2" s="3"/>
      <ns0:c r="I2" s="3"/>
      <ns0:c r="J2" s="3"/>
      <ns0:c r="K2" s="3"/>
      <ns0:c r="L2" s="3"/>
      <ns0:c r="M2" s="3"/>
      <ns0:c r="N2" s="3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 t="inlineStr">
        <ns0:is>
          <ns0:t>成本</ns0:t>
        </ns0:is>
      </ns0:c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E-5f17fa2948</ns0:t>
        </ns0:is>
      </ns0:c>
    </ns0:row>
    <ns0:row r="3" ht="20" customHeight="1">
      <ns0:c r="A3" s="2"/>
      <ns0:c r="B3" s="2"/>
      <ns0:c r="C3" s="6"/>
      <ns0:c r="D3" s="6"/>
      <ns0:c r="E3" s="6"/>
      <ns0:c r="F3" s="6"/>
      <ns0:c r="G3" s="6"/>
      <ns0:c r="H3" s="6"/>
      <ns0:c r="I3" s="6"/>
      <ns0:c r="J3" s="6"/>
      <ns0:c r="K3" s="6"/>
      <ns0:c r="L3" s="6"/>
      <ns0:c r="M3" s="6"/>
      <ns0:c r="N3" s="6"/>
      <ns0:c r="O3" s="6"/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主体乙</ns0:t>
        </ns0:is>
      </ns0:c>
    </ns0:row>
    <ns0:row r="4" ht="20" customHeight="1">
      <ns0:c r="A4" s="2"/>
      <ns0:c r="B4" s="2"/>
      <ns0:c r="C4" s="3"/>
      <ns0:c r="D4" s="3"/>
      <ns0:c r="E4" s="3"/>
      <ns0:c r="F4" s="3"/>
      <ns0:c r="G4" s="3"/>
      <ns0:c r="H4" s="3"/>
      <ns0:c r="I4" s="3"/>
      <ns0:c r="J4" s="3"/>
      <ns0:c r="K4" s="3"/>
      <ns0:c r="L4" s="3"/>
      <ns0:c r="M4" s="3"/>
      <ns0:c r="N4" s="3"/>
      <ns0:c r="O4" s="3"/>
      <ns0:c r="P4" s="2"/>
      <ns0:c r="Q4" s="2"/>
      <ns0:c r="R4" s="2"/>
      <ns0:c r="S4" s="2"/>
      <ns0:c r="T4" s="2"/>
      <ns0:c r="U4" s="2"/>
      <ns0:c r="V4" s="2"/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S-03e3bfa6bf</ns0:t>
        </ns0:is>
      </ns0:c>
    </ns0:row>
    <ns0:row r="5" ht="20" customHeight="1">
      <ns0:c r="A5" s="2"/>
      <ns0:c r="B5" s="2"/>
      <ns0:c r="C5" s="3"/>
      <ns0:c r="D5" s="3"/>
      <ns0:c r="E5" s="3"/>
      <ns0:c r="F5" s="3"/>
      <ns0:c r="G5" s="3"/>
      <ns0:c r="H5" s="3"/>
      <ns0:c r="I5" s="3"/>
      <ns0:c r="J5" s="3"/>
      <ns0:c r="K5" s="3"/>
      <ns0:c r="L5" s="3"/>
      <ns0:c r="M5" s="3"/>
      <ns0:c r="N5" s="3"/>
      <ns0:c r="O5" s="3"/>
      <ns0:c r="P5" s="2"/>
      <ns0:c r="Q5" s="2"/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扩展情景</ns0:t>
        </ns0:is>
      </ns0:c>
    </ns0:row>
    <ns0:row r="6" ht="20" customHeight="1">
      <ns0:c r="A6" s="2"/>
      <ns0:c r="B6" s="2"/>
      <ns0:c r="C6" s="3"/>
      <ns0:c r="D6" s="3"/>
      <ns0:c r="E6" s="3"/>
      <ns0:c r="F6" s="3"/>
      <ns0:c r="G6" s="3"/>
      <ns0:c r="H6" s="3"/>
      <ns0:c r="I6" s="3"/>
      <ns0:c r="J6" s="3"/>
      <ns0:c r="K6" s="3"/>
      <ns0:c r="L6" s="3"/>
      <ns0:c r="M6" s="3"/>
      <ns0:c r="N6" s="3"/>
      <ns0:c r="O6" s="3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2"/>
      <ns0:c r="B7" s="2"/>
      <ns0:c r="C7" s="3"/>
      <ns0:c r="D7" s="3"/>
      <ns0:c r="E7" s="3"/>
      <ns0:c r="F7" s="3"/>
      <ns0:c r="G7" s="3"/>
      <ns0:c r="H7" s="3"/>
      <ns0:c r="I7" s="3"/>
      <ns0:c r="J7" s="3"/>
      <ns0:c r="K7" s="3"/>
      <ns0:c r="L7" s="3"/>
      <ns0:c r="M7" s="3"/>
      <ns0:c r="N7" s="3"/>
      <ns0:c r="O7" s="3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季度</ns0:t>
        </ns0:is>
      </ns0:c>
    </ns0:row>
    <ns0:row r="8" ht="20" customHeight="1">
      <ns0:c r="A8" s="2"/>
      <ns0:c r="B8" s="2"/>
      <ns0:c r="C8" s="3"/>
      <ns0:c r="D8" s="3"/>
      <ns0:c r="E8" s="3"/>
      <ns0:c r="F8" s="3"/>
      <ns0:c r="G8" s="3"/>
      <ns0:c r="H8" s="3"/>
      <ns0:c r="I8" s="3"/>
      <ns0:c r="J8" s="3"/>
      <ns0:c r="K8" s="3"/>
      <ns0:c r="L8" s="3"/>
      <ns0:c r="M8" s="3"/>
      <ns0:c r="N8" s="3"/>
      <ns0:c r="O8" s="3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2"/>
      <ns0:c r="B9" s="2"/>
      <ns0:c r="C9" s="3"/>
      <ns0:c r="D9" s="3"/>
      <ns0:c r="E9" s="3"/>
      <ns0:c r="F9" s="3"/>
      <ns0:c r="G9" s="3"/>
      <ns0:c r="H9" s="3"/>
      <ns0:c r="I9" s="3"/>
      <ns0:c r="J9" s="3"/>
      <ns0:c r="K9" s="3"/>
      <ns0:c r="L9" s="3"/>
      <ns0:c r="M9" s="3"/>
      <ns0:c r="N9" s="3"/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2"/>
      <ns0:c r="B10" s="2"/>
      <ns0:c r="C10" s="3"/>
      <ns0:c r="D10" s="3"/>
      <ns0:c r="E10" s="3"/>
      <ns0:c r="F10" s="3"/>
      <ns0:c r="G10" s="3"/>
      <ns0:c r="H10" s="3"/>
      <ns0:c r="I10" s="3"/>
      <ns0:c r="J10" s="3"/>
      <ns0:c r="K10" s="3"/>
      <ns0:c r="L10" s="3"/>
      <ns0:c r="M10" s="3"/>
      <ns0:c r="N10" s="3"/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2"/>
      <ns0:c r="B11" s="2"/>
      <ns0:c r="C11" s="3"/>
      <ns0:c r="D11" s="3"/>
      <ns0:c r="E11" s="3"/>
      <ns0:c r="F11" s="3"/>
      <ns0:c r="G11" s="3"/>
      <ns0:c r="H11" s="3"/>
      <ns0:c r="I11" s="3"/>
      <ns0:c r="J11" s="3"/>
      <ns0:c r="K11" s="3"/>
      <ns0:c r="L11" s="3"/>
      <ns0:c r="M11" s="3"/>
      <ns0:c r="N11" s="3"/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2"/>
      <ns0:c r="B12" s="2"/>
      <ns0:c r="C12" s="3"/>
      <ns0:c r="D12" s="3"/>
      <ns0:c r="E12" s="3"/>
      <ns0:c r="F12" s="3"/>
      <ns0:c r="G12" s="3"/>
      <ns0:c r="H12" s="3"/>
      <ns0:c r="I12" s="3"/>
      <ns0:c r="J12" s="3"/>
      <ns0:c r="K12" s="3"/>
      <ns0:c r="L12" s="3"/>
      <ns0:c r="M12" s="3"/>
      <ns0:c r="N12" s="3"/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2"/>
      <ns0:c r="B13" s="2"/>
      <ns0:c r="C13" s="3"/>
      <ns0:c r="D13" s="3"/>
      <ns0:c r="E13" s="3"/>
      <ns0:c r="F13" s="3"/>
      <ns0:c r="G13" s="3"/>
      <ns0:c r="H13" s="3"/>
      <ns0:c r="I13" s="3"/>
      <ns0:c r="J13" s="3"/>
      <ns0:c r="K13" s="3"/>
      <ns0:c r="L13" s="3"/>
      <ns0:c r="M13" s="3"/>
      <ns0:c r="N13" s="3"/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2"/>
      <ns0:c r="B14" s="2"/>
      <ns0:c r="C14" s="3"/>
      <ns0:c r="D14" s="3"/>
      <ns0:c r="E14" s="3"/>
      <ns0:c r="F14" s="3"/>
      <ns0:c r="G14" s="3"/>
      <ns0:c r="H14" s="3"/>
      <ns0:c r="I14" s="3"/>
      <ns0:c r="J14" s="3"/>
      <ns0:c r="K14" s="3"/>
      <ns0:c r="L14" s="3"/>
      <ns0:c r="M14" s="3"/>
      <ns0:c r="N14" s="3"/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2"/>
      <ns0:c r="B15" s="2"/>
      <ns0:c r="C15" s="3"/>
      <ns0:c r="D15" s="3"/>
      <ns0:c r="E15" s="3"/>
      <ns0:c r="F15" s="3"/>
      <ns0:c r="G15" s="3"/>
      <ns0:c r="H15" s="3"/>
      <ns0:c r="I15" s="3"/>
      <ns0:c r="J15" s="3"/>
      <ns0:c r="K15" s="3"/>
      <ns0:c r="L15" s="3"/>
      <ns0:c r="M15" s="3"/>
      <ns0:c r="N15" s="3"/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2"/>
      <ns0:c r="B16" s="2"/>
      <ns0:c r="C16" s="3"/>
      <ns0:c r="D16" s="3"/>
      <ns0:c r="E16" s="3"/>
      <ns0:c r="F16" s="3"/>
      <ns0:c r="G16" s="3"/>
      <ns0:c r="H16" s="3"/>
      <ns0:c r="I16" s="3"/>
      <ns0:c r="J16" s="3"/>
      <ns0:c r="K16" s="3"/>
      <ns0:c r="L16" s="3"/>
      <ns0:c r="M16" s="3"/>
      <ns0:c r="N16" s="3"/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实时经营</ns0:t>
        </ns0:is>
      </ns0:c>
    </ns0:row>
    <ns0:row r="17" ht="20" customHeight="1">
      <ns0:c r="A17" s="2"/>
      <ns0:c r="B17" s="2"/>
      <ns0:c r="C17" s="3"/>
      <ns0:c r="D17" s="3"/>
      <ns0:c r="E17" s="3"/>
      <ns0:c r="F17" s="3"/>
      <ns0:c r="G17" s="3"/>
      <ns0:c r="H17" s="3"/>
      <ns0:c r="I17" s="3"/>
      <ns0:c r="J17" s="3"/>
      <ns0:c r="K17" s="3"/>
      <ns0:c r="L17" s="3"/>
      <ns0:c r="M17" s="3"/>
      <ns0:c r="N17" s="3"/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蓝色为实时经营输入参数；示例数值为占位；金额单位：元</ns0:t>
        </ns0:is>
      </ns0:c>
    </ns0:row>
    <ns0:row r="18" ht="20" customHeight="1">
      <ns0:c r="A18" s="2"/>
      <ns0:c r="B18" s="2"/>
      <ns0:c r="C18" s="3"/>
      <ns0:c r="D18" s="3"/>
      <ns0:c r="E18" s="3"/>
      <ns0:c r="F18" s="3"/>
      <ns0:c r="G18" s="3"/>
      <ns0:c r="H18" s="3"/>
      <ns0:c r="I18" s="3"/>
      <ns0:c r="J18" s="3"/>
      <ns0:c r="K18" s="3"/>
      <ns0:c r="L18" s="3"/>
      <ns0:c r="M18" s="3"/>
      <ns0:c r="N18" s="3"/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2"/>
      <ns0:c r="B19" s="2"/>
      <ns0:c r="C19" s="3"/>
      <ns0:c r="D19" s="3"/>
      <ns0:c r="E19" s="3"/>
      <ns0:c r="F19" s="3"/>
      <ns0:c r="G19" s="3"/>
      <ns0:c r="H19" s="3"/>
      <ns0:c r="I19" s="3"/>
      <ns0:c r="J19" s="3"/>
      <ns0:c r="K19" s="3"/>
      <ns0:c r="L19" s="3"/>
      <ns0:c r="M19" s="3"/>
      <ns0:c r="N19" s="3"/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2"/>
      <ns0:c r="B20" s="2"/>
      <ns0:c r="C20" s="3"/>
      <ns0:c r="D20" s="3"/>
      <ns0:c r="E20" s="3"/>
      <ns0:c r="F20" s="3"/>
      <ns0:c r="G20" s="3"/>
      <ns0:c r="H20" s="3"/>
      <ns0:c r="I20" s="3"/>
      <ns0:c r="J20" s="3"/>
      <ns0:c r="K20" s="3"/>
      <ns0:c r="L20" s="3"/>
      <ns0:c r="M20" s="3"/>
      <ns0:c r="N20" s="3"/>
      <ns0:c r="O20" s="3"/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2"/>
      <ns0:c r="B21" s="2"/>
      <ns0:c r="C21" s="3"/>
      <ns0:c r="D21" s="3"/>
      <ns0:c r="E21" s="3"/>
      <ns0:c r="F21" s="3"/>
      <ns0:c r="G21" s="3"/>
      <ns0:c r="H21" s="3"/>
      <ns0:c r="I21" s="3"/>
      <ns0:c r="J21" s="3"/>
      <ns0:c r="K21" s="3"/>
      <ns0:c r="L21" s="3"/>
      <ns0:c r="M21" s="3"/>
      <ns0:c r="N21" s="3"/>
      <ns0:c r="O21" s="3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2"/>
      <ns0:c r="B22" s="2"/>
      <ns0:c r="C22" s="3"/>
      <ns0:c r="D22" s="3"/>
      <ns0:c r="E22" s="3"/>
      <ns0:c r="F22" s="3"/>
      <ns0:c r="G22" s="3"/>
      <ns0:c r="H22" s="3"/>
      <ns0:c r="I22" s="3"/>
      <ns0:c r="J22" s="3"/>
      <ns0:c r="K22" s="3"/>
      <ns0:c r="L22" s="3"/>
      <ns0:c r="M22" s="3"/>
      <ns0:c r="N22" s="3"/>
      <ns0:c r="O22" s="3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2"/>
      <ns0:c r="B23" s="2"/>
      <ns0:c r="C23" s="3"/>
      <ns0:c r="D23" s="3"/>
      <ns0:c r="E23" s="3"/>
      <ns0:c r="F23" s="3"/>
      <ns0:c r="G23" s="3"/>
      <ns0:c r="H23" s="3"/>
      <ns0:c r="I23" s="3"/>
      <ns0:c r="J23" s="3"/>
      <ns0:c r="K23" s="3"/>
      <ns0:c r="L23" s="3"/>
      <ns0:c r="M23" s="3"/>
      <ns0:c r="N23" s="3"/>
      <ns0:c r="O23" s="3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/>
      <ns0:c r="B24" s="2"/>
      <ns0:c r="C24" s="3"/>
      <ns0:c r="D24" s="3"/>
      <ns0:c r="E24" s="3"/>
      <ns0:c r="F24" s="3"/>
      <ns0:c r="G24" s="3"/>
      <ns0:c r="H24" s="3"/>
      <ns0:c r="I24" s="3"/>
      <ns0:c r="J24" s="3"/>
      <ns0:c r="K24" s="3"/>
      <ns0:c r="L24" s="3"/>
      <ns0:c r="M24" s="3"/>
      <ns0:c r="N24" s="3"/>
      <ns0:c r="O24" s="3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/>
      <ns0:c r="B25" s="2"/>
      <ns0:c r="C25" s="3"/>
      <ns0:c r="D25" s="3"/>
      <ns0:c r="E25" s="3"/>
      <ns0:c r="F25" s="3"/>
      <ns0:c r="G25" s="3"/>
      <ns0:c r="H25" s="3"/>
      <ns0:c r="I25" s="3"/>
      <ns0:c r="J25" s="3"/>
      <ns0:c r="K25" s="3"/>
      <ns0:c r="L25" s="3"/>
      <ns0:c r="M25" s="3"/>
      <ns0:c r="N25" s="3"/>
      <ns0:c r="O25" s="3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/>
      <ns0:c r="B26" s="2"/>
      <ns0:c r="C26" s="3"/>
      <ns0:c r="D26" s="3"/>
      <ns0:c r="E26" s="3"/>
      <ns0:c r="F26" s="3"/>
      <ns0:c r="G26" s="3"/>
      <ns0:c r="H26" s="3"/>
      <ns0:c r="I26" s="3"/>
      <ns0:c r="J26" s="3"/>
      <ns0:c r="K26" s="3"/>
      <ns0:c r="L26" s="3"/>
      <ns0:c r="M26" s="3"/>
      <ns0:c r="N26" s="3"/>
      <ns0:c r="O26" s="3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/>
      <ns0:c r="B27" s="2"/>
      <ns0:c r="C27" s="3"/>
      <ns0:c r="D27" s="3"/>
      <ns0:c r="E27" s="3"/>
      <ns0:c r="F27" s="3"/>
      <ns0:c r="G27" s="3"/>
      <ns0:c r="H27" s="3"/>
      <ns0:c r="I27" s="3"/>
      <ns0:c r="J27" s="3"/>
      <ns0:c r="K27" s="3"/>
      <ns0:c r="L27" s="3"/>
      <ns0:c r="M27" s="3"/>
      <ns0:c r="N27" s="3"/>
      <ns0:c r="O27" s="3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/>
      <ns0:c r="B28" s="2"/>
      <ns0:c r="C28" s="3"/>
      <ns0:c r="D28" s="3"/>
      <ns0:c r="E28" s="3"/>
      <ns0:c r="F28" s="3"/>
      <ns0:c r="G28" s="3"/>
      <ns0:c r="H28" s="3"/>
      <ns0:c r="I28" s="3"/>
      <ns0:c r="J28" s="3"/>
      <ns0:c r="K28" s="3"/>
      <ns0:c r="L28" s="3"/>
      <ns0:c r="M28" s="3"/>
      <ns0:c r="N28" s="3"/>
      <ns0:c r="O28" s="3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/>
      <ns0:c r="B29" s="2"/>
      <ns0:c r="C29" s="3"/>
      <ns0:c r="D29" s="3"/>
      <ns0:c r="E29" s="3"/>
      <ns0:c r="F29" s="3"/>
      <ns0:c r="G29" s="3"/>
      <ns0:c r="H29" s="3"/>
      <ns0:c r="I29" s="3"/>
      <ns0:c r="J29" s="3"/>
      <ns0:c r="K29" s="3"/>
      <ns0:c r="L29" s="3"/>
      <ns0:c r="M29" s="3"/>
      <ns0:c r="N29" s="3"/>
      <ns0:c r="O29" s="3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/>
      <ns0:c r="B30" s="5" t="inlineStr">
        <ns0:is>
          <ns0:t>实时经营（月度，元）</ns0:t>
        </ns0:is>
      </ns0:c>
      <ns0:c r="C30" s="6" t="inlineStr">
        <ns0:is>
          <ns0:t>2027-01</ns0:t>
        </ns0:is>
      </ns0:c>
      <ns0:c r="D30" s="6" t="inlineStr">
        <ns0:is>
          <ns0:t>2027-02</ns0:t>
        </ns0:is>
      </ns0:c>
      <ns0:c r="E30" s="6" t="inlineStr">
        <ns0:is>
          <ns0:t>2027-03</ns0:t>
        </ns0:is>
      </ns0:c>
      <ns0:c r="F30" s="6" t="inlineStr">
        <ns0:is>
          <ns0:t>2027-04</ns0:t>
        </ns0:is>
      </ns0:c>
      <ns0:c r="G30" s="6" t="inlineStr">
        <ns0:is>
          <ns0:t>2027-05</ns0:t>
        </ns0:is>
      </ns0:c>
      <ns0:c r="H30" s="6" t="inlineStr">
        <ns0:is>
          <ns0:t>2027-06</ns0:t>
        </ns0:is>
      </ns0:c>
      <ns0:c r="I30" s="6" t="inlineStr">
        <ns0:is>
          <ns0:t>2027-07</ns0:t>
        </ns0:is>
      </ns0:c>
      <ns0:c r="J30" s="6" t="inlineStr">
        <ns0:is>
          <ns0:t>2027-08</ns0:t>
        </ns0:is>
      </ns0:c>
      <ns0:c r="K30" s="6" t="inlineStr">
        <ns0:is>
          <ns0:t>2027-09</ns0:t>
        </ns0:is>
      </ns0:c>
      <ns0:c r="L30" s="6" t="inlineStr">
        <ns0:is>
          <ns0:t>2027-10</ns0:t>
        </ns0:is>
      </ns0:c>
      <ns0:c r="M30" s="6" t="inlineStr">
        <ns0:is>
          <ns0:t>2027-11</ns0:t>
        </ns0:is>
      </ns0:c>
      <ns0:c r="N30" s="6" t="inlineStr">
        <ns0:is>
          <ns0:t>2027-12</ns0:t>
        </ns0:is>
      </ns0:c>
      <ns0:c r="O30" s="6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/>
      <ns0:c r="B31" s="2" t="inlineStr">
        <ns0:is>
          <ns0:t>授权单价</ns0:t>
        </ns0:is>
      </ns0:c>
      <ns0:c r="C31" s="4">
        <ns0:v>1453.48</ns0:v>
      </ns0:c>
      <ns0:c r="D31" s="4">
        <ns0:v>1891.20</ns0:v>
      </ns0:c>
      <ns0:c r="E31" s="4">
        <ns0:v>1786.27</ns0:v>
      </ns0:c>
      <ns0:c r="F31" s="4">
        <ns0:v>1478.03</ns0:v>
      </ns0:c>
      <ns0:c r="G31" s="4">
        <ns0:v>2064.40</ns0:v>
      </ns0:c>
      <ns0:c r="H31" s="4">
        <ns0:v>2288.02</ns0:v>
      </ns0:c>
      <ns0:c r="I31" s="4">
        <ns0:v>2035.67</ns0:v>
      </ns0:c>
      <ns0:c r="J31" s="4">
        <ns0:v>2163.38</ns0:v>
      </ns0:c>
      <ns0:c r="K31" s="4">
        <ns0:v>2162.43</ns0:v>
      </ns0:c>
      <ns0:c r="L31" s="4">
        <ns0:v>2343.67</ns0:v>
      </ns0:c>
      <ns0:c r="M31" s="4">
        <ns0:v>2110.78</ns0:v>
      </ns0:c>
      <ns0:c r="N31" s="4">
        <ns0:v>2350.61</ns0:v>
      </ns0:c>
      <ns0:c r="O31" s="3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/>
      <ns0:c r="B32" s="2" t="inlineStr">
        <ns0:is>
          <ns0:t>授权数量</ns0:t>
        </ns0:is>
      </ns0:c>
      <ns0:c r="C32" s="4">
        <ns0:v>104.01</ns0:v>
      </ns0:c>
      <ns0:c r="D32" s="4">
        <ns0:v>91.62</ns0:v>
      </ns0:c>
      <ns0:c r="E32" s="4">
        <ns0:v>98.83</ns0:v>
      </ns0:c>
      <ns0:c r="F32" s="4">
        <ns0:v>92.69</ns0:v>
      </ns0:c>
      <ns0:c r="G32" s="4">
        <ns0:v>111.57</ns0:v>
      </ns0:c>
      <ns0:c r="H32" s="4">
        <ns0:v>99.94</ns0:v>
      </ns0:c>
      <ns0:c r="I32" s="4">
        <ns0:v>106.78</ns0:v>
      </ns0:c>
      <ns0:c r="J32" s="4">
        <ns0:v>99.13</ns0:v>
      </ns0:c>
      <ns0:c r="K32" s="4">
        <ns0:v>104.39</ns0:v>
      </ns0:c>
      <ns0:c r="L32" s="4">
        <ns0:v>92.84</ns0:v>
      </ns0:c>
      <ns0:c r="M32" s="4">
        <ns0:v>85.42</ns0:v>
      </ns0:c>
      <ns0:c r="N32" s="4">
        <ns0:v>83.37</ns0:v>
      </ns0:c>
      <ns0:c r="O32" s="3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/>
      <ns0:c r="B33" s="2" t="inlineStr">
        <ns0:is>
          <ns0:t>营业收入</ns0:t>
        </ns0:is>
      </ns0:c>
      <ns0:c r="C33" s="3">
        <ns0:f>ROUND(C31*C32,2)</ns0:f>
        <ns0:v>151176.45</ns0:v>
      </ns0:c>
      <ns0:c r="D33" s="3">
        <ns0:f>ROUND(D31*D32,2)</ns0:f>
        <ns0:v>173271.74</ns0:v>
      </ns0:c>
      <ns0:c r="E33" s="3">
        <ns0:f>ROUND(E31*E32,2)</ns0:f>
        <ns0:v>176537.06</ns0:v>
      </ns0:c>
      <ns0:c r="F33" s="3">
        <ns0:f>ROUND(F31*F32,2)</ns0:f>
        <ns0:v>136998.60</ns0:v>
      </ns0:c>
      <ns0:c r="G33" s="3">
        <ns0:f>ROUND(G31*G32,2)</ns0:f>
        <ns0:v>230325.11</ns0:v>
      </ns0:c>
      <ns0:c r="H33" s="3">
        <ns0:f>ROUND(H31*H32,2)</ns0:f>
        <ns0:v>228664.72</ns0:v>
      </ns0:c>
      <ns0:c r="I33" s="3">
        <ns0:f>ROUND(I31*I32,2)</ns0:f>
        <ns0:v>217368.84</ns0:v>
      </ns0:c>
      <ns0:c r="J33" s="3">
        <ns0:f>ROUND(J31*J32,2)</ns0:f>
        <ns0:v>214455.86</ns0:v>
      </ns0:c>
      <ns0:c r="K33" s="3">
        <ns0:f>ROUND(K31*K32,2)</ns0:f>
        <ns0:v>225736.07</ns0:v>
      </ns0:c>
      <ns0:c r="L33" s="3">
        <ns0:f>ROUND(L31*L32,2)</ns0:f>
        <ns0:v>217586.32</ns0:v>
      </ns0:c>
      <ns0:c r="M33" s="3">
        <ns0:f>ROUND(M31*M32,2)</ns0:f>
        <ns0:v>180302.83</ns0:v>
      </ns0:c>
      <ns0:c r="N33" s="3">
        <ns0:f>ROUND(N31*N32,2)</ns0:f>
        <ns0:v>195970.36</ns0:v>
      </ns0:c>
      <ns0:c r="O33" s="3">
        <ns0:f>SUM(C33:N33)</ns0:f>
        <ns0:v>2348393.96</ns0:v>
      </ns0:c>
      <ns0:c r="P33" s="2" t="inlineStr">
        <ns0:is>
          <ns0:t>REV2</ns0:t>
        </ns0:is>
      </ns0:c>
      <ns0:c r="Q33" s="2" t="inlineStr">
        <ns0:is>
          <ns0:t>演示占位-v1</ns0:t>
        </ns0:is>
      </ns0:c>
      <ns0:c r="R33" s="2" t="inlineStr">
        <ns0:is>
          <ns0:t>模拟权责发生制</ns0:t>
        </ns0:is>
      </ns0:c>
      <ns0:c r="S33" s="2" t="inlineStr">
        <ns0:is>
          <ns0:t>2027-01</ns0:t>
        </ns0:is>
      </ns0:c>
      <ns0:c r="T33" s="2" t="inlineStr">
        <ns0:is>
          <ns0:t>2027-06</ns0:t>
        </ns0:is>
      </ns0:c>
      <ns0:c r="U33" s="2" t="inlineStr">
        <ns0:is>
          <ns0:t>无</ns0:t>
        </ns0:is>
      </ns0:c>
      <ns0:c r="V33" s="2" t="inlineStr">
        <ns0:is>
          <ns0:t>无</ns0:t>
        </ns0:is>
      </ns0:c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/>
      <ns0:c r="B34" s="2" t="inlineStr">
        <ns0:is>
          <ns0:t>单位采购成本</ns0:t>
        </ns0:is>
      </ns0:c>
      <ns0:c r="C34" s="4">
        <ns0:v>545.00</ns0:v>
      </ns0:c>
      <ns0:c r="D34" s="4">
        <ns0:v>765.95</ns0:v>
      </ns0:c>
      <ns0:c r="E34" s="4">
        <ns0:v>690.33</ns0:v>
      </ns0:c>
      <ns0:c r="F34" s="4">
        <ns0:v>666.88</ns0:v>
      </ns0:c>
      <ns0:c r="G34" s="4">
        <ns0:v>911.64</ns0:v>
      </ns0:c>
      <ns0:c r="H34" s="4">
        <ns0:v>647.31</ns0:v>
      </ns0:c>
      <ns0:c r="I34" s="4">
        <ns0:v>894.00</ns0:v>
      </ns0:c>
      <ns0:c r="J34" s="4">
        <ns0:v>627.97</ns0:v>
      </ns0:c>
      <ns0:c r="K34" s="4">
        <ns0:v>538.29</ns0:v>
      </ns0:c>
      <ns0:c r="L34" s="4">
        <ns0:v>793.46</ns0:v>
      </ns0:c>
      <ns0:c r="M34" s="4">
        <ns0:v>779.75</ns0:v>
      </ns0:c>
      <ns0:c r="N34" s="4">
        <ns0:v>505.68</ns0:v>
      </ns0:c>
      <ns0:c r="O34" s="3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/>
      <ns0:c r="B35" s="2" t="inlineStr">
        <ns0:is>
          <ns0:t>采购数量</ns0:t>
        </ns0:is>
      </ns0:c>
      <ns0:c r="C35" s="3">
        <ns0:f>C32</ns0:f>
        <ns0:v>104.01</ns0:v>
      </ns0:c>
      <ns0:c r="D35" s="3">
        <ns0:f>D32</ns0:f>
        <ns0:v>91.62</ns0:v>
      </ns0:c>
      <ns0:c r="E35" s="3">
        <ns0:f>E32</ns0:f>
        <ns0:v>98.83</ns0:v>
      </ns0:c>
      <ns0:c r="F35" s="3">
        <ns0:f>F32</ns0:f>
        <ns0:v>92.69</ns0:v>
      </ns0:c>
      <ns0:c r="G35" s="3">
        <ns0:f>G32</ns0:f>
        <ns0:v>111.57</ns0:v>
      </ns0:c>
      <ns0:c r="H35" s="3">
        <ns0:f>H32</ns0:f>
        <ns0:v>99.94</ns0:v>
      </ns0:c>
      <ns0:c r="I35" s="3">
        <ns0:f>I32</ns0:f>
        <ns0:v>106.78</ns0:v>
      </ns0:c>
      <ns0:c r="J35" s="3">
        <ns0:f>J32</ns0:f>
        <ns0:v>99.13</ns0:v>
      </ns0:c>
      <ns0:c r="K35" s="3">
        <ns0:f>K32</ns0:f>
        <ns0:v>104.39</ns0:v>
      </ns0:c>
      <ns0:c r="L35" s="3">
        <ns0:f>L32</ns0:f>
        <ns0:v>92.84</ns0:v>
      </ns0:c>
      <ns0:c r="M35" s="3">
        <ns0:f>M32</ns0:f>
        <ns0:v>85.42</ns0:v>
      </ns0:c>
      <ns0:c r="N35" s="3">
        <ns0:f>N32</ns0:f>
        <ns0:v>83.37</ns0:v>
      </ns0:c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/>
      <ns0:c r="B36" s="2" t="inlineStr">
        <ns0:is>
          <ns0:t>营业成本</ns0:t>
        </ns0:is>
      </ns0:c>
      <ns0:c r="C36" s="3">
        <ns0:f>ROUND(C34*C35,2)</ns0:f>
        <ns0:v>56685.45</ns0:v>
      </ns0:c>
      <ns0:c r="D36" s="3">
        <ns0:f>ROUND(D34*D35,2)</ns0:f>
        <ns0:v>70176.34</ns0:v>
      </ns0:c>
      <ns0:c r="E36" s="3">
        <ns0:f>ROUND(E34*E35,2)</ns0:f>
        <ns0:v>68225.31</ns0:v>
      </ns0:c>
      <ns0:c r="F36" s="3">
        <ns0:f>ROUND(F34*F35,2)</ns0:f>
        <ns0:v>61813.11</ns0:v>
      </ns0:c>
      <ns0:c r="G36" s="3">
        <ns0:f>ROUND(G34*G35,2)</ns0:f>
        <ns0:v>101711.67</ns0:v>
      </ns0:c>
      <ns0:c r="H36" s="3">
        <ns0:f>ROUND(H34*H35,2)</ns0:f>
        <ns0:v>64692.16</ns0:v>
      </ns0:c>
      <ns0:c r="I36" s="3">
        <ns0:f>ROUND(I34*I35,2)</ns0:f>
        <ns0:v>95461.32</ns0:v>
      </ns0:c>
      <ns0:c r="J36" s="3">
        <ns0:f>ROUND(J34*J35,2)</ns0:f>
        <ns0:v>62250.67</ns0:v>
      </ns0:c>
      <ns0:c r="K36" s="3">
        <ns0:f>ROUND(K34*K35,2)</ns0:f>
        <ns0:v>56192.09</ns0:v>
      </ns0:c>
      <ns0:c r="L36" s="3">
        <ns0:f>ROUND(L34*L35,2)</ns0:f>
        <ns0:v>73664.83</ns0:v>
      </ns0:c>
      <ns0:c r="M36" s="3">
        <ns0:f>ROUND(M34*M35,2)</ns0:f>
        <ns0:v>66606.25</ns0:v>
      </ns0:c>
      <ns0:c r="N36" s="3">
        <ns0:f>ROUND(N34*N35,2)</ns0:f>
        <ns0:v>42158.54</ns0:v>
      </ns0:c>
      <ns0:c r="O36" s="3">
        <ns0:f>SUM(C36:N36)</ns0:f>
        <ns0:v>819637.74</ns0:v>
      </ns0:c>
      <ns0:c r="P36" s="2" t="inlineStr">
        <ns0:is>
          <ns0:t>COGS2</ns0:t>
        </ns0:is>
      </ns0:c>
      <ns0:c r="Q36" s="2" t="inlineStr">
        <ns0:is>
          <ns0:t>演示占位-v1</ns0:t>
        </ns0:is>
      </ns0:c>
      <ns0:c r="R36" s="2" t="inlineStr">
        <ns0:is>
          <ns0:t>模拟权责发生制</ns0:t>
        </ns0:is>
      </ns0:c>
      <ns0:c r="S36" s="2" t="inlineStr">
        <ns0:is>
          <ns0:t>2027-01</ns0:t>
        </ns0:is>
      </ns0:c>
      <ns0:c r="T36" s="2" t="inlineStr">
        <ns0:is>
          <ns0:t>2027-06</ns0:t>
        </ns0:is>
      </ns0:c>
      <ns0:c r="U36" s="2" t="inlineStr">
        <ns0:is>
          <ns0:t>无</ns0:t>
        </ns0:is>
      </ns0:c>
      <ns0:c r="V36" s="2" t="inlineStr">
        <ns0:is>
          <ns0:t>无</ns0:t>
        </ns0:is>
      </ns0:c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 t="inlineStr">
        <ns0:is>
          <ns0:t>采购金额（占位）</ns0:t>
        </ns0:is>
      </ns0:c>
      <ns0:c r="C37" s="3">
        <ns0:f>C36</ns0:f>
        <ns0:v>56685.45</ns0:v>
      </ns0:c>
      <ns0:c r="D37" s="3">
        <ns0:f>D36</ns0:f>
        <ns0:v>70176.34</ns0:v>
      </ns0:c>
      <ns0:c r="E37" s="3">
        <ns0:f>E36</ns0:f>
        <ns0:v>68225.31</ns0:v>
      </ns0:c>
      <ns0:c r="F37" s="3">
        <ns0:f>F36</ns0:f>
        <ns0:v>61813.11</ns0:v>
      </ns0:c>
      <ns0:c r="G37" s="3">
        <ns0:f>G36</ns0:f>
        <ns0:v>101711.67</ns0:v>
      </ns0:c>
      <ns0:c r="H37" s="3">
        <ns0:f>H36</ns0:f>
        <ns0:v>64692.16</ns0:v>
      </ns0:c>
      <ns0:c r="I37" s="3">
        <ns0:f>I36</ns0:f>
        <ns0:v>95461.32</ns0:v>
      </ns0:c>
      <ns0:c r="J37" s="3">
        <ns0:f>J36</ns0:f>
        <ns0:v>62250.67</ns0:v>
      </ns0:c>
      <ns0:c r="K37" s="3">
        <ns0:f>K36</ns0:f>
        <ns0:v>56192.09</ns0:v>
      </ns0:c>
      <ns0:c r="L37" s="3">
        <ns0:f>L36</ns0:f>
        <ns0:v>73664.83</ns0:v>
      </ns0:c>
      <ns0:c r="M37" s="3">
        <ns0:f>M36</ns0:f>
        <ns0:v>66606.25</ns0:v>
      </ns0:c>
      <ns0:c r="N37" s="3">
        <ns0:f>N36</ns0:f>
        <ns0:v>42158.54</ns0:v>
      </ns0:c>
      <ns0:c r="O37" s="3">
        <ns0:f>SUM(C37:N37)</ns0:f>
        <ns0:v>819637.74</ns0:v>
      </ns0:c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/>
      <ns0:c r="C64" s="3"/>
      <ns0:c r="D64" s="3"/>
      <ns0:c r="E64" s="3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/>
      <ns0:c r="C65" s="3"/>
      <ns0:c r="D65" s="3"/>
      <ns0:c r="E65" s="3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/>
      <ns0:c r="C66" s="3"/>
      <ns0:c r="D66" s="3"/>
      <ns0:c r="E66" s="3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/>
      <ns0:c r="C67" s="3"/>
      <ns0:c r="D67" s="3"/>
      <ns0:c r="E67" s="3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/>
      <ns0:c r="C68" s="3"/>
      <ns0:c r="D68" s="3"/>
      <ns0:c r="E68" s="3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L2:M2"/>
    <ns0:mergeCell ref="P2:Q2"/>
  </ns0:mergeCells>
  <ns0:pageMargins left="0.7" right="0.7" top="0.75" bottom="0.75" header="0.3" footer="0.3"/>
</ns0:worksheet>
</file>

<file path=xl/worksheets/sheet6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9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20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/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2"/>
      <ns0:c r="B2" s="2"/>
      <ns0:c r="C2" s="3"/>
      <ns0:c r="D2" s="3"/>
      <ns0:c r="E2" s="3"/>
      <ns0:c r="F2" s="3"/>
      <ns0:c r="G2" s="3"/>
      <ns0:c r="H2" s="3"/>
      <ns0:c r="I2" s="3"/>
      <ns0:c r="J2" s="3"/>
      <ns0:c r="K2" s="3"/>
      <ns0:c r="L2" s="3"/>
      <ns0:c r="M2" s="3"/>
      <ns0:c r="N2" s="3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E-5f17fa2948</ns0:t>
        </ns0:is>
      </ns0:c>
    </ns0:row>
    <ns0:row r="3" ht="20" customHeight="1">
      <ns0:c r="A3" s="2"/>
      <ns0:c r="B3" s="2"/>
      <ns0:c r="C3" s="6"/>
      <ns0:c r="D3" s="6"/>
      <ns0:c r="E3" s="6"/>
      <ns0:c r="F3" s="6"/>
      <ns0:c r="G3" s="6"/>
      <ns0:c r="H3" s="6"/>
      <ns0:c r="I3" s="6"/>
      <ns0:c r="J3" s="6"/>
      <ns0:c r="K3" s="6"/>
      <ns0:c r="L3" s="6"/>
      <ns0:c r="M3" s="6"/>
      <ns0:c r="N3" s="6"/>
      <ns0:c r="O3" s="6"/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主体乙</ns0:t>
        </ns0:is>
      </ns0:c>
    </ns0:row>
    <ns0:row r="4" ht="20" customHeight="1">
      <ns0:c r="A4" s="2"/>
      <ns0:c r="B4" s="2"/>
      <ns0:c r="C4" s="3"/>
      <ns0:c r="D4" s="3"/>
      <ns0:c r="E4" s="3"/>
      <ns0:c r="F4" s="3"/>
      <ns0:c r="G4" s="3"/>
      <ns0:c r="H4" s="3"/>
      <ns0:c r="I4" s="3"/>
      <ns0:c r="J4" s="3"/>
      <ns0:c r="K4" s="3"/>
      <ns0:c r="L4" s="3"/>
      <ns0:c r="M4" s="3"/>
      <ns0:c r="N4" s="3"/>
      <ns0:c r="O4" s="3"/>
      <ns0:c r="P4" s="2"/>
      <ns0:c r="Q4" s="2"/>
      <ns0:c r="R4" s="2"/>
      <ns0:c r="S4" s="2"/>
      <ns0:c r="T4" s="2"/>
      <ns0:c r="U4" s="2"/>
      <ns0:c r="V4" s="2"/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S-03e3bfa6bf</ns0:t>
        </ns0:is>
      </ns0:c>
    </ns0:row>
    <ns0:row r="5" ht="20" customHeight="1">
      <ns0:c r="A5" s="2"/>
      <ns0:c r="B5" s="2"/>
      <ns0:c r="C5" s="3"/>
      <ns0:c r="D5" s="3"/>
      <ns0:c r="E5" s="3"/>
      <ns0:c r="F5" s="3"/>
      <ns0:c r="G5" s="3"/>
      <ns0:c r="H5" s="3"/>
      <ns0:c r="I5" s="3"/>
      <ns0:c r="J5" s="3"/>
      <ns0:c r="K5" s="3"/>
      <ns0:c r="L5" s="3"/>
      <ns0:c r="M5" s="3"/>
      <ns0:c r="N5" s="3"/>
      <ns0:c r="O5" s="3"/>
      <ns0:c r="P5" s="2"/>
      <ns0:c r="Q5" s="2"/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扩展情景</ns0:t>
        </ns0:is>
      </ns0:c>
    </ns0:row>
    <ns0:row r="6" ht="20" customHeight="1">
      <ns0:c r="A6" s="2"/>
      <ns0:c r="B6" s="2" t="inlineStr">
        <ns0:is>
          <ns0:t>税金及附加</ns0:t>
        </ns0:is>
      </ns0:c>
      <ns0:c r="C6" s="3"/>
      <ns0:c r="D6" s="3"/>
      <ns0:c r="E6" s="3"/>
      <ns0:c r="F6" s="3"/>
      <ns0:c r="G6" s="3"/>
      <ns0:c r="H6" s="3"/>
      <ns0:c r="I6" s="3"/>
      <ns0:c r="J6" s="3"/>
      <ns0:c r="K6" s="3"/>
      <ns0:c r="L6" s="3"/>
      <ns0:c r="M6" s="3"/>
      <ns0:c r="N6" s="3"/>
      <ns0:c r="O6" s="3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2"/>
      <ns0:c r="B7" s="2"/>
      <ns0:c r="C7" s="3"/>
      <ns0:c r="D7" s="3"/>
      <ns0:c r="E7" s="3"/>
      <ns0:c r="F7" s="3"/>
      <ns0:c r="G7" s="3"/>
      <ns0:c r="H7" s="3"/>
      <ns0:c r="I7" s="3"/>
      <ns0:c r="J7" s="3"/>
      <ns0:c r="K7" s="3"/>
      <ns0:c r="L7" s="3"/>
      <ns0:c r="M7" s="3"/>
      <ns0:c r="N7" s="3"/>
      <ns0:c r="O7" s="3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季度</ns0:t>
        </ns0:is>
      </ns0:c>
    </ns0:row>
    <ns0:row r="8" ht="20" customHeight="1">
      <ns0:c r="A8" s="2"/>
      <ns0:c r="B8" s="2"/>
      <ns0:c r="C8" s="3"/>
      <ns0:c r="D8" s="3"/>
      <ns0:c r="E8" s="3"/>
      <ns0:c r="F8" s="3"/>
      <ns0:c r="G8" s="3"/>
      <ns0:c r="H8" s="3"/>
      <ns0:c r="I8" s="3"/>
      <ns0:c r="J8" s="3"/>
      <ns0:c r="K8" s="3"/>
      <ns0:c r="L8" s="3"/>
      <ns0:c r="M8" s="3"/>
      <ns0:c r="N8" s="3"/>
      <ns0:c r="O8" s="3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2"/>
      <ns0:c r="B9" s="2"/>
      <ns0:c r="C9" s="3"/>
      <ns0:c r="D9" s="3"/>
      <ns0:c r="E9" s="3"/>
      <ns0:c r="F9" s="3"/>
      <ns0:c r="G9" s="3"/>
      <ns0:c r="H9" s="3"/>
      <ns0:c r="I9" s="3"/>
      <ns0:c r="J9" s="3"/>
      <ns0:c r="K9" s="3"/>
      <ns0:c r="L9" s="3"/>
      <ns0:c r="M9" s="3"/>
      <ns0:c r="N9" s="3"/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2"/>
      <ns0:c r="B10" s="2"/>
      <ns0:c r="C10" s="3"/>
      <ns0:c r="D10" s="3"/>
      <ns0:c r="E10" s="3"/>
      <ns0:c r="F10" s="3"/>
      <ns0:c r="G10" s="3"/>
      <ns0:c r="H10" s="3"/>
      <ns0:c r="I10" s="3"/>
      <ns0:c r="J10" s="3"/>
      <ns0:c r="K10" s="3"/>
      <ns0:c r="L10" s="3"/>
      <ns0:c r="M10" s="3"/>
      <ns0:c r="N10" s="3"/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2"/>
      <ns0:c r="B11" s="2"/>
      <ns0:c r="C11" s="3"/>
      <ns0:c r="D11" s="3"/>
      <ns0:c r="E11" s="3"/>
      <ns0:c r="F11" s="3"/>
      <ns0:c r="G11" s="3"/>
      <ns0:c r="H11" s="3"/>
      <ns0:c r="I11" s="3"/>
      <ns0:c r="J11" s="3"/>
      <ns0:c r="K11" s="3"/>
      <ns0:c r="L11" s="3"/>
      <ns0:c r="M11" s="3"/>
      <ns0:c r="N11" s="3"/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2"/>
      <ns0:c r="B12" s="2"/>
      <ns0:c r="C12" s="3"/>
      <ns0:c r="D12" s="3"/>
      <ns0:c r="E12" s="3"/>
      <ns0:c r="F12" s="3"/>
      <ns0:c r="G12" s="3"/>
      <ns0:c r="H12" s="3"/>
      <ns0:c r="I12" s="3"/>
      <ns0:c r="J12" s="3"/>
      <ns0:c r="K12" s="3"/>
      <ns0:c r="L12" s="3"/>
      <ns0:c r="M12" s="3"/>
      <ns0:c r="N12" s="3"/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2"/>
      <ns0:c r="B13" s="2"/>
      <ns0:c r="C13" s="3"/>
      <ns0:c r="D13" s="3"/>
      <ns0:c r="E13" s="3"/>
      <ns0:c r="F13" s="3"/>
      <ns0:c r="G13" s="3"/>
      <ns0:c r="H13" s="3"/>
      <ns0:c r="I13" s="3"/>
      <ns0:c r="J13" s="3"/>
      <ns0:c r="K13" s="3"/>
      <ns0:c r="L13" s="3"/>
      <ns0:c r="M13" s="3"/>
      <ns0:c r="N13" s="3"/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2"/>
      <ns0:c r="B14" s="2"/>
      <ns0:c r="C14" s="3"/>
      <ns0:c r="D14" s="3"/>
      <ns0:c r="E14" s="3"/>
      <ns0:c r="F14" s="3"/>
      <ns0:c r="G14" s="3"/>
      <ns0:c r="H14" s="3"/>
      <ns0:c r="I14" s="3"/>
      <ns0:c r="J14" s="3"/>
      <ns0:c r="K14" s="3"/>
      <ns0:c r="L14" s="3"/>
      <ns0:c r="M14" s="3"/>
      <ns0:c r="N14" s="3"/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2"/>
      <ns0:c r="B15" s="2"/>
      <ns0:c r="C15" s="3"/>
      <ns0:c r="D15" s="3"/>
      <ns0:c r="E15" s="3"/>
      <ns0:c r="F15" s="3"/>
      <ns0:c r="G15" s="3"/>
      <ns0:c r="H15" s="3"/>
      <ns0:c r="I15" s="3"/>
      <ns0:c r="J15" s="3"/>
      <ns0:c r="K15" s="3"/>
      <ns0:c r="L15" s="3"/>
      <ns0:c r="M15" s="3"/>
      <ns0:c r="N15" s="3"/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2"/>
      <ns0:c r="B16" s="2"/>
      <ns0:c r="C16" s="3"/>
      <ns0:c r="D16" s="3"/>
      <ns0:c r="E16" s="3"/>
      <ns0:c r="F16" s="3"/>
      <ns0:c r="G16" s="3"/>
      <ns0:c r="H16" s="3"/>
      <ns0:c r="I16" s="3"/>
      <ns0:c r="J16" s="3"/>
      <ns0:c r="K16" s="3"/>
      <ns0:c r="L16" s="3"/>
      <ns0:c r="M16" s="3"/>
      <ns0:c r="N16" s="3"/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实时经营</ns0:t>
        </ns0:is>
      </ns0:c>
    </ns0:row>
    <ns0:row r="17" ht="20" customHeight="1">
      <ns0:c r="A17" s="2"/>
      <ns0:c r="B17" s="2"/>
      <ns0:c r="C17" s="3"/>
      <ns0:c r="D17" s="3"/>
      <ns0:c r="E17" s="3"/>
      <ns0:c r="F17" s="3"/>
      <ns0:c r="G17" s="3"/>
      <ns0:c r="H17" s="3"/>
      <ns0:c r="I17" s="3"/>
      <ns0:c r="J17" s="3"/>
      <ns0:c r="K17" s="3"/>
      <ns0:c r="L17" s="3"/>
      <ns0:c r="M17" s="3"/>
      <ns0:c r="N17" s="3"/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蓝色为实时经营输入参数；示例数值为占位；金额单位：元</ns0:t>
        </ns0:is>
      </ns0:c>
    </ns0:row>
    <ns0:row r="18" ht="20" customHeight="1">
      <ns0:c r="A18" s="2"/>
      <ns0:c r="B18" s="2"/>
      <ns0:c r="C18" s="3"/>
      <ns0:c r="D18" s="3"/>
      <ns0:c r="E18" s="3"/>
      <ns0:c r="F18" s="3"/>
      <ns0:c r="G18" s="3"/>
      <ns0:c r="H18" s="3"/>
      <ns0:c r="I18" s="3"/>
      <ns0:c r="J18" s="3"/>
      <ns0:c r="K18" s="3"/>
      <ns0:c r="L18" s="3"/>
      <ns0:c r="M18" s="3"/>
      <ns0:c r="N18" s="3"/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2"/>
      <ns0:c r="B19" s="2"/>
      <ns0:c r="C19" s="3"/>
      <ns0:c r="D19" s="3"/>
      <ns0:c r="E19" s="3"/>
      <ns0:c r="F19" s="3"/>
      <ns0:c r="G19" s="3"/>
      <ns0:c r="H19" s="3"/>
      <ns0:c r="I19" s="3"/>
      <ns0:c r="J19" s="3"/>
      <ns0:c r="K19" s="3"/>
      <ns0:c r="L19" s="3"/>
      <ns0:c r="M19" s="3"/>
      <ns0:c r="N19" s="3"/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2"/>
      <ns0:c r="B20" s="2"/>
      <ns0:c r="C20" s="3"/>
      <ns0:c r="D20" s="3"/>
      <ns0:c r="E20" s="3"/>
      <ns0:c r="F20" s="3"/>
      <ns0:c r="G20" s="3"/>
      <ns0:c r="H20" s="3"/>
      <ns0:c r="I20" s="3"/>
      <ns0:c r="J20" s="3"/>
      <ns0:c r="K20" s="3"/>
      <ns0:c r="L20" s="3"/>
      <ns0:c r="M20" s="3"/>
      <ns0:c r="N20" s="3"/>
      <ns0:c r="O20" s="3"/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2"/>
      <ns0:c r="B21" s="2"/>
      <ns0:c r="C21" s="3"/>
      <ns0:c r="D21" s="3"/>
      <ns0:c r="E21" s="3"/>
      <ns0:c r="F21" s="3"/>
      <ns0:c r="G21" s="3"/>
      <ns0:c r="H21" s="3"/>
      <ns0:c r="I21" s="3"/>
      <ns0:c r="J21" s="3"/>
      <ns0:c r="K21" s="3"/>
      <ns0:c r="L21" s="3"/>
      <ns0:c r="M21" s="3"/>
      <ns0:c r="N21" s="3"/>
      <ns0:c r="O21" s="3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2"/>
      <ns0:c r="B22" s="2"/>
      <ns0:c r="C22" s="3"/>
      <ns0:c r="D22" s="3"/>
      <ns0:c r="E22" s="3"/>
      <ns0:c r="F22" s="3"/>
      <ns0:c r="G22" s="3"/>
      <ns0:c r="H22" s="3"/>
      <ns0:c r="I22" s="3"/>
      <ns0:c r="J22" s="3"/>
      <ns0:c r="K22" s="3"/>
      <ns0:c r="L22" s="3"/>
      <ns0:c r="M22" s="3"/>
      <ns0:c r="N22" s="3"/>
      <ns0:c r="O22" s="3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2"/>
      <ns0:c r="B23" s="2"/>
      <ns0:c r="C23" s="3"/>
      <ns0:c r="D23" s="3"/>
      <ns0:c r="E23" s="3"/>
      <ns0:c r="F23" s="3"/>
      <ns0:c r="G23" s="3"/>
      <ns0:c r="H23" s="3"/>
      <ns0:c r="I23" s="3"/>
      <ns0:c r="J23" s="3"/>
      <ns0:c r="K23" s="3"/>
      <ns0:c r="L23" s="3"/>
      <ns0:c r="M23" s="3"/>
      <ns0:c r="N23" s="3"/>
      <ns0:c r="O23" s="3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/>
      <ns0:c r="B24" s="2"/>
      <ns0:c r="C24" s="3"/>
      <ns0:c r="D24" s="3"/>
      <ns0:c r="E24" s="3"/>
      <ns0:c r="F24" s="3"/>
      <ns0:c r="G24" s="3"/>
      <ns0:c r="H24" s="3"/>
      <ns0:c r="I24" s="3"/>
      <ns0:c r="J24" s="3"/>
      <ns0:c r="K24" s="3"/>
      <ns0:c r="L24" s="3"/>
      <ns0:c r="M24" s="3"/>
      <ns0:c r="N24" s="3"/>
      <ns0:c r="O24" s="3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/>
      <ns0:c r="B25" s="2"/>
      <ns0:c r="C25" s="3"/>
      <ns0:c r="D25" s="3"/>
      <ns0:c r="E25" s="3"/>
      <ns0:c r="F25" s="3"/>
      <ns0:c r="G25" s="3"/>
      <ns0:c r="H25" s="3"/>
      <ns0:c r="I25" s="3"/>
      <ns0:c r="J25" s="3"/>
      <ns0:c r="K25" s="3"/>
      <ns0:c r="L25" s="3"/>
      <ns0:c r="M25" s="3"/>
      <ns0:c r="N25" s="3"/>
      <ns0:c r="O25" s="3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/>
      <ns0:c r="B26" s="2"/>
      <ns0:c r="C26" s="3"/>
      <ns0:c r="D26" s="3"/>
      <ns0:c r="E26" s="3"/>
      <ns0:c r="F26" s="3"/>
      <ns0:c r="G26" s="3"/>
      <ns0:c r="H26" s="3"/>
      <ns0:c r="I26" s="3"/>
      <ns0:c r="J26" s="3"/>
      <ns0:c r="K26" s="3"/>
      <ns0:c r="L26" s="3"/>
      <ns0:c r="M26" s="3"/>
      <ns0:c r="N26" s="3"/>
      <ns0:c r="O26" s="3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/>
      <ns0:c r="B27" s="2"/>
      <ns0:c r="C27" s="3"/>
      <ns0:c r="D27" s="3"/>
      <ns0:c r="E27" s="3"/>
      <ns0:c r="F27" s="3"/>
      <ns0:c r="G27" s="3"/>
      <ns0:c r="H27" s="3"/>
      <ns0:c r="I27" s="3"/>
      <ns0:c r="J27" s="3"/>
      <ns0:c r="K27" s="3"/>
      <ns0:c r="L27" s="3"/>
      <ns0:c r="M27" s="3"/>
      <ns0:c r="N27" s="3"/>
      <ns0:c r="O27" s="3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/>
      <ns0:c r="B28" s="2"/>
      <ns0:c r="C28" s="3"/>
      <ns0:c r="D28" s="3"/>
      <ns0:c r="E28" s="3"/>
      <ns0:c r="F28" s="3"/>
      <ns0:c r="G28" s="3"/>
      <ns0:c r="H28" s="3"/>
      <ns0:c r="I28" s="3"/>
      <ns0:c r="J28" s="3"/>
      <ns0:c r="K28" s="3"/>
      <ns0:c r="L28" s="3"/>
      <ns0:c r="M28" s="3"/>
      <ns0:c r="N28" s="3"/>
      <ns0:c r="O28" s="3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/>
      <ns0:c r="B29" s="2"/>
      <ns0:c r="C29" s="3"/>
      <ns0:c r="D29" s="3"/>
      <ns0:c r="E29" s="3"/>
      <ns0:c r="F29" s="3"/>
      <ns0:c r="G29" s="3"/>
      <ns0:c r="H29" s="3"/>
      <ns0:c r="I29" s="3"/>
      <ns0:c r="J29" s="3"/>
      <ns0:c r="K29" s="3"/>
      <ns0:c r="L29" s="3"/>
      <ns0:c r="M29" s="3"/>
      <ns0:c r="N29" s="3"/>
      <ns0:c r="O29" s="3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/>
      <ns0:c r="B30" s="5" t="inlineStr">
        <ns0:is>
          <ns0:t>实时经营（月度，元）</ns0:t>
        </ns0:is>
      </ns0:c>
      <ns0:c r="C30" s="6"/>
      <ns0:c r="D30" s="6"/>
      <ns0:c r="E30" s="6"/>
      <ns0:c r="F30" s="6"/>
      <ns0:c r="G30" s="6"/>
      <ns0:c r="H30" s="6"/>
      <ns0:c r="I30" s="6"/>
      <ns0:c r="J30" s="6"/>
      <ns0:c r="K30" s="6"/>
      <ns0:c r="L30" s="6"/>
      <ns0:c r="M30" s="6"/>
      <ns0:c r="N30" s="6"/>
      <ns0:c r="O30" s="6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/>
      <ns0:c r="B31" s="2" t="inlineStr">
        <ns0:is>
          <ns0:t>综合附加率（演示假设）</ns0:t>
        </ns0:is>
      </ns0:c>
      <ns0:c r="C31" s="4">
        <ns0:v>0.00562</ns0:v>
      </ns0:c>
      <ns0:c r="D31" s="3"/>
      <ns0:c r="E31" s="3"/>
      <ns0:c r="F31" s="3"/>
      <ns0:c r="G31" s="3"/>
      <ns0:c r="H31" s="3"/>
      <ns0:c r="I31" s="3"/>
      <ns0:c r="J31" s="3"/>
      <ns0:c r="K31" s="3"/>
      <ns0:c r="L31" s="3"/>
      <ns0:c r="M31" s="3"/>
      <ns0:c r="N31" s="3"/>
      <ns0:c r="O31" s="3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/>
      <ns0:c r="B32" s="2" t="inlineStr">
        <ns0:is>
          <ns0:t>计税收入</ns0:t>
        </ns0:is>
      </ns0:c>
      <ns0:c r="C32" s="3">
        <ns0:f>'收入非主控'!C33+'收入主控'!C33</ns0:f>
        <ns0:v>408623.09</ns0:v>
      </ns0:c>
      <ns0:c r="D32" s="3">
        <ns0:f>'收入非主控'!D33+'收入主控'!D33</ns0:f>
        <ns0:v>415340.14</ns0:v>
      </ns0:c>
      <ns0:c r="E32" s="3">
        <ns0:f>'收入非主控'!E33+'收入主控'!E33</ns0:f>
        <ns0:v>378755.26</ns0:v>
      </ns0:c>
      <ns0:c r="F32" s="3">
        <ns0:f>'收入非主控'!F33+'收入主控'!F33</ns0:f>
        <ns0:v>319119.29</ns0:v>
      </ns0:c>
      <ns0:c r="G32" s="3">
        <ns0:f>'收入非主控'!G33+'收入主控'!G33</ns0:f>
        <ns0:v>401999.60</ns0:v>
      </ns0:c>
      <ns0:c r="H32" s="3">
        <ns0:f>'收入非主控'!H33+'收入主控'!H33</ns0:f>
        <ns0:v>367020.74</ns0:v>
      </ns0:c>
      <ns0:c r="I32" s="3">
        <ns0:f>'收入非主控'!I33+'收入主控'!I33</ns0:f>
        <ns0:v>425331.12</ns0:v>
      </ns0:c>
      <ns0:c r="J32" s="3">
        <ns0:f>'收入非主控'!J33+'收入主控'!J33</ns0:f>
        <ns0:v>498913.82</ns0:v>
      </ns0:c>
      <ns0:c r="K32" s="3">
        <ns0:f>'收入非主控'!K33+'收入主控'!K33</ns0:f>
        <ns0:v>365030.03</ns0:v>
      </ns0:c>
      <ns0:c r="L32" s="3">
        <ns0:f>'收入非主控'!L33+'收入主控'!L33</ns0:f>
        <ns0:v>349631.91</ns0:v>
      </ns0:c>
      <ns0:c r="M32" s="3">
        <ns0:f>'收入非主控'!M33+'收入主控'!M33</ns0:f>
        <ns0:v>349914.67</ns0:v>
      </ns0:c>
      <ns0:c r="N32" s="3">
        <ns0:f>'收入非主控'!N33+'收入主控'!N33</ns0:f>
        <ns0:v>405437.91</ns0:v>
      </ns0:c>
      <ns0:c r="O32" s="3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/>
      <ns0:c r="B33" s="2" t="inlineStr">
        <ns0:is>
          <ns0:t>税金及附加</ns0:t>
        </ns0:is>
      </ns0:c>
      <ns0:c r="C33" s="3">
        <ns0:f>ROUND(C32*$C$31,2)</ns0:f>
        <ns0:v>2296.46</ns0:v>
      </ns0:c>
      <ns0:c r="D33" s="3">
        <ns0:f>ROUND(D32*$C$31,2)</ns0:f>
        <ns0:v>2334.21</ns0:v>
      </ns0:c>
      <ns0:c r="E33" s="3">
        <ns0:f>ROUND(E32*$C$31,2)</ns0:f>
        <ns0:v>2128.60</ns0:v>
      </ns0:c>
      <ns0:c r="F33" s="3">
        <ns0:f>ROUND(F32*$C$31,2)</ns0:f>
        <ns0:v>1793.45</ns0:v>
      </ns0:c>
      <ns0:c r="G33" s="3">
        <ns0:f>ROUND(G32*$C$31,2)</ns0:f>
        <ns0:v>2259.24</ns0:v>
      </ns0:c>
      <ns0:c r="H33" s="3">
        <ns0:f>ROUND(H32*$C$31,2)</ns0:f>
        <ns0:v>2062.66</ns0:v>
      </ns0:c>
      <ns0:c r="I33" s="3">
        <ns0:f>ROUND(I32*$C$31,2)</ns0:f>
        <ns0:v>2390.36</ns0:v>
      </ns0:c>
      <ns0:c r="J33" s="3">
        <ns0:f>ROUND(J32*$C$31,2)</ns0:f>
        <ns0:v>2803.90</ns0:v>
      </ns0:c>
      <ns0:c r="K33" s="3">
        <ns0:f>ROUND(K32*$C$31,2)</ns0:f>
        <ns0:v>2051.47</ns0:v>
      </ns0:c>
      <ns0:c r="L33" s="3">
        <ns0:f>ROUND(L32*$C$31,2)</ns0:f>
        <ns0:v>1964.93</ns0:v>
      </ns0:c>
      <ns0:c r="M33" s="3">
        <ns0:f>ROUND(M32*$C$31,2)</ns0:f>
        <ns0:v>1966.52</ns0:v>
      </ns0:c>
      <ns0:c r="N33" s="3">
        <ns0:f>ROUND(N32*$C$31,2)</ns0:f>
        <ns0:v>2278.56</ns0:v>
      </ns0:c>
      <ns0:c r="O33" s="3"/>
      <ns0:c r="P33" s="2" t="inlineStr">
        <ns0:is>
          <ns0:t>TAX</ns0:t>
        </ns0:is>
      </ns0:c>
      <ns0:c r="Q33" s="2" t="inlineStr">
        <ns0:is>
          <ns0:t>演示占位-v1</ns0:t>
        </ns0:is>
      </ns0:c>
      <ns0:c r="R33" s="2" t="inlineStr">
        <ns0:is>
          <ns0:t>模拟权责发生制</ns0:t>
        </ns0:is>
      </ns0:c>
      <ns0:c r="S33" s="2" t="inlineStr">
        <ns0:is>
          <ns0:t>2027-01</ns0:t>
        </ns0:is>
      </ns0:c>
      <ns0:c r="T33" s="2" t="inlineStr">
        <ns0:is>
          <ns0:t>2027-06</ns0:t>
        </ns0:is>
      </ns0:c>
      <ns0:c r="U33" s="2" t="inlineStr">
        <ns0:is>
          <ns0:t>无</ns0:t>
        </ns0:is>
      </ns0:c>
      <ns0:c r="V33" s="2" t="inlineStr">
        <ns0:is>
          <ns0:t>无</ns0:t>
        </ns0:is>
      </ns0:c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/>
      <ns0:c r="B34" s="2"/>
      <ns0:c r="C34" s="3"/>
      <ns0:c r="D34" s="3"/>
      <ns0:c r="E34" s="3"/>
      <ns0:c r="F34" s="3"/>
      <ns0:c r="G34" s="3"/>
      <ns0:c r="H34" s="3"/>
      <ns0:c r="I34" s="3"/>
      <ns0:c r="J34" s="3"/>
      <ns0:c r="K34" s="3"/>
      <ns0:c r="L34" s="3"/>
      <ns0:c r="M34" s="3"/>
      <ns0:c r="N34" s="3"/>
      <ns0:c r="O34" s="3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/>
      <ns0:c r="B35" s="2"/>
      <ns0:c r="C35" s="3"/>
      <ns0:c r="D35" s="3"/>
      <ns0:c r="E35" s="3"/>
      <ns0:c r="F35" s="3"/>
      <ns0:c r="G35" s="3"/>
      <ns0:c r="H35" s="3"/>
      <ns0:c r="I35" s="3"/>
      <ns0:c r="J35" s="3"/>
      <ns0:c r="K35" s="3"/>
      <ns0:c r="L35" s="3"/>
      <ns0:c r="M35" s="3"/>
      <ns0:c r="N35" s="3"/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/>
      <ns0:c r="B36" s="2"/>
      <ns0:c r="C36" s="3"/>
      <ns0:c r="D36" s="3"/>
      <ns0:c r="E36" s="3"/>
      <ns0:c r="F36" s="3"/>
      <ns0:c r="G36" s="3"/>
      <ns0:c r="H36" s="3"/>
      <ns0:c r="I36" s="3"/>
      <ns0:c r="J36" s="3"/>
      <ns0:c r="K36" s="3"/>
      <ns0:c r="L36" s="3"/>
      <ns0:c r="M36" s="3"/>
      <ns0:c r="N36" s="3"/>
      <ns0:c r="O36" s="3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/>
      <ns0:c r="C64" s="3"/>
      <ns0:c r="D64" s="3"/>
      <ns0:c r="E64" s="3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/>
      <ns0:c r="C65" s="3"/>
      <ns0:c r="D65" s="3"/>
      <ns0:c r="E65" s="3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/>
      <ns0:c r="C66" s="3"/>
      <ns0:c r="D66" s="3"/>
      <ns0:c r="E66" s="3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/>
      <ns0:c r="C67" s="3"/>
      <ns0:c r="D67" s="3"/>
      <ns0:c r="E67" s="3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/>
      <ns0:c r="C68" s="3"/>
      <ns0:c r="D68" s="3"/>
      <ns0:c r="E68" s="3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pageMargins left="0.7" right="0.7" top="0.75" bottom="0.75" header="0.3" footer="0.3"/>
</ns0:worksheet>
</file>

<file path=xl/worksheets/sheet7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2.625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14.875" hidden="0" customWidth="1"/>
    <ns0:col min="17" max="17" width="9" hidden="0" customWidth="1"/>
    <ns0:col min="18" max="18" width="9.625" hidden="0" customWidth="1"/>
    <ns0:col min="19" max="19" width="9" hidden="0" customWidth="1"/>
    <ns0:col min="20" max="20" width="9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 t="inlineStr">
        <ns0:is>
          <ns0:t>销售费用</ns0:t>
        </ns0:is>
      </ns0:c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2" t="inlineStr">
        <ns0:is>
          <ns0:t>项目</ns0:t>
        </ns0:is>
      </ns0:c>
      <ns0:c r="B2" s="2"/>
      <ns0:c r="C2" s="3" t="inlineStr">
        <ns0:is>
          <ns0:t>实时经营（月度，元）</ns0:t>
        </ns0:is>
      </ns0:c>
      <ns0:c r="D2" s="3"/>
      <ns0:c r="E2" s="3"/>
      <ns0:c r="F2" s="3"/>
      <ns0:c r="G2" s="3"/>
      <ns0:c r="H2" s="3"/>
      <ns0:c r="I2" s="3"/>
      <ns0:c r="J2" s="3"/>
      <ns0:c r="K2" s="3"/>
      <ns0:c r="L2" s="3"/>
      <ns0:c r="M2" s="3"/>
      <ns0:c r="N2" s="3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E-5f17fa2948</ns0:t>
        </ns0:is>
      </ns0:c>
    </ns0:row>
    <ns0:row r="3" ht="20" customHeight="1">
      <ns0:c r="A3" s="2"/>
      <ns0:c r="B3" s="2"/>
      <ns0:c r="C3" s="6" t="inlineStr">
        <ns0:is>
          <ns0:t>2027-01</ns0:t>
        </ns0:is>
      </ns0:c>
      <ns0:c r="D3" s="6" t="inlineStr">
        <ns0:is>
          <ns0:t>2027-02</ns0:t>
        </ns0:is>
      </ns0:c>
      <ns0:c r="E3" s="6" t="inlineStr">
        <ns0:is>
          <ns0:t>2027-03</ns0:t>
        </ns0:is>
      </ns0:c>
      <ns0:c r="F3" s="6" t="inlineStr">
        <ns0:is>
          <ns0:t>2027-04</ns0:t>
        </ns0:is>
      </ns0:c>
      <ns0:c r="G3" s="6" t="inlineStr">
        <ns0:is>
          <ns0:t>2027-05</ns0:t>
        </ns0:is>
      </ns0:c>
      <ns0:c r="H3" s="6" t="inlineStr">
        <ns0:is>
          <ns0:t>2027-06</ns0:t>
        </ns0:is>
      </ns0:c>
      <ns0:c r="I3" s="6" t="inlineStr">
        <ns0:is>
          <ns0:t>2027-07</ns0:t>
        </ns0:is>
      </ns0:c>
      <ns0:c r="J3" s="6" t="inlineStr">
        <ns0:is>
          <ns0:t>2027-08</ns0:t>
        </ns0:is>
      </ns0:c>
      <ns0:c r="K3" s="6" t="inlineStr">
        <ns0:is>
          <ns0:t>2027-09</ns0:t>
        </ns0:is>
      </ns0:c>
      <ns0:c r="L3" s="6" t="inlineStr">
        <ns0:is>
          <ns0:t>2027-10</ns0:t>
        </ns0:is>
      </ns0:c>
      <ns0:c r="M3" s="6" t="inlineStr">
        <ns0:is>
          <ns0:t>2027-11</ns0:t>
        </ns0:is>
      </ns0:c>
      <ns0:c r="N3" s="6" t="inlineStr">
        <ns0:is>
          <ns0:t>2027-12</ns0:t>
        </ns0:is>
      </ns0:c>
      <ns0:c r="O3" s="6" t="inlineStr">
        <ns0:is>
          <ns0:t>小计</ns0:t>
        </ns0:is>
      </ns0:c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主体乙</ns0:t>
        </ns0:is>
      </ns0:c>
    </ns0:row>
    <ns0:row r="4" ht="20" customHeight="1">
      <ns0:c r="A4" s="2" t="inlineStr">
        <ns0:is>
          <ns0:t>员工费用</ns0:t>
        </ns0:is>
      </ns0:c>
      <ns0:c r="B4" s="2" t="inlineStr">
        <ns0:is>
          <ns0:t>工资</ns0:t>
        </ns0:is>
      </ns0:c>
      <ns0:c r="C4" s="3">
        <ns0:f>ROUND(C204*C324,2)</ns0:f>
        <ns0:v>214.73</ns0:v>
      </ns0:c>
      <ns0:c r="D4" s="3">
        <ns0:f>ROUND(D204*D324,2)</ns0:f>
        <ns0:v>191.42</ns0:v>
      </ns0:c>
      <ns0:c r="E4" s="3">
        <ns0:f>ROUND(E204*E324,2)</ns0:f>
        <ns0:v>328.80</ns0:v>
      </ns0:c>
      <ns0:c r="F4" s="3">
        <ns0:f>ROUND(F204*F324,2)</ns0:f>
        <ns0:v>668.25</ns0:v>
      </ns0:c>
      <ns0:c r="G4" s="3">
        <ns0:f>ROUND(G204*G324,2)</ns0:f>
        <ns0:v>112.36</ns0:v>
      </ns0:c>
      <ns0:c r="H4" s="3">
        <ns0:f>ROUND(H204*H324,2)</ns0:f>
        <ns0:v>361.85</ns0:v>
      </ns0:c>
      <ns0:c r="I4" s="3">
        <ns0:f>ROUND(I204*I324,2)</ns0:f>
        <ns0:v>191.52</ns0:v>
      </ns0:c>
      <ns0:c r="J4" s="3">
        <ns0:f>ROUND(J204*J324,2)</ns0:f>
        <ns0:v>68.88</ns0:v>
      </ns0:c>
      <ns0:c r="K4" s="3">
        <ns0:f>ROUND(K204*K324,2)</ns0:f>
        <ns0:v>224.15</ns0:v>
      </ns0:c>
      <ns0:c r="L4" s="3">
        <ns0:f>ROUND(L204*L324,2)</ns0:f>
        <ns0:v>120.30</ns0:v>
      </ns0:c>
      <ns0:c r="M4" s="3">
        <ns0:f>ROUND(M204*M324,2)</ns0:f>
        <ns0:v>166.02</ns0:v>
      </ns0:c>
      <ns0:c r="N4" s="3">
        <ns0:f>ROUND(N204*N324,2)</ns0:f>
        <ns0:v>189.62</ns0:v>
      </ns0:c>
      <ns0:c r="O4" s="3">
        <ns0:f>SUM(C4:N4)</ns0:f>
        <ns0:v>2837.90</ns0:v>
      </ns0:c>
      <ns0:c r="P4" s="2" t="inlineStr">
        <ns0:is>
          <ns0:t>EXP1.004</ns0:t>
        </ns0:is>
      </ns0:c>
      <ns0:c r="Q4" s="2" t="inlineStr">
        <ns0:is>
          <ns0:t>演示占位-v1</ns0:t>
        </ns0:is>
      </ns0:c>
      <ns0:c r="R4" s="2" t="inlineStr">
        <ns0:is>
          <ns0:t>模拟权责发生制</ns0:t>
        </ns0:is>
      </ns0:c>
      <ns0:c r="S4" s="2" t="inlineStr">
        <ns0:is>
          <ns0:t>2027-01</ns0:t>
        </ns0:is>
      </ns0:c>
      <ns0:c r="T4" s="2" t="inlineStr">
        <ns0:is>
          <ns0:t>2027-06</ns0:t>
        </ns0:is>
      </ns0:c>
      <ns0:c r="U4" s="2" t="inlineStr">
        <ns0:is>
          <ns0:t>无</ns0:t>
        </ns0:is>
      </ns0:c>
      <ns0:c r="V4" s="2" t="inlineStr">
        <ns0:is>
          <ns0:t>无</ns0:t>
        </ns0:is>
      </ns0:c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S-03e3bfa6bf</ns0:t>
        </ns0:is>
      </ns0:c>
    </ns0:row>
    <ns0:row r="5" ht="20" customHeight="1">
      <ns0:c r="A5" s="2"/>
      <ns0:c r="B5" s="2" t="inlineStr">
        <ns0:is>
          <ns0:t>十三薪</ns0:t>
        </ns0:is>
      </ns0:c>
      <ns0:c r="C5" s="3">
        <ns0:f>ROUND(C205*C325,2)</ns0:f>
        <ns0:v>318.82</ns0:v>
      </ns0:c>
      <ns0:c r="D5" s="3">
        <ns0:f>ROUND(D205*D325,2)</ns0:f>
        <ns0:v>215.77</ns0:v>
      </ns0:c>
      <ns0:c r="E5" s="3">
        <ns0:f>ROUND(E205*E325,2)</ns0:f>
        <ns0:v>334.81</ns0:v>
      </ns0:c>
      <ns0:c r="F5" s="3">
        <ns0:f>ROUND(F205*F325,2)</ns0:f>
        <ns0:v>156.58</ns0:v>
      </ns0:c>
      <ns0:c r="G5" s="3">
        <ns0:f>ROUND(G205*G325,2)</ns0:f>
        <ns0:v>237.07</ns0:v>
      </ns0:c>
      <ns0:c r="H5" s="3">
        <ns0:f>ROUND(H205*H325,2)</ns0:f>
        <ns0:v>182.13</ns0:v>
      </ns0:c>
      <ns0:c r="I5" s="3">
        <ns0:f>ROUND(I205*I325,2)</ns0:f>
        <ns0:v>112.03</ns0:v>
      </ns0:c>
      <ns0:c r="J5" s="3">
        <ns0:f>ROUND(J205*J325,2)</ns0:f>
        <ns0:v>116.64</ns0:v>
      </ns0:c>
      <ns0:c r="K5" s="3">
        <ns0:f>ROUND(K205*K325,2)</ns0:f>
        <ns0:v>323.85</ns0:v>
      </ns0:c>
      <ns0:c r="L5" s="3">
        <ns0:f>ROUND(L205*L325,2)</ns0:f>
        <ns0:v>88.52</ns0:v>
      </ns0:c>
      <ns0:c r="M5" s="3">
        <ns0:f>ROUND(M205*M325,2)</ns0:f>
        <ns0:v>206.56</ns0:v>
      </ns0:c>
      <ns0:c r="N5" s="3">
        <ns0:f>ROUND(N205*N325,2)</ns0:f>
        <ns0:v>167.89</ns0:v>
      </ns0:c>
      <ns0:c r="O5" s="3">
        <ns0:f>SUM(C5:N5)</ns0:f>
        <ns0:v>2460.67</ns0:v>
      </ns0:c>
      <ns0:c r="P5" s="2" t="inlineStr">
        <ns0:is>
          <ns0:t>EXP1.005</ns0:t>
        </ns0:is>
      </ns0:c>
      <ns0:c r="Q5" s="2" t="inlineStr">
        <ns0:is>
          <ns0:t>演示占位-v1</ns0:t>
        </ns0:is>
      </ns0:c>
      <ns0:c r="R5" s="2" t="inlineStr">
        <ns0:is>
          <ns0:t>模拟权责发生制</ns0:t>
        </ns0:is>
      </ns0:c>
      <ns0:c r="S5" s="2" t="inlineStr">
        <ns0:is>
          <ns0:t>2027-01</ns0:t>
        </ns0:is>
      </ns0:c>
      <ns0:c r="T5" s="2" t="inlineStr">
        <ns0:is>
          <ns0:t>2027-06</ns0:t>
        </ns0:is>
      </ns0:c>
      <ns0:c r="U5" s="2" t="inlineStr">
        <ns0:is>
          <ns0:t>无</ns0:t>
        </ns0:is>
      </ns0:c>
      <ns0:c r="V5" s="2" t="inlineStr">
        <ns0:is>
          <ns0:t>无</ns0:t>
        </ns0:is>
      </ns0:c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扩展情景</ns0:t>
        </ns0:is>
      </ns0:c>
    </ns0:row>
    <ns0:row r="6" ht="20" customHeight="1">
      <ns0:c r="A6" s="2"/>
      <ns0:c r="B6" s="2" t="inlineStr">
        <ns0:is>
          <ns0:t>离职补偿金</ns0:t>
        </ns0:is>
      </ns0:c>
      <ns0:c r="C6" s="3">
        <ns0:f>ROUND(C206*C326,2)</ns0:f>
        <ns0:v>88.85</ns0:v>
      </ns0:c>
      <ns0:c r="D6" s="3">
        <ns0:f>ROUND(D206*D326,2)</ns0:f>
        <ns0:v>147.74</ns0:v>
      </ns0:c>
      <ns0:c r="E6" s="3">
        <ns0:f>ROUND(E206*E326,2)</ns0:f>
        <ns0:v>150.78</ns0:v>
      </ns0:c>
      <ns0:c r="F6" s="3">
        <ns0:f>ROUND(F206*F326,2)</ns0:f>
        <ns0:v>213.04</ns0:v>
      </ns0:c>
      <ns0:c r="G6" s="3">
        <ns0:f>ROUND(G206*G326,2)</ns0:f>
        <ns0:v>505.93</ns0:v>
      </ns0:c>
      <ns0:c r="H6" s="3">
        <ns0:f>ROUND(H206*H326,2)</ns0:f>
        <ns0:v>358.01</ns0:v>
      </ns0:c>
      <ns0:c r="I6" s="3">
        <ns0:f>ROUND(I206*I326,2)</ns0:f>
        <ns0:v>411.96</ns0:v>
      </ns0:c>
      <ns0:c r="J6" s="3">
        <ns0:f>ROUND(J206*J326,2)</ns0:f>
        <ns0:v>386.07</ns0:v>
      </ns0:c>
      <ns0:c r="K6" s="3">
        <ns0:f>ROUND(K206*K326,2)</ns0:f>
        <ns0:v>236.80</ns0:v>
      </ns0:c>
      <ns0:c r="L6" s="3">
        <ns0:f>ROUND(L206*L326,2)</ns0:f>
        <ns0:v>291.58</ns0:v>
      </ns0:c>
      <ns0:c r="M6" s="3">
        <ns0:f>ROUND(M206*M326,2)</ns0:f>
        <ns0:v>86.22</ns0:v>
      </ns0:c>
      <ns0:c r="N6" s="3">
        <ns0:f>ROUND(N206*N326,2)</ns0:f>
        <ns0:v>547.08</ns0:v>
      </ns0:c>
      <ns0:c r="O6" s="3">
        <ns0:f>SUM(C6:N6)</ns0:f>
        <ns0:v>3424.06</ns0:v>
      </ns0:c>
      <ns0:c r="P6" s="2" t="inlineStr">
        <ns0:is>
          <ns0:t>EXP1.006</ns0:t>
        </ns0:is>
      </ns0:c>
      <ns0:c r="Q6" s="2" t="inlineStr">
        <ns0:is>
          <ns0:t>演示占位-v1</ns0:t>
        </ns0:is>
      </ns0:c>
      <ns0:c r="R6" s="2" t="inlineStr">
        <ns0:is>
          <ns0:t>模拟权责发生制</ns0:t>
        </ns0:is>
      </ns0:c>
      <ns0:c r="S6" s="2" t="inlineStr">
        <ns0:is>
          <ns0:t>2027-01</ns0:t>
        </ns0:is>
      </ns0:c>
      <ns0:c r="T6" s="2" t="inlineStr">
        <ns0:is>
          <ns0:t>2027-06</ns0:t>
        </ns0:is>
      </ns0:c>
      <ns0:c r="U6" s="2" t="inlineStr">
        <ns0:is>
          <ns0:t>无</ns0:t>
        </ns0:is>
      </ns0:c>
      <ns0:c r="V6" s="2" t="inlineStr">
        <ns0:is>
          <ns0:t>无</ns0:t>
        </ns0:is>
      </ns0:c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2"/>
      <ns0:c r="B7" s="2" t="inlineStr">
        <ns0:is>
          <ns0:t>五险一金</ns0:t>
        </ns0:is>
      </ns0:c>
      <ns0:c r="C7" s="3">
        <ns0:f>ROUND(C207*C327,2)</ns0:f>
        <ns0:v>154.21</ns0:v>
      </ns0:c>
      <ns0:c r="D7" s="3">
        <ns0:f>ROUND(D207*D327,2)</ns0:f>
        <ns0:v>89.47</ns0:v>
      </ns0:c>
      <ns0:c r="E7" s="3">
        <ns0:f>ROUND(E207*E327,2)</ns0:f>
        <ns0:v>61.60</ns0:v>
      </ns0:c>
      <ns0:c r="F7" s="3">
        <ns0:f>ROUND(F207*F327,2)</ns0:f>
        <ns0:v>154.96</ns0:v>
      </ns0:c>
      <ns0:c r="G7" s="3">
        <ns0:f>ROUND(G207*G327,2)</ns0:f>
        <ns0:v>53.44</ns0:v>
      </ns0:c>
      <ns0:c r="H7" s="3">
        <ns0:f>ROUND(H207*H327,2)</ns0:f>
        <ns0:v>157.32</ns0:v>
      </ns0:c>
      <ns0:c r="I7" s="3">
        <ns0:f>ROUND(I207*I327,2)</ns0:f>
        <ns0:v>236.94</ns0:v>
      </ns0:c>
      <ns0:c r="J7" s="3">
        <ns0:f>ROUND(J207*J327,2)</ns0:f>
        <ns0:v>88.66</ns0:v>
      </ns0:c>
      <ns0:c r="K7" s="3">
        <ns0:f>ROUND(K207*K327,2)</ns0:f>
        <ns0:v>284.28</ns0:v>
      </ns0:c>
      <ns0:c r="L7" s="3">
        <ns0:f>ROUND(L207*L327,2)</ns0:f>
        <ns0:v>347.11</ns0:v>
      </ns0:c>
      <ns0:c r="M7" s="3">
        <ns0:f>ROUND(M207*M327,2)</ns0:f>
        <ns0:v>342.55</ns0:v>
      </ns0:c>
      <ns0:c r="N7" s="3">
        <ns0:f>ROUND(N207*N327,2)</ns0:f>
        <ns0:v>262.17</ns0:v>
      </ns0:c>
      <ns0:c r="O7" s="3">
        <ns0:f>SUM(C7:N7)</ns0:f>
        <ns0:v>2232.71</ns0:v>
      </ns0:c>
      <ns0:c r="P7" s="2" t="inlineStr">
        <ns0:is>
          <ns0:t>EXP1.007</ns0:t>
        </ns0:is>
      </ns0:c>
      <ns0:c r="Q7" s="2" t="inlineStr">
        <ns0:is>
          <ns0:t>演示占位-v1</ns0:t>
        </ns0:is>
      </ns0:c>
      <ns0:c r="R7" s="2" t="inlineStr">
        <ns0:is>
          <ns0:t>模拟权责发生制</ns0:t>
        </ns0:is>
      </ns0:c>
      <ns0:c r="S7" s="2" t="inlineStr">
        <ns0:is>
          <ns0:t>2027-01</ns0:t>
        </ns0:is>
      </ns0:c>
      <ns0:c r="T7" s="2" t="inlineStr">
        <ns0:is>
          <ns0:t>2027-06</ns0:t>
        </ns0:is>
      </ns0:c>
      <ns0:c r="U7" s="2" t="inlineStr">
        <ns0:is>
          <ns0:t>无</ns0:t>
        </ns0:is>
      </ns0:c>
      <ns0:c r="V7" s="2" t="inlineStr">
        <ns0:is>
          <ns0:t>无</ns0:t>
        </ns0:is>
      </ns0:c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季度</ns0:t>
        </ns0:is>
      </ns0:c>
    </ns0:row>
    <ns0:row r="8" ht="20" customHeight="1">
      <ns0:c r="A8" s="2"/>
      <ns0:c r="B8" s="2" t="inlineStr">
        <ns0:is>
          <ns0:t>福利费</ns0:t>
        </ns0:is>
      </ns0:c>
      <ns0:c r="C8" s="3">
        <ns0:f>ROUND(C208*C328,2)</ns0:f>
        <ns0:v>144.19</ns0:v>
      </ns0:c>
      <ns0:c r="D8" s="3">
        <ns0:f>ROUND(D208*D328,2)</ns0:f>
        <ns0:v>336.76</ns0:v>
      </ns0:c>
      <ns0:c r="E8" s="3">
        <ns0:f>ROUND(E208*E328,2)</ns0:f>
        <ns0:v>356.95</ns0:v>
      </ns0:c>
      <ns0:c r="F8" s="3">
        <ns0:f>ROUND(F208*F328,2)</ns0:f>
        <ns0:v>304.90</ns0:v>
      </ns0:c>
      <ns0:c r="G8" s="3">
        <ns0:f>ROUND(G208*G328,2)</ns0:f>
        <ns0:v>326.37</ns0:v>
      </ns0:c>
      <ns0:c r="H8" s="3">
        <ns0:f>ROUND(H208*H328,2)</ns0:f>
        <ns0:v>243.58</ns0:v>
      </ns0:c>
      <ns0:c r="I8" s="3">
        <ns0:f>ROUND(I208*I328,2)</ns0:f>
        <ns0:v>90.80</ns0:v>
      </ns0:c>
      <ns0:c r="J8" s="3">
        <ns0:f>ROUND(J208*J328,2)</ns0:f>
        <ns0:v>126.45</ns0:v>
      </ns0:c>
      <ns0:c r="K8" s="3">
        <ns0:f>ROUND(K208*K328,2)</ns0:f>
        <ns0:v>266.70</ns0:v>
      </ns0:c>
      <ns0:c r="L8" s="3">
        <ns0:f>ROUND(L208*L328,2)</ns0:f>
        <ns0:v>200.97</ns0:v>
      </ns0:c>
      <ns0:c r="M8" s="3">
        <ns0:f>ROUND(M208*M328,2)</ns0:f>
        <ns0:v>223.00</ns0:v>
      </ns0:c>
      <ns0:c r="N8" s="3">
        <ns0:f>ROUND(N208*N328,2)</ns0:f>
        <ns0:v>174.92</ns0:v>
      </ns0:c>
      <ns0:c r="O8" s="3">
        <ns0:f>SUM(C8:N8)</ns0:f>
        <ns0:v>2795.59</ns0:v>
      </ns0:c>
      <ns0:c r="P8" s="2" t="inlineStr">
        <ns0:is>
          <ns0:t>EXP1.008</ns0:t>
        </ns0:is>
      </ns0:c>
      <ns0:c r="Q8" s="2" t="inlineStr">
        <ns0:is>
          <ns0:t>演示占位-v1</ns0:t>
        </ns0:is>
      </ns0:c>
      <ns0:c r="R8" s="2" t="inlineStr">
        <ns0:is>
          <ns0:t>模拟权责发生制</ns0:t>
        </ns0:is>
      </ns0:c>
      <ns0:c r="S8" s="2" t="inlineStr">
        <ns0:is>
          <ns0:t>2027-01</ns0:t>
        </ns0:is>
      </ns0:c>
      <ns0:c r="T8" s="2" t="inlineStr">
        <ns0:is>
          <ns0:t>2027-06</ns0:t>
        </ns0:is>
      </ns0:c>
      <ns0:c r="U8" s="2" t="inlineStr">
        <ns0:is>
          <ns0:t>无</ns0:t>
        </ns0:is>
      </ns0:c>
      <ns0:c r="V8" s="2" t="inlineStr">
        <ns0:is>
          <ns0:t>无</ns0:t>
        </ns0:is>
      </ns0:c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2"/>
      <ns0:c r="B9" s="2" t="inlineStr">
        <ns0:is>
          <ns0:t>招聘费</ns0:t>
        </ns0:is>
      </ns0:c>
      <ns0:c r="C9" s="3">
        <ns0:f>ROUND(C209*C329,2)</ns0:f>
        <ns0:v>65.52</ns0:v>
      </ns0:c>
      <ns0:c r="D9" s="3">
        <ns0:f>ROUND(D209*D329,2)</ns0:f>
        <ns0:v>147.78</ns0:v>
      </ns0:c>
      <ns0:c r="E9" s="3">
        <ns0:f>ROUND(E209*E329,2)</ns0:f>
        <ns0:v>278.75</ns0:v>
      </ns0:c>
      <ns0:c r="F9" s="3">
        <ns0:f>ROUND(F209*F329,2)</ns0:f>
        <ns0:v>330.50</ns0:v>
      </ns0:c>
      <ns0:c r="G9" s="3">
        <ns0:f>ROUND(G209*G329,2)</ns0:f>
        <ns0:v>178.01</ns0:v>
      </ns0:c>
      <ns0:c r="H9" s="3">
        <ns0:f>ROUND(H209*H329,2)</ns0:f>
        <ns0:v>137.23</ns0:v>
      </ns0:c>
      <ns0:c r="I9" s="3">
        <ns0:f>ROUND(I209*I329,2)</ns0:f>
        <ns0:v>386.35</ns0:v>
      </ns0:c>
      <ns0:c r="J9" s="3">
        <ns0:f>ROUND(J209*J329,2)</ns0:f>
        <ns0:v>66.28</ns0:v>
      </ns0:c>
      <ns0:c r="K9" s="3">
        <ns0:f>ROUND(K209*K329,2)</ns0:f>
        <ns0:v>169.91</ns0:v>
      </ns0:c>
      <ns0:c r="L9" s="3">
        <ns0:f>ROUND(L209*L329,2)</ns0:f>
        <ns0:v>308.31</ns0:v>
      </ns0:c>
      <ns0:c r="M9" s="3">
        <ns0:f>ROUND(M209*M329,2)</ns0:f>
        <ns0:v>210.21</ns0:v>
      </ns0:c>
      <ns0:c r="N9" s="3">
        <ns0:f>ROUND(N209*N329,2)</ns0:f>
        <ns0:v>254.13</ns0:v>
      </ns0:c>
      <ns0:c r="O9" s="3">
        <ns0:f>SUM(C9:N9)</ns0:f>
        <ns0:v>2532.98</ns0:v>
      </ns0:c>
      <ns0:c r="P9" s="2" t="inlineStr">
        <ns0:is>
          <ns0:t>EXP1.009</ns0:t>
        </ns0:is>
      </ns0:c>
      <ns0:c r="Q9" s="2" t="inlineStr">
        <ns0:is>
          <ns0:t>演示占位-v1</ns0:t>
        </ns0:is>
      </ns0:c>
      <ns0:c r="R9" s="2" t="inlineStr">
        <ns0:is>
          <ns0:t>模拟权责发生制</ns0:t>
        </ns0:is>
      </ns0:c>
      <ns0:c r="S9" s="2" t="inlineStr">
        <ns0:is>
          <ns0:t>2027-01</ns0:t>
        </ns0:is>
      </ns0:c>
      <ns0:c r="T9" s="2" t="inlineStr">
        <ns0:is>
          <ns0:t>2027-06</ns0:t>
        </ns0:is>
      </ns0:c>
      <ns0:c r="U9" s="2" t="inlineStr">
        <ns0:is>
          <ns0:t>无</ns0:t>
        </ns0:is>
      </ns0:c>
      <ns0:c r="V9" s="2" t="inlineStr">
        <ns0:is>
          <ns0:t>无</ns0:t>
        </ns0:is>
      </ns0:c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2"/>
      <ns0:c r="B10" s="2" t="inlineStr">
        <ns0:is>
          <ns0:t>培训费</ns0:t>
        </ns0:is>
      </ns0:c>
      <ns0:c r="C10" s="3">
        <ns0:f>ROUND(C210*C330,2)</ns0:f>
        <ns0:v>264.88</ns0:v>
      </ns0:c>
      <ns0:c r="D10" s="3">
        <ns0:f>ROUND(D210*D330,2)</ns0:f>
        <ns0:v>127.98</ns0:v>
      </ns0:c>
      <ns0:c r="E10" s="3">
        <ns0:f>ROUND(E210*E330,2)</ns0:f>
        <ns0:v>382.77</ns0:v>
      </ns0:c>
      <ns0:c r="F10" s="3">
        <ns0:f>ROUND(F210*F330,2)</ns0:f>
        <ns0:v>170.92</ns0:v>
      </ns0:c>
      <ns0:c r="G10" s="3">
        <ns0:f>ROUND(G210*G330,2)</ns0:f>
        <ns0:v>71.76</ns0:v>
      </ns0:c>
      <ns0:c r="H10" s="3">
        <ns0:f>ROUND(H210*H330,2)</ns0:f>
        <ns0:v>160.23</ns0:v>
      </ns0:c>
      <ns0:c r="I10" s="3">
        <ns0:f>ROUND(I210*I330,2)</ns0:f>
        <ns0:v>205.24</ns0:v>
      </ns0:c>
      <ns0:c r="J10" s="3">
        <ns0:f>ROUND(J210*J330,2)</ns0:f>
        <ns0:v>181.78</ns0:v>
      </ns0:c>
      <ns0:c r="K10" s="3">
        <ns0:f>ROUND(K210*K330,2)</ns0:f>
        <ns0:v>343.91</ns0:v>
      </ns0:c>
      <ns0:c r="L10" s="3">
        <ns0:f>ROUND(L210*L330,2)</ns0:f>
        <ns0:v>150.42</ns0:v>
      </ns0:c>
      <ns0:c r="M10" s="3">
        <ns0:f>ROUND(M210*M330,2)</ns0:f>
        <ns0:v>323.12</ns0:v>
      </ns0:c>
      <ns0:c r="N10" s="3">
        <ns0:f>ROUND(N210*N330,2)</ns0:f>
        <ns0:v>415.20</ns0:v>
      </ns0:c>
      <ns0:c r="O10" s="3">
        <ns0:f>SUM(C10:N10)</ns0:f>
        <ns0:v>2798.21</ns0:v>
      </ns0:c>
      <ns0:c r="P10" s="2" t="inlineStr">
        <ns0:is>
          <ns0:t>EXP1.010</ns0:t>
        </ns0:is>
      </ns0:c>
      <ns0:c r="Q10" s="2" t="inlineStr">
        <ns0:is>
          <ns0:t>演示占位-v1</ns0:t>
        </ns0:is>
      </ns0:c>
      <ns0:c r="R10" s="2" t="inlineStr">
        <ns0:is>
          <ns0:t>模拟权责发生制</ns0:t>
        </ns0:is>
      </ns0:c>
      <ns0:c r="S10" s="2" t="inlineStr">
        <ns0:is>
          <ns0:t>2027-01</ns0:t>
        </ns0:is>
      </ns0:c>
      <ns0:c r="T10" s="2" t="inlineStr">
        <ns0:is>
          <ns0:t>2027-06</ns0:t>
        </ns0:is>
      </ns0:c>
      <ns0:c r="U10" s="2" t="inlineStr">
        <ns0:is>
          <ns0:t>无</ns0:t>
        </ns0:is>
      </ns0:c>
      <ns0:c r="V10" s="2" t="inlineStr">
        <ns0:is>
          <ns0:t>无</ns0:t>
        </ns0:is>
      </ns0:c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2"/>
      <ns0:c r="B11" s="2" t="inlineStr">
        <ns0:is>
          <ns0:t>房租</ns0:t>
        </ns0:is>
      </ns0:c>
      <ns0:c r="C11" s="3">
        <ns0:f>ROUND(C211*C331,2)</ns0:f>
        <ns0:v>535.87</ns0:v>
      </ns0:c>
      <ns0:c r="D11" s="3">
        <ns0:f>ROUND(D211*D331,2)</ns0:f>
        <ns0:v>384.08</ns0:v>
      </ns0:c>
      <ns0:c r="E11" s="3">
        <ns0:f>ROUND(E211*E331,2)</ns0:f>
        <ns0:v>168.99</ns0:v>
      </ns0:c>
      <ns0:c r="F11" s="3">
        <ns0:f>ROUND(F211*F331,2)</ns0:f>
        <ns0:v>277.58</ns0:v>
      </ns0:c>
      <ns0:c r="G11" s="3">
        <ns0:f>ROUND(G211*G331,2)</ns0:f>
        <ns0:v>167.10</ns0:v>
      </ns0:c>
      <ns0:c r="H11" s="3">
        <ns0:f>ROUND(H211*H331,2)</ns0:f>
        <ns0:v>208.03</ns0:v>
      </ns0:c>
      <ns0:c r="I11" s="3">
        <ns0:f>ROUND(I211*I331,2)</ns0:f>
        <ns0:v>462.38</ns0:v>
      </ns0:c>
      <ns0:c r="J11" s="3">
        <ns0:f>ROUND(J211*J331,2)</ns0:f>
        <ns0:v>94.02</ns0:v>
      </ns0:c>
      <ns0:c r="K11" s="3">
        <ns0:f>ROUND(K211*K331,2)</ns0:f>
        <ns0:v>201.29</ns0:v>
      </ns0:c>
      <ns0:c r="L11" s="3">
        <ns0:f>ROUND(L211*L331,2)</ns0:f>
        <ns0:v>120.13</ns0:v>
      </ns0:c>
      <ns0:c r="M11" s="3">
        <ns0:f>ROUND(M211*M331,2)</ns0:f>
        <ns0:v>331.41</ns0:v>
      </ns0:c>
      <ns0:c r="N11" s="3">
        <ns0:f>ROUND(N211*N331,2)</ns0:f>
        <ns0:v>407.72</ns0:v>
      </ns0:c>
      <ns0:c r="O11" s="3">
        <ns0:f>SUM(C11:N11)</ns0:f>
        <ns0:v>3358.60</ns0:v>
      </ns0:c>
      <ns0:c r="P11" s="2" t="inlineStr">
        <ns0:is>
          <ns0:t>EXP1.011</ns0:t>
        </ns0:is>
      </ns0:c>
      <ns0:c r="Q11" s="2" t="inlineStr">
        <ns0:is>
          <ns0:t>演示占位-v1</ns0:t>
        </ns0:is>
      </ns0:c>
      <ns0:c r="R11" s="2" t="inlineStr">
        <ns0:is>
          <ns0:t>模拟权责发生制</ns0:t>
        </ns0:is>
      </ns0:c>
      <ns0:c r="S11" s="2" t="inlineStr">
        <ns0:is>
          <ns0:t>2027-01</ns0:t>
        </ns0:is>
      </ns0:c>
      <ns0:c r="T11" s="2" t="inlineStr">
        <ns0:is>
          <ns0:t>2027-06</ns0:t>
        </ns0:is>
      </ns0:c>
      <ns0:c r="U11" s="2" t="inlineStr">
        <ns0:is>
          <ns0:t>无</ns0:t>
        </ns0:is>
      </ns0:c>
      <ns0:c r="V11" s="2" t="inlineStr">
        <ns0:is>
          <ns0:t>无</ns0:t>
        </ns0:is>
      </ns0:c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2"/>
      <ns0:c r="B12" s="2" t="inlineStr">
        <ns0:is>
          <ns0:t>物业管理费</ns0:t>
        </ns0:is>
      </ns0:c>
      <ns0:c r="C12" s="3">
        <ns0:f>ROUND(C212*C332,2)</ns0:f>
        <ns0:v>355.31</ns0:v>
      </ns0:c>
      <ns0:c r="D12" s="3">
        <ns0:f>ROUND(D212*D332,2)</ns0:f>
        <ns0:v>109.43</ns0:v>
      </ns0:c>
      <ns0:c r="E12" s="3">
        <ns0:f>ROUND(E212*E332,2)</ns0:f>
        <ns0:v>443.72</ns0:v>
      </ns0:c>
      <ns0:c r="F12" s="3">
        <ns0:f>ROUND(F212*F332,2)</ns0:f>
        <ns0:v>202.74</ns0:v>
      </ns0:c>
      <ns0:c r="G12" s="3">
        <ns0:f>ROUND(G212*G332,2)</ns0:f>
        <ns0:v>333.62</ns0:v>
      </ns0:c>
      <ns0:c r="H12" s="3">
        <ns0:f>ROUND(H212*H332,2)</ns0:f>
        <ns0:v>420.27</ns0:v>
      </ns0:c>
      <ns0:c r="I12" s="3">
        <ns0:f>ROUND(I212*I332,2)</ns0:f>
        <ns0:v>222.54</ns0:v>
      </ns0:c>
      <ns0:c r="J12" s="3">
        <ns0:f>ROUND(J212*J332,2)</ns0:f>
        <ns0:v>486.31</ns0:v>
      </ns0:c>
      <ns0:c r="K12" s="3">
        <ns0:f>ROUND(K212*K332,2)</ns0:f>
        <ns0:v>194.22</ns0:v>
      </ns0:c>
      <ns0:c r="L12" s="3">
        <ns0:f>ROUND(L212*L332,2)</ns0:f>
        <ns0:v>121.25</ns0:v>
      </ns0:c>
      <ns0:c r="M12" s="3">
        <ns0:f>ROUND(M212*M332,2)</ns0:f>
        <ns0:v>249.19</ns0:v>
      </ns0:c>
      <ns0:c r="N12" s="3">
        <ns0:f>ROUND(N212*N332,2)</ns0:f>
        <ns0:v>98.38</ns0:v>
      </ns0:c>
      <ns0:c r="O12" s="3">
        <ns0:f>SUM(C12:N12)</ns0:f>
        <ns0:v>3236.98</ns0:v>
      </ns0:c>
      <ns0:c r="P12" s="2" t="inlineStr">
        <ns0:is>
          <ns0:t>EXP1.012</ns0:t>
        </ns0:is>
      </ns0:c>
      <ns0:c r="Q12" s="2" t="inlineStr">
        <ns0:is>
          <ns0:t>演示占位-v1</ns0:t>
        </ns0:is>
      </ns0:c>
      <ns0:c r="R12" s="2" t="inlineStr">
        <ns0:is>
          <ns0:t>模拟权责发生制</ns0:t>
        </ns0:is>
      </ns0:c>
      <ns0:c r="S12" s="2" t="inlineStr">
        <ns0:is>
          <ns0:t>2027-01</ns0:t>
        </ns0:is>
      </ns0:c>
      <ns0:c r="T12" s="2" t="inlineStr">
        <ns0:is>
          <ns0:t>2027-06</ns0:t>
        </ns0:is>
      </ns0:c>
      <ns0:c r="U12" s="2" t="inlineStr">
        <ns0:is>
          <ns0:t>无</ns0:t>
        </ns0:is>
      </ns0:c>
      <ns0:c r="V12" s="2" t="inlineStr">
        <ns0:is>
          <ns0:t>无</ns0:t>
        </ns0:is>
      </ns0:c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2"/>
      <ns0:c r="B13" s="2" t="inlineStr">
        <ns0:is>
          <ns0:t>汽车费用</ns0:t>
        </ns0:is>
      </ns0:c>
      <ns0:c r="C13" s="3">
        <ns0:f>ROUND(C213*C333,2)</ns0:f>
        <ns0:v>295.47</ns0:v>
      </ns0:c>
      <ns0:c r="D13" s="3">
        <ns0:f>ROUND(D213*D333,2)</ns0:f>
        <ns0:v>240.26</ns0:v>
      </ns0:c>
      <ns0:c r="E13" s="3">
        <ns0:f>ROUND(E213*E333,2)</ns0:f>
        <ns0:v>330.25</ns0:v>
      </ns0:c>
      <ns0:c r="F13" s="3">
        <ns0:f>ROUND(F213*F333,2)</ns0:f>
        <ns0:v>146.34</ns0:v>
      </ns0:c>
      <ns0:c r="G13" s="3">
        <ns0:f>ROUND(G213*G333,2)</ns0:f>
        <ns0:v>213.02</ns0:v>
      </ns0:c>
      <ns0:c r="H13" s="3">
        <ns0:f>ROUND(H213*H333,2)</ns0:f>
        <ns0:v>181.89</ns0:v>
      </ns0:c>
      <ns0:c r="I13" s="3">
        <ns0:f>ROUND(I213*I333,2)</ns0:f>
        <ns0:v>277.58</ns0:v>
      </ns0:c>
      <ns0:c r="J13" s="3">
        <ns0:f>ROUND(J213*J333,2)</ns0:f>
        <ns0:v>331.87</ns0:v>
      </ns0:c>
      <ns0:c r="K13" s="3">
        <ns0:f>ROUND(K213*K333,2)</ns0:f>
        <ns0:v>318.24</ns0:v>
      </ns0:c>
      <ns0:c r="L13" s="3">
        <ns0:f>ROUND(L213*L333,2)</ns0:f>
        <ns0:v>220.74</ns0:v>
      </ns0:c>
      <ns0:c r="M13" s="3">
        <ns0:f>ROUND(M213*M333,2)</ns0:f>
        <ns0:v>101.41</ns0:v>
      </ns0:c>
      <ns0:c r="N13" s="3">
        <ns0:f>ROUND(N213*N333,2)</ns0:f>
        <ns0:v>140.30</ns0:v>
      </ns0:c>
      <ns0:c r="O13" s="3">
        <ns0:f>SUM(C13:N13)</ns0:f>
        <ns0:v>2797.37</ns0:v>
      </ns0:c>
      <ns0:c r="P13" s="2" t="inlineStr">
        <ns0:is>
          <ns0:t>EXP1.013</ns0:t>
        </ns0:is>
      </ns0:c>
      <ns0:c r="Q13" s="2" t="inlineStr">
        <ns0:is>
          <ns0:t>演示占位-v1</ns0:t>
        </ns0:is>
      </ns0:c>
      <ns0:c r="R13" s="2" t="inlineStr">
        <ns0:is>
          <ns0:t>模拟权责发生制</ns0:t>
        </ns0:is>
      </ns0:c>
      <ns0:c r="S13" s="2" t="inlineStr">
        <ns0:is>
          <ns0:t>2027-01</ns0:t>
        </ns0:is>
      </ns0:c>
      <ns0:c r="T13" s="2" t="inlineStr">
        <ns0:is>
          <ns0:t>2027-06</ns0:t>
        </ns0:is>
      </ns0:c>
      <ns0:c r="U13" s="2" t="inlineStr">
        <ns0:is>
          <ns0:t>无</ns0:t>
        </ns0:is>
      </ns0:c>
      <ns0:c r="V13" s="2" t="inlineStr">
        <ns0:is>
          <ns0:t>无</ns0:t>
        </ns0:is>
      </ns0:c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2"/>
      <ns0:c r="B14" s="2" t="inlineStr">
        <ns0:is>
          <ns0:t>办公费</ns0:t>
        </ns0:is>
      </ns0:c>
      <ns0:c r="C14" s="3">
        <ns0:f>ROUND(C214*C334,2)</ns0:f>
        <ns0:v>190.05</ns0:v>
      </ns0:c>
      <ns0:c r="D14" s="3">
        <ns0:f>ROUND(D214*D334,2)</ns0:f>
        <ns0:v>365.26</ns0:v>
      </ns0:c>
      <ns0:c r="E14" s="3">
        <ns0:f>ROUND(E214*E334,2)</ns0:f>
        <ns0:v>209.00</ns0:v>
      </ns0:c>
      <ns0:c r="F14" s="3">
        <ns0:f>ROUND(F214*F334,2)</ns0:f>
        <ns0:v>331.01</ns0:v>
      </ns0:c>
      <ns0:c r="G14" s="3">
        <ns0:f>ROUND(G214*G334,2)</ns0:f>
        <ns0:v>222.94</ns0:v>
      </ns0:c>
      <ns0:c r="H14" s="3">
        <ns0:f>ROUND(H214*H334,2)</ns0:f>
        <ns0:v>174.34</ns0:v>
      </ns0:c>
      <ns0:c r="I14" s="3">
        <ns0:f>ROUND(I214*I334,2)</ns0:f>
        <ns0:v>48.26</ns0:v>
      </ns0:c>
      <ns0:c r="J14" s="3">
        <ns0:f>ROUND(J214*J334,2)</ns0:f>
        <ns0:v>418.06</ns0:v>
      </ns0:c>
      <ns0:c r="K14" s="3">
        <ns0:f>ROUND(K214*K334,2)</ns0:f>
        <ns0:v>169.71</ns0:v>
      </ns0:c>
      <ns0:c r="L14" s="3">
        <ns0:f>ROUND(L214*L334,2)</ns0:f>
        <ns0:v>194.19</ns0:v>
      </ns0:c>
      <ns0:c r="M14" s="3">
        <ns0:f>ROUND(M214*M334,2)</ns0:f>
        <ns0:v>144.85</ns0:v>
      </ns0:c>
      <ns0:c r="N14" s="3">
        <ns0:f>ROUND(N214*N334,2)</ns0:f>
        <ns0:v>201.15</ns0:v>
      </ns0:c>
      <ns0:c r="O14" s="3">
        <ns0:f>SUM(C14:N14)</ns0:f>
        <ns0:v>2668.82</ns0:v>
      </ns0:c>
      <ns0:c r="P14" s="2" t="inlineStr">
        <ns0:is>
          <ns0:t>EXP1.014</ns0:t>
        </ns0:is>
      </ns0:c>
      <ns0:c r="Q14" s="2" t="inlineStr">
        <ns0:is>
          <ns0:t>演示占位-v1</ns0:t>
        </ns0:is>
      </ns0:c>
      <ns0:c r="R14" s="2" t="inlineStr">
        <ns0:is>
          <ns0:t>模拟权责发生制</ns0:t>
        </ns0:is>
      </ns0:c>
      <ns0:c r="S14" s="2" t="inlineStr">
        <ns0:is>
          <ns0:t>2027-01</ns0:t>
        </ns0:is>
      </ns0:c>
      <ns0:c r="T14" s="2" t="inlineStr">
        <ns0:is>
          <ns0:t>2027-06</ns0:t>
        </ns0:is>
      </ns0:c>
      <ns0:c r="U14" s="2" t="inlineStr">
        <ns0:is>
          <ns0:t>无</ns0:t>
        </ns0:is>
      </ns0:c>
      <ns0:c r="V14" s="2" t="inlineStr">
        <ns0:is>
          <ns0:t>无</ns0:t>
        </ns0:is>
      </ns0:c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2"/>
      <ns0:c r="B15" s="2" t="inlineStr">
        <ns0:is>
          <ns0:t>办公用品</ns0:t>
        </ns0:is>
      </ns0:c>
      <ns0:c r="C15" s="3">
        <ns0:f>ROUND(C215*C335,2)</ns0:f>
        <ns0:v>475.19</ns0:v>
      </ns0:c>
      <ns0:c r="D15" s="3">
        <ns0:f>ROUND(D215*D335,2)</ns0:f>
        <ns0:v>220.95</ns0:v>
      </ns0:c>
      <ns0:c r="E15" s="3">
        <ns0:f>ROUND(E215*E335,2)</ns0:f>
        <ns0:v>92.13</ns0:v>
      </ns0:c>
      <ns0:c r="F15" s="3">
        <ns0:f>ROUND(F215*F335,2)</ns0:f>
        <ns0:v>164.08</ns0:v>
      </ns0:c>
      <ns0:c r="G15" s="3">
        <ns0:f>ROUND(G215*G335,2)</ns0:f>
        <ns0:v>458.89</ns0:v>
      </ns0:c>
      <ns0:c r="H15" s="3">
        <ns0:f>ROUND(H215*H335,2)</ns0:f>
        <ns0:v>204.21</ns0:v>
      </ns0:c>
      <ns0:c r="I15" s="3">
        <ns0:f>ROUND(I215*I335,2)</ns0:f>
        <ns0:v>335.63</ns0:v>
      </ns0:c>
      <ns0:c r="J15" s="3">
        <ns0:f>ROUND(J215*J335,2)</ns0:f>
        <ns0:v>706.45</ns0:v>
      </ns0:c>
      <ns0:c r="K15" s="3">
        <ns0:f>ROUND(K215*K335,2)</ns0:f>
        <ns0:v>570.90</ns0:v>
      </ns0:c>
      <ns0:c r="L15" s="3">
        <ns0:f>ROUND(L215*L335,2)</ns0:f>
        <ns0:v>493.68</ns0:v>
      </ns0:c>
      <ns0:c r="M15" s="3">
        <ns0:f>ROUND(M215*M335,2)</ns0:f>
        <ns0:v>131.39</ns0:v>
      </ns0:c>
      <ns0:c r="N15" s="3">
        <ns0:f>ROUND(N215*N335,2)</ns0:f>
        <ns0:v>130.35</ns0:v>
      </ns0:c>
      <ns0:c r="O15" s="3">
        <ns0:f>SUM(C15:N15)</ns0:f>
        <ns0:v>3983.85</ns0:v>
      </ns0:c>
      <ns0:c r="P15" s="2" t="inlineStr">
        <ns0:is>
          <ns0:t>EXP1.015</ns0:t>
        </ns0:is>
      </ns0:c>
      <ns0:c r="Q15" s="2" t="inlineStr">
        <ns0:is>
          <ns0:t>演示占位-v1</ns0:t>
        </ns0:is>
      </ns0:c>
      <ns0:c r="R15" s="2" t="inlineStr">
        <ns0:is>
          <ns0:t>模拟权责发生制</ns0:t>
        </ns0:is>
      </ns0:c>
      <ns0:c r="S15" s="2" t="inlineStr">
        <ns0:is>
          <ns0:t>2027-01</ns0:t>
        </ns0:is>
      </ns0:c>
      <ns0:c r="T15" s="2" t="inlineStr">
        <ns0:is>
          <ns0:t>2027-06</ns0:t>
        </ns0:is>
      </ns0:c>
      <ns0:c r="U15" s="2" t="inlineStr">
        <ns0:is>
          <ns0:t>无</ns0:t>
        </ns0:is>
      </ns0:c>
      <ns0:c r="V15" s="2" t="inlineStr">
        <ns0:is>
          <ns0:t>无</ns0:t>
        </ns0:is>
      </ns0:c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2"/>
      <ns0:c r="B16" s="2" t="inlineStr">
        <ns0:is>
          <ns0:t>水电煤</ns0:t>
        </ns0:is>
      </ns0:c>
      <ns0:c r="C16" s="3">
        <ns0:f>ROUND(C216*C336,2)</ns0:f>
        <ns0:v>399.37</ns0:v>
      </ns0:c>
      <ns0:c r="D16" s="3">
        <ns0:f>ROUND(D216*D336,2)</ns0:f>
        <ns0:v>217.84</ns0:v>
      </ns0:c>
      <ns0:c r="E16" s="3">
        <ns0:f>ROUND(E216*E336,2)</ns0:f>
        <ns0:v>301.05</ns0:v>
      </ns0:c>
      <ns0:c r="F16" s="3">
        <ns0:f>ROUND(F216*F336,2)</ns0:f>
        <ns0:v>534.13</ns0:v>
      </ns0:c>
      <ns0:c r="G16" s="3">
        <ns0:f>ROUND(G216*G336,2)</ns0:f>
        <ns0:v>322.59</ns0:v>
      </ns0:c>
      <ns0:c r="H16" s="3">
        <ns0:f>ROUND(H216*H336,2)</ns0:f>
        <ns0:v>507.09</ns0:v>
      </ns0:c>
      <ns0:c r="I16" s="3">
        <ns0:f>ROUND(I216*I336,2)</ns0:f>
        <ns0:v>324.71</ns0:v>
      </ns0:c>
      <ns0:c r="J16" s="3">
        <ns0:f>ROUND(J216*J336,2)</ns0:f>
        <ns0:v>126.03</ns0:v>
      </ns0:c>
      <ns0:c r="K16" s="3">
        <ns0:f>ROUND(K216*K336,2)</ns0:f>
        <ns0:v>256.61</ns0:v>
      </ns0:c>
      <ns0:c r="L16" s="3">
        <ns0:f>ROUND(L216*L336,2)</ns0:f>
        <ns0:v>130.03</ns0:v>
      </ns0:c>
      <ns0:c r="M16" s="3">
        <ns0:f>ROUND(M216*M336,2)</ns0:f>
        <ns0:v>278.41</ns0:v>
      </ns0:c>
      <ns0:c r="N16" s="3">
        <ns0:f>ROUND(N216*N336,2)</ns0:f>
        <ns0:v>357.64</ns0:v>
      </ns0:c>
      <ns0:c r="O16" s="3">
        <ns0:f>SUM(C16:N16)</ns0:f>
        <ns0:v>3755.50</ns0:v>
      </ns0:c>
      <ns0:c r="P16" s="2" t="inlineStr">
        <ns0:is>
          <ns0:t>EXP1.016</ns0:t>
        </ns0:is>
      </ns0:c>
      <ns0:c r="Q16" s="2" t="inlineStr">
        <ns0:is>
          <ns0:t>演示占位-v1</ns0:t>
        </ns0:is>
      </ns0:c>
      <ns0:c r="R16" s="2" t="inlineStr">
        <ns0:is>
          <ns0:t>模拟权责发生制</ns0:t>
        </ns0:is>
      </ns0:c>
      <ns0:c r="S16" s="2" t="inlineStr">
        <ns0:is>
          <ns0:t>2027-01</ns0:t>
        </ns0:is>
      </ns0:c>
      <ns0:c r="T16" s="2" t="inlineStr">
        <ns0:is>
          <ns0:t>2027-06</ns0:t>
        </ns0:is>
      </ns0:c>
      <ns0:c r="U16" s="2" t="inlineStr">
        <ns0:is>
          <ns0:t>无</ns0:t>
        </ns0:is>
      </ns0:c>
      <ns0:c r="V16" s="2" t="inlineStr">
        <ns0:is>
          <ns0:t>无</ns0:t>
        </ns0:is>
      </ns0:c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实时经营</ns0:t>
        </ns0:is>
      </ns0:c>
    </ns0:row>
    <ns0:row r="17" ht="20" customHeight="1">
      <ns0:c r="A17" s="2"/>
      <ns0:c r="B17" s="2" t="inlineStr">
        <ns0:is>
          <ns0:t>咨询服务费</ns0:t>
        </ns0:is>
      </ns0:c>
      <ns0:c r="C17" s="3">
        <ns0:f>ROUND(C217*C337,2)</ns0:f>
        <ns0:v>160.15</ns0:v>
      </ns0:c>
      <ns0:c r="D17" s="3">
        <ns0:f>ROUND(D217*D337,2)</ns0:f>
        <ns0:v>259.92</ns0:v>
      </ns0:c>
      <ns0:c r="E17" s="3">
        <ns0:f>ROUND(E217*E337,2)</ns0:f>
        <ns0:v>336.17</ns0:v>
      </ns0:c>
      <ns0:c r="F17" s="3">
        <ns0:f>ROUND(F217*F337,2)</ns0:f>
        <ns0:v>308.44</ns0:v>
      </ns0:c>
      <ns0:c r="G17" s="3">
        <ns0:f>ROUND(G217*G337,2)</ns0:f>
        <ns0:v>82.70</ns0:v>
      </ns0:c>
      <ns0:c r="H17" s="3">
        <ns0:f>ROUND(H217*H337,2)</ns0:f>
        <ns0:v>189.57</ns0:v>
      </ns0:c>
      <ns0:c r="I17" s="3">
        <ns0:f>ROUND(I217*I337,2)</ns0:f>
        <ns0:v>114.98</ns0:v>
      </ns0:c>
      <ns0:c r="J17" s="3">
        <ns0:f>ROUND(J217*J337,2)</ns0:f>
        <ns0:v>273.03</ns0:v>
      </ns0:c>
      <ns0:c r="K17" s="3">
        <ns0:f>ROUND(K217*K337,2)</ns0:f>
        <ns0:v>192.23</ns0:v>
      </ns0:c>
      <ns0:c r="L17" s="3">
        <ns0:f>ROUND(L217*L337,2)</ns0:f>
        <ns0:v>230.65</ns0:v>
      </ns0:c>
      <ns0:c r="M17" s="3">
        <ns0:f>ROUND(M217*M337,2)</ns0:f>
        <ns0:v>397.64</ns0:v>
      </ns0:c>
      <ns0:c r="N17" s="3">
        <ns0:f>ROUND(N217*N337,2)</ns0:f>
        <ns0:v>283.79</ns0:v>
      </ns0:c>
      <ns0:c r="O17" s="3">
        <ns0:f>SUM(C17:N17)</ns0:f>
        <ns0:v>2829.27</ns0:v>
      </ns0:c>
      <ns0:c r="P17" s="2" t="inlineStr">
        <ns0:is>
          <ns0:t>EXP1.017</ns0:t>
        </ns0:is>
      </ns0:c>
      <ns0:c r="Q17" s="2" t="inlineStr">
        <ns0:is>
          <ns0:t>演示占位-v1</ns0:t>
        </ns0:is>
      </ns0:c>
      <ns0:c r="R17" s="2" t="inlineStr">
        <ns0:is>
          <ns0:t>模拟权责发生制</ns0:t>
        </ns0:is>
      </ns0:c>
      <ns0:c r="S17" s="2" t="inlineStr">
        <ns0:is>
          <ns0:t>2027-01</ns0:t>
        </ns0:is>
      </ns0:c>
      <ns0:c r="T17" s="2" t="inlineStr">
        <ns0:is>
          <ns0:t>2027-06</ns0:t>
        </ns0:is>
      </ns0:c>
      <ns0:c r="U17" s="2" t="inlineStr">
        <ns0:is>
          <ns0:t>无</ns0:t>
        </ns0:is>
      </ns0:c>
      <ns0:c r="V17" s="2" t="inlineStr">
        <ns0:is>
          <ns0:t>无</ns0:t>
        </ns0:is>
      </ns0:c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蓝色为实时经营输入参数；示例数值为占位；金额单位：元</ns0:t>
        </ns0:is>
      </ns0:c>
    </ns0:row>
    <ns0:row r="18" ht="20" customHeight="1">
      <ns0:c r="A18" s="2"/>
      <ns0:c r="B18" s="2" t="inlineStr">
        <ns0:is>
          <ns0:t>电话费</ns0:t>
        </ns0:is>
      </ns0:c>
      <ns0:c r="C18" s="3">
        <ns0:f>ROUND(C218*C338,2)</ns0:f>
        <ns0:v>303.18</ns0:v>
      </ns0:c>
      <ns0:c r="D18" s="3">
        <ns0:f>ROUND(D218*D338,2)</ns0:f>
        <ns0:v>146.08</ns0:v>
      </ns0:c>
      <ns0:c r="E18" s="3">
        <ns0:f>ROUND(E218*E338,2)</ns0:f>
        <ns0:v>299.45</ns0:v>
      </ns0:c>
      <ns0:c r="F18" s="3">
        <ns0:f>ROUND(F218*F338,2)</ns0:f>
        <ns0:v>137.02</ns0:v>
      </ns0:c>
      <ns0:c r="G18" s="3">
        <ns0:f>ROUND(G218*G338,2)</ns0:f>
        <ns0:v>215.90</ns0:v>
      </ns0:c>
      <ns0:c r="H18" s="3">
        <ns0:f>ROUND(H218*H338,2)</ns0:f>
        <ns0:v>151.16</ns0:v>
      </ns0:c>
      <ns0:c r="I18" s="3">
        <ns0:f>ROUND(I218*I338,2)</ns0:f>
        <ns0:v>280.16</ns0:v>
      </ns0:c>
      <ns0:c r="J18" s="3">
        <ns0:f>ROUND(J218*J338,2)</ns0:f>
        <ns0:v>202.81</ns0:v>
      </ns0:c>
      <ns0:c r="K18" s="3">
        <ns0:f>ROUND(K218*K338,2)</ns0:f>
        <ns0:v>259.65</ns0:v>
      </ns0:c>
      <ns0:c r="L18" s="3">
        <ns0:f>ROUND(L218*L338,2)</ns0:f>
        <ns0:v>289.20</ns0:v>
      </ns0:c>
      <ns0:c r="M18" s="3">
        <ns0:f>ROUND(M218*M338,2)</ns0:f>
        <ns0:v>156.34</ns0:v>
      </ns0:c>
      <ns0:c r="N18" s="3">
        <ns0:f>ROUND(N218*N338,2)</ns0:f>
        <ns0:v>334.96</ns0:v>
      </ns0:c>
      <ns0:c r="O18" s="3">
        <ns0:f>SUM(C18:N18)</ns0:f>
        <ns0:v>2775.91</ns0:v>
      </ns0:c>
      <ns0:c r="P18" s="2" t="inlineStr">
        <ns0:is>
          <ns0:t>EXP1.018</ns0:t>
        </ns0:is>
      </ns0:c>
      <ns0:c r="Q18" s="2" t="inlineStr">
        <ns0:is>
          <ns0:t>演示占位-v1</ns0:t>
        </ns0:is>
      </ns0:c>
      <ns0:c r="R18" s="2" t="inlineStr">
        <ns0:is>
          <ns0:t>模拟权责发生制</ns0:t>
        </ns0:is>
      </ns0:c>
      <ns0:c r="S18" s="2" t="inlineStr">
        <ns0:is>
          <ns0:t>2027-01</ns0:t>
        </ns0:is>
      </ns0:c>
      <ns0:c r="T18" s="2" t="inlineStr">
        <ns0:is>
          <ns0:t>2027-06</ns0:t>
        </ns0:is>
      </ns0:c>
      <ns0:c r="U18" s="2" t="inlineStr">
        <ns0:is>
          <ns0:t>无</ns0:t>
        </ns0:is>
      </ns0:c>
      <ns0:c r="V18" s="2" t="inlineStr">
        <ns0:is>
          <ns0:t>无</ns0:t>
        </ns0:is>
      </ns0:c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2"/>
      <ns0:c r="B19" s="2" t="inlineStr">
        <ns0:is>
          <ns0:t>快递费</ns0:t>
        </ns0:is>
      </ns0:c>
      <ns0:c r="C19" s="3">
        <ns0:f>ROUND(C219*C339,2)</ns0:f>
        <ns0:v>196.96</ns0:v>
      </ns0:c>
      <ns0:c r="D19" s="3">
        <ns0:f>ROUND(D219*D339,2)</ns0:f>
        <ns0:v>163.46</ns0:v>
      </ns0:c>
      <ns0:c r="E19" s="3">
        <ns0:f>ROUND(E219*E339,2)</ns0:f>
        <ns0:v>220.80</ns0:v>
      </ns0:c>
      <ns0:c r="F19" s="3">
        <ns0:f>ROUND(F219*F339,2)</ns0:f>
        <ns0:v>260.66</ns0:v>
      </ns0:c>
      <ns0:c r="G19" s="3">
        <ns0:f>ROUND(G219*G339,2)</ns0:f>
        <ns0:v>205.05</ns0:v>
      </ns0:c>
      <ns0:c r="H19" s="3">
        <ns0:f>ROUND(H219*H339,2)</ns0:f>
        <ns0:v>159.11</ns0:v>
      </ns0:c>
      <ns0:c r="I19" s="3">
        <ns0:f>ROUND(I219*I339,2)</ns0:f>
        <ns0:v>181.23</ns0:v>
      </ns0:c>
      <ns0:c r="J19" s="3">
        <ns0:f>ROUND(J219*J339,2)</ns0:f>
        <ns0:v>114.36</ns0:v>
      </ns0:c>
      <ns0:c r="K19" s="3">
        <ns0:f>ROUND(K219*K339,2)</ns0:f>
        <ns0:v>546.75</ns0:v>
      </ns0:c>
      <ns0:c r="L19" s="3">
        <ns0:f>ROUND(L219*L339,2)</ns0:f>
        <ns0:v>250.26</ns0:v>
      </ns0:c>
      <ns0:c r="M19" s="3">
        <ns0:f>ROUND(M219*M339,2)</ns0:f>
        <ns0:v>407.70</ns0:v>
      </ns0:c>
      <ns0:c r="N19" s="3">
        <ns0:f>ROUND(N219*N339,2)</ns0:f>
        <ns0:v>286.51</ns0:v>
      </ns0:c>
      <ns0:c r="O19" s="3">
        <ns0:f>SUM(C19:N19)</ns0:f>
        <ns0:v>2992.85</ns0:v>
      </ns0:c>
      <ns0:c r="P19" s="2" t="inlineStr">
        <ns0:is>
          <ns0:t>EXP1.019</ns0:t>
        </ns0:is>
      </ns0:c>
      <ns0:c r="Q19" s="2" t="inlineStr">
        <ns0:is>
          <ns0:t>演示占位-v1</ns0:t>
        </ns0:is>
      </ns0:c>
      <ns0:c r="R19" s="2" t="inlineStr">
        <ns0:is>
          <ns0:t>模拟权责发生制</ns0:t>
        </ns0:is>
      </ns0:c>
      <ns0:c r="S19" s="2" t="inlineStr">
        <ns0:is>
          <ns0:t>2027-01</ns0:t>
        </ns0:is>
      </ns0:c>
      <ns0:c r="T19" s="2" t="inlineStr">
        <ns0:is>
          <ns0:t>2027-06</ns0:t>
        </ns0:is>
      </ns0:c>
      <ns0:c r="U19" s="2" t="inlineStr">
        <ns0:is>
          <ns0:t>无</ns0:t>
        </ns0:is>
      </ns0:c>
      <ns0:c r="V19" s="2" t="inlineStr">
        <ns0:is>
          <ns0:t>无</ns0:t>
        </ns0:is>
      </ns0:c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2"/>
      <ns0:c r="B20" s="2" t="inlineStr">
        <ns0:is>
          <ns0:t>折旧及摊销</ns0:t>
        </ns0:is>
      </ns0:c>
      <ns0:c r="C20" s="3">
        <ns0:f>ROUND('摊销明细'!C33/3,2)</ns0:f>
        <ns0:v>677.66</ns0:v>
      </ns0:c>
      <ns0:c r="D20" s="3">
        <ns0:f>ROUND('摊销明细'!D33/3,2)</ns0:f>
        <ns0:v>677.66</ns0:v>
      </ns0:c>
      <ns0:c r="E20" s="3">
        <ns0:f>ROUND('摊销明细'!E33/3,2)</ns0:f>
        <ns0:v>677.66</ns0:v>
      </ns0:c>
      <ns0:c r="F20" s="3">
        <ns0:f>ROUND('摊销明细'!F33/3,2)</ns0:f>
        <ns0:v>677.66</ns0:v>
      </ns0:c>
      <ns0:c r="G20" s="3">
        <ns0:f>ROUND('摊销明细'!G33/3,2)</ns0:f>
        <ns0:v>677.66</ns0:v>
      </ns0:c>
      <ns0:c r="H20" s="3">
        <ns0:f>ROUND('摊销明细'!H33/3,2)</ns0:f>
        <ns0:v>677.66</ns0:v>
      </ns0:c>
      <ns0:c r="I20" s="3">
        <ns0:f>ROUND('摊销明细'!I33/3,2)</ns0:f>
        <ns0:v>677.66</ns0:v>
      </ns0:c>
      <ns0:c r="J20" s="3">
        <ns0:f>ROUND('摊销明细'!J33/3,2)</ns0:f>
        <ns0:v>677.66</ns0:v>
      </ns0:c>
      <ns0:c r="K20" s="3">
        <ns0:f>ROUND('摊销明细'!K33/3,2)</ns0:f>
        <ns0:v>677.66</ns0:v>
      </ns0:c>
      <ns0:c r="L20" s="3">
        <ns0:f>ROUND('摊销明细'!L33/3,2)</ns0:f>
        <ns0:v>677.66</ns0:v>
      </ns0:c>
      <ns0:c r="M20" s="3">
        <ns0:f>ROUND('摊销明细'!M33/3,2)</ns0:f>
        <ns0:v>677.66</ns0:v>
      </ns0:c>
      <ns0:c r="N20" s="3">
        <ns0:f>ROUND('摊销明细'!N33/3,2)</ns0:f>
        <ns0:v>677.66</ns0:v>
      </ns0:c>
      <ns0:c r="O20" s="3">
        <ns0:f>SUM(C20:N20)</ns0:f>
        <ns0:v>8131.92</ns0:v>
      </ns0:c>
      <ns0:c r="P20" s="2" t="inlineStr">
        <ns0:is>
          <ns0:t>EXP1.020</ns0:t>
        </ns0:is>
      </ns0:c>
      <ns0:c r="Q20" s="2" t="inlineStr">
        <ns0:is>
          <ns0:t>演示占位-v1</ns0:t>
        </ns0:is>
      </ns0:c>
      <ns0:c r="R20" s="2" t="inlineStr">
        <ns0:is>
          <ns0:t>模拟权责发生制</ns0:t>
        </ns0:is>
      </ns0:c>
      <ns0:c r="S20" s="2" t="inlineStr">
        <ns0:is>
          <ns0:t>2027-01</ns0:t>
        </ns0:is>
      </ns0:c>
      <ns0:c r="T20" s="2" t="inlineStr">
        <ns0:is>
          <ns0:t>2027-06</ns0:t>
        </ns0:is>
      </ns0:c>
      <ns0:c r="U20" s="2" t="inlineStr">
        <ns0:is>
          <ns0:t>无</ns0:t>
        </ns0:is>
      </ns0:c>
      <ns0:c r="V20" s="2" t="inlineStr">
        <ns0:is>
          <ns0:t>无</ns0:t>
        </ns0:is>
      </ns0:c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2" t="inlineStr">
        <ns0:is>
          <ns0:t>差旅费</ns0:t>
        </ns0:is>
      </ns0:c>
      <ns0:c r="B21" s="2" t="inlineStr">
        <ns0:is>
          <ns0:t>机票火车票</ns0:t>
        </ns0:is>
      </ns0:c>
      <ns0:c r="C21" s="3">
        <ns0:f>ROUND(C221*C341,2)</ns0:f>
        <ns0:v>155.57</ns0:v>
      </ns0:c>
      <ns0:c r="D21" s="3">
        <ns0:f>ROUND(D221*D341,2)</ns0:f>
        <ns0:v>190.38</ns0:v>
      </ns0:c>
      <ns0:c r="E21" s="3">
        <ns0:f>ROUND(E221*E341,2)</ns0:f>
        <ns0:v>231.66</ns0:v>
      </ns0:c>
      <ns0:c r="F21" s="3">
        <ns0:f>ROUND(F221*F341,2)</ns0:f>
        <ns0:v>146.65</ns0:v>
      </ns0:c>
      <ns0:c r="G21" s="3">
        <ns0:f>ROUND(G221*G341,2)</ns0:f>
        <ns0:v>181.93</ns0:v>
      </ns0:c>
      <ns0:c r="H21" s="3">
        <ns0:f>ROUND(H221*H341,2)</ns0:f>
        <ns0:v>85.23</ns0:v>
      </ns0:c>
      <ns0:c r="I21" s="3">
        <ns0:f>ROUND(I221*I341,2)</ns0:f>
        <ns0:v>252.59</ns0:v>
      </ns0:c>
      <ns0:c r="J21" s="3">
        <ns0:f>ROUND(J221*J341,2)</ns0:f>
        <ns0:v>123.24</ns0:v>
      </ns0:c>
      <ns0:c r="K21" s="3">
        <ns0:f>ROUND(K221*K341,2)</ns0:f>
        <ns0:v>523.91</ns0:v>
      </ns0:c>
      <ns0:c r="L21" s="3">
        <ns0:f>ROUND(L221*L341,2)</ns0:f>
        <ns0:v>149.38</ns0:v>
      </ns0:c>
      <ns0:c r="M21" s="3">
        <ns0:f>ROUND(M221*M341,2)</ns0:f>
        <ns0:v>375.80</ns0:v>
      </ns0:c>
      <ns0:c r="N21" s="3">
        <ns0:f>ROUND(N221*N341,2)</ns0:f>
        <ns0:v>186.22</ns0:v>
      </ns0:c>
      <ns0:c r="O21" s="3">
        <ns0:f>SUM(C21:N21)</ns0:f>
        <ns0:v>2602.56</ns0:v>
      </ns0:c>
      <ns0:c r="P21" s="2" t="inlineStr">
        <ns0:is>
          <ns0:t>EXP1.021</ns0:t>
        </ns0:is>
      </ns0:c>
      <ns0:c r="Q21" s="2" t="inlineStr">
        <ns0:is>
          <ns0:t>演示占位-v1</ns0:t>
        </ns0:is>
      </ns0:c>
      <ns0:c r="R21" s="2" t="inlineStr">
        <ns0:is>
          <ns0:t>模拟权责发生制</ns0:t>
        </ns0:is>
      </ns0:c>
      <ns0:c r="S21" s="2" t="inlineStr">
        <ns0:is>
          <ns0:t>2027-01</ns0:t>
        </ns0:is>
      </ns0:c>
      <ns0:c r="T21" s="2" t="inlineStr">
        <ns0:is>
          <ns0:t>2027-06</ns0:t>
        </ns0:is>
      </ns0:c>
      <ns0:c r="U21" s="2" t="inlineStr">
        <ns0:is>
          <ns0:t>无</ns0:t>
        </ns0:is>
      </ns0:c>
      <ns0:c r="V21" s="2" t="inlineStr">
        <ns0:is>
          <ns0:t>无</ns0:t>
        </ns0:is>
      </ns0:c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2"/>
      <ns0:c r="B22" s="2" t="inlineStr">
        <ns0:is>
          <ns0:t>住宿费</ns0:t>
        </ns0:is>
      </ns0:c>
      <ns0:c r="C22" s="3">
        <ns0:f>ROUND(C222*C342,2)</ns0:f>
        <ns0:v>245.23</ns0:v>
      </ns0:c>
      <ns0:c r="D22" s="3">
        <ns0:f>ROUND(D222*D342,2)</ns0:f>
        <ns0:v>149.15</ns0:v>
      </ns0:c>
      <ns0:c r="E22" s="3">
        <ns0:f>ROUND(E222*E342,2)</ns0:f>
        <ns0:v>241.91</ns0:v>
      </ns0:c>
      <ns0:c r="F22" s="3">
        <ns0:f>ROUND(F222*F342,2)</ns0:f>
        <ns0:v>280.81</ns0:v>
      </ns0:c>
      <ns0:c r="G22" s="3">
        <ns0:f>ROUND(G222*G342,2)</ns0:f>
        <ns0:v>454.17</ns0:v>
      </ns0:c>
      <ns0:c r="H22" s="3">
        <ns0:f>ROUND(H222*H342,2)</ns0:f>
        <ns0:v>69.65</ns0:v>
      </ns0:c>
      <ns0:c r="I22" s="3">
        <ns0:f>ROUND(I222*I342,2)</ns0:f>
        <ns0:v>535.51</ns0:v>
      </ns0:c>
      <ns0:c r="J22" s="3">
        <ns0:f>ROUND(J222*J342,2)</ns0:f>
        <ns0:v>210.33</ns0:v>
      </ns0:c>
      <ns0:c r="K22" s="3">
        <ns0:f>ROUND(K222*K342,2)</ns0:f>
        <ns0:v>270.68</ns0:v>
      </ns0:c>
      <ns0:c r="L22" s="3">
        <ns0:f>ROUND(L222*L342,2)</ns0:f>
        <ns0:v>165.23</ns0:v>
      </ns0:c>
      <ns0:c r="M22" s="3">
        <ns0:f>ROUND(M222*M342,2)</ns0:f>
        <ns0:v>278.83</ns0:v>
      </ns0:c>
      <ns0:c r="N22" s="3">
        <ns0:f>ROUND(N222*N342,2)</ns0:f>
        <ns0:v>260.82</ns0:v>
      </ns0:c>
      <ns0:c r="O22" s="3">
        <ns0:f>SUM(C22:N22)</ns0:f>
        <ns0:v>3162.32</ns0:v>
      </ns0:c>
      <ns0:c r="P22" s="2" t="inlineStr">
        <ns0:is>
          <ns0:t>EXP1.022</ns0:t>
        </ns0:is>
      </ns0:c>
      <ns0:c r="Q22" s="2" t="inlineStr">
        <ns0:is>
          <ns0:t>演示占位-v1</ns0:t>
        </ns0:is>
      </ns0:c>
      <ns0:c r="R22" s="2" t="inlineStr">
        <ns0:is>
          <ns0:t>模拟权责发生制</ns0:t>
        </ns0:is>
      </ns0:c>
      <ns0:c r="S22" s="2" t="inlineStr">
        <ns0:is>
          <ns0:t>2027-01</ns0:t>
        </ns0:is>
      </ns0:c>
      <ns0:c r="T22" s="2" t="inlineStr">
        <ns0:is>
          <ns0:t>2027-06</ns0:t>
        </ns0:is>
      </ns0:c>
      <ns0:c r="U22" s="2" t="inlineStr">
        <ns0:is>
          <ns0:t>无</ns0:t>
        </ns0:is>
      </ns0:c>
      <ns0:c r="V22" s="2" t="inlineStr">
        <ns0:is>
          <ns0:t>无</ns0:t>
        </ns0:is>
      </ns0:c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2"/>
      <ns0:c r="B23" s="2" t="inlineStr">
        <ns0:is>
          <ns0:t>交通费</ns0:t>
        </ns0:is>
      </ns0:c>
      <ns0:c r="C23" s="3">
        <ns0:f>ROUND(C223*C343,2)</ns0:f>
        <ns0:v>352.54</ns0:v>
      </ns0:c>
      <ns0:c r="D23" s="3">
        <ns0:f>ROUND(D223*D343,2)</ns0:f>
        <ns0:v>97.23</ns0:v>
      </ns0:c>
      <ns0:c r="E23" s="3">
        <ns0:f>ROUND(E223*E343,2)</ns0:f>
        <ns0:v>246.35</ns0:v>
      </ns0:c>
      <ns0:c r="F23" s="3">
        <ns0:f>ROUND(F223*F343,2)</ns0:f>
        <ns0:v>330.75</ns0:v>
      </ns0:c>
      <ns0:c r="G23" s="3">
        <ns0:f>ROUND(G223*G343,2)</ns0:f>
        <ns0:v>118.78</ns0:v>
      </ns0:c>
      <ns0:c r="H23" s="3">
        <ns0:f>ROUND(H223*H343,2)</ns0:f>
        <ns0:v>349.11</ns0:v>
      </ns0:c>
      <ns0:c r="I23" s="3">
        <ns0:f>ROUND(I223*I343,2)</ns0:f>
        <ns0:v>114.13</ns0:v>
      </ns0:c>
      <ns0:c r="J23" s="3">
        <ns0:f>ROUND(J223*J343,2)</ns0:f>
        <ns0:v>90.63</ns0:v>
      </ns0:c>
      <ns0:c r="K23" s="3">
        <ns0:f>ROUND(K223*K343,2)</ns0:f>
        <ns0:v>79.14</ns0:v>
      </ns0:c>
      <ns0:c r="L23" s="3">
        <ns0:f>ROUND(L223*L343,2)</ns0:f>
        <ns0:v>363.54</ns0:v>
      </ns0:c>
      <ns0:c r="M23" s="3">
        <ns0:f>ROUND(M223*M343,2)</ns0:f>
        <ns0:v>347.70</ns0:v>
      </ns0:c>
      <ns0:c r="N23" s="3">
        <ns0:f>ROUND(N223*N343,2)</ns0:f>
        <ns0:v>471.29</ns0:v>
      </ns0:c>
      <ns0:c r="O23" s="3">
        <ns0:f>SUM(C23:N23)</ns0:f>
        <ns0:v>2961.19</ns0:v>
      </ns0:c>
      <ns0:c r="P23" s="2" t="inlineStr">
        <ns0:is>
          <ns0:t>EXP1.023</ns0:t>
        </ns0:is>
      </ns0:c>
      <ns0:c r="Q23" s="2" t="inlineStr">
        <ns0:is>
          <ns0:t>演示占位-v1</ns0:t>
        </ns0:is>
      </ns0:c>
      <ns0:c r="R23" s="2" t="inlineStr">
        <ns0:is>
          <ns0:t>模拟权责发生制</ns0:t>
        </ns0:is>
      </ns0:c>
      <ns0:c r="S23" s="2" t="inlineStr">
        <ns0:is>
          <ns0:t>2027-01</ns0:t>
        </ns0:is>
      </ns0:c>
      <ns0:c r="T23" s="2" t="inlineStr">
        <ns0:is>
          <ns0:t>2027-06</ns0:t>
        </ns0:is>
      </ns0:c>
      <ns0:c r="U23" s="2" t="inlineStr">
        <ns0:is>
          <ns0:t>无</ns0:t>
        </ns0:is>
      </ns0:c>
      <ns0:c r="V23" s="2" t="inlineStr">
        <ns0:is>
          <ns0:t>无</ns0:t>
        </ns0:is>
      </ns0:c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/>
      <ns0:c r="B24" s="2" t="inlineStr">
        <ns0:is>
          <ns0:t>差旅补贴</ns0:t>
        </ns0:is>
      </ns0:c>
      <ns0:c r="C24" s="3">
        <ns0:f>ROUND(C224*C344,2)</ns0:f>
        <ns0:v>80.29</ns0:v>
      </ns0:c>
      <ns0:c r="D24" s="3">
        <ns0:f>ROUND(D224*D344,2)</ns0:f>
        <ns0:v>436.55</ns0:v>
      </ns0:c>
      <ns0:c r="E24" s="3">
        <ns0:f>ROUND(E224*E344,2)</ns0:f>
        <ns0:v>536.79</ns0:v>
      </ns0:c>
      <ns0:c r="F24" s="3">
        <ns0:f>ROUND(F224*F344,2)</ns0:f>
        <ns0:v>315.91</ns0:v>
      </ns0:c>
      <ns0:c r="G24" s="3">
        <ns0:f>ROUND(G224*G344,2)</ns0:f>
        <ns0:v>275.79</ns0:v>
      </ns0:c>
      <ns0:c r="H24" s="3">
        <ns0:f>ROUND(H224*H344,2)</ns0:f>
        <ns0:v>109.38</ns0:v>
      </ns0:c>
      <ns0:c r="I24" s="3">
        <ns0:f>ROUND(I224*I344,2)</ns0:f>
        <ns0:v>143.51</ns0:v>
      </ns0:c>
      <ns0:c r="J24" s="3">
        <ns0:f>ROUND(J224*J344,2)</ns0:f>
        <ns0:v>212.63</ns0:v>
      </ns0:c>
      <ns0:c r="K24" s="3">
        <ns0:f>ROUND(K224*K344,2)</ns0:f>
        <ns0:v>232.23</ns0:v>
      </ns0:c>
      <ns0:c r="L24" s="3">
        <ns0:f>ROUND(L224*L344,2)</ns0:f>
        <ns0:v>306.58</ns0:v>
      </ns0:c>
      <ns0:c r="M24" s="3">
        <ns0:f>ROUND(M224*M344,2)</ns0:f>
        <ns0:v>356.99</ns0:v>
      </ns0:c>
      <ns0:c r="N24" s="3">
        <ns0:f>ROUND(N224*N344,2)</ns0:f>
        <ns0:v>514.80</ns0:v>
      </ns0:c>
      <ns0:c r="O24" s="3">
        <ns0:f>SUM(C24:N24)</ns0:f>
        <ns0:v>3521.45</ns0:v>
      </ns0:c>
      <ns0:c r="P24" s="2" t="inlineStr">
        <ns0:is>
          <ns0:t>EXP1.024</ns0:t>
        </ns0:is>
      </ns0:c>
      <ns0:c r="Q24" s="2" t="inlineStr">
        <ns0:is>
          <ns0:t>演示占位-v1</ns0:t>
        </ns0:is>
      </ns0:c>
      <ns0:c r="R24" s="2" t="inlineStr">
        <ns0:is>
          <ns0:t>模拟权责发生制</ns0:t>
        </ns0:is>
      </ns0:c>
      <ns0:c r="S24" s="2" t="inlineStr">
        <ns0:is>
          <ns0:t>2027-01</ns0:t>
        </ns0:is>
      </ns0:c>
      <ns0:c r="T24" s="2" t="inlineStr">
        <ns0:is>
          <ns0:t>2027-06</ns0:t>
        </ns0:is>
      </ns0:c>
      <ns0:c r="U24" s="2" t="inlineStr">
        <ns0:is>
          <ns0:t>无</ns0:t>
        </ns0:is>
      </ns0:c>
      <ns0:c r="V24" s="2" t="inlineStr">
        <ns0:is>
          <ns0:t>无</ns0:t>
        </ns0:is>
      </ns0:c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 t="inlineStr">
        <ns0:is>
          <ns0:t>业务招待费</ns0:t>
        </ns0:is>
      </ns0:c>
      <ns0:c r="B25" s="2" t="inlineStr">
        <ns0:is>
          <ns0:t>业务招待费</ns0:t>
        </ns0:is>
      </ns0:c>
      <ns0:c r="C25" s="3">
        <ns0:f>ROUND(C225*C345,2)</ns0:f>
        <ns0:v>132.64</ns0:v>
      </ns0:c>
      <ns0:c r="D25" s="3">
        <ns0:f>ROUND(D225*D345,2)</ns0:f>
        <ns0:v>333.20</ns0:v>
      </ns0:c>
      <ns0:c r="E25" s="3">
        <ns0:f>ROUND(E225*E345,2)</ns0:f>
        <ns0:v>267.70</ns0:v>
      </ns0:c>
      <ns0:c r="F25" s="3">
        <ns0:f>ROUND(F225*F345,2)</ns0:f>
        <ns0:v>199.83</ns0:v>
      </ns0:c>
      <ns0:c r="G25" s="3">
        <ns0:f>ROUND(G225*G345,2)</ns0:f>
        <ns0:v>82.02</ns0:v>
      </ns0:c>
      <ns0:c r="H25" s="3">
        <ns0:f>ROUND(H225*H345,2)</ns0:f>
        <ns0:v>552.86</ns0:v>
      </ns0:c>
      <ns0:c r="I25" s="3">
        <ns0:f>ROUND(I225*I345,2)</ns0:f>
        <ns0:v>132.63</ns0:v>
      </ns0:c>
      <ns0:c r="J25" s="3">
        <ns0:f>ROUND(J225*J345,2)</ns0:f>
        <ns0:v>308.74</ns0:v>
      </ns0:c>
      <ns0:c r="K25" s="3">
        <ns0:f>ROUND(K225*K345,2)</ns0:f>
        <ns0:v>217.61</ns0:v>
      </ns0:c>
      <ns0:c r="L25" s="3">
        <ns0:f>ROUND(L225*L345,2)</ns0:f>
        <ns0:v>118.16</ns0:v>
      </ns0:c>
      <ns0:c r="M25" s="3">
        <ns0:f>ROUND(M225*M345,2)</ns0:f>
        <ns0:v>609.72</ns0:v>
      </ns0:c>
      <ns0:c r="N25" s="3">
        <ns0:f>ROUND(N225*N345,2)</ns0:f>
        <ns0:v>347.77</ns0:v>
      </ns0:c>
      <ns0:c r="O25" s="3">
        <ns0:f>SUM(C25:N25)</ns0:f>
        <ns0:v>3302.88</ns0:v>
      </ns0:c>
      <ns0:c r="P25" s="2" t="inlineStr">
        <ns0:is>
          <ns0:t>EXP1.025</ns0:t>
        </ns0:is>
      </ns0:c>
      <ns0:c r="Q25" s="2" t="inlineStr">
        <ns0:is>
          <ns0:t>演示占位-v1</ns0:t>
        </ns0:is>
      </ns0:c>
      <ns0:c r="R25" s="2" t="inlineStr">
        <ns0:is>
          <ns0:t>模拟权责发生制</ns0:t>
        </ns0:is>
      </ns0:c>
      <ns0:c r="S25" s="2" t="inlineStr">
        <ns0:is>
          <ns0:t>2027-01</ns0:t>
        </ns0:is>
      </ns0:c>
      <ns0:c r="T25" s="2" t="inlineStr">
        <ns0:is>
          <ns0:t>2027-06</ns0:t>
        </ns0:is>
      </ns0:c>
      <ns0:c r="U25" s="2" t="inlineStr">
        <ns0:is>
          <ns0:t>无</ns0:t>
        </ns0:is>
      </ns0:c>
      <ns0:c r="V25" s="2" t="inlineStr">
        <ns0:is>
          <ns0:t>无</ns0:t>
        </ns0:is>
      </ns0:c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 t="inlineStr">
        <ns0:is>
          <ns0:t>市内交通费</ns0:t>
        </ns0:is>
      </ns0:c>
      <ns0:c r="B26" s="2" t="inlineStr">
        <ns0:is>
          <ns0:t>市内交通费</ns0:t>
        </ns0:is>
      </ns0:c>
      <ns0:c r="C26" s="3">
        <ns0:f>ROUND(C226*C346,2)</ns0:f>
        <ns0:v>332.35</ns0:v>
      </ns0:c>
      <ns0:c r="D26" s="3">
        <ns0:f>ROUND(D226*D346,2)</ns0:f>
        <ns0:v>209.13</ns0:v>
      </ns0:c>
      <ns0:c r="E26" s="3">
        <ns0:f>ROUND(E226*E346,2)</ns0:f>
        <ns0:v>101.73</ns0:v>
      </ns0:c>
      <ns0:c r="F26" s="3">
        <ns0:f>ROUND(F226*F346,2)</ns0:f>
        <ns0:v>154.75</ns0:v>
      </ns0:c>
      <ns0:c r="G26" s="3">
        <ns0:f>ROUND(G226*G346,2)</ns0:f>
        <ns0:v>131.95</ns0:v>
      </ns0:c>
      <ns0:c r="H26" s="3">
        <ns0:f>ROUND(H226*H346,2)</ns0:f>
        <ns0:v>163.97</ns0:v>
      </ns0:c>
      <ns0:c r="I26" s="3">
        <ns0:f>ROUND(I226*I346,2)</ns0:f>
        <ns0:v>147.29</ns0:v>
      </ns0:c>
      <ns0:c r="J26" s="3">
        <ns0:f>ROUND(J226*J346,2)</ns0:f>
        <ns0:v>77.61</ns0:v>
      </ns0:c>
      <ns0:c r="K26" s="3">
        <ns0:f>ROUND(K226*K346,2)</ns0:f>
        <ns0:v>287.88</ns0:v>
      </ns0:c>
      <ns0:c r="L26" s="3">
        <ns0:f>ROUND(L226*L346,2)</ns0:f>
        <ns0:v>62.67</ns0:v>
      </ns0:c>
      <ns0:c r="M26" s="3">
        <ns0:f>ROUND(M226*M346,2)</ns0:f>
        <ns0:v>297.97</ns0:v>
      </ns0:c>
      <ns0:c r="N26" s="3">
        <ns0:f>ROUND(N226*N346,2)</ns0:f>
        <ns0:v>303.76</ns0:v>
      </ns0:c>
      <ns0:c r="O26" s="3">
        <ns0:f>SUM(C26:N26)</ns0:f>
        <ns0:v>2271.06</ns0:v>
      </ns0:c>
      <ns0:c r="P26" s="2" t="inlineStr">
        <ns0:is>
          <ns0:t>EXP1.026</ns0:t>
        </ns0:is>
      </ns0:c>
      <ns0:c r="Q26" s="2" t="inlineStr">
        <ns0:is>
          <ns0:t>演示占位-v1</ns0:t>
        </ns0:is>
      </ns0:c>
      <ns0:c r="R26" s="2" t="inlineStr">
        <ns0:is>
          <ns0:t>模拟权责发生制</ns0:t>
        </ns0:is>
      </ns0:c>
      <ns0:c r="S26" s="2" t="inlineStr">
        <ns0:is>
          <ns0:t>2027-01</ns0:t>
        </ns0:is>
      </ns0:c>
      <ns0:c r="T26" s="2" t="inlineStr">
        <ns0:is>
          <ns0:t>2027-06</ns0:t>
        </ns0:is>
      </ns0:c>
      <ns0:c r="U26" s="2" t="inlineStr">
        <ns0:is>
          <ns0:t>无</ns0:t>
        </ns0:is>
      </ns0:c>
      <ns0:c r="V26" s="2" t="inlineStr">
        <ns0:is>
          <ns0:t>无</ns0:t>
        </ns0:is>
      </ns0:c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 t="inlineStr">
        <ns0:is>
          <ns0:t>调研费用</ns0:t>
        </ns0:is>
      </ns0:c>
      <ns0:c r="B27" s="2" t="inlineStr">
        <ns0:is>
          <ns0:t>调研费用</ns0:t>
        </ns0:is>
      </ns0:c>
      <ns0:c r="C27" s="3">
        <ns0:f>ROUND(C227*C347,2)</ns0:f>
        <ns0:v>279.39</ns0:v>
      </ns0:c>
      <ns0:c r="D27" s="3">
        <ns0:f>ROUND(D227*D347,2)</ns0:f>
        <ns0:v>214.26</ns0:v>
      </ns0:c>
      <ns0:c r="E27" s="3">
        <ns0:f>ROUND(E227*E347,2)</ns0:f>
        <ns0:v>141.91</ns0:v>
      </ns0:c>
      <ns0:c r="F27" s="3">
        <ns0:f>ROUND(F227*F347,2)</ns0:f>
        <ns0:v>487.41</ns0:v>
      </ns0:c>
      <ns0:c r="G27" s="3">
        <ns0:f>ROUND(G227*G347,2)</ns0:f>
        <ns0:v>75.09</ns0:v>
      </ns0:c>
      <ns0:c r="H27" s="3">
        <ns0:f>ROUND(H227*H347,2)</ns0:f>
        <ns0:v>334.30</ns0:v>
      </ns0:c>
      <ns0:c r="I27" s="3">
        <ns0:f>ROUND(I227*I347,2)</ns0:f>
        <ns0:v>318.50</ns0:v>
      </ns0:c>
      <ns0:c r="J27" s="3">
        <ns0:f>ROUND(J227*J347,2)</ns0:f>
        <ns0:v>222.96</ns0:v>
      </ns0:c>
      <ns0:c r="K27" s="3">
        <ns0:f>ROUND(K227*K347,2)</ns0:f>
        <ns0:v>76.35</ns0:v>
      </ns0:c>
      <ns0:c r="L27" s="3">
        <ns0:f>ROUND(L227*L347,2)</ns0:f>
        <ns0:v>309.49</ns0:v>
      </ns0:c>
      <ns0:c r="M27" s="3">
        <ns0:f>ROUND(M227*M347,2)</ns0:f>
        <ns0:v>187.23</ns0:v>
      </ns0:c>
      <ns0:c r="N27" s="3">
        <ns0:f>ROUND(N227*N347,2)</ns0:f>
        <ns0:v>332.94</ns0:v>
      </ns0:c>
      <ns0:c r="O27" s="3">
        <ns0:f>SUM(C27:N27)</ns0:f>
        <ns0:v>2979.83</ns0:v>
      </ns0:c>
      <ns0:c r="P27" s="2" t="inlineStr">
        <ns0:is>
          <ns0:t>EXP1.027</ns0:t>
        </ns0:is>
      </ns0:c>
      <ns0:c r="Q27" s="2" t="inlineStr">
        <ns0:is>
          <ns0:t>演示占位-v1</ns0:t>
        </ns0:is>
      </ns0:c>
      <ns0:c r="R27" s="2" t="inlineStr">
        <ns0:is>
          <ns0:t>模拟权责发生制</ns0:t>
        </ns0:is>
      </ns0:c>
      <ns0:c r="S27" s="2" t="inlineStr">
        <ns0:is>
          <ns0:t>2027-01</ns0:t>
        </ns0:is>
      </ns0:c>
      <ns0:c r="T27" s="2" t="inlineStr">
        <ns0:is>
          <ns0:t>2027-06</ns0:t>
        </ns0:is>
      </ns0:c>
      <ns0:c r="U27" s="2" t="inlineStr">
        <ns0:is>
          <ns0:t>无</ns0:t>
        </ns0:is>
      </ns0:c>
      <ns0:c r="V27" s="2" t="inlineStr">
        <ns0:is>
          <ns0:t>无</ns0:t>
        </ns0:is>
      </ns0:c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 t="inlineStr">
        <ns0:is>
          <ns0:t>手续费</ns0:t>
        </ns0:is>
      </ns0:c>
      <ns0:c r="B28" s="2" t="inlineStr">
        <ns0:is>
          <ns0:t>手续费</ns0:t>
        </ns0:is>
      </ns0:c>
      <ns0:c r="C28" s="3">
        <ns0:f>ROUND(C228*C348,2)</ns0:f>
        <ns0:v>150.04</ns0:v>
      </ns0:c>
      <ns0:c r="D28" s="3">
        <ns0:f>ROUND(D228*D348,2)</ns0:f>
        <ns0:v>267.51</ns0:v>
      </ns0:c>
      <ns0:c r="E28" s="3">
        <ns0:f>ROUND(E228*E348,2)</ns0:f>
        <ns0:v>186.47</ns0:v>
      </ns0:c>
      <ns0:c r="F28" s="3">
        <ns0:f>ROUND(F228*F348,2)</ns0:f>
        <ns0:v>135.55</ns0:v>
      </ns0:c>
      <ns0:c r="G28" s="3">
        <ns0:f>ROUND(G228*G348,2)</ns0:f>
        <ns0:v>180.59</ns0:v>
      </ns0:c>
      <ns0:c r="H28" s="3">
        <ns0:f>ROUND(H228*H348,2)</ns0:f>
        <ns0:v>248.72</ns0:v>
      </ns0:c>
      <ns0:c r="I28" s="3">
        <ns0:f>ROUND(I228*I348,2)</ns0:f>
        <ns0:v>378.59</ns0:v>
      </ns0:c>
      <ns0:c r="J28" s="3">
        <ns0:f>ROUND(J228*J348,2)</ns0:f>
        <ns0:v>259.31</ns0:v>
      </ns0:c>
      <ns0:c r="K28" s="3">
        <ns0:f>ROUND(K228*K348,2)</ns0:f>
        <ns0:v>208.74</ns0:v>
      </ns0:c>
      <ns0:c r="L28" s="3">
        <ns0:f>ROUND(L228*L348,2)</ns0:f>
        <ns0:v>454.70</ns0:v>
      </ns0:c>
      <ns0:c r="M28" s="3">
        <ns0:f>ROUND(M228*M348,2)</ns0:f>
        <ns0:v>98.96</ns0:v>
      </ns0:c>
      <ns0:c r="N28" s="3">
        <ns0:f>ROUND(N228*N348,2)</ns0:f>
        <ns0:v>238.83</ns0:v>
      </ns0:c>
      <ns0:c r="O28" s="3">
        <ns0:f>SUM(C28:N28)</ns0:f>
        <ns0:v>2808.01</ns0:v>
      </ns0:c>
      <ns0:c r="P28" s="2" t="inlineStr">
        <ns0:is>
          <ns0:t>EXP1.028</ns0:t>
        </ns0:is>
      </ns0:c>
      <ns0:c r="Q28" s="2" t="inlineStr">
        <ns0:is>
          <ns0:t>演示占位-v1</ns0:t>
        </ns0:is>
      </ns0:c>
      <ns0:c r="R28" s="2" t="inlineStr">
        <ns0:is>
          <ns0:t>模拟权责发生制</ns0:t>
        </ns0:is>
      </ns0:c>
      <ns0:c r="S28" s="2" t="inlineStr">
        <ns0:is>
          <ns0:t>2027-01</ns0:t>
        </ns0:is>
      </ns0:c>
      <ns0:c r="T28" s="2" t="inlineStr">
        <ns0:is>
          <ns0:t>2027-06</ns0:t>
        </ns0:is>
      </ns0:c>
      <ns0:c r="U28" s="2" t="inlineStr">
        <ns0:is>
          <ns0:t>无</ns0:t>
        </ns0:is>
      </ns0:c>
      <ns0:c r="V28" s="2" t="inlineStr">
        <ns0:is>
          <ns0:t>无</ns0:t>
        </ns0:is>
      </ns0:c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/>
      <ns0:c r="B29" s="2" t="inlineStr">
        <ns0:is>
          <ns0:t>利息收入</ns0:t>
        </ns0:is>
      </ns0:c>
      <ns0:c r="C29" s="3">
        <ns0:f>0</ns0:f>
        <ns0:v>0</ns0:v>
      </ns0:c>
      <ns0:c r="D29" s="3">
        <ns0:f>0</ns0:f>
        <ns0:v>0</ns0:v>
      </ns0:c>
      <ns0:c r="E29" s="3">
        <ns0:f>0</ns0:f>
        <ns0:v>0</ns0:v>
      </ns0:c>
      <ns0:c r="F29" s="3">
        <ns0:f>0</ns0:f>
        <ns0:v>0</ns0:v>
      </ns0:c>
      <ns0:c r="G29" s="3">
        <ns0:f>0</ns0:f>
        <ns0:v>0</ns0:v>
      </ns0:c>
      <ns0:c r="H29" s="3">
        <ns0:f>0</ns0:f>
        <ns0:v>0</ns0:v>
      </ns0:c>
      <ns0:c r="I29" s="3">
        <ns0:f>0</ns0:f>
        <ns0:v>0</ns0:v>
      </ns0:c>
      <ns0:c r="J29" s="3">
        <ns0:f>0</ns0:f>
        <ns0:v>0</ns0:v>
      </ns0:c>
      <ns0:c r="K29" s="3">
        <ns0:f>0</ns0:f>
        <ns0:v>0</ns0:v>
      </ns0:c>
      <ns0:c r="L29" s="3">
        <ns0:f>0</ns0:f>
        <ns0:v>0</ns0:v>
      </ns0:c>
      <ns0:c r="M29" s="3">
        <ns0:f>0</ns0:f>
        <ns0:v>0</ns0:v>
      </ns0:c>
      <ns0:c r="N29" s="3">
        <ns0:f>0</ns0:f>
        <ns0:v>0</ns0:v>
      </ns0:c>
      <ns0:c r="O29" s="3">
        <ns0:f>SUM(C29:N29)</ns0:f>
        <ns0:v>0</ns0:v>
      </ns0:c>
      <ns0:c r="P29" s="2" t="inlineStr">
        <ns0:is>
          <ns0:t>EXP1.029</ns0:t>
        </ns0:is>
      </ns0:c>
      <ns0:c r="Q29" s="2" t="inlineStr">
        <ns0:is>
          <ns0:t>演示占位-v1</ns0:t>
        </ns0:is>
      </ns0:c>
      <ns0:c r="R29" s="2" t="inlineStr">
        <ns0:is>
          <ns0:t>模拟权责发生制</ns0:t>
        </ns0:is>
      </ns0:c>
      <ns0:c r="S29" s="2" t="inlineStr">
        <ns0:is>
          <ns0:t>2027-01</ns0:t>
        </ns0:is>
      </ns0:c>
      <ns0:c r="T29" s="2" t="inlineStr">
        <ns0:is>
          <ns0:t>2027-06</ns0:t>
        </ns0:is>
      </ns0:c>
      <ns0:c r="U29" s="2" t="inlineStr">
        <ns0:is>
          <ns0:t>无</ns0:t>
        </ns0:is>
      </ns0:c>
      <ns0:c r="V29" s="2" t="inlineStr">
        <ns0:is>
          <ns0:t>无</ns0:t>
        </ns0:is>
      </ns0:c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/>
      <ns0:c r="B30" s="5" t="inlineStr">
        <ns0:is>
          <ns0:t>利息支出</ns0:t>
        </ns0:is>
      </ns0:c>
      <ns0:c r="C30" s="6">
        <ns0:f>ROUND(C230*C350,2)</ns0:f>
        <ns0:v>290.51</ns0:v>
      </ns0:c>
      <ns0:c r="D30" s="6">
        <ns0:f>ROUND(D230*D350,2)</ns0:f>
        <ns0:v>92.39</ns0:v>
      </ns0:c>
      <ns0:c r="E30" s="6">
        <ns0:f>ROUND(E230*E350,2)</ns0:f>
        <ns0:v>135.87</ns0:v>
      </ns0:c>
      <ns0:c r="F30" s="6">
        <ns0:f>ROUND(F230*F350,2)</ns0:f>
        <ns0:v>336.90</ns0:v>
      </ns0:c>
      <ns0:c r="G30" s="6">
        <ns0:f>ROUND(G230*G350,2)</ns0:f>
        <ns0:v>196.09</ns0:v>
      </ns0:c>
      <ns0:c r="H30" s="6">
        <ns0:f>ROUND(H230*H350,2)</ns0:f>
        <ns0:v>454.77</ns0:v>
      </ns0:c>
      <ns0:c r="I30" s="6">
        <ns0:f>ROUND(I230*I350,2)</ns0:f>
        <ns0:v>189.88</ns0:v>
      </ns0:c>
      <ns0:c r="J30" s="6">
        <ns0:f>ROUND(J230*J350,2)</ns0:f>
        <ns0:v>172.97</ns0:v>
      </ns0:c>
      <ns0:c r="K30" s="6">
        <ns0:f>ROUND(K230*K350,2)</ns0:f>
        <ns0:v>187.62</ns0:v>
      </ns0:c>
      <ns0:c r="L30" s="6">
        <ns0:f>ROUND(L230*L350,2)</ns0:f>
        <ns0:v>348.11</ns0:v>
      </ns0:c>
      <ns0:c r="M30" s="6">
        <ns0:f>ROUND(M230*M350,2)</ns0:f>
        <ns0:v>120.50</ns0:v>
      </ns0:c>
      <ns0:c r="N30" s="6">
        <ns0:f>ROUND(N230*N350,2)</ns0:f>
        <ns0:v>177.34</ns0:v>
      </ns0:c>
      <ns0:c r="O30" s="6">
        <ns0:f>SUM(C30:N30)</ns0:f>
        <ns0:v>2702.95</ns0:v>
      </ns0:c>
      <ns0:c r="P30" s="2" t="inlineStr">
        <ns0:is>
          <ns0:t>EXP1.030</ns0:t>
        </ns0:is>
      </ns0:c>
      <ns0:c r="Q30" s="2" t="inlineStr">
        <ns0:is>
          <ns0:t>演示占位-v1</ns0:t>
        </ns0:is>
      </ns0:c>
      <ns0:c r="R30" s="2" t="inlineStr">
        <ns0:is>
          <ns0:t>模拟权责发生制</ns0:t>
        </ns0:is>
      </ns0:c>
      <ns0:c r="S30" s="2" t="inlineStr">
        <ns0:is>
          <ns0:t>2027-01</ns0:t>
        </ns0:is>
      </ns0:c>
      <ns0:c r="T30" s="2" t="inlineStr">
        <ns0:is>
          <ns0:t>2027-06</ns0:t>
        </ns0:is>
      </ns0:c>
      <ns0:c r="U30" s="2" t="inlineStr">
        <ns0:is>
          <ns0:t>无</ns0:t>
        </ns0:is>
      </ns0:c>
      <ns0:c r="V30" s="2" t="inlineStr">
        <ns0:is>
          <ns0:t>无</ns0:t>
        </ns0:is>
      </ns0:c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 t="inlineStr">
        <ns0:is>
          <ns0:t>税金</ns0:t>
        </ns0:is>
      </ns0:c>
      <ns0:c r="B31" s="2" t="inlineStr">
        <ns0:is>
          <ns0:t>车船税</ns0:t>
        </ns0:is>
      </ns0:c>
      <ns0:c r="C31" s="3">
        <ns0:f>ROUND(C231*C351,2)</ns0:f>
        <ns0:v>128.74</ns0:v>
      </ns0:c>
      <ns0:c r="D31" s="3">
        <ns0:f>ROUND(D231*D351,2)</ns0:f>
        <ns0:v>189.03</ns0:v>
      </ns0:c>
      <ns0:c r="E31" s="3">
        <ns0:f>ROUND(E231*E351,2)</ns0:f>
        <ns0:v>165.27</ns0:v>
      </ns0:c>
      <ns0:c r="F31" s="3">
        <ns0:f>ROUND(F231*F351,2)</ns0:f>
        <ns0:v>369.21</ns0:v>
      </ns0:c>
      <ns0:c r="G31" s="3">
        <ns0:f>ROUND(G231*G351,2)</ns0:f>
        <ns0:v>164.15</ns0:v>
      </ns0:c>
      <ns0:c r="H31" s="3">
        <ns0:f>ROUND(H231*H351,2)</ns0:f>
        <ns0:v>253.15</ns0:v>
      </ns0:c>
      <ns0:c r="I31" s="3">
        <ns0:f>ROUND(I231*I351,2)</ns0:f>
        <ns0:v>192.32</ns0:v>
      </ns0:c>
      <ns0:c r="J31" s="3">
        <ns0:f>ROUND(J231*J351,2)</ns0:f>
        <ns0:v>99.00</ns0:v>
      </ns0:c>
      <ns0:c r="K31" s="3">
        <ns0:f>ROUND(K231*K351,2)</ns0:f>
        <ns0:v>390.64</ns0:v>
      </ns0:c>
      <ns0:c r="L31" s="3">
        <ns0:f>ROUND(L231*L351,2)</ns0:f>
        <ns0:v>96.09</ns0:v>
      </ns0:c>
      <ns0:c r="M31" s="3">
        <ns0:f>ROUND(M231*M351,2)</ns0:f>
        <ns0:v>212.18</ns0:v>
      </ns0:c>
      <ns0:c r="N31" s="3">
        <ns0:f>ROUND(N231*N351,2)</ns0:f>
        <ns0:v>120.88</ns0:v>
      </ns0:c>
      <ns0:c r="O31" s="3">
        <ns0:f>SUM(C31:N31)</ns0:f>
        <ns0:v>2380.66</ns0:v>
      </ns0:c>
      <ns0:c r="P31" s="2" t="inlineStr">
        <ns0:is>
          <ns0:t>EXP1.031</ns0:t>
        </ns0:is>
      </ns0:c>
      <ns0:c r="Q31" s="2" t="inlineStr">
        <ns0:is>
          <ns0:t>演示占位-v1</ns0:t>
        </ns0:is>
      </ns0:c>
      <ns0:c r="R31" s="2" t="inlineStr">
        <ns0:is>
          <ns0:t>模拟权责发生制</ns0:t>
        </ns0:is>
      </ns0:c>
      <ns0:c r="S31" s="2" t="inlineStr">
        <ns0:is>
          <ns0:t>2027-01</ns0:t>
        </ns0:is>
      </ns0:c>
      <ns0:c r="T31" s="2" t="inlineStr">
        <ns0:is>
          <ns0:t>2027-06</ns0:t>
        </ns0:is>
      </ns0:c>
      <ns0:c r="U31" s="2" t="inlineStr">
        <ns0:is>
          <ns0:t>无</ns0:t>
        </ns0:is>
      </ns0:c>
      <ns0:c r="V31" s="2" t="inlineStr">
        <ns0:is>
          <ns0:t>无</ns0:t>
        </ns0:is>
      </ns0:c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/>
      <ns0:c r="B32" s="2" t="inlineStr">
        <ns0:is>
          <ns0:t>印花税</ns0:t>
        </ns0:is>
      </ns0:c>
      <ns0:c r="C32" s="3">
        <ns0:f>ROUND(C232*C352,2)</ns0:f>
        <ns0:v>213.01</ns0:v>
      </ns0:c>
      <ns0:c r="D32" s="3">
        <ns0:f>ROUND(D232*D352,2)</ns0:f>
        <ns0:v>407.71</ns0:v>
      </ns0:c>
      <ns0:c r="E32" s="3">
        <ns0:f>ROUND(E232*E352,2)</ns0:f>
        <ns0:v>159.77</ns0:v>
      </ns0:c>
      <ns0:c r="F32" s="3">
        <ns0:f>ROUND(F232*F352,2)</ns0:f>
        <ns0:v>502.10</ns0:v>
      </ns0:c>
      <ns0:c r="G32" s="3">
        <ns0:f>ROUND(G232*G352,2)</ns0:f>
        <ns0:v>187.60</ns0:v>
      </ns0:c>
      <ns0:c r="H32" s="3">
        <ns0:f>ROUND(H232*H352,2)</ns0:f>
        <ns0:v>183.31</ns0:v>
      </ns0:c>
      <ns0:c r="I32" s="3">
        <ns0:f>ROUND(I232*I352,2)</ns0:f>
        <ns0:v>98.04</ns0:v>
      </ns0:c>
      <ns0:c r="J32" s="3">
        <ns0:f>ROUND(J232*J352,2)</ns0:f>
        <ns0:v>357.66</ns0:v>
      </ns0:c>
      <ns0:c r="K32" s="3">
        <ns0:f>ROUND(K232*K352,2)</ns0:f>
        <ns0:v>198.52</ns0:v>
      </ns0:c>
      <ns0:c r="L32" s="3">
        <ns0:f>ROUND(L232*L352,2)</ns0:f>
        <ns0:v>190.52</ns0:v>
      </ns0:c>
      <ns0:c r="M32" s="3">
        <ns0:f>ROUND(M232*M352,2)</ns0:f>
        <ns0:v>180.84</ns0:v>
      </ns0:c>
      <ns0:c r="N32" s="3">
        <ns0:f>ROUND(N232*N352,2)</ns0:f>
        <ns0:v>226.45</ns0:v>
      </ns0:c>
      <ns0:c r="O32" s="3">
        <ns0:f>SUM(C32:N32)</ns0:f>
        <ns0:v>2905.53</ns0:v>
      </ns0:c>
      <ns0:c r="P32" s="2" t="inlineStr">
        <ns0:is>
          <ns0:t>EXP1.032</ns0:t>
        </ns0:is>
      </ns0:c>
      <ns0:c r="Q32" s="2" t="inlineStr">
        <ns0:is>
          <ns0:t>演示占位-v1</ns0:t>
        </ns0:is>
      </ns0:c>
      <ns0:c r="R32" s="2" t="inlineStr">
        <ns0:is>
          <ns0:t>模拟权责发生制</ns0:t>
        </ns0:is>
      </ns0:c>
      <ns0:c r="S32" s="2" t="inlineStr">
        <ns0:is>
          <ns0:t>2027-01</ns0:t>
        </ns0:is>
      </ns0:c>
      <ns0:c r="T32" s="2" t="inlineStr">
        <ns0:is>
          <ns0:t>2027-06</ns0:t>
        </ns0:is>
      </ns0:c>
      <ns0:c r="U32" s="2" t="inlineStr">
        <ns0:is>
          <ns0:t>无</ns0:t>
        </ns0:is>
      </ns0:c>
      <ns0:c r="V32" s="2" t="inlineStr">
        <ns0:is>
          <ns0:t>无</ns0:t>
        </ns0:is>
      </ns0:c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 t="inlineStr">
        <ns0:is>
          <ns0:t>其他</ns0:t>
        </ns0:is>
      </ns0:c>
      <ns0:c r="B33" s="2" t="inlineStr">
        <ns0:is>
          <ns0:t>其他</ns0:t>
        </ns0:is>
      </ns0:c>
      <ns0:c r="C33" s="3">
        <ns0:f>ROUND(C233*C353,2)</ns0:f>
        <ns0:v>236.53</ns0:v>
      </ns0:c>
      <ns0:c r="D33" s="3">
        <ns0:f>ROUND(D233*D353,2)</ns0:f>
        <ns0:v>494.30</ns0:v>
      </ns0:c>
      <ns0:c r="E33" s="3">
        <ns0:f>ROUND(E233*E353,2)</ns0:f>
        <ns0:v>107.78</ns0:v>
      </ns0:c>
      <ns0:c r="F33" s="3">
        <ns0:f>ROUND(F233*F353,2)</ns0:f>
        <ns0:v>119.82</ns0:v>
      </ns0:c>
      <ns0:c r="G33" s="3">
        <ns0:f>ROUND(G233*G353,2)</ns0:f>
        <ns0:v>143.41</ns0:v>
      </ns0:c>
      <ns0:c r="H33" s="3">
        <ns0:f>ROUND(H233*H353,2)</ns0:f>
        <ns0:v>139.16</ns0:v>
      </ns0:c>
      <ns0:c r="I33" s="3">
        <ns0:f>ROUND(I233*I353,2)</ns0:f>
        <ns0:v>97.81</ns0:v>
      </ns0:c>
      <ns0:c r="J33" s="3">
        <ns0:f>ROUND(J233*J353,2)</ns0:f>
        <ns0:v>216.98</ns0:v>
      </ns0:c>
      <ns0:c r="K33" s="3">
        <ns0:f>ROUND(K233*K353,2)</ns0:f>
        <ns0:v>316.12</ns0:v>
      </ns0:c>
      <ns0:c r="L33" s="3">
        <ns0:f>ROUND(L233*L353,2)</ns0:f>
        <ns0:v>158.71</ns0:v>
      </ns0:c>
      <ns0:c r="M33" s="3">
        <ns0:f>ROUND(M233*M353,2)</ns0:f>
        <ns0:v>76.61</ns0:v>
      </ns0:c>
      <ns0:c r="N33" s="3">
        <ns0:f>ROUND(N233*N353,2)</ns0:f>
        <ns0:v>139.62</ns0:v>
      </ns0:c>
      <ns0:c r="O33" s="3">
        <ns0:f>SUM(C33:N33)</ns0:f>
        <ns0:v>2246.85</ns0:v>
      </ns0:c>
      <ns0:c r="P33" s="2" t="inlineStr">
        <ns0:is>
          <ns0:t>EXP1.033</ns0:t>
        </ns0:is>
      </ns0:c>
      <ns0:c r="Q33" s="2" t="inlineStr">
        <ns0:is>
          <ns0:t>演示占位-v1</ns0:t>
        </ns0:is>
      </ns0:c>
      <ns0:c r="R33" s="2" t="inlineStr">
        <ns0:is>
          <ns0:t>模拟权责发生制</ns0:t>
        </ns0:is>
      </ns0:c>
      <ns0:c r="S33" s="2" t="inlineStr">
        <ns0:is>
          <ns0:t>2027-01</ns0:t>
        </ns0:is>
      </ns0:c>
      <ns0:c r="T33" s="2" t="inlineStr">
        <ns0:is>
          <ns0:t>2027-06</ns0:t>
        </ns0:is>
      </ns0:c>
      <ns0:c r="U33" s="2" t="inlineStr">
        <ns0:is>
          <ns0:t>无</ns0:t>
        </ns0:is>
      </ns0:c>
      <ns0:c r="V33" s="2" t="inlineStr">
        <ns0:is>
          <ns0:t>无</ns0:t>
        </ns0:is>
      </ns0:c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 t="inlineStr">
        <ns0:is>
          <ns0:t>合计</ns0:t>
        </ns0:is>
      </ns0:c>
      <ns0:c r="B34" s="2"/>
      <ns0:c r="C34" s="3">
        <ns0:f>SUM(C4:C33)</ns0:f>
        <ns0:v>7437.25</ns0:v>
      </ns0:c>
      <ns0:c r="D34" s="3">
        <ns0:f>SUM(D4:D33)</ns0:f>
        <ns0:v>7122.70</ns0:v>
      </ns0:c>
      <ns0:c r="E34" s="3">
        <ns0:f>SUM(E4:E33)</ns0:f>
        <ns0:v>7496.89</ns0:v>
      </ns0:c>
      <ns0:c r="F34" s="3">
        <ns0:f>SUM(F4:F33)</ns0:f>
        <ns0:v>8418.50</ns0:v>
      </ns0:c>
      <ns0:c r="G34" s="3">
        <ns0:f>SUM(G4:G33)</ns0:f>
        <ns0:v>6575.98</ns0:v>
      </ns0:c>
      <ns0:c r="H34" s="3">
        <ns0:f>SUM(H4:H33)</ns0:f>
        <ns0:v>7417.29</ns0:v>
      </ns0:c>
      <ns0:c r="I34" s="3">
        <ns0:f>SUM(I4:I33)</ns0:f>
        <ns0:v>7160.77</ns0:v>
      </ns0:c>
      <ns0:c r="J34" s="3">
        <ns0:f>SUM(J4:J33)</ns0:f>
        <ns0:v>6817.42</ns0:v>
      </ns0:c>
      <ns0:c r="K34" s="3">
        <ns0:f>SUM(K4:K33)</ns0:f>
        <ns0:v>8226.30</ns0:v>
      </ns0:c>
      <ns0:c r="L34" s="3">
        <ns0:f>SUM(L4:L33)</ns0:f>
        <ns0:v>6958.18</ns0:v>
      </ns0:c>
      <ns0:c r="M34" s="3">
        <ns0:f>SUM(M4:M33)</ns0:f>
        <ns0:v>7577.01</ns0:v>
      </ns0:c>
      <ns0:c r="N34" s="3">
        <ns0:f>SUM(N4:N33)</ns0:f>
        <ns0:v>8250.19</ns0:v>
      </ns0:c>
      <ns0:c r="O34" s="3">
        <ns0:f>SUM(C34:N34)</ns0:f>
        <ns0:v>89458.48</ns0:v>
      </ns0:c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 t="inlineStr">
        <ns0:is>
          <ns0:t>增值税附加</ns0:t>
        </ns0:is>
      </ns0:c>
      <ns0:c r="B35" s="2"/>
      <ns0:c r="C35" s="3"/>
      <ns0:c r="D35" s="3"/>
      <ns0:c r="E35" s="3"/>
      <ns0:c r="F35" s="3"/>
      <ns0:c r="G35" s="3"/>
      <ns0:c r="H35" s="3"/>
      <ns0:c r="I35" s="3"/>
      <ns0:c r="J35" s="3"/>
      <ns0:c r="K35" s="3"/>
      <ns0:c r="L35" s="3"/>
      <ns0:c r="M35" s="3"/>
      <ns0:c r="N35" s="3"/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 t="inlineStr">
        <ns0:is>
          <ns0:t>三费及税金合计</ns0:t>
        </ns0:is>
      </ns0:c>
      <ns0:c r="B36" s="2"/>
      <ns0:c r="C36" s="3"/>
      <ns0:c r="D36" s="3"/>
      <ns0:c r="E36" s="3"/>
      <ns0:c r="F36" s="3"/>
      <ns0:c r="G36" s="3"/>
      <ns0:c r="H36" s="3"/>
      <ns0:c r="I36" s="3"/>
      <ns0:c r="J36" s="3"/>
      <ns0:c r="K36" s="3"/>
      <ns0:c r="L36" s="3"/>
      <ns0:c r="M36" s="3"/>
      <ns0:c r="N36" s="3"/>
      <ns0:c r="O36" s="3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/>
      <ns0:c r="C64" s="3"/>
      <ns0:c r="D64" s="3"/>
      <ns0:c r="E64" s="3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/>
      <ns0:c r="C65" s="3"/>
      <ns0:c r="D65" s="3"/>
      <ns0:c r="E65" s="3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/>
      <ns0:c r="C66" s="3"/>
      <ns0:c r="D66" s="3"/>
      <ns0:c r="E66" s="3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/>
      <ns0:c r="C67" s="3"/>
      <ns0:c r="D67" s="3"/>
      <ns0:c r="E67" s="3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/>
      <ns0:c r="C68" s="3"/>
      <ns0:c r="D68" s="3"/>
      <ns0:c r="E68" s="3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 t="inlineStr">
        <ns0:is>
          <ns0:t>工资单价</ns0:t>
        </ns0:is>
      </ns0:c>
      <ns0:c r="C204" s="4">
        <ns0:v>34.69</ns0:v>
      </ns0:c>
      <ns0:c r="D204" s="4">
        <ns0:v>26.66</ns0:v>
      </ns0:c>
      <ns0:c r="E204" s="4">
        <ns0:v>43.32</ns0:v>
      </ns0:c>
      <ns0:c r="F204" s="4">
        <ns0:v>68.05</ns0:v>
      </ns0:c>
      <ns0:c r="G204" s="4">
        <ns0:v>47.41</ns0:v>
      </ns0:c>
      <ns0:c r="H204" s="4">
        <ns0:v>54.66</ns0:v>
      </ns0:c>
      <ns0:c r="I204" s="4">
        <ns0:v>66.27</ns0:v>
      </ns0:c>
      <ns0:c r="J204" s="4">
        <ns0:v>15.69</ns0:v>
      </ns0:c>
      <ns0:c r="K204" s="4">
        <ns0:v>46.60</ns0:v>
      </ns0:c>
      <ns0:c r="L204" s="4">
        <ns0:v>42.81</ns0:v>
      </ns0:c>
      <ns0:c r="M204" s="4">
        <ns0:v>29.28</ns0:v>
      </ns0:c>
      <ns0:c r="N204" s="4">
        <ns0:v>33.86</ns0:v>
      </ns0:c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 t="inlineStr">
        <ns0:is>
          <ns0:t>十三薪单价</ns0:t>
        </ns0:is>
      </ns0:c>
      <ns0:c r="C205" s="4">
        <ns0:v>63.51</ns0:v>
      </ns0:c>
      <ns0:c r="D205" s="4">
        <ns0:v>51.13</ns0:v>
      </ns0:c>
      <ns0:c r="E205" s="4">
        <ns0:v>49.31</ns0:v>
      </ns0:c>
      <ns0:c r="F205" s="4">
        <ns0:v>63.65</ns0:v>
      </ns0:c>
      <ns0:c r="G205" s="4">
        <ns0:v>66.97</ns0:v>
      </ns0:c>
      <ns0:c r="H205" s="4">
        <ns0:v>63.46</ns0:v>
      </ns0:c>
      <ns0:c r="I205" s="4">
        <ns0:v>17.00</ns0:v>
      </ns0:c>
      <ns0:c r="J205" s="4">
        <ns0:v>33.42</ns0:v>
      </ns0:c>
      <ns0:c r="K205" s="4">
        <ns0:v>44.73</ns0:v>
      </ns0:c>
      <ns0:c r="L205" s="4">
        <ns0:v>37.35</ns0:v>
      </ns0:c>
      <ns0:c r="M205" s="4">
        <ns0:v>26.38</ns0:v>
      </ns0:c>
      <ns0:c r="N205" s="4">
        <ns0:v>29.30</ns0:v>
      </ns0:c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 t="inlineStr">
        <ns0:is>
          <ns0:t>离职补偿金单价</ns0:t>
        </ns0:is>
      </ns0:c>
      <ns0:c r="C206" s="4">
        <ns0:v>24.75</ns0:v>
      </ns0:c>
      <ns0:c r="D206" s="4">
        <ns0:v>36.39</ns0:v>
      </ns0:c>
      <ns0:c r="E206" s="4">
        <ns0:v>19.11</ns0:v>
      </ns0:c>
      <ns0:c r="F206" s="4">
        <ns0:v>34.64</ns0:v>
      </ns0:c>
      <ns0:c r="G206" s="4">
        <ns0:v>67.91</ns0:v>
      </ns0:c>
      <ns0:c r="H206" s="4">
        <ns0:v>42.62</ns0:v>
      </ns0:c>
      <ns0:c r="I206" s="4">
        <ns0:v>64.57</ns0:v>
      </ns0:c>
      <ns0:c r="J206" s="4">
        <ns0:v>49.56</ns0:v>
      </ns0:c>
      <ns0:c r="K206" s="4">
        <ns0:v>32.13</ns0:v>
      </ns0:c>
      <ns0:c r="L206" s="4">
        <ns0:v>40.78</ns0:v>
      </ns0:c>
      <ns0:c r="M206" s="4">
        <ns0:v>25.51</ns0:v>
      </ns0:c>
      <ns0:c r="N206" s="4">
        <ns0:v>59.53</ns0:v>
      </ns0:c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 t="inlineStr">
        <ns0:is>
          <ns0:t>五险一金单价</ns0:t>
        </ns0:is>
      </ns0:c>
      <ns0:c r="C207" s="4">
        <ns0:v>54.49</ns0:v>
      </ns0:c>
      <ns0:c r="D207" s="4">
        <ns0:v>26.55</ns0:v>
      </ns0:c>
      <ns0:c r="E207" s="4">
        <ns0:v>17.11</ns0:v>
      </ns0:c>
      <ns0:c r="F207" s="4">
        <ns0:v>59.37</ns0:v>
      </ns0:c>
      <ns0:c r="G207" s="4">
        <ns0:v>24.18</ns0:v>
      </ns0:c>
      <ns0:c r="H207" s="4">
        <ns0:v>38.94</ns0:v>
      </ns0:c>
      <ns0:c r="I207" s="4">
        <ns0:v>37.79</ns0:v>
      </ns0:c>
      <ns0:c r="J207" s="4">
        <ns0:v>23.15</ns0:v>
      </ns0:c>
      <ns0:c r="K207" s="4">
        <ns0:v>52.45</ns0:v>
      </ns0:c>
      <ns0:c r="L207" s="4">
        <ns0:v>48.21</ns0:v>
      </ns0:c>
      <ns0:c r="M207" s="4">
        <ns0:v>50.08</ns0:v>
      </ns0:c>
      <ns0:c r="N207" s="4">
        <ns0:v>69.54</ns0:v>
      </ns0:c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 t="inlineStr">
        <ns0:is>
          <ns0:t>福利费单价</ns0:t>
        </ns0:is>
      </ns0:c>
      <ns0:c r="C208" s="4">
        <ns0:v>36.69</ns0:v>
      </ns0:c>
      <ns0:c r="D208" s="4">
        <ns0:v>52.05</ns0:v>
      </ns0:c>
      <ns0:c r="E208" s="4">
        <ns0:v>55.86</ns0:v>
      </ns0:c>
      <ns0:c r="F208" s="4">
        <ns0:v>45.44</ns0:v>
      </ns0:c>
      <ns0:c r="G208" s="4">
        <ns0:v>38.67</ns0:v>
      </ns0:c>
      <ns0:c r="H208" s="4">
        <ns0:v>30.60</ns0:v>
      </ns0:c>
      <ns0:c r="I208" s="4">
        <ns0:v>23.77</ns0:v>
      </ns0:c>
      <ns0:c r="J208" s="4">
        <ns0:v>20.97</ns0:v>
      </ns0:c>
      <ns0:c r="K208" s="4">
        <ns0:v>61.88</ns0:v>
      </ns0:c>
      <ns0:c r="L208" s="4">
        <ns0:v>24.33</ns0:v>
      </ns0:c>
      <ns0:c r="M208" s="4">
        <ns0:v>29.15</ns0:v>
      </ns0:c>
      <ns0:c r="N208" s="4">
        <ns0:v>27.12</ns0:v>
      </ns0:c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 t="inlineStr">
        <ns0:is>
          <ns0:t>招聘费单价</ns0:t>
        </ns0:is>
      </ns0:c>
      <ns0:c r="C209" s="4">
        <ns0:v>18.72</ns0:v>
      </ns0:c>
      <ns0:c r="D209" s="4">
        <ns0:v>32.84</ns0:v>
      </ns0:c>
      <ns0:c r="E209" s="4">
        <ns0:v>38.29</ns0:v>
      </ns0:c>
      <ns0:c r="F209" s="4">
        <ns0:v>55.36</ns0:v>
      </ns0:c>
      <ns0:c r="G209" s="4">
        <ns0:v>21.95</ns0:v>
      </ns0:c>
      <ns0:c r="H209" s="4">
        <ns0:v>47.65</ns0:v>
      </ns0:c>
      <ns0:c r="I209" s="4">
        <ns0:v>53.29</ns0:v>
      </ns0:c>
      <ns0:c r="J209" s="4">
        <ns0:v>17.26</ns0:v>
      </ns0:c>
      <ns0:c r="K209" s="4">
        <ns0:v>25.55</ns0:v>
      </ns0:c>
      <ns0:c r="L209" s="4">
        <ns0:v>60.93</ns0:v>
      </ns0:c>
      <ns0:c r="M209" s="4">
        <ns0:v>33.00</ns0:v>
      </ns0:c>
      <ns0:c r="N209" s="4">
        <ns0:v>58.02</ns0:v>
      </ns0:c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 t="inlineStr">
        <ns0:is>
          <ns0:t>培训费单价</ns0:t>
        </ns0:is>
      </ns0:c>
      <ns0:c r="C210" s="4">
        <ns0:v>54.84</ns0:v>
      </ns0:c>
      <ns0:c r="D210" s="4">
        <ns0:v>46.37</ns0:v>
      </ns0:c>
      <ns0:c r="E210" s="4">
        <ns0:v>49.84</ns0:v>
      </ns0:c>
      <ns0:c r="F210" s="4">
        <ns0:v>48.42</ns0:v>
      </ns0:c>
      <ns0:c r="G210" s="4">
        <ns0:v>23.84</ns0:v>
      </ns0:c>
      <ns0:c r="H210" s="4">
        <ns0:v>29.40</ns0:v>
      </ns0:c>
      <ns0:c r="I210" s="4">
        <ns0:v>42.23</ns0:v>
      </ns0:c>
      <ns0:c r="J210" s="4">
        <ns0:v>22.61</ns0:v>
      </ns0:c>
      <ns0:c r="K210" s="4">
        <ns0:v>55.38</ns0:v>
      </ns0:c>
      <ns0:c r="L210" s="4">
        <ns0:v>27.96</ns0:v>
      </ns0:c>
      <ns0:c r="M210" s="4">
        <ns0:v>41.32</ns0:v>
      </ns0:c>
      <ns0:c r="N210" s="4">
        <ns0:v>51.77</ns0:v>
      </ns0:c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 t="inlineStr">
        <ns0:is>
          <ns0:t>房租单价</ns0:t>
        </ns0:is>
      </ns0:c>
      <ns0:c r="C211" s="4">
        <ns0:v>64.33</ns0:v>
      </ns0:c>
      <ns0:c r="D211" s="4">
        <ns0:v>61.65</ns0:v>
      </ns0:c>
      <ns0:c r="E211" s="4">
        <ns0:v>52.48</ns0:v>
      </ns0:c>
      <ns0:c r="F211" s="4">
        <ns0:v>36.38</ns0:v>
      </ns0:c>
      <ns0:c r="G211" s="4">
        <ns0:v>19.94</ns0:v>
      </ns0:c>
      <ns0:c r="H211" s="4">
        <ns0:v>49.65</ns0:v>
      </ns0:c>
      <ns0:c r="I211" s="4">
        <ns0:v>54.98</ns0:v>
      </ns0:c>
      <ns0:c r="J211" s="4">
        <ns0:v>32.76</ns0:v>
      </ns0:c>
      <ns0:c r="K211" s="4">
        <ns0:v>31.90</ns0:v>
      </ns0:c>
      <ns0:c r="L211" s="4">
        <ns0:v>39.91</ns0:v>
      </ns0:c>
      <ns0:c r="M211" s="4">
        <ns0:v>48.17</ns0:v>
      </ns0:c>
      <ns0:c r="N211" s="4">
        <ns0:v>48.48</ns0:v>
      </ns0:c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 t="inlineStr">
        <ns0:is>
          <ns0:t>物业管理费单价</ns0:t>
        </ns0:is>
      </ns0:c>
      <ns0:c r="C212" s="4">
        <ns0:v>73.26</ns0:v>
      </ns0:c>
      <ns0:c r="D212" s="4">
        <ns0:v>20.34</ns0:v>
      </ns0:c>
      <ns0:c r="E212" s="4">
        <ns0:v>60.95</ns0:v>
      </ns0:c>
      <ns0:c r="F212" s="4">
        <ns0:v>61.81</ns0:v>
      </ns0:c>
      <ns0:c r="G212" s="4">
        <ns0:v>46.40</ns0:v>
      </ns0:c>
      <ns0:c r="H212" s="4">
        <ns0:v>57.65</ns0:v>
      </ns0:c>
      <ns0:c r="I212" s="4">
        <ns0:v>66.43</ns0:v>
      </ns0:c>
      <ns0:c r="J212" s="4">
        <ns0:v>59.89</ns0:v>
      </ns0:c>
      <ns0:c r="K212" s="4">
        <ns0:v>58.50</ns0:v>
      </ns0:c>
      <ns0:c r="L212" s="4">
        <ns0:v>35.35</ns0:v>
      </ns0:c>
      <ns0:c r="M212" s="4">
        <ns0:v>48.20</ns0:v>
      </ns0:c>
      <ns0:c r="N212" s="4">
        <ns0:v>38.28</ns0:v>
      </ns0:c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 t="inlineStr">
        <ns0:is>
          <ns0:t>汽车费用单价</ns0:t>
        </ns0:is>
      </ns0:c>
      <ns0:c r="C213" s="4">
        <ns0:v>69.85</ns0:v>
      </ns0:c>
      <ns0:c r="D213" s="4">
        <ns0:v>63.90</ns0:v>
      </ns0:c>
      <ns0:c r="E213" s="4">
        <ns0:v>44.21</ns0:v>
      </ns0:c>
      <ns0:c r="F213" s="4">
        <ns0:v>18.27</ns0:v>
      </ns0:c>
      <ns0:c r="G213" s="4">
        <ns0:v>54.76</ns0:v>
      </ns0:c>
      <ns0:c r="H213" s="4">
        <ns0:v>33.01</ns0:v>
      </ns0:c>
      <ns0:c r="I213" s="4">
        <ns0:v>62.66</ns0:v>
      </ns0:c>
      <ns0:c r="J213" s="4">
        <ns0:v>58.53</ns0:v>
      </ns0:c>
      <ns0:c r="K213" s="4">
        <ns0:v>41.01</ns0:v>
      </ns0:c>
      <ns0:c r="L213" s="4">
        <ns0:v>59.66</ns0:v>
      </ns0:c>
      <ns0:c r="M213" s="4">
        <ns0:v>40.89</ns0:v>
      </ns0:c>
      <ns0:c r="N213" s="4">
        <ns0:v>51.58</ns0:v>
      </ns0:c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 t="inlineStr">
        <ns0:is>
          <ns0:t>办公费单价</ns0:t>
        </ns0:is>
      </ns0:c>
      <ns0:c r="C214" s="4">
        <ns0:v>56.73</ns0:v>
      </ns0:c>
      <ns0:c r="D214" s="4">
        <ns0:v>50.52</ns0:v>
      </ns0:c>
      <ns0:c r="E214" s="4">
        <ns0:v>29.52</ns0:v>
      </ns0:c>
      <ns0:c r="F214" s="4">
        <ns0:v>63.17</ns0:v>
      </ns0:c>
      <ns0:c r="G214" s="4">
        <ns0:v>35.22</ns0:v>
      </ns0:c>
      <ns0:c r="H214" s="4">
        <ns0:v>42.11</ns0:v>
      </ns0:c>
      <ns0:c r="I214" s="4">
        <ns0:v>16.36</ns0:v>
      </ns0:c>
      <ns0:c r="J214" s="4">
        <ns0:v>76.15</ns0:v>
      </ns0:c>
      <ns0:c r="K214" s="4">
        <ns0:v>63.09</ns0:v>
      </ns0:c>
      <ns0:c r="L214" s="4">
        <ns0:v>56.78</ns0:v>
      </ns0:c>
      <ns0:c r="M214" s="4">
        <ns0:v>17.60</ns0:v>
      </ns0:c>
      <ns0:c r="N214" s="4">
        <ns0:v>27.63</ns0:v>
      </ns0:c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 t="inlineStr">
        <ns0:is>
          <ns0:t>办公用品单价</ns0:t>
        </ns0:is>
      </ns0:c>
      <ns0:c r="C215" s="4">
        <ns0:v>60.15</ns0:v>
      </ns0:c>
      <ns0:c r="D215" s="4">
        <ns0:v>37.77</ns0:v>
      </ns0:c>
      <ns0:c r="E215" s="4">
        <ns0:v>29.72</ns0:v>
      </ns0:c>
      <ns0:c r="F215" s="4">
        <ns0:v>28.99</ns0:v>
      </ns0:c>
      <ns0:c r="G215" s="4">
        <ns0:v>64.27</ns0:v>
      </ns0:c>
      <ns0:c r="H215" s="4">
        <ns0:v>40.12</ns0:v>
      </ns0:c>
      <ns0:c r="I215" s="4">
        <ns0:v>49.43</ns0:v>
      </ns0:c>
      <ns0:c r="J215" s="4">
        <ns0:v>71.94</ns0:v>
      </ns0:c>
      <ns0:c r="K215" s="4">
        <ns0:v>61.92</ns0:v>
      </ns0:c>
      <ns0:c r="L215" s="4">
        <ns0:v>69.63</ns0:v>
      </ns0:c>
      <ns0:c r="M215" s="4">
        <ns0:v>23.05</ns0:v>
      </ns0:c>
      <ns0:c r="N215" s="4">
        <ns0:v>21.87</ns0:v>
      </ns0:c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 t="inlineStr">
        <ns0:is>
          <ns0:t>水电煤单价</ns0:t>
        </ns0:is>
      </ns0:c>
      <ns0:c r="C216" s="4">
        <ns0:v>62.11</ns0:v>
      </ns0:c>
      <ns0:c r="D216" s="4">
        <ns0:v>35.77</ns0:v>
      </ns0:c>
      <ns0:c r="E216" s="4">
        <ns0:v>40.14</ns0:v>
      </ns0:c>
      <ns0:c r="F216" s="4">
        <ns0:v>59.88</ns0:v>
      </ns0:c>
      <ns0:c r="G216" s="4">
        <ns0:v>51.45</ns0:v>
      </ns0:c>
      <ns0:c r="H216" s="4">
        <ns0:v>69.37</ns0:v>
      </ns0:c>
      <ns0:c r="I216" s="4">
        <ns0:v>45.35</ns0:v>
      </ns0:c>
      <ns0:c r="J216" s="4">
        <ns0:v>49.23</ns0:v>
      </ns0:c>
      <ns0:c r="K216" s="4">
        <ns0:v>71.68</ns0:v>
      </ns0:c>
      <ns0:c r="L216" s="4">
        <ns0:v>28.64</ns0:v>
      </ns0:c>
      <ns0:c r="M216" s="4">
        <ns0:v>43.57</ns0:v>
      </ns0:c>
      <ns0:c r="N216" s="4">
        <ns0:v>52.44</ns0:v>
      </ns0:c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 t="inlineStr">
        <ns0:is>
          <ns0:t>咨询服务费单价</ns0:t>
        </ns0:is>
      </ns0:c>
      <ns0:c r="C217" s="4">
        <ns0:v>67.29</ns0:v>
      </ns0:c>
      <ns0:c r="D217" s="4">
        <ns0:v>68.40</ns0:v>
      </ns0:c>
      <ns0:c r="E217" s="4">
        <ns0:v>46.69</ns0:v>
      </ns0:c>
      <ns0:c r="F217" s="4">
        <ns0:v>49.91</ns0:v>
      </ns0:c>
      <ns0:c r="G217" s="4">
        <ns0:v>27.75</ns0:v>
      </ns0:c>
      <ns0:c r="H217" s="4">
        <ns0:v>28.55</ns0:v>
      </ns0:c>
      <ns0:c r="I217" s="4">
        <ns0:v>22.24</ns0:v>
      </ns0:c>
      <ns0:c r="J217" s="4">
        <ns0:v>28.53</ns0:v>
      </ns0:c>
      <ns0:c r="K217" s="4">
        <ns0:v>24.74</ns0:v>
      </ns0:c>
      <ns0:c r="L217" s="4">
        <ns0:v>59.60</ns0:v>
      </ns0:c>
      <ns0:c r="M217" s="4">
        <ns0:v>53.09</ns0:v>
      </ns0:c>
      <ns0:c r="N217" s="4">
        <ns0:v>56.42</ns0:v>
      </ns0:c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 t="inlineStr">
        <ns0:is>
          <ns0:t>电话费单价</ns0:t>
        </ns0:is>
      </ns0:c>
      <ns0:c r="C218" s="4">
        <ns0:v>40.75</ns0:v>
      </ns0:c>
      <ns0:c r="D218" s="4">
        <ns0:v>46.67</ns0:v>
      </ns0:c>
      <ns0:c r="E218" s="4">
        <ns0:v>48.22</ns0:v>
      </ns0:c>
      <ns0:c r="F218" s="4">
        <ns0:v>22.61</ns0:v>
      </ns0:c>
      <ns0:c r="G218" s="4">
        <ns0:v>40.66</ns0:v>
      </ns0:c>
      <ns0:c r="H218" s="4">
        <ns0:v>24.78</ns0:v>
      </ns0:c>
      <ns0:c r="I218" s="4">
        <ns0:v>60.38</ns0:v>
      </ns0:c>
      <ns0:c r="J218" s="4">
        <ns0:v>31.64</ns0:v>
      </ns0:c>
      <ns0:c r="K218" s="4">
        <ns0:v>64.43</ns0:v>
      </ns0:c>
      <ns0:c r="L218" s="4">
        <ns0:v>68.53</ns0:v>
      </ns0:c>
      <ns0:c r="M218" s="4">
        <ns0:v>34.82</ns0:v>
      </ns0:c>
      <ns0:c r="N218" s="4">
        <ns0:v>64.79</ns0:v>
      </ns0:c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 t="inlineStr">
        <ns0:is>
          <ns0:t>快递费单价</ns0:t>
        </ns0:is>
      </ns0:c>
      <ns0:c r="C219" s="4">
        <ns0:v>28.34</ns0:v>
      </ns0:c>
      <ns0:c r="D219" s="4">
        <ns0:v>19.14</ns0:v>
      </ns0:c>
      <ns0:c r="E219" s="4">
        <ns0:v>39.08</ns0:v>
      </ns0:c>
      <ns0:c r="F219" s="4">
        <ns0:v>32.87</ns0:v>
      </ns0:c>
      <ns0:c r="G219" s="4">
        <ns0:v>22.24</ns0:v>
      </ns0:c>
      <ns0:c r="H219" s="4">
        <ns0:v>46.66</ns0:v>
      </ns0:c>
      <ns0:c r="I219" s="4">
        <ns0:v>39.83</ns0:v>
      </ns0:c>
      <ns0:c r="J219" s="4">
        <ns0:v>18.24</ns0:v>
      </ns0:c>
      <ns0:c r="K219" s="4">
        <ns0:v>57.98</ns0:v>
      </ns0:c>
      <ns0:c r="L219" s="4">
        <ns0:v>50.97</ns0:v>
      </ns0:c>
      <ns0:c r="M219" s="4">
        <ns0:v>49.72</ns0:v>
      </ns0:c>
      <ns0:c r="N219" s="4">
        <ns0:v>63.81</ns0:v>
      </ns0:c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 t="inlineStr">
        <ns0:is>
          <ns0:t>折旧及摊销单价</ns0:t>
        </ns0:is>
      </ns0:c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 t="inlineStr">
        <ns0:is>
          <ns0:t>机票火车票单价</ns0:t>
        </ns0:is>
      </ns0:c>
      <ns0:c r="C221" s="4">
        <ns0:v>20.47</ns0:v>
      </ns0:c>
      <ns0:c r="D221" s="4">
        <ns0:v>40.42</ns0:v>
      </ns0:c>
      <ns0:c r="E221" s="4">
        <ns0:v>33.38</ns0:v>
      </ns0:c>
      <ns0:c r="F221" s="4">
        <ns0:v>42.88</ns0:v>
      </ns0:c>
      <ns0:c r="G221" s="4">
        <ns0:v>38.79</ns0:v>
      </ns0:c>
      <ns0:c r="H221" s="4">
        <ns0:v>18.33</ns0:v>
      </ns0:c>
      <ns0:c r="I221" s="4">
        <ns0:v>46.95</ns0:v>
      </ns0:c>
      <ns0:c r="J221" s="4">
        <ns0:v>48.33</ns0:v>
      </ns0:c>
      <ns0:c r="K221" s="4">
        <ns0:v>66.57</ns0:v>
      </ns0:c>
      <ns0:c r="L221" s="4">
        <ns0:v>41.38</ns0:v>
      </ns0:c>
      <ns0:c r="M221" s="4">
        <ns0:v>67.59</ns0:v>
      </ns0:c>
      <ns0:c r="N221" s="4">
        <ns0:v>21.21</ns0:v>
      </ns0:c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 t="inlineStr">
        <ns0:is>
          <ns0:t>住宿费单价</ns0:t>
        </ns0:is>
      </ns0:c>
      <ns0:c r="C222" s="4">
        <ns0:v>33.05</ns0:v>
      </ns0:c>
      <ns0:c r="D222" s="4">
        <ns0:v>26.03</ns0:v>
      </ns0:c>
      <ns0:c r="E222" s="4">
        <ns0:v>56.52</ns0:v>
      </ns0:c>
      <ns0:c r="F222" s="4">
        <ns0:v>40.58</ns0:v>
      </ns0:c>
      <ns0:c r="G222" s="4">
        <ns0:v>61.96</ns0:v>
      </ns0:c>
      <ns0:c r="H222" s="4">
        <ns0:v>29.39</ns0:v>
      </ns0:c>
      <ns0:c r="I222" s="4">
        <ns0:v>59.70</ns0:v>
      </ns0:c>
      <ns0:c r="J222" s="4">
        <ns0:v>30.22</ns0:v>
      </ns0:c>
      <ns0:c r="K222" s="4">
        <ns0:v>48.86</ns0:v>
      </ns0:c>
      <ns0:c r="L222" s="4">
        <ns0:v>21.77</ns0:v>
      </ns0:c>
      <ns0:c r="M222" s="4">
        <ns0:v>35.25</ns0:v>
      </ns0:c>
      <ns0:c r="N222" s="4">
        <ns0:v>32.24</ns0:v>
      </ns0:c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 t="inlineStr">
        <ns0:is>
          <ns0:t>交通费单价</ns0:t>
        </ns0:is>
      </ns0:c>
      <ns0:c r="C223" s="4">
        <ns0:v>39.97</ns0:v>
      </ns0:c>
      <ns0:c r="D223" s="4">
        <ns0:v>35.23</ns0:v>
      </ns0:c>
      <ns0:c r="E223" s="4">
        <ns0:v>38.98</ns0:v>
      </ns0:c>
      <ns0:c r="F223" s="4">
        <ns0:v>69.34</ns0:v>
      </ns0:c>
      <ns0:c r="G223" s="4">
        <ns0:v>29.92</ns0:v>
      </ns0:c>
      <ns0:c r="H223" s="4">
        <ns0:v>62.12</ns0:v>
      </ns0:c>
      <ns0:c r="I223" s="4">
        <ns0:v>54.09</ns0:v>
      </ns0:c>
      <ns0:c r="J223" s="4">
        <ns0:v>24.04</ns0:v>
      </ns0:c>
      <ns0:c r="K223" s="4">
        <ns0:v>19.35</ns0:v>
      </ns0:c>
      <ns0:c r="L223" s="4">
        <ns0:v>54.26</ns0:v>
      </ns0:c>
      <ns0:c r="M223" s="4">
        <ns0:v>69.96</ns0:v>
      </ns0:c>
      <ns0:c r="N223" s="4">
        <ns0:v>60.19</ns0:v>
      </ns0:c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 t="inlineStr">
        <ns0:is>
          <ns0:t>差旅补贴单价</ns0:t>
        </ns0:is>
      </ns0:c>
      <ns0:c r="C224" s="4">
        <ns0:v>24.63</ns0:v>
      </ns0:c>
      <ns0:c r="D224" s="4">
        <ns0:v>54.50</ns0:v>
      </ns0:c>
      <ns0:c r="E224" s="4">
        <ns0:v>54.83</ns0:v>
      </ns0:c>
      <ns0:c r="F224" s="4">
        <ns0:v>49.13</ns0:v>
      </ns0:c>
      <ns0:c r="G224" s="4">
        <ns0:v>36.87</ns0:v>
      </ns0:c>
      <ns0:c r="H224" s="4">
        <ns0:v>35.17</ns0:v>
      </ns0:c>
      <ns0:c r="I224" s="4">
        <ns0:v>38.27</ns0:v>
      </ns0:c>
      <ns0:c r="J224" s="4">
        <ns0:v>61.81</ns0:v>
      </ns0:c>
      <ns0:c r="K224" s="4">
        <ns0:v>40.60</ns0:v>
      </ns0:c>
      <ns0:c r="L224" s="4">
        <ns0:v>70.64</ns0:v>
      </ns0:c>
      <ns0:c r="M224" s="4">
        <ns0:v>47.79</ns0:v>
      </ns0:c>
      <ns0:c r="N224" s="4">
        <ns0:v>65.58</ns0:v>
      </ns0:c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 t="inlineStr">
        <ns0:is>
          <ns0:t>业务招待费单价</ns0:t>
        </ns0:is>
      </ns0:c>
      <ns0:c r="C225" s="4">
        <ns0:v>27.07</ns0:v>
      </ns0:c>
      <ns0:c r="D225" s="4">
        <ns0:v>51.42</ns0:v>
      </ns0:c>
      <ns0:c r="E225" s="4">
        <ns0:v>41.96</ns0:v>
      </ns0:c>
      <ns0:c r="F225" s="4">
        <ns0:v>44.21</ns0:v>
      </ns0:c>
      <ns0:c r="G225" s="4">
        <ns0:v>28.78</ns0:v>
      </ns0:c>
      <ns0:c r="H225" s="4">
        <ns0:v>66.61</ns0:v>
      </ns0:c>
      <ns0:c r="I225" s="4">
        <ns0:v>33.24</ns0:v>
      </ns0:c>
      <ns0:c r="J225" s="4">
        <ns0:v>54.07</ns0:v>
      </ns0:c>
      <ns0:c r="K225" s="4">
        <ns0:v>41.45</ns0:v>
      </ns0:c>
      <ns0:c r="L225" s="4">
        <ns0:v>30.85</ns0:v>
      </ns0:c>
      <ns0:c r="M225" s="4">
        <ns0:v>67.15</ns0:v>
      </ns0:c>
      <ns0:c r="N225" s="4">
        <ns0:v>59.96</ns0:v>
      </ns0:c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 t="inlineStr">
        <ns0:is>
          <ns0:t>市内交通费单价</ns0:t>
        </ns0:is>
      </ns0:c>
      <ns0:c r="C226" s="4">
        <ns0:v>51.21</ns0:v>
      </ns0:c>
      <ns0:c r="D226" s="4">
        <ns0:v>71.62</ns0:v>
      </ns0:c>
      <ns0:c r="E226" s="4">
        <ns0:v>18.43</ns0:v>
      </ns0:c>
      <ns0:c r="F226" s="4">
        <ns0:v>24.88</ns0:v>
      </ns0:c>
      <ns0:c r="G226" s="4">
        <ns0:v>29.52</ns0:v>
      </ns0:c>
      <ns0:c r="H226" s="4">
        <ns0:v>41.83</ns0:v>
      </ns0:c>
      <ns0:c r="I226" s="4">
        <ns0:v>45.46</ns0:v>
      </ns0:c>
      <ns0:c r="J226" s="4">
        <ns0:v>17.48</ns0:v>
      </ns0:c>
      <ns0:c r="K226" s="4">
        <ns0:v>43.29</ns0:v>
      </ns0:c>
      <ns0:c r="L226" s="4">
        <ns0:v>19.96</ns0:v>
      </ns0:c>
      <ns0:c r="M226" s="4">
        <ns0:v>53.98</ns0:v>
      </ns0:c>
      <ns0:c r="N226" s="4">
        <ns0:v>60.15</ns0:v>
      </ns0:c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 t="inlineStr">
        <ns0:is>
          <ns0:t>调研费用单价</ns0:t>
        </ns0:is>
      </ns0:c>
      <ns0:c r="C227" s="4">
        <ns0:v>44.99</ns0:v>
      </ns0:c>
      <ns0:c r="D227" s="4">
        <ns0:v>45.88</ns0:v>
      </ns0:c>
      <ns0:c r="E227" s="4">
        <ns0:v>33.47</ns0:v>
      </ns0:c>
      <ns0:c r="F227" s="4">
        <ns0:v>61.62</ns0:v>
      </ns0:c>
      <ns0:c r="G227" s="4">
        <ns0:v>23.99</ns0:v>
      </ns0:c>
      <ns0:c r="H227" s="4">
        <ns0:v>45.67</ns0:v>
      </ns0:c>
      <ns0:c r="I227" s="4">
        <ns0:v>59.09</ns0:v>
      </ns0:c>
      <ns0:c r="J227" s="4">
        <ns0:v>23.77</ns0:v>
      </ns0:c>
      <ns0:c r="K227" s="4">
        <ns0:v>20.69</ns0:v>
      </ns0:c>
      <ns0:c r="L227" s="4">
        <ns0:v>68.32</ns0:v>
      </ns0:c>
      <ns0:c r="M227" s="4">
        <ns0:v>24.70</ns0:v>
      </ns0:c>
      <ns0:c r="N227" s="4">
        <ns0:v>51.30</ns0:v>
      </ns0:c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 t="inlineStr">
        <ns0:is>
          <ns0:t>手续费单价</ns0:t>
        </ns0:is>
      </ns0:c>
      <ns0:c r="C228" s="4">
        <ns0:v>44.26</ns0:v>
      </ns0:c>
      <ns0:c r="D228" s="4">
        <ns0:v>47.43</ns0:v>
      </ns0:c>
      <ns0:c r="E228" s="4">
        <ns0:v>57.20</ns0:v>
      </ns0:c>
      <ns0:c r="F228" s="4">
        <ns0:v>27.44</ns0:v>
      </ns0:c>
      <ns0:c r="G228" s="4">
        <ns0:v>35.76</ns0:v>
      </ns0:c>
      <ns0:c r="H228" s="4">
        <ns0:v>60.96</ns0:v>
      </ns0:c>
      <ns0:c r="I228" s="4">
        <ns0:v>43.92</ns0:v>
      </ns0:c>
      <ns0:c r="J228" s="4">
        <ns0:v>56.25</ns0:v>
      </ns0:c>
      <ns0:c r="K228" s="4">
        <ns0:v>39.31</ns0:v>
      </ns0:c>
      <ns0:c r="L228" s="4">
        <ns0:v>51.09</ns0:v>
      </ns0:c>
      <ns0:c r="M228" s="4">
        <ns0:v>31.12</ns0:v>
      </ns0:c>
      <ns0:c r="N228" s="4">
        <ns0:v>30.27</ns0:v>
      </ns0:c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 t="inlineStr">
        <ns0:is>
          <ns0:t>利息收入单价</ns0:t>
        </ns0:is>
      </ns0:c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 t="inlineStr">
        <ns0:is>
          <ns0:t>利息支出单价</ns0:t>
        </ns0:is>
      </ns0:c>
      <ns0:c r="C230" s="4">
        <ns0:v>57.87</ns0:v>
      </ns0:c>
      <ns0:c r="D230" s="4">
        <ns0:v>22.70</ns0:v>
      </ns0:c>
      <ns0:c r="E230" s="4">
        <ns0:v>55.01</ns0:v>
      </ns0:c>
      <ns0:c r="F230" s="4">
        <ns0:v>42.06</ns0:v>
      </ns0:c>
      <ns0:c r="G230" s="4">
        <ns0:v>40.43</ns0:v>
      </ns0:c>
      <ns0:c r="H230" s="4">
        <ns0:v>58.08</ns0:v>
      </ns0:c>
      <ns0:c r="I230" s="4">
        <ns0:v>33.43</ns0:v>
      </ns0:c>
      <ns0:c r="J230" s="4">
        <ns0:v>32.33</ns0:v>
      </ns0:c>
      <ns0:c r="K230" s="4">
        <ns0:v>36.36</ns0:v>
      </ns0:c>
      <ns0:c r="L230" s="4">
        <ns0:v>61.18</ns0:v>
      </ns0:c>
      <ns0:c r="M230" s="4">
        <ns0:v>59.36</ns0:v>
      </ns0:c>
      <ns0:c r="N230" s="4">
        <ns0:v>19.11</ns0:v>
      </ns0:c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 t="inlineStr">
        <ns0:is>
          <ns0:t>车船税单价</ns0:t>
        </ns0:is>
      </ns0:c>
      <ns0:c r="C231" s="4">
        <ns0:v>38.09</ns0:v>
      </ns0:c>
      <ns0:c r="D231" s="4">
        <ns0:v>20.98</ns0:v>
      </ns0:c>
      <ns0:c r="E231" s="4">
        <ns0:v>35.09</ns0:v>
      </ns0:c>
      <ns0:c r="F231" s="4">
        <ns0:v>55.52</ns0:v>
      </ns0:c>
      <ns0:c r="G231" s="4">
        <ns0:v>24.61</ns0:v>
      </ns0:c>
      <ns0:c r="H231" s="4">
        <ns0:v>43.95</ns0:v>
      </ns0:c>
      <ns0:c r="I231" s="4">
        <ns0:v>30.43</ns0:v>
      </ns0:c>
      <ns0:c r="J231" s="4">
        <ns0:v>30.46</ns0:v>
      </ns0:c>
      <ns0:c r="K231" s="4">
        <ns0:v>67.82</ns0:v>
      </ns0:c>
      <ns0:c r="L231" s="4">
        <ns0:v>19.73</ns0:v>
      </ns0:c>
      <ns0:c r="M231" s="4">
        <ns0:v>52.26</ns0:v>
      </ns0:c>
      <ns0:c r="N231" s="4">
        <ns0:v>60.14</ns0:v>
      </ns0:c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 t="inlineStr">
        <ns0:is>
          <ns0:t>印花税单价</ns0:t>
        </ns0:is>
      </ns0:c>
      <ns0:c r="C232" s="4">
        <ns0:v>39.74</ns0:v>
      </ns0:c>
      <ns0:c r="D232" s="4">
        <ns0:v>55.17</ns0:v>
      </ns0:c>
      <ns0:c r="E232" s="4">
        <ns0:v>23.60</ns0:v>
      </ns0:c>
      <ns0:c r="F232" s="4">
        <ns0:v>69.16</ns0:v>
      </ns0:c>
      <ns0:c r="G232" s="4">
        <ns0:v>29.45</ns0:v>
      </ns0:c>
      <ns0:c r="H232" s="4">
        <ns0:v>42.83</ns0:v>
      </ns0:c>
      <ns0:c r="I232" s="4">
        <ns0:v>26.86</ns0:v>
      </ns0:c>
      <ns0:c r="J232" s="4">
        <ns0:v>41.93</ns0:v>
      </ns0:c>
      <ns0:c r="K232" s="4">
        <ns0:v>36.16</ns0:v>
      </ns0:c>
      <ns0:c r="L232" s="4">
        <ns0:v>54.28</ns0:v>
      </ns0:c>
      <ns0:c r="M232" s="4">
        <ns0:v>20.48</ns0:v>
      </ns0:c>
      <ns0:c r="N232" s="4">
        <ns0:v>59.28</ns0:v>
      </ns0:c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 t="inlineStr">
        <ns0:is>
          <ns0:t>其他单价</ns0:t>
        </ns0:is>
      </ns0:c>
      <ns0:c r="C233" s="4">
        <ns0:v>35.25</ns0:v>
      </ns0:c>
      <ns0:c r="D233" s="4">
        <ns0:v>60.80</ns0:v>
      </ns0:c>
      <ns0:c r="E233" s="4">
        <ns0:v>52.07</ns0:v>
      </ns0:c>
      <ns0:c r="F233" s="4">
        <ns0:v>34.53</ns0:v>
      </ns0:c>
      <ns0:c r="G233" s="4">
        <ns0:v>32.52</ns0:v>
      </ns0:c>
      <ns0:c r="H233" s="4">
        <ns0:v>37.01</ns0:v>
      </ns0:c>
      <ns0:c r="I233" s="4">
        <ns0:v>18.81</ns0:v>
      </ns0:c>
      <ns0:c r="J233" s="4">
        <ns0:v>48.87</ns0:v>
      </ns0:c>
      <ns0:c r="K233" s="4">
        <ns0:v>55.95</ns0:v>
      </ns0:c>
      <ns0:c r="L233" s="4">
        <ns0:v>54.54</ns0:v>
      </ns0:c>
      <ns0:c r="M233" s="4">
        <ns0:v>18.87</ns0:v>
      </ns0:c>
      <ns0:c r="N233" s="4">
        <ns0:v>37.94</ns0:v>
      </ns0:c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 t="inlineStr">
        <ns0:is>
          <ns0:t>工资数量</ns0:t>
        </ns0:is>
      </ns0:c>
      <ns0:c r="C324" s="4">
        <ns0:v>6.19</ns0:v>
      </ns0:c>
      <ns0:c r="D324" s="4">
        <ns0:v>7.18</ns0:v>
      </ns0:c>
      <ns0:c r="E324" s="4">
        <ns0:v>7.59</ns0:v>
      </ns0:c>
      <ns0:c r="F324" s="4">
        <ns0:v>9.82</ns0:v>
      </ns0:c>
      <ns0:c r="G324" s="4">
        <ns0:v>2.37</ns0:v>
      </ns0:c>
      <ns0:c r="H324" s="4">
        <ns0:v>6.62</ns0:v>
      </ns0:c>
      <ns0:c r="I324" s="4">
        <ns0:v>2.89</ns0:v>
      </ns0:c>
      <ns0:c r="J324" s="4">
        <ns0:v>4.39</ns0:v>
      </ns0:c>
      <ns0:c r="K324" s="4">
        <ns0:v>4.81</ns0:v>
      </ns0:c>
      <ns0:c r="L324" s="4">
        <ns0:v>2.81</ns0:v>
      </ns0:c>
      <ns0:c r="M324" s="4">
        <ns0:v>5.67</ns0:v>
      </ns0:c>
      <ns0:c r="N324" s="4">
        <ns0:v>5.60</ns0:v>
      </ns0:c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 t="inlineStr">
        <ns0:is>
          <ns0:t>十三薪数量</ns0:t>
        </ns0:is>
      </ns0:c>
      <ns0:c r="C325" s="4">
        <ns0:v>5.02</ns0:v>
      </ns0:c>
      <ns0:c r="D325" s="4">
        <ns0:v>4.22</ns0:v>
      </ns0:c>
      <ns0:c r="E325" s="4">
        <ns0:v>6.79</ns0:v>
      </ns0:c>
      <ns0:c r="F325" s="4">
        <ns0:v>2.46</ns0:v>
      </ns0:c>
      <ns0:c r="G325" s="4">
        <ns0:v>3.54</ns0:v>
      </ns0:c>
      <ns0:c r="H325" s="4">
        <ns0:v>2.87</ns0:v>
      </ns0:c>
      <ns0:c r="I325" s="4">
        <ns0:v>6.59</ns0:v>
      </ns0:c>
      <ns0:c r="J325" s="4">
        <ns0:v>3.49</ns0:v>
      </ns0:c>
      <ns0:c r="K325" s="4">
        <ns0:v>7.24</ns0:v>
      </ns0:c>
      <ns0:c r="L325" s="4">
        <ns0:v>2.37</ns0:v>
      </ns0:c>
      <ns0:c r="M325" s="4">
        <ns0:v>7.83</ns0:v>
      </ns0:c>
      <ns0:c r="N325" s="4">
        <ns0:v>5.73</ns0:v>
      </ns0:c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 t="inlineStr">
        <ns0:is>
          <ns0:t>离职补偿金数量</ns0:t>
        </ns0:is>
      </ns0:c>
      <ns0:c r="C326" s="4">
        <ns0:v>3.59</ns0:v>
      </ns0:c>
      <ns0:c r="D326" s="4">
        <ns0:v>4.06</ns0:v>
      </ns0:c>
      <ns0:c r="E326" s="4">
        <ns0:v>7.89</ns0:v>
      </ns0:c>
      <ns0:c r="F326" s="4">
        <ns0:v>6.15</ns0:v>
      </ns0:c>
      <ns0:c r="G326" s="4">
        <ns0:v>7.45</ns0:v>
      </ns0:c>
      <ns0:c r="H326" s="4">
        <ns0:v>8.40</ns0:v>
      </ns0:c>
      <ns0:c r="I326" s="4">
        <ns0:v>6.38</ns0:v>
      </ns0:c>
      <ns0:c r="J326" s="4">
        <ns0:v>7.79</ns0:v>
      </ns0:c>
      <ns0:c r="K326" s="4">
        <ns0:v>7.37</ns0:v>
      </ns0:c>
      <ns0:c r="L326" s="4">
        <ns0:v>7.15</ns0:v>
      </ns0:c>
      <ns0:c r="M326" s="4">
        <ns0:v>3.38</ns0:v>
      </ns0:c>
      <ns0:c r="N326" s="4">
        <ns0:v>9.19</ns0:v>
      </ns0:c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 t="inlineStr">
        <ns0:is>
          <ns0:t>五险一金数量</ns0:t>
        </ns0:is>
      </ns0:c>
      <ns0:c r="C327" s="4">
        <ns0:v>2.83</ns0:v>
      </ns0:c>
      <ns0:c r="D327" s="4">
        <ns0:v>3.37</ns0:v>
      </ns0:c>
      <ns0:c r="E327" s="4">
        <ns0:v>3.60</ns0:v>
      </ns0:c>
      <ns0:c r="F327" s="4">
        <ns0:v>2.61</ns0:v>
      </ns0:c>
      <ns0:c r="G327" s="4">
        <ns0:v>2.21</ns0:v>
      </ns0:c>
      <ns0:c r="H327" s="4">
        <ns0:v>4.04</ns0:v>
      </ns0:c>
      <ns0:c r="I327" s="4">
        <ns0:v>6.27</ns0:v>
      </ns0:c>
      <ns0:c r="J327" s="4">
        <ns0:v>3.83</ns0:v>
      </ns0:c>
      <ns0:c r="K327" s="4">
        <ns0:v>5.42</ns0:v>
      </ns0:c>
      <ns0:c r="L327" s="4">
        <ns0:v>7.20</ns0:v>
      </ns0:c>
      <ns0:c r="M327" s="4">
        <ns0:v>6.84</ns0:v>
      </ns0:c>
      <ns0:c r="N327" s="4">
        <ns0:v>3.77</ns0:v>
      </ns0:c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 t="inlineStr">
        <ns0:is>
          <ns0:t>福利费数量</ns0:t>
        </ns0:is>
      </ns0:c>
      <ns0:c r="C328" s="4">
        <ns0:v>3.93</ns0:v>
      </ns0:c>
      <ns0:c r="D328" s="4">
        <ns0:v>6.47</ns0:v>
      </ns0:c>
      <ns0:c r="E328" s="4">
        <ns0:v>6.39</ns0:v>
      </ns0:c>
      <ns0:c r="F328" s="4">
        <ns0:v>6.71</ns0:v>
      </ns0:c>
      <ns0:c r="G328" s="4">
        <ns0:v>8.44</ns0:v>
      </ns0:c>
      <ns0:c r="H328" s="4">
        <ns0:v>7.96</ns0:v>
      </ns0:c>
      <ns0:c r="I328" s="4">
        <ns0:v>3.82</ns0:v>
      </ns0:c>
      <ns0:c r="J328" s="4">
        <ns0:v>6.03</ns0:v>
      </ns0:c>
      <ns0:c r="K328" s="4">
        <ns0:v>4.31</ns0:v>
      </ns0:c>
      <ns0:c r="L328" s="4">
        <ns0:v>8.26</ns0:v>
      </ns0:c>
      <ns0:c r="M328" s="4">
        <ns0:v>7.65</ns0:v>
      </ns0:c>
      <ns0:c r="N328" s="4">
        <ns0:v>6.45</ns0:v>
      </ns0:c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 t="inlineStr">
        <ns0:is>
          <ns0:t>招聘费数量</ns0:t>
        </ns0:is>
      </ns0:c>
      <ns0:c r="C329" s="4">
        <ns0:v>3.50</ns0:v>
      </ns0:c>
      <ns0:c r="D329" s="4">
        <ns0:v>4.50</ns0:v>
      </ns0:c>
      <ns0:c r="E329" s="4">
        <ns0:v>7.28</ns0:v>
      </ns0:c>
      <ns0:c r="F329" s="4">
        <ns0:v>5.97</ns0:v>
      </ns0:c>
      <ns0:c r="G329" s="4">
        <ns0:v>8.11</ns0:v>
      </ns0:c>
      <ns0:c r="H329" s="4">
        <ns0:v>2.88</ns0:v>
      </ns0:c>
      <ns0:c r="I329" s="4">
        <ns0:v>7.25</ns0:v>
      </ns0:c>
      <ns0:c r="J329" s="4">
        <ns0:v>3.84</ns0:v>
      </ns0:c>
      <ns0:c r="K329" s="4">
        <ns0:v>6.65</ns0:v>
      </ns0:c>
      <ns0:c r="L329" s="4">
        <ns0:v>5.06</ns0:v>
      </ns0:c>
      <ns0:c r="M329" s="4">
        <ns0:v>6.37</ns0:v>
      </ns0:c>
      <ns0:c r="N329" s="4">
        <ns0:v>4.38</ns0:v>
      </ns0:c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 t="inlineStr">
        <ns0:is>
          <ns0:t>培训费数量</ns0:t>
        </ns0:is>
      </ns0:c>
      <ns0:c r="C330" s="4">
        <ns0:v>4.83</ns0:v>
      </ns0:c>
      <ns0:c r="D330" s="4">
        <ns0:v>2.76</ns0:v>
      </ns0:c>
      <ns0:c r="E330" s="4">
        <ns0:v>7.68</ns0:v>
      </ns0:c>
      <ns0:c r="F330" s="4">
        <ns0:v>3.53</ns0:v>
      </ns0:c>
      <ns0:c r="G330" s="4">
        <ns0:v>3.01</ns0:v>
      </ns0:c>
      <ns0:c r="H330" s="4">
        <ns0:v>5.45</ns0:v>
      </ns0:c>
      <ns0:c r="I330" s="4">
        <ns0:v>4.86</ns0:v>
      </ns0:c>
      <ns0:c r="J330" s="4">
        <ns0:v>8.04</ns0:v>
      </ns0:c>
      <ns0:c r="K330" s="4">
        <ns0:v>6.21</ns0:v>
      </ns0:c>
      <ns0:c r="L330" s="4">
        <ns0:v>5.38</ns0:v>
      </ns0:c>
      <ns0:c r="M330" s="4">
        <ns0:v>7.82</ns0:v>
      </ns0:c>
      <ns0:c r="N330" s="4">
        <ns0:v>8.02</ns0:v>
      </ns0:c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 t="inlineStr">
        <ns0:is>
          <ns0:t>房租数量</ns0:t>
        </ns0:is>
      </ns0:c>
      <ns0:c r="C331" s="4">
        <ns0:v>8.33</ns0:v>
      </ns0:c>
      <ns0:c r="D331" s="4">
        <ns0:v>6.23</ns0:v>
      </ns0:c>
      <ns0:c r="E331" s="4">
        <ns0:v>3.22</ns0:v>
      </ns0:c>
      <ns0:c r="F331" s="4">
        <ns0:v>7.63</ns0:v>
      </ns0:c>
      <ns0:c r="G331" s="4">
        <ns0:v>8.38</ns0:v>
      </ns0:c>
      <ns0:c r="H331" s="4">
        <ns0:v>4.19</ns0:v>
      </ns0:c>
      <ns0:c r="I331" s="4">
        <ns0:v>8.41</ns0:v>
      </ns0:c>
      <ns0:c r="J331" s="4">
        <ns0:v>2.87</ns0:v>
      </ns0:c>
      <ns0:c r="K331" s="4">
        <ns0:v>6.31</ns0:v>
      </ns0:c>
      <ns0:c r="L331" s="4">
        <ns0:v>3.01</ns0:v>
      </ns0:c>
      <ns0:c r="M331" s="4">
        <ns0:v>6.88</ns0:v>
      </ns0:c>
      <ns0:c r="N331" s="4">
        <ns0:v>8.41</ns0:v>
      </ns0:c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 t="inlineStr">
        <ns0:is>
          <ns0:t>物业管理费数量</ns0:t>
        </ns0:is>
      </ns0:c>
      <ns0:c r="C332" s="4">
        <ns0:v>4.85</ns0:v>
      </ns0:c>
      <ns0:c r="D332" s="4">
        <ns0:v>5.38</ns0:v>
      </ns0:c>
      <ns0:c r="E332" s="4">
        <ns0:v>7.28</ns0:v>
      </ns0:c>
      <ns0:c r="F332" s="4">
        <ns0:v>3.28</ns0:v>
      </ns0:c>
      <ns0:c r="G332" s="4">
        <ns0:v>7.19</ns0:v>
      </ns0:c>
      <ns0:c r="H332" s="4">
        <ns0:v>7.29</ns0:v>
      </ns0:c>
      <ns0:c r="I332" s="4">
        <ns0:v>3.35</ns0:v>
      </ns0:c>
      <ns0:c r="J332" s="4">
        <ns0:v>8.12</ns0:v>
      </ns0:c>
      <ns0:c r="K332" s="4">
        <ns0:v>3.32</ns0:v>
      </ns0:c>
      <ns0:c r="L332" s="4">
        <ns0:v>3.43</ns0:v>
      </ns0:c>
      <ns0:c r="M332" s="4">
        <ns0:v>5.17</ns0:v>
      </ns0:c>
      <ns0:c r="N332" s="4">
        <ns0:v>2.57</ns0:v>
      </ns0:c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 t="inlineStr">
        <ns0:is>
          <ns0:t>汽车费用数量</ns0:t>
        </ns0:is>
      </ns0:c>
      <ns0:c r="C333" s="4">
        <ns0:v>4.23</ns0:v>
      </ns0:c>
      <ns0:c r="D333" s="4">
        <ns0:v>3.76</ns0:v>
      </ns0:c>
      <ns0:c r="E333" s="4">
        <ns0:v>7.47</ns0:v>
      </ns0:c>
      <ns0:c r="F333" s="4">
        <ns0:v>8.01</ns0:v>
      </ns0:c>
      <ns0:c r="G333" s="4">
        <ns0:v>3.89</ns0:v>
      </ns0:c>
      <ns0:c r="H333" s="4">
        <ns0:v>5.51</ns0:v>
      </ns0:c>
      <ns0:c r="I333" s="4">
        <ns0:v>4.43</ns0:v>
      </ns0:c>
      <ns0:c r="J333" s="4">
        <ns0:v>5.67</ns0:v>
      </ns0:c>
      <ns0:c r="K333" s="4">
        <ns0:v>7.76</ns0:v>
      </ns0:c>
      <ns0:c r="L333" s="4">
        <ns0:v>3.70</ns0:v>
      </ns0:c>
      <ns0:c r="M333" s="4">
        <ns0:v>2.48</ns0:v>
      </ns0:c>
      <ns0:c r="N333" s="4">
        <ns0:v>2.72</ns0:v>
      </ns0:c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 t="inlineStr">
        <ns0:is>
          <ns0:t>办公费数量</ns0:t>
        </ns0:is>
      </ns0:c>
      <ns0:c r="C334" s="4">
        <ns0:v>3.35</ns0:v>
      </ns0:c>
      <ns0:c r="D334" s="4">
        <ns0:v>7.23</ns0:v>
      </ns0:c>
      <ns0:c r="E334" s="4">
        <ns0:v>7.08</ns0:v>
      </ns0:c>
      <ns0:c r="F334" s="4">
        <ns0:v>5.24</ns0:v>
      </ns0:c>
      <ns0:c r="G334" s="4">
        <ns0:v>6.33</ns0:v>
      </ns0:c>
      <ns0:c r="H334" s="4">
        <ns0:v>4.14</ns0:v>
      </ns0:c>
      <ns0:c r="I334" s="4">
        <ns0:v>2.95</ns0:v>
      </ns0:c>
      <ns0:c r="J334" s="4">
        <ns0:v>5.49</ns0:v>
      </ns0:c>
      <ns0:c r="K334" s="4">
        <ns0:v>2.69</ns0:v>
      </ns0:c>
      <ns0:c r="L334" s="4">
        <ns0:v>3.42</ns0:v>
      </ns0:c>
      <ns0:c r="M334" s="4">
        <ns0:v>8.23</ns0:v>
      </ns0:c>
      <ns0:c r="N334" s="4">
        <ns0:v>7.28</ns0:v>
      </ns0:c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 t="inlineStr">
        <ns0:is>
          <ns0:t>办公用品数量</ns0:t>
        </ns0:is>
      </ns0:c>
      <ns0:c r="C335" s="4">
        <ns0:v>7.90</ns0:v>
      </ns0:c>
      <ns0:c r="D335" s="4">
        <ns0:v>5.85</ns0:v>
      </ns0:c>
      <ns0:c r="E335" s="4">
        <ns0:v>3.10</ns0:v>
      </ns0:c>
      <ns0:c r="F335" s="4">
        <ns0:v>5.66</ns0:v>
      </ns0:c>
      <ns0:c r="G335" s="4">
        <ns0:v>7.14</ns0:v>
      </ns0:c>
      <ns0:c r="H335" s="4">
        <ns0:v>5.09</ns0:v>
      </ns0:c>
      <ns0:c r="I335" s="4">
        <ns0:v>6.79</ns0:v>
      </ns0:c>
      <ns0:c r="J335" s="4">
        <ns0:v>9.82</ns0:v>
      </ns0:c>
      <ns0:c r="K335" s="4">
        <ns0:v>9.22</ns0:v>
      </ns0:c>
      <ns0:c r="L335" s="4">
        <ns0:v>7.09</ns0:v>
      </ns0:c>
      <ns0:c r="M335" s="4">
        <ns0:v>5.70</ns0:v>
      </ns0:c>
      <ns0:c r="N335" s="4">
        <ns0:v>5.96</ns0:v>
      </ns0:c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 t="inlineStr">
        <ns0:is>
          <ns0:t>水电煤数量</ns0:t>
        </ns0:is>
      </ns0:c>
      <ns0:c r="C336" s="4">
        <ns0:v>6.43</ns0:v>
      </ns0:c>
      <ns0:c r="D336" s="4">
        <ns0:v>6.09</ns0:v>
      </ns0:c>
      <ns0:c r="E336" s="4">
        <ns0:v>7.50</ns0:v>
      </ns0:c>
      <ns0:c r="F336" s="4">
        <ns0:v>8.92</ns0:v>
      </ns0:c>
      <ns0:c r="G336" s="4">
        <ns0:v>6.27</ns0:v>
      </ns0:c>
      <ns0:c r="H336" s="4">
        <ns0:v>7.31</ns0:v>
      </ns0:c>
      <ns0:c r="I336" s="4">
        <ns0:v>7.16</ns0:v>
      </ns0:c>
      <ns0:c r="J336" s="4">
        <ns0:v>2.56</ns0:v>
      </ns0:c>
      <ns0:c r="K336" s="4">
        <ns0:v>3.58</ns0:v>
      </ns0:c>
      <ns0:c r="L336" s="4">
        <ns0:v>4.54</ns0:v>
      </ns0:c>
      <ns0:c r="M336" s="4">
        <ns0:v>6.39</ns0:v>
      </ns0:c>
      <ns0:c r="N336" s="4">
        <ns0:v>6.82</ns0:v>
      </ns0:c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 t="inlineStr">
        <ns0:is>
          <ns0:t>咨询服务费数量</ns0:t>
        </ns0:is>
      </ns0:c>
      <ns0:c r="C337" s="4">
        <ns0:v>2.38</ns0:v>
      </ns0:c>
      <ns0:c r="D337" s="4">
        <ns0:v>3.80</ns0:v>
      </ns0:c>
      <ns0:c r="E337" s="4">
        <ns0:v>7.20</ns0:v>
      </ns0:c>
      <ns0:c r="F337" s="4">
        <ns0:v>6.18</ns0:v>
      </ns0:c>
      <ns0:c r="G337" s="4">
        <ns0:v>2.98</ns0:v>
      </ns0:c>
      <ns0:c r="H337" s="4">
        <ns0:v>6.64</ns0:v>
      </ns0:c>
      <ns0:c r="I337" s="4">
        <ns0:v>5.17</ns0:v>
      </ns0:c>
      <ns0:c r="J337" s="4">
        <ns0:v>9.57</ns0:v>
      </ns0:c>
      <ns0:c r="K337" s="4">
        <ns0:v>7.77</ns0:v>
      </ns0:c>
      <ns0:c r="L337" s="4">
        <ns0:v>3.87</ns0:v>
      </ns0:c>
      <ns0:c r="M337" s="4">
        <ns0:v>7.49</ns0:v>
      </ns0:c>
      <ns0:c r="N337" s="4">
        <ns0:v>5.03</ns0:v>
      </ns0:c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 t="inlineStr">
        <ns0:is>
          <ns0:t>电话费数量</ns0:t>
        </ns0:is>
      </ns0:c>
      <ns0:c r="C338" s="4">
        <ns0:v>7.44</ns0:v>
      </ns0:c>
      <ns0:c r="D338" s="4">
        <ns0:v>3.13</ns0:v>
      </ns0:c>
      <ns0:c r="E338" s="4">
        <ns0:v>6.21</ns0:v>
      </ns0:c>
      <ns0:c r="F338" s="4">
        <ns0:v>6.06</ns0:v>
      </ns0:c>
      <ns0:c r="G338" s="4">
        <ns0:v>5.31</ns0:v>
      </ns0:c>
      <ns0:c r="H338" s="4">
        <ns0:v>6.10</ns0:v>
      </ns0:c>
      <ns0:c r="I338" s="4">
        <ns0:v>4.64</ns0:v>
      </ns0:c>
      <ns0:c r="J338" s="4">
        <ns0:v>6.41</ns0:v>
      </ns0:c>
      <ns0:c r="K338" s="4">
        <ns0:v>4.03</ns0:v>
      </ns0:c>
      <ns0:c r="L338" s="4">
        <ns0:v>4.22</ns0:v>
      </ns0:c>
      <ns0:c r="M338" s="4">
        <ns0:v>4.49</ns0:v>
      </ns0:c>
      <ns0:c r="N338" s="4">
        <ns0:v>5.17</ns0:v>
      </ns0:c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 t="inlineStr">
        <ns0:is>
          <ns0:t>快递费数量</ns0:t>
        </ns0:is>
      </ns0:c>
      <ns0:c r="C339" s="4">
        <ns0:v>6.95</ns0:v>
      </ns0:c>
      <ns0:c r="D339" s="4">
        <ns0:v>8.54</ns0:v>
      </ns0:c>
      <ns0:c r="E339" s="4">
        <ns0:v>5.65</ns0:v>
      </ns0:c>
      <ns0:c r="F339" s="4">
        <ns0:v>7.93</ns0:v>
      </ns0:c>
      <ns0:c r="G339" s="4">
        <ns0:v>9.22</ns0:v>
      </ns0:c>
      <ns0:c r="H339" s="4">
        <ns0:v>3.41</ns0:v>
      </ns0:c>
      <ns0:c r="I339" s="4">
        <ns0:v>4.55</ns0:v>
      </ns0:c>
      <ns0:c r="J339" s="4">
        <ns0:v>6.27</ns0:v>
      </ns0:c>
      <ns0:c r="K339" s="4">
        <ns0:v>9.43</ns0:v>
      </ns0:c>
      <ns0:c r="L339" s="4">
        <ns0:v>4.91</ns0:v>
      </ns0:c>
      <ns0:c r="M339" s="4">
        <ns0:v>8.20</ns0:v>
      </ns0:c>
      <ns0:c r="N339" s="4">
        <ns0:v>4.49</ns0:v>
      </ns0:c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 t="inlineStr">
        <ns0:is>
          <ns0:t>折旧及摊销数量</ns0:t>
        </ns0:is>
      </ns0:c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 t="inlineStr">
        <ns0:is>
          <ns0:t>机票火车票数量</ns0:t>
        </ns0:is>
      </ns0:c>
      <ns0:c r="C341" s="4">
        <ns0:v>7.60</ns0:v>
      </ns0:c>
      <ns0:c r="D341" s="4">
        <ns0:v>4.71</ns0:v>
      </ns0:c>
      <ns0:c r="E341" s="4">
        <ns0:v>6.94</ns0:v>
      </ns0:c>
      <ns0:c r="F341" s="4">
        <ns0:v>3.42</ns0:v>
      </ns0:c>
      <ns0:c r="G341" s="4">
        <ns0:v>4.69</ns0:v>
      </ns0:c>
      <ns0:c r="H341" s="4">
        <ns0:v>4.65</ns0:v>
      </ns0:c>
      <ns0:c r="I341" s="4">
        <ns0:v>5.38</ns0:v>
      </ns0:c>
      <ns0:c r="J341" s="4">
        <ns0:v>2.55</ns0:v>
      </ns0:c>
      <ns0:c r="K341" s="4">
        <ns0:v>7.87</ns0:v>
      </ns0:c>
      <ns0:c r="L341" s="4">
        <ns0:v>3.61</ns0:v>
      </ns0:c>
      <ns0:c r="M341" s="4">
        <ns0:v>5.56</ns0:v>
      </ns0:c>
      <ns0:c r="N341" s="4">
        <ns0:v>8.78</ns0:v>
      </ns0:c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 t="inlineStr">
        <ns0:is>
          <ns0:t>住宿费数量</ns0:t>
        </ns0:is>
      </ns0:c>
      <ns0:c r="C342" s="4">
        <ns0:v>7.42</ns0:v>
      </ns0:c>
      <ns0:c r="D342" s="4">
        <ns0:v>5.73</ns0:v>
      </ns0:c>
      <ns0:c r="E342" s="4">
        <ns0:v>4.28</ns0:v>
      </ns0:c>
      <ns0:c r="F342" s="4">
        <ns0:v>6.92</ns0:v>
      </ns0:c>
      <ns0:c r="G342" s="4">
        <ns0:v>7.33</ns0:v>
      </ns0:c>
      <ns0:c r="H342" s="4">
        <ns0:v>2.37</ns0:v>
      </ns0:c>
      <ns0:c r="I342" s="4">
        <ns0:v>8.97</ns0:v>
      </ns0:c>
      <ns0:c r="J342" s="4">
        <ns0:v>6.96</ns0:v>
      </ns0:c>
      <ns0:c r="K342" s="4">
        <ns0:v>5.54</ns0:v>
      </ns0:c>
      <ns0:c r="L342" s="4">
        <ns0:v>7.59</ns0:v>
      </ns0:c>
      <ns0:c r="M342" s="4">
        <ns0:v>7.91</ns0:v>
      </ns0:c>
      <ns0:c r="N342" s="4">
        <ns0:v>8.09</ns0:v>
      </ns0:c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 t="inlineStr">
        <ns0:is>
          <ns0:t>交通费数量</ns0:t>
        </ns0:is>
      </ns0:c>
      <ns0:c r="C343" s="4">
        <ns0:v>8.82</ns0:v>
      </ns0:c>
      <ns0:c r="D343" s="4">
        <ns0:v>2.76</ns0:v>
      </ns0:c>
      <ns0:c r="E343" s="4">
        <ns0:v>6.32</ns0:v>
      </ns0:c>
      <ns0:c r="F343" s="4">
        <ns0:v>4.77</ns0:v>
      </ns0:c>
      <ns0:c r="G343" s="4">
        <ns0:v>3.97</ns0:v>
      </ns0:c>
      <ns0:c r="H343" s="4">
        <ns0:v>5.62</ns0:v>
      </ns0:c>
      <ns0:c r="I343" s="4">
        <ns0:v>2.11</ns0:v>
      </ns0:c>
      <ns0:c r="J343" s="4">
        <ns0:v>3.77</ns0:v>
      </ns0:c>
      <ns0:c r="K343" s="4">
        <ns0:v>4.09</ns0:v>
      </ns0:c>
      <ns0:c r="L343" s="4">
        <ns0:v>6.70</ns0:v>
      </ns0:c>
      <ns0:c r="M343" s="4">
        <ns0:v>4.97</ns0:v>
      </ns0:c>
      <ns0:c r="N343" s="4">
        <ns0:v>7.83</ns0:v>
      </ns0:c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 t="inlineStr">
        <ns0:is>
          <ns0:t>差旅补贴数量</ns0:t>
        </ns0:is>
      </ns0:c>
      <ns0:c r="C344" s="4">
        <ns0:v>3.26</ns0:v>
      </ns0:c>
      <ns0:c r="D344" s="4">
        <ns0:v>8.01</ns0:v>
      </ns0:c>
      <ns0:c r="E344" s="4">
        <ns0:v>9.79</ns0:v>
      </ns0:c>
      <ns0:c r="F344" s="4">
        <ns0:v>6.43</ns0:v>
      </ns0:c>
      <ns0:c r="G344" s="4">
        <ns0:v>7.48</ns0:v>
      </ns0:c>
      <ns0:c r="H344" s="4">
        <ns0:v>3.11</ns0:v>
      </ns0:c>
      <ns0:c r="I344" s="4">
        <ns0:v>3.75</ns0:v>
      </ns0:c>
      <ns0:c r="J344" s="4">
        <ns0:v>3.44</ns0:v>
      </ns0:c>
      <ns0:c r="K344" s="4">
        <ns0:v>5.72</ns0:v>
      </ns0:c>
      <ns0:c r="L344" s="4">
        <ns0:v>4.34</ns0:v>
      </ns0:c>
      <ns0:c r="M344" s="4">
        <ns0:v>7.47</ns0:v>
      </ns0:c>
      <ns0:c r="N344" s="4">
        <ns0:v>7.85</ns0:v>
      </ns0:c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 t="inlineStr">
        <ns0:is>
          <ns0:t>业务招待费数量</ns0:t>
        </ns0:is>
      </ns0:c>
      <ns0:c r="C345" s="4">
        <ns0:v>4.90</ns0:v>
      </ns0:c>
      <ns0:c r="D345" s="4">
        <ns0:v>6.48</ns0:v>
      </ns0:c>
      <ns0:c r="E345" s="4">
        <ns0:v>6.38</ns0:v>
      </ns0:c>
      <ns0:c r="F345" s="4">
        <ns0:v>4.52</ns0:v>
      </ns0:c>
      <ns0:c r="G345" s="4">
        <ns0:v>2.85</ns0:v>
      </ns0:c>
      <ns0:c r="H345" s="4">
        <ns0:v>8.30</ns0:v>
      </ns0:c>
      <ns0:c r="I345" s="4">
        <ns0:v>3.99</ns0:v>
      </ns0:c>
      <ns0:c r="J345" s="4">
        <ns0:v>5.71</ns0:v>
      </ns0:c>
      <ns0:c r="K345" s="4">
        <ns0:v>5.25</ns0:v>
      </ns0:c>
      <ns0:c r="L345" s="4">
        <ns0:v>3.83</ns0:v>
      </ns0:c>
      <ns0:c r="M345" s="4">
        <ns0:v>9.08</ns0:v>
      </ns0:c>
      <ns0:c r="N345" s="4">
        <ns0:v>5.80</ns0:v>
      </ns0:c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 t="inlineStr">
        <ns0:is>
          <ns0:t>市内交通费数量</ns0:t>
        </ns0:is>
      </ns0:c>
      <ns0:c r="C346" s="4">
        <ns0:v>6.49</ns0:v>
      </ns0:c>
      <ns0:c r="D346" s="4">
        <ns0:v>2.92</ns0:v>
      </ns0:c>
      <ns0:c r="E346" s="4">
        <ns0:v>5.52</ns0:v>
      </ns0:c>
      <ns0:c r="F346" s="4">
        <ns0:v>6.22</ns0:v>
      </ns0:c>
      <ns0:c r="G346" s="4">
        <ns0:v>4.47</ns0:v>
      </ns0:c>
      <ns0:c r="H346" s="4">
        <ns0:v>3.92</ns0:v>
      </ns0:c>
      <ns0:c r="I346" s="4">
        <ns0:v>3.24</ns0:v>
      </ns0:c>
      <ns0:c r="J346" s="4">
        <ns0:v>4.44</ns0:v>
      </ns0:c>
      <ns0:c r="K346" s="4">
        <ns0:v>6.65</ns0:v>
      </ns0:c>
      <ns0:c r="L346" s="4">
        <ns0:v>3.14</ns0:v>
      </ns0:c>
      <ns0:c r="M346" s="4">
        <ns0:v>5.52</ns0:v>
      </ns0:c>
      <ns0:c r="N346" s="4">
        <ns0:v>5.05</ns0:v>
      </ns0:c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 t="inlineStr">
        <ns0:is>
          <ns0:t>调研费用数量</ns0:t>
        </ns0:is>
      </ns0:c>
      <ns0:c r="C347" s="4">
        <ns0:v>6.21</ns0:v>
      </ns0:c>
      <ns0:c r="D347" s="4">
        <ns0:v>4.67</ns0:v>
      </ns0:c>
      <ns0:c r="E347" s="4">
        <ns0:v>4.24</ns0:v>
      </ns0:c>
      <ns0:c r="F347" s="4">
        <ns0:v>7.91</ns0:v>
      </ns0:c>
      <ns0:c r="G347" s="4">
        <ns0:v>3.13</ns0:v>
      </ns0:c>
      <ns0:c r="H347" s="4">
        <ns0:v>7.32</ns0:v>
      </ns0:c>
      <ns0:c r="I347" s="4">
        <ns0:v>5.39</ns0:v>
      </ns0:c>
      <ns0:c r="J347" s="4">
        <ns0:v>9.38</ns0:v>
      </ns0:c>
      <ns0:c r="K347" s="4">
        <ns0:v>3.69</ns0:v>
      </ns0:c>
      <ns0:c r="L347" s="4">
        <ns0:v>4.53</ns0:v>
      </ns0:c>
      <ns0:c r="M347" s="4">
        <ns0:v>7.58</ns0:v>
      </ns0:c>
      <ns0:c r="N347" s="4">
        <ns0:v>6.49</ns0:v>
      </ns0:c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 t="inlineStr">
        <ns0:is>
          <ns0:t>手续费数量</ns0:t>
        </ns0:is>
      </ns0:c>
      <ns0:c r="C348" s="4">
        <ns0:v>3.39</ns0:v>
      </ns0:c>
      <ns0:c r="D348" s="4">
        <ns0:v>5.64</ns0:v>
      </ns0:c>
      <ns0:c r="E348" s="4">
        <ns0:v>3.26</ns0:v>
      </ns0:c>
      <ns0:c r="F348" s="4">
        <ns0:v>4.94</ns0:v>
      </ns0:c>
      <ns0:c r="G348" s="4">
        <ns0:v>5.05</ns0:v>
      </ns0:c>
      <ns0:c r="H348" s="4">
        <ns0:v>4.08</ns0:v>
      </ns0:c>
      <ns0:c r="I348" s="4">
        <ns0:v>8.62</ns0:v>
      </ns0:c>
      <ns0:c r="J348" s="4">
        <ns0:v>4.61</ns0:v>
      </ns0:c>
      <ns0:c r="K348" s="4">
        <ns0:v>5.31</ns0:v>
      </ns0:c>
      <ns0:c r="L348" s="4">
        <ns0:v>8.90</ns0:v>
      </ns0:c>
      <ns0:c r="M348" s="4">
        <ns0:v>3.18</ns0:v>
      </ns0:c>
      <ns0:c r="N348" s="4">
        <ns0:v>7.89</ns0:v>
      </ns0:c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 t="inlineStr">
        <ns0:is>
          <ns0:t>利息收入数量</ns0:t>
        </ns0:is>
      </ns0:c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 t="inlineStr">
        <ns0:is>
          <ns0:t>利息支出数量</ns0:t>
        </ns0:is>
      </ns0:c>
      <ns0:c r="C350" s="4">
        <ns0:v>5.02</ns0:v>
      </ns0:c>
      <ns0:c r="D350" s="4">
        <ns0:v>4.07</ns0:v>
      </ns0:c>
      <ns0:c r="E350" s="4">
        <ns0:v>2.47</ns0:v>
      </ns0:c>
      <ns0:c r="F350" s="4">
        <ns0:v>8.01</ns0:v>
      </ns0:c>
      <ns0:c r="G350" s="4">
        <ns0:v>4.85</ns0:v>
      </ns0:c>
      <ns0:c r="H350" s="4">
        <ns0:v>7.83</ns0:v>
      </ns0:c>
      <ns0:c r="I350" s="4">
        <ns0:v>5.68</ns0:v>
      </ns0:c>
      <ns0:c r="J350" s="4">
        <ns0:v>5.35</ns0:v>
      </ns0:c>
      <ns0:c r="K350" s="4">
        <ns0:v>5.16</ns0:v>
      </ns0:c>
      <ns0:c r="L350" s="4">
        <ns0:v>5.69</ns0:v>
      </ns0:c>
      <ns0:c r="M350" s="4">
        <ns0:v>2.03</ns0:v>
      </ns0:c>
      <ns0:c r="N350" s="4">
        <ns0:v>9.28</ns0:v>
      </ns0:c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 t="inlineStr">
        <ns0:is>
          <ns0:t>车船税数量</ns0:t>
        </ns0:is>
      </ns0:c>
      <ns0:c r="C351" s="4">
        <ns0:v>3.38</ns0:v>
      </ns0:c>
      <ns0:c r="D351" s="4">
        <ns0:v>9.01</ns0:v>
      </ns0:c>
      <ns0:c r="E351" s="4">
        <ns0:v>4.71</ns0:v>
      </ns0:c>
      <ns0:c r="F351" s="4">
        <ns0:v>6.65</ns0:v>
      </ns0:c>
      <ns0:c r="G351" s="4">
        <ns0:v>6.67</ns0:v>
      </ns0:c>
      <ns0:c r="H351" s="4">
        <ns0:v>5.76</ns0:v>
      </ns0:c>
      <ns0:c r="I351" s="4">
        <ns0:v>6.32</ns0:v>
      </ns0:c>
      <ns0:c r="J351" s="4">
        <ns0:v>3.25</ns0:v>
      </ns0:c>
      <ns0:c r="K351" s="4">
        <ns0:v>5.76</ns0:v>
      </ns0:c>
      <ns0:c r="L351" s="4">
        <ns0:v>4.87</ns0:v>
      </ns0:c>
      <ns0:c r="M351" s="4">
        <ns0:v>4.06</ns0:v>
      </ns0:c>
      <ns0:c r="N351" s="4">
        <ns0:v>2.01</ns0:v>
      </ns0:c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 t="inlineStr">
        <ns0:is>
          <ns0:t>印花税数量</ns0:t>
        </ns0:is>
      </ns0:c>
      <ns0:c r="C352" s="4">
        <ns0:v>5.36</ns0:v>
      </ns0:c>
      <ns0:c r="D352" s="4">
        <ns0:v>7.39</ns0:v>
      </ns0:c>
      <ns0:c r="E352" s="4">
        <ns0:v>6.77</ns0:v>
      </ns0:c>
      <ns0:c r="F352" s="4">
        <ns0:v>7.26</ns0:v>
      </ns0:c>
      <ns0:c r="G352" s="4">
        <ns0:v>6.37</ns0:v>
      </ns0:c>
      <ns0:c r="H352" s="4">
        <ns0:v>4.28</ns0:v>
      </ns0:c>
      <ns0:c r="I352" s="4">
        <ns0:v>3.65</ns0:v>
      </ns0:c>
      <ns0:c r="J352" s="4">
        <ns0:v>8.53</ns0:v>
      </ns0:c>
      <ns0:c r="K352" s="4">
        <ns0:v>5.49</ns0:v>
      </ns0:c>
      <ns0:c r="L352" s="4">
        <ns0:v>3.51</ns0:v>
      </ns0:c>
      <ns0:c r="M352" s="4">
        <ns0:v>8.83</ns0:v>
      </ns0:c>
      <ns0:c r="N352" s="4">
        <ns0:v>3.82</ns0:v>
      </ns0:c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 t="inlineStr">
        <ns0:is>
          <ns0:t>其他数量</ns0:t>
        </ns0:is>
      </ns0:c>
      <ns0:c r="C353" s="4">
        <ns0:v>6.71</ns0:v>
      </ns0:c>
      <ns0:c r="D353" s="4">
        <ns0:v>8.13</ns0:v>
      </ns0:c>
      <ns0:c r="E353" s="4">
        <ns0:v>2.07</ns0:v>
      </ns0:c>
      <ns0:c r="F353" s="4">
        <ns0:v>3.47</ns0:v>
      </ns0:c>
      <ns0:c r="G353" s="4">
        <ns0:v>4.41</ns0:v>
      </ns0:c>
      <ns0:c r="H353" s="4">
        <ns0:v>3.76</ns0:v>
      </ns0:c>
      <ns0:c r="I353" s="4">
        <ns0:v>5.20</ns0:v>
      </ns0:c>
      <ns0:c r="J353" s="4">
        <ns0:v>4.44</ns0:v>
      </ns0:c>
      <ns0:c r="K353" s="4">
        <ns0:v>5.65</ns0:v>
      </ns0:c>
      <ns0:c r="L353" s="4">
        <ns0:v>2.91</ns0:v>
      </ns0:c>
      <ns0:c r="M353" s="4">
        <ns0:v>4.06</ns0:v>
      </ns0:c>
      <ns0:c r="N353" s="4">
        <ns0:v>3.68</ns0:v>
      </ns0:c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A25:B25"/>
    <ns0:mergeCell ref="A26:B26"/>
    <ns0:mergeCell ref="A27:B27"/>
    <ns0:mergeCell ref="A33:B33"/>
    <ns0:mergeCell ref="A34:B34"/>
    <ns0:mergeCell ref="A35:B35"/>
    <ns0:mergeCell ref="A36:B36"/>
    <ns0:mergeCell ref="A4:A10"/>
    <ns0:mergeCell ref="A11:A20"/>
    <ns0:mergeCell ref="A21:A24"/>
    <ns0:mergeCell ref="A29:A30"/>
    <ns0:mergeCell ref="A31:A32"/>
    <ns0:mergeCell ref="A2:B3"/>
  </ns0:mergeCells>
  <ns0:pageMargins left="0.7" right="0.7" top="0.75" bottom="0.75" header="0.3" footer="0.3"/>
</ns0:worksheet>
</file>

<file path=xl/worksheets/sheet8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2.625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12.625" hidden="0" customWidth="1"/>
    <ns0:col min="17" max="17" width="12.625" hidden="0" customWidth="1"/>
    <ns0:col min="18" max="18" width="9" hidden="0" customWidth="1"/>
    <ns0:col min="19" max="19" width="9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 t="inlineStr">
        <ns0:is>
          <ns0:t>管理费用</ns0:t>
        </ns0:is>
      </ns0:c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2" t="inlineStr">
        <ns0:is>
          <ns0:t>项目</ns0:t>
        </ns0:is>
      </ns0:c>
      <ns0:c r="B2" s="2"/>
      <ns0:c r="C2" s="3" t="inlineStr">
        <ns0:is>
          <ns0:t>实时经营（月度，元）</ns0:t>
        </ns0:is>
      </ns0:c>
      <ns0:c r="D2" s="3"/>
      <ns0:c r="E2" s="3"/>
      <ns0:c r="F2" s="3"/>
      <ns0:c r="G2" s="3"/>
      <ns0:c r="H2" s="3"/>
      <ns0:c r="I2" s="3"/>
      <ns0:c r="J2" s="3"/>
      <ns0:c r="K2" s="3"/>
      <ns0:c r="L2" s="3"/>
      <ns0:c r="M2" s="3"/>
      <ns0:c r="N2" s="3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E-5f17fa2948</ns0:t>
        </ns0:is>
      </ns0:c>
    </ns0:row>
    <ns0:row r="3" ht="20" customHeight="1">
      <ns0:c r="A3" s="2"/>
      <ns0:c r="B3" s="2"/>
      <ns0:c r="C3" s="6" t="inlineStr">
        <ns0:is>
          <ns0:t>2027-01</ns0:t>
        </ns0:is>
      </ns0:c>
      <ns0:c r="D3" s="6" t="inlineStr">
        <ns0:is>
          <ns0:t>2027-02</ns0:t>
        </ns0:is>
      </ns0:c>
      <ns0:c r="E3" s="6" t="inlineStr">
        <ns0:is>
          <ns0:t>2027-03</ns0:t>
        </ns0:is>
      </ns0:c>
      <ns0:c r="F3" s="6" t="inlineStr">
        <ns0:is>
          <ns0:t>2027-04</ns0:t>
        </ns0:is>
      </ns0:c>
      <ns0:c r="G3" s="6" t="inlineStr">
        <ns0:is>
          <ns0:t>2027-05</ns0:t>
        </ns0:is>
      </ns0:c>
      <ns0:c r="H3" s="6" t="inlineStr">
        <ns0:is>
          <ns0:t>2027-06</ns0:t>
        </ns0:is>
      </ns0:c>
      <ns0:c r="I3" s="6" t="inlineStr">
        <ns0:is>
          <ns0:t>2027-07</ns0:t>
        </ns0:is>
      </ns0:c>
      <ns0:c r="J3" s="6" t="inlineStr">
        <ns0:is>
          <ns0:t>2027-08</ns0:t>
        </ns0:is>
      </ns0:c>
      <ns0:c r="K3" s="6" t="inlineStr">
        <ns0:is>
          <ns0:t>2027-09</ns0:t>
        </ns0:is>
      </ns0:c>
      <ns0:c r="L3" s="6" t="inlineStr">
        <ns0:is>
          <ns0:t>2027-10</ns0:t>
        </ns0:is>
      </ns0:c>
      <ns0:c r="M3" s="6" t="inlineStr">
        <ns0:is>
          <ns0:t>2027-11</ns0:t>
        </ns0:is>
      </ns0:c>
      <ns0:c r="N3" s="6" t="inlineStr">
        <ns0:is>
          <ns0:t>2027-12</ns0:t>
        </ns0:is>
      </ns0:c>
      <ns0:c r="O3" s="6" t="inlineStr">
        <ns0:is>
          <ns0:t>小计</ns0:t>
        </ns0:is>
      </ns0:c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主体乙</ns0:t>
        </ns0:is>
      </ns0:c>
    </ns0:row>
    <ns0:row r="4" ht="20" customHeight="1">
      <ns0:c r="A4" s="2" t="inlineStr">
        <ns0:is>
          <ns0:t>员工费用</ns0:t>
        </ns0:is>
      </ns0:c>
      <ns0:c r="B4" s="2" t="inlineStr">
        <ns0:is>
          <ns0:t>工资</ns0:t>
        </ns0:is>
      </ns0:c>
      <ns0:c r="C4" s="3">
        <ns0:f>ROUND(C204*C324,2)</ns0:f>
        <ns0:v>220.17</ns0:v>
      </ns0:c>
      <ns0:c r="D4" s="3">
        <ns0:f>ROUND(D204*D324,2)</ns0:f>
        <ns0:v>268.83</ns0:v>
      </ns0:c>
      <ns0:c r="E4" s="3">
        <ns0:f>ROUND(E204*E324,2)</ns0:f>
        <ns0:v>238.75</ns0:v>
      </ns0:c>
      <ns0:c r="F4" s="3">
        <ns0:f>ROUND(F204*F324,2)</ns0:f>
        <ns0:v>290.27</ns0:v>
      </ns0:c>
      <ns0:c r="G4" s="3">
        <ns0:f>ROUND(G204*G324,2)</ns0:f>
        <ns0:v>155.41</ns0:v>
      </ns0:c>
      <ns0:c r="H4" s="3">
        <ns0:f>ROUND(H204*H324,2)</ns0:f>
        <ns0:v>68.35</ns0:v>
      </ns0:c>
      <ns0:c r="I4" s="3">
        <ns0:f>ROUND(I204*I324,2)</ns0:f>
        <ns0:v>193.79</ns0:v>
      </ns0:c>
      <ns0:c r="J4" s="3">
        <ns0:f>ROUND(J204*J324,2)</ns0:f>
        <ns0:v>251.72</ns0:v>
      </ns0:c>
      <ns0:c r="K4" s="3">
        <ns0:f>ROUND(K204*K324,2)</ns0:f>
        <ns0:v>527.53</ns0:v>
      </ns0:c>
      <ns0:c r="L4" s="3">
        <ns0:f>ROUND(L204*L324,2)</ns0:f>
        <ns0:v>154.81</ns0:v>
      </ns0:c>
      <ns0:c r="M4" s="3">
        <ns0:f>ROUND(M204*M324,2)</ns0:f>
        <ns0:v>169.77</ns0:v>
      </ns0:c>
      <ns0:c r="N4" s="3">
        <ns0:f>ROUND(N204*N324,2)</ns0:f>
        <ns0:v>384.31</ns0:v>
      </ns0:c>
      <ns0:c r="O4" s="3">
        <ns0:f>SUM(C4:N4)</ns0:f>
        <ns0:v>2923.71</ns0:v>
      </ns0:c>
      <ns0:c r="P4" s="2" t="inlineStr">
        <ns0:is>
          <ns0:t>EXP2.004</ns0:t>
        </ns0:is>
      </ns0:c>
      <ns0:c r="Q4" s="2" t="inlineStr">
        <ns0:is>
          <ns0:t>演示占位-v1</ns0:t>
        </ns0:is>
      </ns0:c>
      <ns0:c r="R4" s="2" t="inlineStr">
        <ns0:is>
          <ns0:t>模拟权责发生制</ns0:t>
        </ns0:is>
      </ns0:c>
      <ns0:c r="S4" s="2" t="inlineStr">
        <ns0:is>
          <ns0:t>2027-01</ns0:t>
        </ns0:is>
      </ns0:c>
      <ns0:c r="T4" s="2" t="inlineStr">
        <ns0:is>
          <ns0:t>2027-06</ns0:t>
        </ns0:is>
      </ns0:c>
      <ns0:c r="U4" s="2" t="inlineStr">
        <ns0:is>
          <ns0:t>无</ns0:t>
        </ns0:is>
      </ns0:c>
      <ns0:c r="V4" s="2" t="inlineStr">
        <ns0:is>
          <ns0:t>无</ns0:t>
        </ns0:is>
      </ns0:c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S-03e3bfa6bf</ns0:t>
        </ns0:is>
      </ns0:c>
    </ns0:row>
    <ns0:row r="5" ht="20" customHeight="1">
      <ns0:c r="A5" s="2"/>
      <ns0:c r="B5" s="2" t="inlineStr">
        <ns0:is>
          <ns0:t>十三薪</ns0:t>
        </ns0:is>
      </ns0:c>
      <ns0:c r="C5" s="3">
        <ns0:f>ROUND(C205*C325,2)</ns0:f>
        <ns0:v>143.38</ns0:v>
      </ns0:c>
      <ns0:c r="D5" s="3">
        <ns0:f>ROUND(D205*D325,2)</ns0:f>
        <ns0:v>639.26</ns0:v>
      </ns0:c>
      <ns0:c r="E5" s="3">
        <ns0:f>ROUND(E205*E325,2)</ns0:f>
        <ns0:v>142.36</ns0:v>
      </ns0:c>
      <ns0:c r="F5" s="3">
        <ns0:f>ROUND(F205*F325,2)</ns0:f>
        <ns0:v>229.28</ns0:v>
      </ns0:c>
      <ns0:c r="G5" s="3">
        <ns0:f>ROUND(G205*G325,2)</ns0:f>
        <ns0:v>259.66</ns0:v>
      </ns0:c>
      <ns0:c r="H5" s="3">
        <ns0:f>ROUND(H205*H325,2)</ns0:f>
        <ns0:v>319.00</ns0:v>
      </ns0:c>
      <ns0:c r="I5" s="3">
        <ns0:f>ROUND(I205*I325,2)</ns0:f>
        <ns0:v>140.00</ns0:v>
      </ns0:c>
      <ns0:c r="J5" s="3">
        <ns0:f>ROUND(J205*J325,2)</ns0:f>
        <ns0:v>105.38</ns0:v>
      </ns0:c>
      <ns0:c r="K5" s="3">
        <ns0:f>ROUND(K205*K325,2)</ns0:f>
        <ns0:v>487.99</ns0:v>
      </ns0:c>
      <ns0:c r="L5" s="3">
        <ns0:f>ROUND(L205*L325,2)</ns0:f>
        <ns0:v>110.77</ns0:v>
      </ns0:c>
      <ns0:c r="M5" s="3">
        <ns0:f>ROUND(M205*M325,2)</ns0:f>
        <ns0:v>191.72</ns0:v>
      </ns0:c>
      <ns0:c r="N5" s="3">
        <ns0:f>ROUND(N205*N325,2)</ns0:f>
        <ns0:v>269.76</ns0:v>
      </ns0:c>
      <ns0:c r="O5" s="3">
        <ns0:f>SUM(C5:N5)</ns0:f>
        <ns0:v>3038.56</ns0:v>
      </ns0:c>
      <ns0:c r="P5" s="2" t="inlineStr">
        <ns0:is>
          <ns0:t>EXP2.005</ns0:t>
        </ns0:is>
      </ns0:c>
      <ns0:c r="Q5" s="2" t="inlineStr">
        <ns0:is>
          <ns0:t>演示占位-v1</ns0:t>
        </ns0:is>
      </ns0:c>
      <ns0:c r="R5" s="2" t="inlineStr">
        <ns0:is>
          <ns0:t>模拟权责发生制</ns0:t>
        </ns0:is>
      </ns0:c>
      <ns0:c r="S5" s="2" t="inlineStr">
        <ns0:is>
          <ns0:t>2027-01</ns0:t>
        </ns0:is>
      </ns0:c>
      <ns0:c r="T5" s="2" t="inlineStr">
        <ns0:is>
          <ns0:t>2027-06</ns0:t>
        </ns0:is>
      </ns0:c>
      <ns0:c r="U5" s="2" t="inlineStr">
        <ns0:is>
          <ns0:t>无</ns0:t>
        </ns0:is>
      </ns0:c>
      <ns0:c r="V5" s="2" t="inlineStr">
        <ns0:is>
          <ns0:t>无</ns0:t>
        </ns0:is>
      </ns0:c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扩展情景</ns0:t>
        </ns0:is>
      </ns0:c>
    </ns0:row>
    <ns0:row r="6" ht="20" customHeight="1">
      <ns0:c r="A6" s="2"/>
      <ns0:c r="B6" s="2" t="inlineStr">
        <ns0:is>
          <ns0:t>离职补偿金</ns0:t>
        </ns0:is>
      </ns0:c>
      <ns0:c r="C6" s="3">
        <ns0:f>ROUND(C206*C326,2)</ns0:f>
        <ns0:v>418.40</ns0:v>
      </ns0:c>
      <ns0:c r="D6" s="3">
        <ns0:f>ROUND(D206*D326,2)</ns0:f>
        <ns0:v>217.67</ns0:v>
      </ns0:c>
      <ns0:c r="E6" s="3">
        <ns0:f>ROUND(E206*E326,2)</ns0:f>
        <ns0:v>215.29</ns0:v>
      </ns0:c>
      <ns0:c r="F6" s="3">
        <ns0:f>ROUND(F206*F326,2)</ns0:f>
        <ns0:v>192.64</ns0:v>
      </ns0:c>
      <ns0:c r="G6" s="3">
        <ns0:f>ROUND(G206*G326,2)</ns0:f>
        <ns0:v>242.00</ns0:v>
      </ns0:c>
      <ns0:c r="H6" s="3">
        <ns0:f>ROUND(H206*H326,2)</ns0:f>
        <ns0:v>156.42</ns0:v>
      </ns0:c>
      <ns0:c r="I6" s="3">
        <ns0:f>ROUND(I206*I326,2)</ns0:f>
        <ns0:v>284.84</ns0:v>
      </ns0:c>
      <ns0:c r="J6" s="3">
        <ns0:f>ROUND(J206*J326,2)</ns0:f>
        <ns0:v>153.17</ns0:v>
      </ns0:c>
      <ns0:c r="K6" s="3">
        <ns0:f>ROUND(K206*K326,2)</ns0:f>
        <ns0:v>355.36</ns0:v>
      </ns0:c>
      <ns0:c r="L6" s="3">
        <ns0:f>ROUND(L206*L326,2)</ns0:f>
        <ns0:v>237.30</ns0:v>
      </ns0:c>
      <ns0:c r="M6" s="3">
        <ns0:f>ROUND(M206*M326,2)</ns0:f>
        <ns0:v>158.51</ns0:v>
      </ns0:c>
      <ns0:c r="N6" s="3">
        <ns0:f>ROUND(N206*N326,2)</ns0:f>
        <ns0:v>155.29</ns0:v>
      </ns0:c>
      <ns0:c r="O6" s="3">
        <ns0:f>SUM(C6:N6)</ns0:f>
        <ns0:v>2786.89</ns0:v>
      </ns0:c>
      <ns0:c r="P6" s="2" t="inlineStr">
        <ns0:is>
          <ns0:t>EXP2.006</ns0:t>
        </ns0:is>
      </ns0:c>
      <ns0:c r="Q6" s="2" t="inlineStr">
        <ns0:is>
          <ns0:t>演示占位-v1</ns0:t>
        </ns0:is>
      </ns0:c>
      <ns0:c r="R6" s="2" t="inlineStr">
        <ns0:is>
          <ns0:t>模拟权责发生制</ns0:t>
        </ns0:is>
      </ns0:c>
      <ns0:c r="S6" s="2" t="inlineStr">
        <ns0:is>
          <ns0:t>2027-01</ns0:t>
        </ns0:is>
      </ns0:c>
      <ns0:c r="T6" s="2" t="inlineStr">
        <ns0:is>
          <ns0:t>2027-06</ns0:t>
        </ns0:is>
      </ns0:c>
      <ns0:c r="U6" s="2" t="inlineStr">
        <ns0:is>
          <ns0:t>无</ns0:t>
        </ns0:is>
      </ns0:c>
      <ns0:c r="V6" s="2" t="inlineStr">
        <ns0:is>
          <ns0:t>无</ns0:t>
        </ns0:is>
      </ns0:c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2"/>
      <ns0:c r="B7" s="2" t="inlineStr">
        <ns0:is>
          <ns0:t>五险一金</ns0:t>
        </ns0:is>
      </ns0:c>
      <ns0:c r="C7" s="3">
        <ns0:f>ROUND(C207*C327,2)</ns0:f>
        <ns0:v>101.91</ns0:v>
      </ns0:c>
      <ns0:c r="D7" s="3">
        <ns0:f>ROUND(D207*D327,2)</ns0:f>
        <ns0:v>445.33</ns0:v>
      </ns0:c>
      <ns0:c r="E7" s="3">
        <ns0:f>ROUND(E207*E327,2)</ns0:f>
        <ns0:v>77.99</ns0:v>
      </ns0:c>
      <ns0:c r="F7" s="3">
        <ns0:f>ROUND(F207*F327,2)</ns0:f>
        <ns0:v>295.28</ns0:v>
      </ns0:c>
      <ns0:c r="G7" s="3">
        <ns0:f>ROUND(G207*G327,2)</ns0:f>
        <ns0:v>130.99</ns0:v>
      </ns0:c>
      <ns0:c r="H7" s="3">
        <ns0:f>ROUND(H207*H327,2)</ns0:f>
        <ns0:v>242.23</ns0:v>
      </ns0:c>
      <ns0:c r="I7" s="3">
        <ns0:f>ROUND(I207*I327,2)</ns0:f>
        <ns0:v>74.60</ns0:v>
      </ns0:c>
      <ns0:c r="J7" s="3">
        <ns0:f>ROUND(J207*J327,2)</ns0:f>
        <ns0:v>268.17</ns0:v>
      </ns0:c>
      <ns0:c r="K7" s="3">
        <ns0:f>ROUND(K207*K327,2)</ns0:f>
        <ns0:v>434.62</ns0:v>
      </ns0:c>
      <ns0:c r="L7" s="3">
        <ns0:f>ROUND(L207*L327,2)</ns0:f>
        <ns0:v>89.47</ns0:v>
      </ns0:c>
      <ns0:c r="M7" s="3">
        <ns0:f>ROUND(M207*M327,2)</ns0:f>
        <ns0:v>312.83</ns0:v>
      </ns0:c>
      <ns0:c r="N7" s="3">
        <ns0:f>ROUND(N207*N327,2)</ns0:f>
        <ns0:v>108.53</ns0:v>
      </ns0:c>
      <ns0:c r="O7" s="3">
        <ns0:f>SUM(C7:N7)</ns0:f>
        <ns0:v>2581.95</ns0:v>
      </ns0:c>
      <ns0:c r="P7" s="2" t="inlineStr">
        <ns0:is>
          <ns0:t>EXP2.007</ns0:t>
        </ns0:is>
      </ns0:c>
      <ns0:c r="Q7" s="2" t="inlineStr">
        <ns0:is>
          <ns0:t>演示占位-v1</ns0:t>
        </ns0:is>
      </ns0:c>
      <ns0:c r="R7" s="2" t="inlineStr">
        <ns0:is>
          <ns0:t>模拟权责发生制</ns0:t>
        </ns0:is>
      </ns0:c>
      <ns0:c r="S7" s="2" t="inlineStr">
        <ns0:is>
          <ns0:t>2027-01</ns0:t>
        </ns0:is>
      </ns0:c>
      <ns0:c r="T7" s="2" t="inlineStr">
        <ns0:is>
          <ns0:t>2027-06</ns0:t>
        </ns0:is>
      </ns0:c>
      <ns0:c r="U7" s="2" t="inlineStr">
        <ns0:is>
          <ns0:t>无</ns0:t>
        </ns0:is>
      </ns0:c>
      <ns0:c r="V7" s="2" t="inlineStr">
        <ns0:is>
          <ns0:t>无</ns0:t>
        </ns0:is>
      </ns0:c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季度</ns0:t>
        </ns0:is>
      </ns0:c>
    </ns0:row>
    <ns0:row r="8" ht="20" customHeight="1">
      <ns0:c r="A8" s="2"/>
      <ns0:c r="B8" s="2" t="inlineStr">
        <ns0:is>
          <ns0:t>福利费</ns0:t>
        </ns0:is>
      </ns0:c>
      <ns0:c r="C8" s="3">
        <ns0:f>ROUND(C208*C328,2)</ns0:f>
        <ns0:v>358.40</ns0:v>
      </ns0:c>
      <ns0:c r="D8" s="3">
        <ns0:f>ROUND(D208*D328,2)</ns0:f>
        <ns0:v>261.41</ns0:v>
      </ns0:c>
      <ns0:c r="E8" s="3">
        <ns0:f>ROUND(E208*E328,2)</ns0:f>
        <ns0:v>308.25</ns0:v>
      </ns0:c>
      <ns0:c r="F8" s="3">
        <ns0:f>ROUND(F208*F328,2)</ns0:f>
        <ns0:v>67.39</ns0:v>
      </ns0:c>
      <ns0:c r="G8" s="3">
        <ns0:f>ROUND(G208*G328,2)</ns0:f>
        <ns0:v>249.15</ns0:v>
      </ns0:c>
      <ns0:c r="H8" s="3">
        <ns0:f>ROUND(H208*H328,2)</ns0:f>
        <ns0:v>56.85</ns0:v>
      </ns0:c>
      <ns0:c r="I8" s="3">
        <ns0:f>ROUND(I208*I328,2)</ns0:f>
        <ns0:v>448.94</ns0:v>
      </ns0:c>
      <ns0:c r="J8" s="3">
        <ns0:f>ROUND(J208*J328,2)</ns0:f>
        <ns0:v>277.50</ns0:v>
      </ns0:c>
      <ns0:c r="K8" s="3">
        <ns0:f>ROUND(K208*K328,2)</ns0:f>
        <ns0:v>109.82</ns0:v>
      </ns0:c>
      <ns0:c r="L8" s="3">
        <ns0:f>ROUND(L208*L328,2)</ns0:f>
        <ns0:v>542.04</ns0:v>
      </ns0:c>
      <ns0:c r="M8" s="3">
        <ns0:f>ROUND(M208*M328,2)</ns0:f>
        <ns0:v>257.94</ns0:v>
      </ns0:c>
      <ns0:c r="N8" s="3">
        <ns0:f>ROUND(N208*N328,2)</ns0:f>
        <ns0:v>317.46</ns0:v>
      </ns0:c>
      <ns0:c r="O8" s="3">
        <ns0:f>SUM(C8:N8)</ns0:f>
        <ns0:v>3255.15</ns0:v>
      </ns0:c>
      <ns0:c r="P8" s="2" t="inlineStr">
        <ns0:is>
          <ns0:t>EXP2.008</ns0:t>
        </ns0:is>
      </ns0:c>
      <ns0:c r="Q8" s="2" t="inlineStr">
        <ns0:is>
          <ns0:t>演示占位-v1</ns0:t>
        </ns0:is>
      </ns0:c>
      <ns0:c r="R8" s="2" t="inlineStr">
        <ns0:is>
          <ns0:t>模拟权责发生制</ns0:t>
        </ns0:is>
      </ns0:c>
      <ns0:c r="S8" s="2" t="inlineStr">
        <ns0:is>
          <ns0:t>2027-01</ns0:t>
        </ns0:is>
      </ns0:c>
      <ns0:c r="T8" s="2" t="inlineStr">
        <ns0:is>
          <ns0:t>2027-06</ns0:t>
        </ns0:is>
      </ns0:c>
      <ns0:c r="U8" s="2" t="inlineStr">
        <ns0:is>
          <ns0:t>无</ns0:t>
        </ns0:is>
      </ns0:c>
      <ns0:c r="V8" s="2" t="inlineStr">
        <ns0:is>
          <ns0:t>无</ns0:t>
        </ns0:is>
      </ns0:c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2"/>
      <ns0:c r="B9" s="2" t="inlineStr">
        <ns0:is>
          <ns0:t>招聘费</ns0:t>
        </ns0:is>
      </ns0:c>
      <ns0:c r="C9" s="3">
        <ns0:f>ROUND(C209*C329,2)</ns0:f>
        <ns0:v>145.66</ns0:v>
      </ns0:c>
      <ns0:c r="D9" s="3">
        <ns0:f>ROUND(D209*D329,2)</ns0:f>
        <ns0:v>173.57</ns0:v>
      </ns0:c>
      <ns0:c r="E9" s="3">
        <ns0:f>ROUND(E209*E329,2)</ns0:f>
        <ns0:v>60.74</ns0:v>
      </ns0:c>
      <ns0:c r="F9" s="3">
        <ns0:f>ROUND(F209*F329,2)</ns0:f>
        <ns0:v>126.48</ns0:v>
      </ns0:c>
      <ns0:c r="G9" s="3">
        <ns0:f>ROUND(G209*G329,2)</ns0:f>
        <ns0:v>371.49</ns0:v>
      </ns0:c>
      <ns0:c r="H9" s="3">
        <ns0:f>ROUND(H209*H329,2)</ns0:f>
        <ns0:v>485.86</ns0:v>
      </ns0:c>
      <ns0:c r="I9" s="3">
        <ns0:f>ROUND(I209*I329,2)</ns0:f>
        <ns0:v>286.96</ns0:v>
      </ns0:c>
      <ns0:c r="J9" s="3">
        <ns0:f>ROUND(J209*J329,2)</ns0:f>
        <ns0:v>121.68</ns0:v>
      </ns0:c>
      <ns0:c r="K9" s="3">
        <ns0:f>ROUND(K209*K329,2)</ns0:f>
        <ns0:v>51.78</ns0:v>
      </ns0:c>
      <ns0:c r="L9" s="3">
        <ns0:f>ROUND(L209*L329,2)</ns0:f>
        <ns0:v>134.51</ns0:v>
      </ns0:c>
      <ns0:c r="M9" s="3">
        <ns0:f>ROUND(M209*M329,2)</ns0:f>
        <ns0:v>180.48</ns0:v>
      </ns0:c>
      <ns0:c r="N9" s="3">
        <ns0:f>ROUND(N209*N329,2)</ns0:f>
        <ns0:v>183.97</ns0:v>
      </ns0:c>
      <ns0:c r="O9" s="3">
        <ns0:f>SUM(C9:N9)</ns0:f>
        <ns0:v>2323.18</ns0:v>
      </ns0:c>
      <ns0:c r="P9" s="2" t="inlineStr">
        <ns0:is>
          <ns0:t>EXP2.009</ns0:t>
        </ns0:is>
      </ns0:c>
      <ns0:c r="Q9" s="2" t="inlineStr">
        <ns0:is>
          <ns0:t>演示占位-v1</ns0:t>
        </ns0:is>
      </ns0:c>
      <ns0:c r="R9" s="2" t="inlineStr">
        <ns0:is>
          <ns0:t>模拟权责发生制</ns0:t>
        </ns0:is>
      </ns0:c>
      <ns0:c r="S9" s="2" t="inlineStr">
        <ns0:is>
          <ns0:t>2027-01</ns0:t>
        </ns0:is>
      </ns0:c>
      <ns0:c r="T9" s="2" t="inlineStr">
        <ns0:is>
          <ns0:t>2027-06</ns0:t>
        </ns0:is>
      </ns0:c>
      <ns0:c r="U9" s="2" t="inlineStr">
        <ns0:is>
          <ns0:t>无</ns0:t>
        </ns0:is>
      </ns0:c>
      <ns0:c r="V9" s="2" t="inlineStr">
        <ns0:is>
          <ns0:t>无</ns0:t>
        </ns0:is>
      </ns0:c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2"/>
      <ns0:c r="B10" s="2" t="inlineStr">
        <ns0:is>
          <ns0:t>培训费</ns0:t>
        </ns0:is>
      </ns0:c>
      <ns0:c r="C10" s="3">
        <ns0:f>ROUND(C210*C330,2)</ns0:f>
        <ns0:v>149.33</ns0:v>
      </ns0:c>
      <ns0:c r="D10" s="3">
        <ns0:f>ROUND(D210*D330,2)</ns0:f>
        <ns0:v>178.97</ns0:v>
      </ns0:c>
      <ns0:c r="E10" s="3">
        <ns0:f>ROUND(E210*E330,2)</ns0:f>
        <ns0:v>247.27</ns0:v>
      </ns0:c>
      <ns0:c r="F10" s="3">
        <ns0:f>ROUND(F210*F330,2)</ns0:f>
        <ns0:v>120.81</ns0:v>
      </ns0:c>
      <ns0:c r="G10" s="3">
        <ns0:f>ROUND(G210*G330,2)</ns0:f>
        <ns0:v>344.33</ns0:v>
      </ns0:c>
      <ns0:c r="H10" s="3">
        <ns0:f>ROUND(H210*H330,2)</ns0:f>
        <ns0:v>192.03</ns0:v>
      </ns0:c>
      <ns0:c r="I10" s="3">
        <ns0:f>ROUND(I210*I330,2)</ns0:f>
        <ns0:v>231.07</ns0:v>
      </ns0:c>
      <ns0:c r="J10" s="3">
        <ns0:f>ROUND(J210*J330,2)</ns0:f>
        <ns0:v>161.95</ns0:v>
      </ns0:c>
      <ns0:c r="K10" s="3">
        <ns0:f>ROUND(K210*K330,2)</ns0:f>
        <ns0:v>295.79</ns0:v>
      </ns0:c>
      <ns0:c r="L10" s="3">
        <ns0:f>ROUND(L210*L330,2)</ns0:f>
        <ns0:v>255.39</ns0:v>
      </ns0:c>
      <ns0:c r="M10" s="3">
        <ns0:f>ROUND(M210*M330,2)</ns0:f>
        <ns0:v>314.67</ns0:v>
      </ns0:c>
      <ns0:c r="N10" s="3">
        <ns0:f>ROUND(N210*N330,2)</ns0:f>
        <ns0:v>396.82</ns0:v>
      </ns0:c>
      <ns0:c r="O10" s="3">
        <ns0:f>SUM(C10:N10)</ns0:f>
        <ns0:v>2888.43</ns0:v>
      </ns0:c>
      <ns0:c r="P10" s="2" t="inlineStr">
        <ns0:is>
          <ns0:t>EXP2.010</ns0:t>
        </ns0:is>
      </ns0:c>
      <ns0:c r="Q10" s="2" t="inlineStr">
        <ns0:is>
          <ns0:t>演示占位-v1</ns0:t>
        </ns0:is>
      </ns0:c>
      <ns0:c r="R10" s="2" t="inlineStr">
        <ns0:is>
          <ns0:t>模拟权责发生制</ns0:t>
        </ns0:is>
      </ns0:c>
      <ns0:c r="S10" s="2" t="inlineStr">
        <ns0:is>
          <ns0:t>2027-01</ns0:t>
        </ns0:is>
      </ns0:c>
      <ns0:c r="T10" s="2" t="inlineStr">
        <ns0:is>
          <ns0:t>2027-06</ns0:t>
        </ns0:is>
      </ns0:c>
      <ns0:c r="U10" s="2" t="inlineStr">
        <ns0:is>
          <ns0:t>无</ns0:t>
        </ns0:is>
      </ns0:c>
      <ns0:c r="V10" s="2" t="inlineStr">
        <ns0:is>
          <ns0:t>无</ns0:t>
        </ns0:is>
      </ns0:c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2"/>
      <ns0:c r="B11" s="2" t="inlineStr">
        <ns0:is>
          <ns0:t>房租</ns0:t>
        </ns0:is>
      </ns0:c>
      <ns0:c r="C11" s="3">
        <ns0:f>ROUND(C211*C331,2)</ns0:f>
        <ns0:v>223.51</ns0:v>
      </ns0:c>
      <ns0:c r="D11" s="3">
        <ns0:f>ROUND(D211*D331,2)</ns0:f>
        <ns0:v>200.32</ns0:v>
      </ns0:c>
      <ns0:c r="E11" s="3">
        <ns0:f>ROUND(E211*E331,2)</ns0:f>
        <ns0:v>193.14</ns0:v>
      </ns0:c>
      <ns0:c r="F11" s="3">
        <ns0:f>ROUND(F211*F331,2)</ns0:f>
        <ns0:v>204.77</ns0:v>
      </ns0:c>
      <ns0:c r="G11" s="3">
        <ns0:f>ROUND(G211*G331,2)</ns0:f>
        <ns0:v>205.51</ns0:v>
      </ns0:c>
      <ns0:c r="H11" s="3">
        <ns0:f>ROUND(H211*H331,2)</ns0:f>
        <ns0:v>115.31</ns0:v>
      </ns0:c>
      <ns0:c r="I11" s="3">
        <ns0:f>ROUND(I211*I331,2)</ns0:f>
        <ns0:v>151.16</ns0:v>
      </ns0:c>
      <ns0:c r="J11" s="3">
        <ns0:f>ROUND(J211*J331,2)</ns0:f>
        <ns0:v>260.50</ns0:v>
      </ns0:c>
      <ns0:c r="K11" s="3">
        <ns0:f>ROUND(K211*K331,2)</ns0:f>
        <ns0:v>178.12</ns0:v>
      </ns0:c>
      <ns0:c r="L11" s="3">
        <ns0:f>ROUND(L211*L331,2)</ns0:f>
        <ns0:v>249.96</ns0:v>
      </ns0:c>
      <ns0:c r="M11" s="3">
        <ns0:f>ROUND(M211*M331,2)</ns0:f>
        <ns0:v>343.29</ns0:v>
      </ns0:c>
      <ns0:c r="N11" s="3">
        <ns0:f>ROUND(N211*N331,2)</ns0:f>
        <ns0:v>372.57</ns0:v>
      </ns0:c>
      <ns0:c r="O11" s="3">
        <ns0:f>SUM(C11:N11)</ns0:f>
        <ns0:v>2698.16</ns0:v>
      </ns0:c>
      <ns0:c r="P11" s="2" t="inlineStr">
        <ns0:is>
          <ns0:t>EXP2.011</ns0:t>
        </ns0:is>
      </ns0:c>
      <ns0:c r="Q11" s="2" t="inlineStr">
        <ns0:is>
          <ns0:t>演示占位-v1</ns0:t>
        </ns0:is>
      </ns0:c>
      <ns0:c r="R11" s="2" t="inlineStr">
        <ns0:is>
          <ns0:t>模拟权责发生制</ns0:t>
        </ns0:is>
      </ns0:c>
      <ns0:c r="S11" s="2" t="inlineStr">
        <ns0:is>
          <ns0:t>2027-01</ns0:t>
        </ns0:is>
      </ns0:c>
      <ns0:c r="T11" s="2" t="inlineStr">
        <ns0:is>
          <ns0:t>2027-06</ns0:t>
        </ns0:is>
      </ns0:c>
      <ns0:c r="U11" s="2" t="inlineStr">
        <ns0:is>
          <ns0:t>无</ns0:t>
        </ns0:is>
      </ns0:c>
      <ns0:c r="V11" s="2" t="inlineStr">
        <ns0:is>
          <ns0:t>无</ns0:t>
        </ns0:is>
      </ns0:c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2"/>
      <ns0:c r="B12" s="2" t="inlineStr">
        <ns0:is>
          <ns0:t>物业管理费</ns0:t>
        </ns0:is>
      </ns0:c>
      <ns0:c r="C12" s="3">
        <ns0:f>ROUND(C212*C332,2)</ns0:f>
        <ns0:v>301.86</ns0:v>
      </ns0:c>
      <ns0:c r="D12" s="3">
        <ns0:f>ROUND(D212*D332,2)</ns0:f>
        <ns0:v>32.89</ns0:v>
      </ns0:c>
      <ns0:c r="E12" s="3">
        <ns0:f>ROUND(E212*E332,2)</ns0:f>
        <ns0:v>107.79</ns0:v>
      </ns0:c>
      <ns0:c r="F12" s="3">
        <ns0:f>ROUND(F212*F332,2)</ns0:f>
        <ns0:v>117.07</ns0:v>
      </ns0:c>
      <ns0:c r="G12" s="3">
        <ns0:f>ROUND(G212*G332,2)</ns0:f>
        <ns0:v>258.79</ns0:v>
      </ns0:c>
      <ns0:c r="H12" s="3">
        <ns0:f>ROUND(H212*H332,2)</ns0:f>
        <ns0:v>249.16</ns0:v>
      </ns0:c>
      <ns0:c r="I12" s="3">
        <ns0:f>ROUND(I212*I332,2)</ns0:f>
        <ns0:v>247.35</ns0:v>
      </ns0:c>
      <ns0:c r="J12" s="3">
        <ns0:f>ROUND(J212*J332,2)</ns0:f>
        <ns0:v>144.81</ns0:v>
      </ns0:c>
      <ns0:c r="K12" s="3">
        <ns0:f>ROUND(K212*K332,2)</ns0:f>
        <ns0:v>193.38</ns0:v>
      </ns0:c>
      <ns0:c r="L12" s="3">
        <ns0:f>ROUND(L212*L332,2)</ns0:f>
        <ns0:v>362.01</ns0:v>
      </ns0:c>
      <ns0:c r="M12" s="3">
        <ns0:f>ROUND(M212*M332,2)</ns0:f>
        <ns0:v>145.08</ns0:v>
      </ns0:c>
      <ns0:c r="N12" s="3">
        <ns0:f>ROUND(N212*N332,2)</ns0:f>
        <ns0:v>95.65</ns0:v>
      </ns0:c>
      <ns0:c r="O12" s="3">
        <ns0:f>SUM(C12:N12)</ns0:f>
        <ns0:v>2255.84</ns0:v>
      </ns0:c>
      <ns0:c r="P12" s="2" t="inlineStr">
        <ns0:is>
          <ns0:t>EXP2.012</ns0:t>
        </ns0:is>
      </ns0:c>
      <ns0:c r="Q12" s="2" t="inlineStr">
        <ns0:is>
          <ns0:t>演示占位-v1</ns0:t>
        </ns0:is>
      </ns0:c>
      <ns0:c r="R12" s="2" t="inlineStr">
        <ns0:is>
          <ns0:t>模拟权责发生制</ns0:t>
        </ns0:is>
      </ns0:c>
      <ns0:c r="S12" s="2" t="inlineStr">
        <ns0:is>
          <ns0:t>2027-01</ns0:t>
        </ns0:is>
      </ns0:c>
      <ns0:c r="T12" s="2" t="inlineStr">
        <ns0:is>
          <ns0:t>2027-06</ns0:t>
        </ns0:is>
      </ns0:c>
      <ns0:c r="U12" s="2" t="inlineStr">
        <ns0:is>
          <ns0:t>无</ns0:t>
        </ns0:is>
      </ns0:c>
      <ns0:c r="V12" s="2" t="inlineStr">
        <ns0:is>
          <ns0:t>无</ns0:t>
        </ns0:is>
      </ns0:c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2"/>
      <ns0:c r="B13" s="2" t="inlineStr">
        <ns0:is>
          <ns0:t>汽车费用</ns0:t>
        </ns0:is>
      </ns0:c>
      <ns0:c r="C13" s="3">
        <ns0:f>ROUND(C213*C333,2)</ns0:f>
        <ns0:v>302.26</ns0:v>
      </ns0:c>
      <ns0:c r="D13" s="3">
        <ns0:f>ROUND(D213*D333,2)</ns0:f>
        <ns0:v>110.33</ns0:v>
      </ns0:c>
      <ns0:c r="E13" s="3">
        <ns0:f>ROUND(E213*E333,2)</ns0:f>
        <ns0:v>189.06</ns0:v>
      </ns0:c>
      <ns0:c r="F13" s="3">
        <ns0:f>ROUND(F213*F333,2)</ns0:f>
        <ns0:v>409.39</ns0:v>
      </ns0:c>
      <ns0:c r="G13" s="3">
        <ns0:f>ROUND(G213*G333,2)</ns0:f>
        <ns0:v>152.84</ns0:v>
      </ns0:c>
      <ns0:c r="H13" s="3">
        <ns0:f>ROUND(H213*H333,2)</ns0:f>
        <ns0:v>318.27</ns0:v>
      </ns0:c>
      <ns0:c r="I13" s="3">
        <ns0:f>ROUND(I213*I333,2)</ns0:f>
        <ns0:v>123.09</ns0:v>
      </ns0:c>
      <ns0:c r="J13" s="3">
        <ns0:f>ROUND(J213*J333,2)</ns0:f>
        <ns0:v>69.41</ns0:v>
      </ns0:c>
      <ns0:c r="K13" s="3">
        <ns0:f>ROUND(K213*K333,2)</ns0:f>
        <ns0:v>341.91</ns0:v>
      </ns0:c>
      <ns0:c r="L13" s="3">
        <ns0:f>ROUND(L213*L333,2)</ns0:f>
        <ns0:v>132.43</ns0:v>
      </ns0:c>
      <ns0:c r="M13" s="3">
        <ns0:f>ROUND(M213*M333,2)</ns0:f>
        <ns0:v>387.98</ns0:v>
      </ns0:c>
      <ns0:c r="N13" s="3">
        <ns0:f>ROUND(N213*N333,2)</ns0:f>
        <ns0:v>383.73</ns0:v>
      </ns0:c>
      <ns0:c r="O13" s="3">
        <ns0:f>SUM(C13:N13)</ns0:f>
        <ns0:v>2920.70</ns0:v>
      </ns0:c>
      <ns0:c r="P13" s="2" t="inlineStr">
        <ns0:is>
          <ns0:t>EXP2.013</ns0:t>
        </ns0:is>
      </ns0:c>
      <ns0:c r="Q13" s="2" t="inlineStr">
        <ns0:is>
          <ns0:t>演示占位-v1</ns0:t>
        </ns0:is>
      </ns0:c>
      <ns0:c r="R13" s="2" t="inlineStr">
        <ns0:is>
          <ns0:t>模拟权责发生制</ns0:t>
        </ns0:is>
      </ns0:c>
      <ns0:c r="S13" s="2" t="inlineStr">
        <ns0:is>
          <ns0:t>2027-01</ns0:t>
        </ns0:is>
      </ns0:c>
      <ns0:c r="T13" s="2" t="inlineStr">
        <ns0:is>
          <ns0:t>2027-06</ns0:t>
        </ns0:is>
      </ns0:c>
      <ns0:c r="U13" s="2" t="inlineStr">
        <ns0:is>
          <ns0:t>无</ns0:t>
        </ns0:is>
      </ns0:c>
      <ns0:c r="V13" s="2" t="inlineStr">
        <ns0:is>
          <ns0:t>无</ns0:t>
        </ns0:is>
      </ns0:c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2"/>
      <ns0:c r="B14" s="2" t="inlineStr">
        <ns0:is>
          <ns0:t>办公费</ns0:t>
        </ns0:is>
      </ns0:c>
      <ns0:c r="C14" s="3">
        <ns0:f>ROUND(C214*C334,2)</ns0:f>
        <ns0:v>120.78</ns0:v>
      </ns0:c>
      <ns0:c r="D14" s="3">
        <ns0:f>ROUND(D214*D334,2)</ns0:f>
        <ns0:v>168.16</ns0:v>
      </ns0:c>
      <ns0:c r="E14" s="3">
        <ns0:f>ROUND(E214*E334,2)</ns0:f>
        <ns0:v>200.73</ns0:v>
      </ns0:c>
      <ns0:c r="F14" s="3">
        <ns0:f>ROUND(F214*F334,2)</ns0:f>
        <ns0:v>467.23</ns0:v>
      </ns0:c>
      <ns0:c r="G14" s="3">
        <ns0:f>ROUND(G214*G334,2)</ns0:f>
        <ns0:v>115.17</ns0:v>
      </ns0:c>
      <ns0:c r="H14" s="3">
        <ns0:f>ROUND(H214*H334,2)</ns0:f>
        <ns0:v>87.74</ns0:v>
      </ns0:c>
      <ns0:c r="I14" s="3">
        <ns0:f>ROUND(I214*I334,2)</ns0:f>
        <ns0:v>488.19</ns0:v>
      </ns0:c>
      <ns0:c r="J14" s="3">
        <ns0:f>ROUND(J214*J334,2)</ns0:f>
        <ns0:v>265.38</ns0:v>
      </ns0:c>
      <ns0:c r="K14" s="3">
        <ns0:f>ROUND(K214*K334,2)</ns0:f>
        <ns0:v>698.13</ns0:v>
      </ns0:c>
      <ns0:c r="L14" s="3">
        <ns0:f>ROUND(L214*L334,2)</ns0:f>
        <ns0:v>295.53</ns0:v>
      </ns0:c>
      <ns0:c r="M14" s="3">
        <ns0:f>ROUND(M214*M334,2)</ns0:f>
        <ns0:v>464.54</ns0:v>
      </ns0:c>
      <ns0:c r="N14" s="3">
        <ns0:f>ROUND(N214*N334,2)</ns0:f>
        <ns0:v>297.54</ns0:v>
      </ns0:c>
      <ns0:c r="O14" s="3">
        <ns0:f>SUM(C14:N14)</ns0:f>
        <ns0:v>3669.12</ns0:v>
      </ns0:c>
      <ns0:c r="P14" s="2" t="inlineStr">
        <ns0:is>
          <ns0:t>EXP2.014</ns0:t>
        </ns0:is>
      </ns0:c>
      <ns0:c r="Q14" s="2" t="inlineStr">
        <ns0:is>
          <ns0:t>演示占位-v1</ns0:t>
        </ns0:is>
      </ns0:c>
      <ns0:c r="R14" s="2" t="inlineStr">
        <ns0:is>
          <ns0:t>模拟权责发生制</ns0:t>
        </ns0:is>
      </ns0:c>
      <ns0:c r="S14" s="2" t="inlineStr">
        <ns0:is>
          <ns0:t>2027-01</ns0:t>
        </ns0:is>
      </ns0:c>
      <ns0:c r="T14" s="2" t="inlineStr">
        <ns0:is>
          <ns0:t>2027-06</ns0:t>
        </ns0:is>
      </ns0:c>
      <ns0:c r="U14" s="2" t="inlineStr">
        <ns0:is>
          <ns0:t>无</ns0:t>
        </ns0:is>
      </ns0:c>
      <ns0:c r="V14" s="2" t="inlineStr">
        <ns0:is>
          <ns0:t>无</ns0:t>
        </ns0:is>
      </ns0:c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2"/>
      <ns0:c r="B15" s="2" t="inlineStr">
        <ns0:is>
          <ns0:t>办公用品</ns0:t>
        </ns0:is>
      </ns0:c>
      <ns0:c r="C15" s="3">
        <ns0:f>ROUND(C215*C335,2)</ns0:f>
        <ns0:v>85.51</ns0:v>
      </ns0:c>
      <ns0:c r="D15" s="3">
        <ns0:f>ROUND(D215*D335,2)</ns0:f>
        <ns0:v>417.58</ns0:v>
      </ns0:c>
      <ns0:c r="E15" s="3">
        <ns0:f>ROUND(E215*E335,2)</ns0:f>
        <ns0:v>196.73</ns0:v>
      </ns0:c>
      <ns0:c r="F15" s="3">
        <ns0:f>ROUND(F215*F335,2)</ns0:f>
        <ns0:v>233.50</ns0:v>
      </ns0:c>
      <ns0:c r="G15" s="3">
        <ns0:f>ROUND(G215*G335,2)</ns0:f>
        <ns0:v>169.77</ns0:v>
      </ns0:c>
      <ns0:c r="H15" s="3">
        <ns0:f>ROUND(H215*H335,2)</ns0:f>
        <ns0:v>306.81</ns0:v>
      </ns0:c>
      <ns0:c r="I15" s="3">
        <ns0:f>ROUND(I215*I335,2)</ns0:f>
        <ns0:v>298.28</ns0:v>
      </ns0:c>
      <ns0:c r="J15" s="3">
        <ns0:f>ROUND(J215*J335,2)</ns0:f>
        <ns0:v>138.89</ns0:v>
      </ns0:c>
      <ns0:c r="K15" s="3">
        <ns0:f>ROUND(K215*K335,2)</ns0:f>
        <ns0:v>291.96</ns0:v>
      </ns0:c>
      <ns0:c r="L15" s="3">
        <ns0:f>ROUND(L215*L335,2)</ns0:f>
        <ns0:v>279.04</ns0:v>
      </ns0:c>
      <ns0:c r="M15" s="3">
        <ns0:f>ROUND(M215*M335,2)</ns0:f>
        <ns0:v>334.79</ns0:v>
      </ns0:c>
      <ns0:c r="N15" s="3">
        <ns0:f>ROUND(N215*N335,2)</ns0:f>
        <ns0:v>246.42</ns0:v>
      </ns0:c>
      <ns0:c r="O15" s="3">
        <ns0:f>SUM(C15:N15)</ns0:f>
        <ns0:v>2999.28</ns0:v>
      </ns0:c>
      <ns0:c r="P15" s="2" t="inlineStr">
        <ns0:is>
          <ns0:t>EXP2.015</ns0:t>
        </ns0:is>
      </ns0:c>
      <ns0:c r="Q15" s="2" t="inlineStr">
        <ns0:is>
          <ns0:t>演示占位-v1</ns0:t>
        </ns0:is>
      </ns0:c>
      <ns0:c r="R15" s="2" t="inlineStr">
        <ns0:is>
          <ns0:t>模拟权责发生制</ns0:t>
        </ns0:is>
      </ns0:c>
      <ns0:c r="S15" s="2" t="inlineStr">
        <ns0:is>
          <ns0:t>2027-01</ns0:t>
        </ns0:is>
      </ns0:c>
      <ns0:c r="T15" s="2" t="inlineStr">
        <ns0:is>
          <ns0:t>2027-06</ns0:t>
        </ns0:is>
      </ns0:c>
      <ns0:c r="U15" s="2" t="inlineStr">
        <ns0:is>
          <ns0:t>无</ns0:t>
        </ns0:is>
      </ns0:c>
      <ns0:c r="V15" s="2" t="inlineStr">
        <ns0:is>
          <ns0:t>无</ns0:t>
        </ns0:is>
      </ns0:c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2"/>
      <ns0:c r="B16" s="2" t="inlineStr">
        <ns0:is>
          <ns0:t>水电煤</ns0:t>
        </ns0:is>
      </ns0:c>
      <ns0:c r="C16" s="3">
        <ns0:f>ROUND(C216*C336,2)</ns0:f>
        <ns0:v>148.69</ns0:v>
      </ns0:c>
      <ns0:c r="D16" s="3">
        <ns0:f>ROUND(D216*D336,2)</ns0:f>
        <ns0:v>101.39</ns0:v>
      </ns0:c>
      <ns0:c r="E16" s="3">
        <ns0:f>ROUND(E216*E336,2)</ns0:f>
        <ns0:v>202.20</ns0:v>
      </ns0:c>
      <ns0:c r="F16" s="3">
        <ns0:f>ROUND(F216*F336,2)</ns0:f>
        <ns0:v>350.34</ns0:v>
      </ns0:c>
      <ns0:c r="G16" s="3">
        <ns0:f>ROUND(G216*G336,2)</ns0:f>
        <ns0:v>130.00</ns0:v>
      </ns0:c>
      <ns0:c r="H16" s="3">
        <ns0:f>ROUND(H216*H336,2)</ns0:f>
        <ns0:v>518.62</ns0:v>
      </ns0:c>
      <ns0:c r="I16" s="3">
        <ns0:f>ROUND(I216*I336,2)</ns0:f>
        <ns0:v>176.67</ns0:v>
      </ns0:c>
      <ns0:c r="J16" s="3">
        <ns0:f>ROUND(J216*J336,2)</ns0:f>
        <ns0:v>195.21</ns0:v>
      </ns0:c>
      <ns0:c r="K16" s="3">
        <ns0:f>ROUND(K216*K336,2)</ns0:f>
        <ns0:v>125.83</ns0:v>
      </ns0:c>
      <ns0:c r="L16" s="3">
        <ns0:f>ROUND(L216*L336,2)</ns0:f>
        <ns0:v>410.88</ns0:v>
      </ns0:c>
      <ns0:c r="M16" s="3">
        <ns0:f>ROUND(M216*M336,2)</ns0:f>
        <ns0:v>87.64</ns0:v>
      </ns0:c>
      <ns0:c r="N16" s="3">
        <ns0:f>ROUND(N216*N336,2)</ns0:f>
        <ns0:v>569.72</ns0:v>
      </ns0:c>
      <ns0:c r="O16" s="3">
        <ns0:f>SUM(C16:N16)</ns0:f>
        <ns0:v>3017.19</ns0:v>
      </ns0:c>
      <ns0:c r="P16" s="2" t="inlineStr">
        <ns0:is>
          <ns0:t>EXP2.016</ns0:t>
        </ns0:is>
      </ns0:c>
      <ns0:c r="Q16" s="2" t="inlineStr">
        <ns0:is>
          <ns0:t>演示占位-v1</ns0:t>
        </ns0:is>
      </ns0:c>
      <ns0:c r="R16" s="2" t="inlineStr">
        <ns0:is>
          <ns0:t>模拟权责发生制</ns0:t>
        </ns0:is>
      </ns0:c>
      <ns0:c r="S16" s="2" t="inlineStr">
        <ns0:is>
          <ns0:t>2027-01</ns0:t>
        </ns0:is>
      </ns0:c>
      <ns0:c r="T16" s="2" t="inlineStr">
        <ns0:is>
          <ns0:t>2027-06</ns0:t>
        </ns0:is>
      </ns0:c>
      <ns0:c r="U16" s="2" t="inlineStr">
        <ns0:is>
          <ns0:t>无</ns0:t>
        </ns0:is>
      </ns0:c>
      <ns0:c r="V16" s="2" t="inlineStr">
        <ns0:is>
          <ns0:t>无</ns0:t>
        </ns0:is>
      </ns0:c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实时经营</ns0:t>
        </ns0:is>
      </ns0:c>
    </ns0:row>
    <ns0:row r="17" ht="20" customHeight="1">
      <ns0:c r="A17" s="2"/>
      <ns0:c r="B17" s="2" t="inlineStr">
        <ns0:is>
          <ns0:t>咨询服务费</ns0:t>
        </ns0:is>
      </ns0:c>
      <ns0:c r="C17" s="3">
        <ns0:f>ROUND(C217*C337,2)</ns0:f>
        <ns0:v>278.11</ns0:v>
      </ns0:c>
      <ns0:c r="D17" s="3">
        <ns0:f>ROUND(D217*D337,2)</ns0:f>
        <ns0:v>175.51</ns0:v>
      </ns0:c>
      <ns0:c r="E17" s="3">
        <ns0:f>ROUND(E217*E337,2)</ns0:f>
        <ns0:v>233.05</ns0:v>
      </ns0:c>
      <ns0:c r="F17" s="3">
        <ns0:f>ROUND(F217*F337,2)</ns0:f>
        <ns0:v>325.51</ns0:v>
      </ns0:c>
      <ns0:c r="G17" s="3">
        <ns0:f>ROUND(G217*G337,2)</ns0:f>
        <ns0:v>218.90</ns0:v>
      </ns0:c>
      <ns0:c r="H17" s="3">
        <ns0:f>ROUND(H217*H337,2)</ns0:f>
        <ns0:v>203.21</ns0:v>
      </ns0:c>
      <ns0:c r="I17" s="3">
        <ns0:f>ROUND(I217*I337,2)</ns0:f>
        <ns0:v>285.52</ns0:v>
      </ns0:c>
      <ns0:c r="J17" s="3">
        <ns0:f>ROUND(J217*J337,2)</ns0:f>
        <ns0:v>131.74</ns0:v>
      </ns0:c>
      <ns0:c r="K17" s="3">
        <ns0:f>ROUND(K217*K337,2)</ns0:f>
        <ns0:v>187.38</ns0:v>
      </ns0:c>
      <ns0:c r="L17" s="3">
        <ns0:f>ROUND(L217*L337,2)</ns0:f>
        <ns0:v>242.57</ns0:v>
      </ns0:c>
      <ns0:c r="M17" s="3">
        <ns0:f>ROUND(M217*M337,2)</ns0:f>
        <ns0:v>490.86</ns0:v>
      </ns0:c>
      <ns0:c r="N17" s="3">
        <ns0:f>ROUND(N217*N337,2)</ns0:f>
        <ns0:v>229.08</ns0:v>
      </ns0:c>
      <ns0:c r="O17" s="3">
        <ns0:f>SUM(C17:N17)</ns0:f>
        <ns0:v>3001.44</ns0:v>
      </ns0:c>
      <ns0:c r="P17" s="2" t="inlineStr">
        <ns0:is>
          <ns0:t>EXP2.017</ns0:t>
        </ns0:is>
      </ns0:c>
      <ns0:c r="Q17" s="2" t="inlineStr">
        <ns0:is>
          <ns0:t>演示占位-v1</ns0:t>
        </ns0:is>
      </ns0:c>
      <ns0:c r="R17" s="2" t="inlineStr">
        <ns0:is>
          <ns0:t>模拟权责发生制</ns0:t>
        </ns0:is>
      </ns0:c>
      <ns0:c r="S17" s="2" t="inlineStr">
        <ns0:is>
          <ns0:t>2027-01</ns0:t>
        </ns0:is>
      </ns0:c>
      <ns0:c r="T17" s="2" t="inlineStr">
        <ns0:is>
          <ns0:t>2027-06</ns0:t>
        </ns0:is>
      </ns0:c>
      <ns0:c r="U17" s="2" t="inlineStr">
        <ns0:is>
          <ns0:t>无</ns0:t>
        </ns0:is>
      </ns0:c>
      <ns0:c r="V17" s="2" t="inlineStr">
        <ns0:is>
          <ns0:t>无</ns0:t>
        </ns0:is>
      </ns0:c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蓝色为实时经营输入参数；示例数值为占位；金额单位：元</ns0:t>
        </ns0:is>
      </ns0:c>
    </ns0:row>
    <ns0:row r="18" ht="20" customHeight="1">
      <ns0:c r="A18" s="2"/>
      <ns0:c r="B18" s="2" t="inlineStr">
        <ns0:is>
          <ns0:t>电话费</ns0:t>
        </ns0:is>
      </ns0:c>
      <ns0:c r="C18" s="3">
        <ns0:f>ROUND(C218*C338,2)</ns0:f>
        <ns0:v>105.89</ns0:v>
      </ns0:c>
      <ns0:c r="D18" s="3">
        <ns0:f>ROUND(D218*D338,2)</ns0:f>
        <ns0:v>477.87</ns0:v>
      </ns0:c>
      <ns0:c r="E18" s="3">
        <ns0:f>ROUND(E218*E338,2)</ns0:f>
        <ns0:v>264.54</ns0:v>
      </ns0:c>
      <ns0:c r="F18" s="3">
        <ns0:f>ROUND(F218*F338,2)</ns0:f>
        <ns0:v>151.56</ns0:v>
      </ns0:c>
      <ns0:c r="G18" s="3">
        <ns0:f>ROUND(G218*G338,2)</ns0:f>
        <ns0:v>231.17</ns0:v>
      </ns0:c>
      <ns0:c r="H18" s="3">
        <ns0:f>ROUND(H218*H338,2)</ns0:f>
        <ns0:v>243.52</ns0:v>
      </ns0:c>
      <ns0:c r="I18" s="3">
        <ns0:f>ROUND(I218*I338,2)</ns0:f>
        <ns0:v>149.69</ns0:v>
      </ns0:c>
      <ns0:c r="J18" s="3">
        <ns0:f>ROUND(J218*J338,2)</ns0:f>
        <ns0:v>217.24</ns0:v>
      </ns0:c>
      <ns0:c r="K18" s="3">
        <ns0:f>ROUND(K218*K338,2)</ns0:f>
        <ns0:v>216.52</ns0:v>
      </ns0:c>
      <ns0:c r="L18" s="3">
        <ns0:f>ROUND(L218*L338,2)</ns0:f>
        <ns0:v>77.61</ns0:v>
      </ns0:c>
      <ns0:c r="M18" s="3">
        <ns0:f>ROUND(M218*M338,2)</ns0:f>
        <ns0:v>154.52</ns0:v>
      </ns0:c>
      <ns0:c r="N18" s="3">
        <ns0:f>ROUND(N218*N338,2)</ns0:f>
        <ns0:v>414.93</ns0:v>
      </ns0:c>
      <ns0:c r="O18" s="3">
        <ns0:f>SUM(C18:N18)</ns0:f>
        <ns0:v>2705.06</ns0:v>
      </ns0:c>
      <ns0:c r="P18" s="2" t="inlineStr">
        <ns0:is>
          <ns0:t>EXP2.018</ns0:t>
        </ns0:is>
      </ns0:c>
      <ns0:c r="Q18" s="2" t="inlineStr">
        <ns0:is>
          <ns0:t>演示占位-v1</ns0:t>
        </ns0:is>
      </ns0:c>
      <ns0:c r="R18" s="2" t="inlineStr">
        <ns0:is>
          <ns0:t>模拟权责发生制</ns0:t>
        </ns0:is>
      </ns0:c>
      <ns0:c r="S18" s="2" t="inlineStr">
        <ns0:is>
          <ns0:t>2027-01</ns0:t>
        </ns0:is>
      </ns0:c>
      <ns0:c r="T18" s="2" t="inlineStr">
        <ns0:is>
          <ns0:t>2027-06</ns0:t>
        </ns0:is>
      </ns0:c>
      <ns0:c r="U18" s="2" t="inlineStr">
        <ns0:is>
          <ns0:t>无</ns0:t>
        </ns0:is>
      </ns0:c>
      <ns0:c r="V18" s="2" t="inlineStr">
        <ns0:is>
          <ns0:t>无</ns0:t>
        </ns0:is>
      </ns0:c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2"/>
      <ns0:c r="B19" s="2" t="inlineStr">
        <ns0:is>
          <ns0:t>快递费</ns0:t>
        </ns0:is>
      </ns0:c>
      <ns0:c r="C19" s="3">
        <ns0:f>ROUND(C219*C339,2)</ns0:f>
        <ns0:v>244.24</ns0:v>
      </ns0:c>
      <ns0:c r="D19" s="3">
        <ns0:f>ROUND(D219*D339,2)</ns0:f>
        <ns0:v>313.27</ns0:v>
      </ns0:c>
      <ns0:c r="E19" s="3">
        <ns0:f>ROUND(E219*E339,2)</ns0:f>
        <ns0:v>178.92</ns0:v>
      </ns0:c>
      <ns0:c r="F19" s="3">
        <ns0:f>ROUND(F219*F339,2)</ns0:f>
        <ns0:v>87.47</ns0:v>
      </ns0:c>
      <ns0:c r="G19" s="3">
        <ns0:f>ROUND(G219*G339,2)</ns0:f>
        <ns0:v>147.41</ns0:v>
      </ns0:c>
      <ns0:c r="H19" s="3">
        <ns0:f>ROUND(H219*H339,2)</ns0:f>
        <ns0:v>266.39</ns0:v>
      </ns0:c>
      <ns0:c r="I19" s="3">
        <ns0:f>ROUND(I219*I339,2)</ns0:f>
        <ns0:v>287.36</ns0:v>
      </ns0:c>
      <ns0:c r="J19" s="3">
        <ns0:f>ROUND(J219*J339,2)</ns0:f>
        <ns0:v>248.59</ns0:v>
      </ns0:c>
      <ns0:c r="K19" s="3">
        <ns0:f>ROUND(K219*K339,2)</ns0:f>
        <ns0:v>300.02</ns0:v>
      </ns0:c>
      <ns0:c r="L19" s="3">
        <ns0:f>ROUND(L219*L339,2)</ns0:f>
        <ns0:v>197.97</ns0:v>
      </ns0:c>
      <ns0:c r="M19" s="3">
        <ns0:f>ROUND(M219*M339,2)</ns0:f>
        <ns0:v>99.61</ns0:v>
      </ns0:c>
      <ns0:c r="N19" s="3">
        <ns0:f>ROUND(N219*N339,2)</ns0:f>
        <ns0:v>213.88</ns0:v>
      </ns0:c>
      <ns0:c r="O19" s="3">
        <ns0:f>SUM(C19:N19)</ns0:f>
        <ns0:v>2585.13</ns0:v>
      </ns0:c>
      <ns0:c r="P19" s="2" t="inlineStr">
        <ns0:is>
          <ns0:t>EXP2.019</ns0:t>
        </ns0:is>
      </ns0:c>
      <ns0:c r="Q19" s="2" t="inlineStr">
        <ns0:is>
          <ns0:t>演示占位-v1</ns0:t>
        </ns0:is>
      </ns0:c>
      <ns0:c r="R19" s="2" t="inlineStr">
        <ns0:is>
          <ns0:t>模拟权责发生制</ns0:t>
        </ns0:is>
      </ns0:c>
      <ns0:c r="S19" s="2" t="inlineStr">
        <ns0:is>
          <ns0:t>2027-01</ns0:t>
        </ns0:is>
      </ns0:c>
      <ns0:c r="T19" s="2" t="inlineStr">
        <ns0:is>
          <ns0:t>2027-06</ns0:t>
        </ns0:is>
      </ns0:c>
      <ns0:c r="U19" s="2" t="inlineStr">
        <ns0:is>
          <ns0:t>无</ns0:t>
        </ns0:is>
      </ns0:c>
      <ns0:c r="V19" s="2" t="inlineStr">
        <ns0:is>
          <ns0:t>无</ns0:t>
        </ns0:is>
      </ns0:c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2"/>
      <ns0:c r="B20" s="2" t="inlineStr">
        <ns0:is>
          <ns0:t>折旧及摊销</ns0:t>
        </ns0:is>
      </ns0:c>
      <ns0:c r="C20" s="3">
        <ns0:f>ROUND('摊销明细'!C33/3,2)</ns0:f>
        <ns0:v>677.66</ns0:v>
      </ns0:c>
      <ns0:c r="D20" s="3">
        <ns0:f>ROUND('摊销明细'!D33/3,2)</ns0:f>
        <ns0:v>677.66</ns0:v>
      </ns0:c>
      <ns0:c r="E20" s="3">
        <ns0:f>ROUND('摊销明细'!E33/3,2)</ns0:f>
        <ns0:v>677.66</ns0:v>
      </ns0:c>
      <ns0:c r="F20" s="3">
        <ns0:f>ROUND('摊销明细'!F33/3,2)</ns0:f>
        <ns0:v>677.66</ns0:v>
      </ns0:c>
      <ns0:c r="G20" s="3">
        <ns0:f>ROUND('摊销明细'!G33/3,2)</ns0:f>
        <ns0:v>677.66</ns0:v>
      </ns0:c>
      <ns0:c r="H20" s="3">
        <ns0:f>ROUND('摊销明细'!H33/3,2)</ns0:f>
        <ns0:v>677.66</ns0:v>
      </ns0:c>
      <ns0:c r="I20" s="3">
        <ns0:f>ROUND('摊销明细'!I33/3,2)</ns0:f>
        <ns0:v>677.66</ns0:v>
      </ns0:c>
      <ns0:c r="J20" s="3">
        <ns0:f>ROUND('摊销明细'!J33/3,2)</ns0:f>
        <ns0:v>677.66</ns0:v>
      </ns0:c>
      <ns0:c r="K20" s="3">
        <ns0:f>ROUND('摊销明细'!K33/3,2)</ns0:f>
        <ns0:v>677.66</ns0:v>
      </ns0:c>
      <ns0:c r="L20" s="3">
        <ns0:f>ROUND('摊销明细'!L33/3,2)</ns0:f>
        <ns0:v>677.66</ns0:v>
      </ns0:c>
      <ns0:c r="M20" s="3">
        <ns0:f>ROUND('摊销明细'!M33/3,2)</ns0:f>
        <ns0:v>677.66</ns0:v>
      </ns0:c>
      <ns0:c r="N20" s="3">
        <ns0:f>ROUND('摊销明细'!N33/3,2)</ns0:f>
        <ns0:v>677.66</ns0:v>
      </ns0:c>
      <ns0:c r="O20" s="3">
        <ns0:f>SUM(C20:N20)</ns0:f>
        <ns0:v>8131.92</ns0:v>
      </ns0:c>
      <ns0:c r="P20" s="2" t="inlineStr">
        <ns0:is>
          <ns0:t>EXP2.020</ns0:t>
        </ns0:is>
      </ns0:c>
      <ns0:c r="Q20" s="2" t="inlineStr">
        <ns0:is>
          <ns0:t>演示占位-v1</ns0:t>
        </ns0:is>
      </ns0:c>
      <ns0:c r="R20" s="2" t="inlineStr">
        <ns0:is>
          <ns0:t>模拟权责发生制</ns0:t>
        </ns0:is>
      </ns0:c>
      <ns0:c r="S20" s="2" t="inlineStr">
        <ns0:is>
          <ns0:t>2027-01</ns0:t>
        </ns0:is>
      </ns0:c>
      <ns0:c r="T20" s="2" t="inlineStr">
        <ns0:is>
          <ns0:t>2027-06</ns0:t>
        </ns0:is>
      </ns0:c>
      <ns0:c r="U20" s="2" t="inlineStr">
        <ns0:is>
          <ns0:t>无</ns0:t>
        </ns0:is>
      </ns0:c>
      <ns0:c r="V20" s="2" t="inlineStr">
        <ns0:is>
          <ns0:t>无</ns0:t>
        </ns0:is>
      </ns0:c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2" t="inlineStr">
        <ns0:is>
          <ns0:t>差旅费</ns0:t>
        </ns0:is>
      </ns0:c>
      <ns0:c r="B21" s="2" t="inlineStr">
        <ns0:is>
          <ns0:t>机票火车票</ns0:t>
        </ns0:is>
      </ns0:c>
      <ns0:c r="C21" s="3">
        <ns0:f>ROUND(C221*C341,2)</ns0:f>
        <ns0:v>423.20</ns0:v>
      </ns0:c>
      <ns0:c r="D21" s="3">
        <ns0:f>ROUND(D221*D341,2)</ns0:f>
        <ns0:v>158.78</ns0:v>
      </ns0:c>
      <ns0:c r="E21" s="3">
        <ns0:f>ROUND(E221*E341,2)</ns0:f>
        <ns0:v>526.80</ns0:v>
      </ns0:c>
      <ns0:c r="F21" s="3">
        <ns0:f>ROUND(F221*F341,2)</ns0:f>
        <ns0:v>135.17</ns0:v>
      </ns0:c>
      <ns0:c r="G21" s="3">
        <ns0:f>ROUND(G221*G341,2)</ns0:f>
        <ns0:v>263.24</ns0:v>
      </ns0:c>
      <ns0:c r="H21" s="3">
        <ns0:f>ROUND(H221*H341,2)</ns0:f>
        <ns0:v>232.41</ns0:v>
      </ns0:c>
      <ns0:c r="I21" s="3">
        <ns0:f>ROUND(I221*I341,2)</ns0:f>
        <ns0:v>394.50</ns0:v>
      </ns0:c>
      <ns0:c r="J21" s="3">
        <ns0:f>ROUND(J221*J341,2)</ns0:f>
        <ns0:v>145.15</ns0:v>
      </ns0:c>
      <ns0:c r="K21" s="3">
        <ns0:f>ROUND(K221*K341,2)</ns0:f>
        <ns0:v>385.02</ns0:v>
      </ns0:c>
      <ns0:c r="L21" s="3">
        <ns0:f>ROUND(L221*L341,2)</ns0:f>
        <ns0:v>440.63</ns0:v>
      </ns0:c>
      <ns0:c r="M21" s="3">
        <ns0:f>ROUND(M221*M341,2)</ns0:f>
        <ns0:v>368.99</ns0:v>
      </ns0:c>
      <ns0:c r="N21" s="3">
        <ns0:f>ROUND(N221*N341,2)</ns0:f>
        <ns0:v>256.24</ns0:v>
      </ns0:c>
      <ns0:c r="O21" s="3">
        <ns0:f>SUM(C21:N21)</ns0:f>
        <ns0:v>3730.13</ns0:v>
      </ns0:c>
      <ns0:c r="P21" s="2" t="inlineStr">
        <ns0:is>
          <ns0:t>EXP2.021</ns0:t>
        </ns0:is>
      </ns0:c>
      <ns0:c r="Q21" s="2" t="inlineStr">
        <ns0:is>
          <ns0:t>演示占位-v1</ns0:t>
        </ns0:is>
      </ns0:c>
      <ns0:c r="R21" s="2" t="inlineStr">
        <ns0:is>
          <ns0:t>模拟权责发生制</ns0:t>
        </ns0:is>
      </ns0:c>
      <ns0:c r="S21" s="2" t="inlineStr">
        <ns0:is>
          <ns0:t>2027-01</ns0:t>
        </ns0:is>
      </ns0:c>
      <ns0:c r="T21" s="2" t="inlineStr">
        <ns0:is>
          <ns0:t>2027-06</ns0:t>
        </ns0:is>
      </ns0:c>
      <ns0:c r="U21" s="2" t="inlineStr">
        <ns0:is>
          <ns0:t>无</ns0:t>
        </ns0:is>
      </ns0:c>
      <ns0:c r="V21" s="2" t="inlineStr">
        <ns0:is>
          <ns0:t>无</ns0:t>
        </ns0:is>
      </ns0:c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2"/>
      <ns0:c r="B22" s="2" t="inlineStr">
        <ns0:is>
          <ns0:t>住宿费</ns0:t>
        </ns0:is>
      </ns0:c>
      <ns0:c r="C22" s="3">
        <ns0:f>ROUND(C222*C342,2)</ns0:f>
        <ns0:v>48.80</ns0:v>
      </ns0:c>
      <ns0:c r="D22" s="3">
        <ns0:f>ROUND(D222*D342,2)</ns0:f>
        <ns0:v>92.85</ns0:v>
      </ns0:c>
      <ns0:c r="E22" s="3">
        <ns0:f>ROUND(E222*E342,2)</ns0:f>
        <ns0:v>132.76</ns0:v>
      </ns0:c>
      <ns0:c r="F22" s="3">
        <ns0:f>ROUND(F222*F342,2)</ns0:f>
        <ns0:v>345.08</ns0:v>
      </ns0:c>
      <ns0:c r="G22" s="3">
        <ns0:f>ROUND(G222*G342,2)</ns0:f>
        <ns0:v>165.73</ns0:v>
      </ns0:c>
      <ns0:c r="H22" s="3">
        <ns0:f>ROUND(H222*H342,2)</ns0:f>
        <ns0:v>331.63</ns0:v>
      </ns0:c>
      <ns0:c r="I22" s="3">
        <ns0:f>ROUND(I222*I342,2)</ns0:f>
        <ns0:v>149.97</ns0:v>
      </ns0:c>
      <ns0:c r="J22" s="3">
        <ns0:f>ROUND(J222*J342,2)</ns0:f>
        <ns0:v>157.95</ns0:v>
      </ns0:c>
      <ns0:c r="K22" s="3">
        <ns0:f>ROUND(K222*K342,2)</ns0:f>
        <ns0:v>310.34</ns0:v>
      </ns0:c>
      <ns0:c r="L22" s="3">
        <ns0:f>ROUND(L222*L342,2)</ns0:f>
        <ns0:v>246.42</ns0:v>
      </ns0:c>
      <ns0:c r="M22" s="3">
        <ns0:f>ROUND(M222*M342,2)</ns0:f>
        <ns0:v>187.29</ns0:v>
      </ns0:c>
      <ns0:c r="N22" s="3">
        <ns0:f>ROUND(N222*N342,2)</ns0:f>
        <ns0:v>222.65</ns0:v>
      </ns0:c>
      <ns0:c r="O22" s="3">
        <ns0:f>SUM(C22:N22)</ns0:f>
        <ns0:v>2391.47</ns0:v>
      </ns0:c>
      <ns0:c r="P22" s="2" t="inlineStr">
        <ns0:is>
          <ns0:t>EXP2.022</ns0:t>
        </ns0:is>
      </ns0:c>
      <ns0:c r="Q22" s="2" t="inlineStr">
        <ns0:is>
          <ns0:t>演示占位-v1</ns0:t>
        </ns0:is>
      </ns0:c>
      <ns0:c r="R22" s="2" t="inlineStr">
        <ns0:is>
          <ns0:t>模拟权责发生制</ns0:t>
        </ns0:is>
      </ns0:c>
      <ns0:c r="S22" s="2" t="inlineStr">
        <ns0:is>
          <ns0:t>2027-01</ns0:t>
        </ns0:is>
      </ns0:c>
      <ns0:c r="T22" s="2" t="inlineStr">
        <ns0:is>
          <ns0:t>2027-06</ns0:t>
        </ns0:is>
      </ns0:c>
      <ns0:c r="U22" s="2" t="inlineStr">
        <ns0:is>
          <ns0:t>无</ns0:t>
        </ns0:is>
      </ns0:c>
      <ns0:c r="V22" s="2" t="inlineStr">
        <ns0:is>
          <ns0:t>无</ns0:t>
        </ns0:is>
      </ns0:c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2"/>
      <ns0:c r="B23" s="2" t="inlineStr">
        <ns0:is>
          <ns0:t>交通费</ns0:t>
        </ns0:is>
      </ns0:c>
      <ns0:c r="C23" s="3">
        <ns0:f>ROUND(C223*C343,2)</ns0:f>
        <ns0:v>173.82</ns0:v>
      </ns0:c>
      <ns0:c r="D23" s="3">
        <ns0:f>ROUND(D223*D343,2)</ns0:f>
        <ns0:v>465.81</ns0:v>
      </ns0:c>
      <ns0:c r="E23" s="3">
        <ns0:f>ROUND(E223*E343,2)</ns0:f>
        <ns0:v>81.61</ns0:v>
      </ns0:c>
      <ns0:c r="F23" s="3">
        <ns0:f>ROUND(F223*F343,2)</ns0:f>
        <ns0:v>149.38</ns0:v>
      </ns0:c>
      <ns0:c r="G23" s="3">
        <ns0:f>ROUND(G223*G343,2)</ns0:f>
        <ns0:v>471.70</ns0:v>
      </ns0:c>
      <ns0:c r="H23" s="3">
        <ns0:f>ROUND(H223*H343,2)</ns0:f>
        <ns0:v>95.76</ns0:v>
      </ns0:c>
      <ns0:c r="I23" s="3">
        <ns0:f>ROUND(I223*I343,2)</ns0:f>
        <ns0:v>158.89</ns0:v>
      </ns0:c>
      <ns0:c r="J23" s="3">
        <ns0:f>ROUND(J223*J343,2)</ns0:f>
        <ns0:v>133.88</ns0:v>
      </ns0:c>
      <ns0:c r="K23" s="3">
        <ns0:f>ROUND(K223*K343,2)</ns0:f>
        <ns0:v>220.35</ns0:v>
      </ns0:c>
      <ns0:c r="L23" s="3">
        <ns0:f>ROUND(L223*L343,2)</ns0:f>
        <ns0:v>256.15</ns0:v>
      </ns0:c>
      <ns0:c r="M23" s="3">
        <ns0:f>ROUND(M223*M343,2)</ns0:f>
        <ns0:v>255.72</ns0:v>
      </ns0:c>
      <ns0:c r="N23" s="3">
        <ns0:f>ROUND(N223*N343,2)</ns0:f>
        <ns0:v>144.51</ns0:v>
      </ns0:c>
      <ns0:c r="O23" s="3">
        <ns0:f>SUM(C23:N23)</ns0:f>
        <ns0:v>2607.58</ns0:v>
      </ns0:c>
      <ns0:c r="P23" s="2" t="inlineStr">
        <ns0:is>
          <ns0:t>EXP2.023</ns0:t>
        </ns0:is>
      </ns0:c>
      <ns0:c r="Q23" s="2" t="inlineStr">
        <ns0:is>
          <ns0:t>演示占位-v1</ns0:t>
        </ns0:is>
      </ns0:c>
      <ns0:c r="R23" s="2" t="inlineStr">
        <ns0:is>
          <ns0:t>模拟权责发生制</ns0:t>
        </ns0:is>
      </ns0:c>
      <ns0:c r="S23" s="2" t="inlineStr">
        <ns0:is>
          <ns0:t>2027-01</ns0:t>
        </ns0:is>
      </ns0:c>
      <ns0:c r="T23" s="2" t="inlineStr">
        <ns0:is>
          <ns0:t>2027-06</ns0:t>
        </ns0:is>
      </ns0:c>
      <ns0:c r="U23" s="2" t="inlineStr">
        <ns0:is>
          <ns0:t>无</ns0:t>
        </ns0:is>
      </ns0:c>
      <ns0:c r="V23" s="2" t="inlineStr">
        <ns0:is>
          <ns0:t>无</ns0:t>
        </ns0:is>
      </ns0:c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/>
      <ns0:c r="B24" s="2" t="inlineStr">
        <ns0:is>
          <ns0:t>差旅补贴</ns0:t>
        </ns0:is>
      </ns0:c>
      <ns0:c r="C24" s="3">
        <ns0:f>ROUND(C224*C344,2)</ns0:f>
        <ns0:v>212.29</ns0:v>
      </ns0:c>
      <ns0:c r="D24" s="3">
        <ns0:f>ROUND(D224*D344,2)</ns0:f>
        <ns0:v>279.08</ns0:v>
      </ns0:c>
      <ns0:c r="E24" s="3">
        <ns0:f>ROUND(E224*E344,2)</ns0:f>
        <ns0:v>178.38</ns0:v>
      </ns0:c>
      <ns0:c r="F24" s="3">
        <ns0:f>ROUND(F224*F344,2)</ns0:f>
        <ns0:v>568.19</ns0:v>
      </ns0:c>
      <ns0:c r="G24" s="3">
        <ns0:f>ROUND(G224*G344,2)</ns0:f>
        <ns0:v>141.58</ns0:v>
      </ns0:c>
      <ns0:c r="H24" s="3">
        <ns0:f>ROUND(H224*H344,2)</ns0:f>
        <ns0:v>121.72</ns0:v>
      </ns0:c>
      <ns0:c r="I24" s="3">
        <ns0:f>ROUND(I224*I344,2)</ns0:f>
        <ns0:v>329.46</ns0:v>
      </ns0:c>
      <ns0:c r="J24" s="3">
        <ns0:f>ROUND(J224*J344,2)</ns0:f>
        <ns0:v>349.37</ns0:v>
      </ns0:c>
      <ns0:c r="K24" s="3">
        <ns0:f>ROUND(K224*K344,2)</ns0:f>
        <ns0:v>458.72</ns0:v>
      </ns0:c>
      <ns0:c r="L24" s="3">
        <ns0:f>ROUND(L224*L344,2)</ns0:f>
        <ns0:v>419.62</ns0:v>
      </ns0:c>
      <ns0:c r="M24" s="3">
        <ns0:f>ROUND(M224*M344,2)</ns0:f>
        <ns0:v>202.59</ns0:v>
      </ns0:c>
      <ns0:c r="N24" s="3">
        <ns0:f>ROUND(N224*N344,2)</ns0:f>
        <ns0:v>168.24</ns0:v>
      </ns0:c>
      <ns0:c r="O24" s="3">
        <ns0:f>SUM(C24:N24)</ns0:f>
        <ns0:v>3429.24</ns0:v>
      </ns0:c>
      <ns0:c r="P24" s="2" t="inlineStr">
        <ns0:is>
          <ns0:t>EXP2.024</ns0:t>
        </ns0:is>
      </ns0:c>
      <ns0:c r="Q24" s="2" t="inlineStr">
        <ns0:is>
          <ns0:t>演示占位-v1</ns0:t>
        </ns0:is>
      </ns0:c>
      <ns0:c r="R24" s="2" t="inlineStr">
        <ns0:is>
          <ns0:t>模拟权责发生制</ns0:t>
        </ns0:is>
      </ns0:c>
      <ns0:c r="S24" s="2" t="inlineStr">
        <ns0:is>
          <ns0:t>2027-01</ns0:t>
        </ns0:is>
      </ns0:c>
      <ns0:c r="T24" s="2" t="inlineStr">
        <ns0:is>
          <ns0:t>2027-06</ns0:t>
        </ns0:is>
      </ns0:c>
      <ns0:c r="U24" s="2" t="inlineStr">
        <ns0:is>
          <ns0:t>无</ns0:t>
        </ns0:is>
      </ns0:c>
      <ns0:c r="V24" s="2" t="inlineStr">
        <ns0:is>
          <ns0:t>无</ns0:t>
        </ns0:is>
      </ns0:c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 t="inlineStr">
        <ns0:is>
          <ns0:t>业务招待费</ns0:t>
        </ns0:is>
      </ns0:c>
      <ns0:c r="B25" s="2" t="inlineStr">
        <ns0:is>
          <ns0:t>业务招待费</ns0:t>
        </ns0:is>
      </ns0:c>
      <ns0:c r="C25" s="3">
        <ns0:f>ROUND(C225*C345,2)</ns0:f>
        <ns0:v>107.42</ns0:v>
      </ns0:c>
      <ns0:c r="D25" s="3">
        <ns0:f>ROUND(D225*D345,2)</ns0:f>
        <ns0:v>145.12</ns0:v>
      </ns0:c>
      <ns0:c r="E25" s="3">
        <ns0:f>ROUND(E225*E345,2)</ns0:f>
        <ns0:v>52.75</ns0:v>
      </ns0:c>
      <ns0:c r="F25" s="3">
        <ns0:f>ROUND(F225*F345,2)</ns0:f>
        <ns0:v>153.73</ns0:v>
      </ns0:c>
      <ns0:c r="G25" s="3">
        <ns0:f>ROUND(G225*G345,2)</ns0:f>
        <ns0:v>331.32</ns0:v>
      </ns0:c>
      <ns0:c r="H25" s="3">
        <ns0:f>ROUND(H225*H345,2)</ns0:f>
        <ns0:v>209.89</ns0:v>
      </ns0:c>
      <ns0:c r="I25" s="3">
        <ns0:f>ROUND(I225*I345,2)</ns0:f>
        <ns0:v>208.49</ns0:v>
      </ns0:c>
      <ns0:c r="J25" s="3">
        <ns0:f>ROUND(J225*J345,2)</ns0:f>
        <ns0:v>456.03</ns0:v>
      </ns0:c>
      <ns0:c r="K25" s="3">
        <ns0:f>ROUND(K225*K345,2)</ns0:f>
        <ns0:v>150.53</ns0:v>
      </ns0:c>
      <ns0:c r="L25" s="3">
        <ns0:f>ROUND(L225*L345,2)</ns0:f>
        <ns0:v>149.35</ns0:v>
      </ns0:c>
      <ns0:c r="M25" s="3">
        <ns0:f>ROUND(M225*M345,2)</ns0:f>
        <ns0:v>349.80</ns0:v>
      </ns0:c>
      <ns0:c r="N25" s="3">
        <ns0:f>ROUND(N225*N345,2)</ns0:f>
        <ns0:v>312.82</ns0:v>
      </ns0:c>
      <ns0:c r="O25" s="3">
        <ns0:f>SUM(C25:N25)</ns0:f>
        <ns0:v>2627.25</ns0:v>
      </ns0:c>
      <ns0:c r="P25" s="2" t="inlineStr">
        <ns0:is>
          <ns0:t>EXP2.025</ns0:t>
        </ns0:is>
      </ns0:c>
      <ns0:c r="Q25" s="2" t="inlineStr">
        <ns0:is>
          <ns0:t>演示占位-v1</ns0:t>
        </ns0:is>
      </ns0:c>
      <ns0:c r="R25" s="2" t="inlineStr">
        <ns0:is>
          <ns0:t>模拟权责发生制</ns0:t>
        </ns0:is>
      </ns0:c>
      <ns0:c r="S25" s="2" t="inlineStr">
        <ns0:is>
          <ns0:t>2027-01</ns0:t>
        </ns0:is>
      </ns0:c>
      <ns0:c r="T25" s="2" t="inlineStr">
        <ns0:is>
          <ns0:t>2027-06</ns0:t>
        </ns0:is>
      </ns0:c>
      <ns0:c r="U25" s="2" t="inlineStr">
        <ns0:is>
          <ns0:t>无</ns0:t>
        </ns0:is>
      </ns0:c>
      <ns0:c r="V25" s="2" t="inlineStr">
        <ns0:is>
          <ns0:t>无</ns0:t>
        </ns0:is>
      </ns0:c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 t="inlineStr">
        <ns0:is>
          <ns0:t>市内交通费</ns0:t>
        </ns0:is>
      </ns0:c>
      <ns0:c r="B26" s="2" t="inlineStr">
        <ns0:is>
          <ns0:t>市内交通费</ns0:t>
        </ns0:is>
      </ns0:c>
      <ns0:c r="C26" s="3">
        <ns0:f>ROUND(C226*C346,2)</ns0:f>
        <ns0:v>433.95</ns0:v>
      </ns0:c>
      <ns0:c r="D26" s="3">
        <ns0:f>ROUND(D226*D346,2)</ns0:f>
        <ns0:v>77.42</ns0:v>
      </ns0:c>
      <ns0:c r="E26" s="3">
        <ns0:f>ROUND(E226*E346,2)</ns0:f>
        <ns0:v>304.22</ns0:v>
      </ns0:c>
      <ns0:c r="F26" s="3">
        <ns0:f>ROUND(F226*F346,2)</ns0:f>
        <ns0:v>511.68</ns0:v>
      </ns0:c>
      <ns0:c r="G26" s="3">
        <ns0:f>ROUND(G226*G346,2)</ns0:f>
        <ns0:v>417.48</ns0:v>
      </ns0:c>
      <ns0:c r="H26" s="3">
        <ns0:f>ROUND(H226*H346,2)</ns0:f>
        <ns0:v>199.25</ns0:v>
      </ns0:c>
      <ns0:c r="I26" s="3">
        <ns0:f>ROUND(I226*I346,2)</ns0:f>
        <ns0:v>305.58</ns0:v>
      </ns0:c>
      <ns0:c r="J26" s="3">
        <ns0:f>ROUND(J226*J346,2)</ns0:f>
        <ns0:v>168.88</ns0:v>
      </ns0:c>
      <ns0:c r="K26" s="3">
        <ns0:f>ROUND(K226*K346,2)</ns0:f>
        <ns0:v>49.81</ns0:v>
      </ns0:c>
      <ns0:c r="L26" s="3">
        <ns0:f>ROUND(L226*L346,2)</ns0:f>
        <ns0:v>410.47</ns0:v>
      </ns0:c>
      <ns0:c r="M26" s="3">
        <ns0:f>ROUND(M226*M346,2)</ns0:f>
        <ns0:v>337.91</ns0:v>
      </ns0:c>
      <ns0:c r="N26" s="3">
        <ns0:f>ROUND(N226*N346,2)</ns0:f>
        <ns0:v>432.85</ns0:v>
      </ns0:c>
      <ns0:c r="O26" s="3">
        <ns0:f>SUM(C26:N26)</ns0:f>
        <ns0:v>3649.50</ns0:v>
      </ns0:c>
      <ns0:c r="P26" s="2" t="inlineStr">
        <ns0:is>
          <ns0:t>EXP2.026</ns0:t>
        </ns0:is>
      </ns0:c>
      <ns0:c r="Q26" s="2" t="inlineStr">
        <ns0:is>
          <ns0:t>演示占位-v1</ns0:t>
        </ns0:is>
      </ns0:c>
      <ns0:c r="R26" s="2" t="inlineStr">
        <ns0:is>
          <ns0:t>模拟权责发生制</ns0:t>
        </ns0:is>
      </ns0:c>
      <ns0:c r="S26" s="2" t="inlineStr">
        <ns0:is>
          <ns0:t>2027-01</ns0:t>
        </ns0:is>
      </ns0:c>
      <ns0:c r="T26" s="2" t="inlineStr">
        <ns0:is>
          <ns0:t>2027-06</ns0:t>
        </ns0:is>
      </ns0:c>
      <ns0:c r="U26" s="2" t="inlineStr">
        <ns0:is>
          <ns0:t>无</ns0:t>
        </ns0:is>
      </ns0:c>
      <ns0:c r="V26" s="2" t="inlineStr">
        <ns0:is>
          <ns0:t>无</ns0:t>
        </ns0:is>
      </ns0:c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 t="inlineStr">
        <ns0:is>
          <ns0:t>调研费用</ns0:t>
        </ns0:is>
      </ns0:c>
      <ns0:c r="B27" s="2" t="inlineStr">
        <ns0:is>
          <ns0:t>调研费用</ns0:t>
        </ns0:is>
      </ns0:c>
      <ns0:c r="C27" s="3">
        <ns0:f>ROUND(C227*C347,2)</ns0:f>
        <ns0:v>132.78</ns0:v>
      </ns0:c>
      <ns0:c r="D27" s="3">
        <ns0:f>ROUND(D227*D347,2)</ns0:f>
        <ns0:v>79.37</ns0:v>
      </ns0:c>
      <ns0:c r="E27" s="3">
        <ns0:f>ROUND(E227*E347,2)</ns0:f>
        <ns0:v>72.30</ns0:v>
      </ns0:c>
      <ns0:c r="F27" s="3">
        <ns0:f>ROUND(F227*F347,2)</ns0:f>
        <ns0:v>83.84</ns0:v>
      </ns0:c>
      <ns0:c r="G27" s="3">
        <ns0:f>ROUND(G227*G347,2)</ns0:f>
        <ns0:v>352.99</ns0:v>
      </ns0:c>
      <ns0:c r="H27" s="3">
        <ns0:f>ROUND(H227*H347,2)</ns0:f>
        <ns0:v>47.91</ns0:v>
      </ns0:c>
      <ns0:c r="I27" s="3">
        <ns0:f>ROUND(I227*I347,2)</ns0:f>
        <ns0:v>243.71</ns0:v>
      </ns0:c>
      <ns0:c r="J27" s="3">
        <ns0:f>ROUND(J227*J347,2)</ns0:f>
        <ns0:v>132.28</ns0:v>
      </ns0:c>
      <ns0:c r="K27" s="3">
        <ns0:f>ROUND(K227*K347,2)</ns0:f>
        <ns0:v>243.68</ns0:v>
      </ns0:c>
      <ns0:c r="L27" s="3">
        <ns0:f>ROUND(L227*L347,2)</ns0:f>
        <ns0:v>192.67</ns0:v>
      </ns0:c>
      <ns0:c r="M27" s="3">
        <ns0:f>ROUND(M227*M347,2)</ns0:f>
        <ns0:v>82.82</ns0:v>
      </ns0:c>
      <ns0:c r="N27" s="3">
        <ns0:f>ROUND(N227*N347,2)</ns0:f>
        <ns0:v>566.88</ns0:v>
      </ns0:c>
      <ns0:c r="O27" s="3">
        <ns0:f>SUM(C27:N27)</ns0:f>
        <ns0:v>2231.23</ns0:v>
      </ns0:c>
      <ns0:c r="P27" s="2" t="inlineStr">
        <ns0:is>
          <ns0:t>EXP2.027</ns0:t>
        </ns0:is>
      </ns0:c>
      <ns0:c r="Q27" s="2" t="inlineStr">
        <ns0:is>
          <ns0:t>演示占位-v1</ns0:t>
        </ns0:is>
      </ns0:c>
      <ns0:c r="R27" s="2" t="inlineStr">
        <ns0:is>
          <ns0:t>模拟权责发生制</ns0:t>
        </ns0:is>
      </ns0:c>
      <ns0:c r="S27" s="2" t="inlineStr">
        <ns0:is>
          <ns0:t>2027-01</ns0:t>
        </ns0:is>
      </ns0:c>
      <ns0:c r="T27" s="2" t="inlineStr">
        <ns0:is>
          <ns0:t>2027-06</ns0:t>
        </ns0:is>
      </ns0:c>
      <ns0:c r="U27" s="2" t="inlineStr">
        <ns0:is>
          <ns0:t>无</ns0:t>
        </ns0:is>
      </ns0:c>
      <ns0:c r="V27" s="2" t="inlineStr">
        <ns0:is>
          <ns0:t>无</ns0:t>
        </ns0:is>
      </ns0:c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 t="inlineStr">
        <ns0:is>
          <ns0:t>手续费</ns0:t>
        </ns0:is>
      </ns0:c>
      <ns0:c r="B28" s="2" t="inlineStr">
        <ns0:is>
          <ns0:t>手续费</ns0:t>
        </ns0:is>
      </ns0:c>
      <ns0:c r="C28" s="3">
        <ns0:f>ROUND(C228*C348,2)</ns0:f>
        <ns0:v>433.77</ns0:v>
      </ns0:c>
      <ns0:c r="D28" s="3">
        <ns0:f>ROUND(D228*D348,2)</ns0:f>
        <ns0:v>244.09</ns0:v>
      </ns0:c>
      <ns0:c r="E28" s="3">
        <ns0:f>ROUND(E228*E348,2)</ns0:f>
        <ns0:v>183.78</ns0:v>
      </ns0:c>
      <ns0:c r="F28" s="3">
        <ns0:f>ROUND(F228*F348,2)</ns0:f>
        <ns0:v>188.74</ns0:v>
      </ns0:c>
      <ns0:c r="G28" s="3">
        <ns0:f>ROUND(G228*G348,2)</ns0:f>
        <ns0:v>226.94</ns0:v>
      </ns0:c>
      <ns0:c r="H28" s="3">
        <ns0:f>ROUND(H228*H348,2)</ns0:f>
        <ns0:v>209.07</ns0:v>
      </ns0:c>
      <ns0:c r="I28" s="3">
        <ns0:f>ROUND(I228*I348,2)</ns0:f>
        <ns0:v>308.78</ns0:v>
      </ns0:c>
      <ns0:c r="J28" s="3">
        <ns0:f>ROUND(J228*J348,2)</ns0:f>
        <ns0:v>350.50</ns0:v>
      </ns0:c>
      <ns0:c r="K28" s="3">
        <ns0:f>ROUND(K228*K348,2)</ns0:f>
        <ns0:v>151.89</ns0:v>
      </ns0:c>
      <ns0:c r="L28" s="3">
        <ns0:f>ROUND(L228*L348,2)</ns0:f>
        <ns0:v>176.09</ns0:v>
      </ns0:c>
      <ns0:c r="M28" s="3">
        <ns0:f>ROUND(M228*M348,2)</ns0:f>
        <ns0:v>172.16</ns0:v>
      </ns0:c>
      <ns0:c r="N28" s="3">
        <ns0:f>ROUND(N228*N348,2)</ns0:f>
        <ns0:v>90.82</ns0:v>
      </ns0:c>
      <ns0:c r="O28" s="3">
        <ns0:f>SUM(C28:N28)</ns0:f>
        <ns0:v>2736.63</ns0:v>
      </ns0:c>
      <ns0:c r="P28" s="2" t="inlineStr">
        <ns0:is>
          <ns0:t>EXP2.028</ns0:t>
        </ns0:is>
      </ns0:c>
      <ns0:c r="Q28" s="2" t="inlineStr">
        <ns0:is>
          <ns0:t>演示占位-v1</ns0:t>
        </ns0:is>
      </ns0:c>
      <ns0:c r="R28" s="2" t="inlineStr">
        <ns0:is>
          <ns0:t>模拟权责发生制</ns0:t>
        </ns0:is>
      </ns0:c>
      <ns0:c r="S28" s="2" t="inlineStr">
        <ns0:is>
          <ns0:t>2027-01</ns0:t>
        </ns0:is>
      </ns0:c>
      <ns0:c r="T28" s="2" t="inlineStr">
        <ns0:is>
          <ns0:t>2027-06</ns0:t>
        </ns0:is>
      </ns0:c>
      <ns0:c r="U28" s="2" t="inlineStr">
        <ns0:is>
          <ns0:t>无</ns0:t>
        </ns0:is>
      </ns0:c>
      <ns0:c r="V28" s="2" t="inlineStr">
        <ns0:is>
          <ns0:t>无</ns0:t>
        </ns0:is>
      </ns0:c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/>
      <ns0:c r="B29" s="2" t="inlineStr">
        <ns0:is>
          <ns0:t>利息收入</ns0:t>
        </ns0:is>
      </ns0:c>
      <ns0:c r="C29" s="3">
        <ns0:f>0</ns0:f>
        <ns0:v>0</ns0:v>
      </ns0:c>
      <ns0:c r="D29" s="3">
        <ns0:f>0</ns0:f>
        <ns0:v>0</ns0:v>
      </ns0:c>
      <ns0:c r="E29" s="3">
        <ns0:f>0</ns0:f>
        <ns0:v>0</ns0:v>
      </ns0:c>
      <ns0:c r="F29" s="3">
        <ns0:f>0</ns0:f>
        <ns0:v>0</ns0:v>
      </ns0:c>
      <ns0:c r="G29" s="3">
        <ns0:f>0</ns0:f>
        <ns0:v>0</ns0:v>
      </ns0:c>
      <ns0:c r="H29" s="3">
        <ns0:f>0</ns0:f>
        <ns0:v>0</ns0:v>
      </ns0:c>
      <ns0:c r="I29" s="3">
        <ns0:f>0</ns0:f>
        <ns0:v>0</ns0:v>
      </ns0:c>
      <ns0:c r="J29" s="3">
        <ns0:f>0</ns0:f>
        <ns0:v>0</ns0:v>
      </ns0:c>
      <ns0:c r="K29" s="3">
        <ns0:f>0</ns0:f>
        <ns0:v>0</ns0:v>
      </ns0:c>
      <ns0:c r="L29" s="3">
        <ns0:f>0</ns0:f>
        <ns0:v>0</ns0:v>
      </ns0:c>
      <ns0:c r="M29" s="3">
        <ns0:f>0</ns0:f>
        <ns0:v>0</ns0:v>
      </ns0:c>
      <ns0:c r="N29" s="3">
        <ns0:f>0</ns0:f>
        <ns0:v>0</ns0:v>
      </ns0:c>
      <ns0:c r="O29" s="3">
        <ns0:f>SUM(C29:N29)</ns0:f>
        <ns0:v>0</ns0:v>
      </ns0:c>
      <ns0:c r="P29" s="2" t="inlineStr">
        <ns0:is>
          <ns0:t>EXP2.029</ns0:t>
        </ns0:is>
      </ns0:c>
      <ns0:c r="Q29" s="2" t="inlineStr">
        <ns0:is>
          <ns0:t>演示占位-v1</ns0:t>
        </ns0:is>
      </ns0:c>
      <ns0:c r="R29" s="2" t="inlineStr">
        <ns0:is>
          <ns0:t>模拟权责发生制</ns0:t>
        </ns0:is>
      </ns0:c>
      <ns0:c r="S29" s="2" t="inlineStr">
        <ns0:is>
          <ns0:t>2027-01</ns0:t>
        </ns0:is>
      </ns0:c>
      <ns0:c r="T29" s="2" t="inlineStr">
        <ns0:is>
          <ns0:t>2027-06</ns0:t>
        </ns0:is>
      </ns0:c>
      <ns0:c r="U29" s="2" t="inlineStr">
        <ns0:is>
          <ns0:t>无</ns0:t>
        </ns0:is>
      </ns0:c>
      <ns0:c r="V29" s="2" t="inlineStr">
        <ns0:is>
          <ns0:t>无</ns0:t>
        </ns0:is>
      </ns0:c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/>
      <ns0:c r="B30" s="5" t="inlineStr">
        <ns0:is>
          <ns0:t>利息支出</ns0:t>
        </ns0:is>
      </ns0:c>
      <ns0:c r="C30" s="6">
        <ns0:f>ROUND(C230*C350,2)</ns0:f>
        <ns0:v>587.65</ns0:v>
      </ns0:c>
      <ns0:c r="D30" s="6">
        <ns0:f>ROUND(D230*D350,2)</ns0:f>
        <ns0:v>100.90</ns0:v>
      </ns0:c>
      <ns0:c r="E30" s="6">
        <ns0:f>ROUND(E230*E350,2)</ns0:f>
        <ns0:v>230.52</ns0:v>
      </ns0:c>
      <ns0:c r="F30" s="6">
        <ns0:f>ROUND(F230*F350,2)</ns0:f>
        <ns0:v>251.30</ns0:v>
      </ns0:c>
      <ns0:c r="G30" s="6">
        <ns0:f>ROUND(G230*G350,2)</ns0:f>
        <ns0:v>71.58</ns0:v>
      </ns0:c>
      <ns0:c r="H30" s="6">
        <ns0:f>ROUND(H230*H350,2)</ns0:f>
        <ns0:v>218.00</ns0:v>
      </ns0:c>
      <ns0:c r="I30" s="6">
        <ns0:f>ROUND(I230*I350,2)</ns0:f>
        <ns0:v>305.09</ns0:v>
      </ns0:c>
      <ns0:c r="J30" s="6">
        <ns0:f>ROUND(J230*J350,2)</ns0:f>
        <ns0:v>212.55</ns0:v>
      </ns0:c>
      <ns0:c r="K30" s="6">
        <ns0:f>ROUND(K230*K350,2)</ns0:f>
        <ns0:v>153.33</ns0:v>
      </ns0:c>
      <ns0:c r="L30" s="6">
        <ns0:f>ROUND(L230*L350,2)</ns0:f>
        <ns0:v>362.48</ns0:v>
      </ns0:c>
      <ns0:c r="M30" s="6">
        <ns0:f>ROUND(M230*M350,2)</ns0:f>
        <ns0:v>314.79</ns0:v>
      </ns0:c>
      <ns0:c r="N30" s="6">
        <ns0:f>ROUND(N230*N350,2)</ns0:f>
        <ns0:v>431.12</ns0:v>
      </ns0:c>
      <ns0:c r="O30" s="6">
        <ns0:f>SUM(C30:N30)</ns0:f>
        <ns0:v>3239.31</ns0:v>
      </ns0:c>
      <ns0:c r="P30" s="2" t="inlineStr">
        <ns0:is>
          <ns0:t>EXP2.030</ns0:t>
        </ns0:is>
      </ns0:c>
      <ns0:c r="Q30" s="2" t="inlineStr">
        <ns0:is>
          <ns0:t>演示占位-v1</ns0:t>
        </ns0:is>
      </ns0:c>
      <ns0:c r="R30" s="2" t="inlineStr">
        <ns0:is>
          <ns0:t>模拟权责发生制</ns0:t>
        </ns0:is>
      </ns0:c>
      <ns0:c r="S30" s="2" t="inlineStr">
        <ns0:is>
          <ns0:t>2027-01</ns0:t>
        </ns0:is>
      </ns0:c>
      <ns0:c r="T30" s="2" t="inlineStr">
        <ns0:is>
          <ns0:t>2027-06</ns0:t>
        </ns0:is>
      </ns0:c>
      <ns0:c r="U30" s="2" t="inlineStr">
        <ns0:is>
          <ns0:t>无</ns0:t>
        </ns0:is>
      </ns0:c>
      <ns0:c r="V30" s="2" t="inlineStr">
        <ns0:is>
          <ns0:t>无</ns0:t>
        </ns0:is>
      </ns0:c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 t="inlineStr">
        <ns0:is>
          <ns0:t>税金</ns0:t>
        </ns0:is>
      </ns0:c>
      <ns0:c r="B31" s="2" t="inlineStr">
        <ns0:is>
          <ns0:t>车船税</ns0:t>
        </ns0:is>
      </ns0:c>
      <ns0:c r="C31" s="3">
        <ns0:f>ROUND(C231*C351,2)</ns0:f>
        <ns0:v>153.52</ns0:v>
      </ns0:c>
      <ns0:c r="D31" s="3">
        <ns0:f>ROUND(D231*D351,2)</ns0:f>
        <ns0:v>350.14</ns0:v>
      </ns0:c>
      <ns0:c r="E31" s="3">
        <ns0:f>ROUND(E231*E351,2)</ns0:f>
        <ns0:v>403.92</ns0:v>
      </ns0:c>
      <ns0:c r="F31" s="3">
        <ns0:f>ROUND(F231*F351,2)</ns0:f>
        <ns0:v>122.07</ns0:v>
      </ns0:c>
      <ns0:c r="G31" s="3">
        <ns0:f>ROUND(G231*G351,2)</ns0:f>
        <ns0:v>146.82</ns0:v>
      </ns0:c>
      <ns0:c r="H31" s="3">
        <ns0:f>ROUND(H231*H351,2)</ns0:f>
        <ns0:v>158.92</ns0:v>
      </ns0:c>
      <ns0:c r="I31" s="3">
        <ns0:f>ROUND(I231*I351,2)</ns0:f>
        <ns0:v>198.84</ns0:v>
      </ns0:c>
      <ns0:c r="J31" s="3">
        <ns0:f>ROUND(J231*J351,2)</ns0:f>
        <ns0:v>165.43</ns0:v>
      </ns0:c>
      <ns0:c r="K31" s="3">
        <ns0:f>ROUND(K231*K351,2)</ns0:f>
        <ns0:v>245.05</ns0:v>
      </ns0:c>
      <ns0:c r="L31" s="3">
        <ns0:f>ROUND(L231*L351,2)</ns0:f>
        <ns0:v>152.47</ns0:v>
      </ns0:c>
      <ns0:c r="M31" s="3">
        <ns0:f>ROUND(M231*M351,2)</ns0:f>
        <ns0:v>124.09</ns0:v>
      </ns0:c>
      <ns0:c r="N31" s="3">
        <ns0:f>ROUND(N231*N351,2)</ns0:f>
        <ns0:v>329.29</ns0:v>
      </ns0:c>
      <ns0:c r="O31" s="3">
        <ns0:f>SUM(C31:N31)</ns0:f>
        <ns0:v>2550.56</ns0:v>
      </ns0:c>
      <ns0:c r="P31" s="2" t="inlineStr">
        <ns0:is>
          <ns0:t>EXP2.031</ns0:t>
        </ns0:is>
      </ns0:c>
      <ns0:c r="Q31" s="2" t="inlineStr">
        <ns0:is>
          <ns0:t>演示占位-v1</ns0:t>
        </ns0:is>
      </ns0:c>
      <ns0:c r="R31" s="2" t="inlineStr">
        <ns0:is>
          <ns0:t>模拟权责发生制</ns0:t>
        </ns0:is>
      </ns0:c>
      <ns0:c r="S31" s="2" t="inlineStr">
        <ns0:is>
          <ns0:t>2027-01</ns0:t>
        </ns0:is>
      </ns0:c>
      <ns0:c r="T31" s="2" t="inlineStr">
        <ns0:is>
          <ns0:t>2027-06</ns0:t>
        </ns0:is>
      </ns0:c>
      <ns0:c r="U31" s="2" t="inlineStr">
        <ns0:is>
          <ns0:t>无</ns0:t>
        </ns0:is>
      </ns0:c>
      <ns0:c r="V31" s="2" t="inlineStr">
        <ns0:is>
          <ns0:t>无</ns0:t>
        </ns0:is>
      </ns0:c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/>
      <ns0:c r="B32" s="2" t="inlineStr">
        <ns0:is>
          <ns0:t>印花税</ns0:t>
        </ns0:is>
      </ns0:c>
      <ns0:c r="C32" s="3">
        <ns0:f>ROUND(C232*C352,2)</ns0:f>
        <ns0:v>116.19</ns0:v>
      </ns0:c>
      <ns0:c r="D32" s="3">
        <ns0:f>ROUND(D232*D352,2)</ns0:f>
        <ns0:v>352.40</ns0:v>
      </ns0:c>
      <ns0:c r="E32" s="3">
        <ns0:f>ROUND(E232*E352,2)</ns0:f>
        <ns0:v>279.11</ns0:v>
      </ns0:c>
      <ns0:c r="F32" s="3">
        <ns0:f>ROUND(F232*F352,2)</ns0:f>
        <ns0:v>433.61</ns0:v>
      </ns0:c>
      <ns0:c r="G32" s="3">
        <ns0:f>ROUND(G232*G352,2)</ns0:f>
        <ns0:v>170.73</ns0:v>
      </ns0:c>
      <ns0:c r="H32" s="3">
        <ns0:f>ROUND(H232*H352,2)</ns0:f>
        <ns0:v>241.98</ns0:v>
      </ns0:c>
      <ns0:c r="I32" s="3">
        <ns0:f>ROUND(I232*I352,2)</ns0:f>
        <ns0:v>116.63</ns0:v>
      </ns0:c>
      <ns0:c r="J32" s="3">
        <ns0:f>ROUND(J232*J352,2)</ns0:f>
        <ns0:v>192.90</ns0:v>
      </ns0:c>
      <ns0:c r="K32" s="3">
        <ns0:f>ROUND(K232*K352,2)</ns0:f>
        <ns0:v>338.56</ns0:v>
      </ns0:c>
      <ns0:c r="L32" s="3">
        <ns0:f>ROUND(L232*L352,2)</ns0:f>
        <ns0:v>337.37</ns0:v>
      </ns0:c>
      <ns0:c r="M32" s="3">
        <ns0:f>ROUND(M232*M352,2)</ns0:f>
        <ns0:v>364.49</ns0:v>
      </ns0:c>
      <ns0:c r="N32" s="3">
        <ns0:f>ROUND(N232*N352,2)</ns0:f>
        <ns0:v>344.06</ns0:v>
      </ns0:c>
      <ns0:c r="O32" s="3">
        <ns0:f>SUM(C32:N32)</ns0:f>
        <ns0:v>3288.03</ns0:v>
      </ns0:c>
      <ns0:c r="P32" s="2" t="inlineStr">
        <ns0:is>
          <ns0:t>EXP2.032</ns0:t>
        </ns0:is>
      </ns0:c>
      <ns0:c r="Q32" s="2" t="inlineStr">
        <ns0:is>
          <ns0:t>演示占位-v1</ns0:t>
        </ns0:is>
      </ns0:c>
      <ns0:c r="R32" s="2" t="inlineStr">
        <ns0:is>
          <ns0:t>模拟权责发生制</ns0:t>
        </ns0:is>
      </ns0:c>
      <ns0:c r="S32" s="2" t="inlineStr">
        <ns0:is>
          <ns0:t>2027-01</ns0:t>
        </ns0:is>
      </ns0:c>
      <ns0:c r="T32" s="2" t="inlineStr">
        <ns0:is>
          <ns0:t>2027-06</ns0:t>
        </ns0:is>
      </ns0:c>
      <ns0:c r="U32" s="2" t="inlineStr">
        <ns0:is>
          <ns0:t>无</ns0:t>
        </ns0:is>
      </ns0:c>
      <ns0:c r="V32" s="2" t="inlineStr">
        <ns0:is>
          <ns0:t>无</ns0:t>
        </ns0:is>
      </ns0:c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 t="inlineStr">
        <ns0:is>
          <ns0:t>其他</ns0:t>
        </ns0:is>
      </ns0:c>
      <ns0:c r="B33" s="2" t="inlineStr">
        <ns0:is>
          <ns0:t>其他</ns0:t>
        </ns0:is>
      </ns0:c>
      <ns0:c r="C33" s="3">
        <ns0:f>ROUND(C233*C353,2)</ns0:f>
        <ns0:v>116.34</ns0:v>
      </ns0:c>
      <ns0:c r="D33" s="3">
        <ns0:f>ROUND(D233*D353,2)</ns0:f>
        <ns0:v>165.38</ns0:v>
      </ns0:c>
      <ns0:c r="E33" s="3">
        <ns0:f>ROUND(E233*E353,2)</ns0:f>
        <ns0:v>321.67</ns0:v>
      </ns0:c>
      <ns0:c r="F33" s="3">
        <ns0:f>ROUND(F233*F353,2)</ns0:f>
        <ns0:v>88.44</ns0:v>
      </ns0:c>
      <ns0:c r="G33" s="3">
        <ns0:f>ROUND(G233*G353,2)</ns0:f>
        <ns0:v>251.18</ns0:v>
      </ns0:c>
      <ns0:c r="H33" s="3">
        <ns0:f>ROUND(H233*H353,2)</ns0:f>
        <ns0:v>190.57</ns0:v>
      </ns0:c>
      <ns0:c r="I33" s="3">
        <ns0:f>ROUND(I233*I353,2)</ns0:f>
        <ns0:v>133.88</ns0:v>
      </ns0:c>
      <ns0:c r="J33" s="3">
        <ns0:f>ROUND(J233*J353,2)</ns0:f>
        <ns0:v>160.29</ns0:v>
      </ns0:c>
      <ns0:c r="K33" s="3">
        <ns0:f>ROUND(K233*K353,2)</ns0:f>
        <ns0:v>496.94</ns0:v>
      </ns0:c>
      <ns0:c r="L33" s="3">
        <ns0:f>ROUND(L233*L353,2)</ns0:f>
        <ns0:v>92.61</ns0:v>
      </ns0:c>
      <ns0:c r="M33" s="3">
        <ns0:f>ROUND(M233*M353,2)</ns0:f>
        <ns0:v>365.22</ns0:v>
      </ns0:c>
      <ns0:c r="N33" s="3">
        <ns0:f>ROUND(N233*N353,2)</ns0:f>
        <ns0:v>366.79</ns0:v>
      </ns0:c>
      <ns0:c r="O33" s="3">
        <ns0:f>SUM(C33:N33)</ns0:f>
        <ns0:v>2749.31</ns0:v>
      </ns0:c>
      <ns0:c r="P33" s="2" t="inlineStr">
        <ns0:is>
          <ns0:t>EXP2.033</ns0:t>
        </ns0:is>
      </ns0:c>
      <ns0:c r="Q33" s="2" t="inlineStr">
        <ns0:is>
          <ns0:t>演示占位-v1</ns0:t>
        </ns0:is>
      </ns0:c>
      <ns0:c r="R33" s="2" t="inlineStr">
        <ns0:is>
          <ns0:t>模拟权责发生制</ns0:t>
        </ns0:is>
      </ns0:c>
      <ns0:c r="S33" s="2" t="inlineStr">
        <ns0:is>
          <ns0:t>2027-01</ns0:t>
        </ns0:is>
      </ns0:c>
      <ns0:c r="T33" s="2" t="inlineStr">
        <ns0:is>
          <ns0:t>2027-06</ns0:t>
        </ns0:is>
      </ns0:c>
      <ns0:c r="U33" s="2" t="inlineStr">
        <ns0:is>
          <ns0:t>无</ns0:t>
        </ns0:is>
      </ns0:c>
      <ns0:c r="V33" s="2" t="inlineStr">
        <ns0:is>
          <ns0:t>无</ns0:t>
        </ns0:is>
      </ns0:c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 t="inlineStr">
        <ns0:is>
          <ns0:t>合计</ns0:t>
        </ns0:is>
      </ns0:c>
      <ns0:c r="B34" s="2"/>
      <ns0:c r="C34" s="3">
        <ns0:f>SUM(C4:C33)</ns0:f>
        <ns0:v>6965.49</ns0:v>
      </ns0:c>
      <ns0:c r="D34" s="3">
        <ns0:f>SUM(D4:D33)</ns0:f>
        <ns0:v>7371.36</ns0:v>
      </ns0:c>
      <ns0:c r="E34" s="3">
        <ns0:f>SUM(E4:E33)</ns0:f>
        <ns0:v>6502.29</ns0:v>
      </ns0:c>
      <ns0:c r="F34" s="3">
        <ns0:f>SUM(F4:F33)</ns0:f>
        <ns0:v>7377.88</ns0:v>
      </ns0:c>
      <ns0:c r="G34" s="3">
        <ns0:f>SUM(G4:G33)</ns0:f>
        <ns0:v>7071.54</ns0:v>
      </ns0:c>
      <ns0:c r="H34" s="3">
        <ns0:f>SUM(H4:H33)</ns0:f>
        <ns0:v>6764.54</ns0:v>
      </ns0:c>
      <ns0:c r="I34" s="3">
        <ns0:f>SUM(I4:I33)</ns0:f>
        <ns0:v>7398.99</ns0:v>
      </ns0:c>
      <ns0:c r="J34" s="3">
        <ns0:f>SUM(J4:J33)</ns0:f>
        <ns0:v>6314.21</ns0:v>
      </ns0:c>
      <ns0:c r="K34" s="3">
        <ns0:f>SUM(K4:K33)</ns0:f>
        <ns0:v>8678.02</ns0:v>
      </ns0:c>
      <ns0:c r="L34" s="3">
        <ns0:f>SUM(L4:L33)</ns0:f>
        <ns0:v>7686.28</ns0:v>
      </ns0:c>
      <ns0:c r="M34" s="3">
        <ns0:f>SUM(M4:M33)</ns0:f>
        <ns0:v>7897.76</ns0:v>
      </ns0:c>
      <ns0:c r="N34" s="3">
        <ns0:f>SUM(N4:N33)</ns0:f>
        <ns0:v>8983.59</ns0:v>
      </ns0:c>
      <ns0:c r="O34" s="3">
        <ns0:f>SUM(C34:N34)</ns0:f>
        <ns0:v>89011.95</ns0:v>
      </ns0:c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 t="inlineStr">
        <ns0:is>
          <ns0:t>增值税附加</ns0:t>
        </ns0:is>
      </ns0:c>
      <ns0:c r="B35" s="2"/>
      <ns0:c r="C35" s="3"/>
      <ns0:c r="D35" s="3"/>
      <ns0:c r="E35" s="3"/>
      <ns0:c r="F35" s="3"/>
      <ns0:c r="G35" s="3"/>
      <ns0:c r="H35" s="3"/>
      <ns0:c r="I35" s="3"/>
      <ns0:c r="J35" s="3"/>
      <ns0:c r="K35" s="3"/>
      <ns0:c r="L35" s="3"/>
      <ns0:c r="M35" s="3"/>
      <ns0:c r="N35" s="3"/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 t="inlineStr">
        <ns0:is>
          <ns0:t>三费及税金合计</ns0:t>
        </ns0:is>
      </ns0:c>
      <ns0:c r="B36" s="2"/>
      <ns0:c r="C36" s="3"/>
      <ns0:c r="D36" s="3"/>
      <ns0:c r="E36" s="3"/>
      <ns0:c r="F36" s="3"/>
      <ns0:c r="G36" s="3"/>
      <ns0:c r="H36" s="3"/>
      <ns0:c r="I36" s="3"/>
      <ns0:c r="J36" s="3"/>
      <ns0:c r="K36" s="3"/>
      <ns0:c r="L36" s="3"/>
      <ns0:c r="M36" s="3"/>
      <ns0:c r="N36" s="3"/>
      <ns0:c r="O36" s="3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/>
      <ns0:c r="C64" s="3"/>
      <ns0:c r="D64" s="3"/>
      <ns0:c r="E64" s="3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/>
      <ns0:c r="C65" s="3"/>
      <ns0:c r="D65" s="3"/>
      <ns0:c r="E65" s="3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/>
      <ns0:c r="C66" s="3"/>
      <ns0:c r="D66" s="3"/>
      <ns0:c r="E66" s="3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/>
      <ns0:c r="C67" s="3"/>
      <ns0:c r="D67" s="3"/>
      <ns0:c r="E67" s="3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/>
      <ns0:c r="C68" s="3"/>
      <ns0:c r="D68" s="3"/>
      <ns0:c r="E68" s="3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 t="inlineStr">
        <ns0:is>
          <ns0:t>工资单价</ns0:t>
        </ns0:is>
      </ns0:c>
      <ns0:c r="C204" s="4">
        <ns0:v>42.34</ns0:v>
      </ns0:c>
      <ns0:c r="D204" s="4">
        <ns0:v>29.97</ns0:v>
      </ns0:c>
      <ns0:c r="E204" s="4">
        <ns0:v>46.27</ns0:v>
      </ns0:c>
      <ns0:c r="F204" s="4">
        <ns0:v>36.65</ns0:v>
      </ns0:c>
      <ns0:c r="G204" s="4">
        <ns0:v>46.39</ns0:v>
      </ns0:c>
      <ns0:c r="H204" s="4">
        <ns0:v>15.29</ns0:v>
      </ns0:c>
      <ns0:c r="I204" s="4">
        <ns0:v>24.53</ns0:v>
      </ns0:c>
      <ns0:c r="J204" s="4">
        <ns0:v>31.27</ns0:v>
      </ns0:c>
      <ns0:c r="K204" s="4">
        <ns0:v>59.14</ns0:v>
      </ns0:c>
      <ns0:c r="L204" s="4">
        <ns0:v>62.93</ns0:v>
      </ns0:c>
      <ns0:c r="M204" s="4">
        <ns0:v>35.15</ns0:v>
      </ns0:c>
      <ns0:c r="N204" s="4">
        <ns0:v>46.64</ns0:v>
      </ns0:c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 t="inlineStr">
        <ns0:is>
          <ns0:t>十三薪单价</ns0:t>
        </ns0:is>
      </ns0:c>
      <ns0:c r="C205" s="4">
        <ns0:v>27.84</ns0:v>
      </ns0:c>
      <ns0:c r="D205" s="4">
        <ns0:v>75.03</ns0:v>
      </ns0:c>
      <ns0:c r="E205" s="4">
        <ns0:v>55.61</ns0:v>
      </ns0:c>
      <ns0:c r="F205" s="4">
        <ns0:v>24.34</ns0:v>
      </ns0:c>
      <ns0:c r="G205" s="4">
        <ns0:v>47.47</ns0:v>
      </ns0:c>
      <ns0:c r="H205" s="4">
        <ns0:v>48.48</ns0:v>
      </ns0:c>
      <ns0:c r="I205" s="4">
        <ns0:v>18.47</ns0:v>
      </ns0:c>
      <ns0:c r="J205" s="4">
        <ns0:v>46.22</ns0:v>
      </ns0:c>
      <ns0:c r="K205" s="4">
        <ns0:v>52.87</ns0:v>
      </ns0:c>
      <ns0:c r="L205" s="4">
        <ns0:v>36.80</ns0:v>
      </ns0:c>
      <ns0:c r="M205" s="4">
        <ns0:v>39.53</ns0:v>
      </ns0:c>
      <ns0:c r="N205" s="4">
        <ns0:v>46.43</ns0:v>
      </ns0:c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 t="inlineStr">
        <ns0:is>
          <ns0:t>离职补偿金单价</ns0:t>
        </ns0:is>
      </ns0:c>
      <ns0:c r="C206" s="4">
        <ns0:v>61.53</ns0:v>
      </ns0:c>
      <ns0:c r="D206" s="4">
        <ns0:v>40.46</ns0:v>
      </ns0:c>
      <ns0:c r="E206" s="4">
        <ns0:v>51.26</ns0:v>
      </ns0:c>
      <ns0:c r="F206" s="4">
        <ns0:v>50.43</ns0:v>
      </ns0:c>
      <ns0:c r="G206" s="4">
        <ns0:v>58.88</ns0:v>
      </ns0:c>
      <ns0:c r="H206" s="4">
        <ns0:v>43.45</ns0:v>
      </ns0:c>
      <ns0:c r="I206" s="4">
        <ns0:v>42.45</ns0:v>
      </ns0:c>
      <ns0:c r="J206" s="4">
        <ns0:v>17.81</ns0:v>
      </ns0:c>
      <ns0:c r="K206" s="4">
        <ns0:v>59.03</ns0:v>
      </ns0:c>
      <ns0:c r="L206" s="4">
        <ns0:v>37.02</ns0:v>
      </ns0:c>
      <ns0:c r="M206" s="4">
        <ns0:v>65.23</ns0:v>
      </ns0:c>
      <ns0:c r="N206" s="4">
        <ns0:v>41.19</ns0:v>
      </ns0:c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 t="inlineStr">
        <ns0:is>
          <ns0:t>五险一金单价</ns0:t>
        </ns0:is>
      </ns0:c>
      <ns0:c r="C207" s="4">
        <ns0:v>41.94</ns0:v>
      </ns0:c>
      <ns0:c r="D207" s="4">
        <ns0:v>57.24</ns0:v>
      </ns0:c>
      <ns0:c r="E207" s="4">
        <ns0:v>30.23</ns0:v>
      </ns0:c>
      <ns0:c r="F207" s="4">
        <ns0:v>54.48</ns0:v>
      </ns0:c>
      <ns0:c r="G207" s="4">
        <ns0:v>22.78</ns0:v>
      </ns0:c>
      <ns0:c r="H207" s="4">
        <ns0:v>44.94</ns0:v>
      </ns0:c>
      <ns0:c r="I207" s="4">
        <ns0:v>25.46</ns0:v>
      </ns0:c>
      <ns0:c r="J207" s="4">
        <ns0:v>62.22</ns0:v>
      </ns0:c>
      <ns0:c r="K207" s="4">
        <ns0:v>47.76</ns0:v>
      </ns0:c>
      <ns0:c r="L207" s="4">
        <ns0:v>25.49</ns0:v>
      </ns0:c>
      <ns0:c r="M207" s="4">
        <ns0:v>36.76</ns0:v>
      </ns0:c>
      <ns0:c r="N207" s="4">
        <ns0:v>25.18</ns0:v>
      </ns0:c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 t="inlineStr">
        <ns0:is>
          <ns0:t>福利费单价</ns0:t>
        </ns0:is>
      </ns0:c>
      <ns0:c r="C208" s="4">
        <ns0:v>61.37</ns0:v>
      </ns0:c>
      <ns0:c r="D208" s="4">
        <ns0:v>31.01</ns0:v>
      </ns0:c>
      <ns0:c r="E208" s="4">
        <ns0:v>67.01</ns0:v>
      </ns0:c>
      <ns0:c r="F208" s="4">
        <ns0:v>23.48</ns0:v>
      </ns0:c>
      <ns0:c r="G208" s="4">
        <ns0:v>29.59</ns0:v>
      </ns0:c>
      <ns0:c r="H208" s="4">
        <ns0:v>19.47</ns0:v>
      </ns0:c>
      <ns0:c r="I208" s="4">
        <ns0:v>53.83</ns0:v>
      </ns0:c>
      <ns0:c r="J208" s="4">
        <ns0:v>43.09</ns0:v>
      </ns0:c>
      <ns0:c r="K208" s="4">
        <ns0:v>32.11</ns0:v>
      </ns0:c>
      <ns0:c r="L208" s="4">
        <ns0:v>73.15</ns0:v>
      </ns0:c>
      <ns0:c r="M208" s="4">
        <ns0:v>52.64</ns0:v>
      </ns0:c>
      <ns0:c r="N208" s="4">
        <ns0:v>54.36</ns0:v>
      </ns0:c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 t="inlineStr">
        <ns0:is>
          <ns0:t>招聘费单价</ns0:t>
        </ns0:is>
      </ns0:c>
      <ns0:c r="C209" s="4">
        <ns0:v>60.44</ns0:v>
      </ns0:c>
      <ns0:c r="D209" s="4">
        <ns0:v>55.63</ns0:v>
      </ns0:c>
      <ns0:c r="E209" s="4">
        <ns0:v>19.72</ns0:v>
      </ns0:c>
      <ns0:c r="F209" s="4">
        <ns0:v>19.64</ns0:v>
      </ns0:c>
      <ns0:c r="G209" s="4">
        <ns0:v>56.89</ns0:v>
      </ns0:c>
      <ns0:c r="H209" s="4">
        <ns0:v>50.40</ns0:v>
      </ns0:c>
      <ns0:c r="I209" s="4">
        <ns0:v>53.94</ns0:v>
      </ns0:c>
      <ns0:c r="J209" s="4">
        <ns0:v>16.51</ns0:v>
      </ns0:c>
      <ns0:c r="K209" s="4">
        <ns0:v>20.71</ns0:v>
      </ns0:c>
      <ns0:c r="L209" s="4">
        <ns0:v>34.14</ns0:v>
      </ns0:c>
      <ns0:c r="M209" s="4">
        <ns0:v>36.46</ns0:v>
      </ns0:c>
      <ns0:c r="N209" s="4">
        <ns0:v>34.58</ns0:v>
      </ns0:c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 t="inlineStr">
        <ns0:is>
          <ns0:t>培训费单价</ns0:t>
        </ns0:is>
      </ns0:c>
      <ns0:c r="C210" s="4">
        <ns0:v>24.36</ns0:v>
      </ns0:c>
      <ns0:c r="D210" s="4">
        <ns0:v>44.52</ns0:v>
      </ns0:c>
      <ns0:c r="E210" s="4">
        <ns0:v>50.67</ns0:v>
      </ns0:c>
      <ns0:c r="F210" s="4">
        <ns0:v>29.83</ns0:v>
      </ns0:c>
      <ns0:c r="G210" s="4">
        <ns0:v>47.56</ns0:v>
      </ns0:c>
      <ns0:c r="H210" s="4">
        <ns0:v>39.03</ns0:v>
      </ns0:c>
      <ns0:c r="I210" s="4">
        <ns0:v>37.03</ns0:v>
      </ns0:c>
      <ns0:c r="J210" s="4">
        <ns0:v>52.58</ns0:v>
      </ns0:c>
      <ns0:c r="K210" s="4">
        <ns0:v>62.14</ns0:v>
      </ns0:c>
      <ns0:c r="L210" s="4">
        <ns0:v>57.65</ns0:v>
      </ns0:c>
      <ns0:c r="M210" s="4">
        <ns0:v>61.22</ns0:v>
      </ns0:c>
      <ns0:c r="N210" s="4">
        <ns0:v>68.30</ns0:v>
      </ns0:c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 t="inlineStr">
        <ns0:is>
          <ns0:t>房租单价</ns0:t>
        </ns0:is>
      </ns0:c>
      <ns0:c r="C211" s="4">
        <ns0:v>25.72</ns0:v>
      </ns0:c>
      <ns0:c r="D211" s="4">
        <ns0:v>47.81</ns0:v>
      </ns0:c>
      <ns0:c r="E211" s="4">
        <ns0:v>33.59</ns0:v>
      </ns0:c>
      <ns0:c r="F211" s="4">
        <ns0:v>47.40</ns0:v>
      </ns0:c>
      <ns0:c r="G211" s="4">
        <ns0:v>60.09</ns0:v>
      </ns0:c>
      <ns0:c r="H211" s="4">
        <ns0:v>23.58</ns0:v>
      </ns0:c>
      <ns0:c r="I211" s="4">
        <ns0:v>34.75</ns0:v>
      </ns0:c>
      <ns0:c r="J211" s="4">
        <ns0:v>42.22</ns0:v>
      </ns0:c>
      <ns0:c r="K211" s="4">
        <ns0:v>34.79</ns0:v>
      </ns0:c>
      <ns0:c r="L211" s="4">
        <ns0:v>55.30</ns0:v>
      </ns0:c>
      <ns0:c r="M211" s="4">
        <ns0:v>49.68</ns0:v>
      </ns0:c>
      <ns0:c r="N211" s="4">
        <ns0:v>44.78</ns0:v>
      </ns0:c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 t="inlineStr">
        <ns0:is>
          <ns0:t>物业管理费单价</ns0:t>
        </ns0:is>
      </ns0:c>
      <ns0:c r="C212" s="4">
        <ns0:v>38.95</ns0:v>
      </ns0:c>
      <ns0:c r="D212" s="4">
        <ns0:v>15.66</ns0:v>
      </ns0:c>
      <ns0:c r="E212" s="4">
        <ns0:v>39.34</ns0:v>
      </ns0:c>
      <ns0:c r="F212" s="4">
        <ns0:v>24.44</ns0:v>
      </ns0:c>
      <ns0:c r="G212" s="4">
        <ns0:v>33.74</ns0:v>
      </ns0:c>
      <ns0:c r="H212" s="4">
        <ns0:v>37.58</ns0:v>
      </ns0:c>
      <ns0:c r="I212" s="4">
        <ns0:v>59.46</ns0:v>
      </ns0:c>
      <ns0:c r="J212" s="4">
        <ns0:v>23.47</ns0:v>
      </ns0:c>
      <ns0:c r="K212" s="4">
        <ns0:v>30.31</ns0:v>
      </ns0:c>
      <ns0:c r="L212" s="4">
        <ns0:v>50.14</ns0:v>
      </ns0:c>
      <ns0:c r="M212" s="4">
        <ns0:v>48.20</ns0:v>
      </ns0:c>
      <ns0:c r="N212" s="4">
        <ns0:v>22.40</ns0:v>
      </ns0:c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 t="inlineStr">
        <ns0:is>
          <ns0:t>汽车费用单价</ns0:t>
        </ns0:is>
      </ns0:c>
      <ns0:c r="C213" s="4">
        <ns0:v>54.56</ns0:v>
      </ns0:c>
      <ns0:c r="D213" s="4">
        <ns0:v>47.76</ns0:v>
      </ns0:c>
      <ns0:c r="E213" s="4">
        <ns0:v>30.25</ns0:v>
      </ns0:c>
      <ns0:c r="F213" s="4">
        <ns0:v>64.37</ns0:v>
      </ns0:c>
      <ns0:c r="G213" s="4">
        <ns0:v>41.42</ns0:v>
      </ns0:c>
      <ns0:c r="H213" s="4">
        <ns0:v>49.04</ns0:v>
      </ns0:c>
      <ns0:c r="I213" s="4">
        <ns0:v>42.01</ns0:v>
      </ns0:c>
      <ns0:c r="J213" s="4">
        <ns0:v>34.53</ns0:v>
      </ns0:c>
      <ns0:c r="K213" s="4">
        <ns0:v>41.85</ns0:v>
      </ns0:c>
      <ns0:c r="L213" s="4">
        <ns0:v>28.48</ns0:v>
      </ns0:c>
      <ns0:c r="M213" s="4">
        <ns0:v>46.52</ns0:v>
      </ns0:c>
      <ns0:c r="N213" s="4">
        <ns0:v>44.26</ns0:v>
      </ns0:c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 t="inlineStr">
        <ns0:is>
          <ns0:t>办公费单价</ns0:t>
        </ns0:is>
      </ns0:c>
      <ns0:c r="C214" s="4">
        <ns0:v>49.91</ns0:v>
      </ns0:c>
      <ns0:c r="D214" s="4">
        <ns0:v>25.99</ns0:v>
      </ns0:c>
      <ns0:c r="E214" s="4">
        <ns0:v>44.41</ns0:v>
      </ns0:c>
      <ns0:c r="F214" s="4">
        <ns0:v>49.60</ns0:v>
      </ns0:c>
      <ns0:c r="G214" s="4">
        <ns0:v>44.99</ns0:v>
      </ns0:c>
      <ns0:c r="H214" s="4">
        <ns0:v>21.61</ns0:v>
      </ns0:c>
      <ns0:c r="I214" s="4">
        <ns0:v>60.72</ns0:v>
      </ns0:c>
      <ns0:c r="J214" s="4">
        <ns0:v>30.26</ns0:v>
      </ns0:c>
      <ns0:c r="K214" s="4">
        <ns0:v>71.02</ns0:v>
      </ns0:c>
      <ns0:c r="L214" s="4">
        <ns0:v>70.87</ns0:v>
      </ns0:c>
      <ns0:c r="M214" s="4">
        <ns0:v>66.84</ns0:v>
      </ns0:c>
      <ns0:c r="N214" s="4">
        <ns0:v>36.87</ns0:v>
      </ns0:c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 t="inlineStr">
        <ns0:is>
          <ns0:t>办公用品单价</ns0:t>
        </ns0:is>
      </ns0:c>
      <ns0:c r="C215" s="4">
        <ns0:v>24.43</ns0:v>
      </ns0:c>
      <ns0:c r="D215" s="4">
        <ns0:v>58.98</ns0:v>
      </ns0:c>
      <ns0:c r="E215" s="4">
        <ns0:v>31.68</ns0:v>
      </ns0:c>
      <ns0:c r="F215" s="4">
        <ns0:v>37.48</ns0:v>
      </ns0:c>
      <ns0:c r="G215" s="4">
        <ns0:v>58.14</ns0:v>
      </ns0:c>
      <ns0:c r="H215" s="4">
        <ns0:v>51.22</ns0:v>
      </ns0:c>
      <ns0:c r="I215" s="4">
        <ns0:v>37.52</ns0:v>
      </ns0:c>
      <ns0:c r="J215" s="4">
        <ns0:v>50.14</ns0:v>
      </ns0:c>
      <ns0:c r="K215" s="4">
        <ns0:v>48.02</ns0:v>
      </ns0:c>
      <ns0:c r="L215" s="4">
        <ns0:v>34.28</ns0:v>
      </ns0:c>
      <ns0:c r="M215" s="4">
        <ns0:v>49.82</ns0:v>
      </ns0:c>
      <ns0:c r="N215" s="4">
        <ns0:v>44.32</ns0:v>
      </ns0:c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 t="inlineStr">
        <ns0:is>
          <ns0:t>水电煤单价</ns0:t>
        </ns0:is>
      </ns0:c>
      <ns0:c r="C216" s="4">
        <ns0:v>17.85</ns0:v>
      </ns0:c>
      <ns0:c r="D216" s="4">
        <ns0:v>39.45</ns0:v>
      </ns0:c>
      <ns0:c r="E216" s="4">
        <ns0:v>40.36</ns0:v>
      </ns0:c>
      <ns0:c r="F216" s="4">
        <ns0:v>50.12</ns0:v>
      </ns0:c>
      <ns0:c r="G216" s="4">
        <ns0:v>26.53</ns0:v>
      </ns0:c>
      <ns0:c r="H216" s="4">
        <ns0:v>57.18</ns0:v>
      </ns0:c>
      <ns0:c r="I216" s="4">
        <ns0:v>43.09</ns0:v>
      </ns0:c>
      <ns0:c r="J216" s="4">
        <ns0:v>39.92</ns0:v>
      </ns0:c>
      <ns0:c r="K216" s="4">
        <ns0:v>48.21</ns0:v>
      </ns0:c>
      <ns0:c r="L216" s="4">
        <ns0:v>58.95</ns0:v>
      </ns0:c>
      <ns0:c r="M216" s="4">
        <ns0:v>31.64</ns0:v>
      </ns0:c>
      <ns0:c r="N216" s="4">
        <ns0:v>57.84</ns0:v>
      </ns0:c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 t="inlineStr">
        <ns0:is>
          <ns0:t>咨询服务费单价</ns0:t>
        </ns0:is>
      </ns0:c>
      <ns0:c r="C217" s="4">
        <ns0:v>31.82</ns0:v>
      </ns0:c>
      <ns0:c r="D217" s="4">
        <ns0:v>59.90</ns0:v>
      </ns0:c>
      <ns0:c r="E217" s="4">
        <ns0:v>63.85</ns0:v>
      </ns0:c>
      <ns0:c r="F217" s="4">
        <ns0:v>47.45</ns0:v>
      </ns0:c>
      <ns0:c r="G217" s="4">
        <ns0:v>22.66</ns0:v>
      </ns0:c>
      <ns0:c r="H217" s="4">
        <ns0:v>23.04</ns0:v>
      </ns0:c>
      <ns0:c r="I217" s="4">
        <ns0:v>39.60</ns0:v>
      </ns0:c>
      <ns0:c r="J217" s="4">
        <ns0:v>58.29</ns0:v>
      </ns0:c>
      <ns0:c r="K217" s="4">
        <ns0:v>65.29</ns0:v>
      </ns0:c>
      <ns0:c r="L217" s="4">
        <ns0:v>39.25</ns0:v>
      </ns0:c>
      <ns0:c r="M217" s="4">
        <ns0:v>59.14</ns0:v>
      </ns0:c>
      <ns0:c r="N217" s="4">
        <ns0:v>41.50</ns0:v>
      </ns0:c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 t="inlineStr">
        <ns0:is>
          <ns0:t>电话费单价</ns0:t>
        </ns0:is>
      </ns0:c>
      <ns0:c r="C218" s="4">
        <ns0:v>22.53</ns0:v>
      </ns0:c>
      <ns0:c r="D218" s="4">
        <ns0:v>69.66</ns0:v>
      </ns0:c>
      <ns0:c r="E218" s="4">
        <ns0:v>51.87</ns0:v>
      </ns0:c>
      <ns0:c r="F218" s="4">
        <ns0:v>52.81</ns0:v>
      </ns0:c>
      <ns0:c r="G218" s="4">
        <ns0:v>52.42</ns0:v>
      </ns0:c>
      <ns0:c r="H218" s="4">
        <ns0:v>36.13</ns0:v>
      </ns0:c>
      <ns0:c r="I218" s="4">
        <ns0:v>20.79</ns0:v>
      </ns0:c>
      <ns0:c r="J218" s="4">
        <ns0:v>23.82</ns0:v>
      </ns0:c>
      <ns0:c r="K218" s="4">
        <ns0:v>53.33</ns0:v>
      </ns0:c>
      <ns0:c r="L218" s="4">
        <ns0:v>33.89</ns0:v>
      </ns0:c>
      <ns0:c r="M218" s="4">
        <ns0:v>56.60</ns0:v>
      </ns0:c>
      <ns0:c r="N218" s="4">
        <ns0:v>55.62</ns0:v>
      </ns0:c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 t="inlineStr">
        <ns0:is>
          <ns0:t>快递费单价</ns0:t>
        </ns0:is>
      </ns0:c>
      <ns0:c r="C219" s="4">
        <ns0:v>51.31</ns0:v>
      </ns0:c>
      <ns0:c r="D219" s="4">
        <ns0:v>41.22</ns0:v>
      </ns0:c>
      <ns0:c r="E219" s="4">
        <ns0:v>51.12</ns0:v>
      </ns0:c>
      <ns0:c r="F219" s="4">
        <ns0:v>20.58</ns0:v>
      </ns0:c>
      <ns0:c r="G219" s="4">
        <ns0:v>37.70</ns0:v>
      </ns0:c>
      <ns0:c r="H219" s="4">
        <ns0:v>49.15</ns0:v>
      </ns0:c>
      <ns0:c r="I219" s="4">
        <ns0:v>72.75</ns0:v>
      </ns0:c>
      <ns0:c r="J219" s="4">
        <ns0:v>44.55</ns0:v>
      </ns0:c>
      <ns0:c r="K219" s="4">
        <ns0:v>35.59</ns0:v>
      </ns0:c>
      <ns0:c r="L219" s="4">
        <ns0:v>25.06</ns0:v>
      </ns0:c>
      <ns0:c r="M219" s="4">
        <ns0:v>26.85</ns0:v>
      </ns0:c>
      <ns0:c r="N219" s="4">
        <ns0:v>41.53</ns0:v>
      </ns0:c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 t="inlineStr">
        <ns0:is>
          <ns0:t>折旧及摊销单价</ns0:t>
        </ns0:is>
      </ns0:c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 t="inlineStr">
        <ns0:is>
          <ns0:t>机票火车票单价</ns0:t>
        </ns0:is>
      </ns0:c>
      <ns0:c r="C221" s="4">
        <ns0:v>60.63</ns0:v>
      </ns0:c>
      <ns0:c r="D221" s="4">
        <ns0:v>52.75</ns0:v>
      </ns0:c>
      <ns0:c r="E221" s="4">
        <ns0:v>67.28</ns0:v>
      </ns0:c>
      <ns0:c r="F221" s="4">
        <ns0:v>39.99</ns0:v>
      </ns0:c>
      <ns0:c r="G221" s="4">
        <ns0:v>58.24</ns0:v>
      </ns0:c>
      <ns0:c r="H221" s="4">
        <ns0:v>61.16</ns0:v>
      </ns0:c>
      <ns0:c r="I221" s="4">
        <ns0:v>58.88</ns0:v>
      </ns0:c>
      <ns0:c r="J221" s="4">
        <ns0:v>54.16</ns0:v>
      </ns0:c>
      <ns0:c r="K221" s="4">
        <ns0:v>52.67</ns0:v>
      </ns0:c>
      <ns0:c r="L221" s="4">
        <ns0:v>60.36</ns0:v>
      </ns0:c>
      <ns0:c r="M221" s="4">
        <ns0:v>59.61</ns0:v>
      </ns0:c>
      <ns0:c r="N221" s="4">
        <ns0:v>31.91</ns0:v>
      </ns0:c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 t="inlineStr">
        <ns0:is>
          <ns0:t>住宿费单价</ns0:t>
        </ns0:is>
      </ns0:c>
      <ns0:c r="C222" s="4">
        <ns0:v>19.60</ns0:v>
      </ns0:c>
      <ns0:c r="D222" s="4">
        <ns0:v>30.05</ns0:v>
      </ns0:c>
      <ns0:c r="E222" s="4">
        <ns0:v>26.93</ns0:v>
      </ns0:c>
      <ns0:c r="F222" s="4">
        <ns0:v>58.29</ns0:v>
      </ns0:c>
      <ns0:c r="G222" s="4">
        <ns0:v>37.58</ns0:v>
      </ns0:c>
      <ns0:c r="H222" s="4">
        <ns0:v>65.41</ns0:v>
      </ns0:c>
      <ns0:c r="I222" s="4">
        <ns0:v>28.35</ns0:v>
      </ns0:c>
      <ns0:c r="J222" s="4">
        <ns0:v>47.29</ns0:v>
      </ns0:c>
      <ns0:c r="K222" s="4">
        <ns0:v>60.85</ns0:v>
      </ns0:c>
      <ns0:c r="L222" s="4">
        <ns0:v>30.31</ns0:v>
      </ns0:c>
      <ns0:c r="M222" s="4">
        <ns0:v>25.94</ns0:v>
      </ns0:c>
      <ns0:c r="N222" s="4">
        <ns0:v>40.19</ns0:v>
      </ns0:c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 t="inlineStr">
        <ns0:is>
          <ns0:t>交通费单价</ns0:t>
        </ns0:is>
      </ns0:c>
      <ns0:c r="C223" s="4">
        <ns0:v>25.79</ns0:v>
      </ns0:c>
      <ns0:c r="D223" s="4">
        <ns0:v>51.93</ns0:v>
      </ns0:c>
      <ns0:c r="E223" s="4">
        <ns0:v>20.25</ns0:v>
      </ns0:c>
      <ns0:c r="F223" s="4">
        <ns0:v>18.79</ns0:v>
      </ns0:c>
      <ns0:c r="G223" s="4">
        <ns0:v>63.40</ns0:v>
      </ns0:c>
      <ns0:c r="H223" s="4">
        <ns0:v>35.73</ns0:v>
      </ns0:c>
      <ns0:c r="I223" s="4">
        <ns0:v>45.01</ns0:v>
      </ns0:c>
      <ns0:c r="J223" s="4">
        <ns0:v>19.66</ns0:v>
      </ns0:c>
      <ns0:c r="K223" s="4">
        <ns0:v>65.58</ns0:v>
      </ns0:c>
      <ns0:c r="L223" s="4">
        <ns0:v>25.77</ns0:v>
      </ns0:c>
      <ns0:c r="M223" s="4">
        <ns0:v>48.34</ns0:v>
      </ns0:c>
      <ns0:c r="N223" s="4">
        <ns0:v>17.71</ns0:v>
      </ns0:c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 t="inlineStr">
        <ns0:is>
          <ns0:t>差旅补贴单价</ns0:t>
        </ns0:is>
      </ns0:c>
      <ns0:c r="C224" s="4">
        <ns0:v>60.14</ns0:v>
      </ns0:c>
      <ns0:c r="D224" s="4">
        <ns0:v>39.53</ns0:v>
      </ns0:c>
      <ns0:c r="E224" s="4">
        <ns0:v>21.86</ns0:v>
      </ns0:c>
      <ns0:c r="F224" s="4">
        <ns0:v>70.32</ns0:v>
      </ns0:c>
      <ns0:c r="G224" s="4">
        <ns0:v>43.43</ns0:v>
      </ns0:c>
      <ns0:c r="H224" s="4">
        <ns0:v>35.59</ns0:v>
      </ns0:c>
      <ns0:c r="I224" s="4">
        <ns0:v>53.57</ns0:v>
      </ns0:c>
      <ns0:c r="J224" s="4">
        <ns0:v>49.00</ns0:v>
      </ns0:c>
      <ns0:c r="K224" s="4">
        <ns0:v>61.49</ns0:v>
      </ns0:c>
      <ns0:c r="L224" s="4">
        <ns0:v>69.82</ns0:v>
      </ns0:c>
      <ns0:c r="M224" s="4">
        <ns0:v>42.65</ns0:v>
      </ns0:c>
      <ns0:c r="N224" s="4">
        <ns0:v>54.27</ns0:v>
      </ns0:c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 t="inlineStr">
        <ns0:is>
          <ns0:t>业务招待费单价</ns0:t>
        </ns0:is>
      </ns0:c>
      <ns0:c r="C225" s="4">
        <ns0:v>25.76</ns0:v>
      </ns0:c>
      <ns0:c r="D225" s="4">
        <ns0:v>25.73</ns0:v>
      </ns0:c>
      <ns0:c r="E225" s="4">
        <ns0:v>15.70</ns0:v>
      </ns0:c>
      <ns0:c r="F225" s="4">
        <ns0:v>23.47</ns0:v>
      </ns0:c>
      <ns0:c r="G225" s="4">
        <ns0:v>38.66</ns0:v>
      </ns0:c>
      <ns0:c r="H225" s="4">
        <ns0:v>45.04</ns0:v>
      </ns0:c>
      <ns0:c r="I225" s="4">
        <ns0:v>56.50</ns0:v>
      </ns0:c>
      <ns0:c r="J225" s="4">
        <ns0:v>62.47</ns0:v>
      </ns0:c>
      <ns0:c r="K225" s="4">
        <ns0:v>66.02</ns0:v>
      </ns0:c>
      <ns0:c r="L225" s="4">
        <ns0:v>61.46</ns0:v>
      </ns0:c>
      <ns0:c r="M225" s="4">
        <ns0:v>40.30</ns0:v>
      </ns0:c>
      <ns0:c r="N225" s="4">
        <ns0:v>46.69</ns0:v>
      </ns0:c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 t="inlineStr">
        <ns0:is>
          <ns0:t>市内交通费单价</ns0:t>
        </ns0:is>
      </ns0:c>
      <ns0:c r="C226" s="4">
        <ns0:v>47.95</ns0:v>
      </ns0:c>
      <ns0:c r="D226" s="4">
        <ns0:v>18.61</ns0:v>
      </ns0:c>
      <ns0:c r="E226" s="4">
        <ns0:v>53.56</ns0:v>
      </ns0:c>
      <ns0:c r="F226" s="4">
        <ns0:v>65.60</ns0:v>
      </ns0:c>
      <ns0:c r="G226" s="4">
        <ns0:v>49.70</ns0:v>
      </ns0:c>
      <ns0:c r="H226" s="4">
        <ns0:v>38.84</ns0:v>
      </ns0:c>
      <ns0:c r="I226" s="4">
        <ns0:v>68.98</ns0:v>
      </ns0:c>
      <ns0:c r="J226" s="4">
        <ns0:v>49.38</ns0:v>
      </ns0:c>
      <ns0:c r="K226" s="4">
        <ns0:v>17.79</ns0:v>
      </ns0:c>
      <ns0:c r="L226" s="4">
        <ns0:v>43.90</ns0:v>
      </ns0:c>
      <ns0:c r="M226" s="4">
        <ns0:v>41.36</ns0:v>
      </ns0:c>
      <ns0:c r="N226" s="4">
        <ns0:v>55.21</ns0:v>
      </ns0:c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 t="inlineStr">
        <ns0:is>
          <ns0:t>调研费用单价</ns0:t>
        </ns0:is>
      </ns0:c>
      <ns0:c r="C227" s="4">
        <ns0:v>23.71</ns0:v>
      </ns0:c>
      <ns0:c r="D227" s="4">
        <ns0:v>24.65</ns0:v>
      </ns0:c>
      <ns0:c r="E227" s="4">
        <ns0:v>35.44</ns0:v>
      </ns0:c>
      <ns0:c r="F227" s="4">
        <ns0:v>25.64</ns0:v>
      </ns0:c>
      <ns0:c r="G227" s="4">
        <ns0:v>50.07</ns0:v>
      </ns0:c>
      <ns0:c r="H227" s="4">
        <ns0:v>16.75</ns0:v>
      </ns0:c>
      <ns0:c r="I227" s="4">
        <ns0:v>30.81</ns0:v>
      </ns0:c>
      <ns0:c r="J227" s="4">
        <ns0:v>18.87</ns0:v>
      </ns0:c>
      <ns0:c r="K227" s="4">
        <ns0:v>51.30</ns0:v>
      </ns0:c>
      <ns0:c r="L227" s="4">
        <ns0:v>29.37</ns0:v>
      </ns0:c>
      <ns0:c r="M227" s="4">
        <ns0:v>19.86</ns0:v>
      </ns0:c>
      <ns0:c r="N227" s="4">
        <ns0:v>63.91</ns0:v>
      </ns0:c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 t="inlineStr">
        <ns0:is>
          <ns0:t>手续费单价</ns0:t>
        </ns0:is>
      </ns0:c>
      <ns0:c r="C228" s="4">
        <ns0:v>63.79</ns0:v>
      </ns0:c>
      <ns0:c r="D228" s="4">
        <ns0:v>32.72</ns0:v>
      </ns0:c>
      <ns0:c r="E228" s="4">
        <ns0:v>27.93</ns0:v>
      </ns0:c>
      <ns0:c r="F228" s="4">
        <ns0:v>31.99</ns0:v>
      </ns0:c>
      <ns0:c r="G228" s="4">
        <ns0:v>50.32</ns0:v>
      </ns0:c>
      <ns0:c r="H228" s="4">
        <ns0:v>42.93</ns0:v>
      </ns0:c>
      <ns0:c r="I228" s="4">
        <ns0:v>34.50</ns0:v>
      </ns0:c>
      <ns0:c r="J228" s="4">
        <ns0:v>48.68</ns0:v>
      </ns0:c>
      <ns0:c r="K228" s="4">
        <ns0:v>68.42</ns0:v>
      </ns0:c>
      <ns0:c r="L228" s="4">
        <ns0:v>29.30</ns0:v>
      </ns0:c>
      <ns0:c r="M228" s="4">
        <ns0:v>39.76</ns0:v>
      </ns0:c>
      <ns0:c r="N228" s="4">
        <ns0:v>18.92</ns0:v>
      </ns0:c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 t="inlineStr">
        <ns0:is>
          <ns0:t>利息收入单价</ns0:t>
        </ns0:is>
      </ns0:c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 t="inlineStr">
        <ns0:is>
          <ns0:t>利息支出单价</ns0:t>
        </ns0:is>
      </ns0:c>
      <ns0:c r="C230" s="4">
        <ns0:v>65.44</ns0:v>
      </ns0:c>
      <ns0:c r="D230" s="4">
        <ns0:v>25.74</ns0:v>
      </ns0:c>
      <ns0:c r="E230" s="4">
        <ns0:v>28.96</ns0:v>
      </ns0:c>
      <ns0:c r="F230" s="4">
        <ns0:v>54.63</ns0:v>
      </ns0:c>
      <ns0:c r="G230" s="4">
        <ns0:v>33.14</ns0:v>
      </ns0:c>
      <ns0:c r="H230" s="4">
        <ns0:v>26.98</ns0:v>
      </ns0:c>
      <ns0:c r="I230" s="4">
        <ns0:v>63.96</ns0:v>
      </ns0:c>
      <ns0:c r="J230" s="4">
        <ns0:v>53.81</ns0:v>
      </ns0:c>
      <ns0:c r="K230" s="4">
        <ns0:v>42.83</ns0:v>
      </ns0:c>
      <ns0:c r="L230" s="4">
        <ns0:v>67.25</ns0:v>
      </ns0:c>
      <ns0:c r="M230" s="4">
        <ns0:v>57.13</ns0:v>
      </ns0:c>
      <ns0:c r="N230" s="4">
        <ns0:v>64.25</ns0:v>
      </ns0:c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 t="inlineStr">
        <ns0:is>
          <ns0:t>车船税单价</ns0:t>
        </ns0:is>
      </ns0:c>
      <ns0:c r="C231" s="4">
        <ns0:v>44.37</ns0:v>
      </ns0:c>
      <ns0:c r="D231" s="4">
        <ns0:v>39.43</ns0:v>
      </ns0:c>
      <ns0:c r="E231" s="4">
        <ns0:v>41.77</ns0:v>
      </ns0:c>
      <ns0:c r="F231" s="4">
        <ns0:v>19.50</ns0:v>
      </ns0:c>
      <ns0:c r="G231" s="4">
        <ns0:v>32.41</ns0:v>
      </ns0:c>
      <ns0:c r="H231" s="4">
        <ns0:v>21.83</ns0:v>
      </ns0:c>
      <ns0:c r="I231" s="4">
        <ns0:v>29.07</ns0:v>
      </ns0:c>
      <ns0:c r="J231" s="4">
        <ns0:v>33.02</ns0:v>
      </ns0:c>
      <ns0:c r="K231" s="4">
        <ns0:v>33.34</ns0:v>
      </ns0:c>
      <ns0:c r="L231" s="4">
        <ns0:v>52.94</ns0:v>
      </ns0:c>
      <ns0:c r="M231" s="4">
        <ns0:v>38.90</ns0:v>
      </ns0:c>
      <ns0:c r="N231" s="4">
        <ns0:v>37.59</ns0:v>
      </ns0:c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 t="inlineStr">
        <ns0:is>
          <ns0:t>印花税单价</ns0:t>
        </ns0:is>
      </ns0:c>
      <ns0:c r="C232" s="4">
        <ns0:v>35.75</ns0:v>
      </ns0:c>
      <ns0:c r="D232" s="4">
        <ns0:v>42.56</ns0:v>
      </ns0:c>
      <ns0:c r="E232" s="4">
        <ns0:v>70.84</ns0:v>
      </ns0:c>
      <ns0:c r="F232" s="4">
        <ns0:v>62.57</ns0:v>
      </ns0:c>
      <ns0:c r="G232" s="4">
        <ns0:v>42.79</ns0:v>
      </ns0:c>
      <ns0:c r="H232" s="4">
        <ns0:v>68.94</ns0:v>
      </ns0:c>
      <ns0:c r="I232" s="4">
        <ns0:v>20.39</ns0:v>
      </ns0:c>
      <ns0:c r="J232" s="4">
        <ns0:v>45.07</ns0:v>
      </ns0:c>
      <ns0:c r="K232" s="4">
        <ns0:v>52.90</ns0:v>
      </ns0:c>
      <ns0:c r="L232" s="4">
        <ns0:v>56.70</ns0:v>
      </ns0:c>
      <ns0:c r="M232" s="4">
        <ns0:v>63.61</ns0:v>
      </ns0:c>
      <ns0:c r="N232" s="4">
        <ns0:v>44.51</ns0:v>
      </ns0:c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 t="inlineStr">
        <ns0:is>
          <ns0:t>其他单价</ns0:t>
        </ns0:is>
      </ns0:c>
      <ns0:c r="C233" s="4">
        <ns0:v>36.47</ns0:v>
      </ns0:c>
      <ns0:c r="D233" s="4">
        <ns0:v>35.49</ns0:v>
      </ns0:c>
      <ns0:c r="E233" s="4">
        <ns0:v>43.41</ns0:v>
      </ns0:c>
      <ns0:c r="F233" s="4">
        <ns0:v>16.05</ns0:v>
      </ns0:c>
      <ns0:c r="G233" s="4">
        <ns0:v>43.01</ns0:v>
      </ns0:c>
      <ns0:c r="H233" s="4">
        <ns0:v>33.97</ns0:v>
      </ns0:c>
      <ns0:c r="I233" s="4">
        <ns0:v>48.16</ns0:v>
      </ns0:c>
      <ns0:c r="J233" s="4">
        <ns0:v>21.72</ns0:v>
      </ns0:c>
      <ns0:c r="K233" s="4">
        <ns0:v>59.23</ns0:v>
      </ns0:c>
      <ns0:c r="L233" s="4">
        <ns0:v>39.92</ns0:v>
      </ns0:c>
      <ns0:c r="M233" s="4">
        <ns0:v>52.10</ns0:v>
      </ns0:c>
      <ns0:c r="N233" s="4">
        <ns0:v>48.71</ns0:v>
      </ns0:c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 t="inlineStr">
        <ns0:is>
          <ns0:t>工资数量</ns0:t>
        </ns0:is>
      </ns0:c>
      <ns0:c r="C324" s="4">
        <ns0:v>5.20</ns0:v>
      </ns0:c>
      <ns0:c r="D324" s="4">
        <ns0:v>8.97</ns0:v>
      </ns0:c>
      <ns0:c r="E324" s="4">
        <ns0:v>5.16</ns0:v>
      </ns0:c>
      <ns0:c r="F324" s="4">
        <ns0:v>7.92</ns0:v>
      </ns0:c>
      <ns0:c r="G324" s="4">
        <ns0:v>3.35</ns0:v>
      </ns0:c>
      <ns0:c r="H324" s="4">
        <ns0:v>4.47</ns0:v>
      </ns0:c>
      <ns0:c r="I324" s="4">
        <ns0:v>7.90</ns0:v>
      </ns0:c>
      <ns0:c r="J324" s="4">
        <ns0:v>8.05</ns0:v>
      </ns0:c>
      <ns0:c r="K324" s="4">
        <ns0:v>8.92</ns0:v>
      </ns0:c>
      <ns0:c r="L324" s="4">
        <ns0:v>2.46</ns0:v>
      </ns0:c>
      <ns0:c r="M324" s="4">
        <ns0:v>4.83</ns0:v>
      </ns0:c>
      <ns0:c r="N324" s="4">
        <ns0:v>8.24</ns0:v>
      </ns0:c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 t="inlineStr">
        <ns0:is>
          <ns0:t>十三薪数量</ns0:t>
        </ns0:is>
      </ns0:c>
      <ns0:c r="C325" s="4">
        <ns0:v>5.15</ns0:v>
      </ns0:c>
      <ns0:c r="D325" s="4">
        <ns0:v>8.52</ns0:v>
      </ns0:c>
      <ns0:c r="E325" s="4">
        <ns0:v>2.56</ns0:v>
      </ns0:c>
      <ns0:c r="F325" s="4">
        <ns0:v>9.42</ns0:v>
      </ns0:c>
      <ns0:c r="G325" s="4">
        <ns0:v>5.47</ns0:v>
      </ns0:c>
      <ns0:c r="H325" s="4">
        <ns0:v>6.58</ns0:v>
      </ns0:c>
      <ns0:c r="I325" s="4">
        <ns0:v>7.58</ns0:v>
      </ns0:c>
      <ns0:c r="J325" s="4">
        <ns0:v>2.28</ns0:v>
      </ns0:c>
      <ns0:c r="K325" s="4">
        <ns0:v>9.23</ns0:v>
      </ns0:c>
      <ns0:c r="L325" s="4">
        <ns0:v>3.01</ns0:v>
      </ns0:c>
      <ns0:c r="M325" s="4">
        <ns0:v>4.85</ns0:v>
      </ns0:c>
      <ns0:c r="N325" s="4">
        <ns0:v>5.81</ns0:v>
      </ns0:c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 t="inlineStr">
        <ns0:is>
          <ns0:t>离职补偿金数量</ns0:t>
        </ns0:is>
      </ns0:c>
      <ns0:c r="C326" s="4">
        <ns0:v>6.80</ns0:v>
      </ns0:c>
      <ns0:c r="D326" s="4">
        <ns0:v>5.38</ns0:v>
      </ns0:c>
      <ns0:c r="E326" s="4">
        <ns0:v>4.20</ns0:v>
      </ns0:c>
      <ns0:c r="F326" s="4">
        <ns0:v>3.82</ns0:v>
      </ns0:c>
      <ns0:c r="G326" s="4">
        <ns0:v>4.11</ns0:v>
      </ns0:c>
      <ns0:c r="H326" s="4">
        <ns0:v>3.60</ns0:v>
      </ns0:c>
      <ns0:c r="I326" s="4">
        <ns0:v>6.71</ns0:v>
      </ns0:c>
      <ns0:c r="J326" s="4">
        <ns0:v>8.60</ns0:v>
      </ns0:c>
      <ns0:c r="K326" s="4">
        <ns0:v>6.02</ns0:v>
      </ns0:c>
      <ns0:c r="L326" s="4">
        <ns0:v>6.41</ns0:v>
      </ns0:c>
      <ns0:c r="M326" s="4">
        <ns0:v>2.43</ns0:v>
      </ns0:c>
      <ns0:c r="N326" s="4">
        <ns0:v>3.77</ns0:v>
      </ns0:c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 t="inlineStr">
        <ns0:is>
          <ns0:t>五险一金数量</ns0:t>
        </ns0:is>
      </ns0:c>
      <ns0:c r="C327" s="4">
        <ns0:v>2.43</ns0:v>
      </ns0:c>
      <ns0:c r="D327" s="4">
        <ns0:v>7.78</ns0:v>
      </ns0:c>
      <ns0:c r="E327" s="4">
        <ns0:v>2.58</ns0:v>
      </ns0:c>
      <ns0:c r="F327" s="4">
        <ns0:v>5.42</ns0:v>
      </ns0:c>
      <ns0:c r="G327" s="4">
        <ns0:v>5.75</ns0:v>
      </ns0:c>
      <ns0:c r="H327" s="4">
        <ns0:v>5.39</ns0:v>
      </ns0:c>
      <ns0:c r="I327" s="4">
        <ns0:v>2.93</ns0:v>
      </ns0:c>
      <ns0:c r="J327" s="4">
        <ns0:v>4.31</ns0:v>
      </ns0:c>
      <ns0:c r="K327" s="4">
        <ns0:v>9.10</ns0:v>
      </ns0:c>
      <ns0:c r="L327" s="4">
        <ns0:v>3.51</ns0:v>
      </ns0:c>
      <ns0:c r="M327" s="4">
        <ns0:v>8.51</ns0:v>
      </ns0:c>
      <ns0:c r="N327" s="4">
        <ns0:v>4.31</ns0:v>
      </ns0:c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 t="inlineStr">
        <ns0:is>
          <ns0:t>福利费数量</ns0:t>
        </ns0:is>
      </ns0:c>
      <ns0:c r="C328" s="4">
        <ns0:v>5.84</ns0:v>
      </ns0:c>
      <ns0:c r="D328" s="4">
        <ns0:v>8.43</ns0:v>
      </ns0:c>
      <ns0:c r="E328" s="4">
        <ns0:v>4.60</ns0:v>
      </ns0:c>
      <ns0:c r="F328" s="4">
        <ns0:v>2.87</ns0:v>
      </ns0:c>
      <ns0:c r="G328" s="4">
        <ns0:v>8.42</ns0:v>
      </ns0:c>
      <ns0:c r="H328" s="4">
        <ns0:v>2.92</ns0:v>
      </ns0:c>
      <ns0:c r="I328" s="4">
        <ns0:v>8.34</ns0:v>
      </ns0:c>
      <ns0:c r="J328" s="4">
        <ns0:v>6.44</ns0:v>
      </ns0:c>
      <ns0:c r="K328" s="4">
        <ns0:v>3.42</ns0:v>
      </ns0:c>
      <ns0:c r="L328" s="4">
        <ns0:v>7.41</ns0:v>
      </ns0:c>
      <ns0:c r="M328" s="4">
        <ns0:v>4.90</ns0:v>
      </ns0:c>
      <ns0:c r="N328" s="4">
        <ns0:v>5.84</ns0:v>
      </ns0:c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 t="inlineStr">
        <ns0:is>
          <ns0:t>招聘费数量</ns0:t>
        </ns0:is>
      </ns0:c>
      <ns0:c r="C329" s="4">
        <ns0:v>2.41</ns0:v>
      </ns0:c>
      <ns0:c r="D329" s="4">
        <ns0:v>3.12</ns0:v>
      </ns0:c>
      <ns0:c r="E329" s="4">
        <ns0:v>3.08</ns0:v>
      </ns0:c>
      <ns0:c r="F329" s="4">
        <ns0:v>6.44</ns0:v>
      </ns0:c>
      <ns0:c r="G329" s="4">
        <ns0:v>6.53</ns0:v>
      </ns0:c>
      <ns0:c r="H329" s="4">
        <ns0:v>9.64</ns0:v>
      </ns0:c>
      <ns0:c r="I329" s="4">
        <ns0:v>5.32</ns0:v>
      </ns0:c>
      <ns0:c r="J329" s="4">
        <ns0:v>7.37</ns0:v>
      </ns0:c>
      <ns0:c r="K329" s="4">
        <ns0:v>2.50</ns0:v>
      </ns0:c>
      <ns0:c r="L329" s="4">
        <ns0:v>3.94</ns0:v>
      </ns0:c>
      <ns0:c r="M329" s="4">
        <ns0:v>4.95</ns0:v>
      </ns0:c>
      <ns0:c r="N329" s="4">
        <ns0:v>5.32</ns0:v>
      </ns0:c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 t="inlineStr">
        <ns0:is>
          <ns0:t>培训费数量</ns0:t>
        </ns0:is>
      </ns0:c>
      <ns0:c r="C330" s="4">
        <ns0:v>6.13</ns0:v>
      </ns0:c>
      <ns0:c r="D330" s="4">
        <ns0:v>4.02</ns0:v>
      </ns0:c>
      <ns0:c r="E330" s="4">
        <ns0:v>4.88</ns0:v>
      </ns0:c>
      <ns0:c r="F330" s="4">
        <ns0:v>4.05</ns0:v>
      </ns0:c>
      <ns0:c r="G330" s="4">
        <ns0:v>7.24</ns0:v>
      </ns0:c>
      <ns0:c r="H330" s="4">
        <ns0:v>4.92</ns0:v>
      </ns0:c>
      <ns0:c r="I330" s="4">
        <ns0:v>6.24</ns0:v>
      </ns0:c>
      <ns0:c r="J330" s="4">
        <ns0:v>3.08</ns0:v>
      </ns0:c>
      <ns0:c r="K330" s="4">
        <ns0:v>4.76</ns0:v>
      </ns0:c>
      <ns0:c r="L330" s="4">
        <ns0:v>4.43</ns0:v>
      </ns0:c>
      <ns0:c r="M330" s="4">
        <ns0:v>5.14</ns0:v>
      </ns0:c>
      <ns0:c r="N330" s="4">
        <ns0:v>5.81</ns0:v>
      </ns0:c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 t="inlineStr">
        <ns0:is>
          <ns0:t>房租数量</ns0:t>
        </ns0:is>
      </ns0:c>
      <ns0:c r="C331" s="4">
        <ns0:v>8.69</ns0:v>
      </ns0:c>
      <ns0:c r="D331" s="4">
        <ns0:v>4.19</ns0:v>
      </ns0:c>
      <ns0:c r="E331" s="4">
        <ns0:v>5.75</ns0:v>
      </ns0:c>
      <ns0:c r="F331" s="4">
        <ns0:v>4.32</ns0:v>
      </ns0:c>
      <ns0:c r="G331" s="4">
        <ns0:v>3.42</ns0:v>
      </ns0:c>
      <ns0:c r="H331" s="4">
        <ns0:v>4.89</ns0:v>
      </ns0:c>
      <ns0:c r="I331" s="4">
        <ns0:v>4.35</ns0:v>
      </ns0:c>
      <ns0:c r="J331" s="4">
        <ns0:v>6.17</ns0:v>
      </ns0:c>
      <ns0:c r="K331" s="4">
        <ns0:v>5.12</ns0:v>
      </ns0:c>
      <ns0:c r="L331" s="4">
        <ns0:v>4.52</ns0:v>
      </ns0:c>
      <ns0:c r="M331" s="4">
        <ns0:v>6.91</ns0:v>
      </ns0:c>
      <ns0:c r="N331" s="4">
        <ns0:v>8.32</ns0:v>
      </ns0:c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 t="inlineStr">
        <ns0:is>
          <ns0:t>物业管理费数量</ns0:t>
        </ns0:is>
      </ns0:c>
      <ns0:c r="C332" s="4">
        <ns0:v>7.75</ns0:v>
      </ns0:c>
      <ns0:c r="D332" s="4">
        <ns0:v>2.10</ns0:v>
      </ns0:c>
      <ns0:c r="E332" s="4">
        <ns0:v>2.74</ns0:v>
      </ns0:c>
      <ns0:c r="F332" s="4">
        <ns0:v>4.79</ns0:v>
      </ns0:c>
      <ns0:c r="G332" s="4">
        <ns0:v>7.67</ns0:v>
      </ns0:c>
      <ns0:c r="H332" s="4">
        <ns0:v>6.63</ns0:v>
      </ns0:c>
      <ns0:c r="I332" s="4">
        <ns0:v>4.16</ns0:v>
      </ns0:c>
      <ns0:c r="J332" s="4">
        <ns0:v>6.17</ns0:v>
      </ns0:c>
      <ns0:c r="K332" s="4">
        <ns0:v>6.38</ns0:v>
      </ns0:c>
      <ns0:c r="L332" s="4">
        <ns0:v>7.22</ns0:v>
      </ns0:c>
      <ns0:c r="M332" s="4">
        <ns0:v>3.01</ns0:v>
      </ns0:c>
      <ns0:c r="N332" s="4">
        <ns0:v>4.27</ns0:v>
      </ns0:c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 t="inlineStr">
        <ns0:is>
          <ns0:t>汽车费用数量</ns0:t>
        </ns0:is>
      </ns0:c>
      <ns0:c r="C333" s="4">
        <ns0:v>5.54</ns0:v>
      </ns0:c>
      <ns0:c r="D333" s="4">
        <ns0:v>2.31</ns0:v>
      </ns0:c>
      <ns0:c r="E333" s="4">
        <ns0:v>6.25</ns0:v>
      </ns0:c>
      <ns0:c r="F333" s="4">
        <ns0:v>6.36</ns0:v>
      </ns0:c>
      <ns0:c r="G333" s="4">
        <ns0:v>3.69</ns0:v>
      </ns0:c>
      <ns0:c r="H333" s="4">
        <ns0:v>6.49</ns0:v>
      </ns0:c>
      <ns0:c r="I333" s="4">
        <ns0:v>2.93</ns0:v>
      </ns0:c>
      <ns0:c r="J333" s="4">
        <ns0:v>2.01</ns0:v>
      </ns0:c>
      <ns0:c r="K333" s="4">
        <ns0:v>8.17</ns0:v>
      </ns0:c>
      <ns0:c r="L333" s="4">
        <ns0:v>4.65</ns0:v>
      </ns0:c>
      <ns0:c r="M333" s="4">
        <ns0:v>8.34</ns0:v>
      </ns0:c>
      <ns0:c r="N333" s="4">
        <ns0:v>8.67</ns0:v>
      </ns0:c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 t="inlineStr">
        <ns0:is>
          <ns0:t>办公费数量</ns0:t>
        </ns0:is>
      </ns0:c>
      <ns0:c r="C334" s="4">
        <ns0:v>2.42</ns0:v>
      </ns0:c>
      <ns0:c r="D334" s="4">
        <ns0:v>6.47</ns0:v>
      </ns0:c>
      <ns0:c r="E334" s="4">
        <ns0:v>4.52</ns0:v>
      </ns0:c>
      <ns0:c r="F334" s="4">
        <ns0:v>9.42</ns0:v>
      </ns0:c>
      <ns0:c r="G334" s="4">
        <ns0:v>2.56</ns0:v>
      </ns0:c>
      <ns0:c r="H334" s="4">
        <ns0:v>4.06</ns0:v>
      </ns0:c>
      <ns0:c r="I334" s="4">
        <ns0:v>8.04</ns0:v>
      </ns0:c>
      <ns0:c r="J334" s="4">
        <ns0:v>8.77</ns0:v>
      </ns0:c>
      <ns0:c r="K334" s="4">
        <ns0:v>9.83</ns0:v>
      </ns0:c>
      <ns0:c r="L334" s="4">
        <ns0:v>4.17</ns0:v>
      </ns0:c>
      <ns0:c r="M334" s="4">
        <ns0:v>6.95</ns0:v>
      </ns0:c>
      <ns0:c r="N334" s="4">
        <ns0:v>8.07</ns0:v>
      </ns0:c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 t="inlineStr">
        <ns0:is>
          <ns0:t>办公用品数量</ns0:t>
        </ns0:is>
      </ns0:c>
      <ns0:c r="C335" s="4">
        <ns0:v>3.50</ns0:v>
      </ns0:c>
      <ns0:c r="D335" s="4">
        <ns0:v>7.08</ns0:v>
      </ns0:c>
      <ns0:c r="E335" s="4">
        <ns0:v>6.21</ns0:v>
      </ns0:c>
      <ns0:c r="F335" s="4">
        <ns0:v>6.23</ns0:v>
      </ns0:c>
      <ns0:c r="G335" s="4">
        <ns0:v>2.92</ns0:v>
      </ns0:c>
      <ns0:c r="H335" s="4">
        <ns0:v>5.99</ns0:v>
      </ns0:c>
      <ns0:c r="I335" s="4">
        <ns0:v>7.95</ns0:v>
      </ns0:c>
      <ns0:c r="J335" s="4">
        <ns0:v>2.77</ns0:v>
      </ns0:c>
      <ns0:c r="K335" s="4">
        <ns0:v>6.08</ns0:v>
      </ns0:c>
      <ns0:c r="L335" s="4">
        <ns0:v>8.14</ns0:v>
      </ns0:c>
      <ns0:c r="M335" s="4">
        <ns0:v>6.72</ns0:v>
      </ns0:c>
      <ns0:c r="N335" s="4">
        <ns0:v>5.56</ns0:v>
      </ns0:c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 t="inlineStr">
        <ns0:is>
          <ns0:t>水电煤数量</ns0:t>
        </ns0:is>
      </ns0:c>
      <ns0:c r="C336" s="4">
        <ns0:v>8.33</ns0:v>
      </ns0:c>
      <ns0:c r="D336" s="4">
        <ns0:v>2.57</ns0:v>
      </ns0:c>
      <ns0:c r="E336" s="4">
        <ns0:v>5.01</ns0:v>
      </ns0:c>
      <ns0:c r="F336" s="4">
        <ns0:v>6.99</ns0:v>
      </ns0:c>
      <ns0:c r="G336" s="4">
        <ns0:v>4.90</ns0:v>
      </ns0:c>
      <ns0:c r="H336" s="4">
        <ns0:v>9.07</ns0:v>
      </ns0:c>
      <ns0:c r="I336" s="4">
        <ns0:v>4.10</ns0:v>
      </ns0:c>
      <ns0:c r="J336" s="4">
        <ns0:v>4.89</ns0:v>
      </ns0:c>
      <ns0:c r="K336" s="4">
        <ns0:v>2.61</ns0:v>
      </ns0:c>
      <ns0:c r="L336" s="4">
        <ns0:v>6.97</ns0:v>
      </ns0:c>
      <ns0:c r="M336" s="4">
        <ns0:v>2.77</ns0:v>
      </ns0:c>
      <ns0:c r="N336" s="4">
        <ns0:v>9.85</ns0:v>
      </ns0:c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 t="inlineStr">
        <ns0:is>
          <ns0:t>咨询服务费数量</ns0:t>
        </ns0:is>
      </ns0:c>
      <ns0:c r="C337" s="4">
        <ns0:v>8.74</ns0:v>
      </ns0:c>
      <ns0:c r="D337" s="4">
        <ns0:v>2.93</ns0:v>
      </ns0:c>
      <ns0:c r="E337" s="4">
        <ns0:v>3.65</ns0:v>
      </ns0:c>
      <ns0:c r="F337" s="4">
        <ns0:v>6.86</ns0:v>
      </ns0:c>
      <ns0:c r="G337" s="4">
        <ns0:v>9.66</ns0:v>
      </ns0:c>
      <ns0:c r="H337" s="4">
        <ns0:v>8.82</ns0:v>
      </ns0:c>
      <ns0:c r="I337" s="4">
        <ns0:v>7.21</ns0:v>
      </ns0:c>
      <ns0:c r="J337" s="4">
        <ns0:v>2.26</ns0:v>
      </ns0:c>
      <ns0:c r="K337" s="4">
        <ns0:v>2.87</ns0:v>
      </ns0:c>
      <ns0:c r="L337" s="4">
        <ns0:v>6.18</ns0:v>
      </ns0:c>
      <ns0:c r="M337" s="4">
        <ns0:v>8.30</ns0:v>
      </ns0:c>
      <ns0:c r="N337" s="4">
        <ns0:v>5.52</ns0:v>
      </ns0:c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 t="inlineStr">
        <ns0:is>
          <ns0:t>电话费数量</ns0:t>
        </ns0:is>
      </ns0:c>
      <ns0:c r="C338" s="4">
        <ns0:v>4.70</ns0:v>
      </ns0:c>
      <ns0:c r="D338" s="4">
        <ns0:v>6.86</ns0:v>
      </ns0:c>
      <ns0:c r="E338" s="4">
        <ns0:v>5.10</ns0:v>
      </ns0:c>
      <ns0:c r="F338" s="4">
        <ns0:v>2.87</ns0:v>
      </ns0:c>
      <ns0:c r="G338" s="4">
        <ns0:v>4.41</ns0:v>
      </ns0:c>
      <ns0:c r="H338" s="4">
        <ns0:v>6.74</ns0:v>
      </ns0:c>
      <ns0:c r="I338" s="4">
        <ns0:v>7.20</ns0:v>
      </ns0:c>
      <ns0:c r="J338" s="4">
        <ns0:v>9.12</ns0:v>
      </ns0:c>
      <ns0:c r="K338" s="4">
        <ns0:v>4.06</ns0:v>
      </ns0:c>
      <ns0:c r="L338" s="4">
        <ns0:v>2.29</ns0:v>
      </ns0:c>
      <ns0:c r="M338" s="4">
        <ns0:v>2.73</ns0:v>
      </ns0:c>
      <ns0:c r="N338" s="4">
        <ns0:v>7.46</ns0:v>
      </ns0:c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 t="inlineStr">
        <ns0:is>
          <ns0:t>快递费数量</ns0:t>
        </ns0:is>
      </ns0:c>
      <ns0:c r="C339" s="4">
        <ns0:v>4.76</ns0:v>
      </ns0:c>
      <ns0:c r="D339" s="4">
        <ns0:v>7.60</ns0:v>
      </ns0:c>
      <ns0:c r="E339" s="4">
        <ns0:v>3.50</ns0:v>
      </ns0:c>
      <ns0:c r="F339" s="4">
        <ns0:v>4.25</ns0:v>
      </ns0:c>
      <ns0:c r="G339" s="4">
        <ns0:v>3.91</ns0:v>
      </ns0:c>
      <ns0:c r="H339" s="4">
        <ns0:v>5.42</ns0:v>
      </ns0:c>
      <ns0:c r="I339" s="4">
        <ns0:v>3.95</ns0:v>
      </ns0:c>
      <ns0:c r="J339" s="4">
        <ns0:v>5.58</ns0:v>
      </ns0:c>
      <ns0:c r="K339" s="4">
        <ns0:v>8.43</ns0:v>
      </ns0:c>
      <ns0:c r="L339" s="4">
        <ns0:v>7.90</ns0:v>
      </ns0:c>
      <ns0:c r="M339" s="4">
        <ns0:v>3.71</ns0:v>
      </ns0:c>
      <ns0:c r="N339" s="4">
        <ns0:v>5.15</ns0:v>
      </ns0:c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 t="inlineStr">
        <ns0:is>
          <ns0:t>折旧及摊销数量</ns0:t>
        </ns0:is>
      </ns0:c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 t="inlineStr">
        <ns0:is>
          <ns0:t>机票火车票数量</ns0:t>
        </ns0:is>
      </ns0:c>
      <ns0:c r="C341" s="4">
        <ns0:v>6.98</ns0:v>
      </ns0:c>
      <ns0:c r="D341" s="4">
        <ns0:v>3.01</ns0:v>
      </ns0:c>
      <ns0:c r="E341" s="4">
        <ns0:v>7.83</ns0:v>
      </ns0:c>
      <ns0:c r="F341" s="4">
        <ns0:v>3.38</ns0:v>
      </ns0:c>
      <ns0:c r="G341" s="4">
        <ns0:v>4.52</ns0:v>
      </ns0:c>
      <ns0:c r="H341" s="4">
        <ns0:v>3.80</ns0:v>
      </ns0:c>
      <ns0:c r="I341" s="4">
        <ns0:v>6.70</ns0:v>
      </ns0:c>
      <ns0:c r="J341" s="4">
        <ns0:v>2.68</ns0:v>
      </ns0:c>
      <ns0:c r="K341" s="4">
        <ns0:v>7.31</ns0:v>
      </ns0:c>
      <ns0:c r="L341" s="4">
        <ns0:v>7.30</ns0:v>
      </ns0:c>
      <ns0:c r="M341" s="4">
        <ns0:v>6.19</ns0:v>
      </ns0:c>
      <ns0:c r="N341" s="4">
        <ns0:v>8.03</ns0:v>
      </ns0:c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 t="inlineStr">
        <ns0:is>
          <ns0:t>住宿费数量</ns0:t>
        </ns0:is>
      </ns0:c>
      <ns0:c r="C342" s="4">
        <ns0:v>2.49</ns0:v>
      </ns0:c>
      <ns0:c r="D342" s="4">
        <ns0:v>3.09</ns0:v>
      </ns0:c>
      <ns0:c r="E342" s="4">
        <ns0:v>4.93</ns0:v>
      </ns0:c>
      <ns0:c r="F342" s="4">
        <ns0:v>5.92</ns0:v>
      </ns0:c>
      <ns0:c r="G342" s="4">
        <ns0:v>4.41</ns0:v>
      </ns0:c>
      <ns0:c r="H342" s="4">
        <ns0:v>5.07</ns0:v>
      </ns0:c>
      <ns0:c r="I342" s="4">
        <ns0:v>5.29</ns0:v>
      </ns0:c>
      <ns0:c r="J342" s="4">
        <ns0:v>3.34</ns0:v>
      </ns0:c>
      <ns0:c r="K342" s="4">
        <ns0:v>5.10</ns0:v>
      </ns0:c>
      <ns0:c r="L342" s="4">
        <ns0:v>8.13</ns0:v>
      </ns0:c>
      <ns0:c r="M342" s="4">
        <ns0:v>7.22</ns0:v>
      </ns0:c>
      <ns0:c r="N342" s="4">
        <ns0:v>5.54</ns0:v>
      </ns0:c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 t="inlineStr">
        <ns0:is>
          <ns0:t>交通费数量</ns0:t>
        </ns0:is>
      </ns0:c>
      <ns0:c r="C343" s="4">
        <ns0:v>6.74</ns0:v>
      </ns0:c>
      <ns0:c r="D343" s="4">
        <ns0:v>8.97</ns0:v>
      </ns0:c>
      <ns0:c r="E343" s="4">
        <ns0:v>4.03</ns0:v>
      </ns0:c>
      <ns0:c r="F343" s="4">
        <ns0:v>7.95</ns0:v>
      </ns0:c>
      <ns0:c r="G343" s="4">
        <ns0:v>7.44</ns0:v>
      </ns0:c>
      <ns0:c r="H343" s="4">
        <ns0:v>2.68</ns0:v>
      </ns0:c>
      <ns0:c r="I343" s="4">
        <ns0:v>3.53</ns0:v>
      </ns0:c>
      <ns0:c r="J343" s="4">
        <ns0:v>6.81</ns0:v>
      </ns0:c>
      <ns0:c r="K343" s="4">
        <ns0:v>3.36</ns0:v>
      </ns0:c>
      <ns0:c r="L343" s="4">
        <ns0:v>9.94</ns0:v>
      </ns0:c>
      <ns0:c r="M343" s="4">
        <ns0:v>5.29</ns0:v>
      </ns0:c>
      <ns0:c r="N343" s="4">
        <ns0:v>8.16</ns0:v>
      </ns0:c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 t="inlineStr">
        <ns0:is>
          <ns0:t>差旅补贴数量</ns0:t>
        </ns0:is>
      </ns0:c>
      <ns0:c r="C344" s="4">
        <ns0:v>3.53</ns0:v>
      </ns0:c>
      <ns0:c r="D344" s="4">
        <ns0:v>7.06</ns0:v>
      </ns0:c>
      <ns0:c r="E344" s="4">
        <ns0:v>8.16</ns0:v>
      </ns0:c>
      <ns0:c r="F344" s="4">
        <ns0:v>8.08</ns0:v>
      </ns0:c>
      <ns0:c r="G344" s="4">
        <ns0:v>3.26</ns0:v>
      </ns0:c>
      <ns0:c r="H344" s="4">
        <ns0:v>3.42</ns0:v>
      </ns0:c>
      <ns0:c r="I344" s="4">
        <ns0:v>6.15</ns0:v>
      </ns0:c>
      <ns0:c r="J344" s="4">
        <ns0:v>7.13</ns0:v>
      </ns0:c>
      <ns0:c r="K344" s="4">
        <ns0:v>7.46</ns0:v>
      </ns0:c>
      <ns0:c r="L344" s="4">
        <ns0:v>6.01</ns0:v>
      </ns0:c>
      <ns0:c r="M344" s="4">
        <ns0:v>4.75</ns0:v>
      </ns0:c>
      <ns0:c r="N344" s="4">
        <ns0:v>3.10</ns0:v>
      </ns0:c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 t="inlineStr">
        <ns0:is>
          <ns0:t>业务招待费数量</ns0:t>
        </ns0:is>
      </ns0:c>
      <ns0:c r="C345" s="4">
        <ns0:v>4.17</ns0:v>
      </ns0:c>
      <ns0:c r="D345" s="4">
        <ns0:v>5.64</ns0:v>
      </ns0:c>
      <ns0:c r="E345" s="4">
        <ns0:v>3.36</ns0:v>
      </ns0:c>
      <ns0:c r="F345" s="4">
        <ns0:v>6.55</ns0:v>
      </ns0:c>
      <ns0:c r="G345" s="4">
        <ns0:v>8.57</ns0:v>
      </ns0:c>
      <ns0:c r="H345" s="4">
        <ns0:v>4.66</ns0:v>
      </ns0:c>
      <ns0:c r="I345" s="4">
        <ns0:v>3.69</ns0:v>
      </ns0:c>
      <ns0:c r="J345" s="4">
        <ns0:v>7.30</ns0:v>
      </ns0:c>
      <ns0:c r="K345" s="4">
        <ns0:v>2.28</ns0:v>
      </ns0:c>
      <ns0:c r="L345" s="4">
        <ns0:v>2.43</ns0:v>
      </ns0:c>
      <ns0:c r="M345" s="4">
        <ns0:v>8.68</ns0:v>
      </ns0:c>
      <ns0:c r="N345" s="4">
        <ns0:v>6.70</ns0:v>
      </ns0:c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 t="inlineStr">
        <ns0:is>
          <ns0:t>市内交通费数量</ns0:t>
        </ns0:is>
      </ns0:c>
      <ns0:c r="C346" s="4">
        <ns0:v>9.05</ns0:v>
      </ns0:c>
      <ns0:c r="D346" s="4">
        <ns0:v>4.16</ns0:v>
      </ns0:c>
      <ns0:c r="E346" s="4">
        <ns0:v>5.68</ns0:v>
      </ns0:c>
      <ns0:c r="F346" s="4">
        <ns0:v>7.80</ns0:v>
      </ns0:c>
      <ns0:c r="G346" s="4">
        <ns0:v>8.40</ns0:v>
      </ns0:c>
      <ns0:c r="H346" s="4">
        <ns0:v>5.13</ns0:v>
      </ns0:c>
      <ns0:c r="I346" s="4">
        <ns0:v>4.43</ns0:v>
      </ns0:c>
      <ns0:c r="J346" s="4">
        <ns0:v>3.42</ns0:v>
      </ns0:c>
      <ns0:c r="K346" s="4">
        <ns0:v>2.80</ns0:v>
      </ns0:c>
      <ns0:c r="L346" s="4">
        <ns0:v>9.35</ns0:v>
      </ns0:c>
      <ns0:c r="M346" s="4">
        <ns0:v>8.17</ns0:v>
      </ns0:c>
      <ns0:c r="N346" s="4">
        <ns0:v>7.84</ns0:v>
      </ns0:c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 t="inlineStr">
        <ns0:is>
          <ns0:t>调研费用数量</ns0:t>
        </ns0:is>
      </ns0:c>
      <ns0:c r="C347" s="4">
        <ns0:v>5.60</ns0:v>
      </ns0:c>
      <ns0:c r="D347" s="4">
        <ns0:v>3.22</ns0:v>
      </ns0:c>
      <ns0:c r="E347" s="4">
        <ns0:v>2.04</ns0:v>
      </ns0:c>
      <ns0:c r="F347" s="4">
        <ns0:v>3.27</ns0:v>
      </ns0:c>
      <ns0:c r="G347" s="4">
        <ns0:v>7.05</ns0:v>
      </ns0:c>
      <ns0:c r="H347" s="4">
        <ns0:v>2.86</ns0:v>
      </ns0:c>
      <ns0:c r="I347" s="4">
        <ns0:v>7.91</ns0:v>
      </ns0:c>
      <ns0:c r="J347" s="4">
        <ns0:v>7.01</ns0:v>
      </ns0:c>
      <ns0:c r="K347" s="4">
        <ns0:v>4.75</ns0:v>
      </ns0:c>
      <ns0:c r="L347" s="4">
        <ns0:v>6.56</ns0:v>
      </ns0:c>
      <ns0:c r="M347" s="4">
        <ns0:v>4.17</ns0:v>
      </ns0:c>
      <ns0:c r="N347" s="4">
        <ns0:v>8.87</ns0:v>
      </ns0:c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 t="inlineStr">
        <ns0:is>
          <ns0:t>手续费数量</ns0:t>
        </ns0:is>
      </ns0:c>
      <ns0:c r="C348" s="4">
        <ns0:v>6.80</ns0:v>
      </ns0:c>
      <ns0:c r="D348" s="4">
        <ns0:v>7.46</ns0:v>
      </ns0:c>
      <ns0:c r="E348" s="4">
        <ns0:v>6.58</ns0:v>
      </ns0:c>
      <ns0:c r="F348" s="4">
        <ns0:v>5.90</ns0:v>
      </ns0:c>
      <ns0:c r="G348" s="4">
        <ns0:v>4.51</ns0:v>
      </ns0:c>
      <ns0:c r="H348" s="4">
        <ns0:v>4.87</ns0:v>
      </ns0:c>
      <ns0:c r="I348" s="4">
        <ns0:v>8.95</ns0:v>
      </ns0:c>
      <ns0:c r="J348" s="4">
        <ns0:v>7.20</ns0:v>
      </ns0:c>
      <ns0:c r="K348" s="4">
        <ns0:v>2.22</ns0:v>
      </ns0:c>
      <ns0:c r="L348" s="4">
        <ns0:v>6.01</ns0:v>
      </ns0:c>
      <ns0:c r="M348" s="4">
        <ns0:v>4.33</ns0:v>
      </ns0:c>
      <ns0:c r="N348" s="4">
        <ns0:v>4.80</ns0:v>
      </ns0:c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 t="inlineStr">
        <ns0:is>
          <ns0:t>利息收入数量</ns0:t>
        </ns0:is>
      </ns0:c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 t="inlineStr">
        <ns0:is>
          <ns0:t>利息支出数量</ns0:t>
        </ns0:is>
      </ns0:c>
      <ns0:c r="C350" s="4">
        <ns0:v>8.98</ns0:v>
      </ns0:c>
      <ns0:c r="D350" s="4">
        <ns0:v>3.92</ns0:v>
      </ns0:c>
      <ns0:c r="E350" s="4">
        <ns0:v>7.96</ns0:v>
      </ns0:c>
      <ns0:c r="F350" s="4">
        <ns0:v>4.60</ns0:v>
      </ns0:c>
      <ns0:c r="G350" s="4">
        <ns0:v>2.16</ns0:v>
      </ns0:c>
      <ns0:c r="H350" s="4">
        <ns0:v>8.08</ns0:v>
      </ns0:c>
      <ns0:c r="I350" s="4">
        <ns0:v>4.77</ns0:v>
      </ns0:c>
      <ns0:c r="J350" s="4">
        <ns0:v>3.95</ns0:v>
      </ns0:c>
      <ns0:c r="K350" s="4">
        <ns0:v>3.58</ns0:v>
      </ns0:c>
      <ns0:c r="L350" s="4">
        <ns0:v>5.39</ns0:v>
      </ns0:c>
      <ns0:c r="M350" s="4">
        <ns0:v>5.51</ns0:v>
      </ns0:c>
      <ns0:c r="N350" s="4">
        <ns0:v>6.71</ns0:v>
      </ns0:c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 t="inlineStr">
        <ns0:is>
          <ns0:t>车船税数量</ns0:t>
        </ns0:is>
      </ns0:c>
      <ns0:c r="C351" s="4">
        <ns0:v>3.46</ns0:v>
      </ns0:c>
      <ns0:c r="D351" s="4">
        <ns0:v>8.88</ns0:v>
      </ns0:c>
      <ns0:c r="E351" s="4">
        <ns0:v>9.67</ns0:v>
      </ns0:c>
      <ns0:c r="F351" s="4">
        <ns0:v>6.26</ns0:v>
      </ns0:c>
      <ns0:c r="G351" s="4">
        <ns0:v>4.53</ns0:v>
      </ns0:c>
      <ns0:c r="H351" s="4">
        <ns0:v>7.28</ns0:v>
      </ns0:c>
      <ns0:c r="I351" s="4">
        <ns0:v>6.84</ns0:v>
      </ns0:c>
      <ns0:c r="J351" s="4">
        <ns0:v>5.01</ns0:v>
      </ns0:c>
      <ns0:c r="K351" s="4">
        <ns0:v>7.35</ns0:v>
      </ns0:c>
      <ns0:c r="L351" s="4">
        <ns0:v>2.88</ns0:v>
      </ns0:c>
      <ns0:c r="M351" s="4">
        <ns0:v>3.19</ns0:v>
      </ns0:c>
      <ns0:c r="N351" s="4">
        <ns0:v>8.76</ns0:v>
      </ns0:c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 t="inlineStr">
        <ns0:is>
          <ns0:t>印花税数量</ns0:t>
        </ns0:is>
      </ns0:c>
      <ns0:c r="C352" s="4">
        <ns0:v>3.25</ns0:v>
      </ns0:c>
      <ns0:c r="D352" s="4">
        <ns0:v>8.28</ns0:v>
      </ns0:c>
      <ns0:c r="E352" s="4">
        <ns0:v>3.94</ns0:v>
      </ns0:c>
      <ns0:c r="F352" s="4">
        <ns0:v>6.93</ns0:v>
      </ns0:c>
      <ns0:c r="G352" s="4">
        <ns0:v>3.99</ns0:v>
      </ns0:c>
      <ns0:c r="H352" s="4">
        <ns0:v>3.51</ns0:v>
      </ns0:c>
      <ns0:c r="I352" s="4">
        <ns0:v>5.72</ns0:v>
      </ns0:c>
      <ns0:c r="J352" s="4">
        <ns0:v>4.28</ns0:v>
      </ns0:c>
      <ns0:c r="K352" s="4">
        <ns0:v>6.40</ns0:v>
      </ns0:c>
      <ns0:c r="L352" s="4">
        <ns0:v>5.95</ns0:v>
      </ns0:c>
      <ns0:c r="M352" s="4">
        <ns0:v>5.73</ns0:v>
      </ns0:c>
      <ns0:c r="N352" s="4">
        <ns0:v>7.73</ns0:v>
      </ns0:c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 t="inlineStr">
        <ns0:is>
          <ns0:t>其他数量</ns0:t>
        </ns0:is>
      </ns0:c>
      <ns0:c r="C353" s="4">
        <ns0:v>3.19</ns0:v>
      </ns0:c>
      <ns0:c r="D353" s="4">
        <ns0:v>4.66</ns0:v>
      </ns0:c>
      <ns0:c r="E353" s="4">
        <ns0:v>7.41</ns0:v>
      </ns0:c>
      <ns0:c r="F353" s="4">
        <ns0:v>5.51</ns0:v>
      </ns0:c>
      <ns0:c r="G353" s="4">
        <ns0:v>5.84</ns0:v>
      </ns0:c>
      <ns0:c r="H353" s="4">
        <ns0:v>5.61</ns0:v>
      </ns0:c>
      <ns0:c r="I353" s="4">
        <ns0:v>2.78</ns0:v>
      </ns0:c>
      <ns0:c r="J353" s="4">
        <ns0:v>7.38</ns0:v>
      </ns0:c>
      <ns0:c r="K353" s="4">
        <ns0:v>8.39</ns0:v>
      </ns0:c>
      <ns0:c r="L353" s="4">
        <ns0:v>2.32</ns0:v>
      </ns0:c>
      <ns0:c r="M353" s="4">
        <ns0:v>7.01</ns0:v>
      </ns0:c>
      <ns0:c r="N353" s="4">
        <ns0:v>7.53</ns0:v>
      </ns0:c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A25:B25"/>
    <ns0:mergeCell ref="A26:B26"/>
    <ns0:mergeCell ref="A27:B27"/>
    <ns0:mergeCell ref="A33:B33"/>
    <ns0:mergeCell ref="A34:B34"/>
    <ns0:mergeCell ref="A35:B35"/>
    <ns0:mergeCell ref="A36:B36"/>
    <ns0:mergeCell ref="A4:A10"/>
    <ns0:mergeCell ref="A11:A20"/>
    <ns0:mergeCell ref="A21:A24"/>
    <ns0:mergeCell ref="A29:A30"/>
    <ns0:mergeCell ref="A31:A32"/>
    <ns0:mergeCell ref="A2:B3"/>
  </ns0:mergeCells>
  <ns0:pageMargins left="0.7" right="0.7" top="0.75" bottom="0.75" header="0.3" footer="0.3"/>
</ns0:worksheet>
</file>

<file path=xl/worksheets/sheet9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2.25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20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 t="inlineStr">
        <ns0:is>
          <ns0:t>其他主体费用</ns0:t>
        </ns0:is>
      </ns0:c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2" t="inlineStr">
        <ns0:is>
          <ns0:t>项目</ns0:t>
        </ns0:is>
      </ns0:c>
      <ns0:c r="B2" s="2"/>
      <ns0:c r="C2" s="3" t="inlineStr">
        <ns0:is>
          <ns0:t>实时经营（月度，元）</ns0:t>
        </ns0:is>
      </ns0:c>
      <ns0:c r="D2" s="3"/>
      <ns0:c r="E2" s="3"/>
      <ns0:c r="F2" s="3"/>
      <ns0:c r="G2" s="3"/>
      <ns0:c r="H2" s="3"/>
      <ns0:c r="I2" s="3"/>
      <ns0:c r="J2" s="3"/>
      <ns0:c r="K2" s="3"/>
      <ns0:c r="L2" s="3"/>
      <ns0:c r="M2" s="3"/>
      <ns0:c r="N2" s="3"/>
      <ns0:c r="O2" s="3" t="inlineStr">
        <ns0:is>
          <ns0:t>合计</ns0:t>
        </ns0:is>
      </ns0:c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E-5f17fa2948</ns0:t>
        </ns0:is>
      </ns0:c>
    </ns0:row>
    <ns0:row r="3" ht="20" customHeight="1">
      <ns0:c r="A3" s="2"/>
      <ns0:c r="B3" s="2"/>
      <ns0:c r="C3" s="6" t="inlineStr">
        <ns0:is>
          <ns0:t>2027-01</ns0:t>
        </ns0:is>
      </ns0:c>
      <ns0:c r="D3" s="6" t="inlineStr">
        <ns0:is>
          <ns0:t>2027-02</ns0:t>
        </ns0:is>
      </ns0:c>
      <ns0:c r="E3" s="6" t="inlineStr">
        <ns0:is>
          <ns0:t>2027-03</ns0:t>
        </ns0:is>
      </ns0:c>
      <ns0:c r="F3" s="6" t="inlineStr">
        <ns0:is>
          <ns0:t>2027-04</ns0:t>
        </ns0:is>
      </ns0:c>
      <ns0:c r="G3" s="6" t="inlineStr">
        <ns0:is>
          <ns0:t>2027-05</ns0:t>
        </ns0:is>
      </ns0:c>
      <ns0:c r="H3" s="6" t="inlineStr">
        <ns0:is>
          <ns0:t>2027-06</ns0:t>
        </ns0:is>
      </ns0:c>
      <ns0:c r="I3" s="6" t="inlineStr">
        <ns0:is>
          <ns0:t>2027-07</ns0:t>
        </ns0:is>
      </ns0:c>
      <ns0:c r="J3" s="6" t="inlineStr">
        <ns0:is>
          <ns0:t>2027-08</ns0:t>
        </ns0:is>
      </ns0:c>
      <ns0:c r="K3" s="6" t="inlineStr">
        <ns0:is>
          <ns0:t>2027-09</ns0:t>
        </ns0:is>
      </ns0:c>
      <ns0:c r="L3" s="6" t="inlineStr">
        <ns0:is>
          <ns0:t>2027-10</ns0:t>
        </ns0:is>
      </ns0:c>
      <ns0:c r="M3" s="6" t="inlineStr">
        <ns0:is>
          <ns0:t>2027-11</ns0:t>
        </ns0:is>
      </ns0:c>
      <ns0:c r="N3" s="6" t="inlineStr">
        <ns0:is>
          <ns0:t>2027-12</ns0:t>
        </ns0:is>
      </ns0:c>
      <ns0:c r="O3" s="6" t="inlineStr">
        <ns0:is>
          <ns0:t>小计</ns0:t>
        </ns0:is>
      </ns0:c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主体乙</ns0:t>
        </ns0:is>
      </ns0:c>
    </ns0:row>
    <ns0:row r="4" ht="20" customHeight="1">
      <ns0:c r="A4" s="2" t="inlineStr">
        <ns0:is>
          <ns0:t>员工费用</ns0:t>
        </ns0:is>
      </ns0:c>
      <ns0:c r="B4" s="2" t="inlineStr">
        <ns0:is>
          <ns0:t>工资</ns0:t>
        </ns0:is>
      </ns0:c>
      <ns0:c r="C4" s="3">
        <ns0:f>ROUND(C204*C324,2)</ns0:f>
        <ns0:v>290.15</ns0:v>
      </ns0:c>
      <ns0:c r="D4" s="3">
        <ns0:f>ROUND(D204*D324,2)</ns0:f>
        <ns0:v>423.00</ns0:v>
      </ns0:c>
      <ns0:c r="E4" s="3">
        <ns0:f>ROUND(E204*E324,2)</ns0:f>
        <ns0:v>242.20</ns0:v>
      </ns0:c>
      <ns0:c r="F4" s="3">
        <ns0:f>ROUND(F204*F324,2)</ns0:f>
        <ns0:v>81.83</ns0:v>
      </ns0:c>
      <ns0:c r="G4" s="3">
        <ns0:f>ROUND(G204*G324,2)</ns0:f>
        <ns0:v>616.97</ns0:v>
      </ns0:c>
      <ns0:c r="H4" s="3">
        <ns0:f>ROUND(H204*H324,2)</ns0:f>
        <ns0:v>95.68</ns0:v>
      </ns0:c>
      <ns0:c r="I4" s="3">
        <ns0:f>ROUND(I204*I324,2)</ns0:f>
        <ns0:v>374.46</ns0:v>
      </ns0:c>
      <ns0:c r="J4" s="3">
        <ns0:f>ROUND(J204*J324,2)</ns0:f>
        <ns0:v>361.68</ns0:v>
      </ns0:c>
      <ns0:c r="K4" s="3">
        <ns0:f>ROUND(K204*K324,2)</ns0:f>
        <ns0:v>356.76</ns0:v>
      </ns0:c>
      <ns0:c r="L4" s="3">
        <ns0:f>ROUND(L204*L324,2)</ns0:f>
        <ns0:v>318.32</ns0:v>
      </ns0:c>
      <ns0:c r="M4" s="3">
        <ns0:f>ROUND(M204*M324,2)</ns0:f>
        <ns0:v>169.68</ns0:v>
      </ns0:c>
      <ns0:c r="N4" s="3">
        <ns0:f>ROUND(N204*N324,2)</ns0:f>
        <ns0:v>164.40</ns0:v>
      </ns0:c>
      <ns0:c r="O4" s="3">
        <ns0:f>SUM(C4:N4)</ns0:f>
        <ns0:v>3495.13</ns0:v>
      </ns0:c>
      <ns0:c r="P4" s="2" t="inlineStr">
        <ns0:is>
          <ns0:t>EXP3.004</ns0:t>
        </ns0:is>
      </ns0:c>
      <ns0:c r="Q4" s="2" t="inlineStr">
        <ns0:is>
          <ns0:t>演示占位-v1</ns0:t>
        </ns0:is>
      </ns0:c>
      <ns0:c r="R4" s="2" t="inlineStr">
        <ns0:is>
          <ns0:t>模拟权责发生制</ns0:t>
        </ns0:is>
      </ns0:c>
      <ns0:c r="S4" s="2" t="inlineStr">
        <ns0:is>
          <ns0:t>2027-01</ns0:t>
        </ns0:is>
      </ns0:c>
      <ns0:c r="T4" s="2" t="inlineStr">
        <ns0:is>
          <ns0:t>2027-06</ns0:t>
        </ns0:is>
      </ns0:c>
      <ns0:c r="U4" s="2" t="inlineStr">
        <ns0:is>
          <ns0:t>无</ns0:t>
        </ns0:is>
      </ns0:c>
      <ns0:c r="V4" s="2" t="inlineStr">
        <ns0:is>
          <ns0:t>无</ns0:t>
        </ns0:is>
      </ns0:c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S-03e3bfa6bf</ns0:t>
        </ns0:is>
      </ns0:c>
    </ns0:row>
    <ns0:row r="5" ht="20" customHeight="1">
      <ns0:c r="A5" s="2"/>
      <ns0:c r="B5" s="2" t="inlineStr">
        <ns0:is>
          <ns0:t>十三薪</ns0:t>
        </ns0:is>
      </ns0:c>
      <ns0:c r="C5" s="3">
        <ns0:f>ROUND(C205*C325,2)</ns0:f>
        <ns0:v>186.62</ns0:v>
      </ns0:c>
      <ns0:c r="D5" s="3">
        <ns0:f>ROUND(D205*D325,2)</ns0:f>
        <ns0:v>319.97</ns0:v>
      </ns0:c>
      <ns0:c r="E5" s="3">
        <ns0:f>ROUND(E205*E325,2)</ns0:f>
        <ns0:v>454.25</ns0:v>
      </ns0:c>
      <ns0:c r="F5" s="3">
        <ns0:f>ROUND(F205*F325,2)</ns0:f>
        <ns0:v>257.30</ns0:v>
      </ns0:c>
      <ns0:c r="G5" s="3">
        <ns0:f>ROUND(G205*G325,2)</ns0:f>
        <ns0:v>180.29</ns0:v>
      </ns0:c>
      <ns0:c r="H5" s="3">
        <ns0:f>ROUND(H205*H325,2)</ns0:f>
        <ns0:v>122.43</ns0:v>
      </ns0:c>
      <ns0:c r="I5" s="3">
        <ns0:f>ROUND(I205*I325,2)</ns0:f>
        <ns0:v>507.01</ns0:v>
      </ns0:c>
      <ns0:c r="J5" s="3">
        <ns0:f>ROUND(J205*J325,2)</ns0:f>
        <ns0:v>122.72</ns0:v>
      </ns0:c>
      <ns0:c r="K5" s="3">
        <ns0:f>ROUND(K205*K325,2)</ns0:f>
        <ns0:v>448.60</ns0:v>
      </ns0:c>
      <ns0:c r="L5" s="3">
        <ns0:f>ROUND(L205*L325,2)</ns0:f>
        <ns0:v>229.74</ns0:v>
      </ns0:c>
      <ns0:c r="M5" s="3">
        <ns0:f>ROUND(M205*M325,2)</ns0:f>
        <ns0:v>193.42</ns0:v>
      </ns0:c>
      <ns0:c r="N5" s="3">
        <ns0:f>ROUND(N205*N325,2)</ns0:f>
        <ns0:v>56.40</ns0:v>
      </ns0:c>
      <ns0:c r="O5" s="3">
        <ns0:f>SUM(C5:N5)</ns0:f>
        <ns0:v>3078.75</ns0:v>
      </ns0:c>
      <ns0:c r="P5" s="2" t="inlineStr">
        <ns0:is>
          <ns0:t>EXP3.005</ns0:t>
        </ns0:is>
      </ns0:c>
      <ns0:c r="Q5" s="2" t="inlineStr">
        <ns0:is>
          <ns0:t>演示占位-v1</ns0:t>
        </ns0:is>
      </ns0:c>
      <ns0:c r="R5" s="2" t="inlineStr">
        <ns0:is>
          <ns0:t>模拟权责发生制</ns0:t>
        </ns0:is>
      </ns0:c>
      <ns0:c r="S5" s="2" t="inlineStr">
        <ns0:is>
          <ns0:t>2027-01</ns0:t>
        </ns0:is>
      </ns0:c>
      <ns0:c r="T5" s="2" t="inlineStr">
        <ns0:is>
          <ns0:t>2027-06</ns0:t>
        </ns0:is>
      </ns0:c>
      <ns0:c r="U5" s="2" t="inlineStr">
        <ns0:is>
          <ns0:t>无</ns0:t>
        </ns0:is>
      </ns0:c>
      <ns0:c r="V5" s="2" t="inlineStr">
        <ns0:is>
          <ns0:t>无</ns0:t>
        </ns0:is>
      </ns0:c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扩展情景</ns0:t>
        </ns0:is>
      </ns0:c>
    </ns0:row>
    <ns0:row r="6" ht="20" customHeight="1">
      <ns0:c r="A6" s="2"/>
      <ns0:c r="B6" s="2" t="inlineStr">
        <ns0:is>
          <ns0:t>离职补偿金</ns0:t>
        </ns0:is>
      </ns0:c>
      <ns0:c r="C6" s="3">
        <ns0:f>ROUND(C206*C326,2)</ns0:f>
        <ns0:v>112.71</ns0:v>
      </ns0:c>
      <ns0:c r="D6" s="3">
        <ns0:f>ROUND(D206*D326,2)</ns0:f>
        <ns0:v>301.29</ns0:v>
      </ns0:c>
      <ns0:c r="E6" s="3">
        <ns0:f>ROUND(E206*E326,2)</ns0:f>
        <ns0:v>136.78</ns0:v>
      </ns0:c>
      <ns0:c r="F6" s="3">
        <ns0:f>ROUND(F206*F326,2)</ns0:f>
        <ns0:v>242.59</ns0:v>
      </ns0:c>
      <ns0:c r="G6" s="3">
        <ns0:f>ROUND(G206*G326,2)</ns0:f>
        <ns0:v>204.48</ns0:v>
      </ns0:c>
      <ns0:c r="H6" s="3">
        <ns0:f>ROUND(H206*H326,2)</ns0:f>
        <ns0:v>316.83</ns0:v>
      </ns0:c>
      <ns0:c r="I6" s="3">
        <ns0:f>ROUND(I206*I326,2)</ns0:f>
        <ns0:v>154.12</ns0:v>
      </ns0:c>
      <ns0:c r="J6" s="3">
        <ns0:f>ROUND(J206*J326,2)</ns0:f>
        <ns0:v>169.50</ns0:v>
      </ns0:c>
      <ns0:c r="K6" s="3">
        <ns0:f>ROUND(K206*K326,2)</ns0:f>
        <ns0:v>65.81</ns0:v>
      </ns0:c>
      <ns0:c r="L6" s="3">
        <ns0:f>ROUND(L206*L326,2)</ns0:f>
        <ns0:v>273.70</ns0:v>
      </ns0:c>
      <ns0:c r="M6" s="3">
        <ns0:f>ROUND(M206*M326,2)</ns0:f>
        <ns0:v>262.07</ns0:v>
      </ns0:c>
      <ns0:c r="N6" s="3">
        <ns0:f>ROUND(N206*N326,2)</ns0:f>
        <ns0:v>74.67</ns0:v>
      </ns0:c>
      <ns0:c r="O6" s="3">
        <ns0:f>SUM(C6:N6)</ns0:f>
        <ns0:v>2314.55</ns0:v>
      </ns0:c>
      <ns0:c r="P6" s="2" t="inlineStr">
        <ns0:is>
          <ns0:t>EXP3.006</ns0:t>
        </ns0:is>
      </ns0:c>
      <ns0:c r="Q6" s="2" t="inlineStr">
        <ns0:is>
          <ns0:t>演示占位-v1</ns0:t>
        </ns0:is>
      </ns0:c>
      <ns0:c r="R6" s="2" t="inlineStr">
        <ns0:is>
          <ns0:t>模拟权责发生制</ns0:t>
        </ns0:is>
      </ns0:c>
      <ns0:c r="S6" s="2" t="inlineStr">
        <ns0:is>
          <ns0:t>2027-01</ns0:t>
        </ns0:is>
      </ns0:c>
      <ns0:c r="T6" s="2" t="inlineStr">
        <ns0:is>
          <ns0:t>2027-06</ns0:t>
        </ns0:is>
      </ns0:c>
      <ns0:c r="U6" s="2" t="inlineStr">
        <ns0:is>
          <ns0:t>无</ns0:t>
        </ns0:is>
      </ns0:c>
      <ns0:c r="V6" s="2" t="inlineStr">
        <ns0:is>
          <ns0:t>无</ns0:t>
        </ns0:is>
      </ns0:c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2"/>
      <ns0:c r="B7" s="2" t="inlineStr">
        <ns0:is>
          <ns0:t>五险一金</ns0:t>
        </ns0:is>
      </ns0:c>
      <ns0:c r="C7" s="3">
        <ns0:f>ROUND(C207*C327,2)</ns0:f>
        <ns0:v>340.33</ns0:v>
      </ns0:c>
      <ns0:c r="D7" s="3">
        <ns0:f>ROUND(D207*D327,2)</ns0:f>
        <ns0:v>89.14</ns0:v>
      </ns0:c>
      <ns0:c r="E7" s="3">
        <ns0:f>ROUND(E207*E327,2)</ns0:f>
        <ns0:v>211.84</ns0:v>
      </ns0:c>
      <ns0:c r="F7" s="3">
        <ns0:f>ROUND(F207*F327,2)</ns0:f>
        <ns0:v>247.28</ns0:v>
      </ns0:c>
      <ns0:c r="G7" s="3">
        <ns0:f>ROUND(G207*G327,2)</ns0:f>
        <ns0:v>196.74</ns0:v>
      </ns0:c>
      <ns0:c r="H7" s="3">
        <ns0:f>ROUND(H207*H327,2)</ns0:f>
        <ns0:v>185.44</ns0:v>
      </ns0:c>
      <ns0:c r="I7" s="3">
        <ns0:f>ROUND(I207*I327,2)</ns0:f>
        <ns0:v>294.42</ns0:v>
      </ns0:c>
      <ns0:c r="J7" s="3">
        <ns0:f>ROUND(J207*J327,2)</ns0:f>
        <ns0:v>152.50</ns0:v>
      </ns0:c>
      <ns0:c r="K7" s="3">
        <ns0:f>ROUND(K207*K327,2)</ns0:f>
        <ns0:v>306.59</ns0:v>
      </ns0:c>
      <ns0:c r="L7" s="3">
        <ns0:f>ROUND(L207*L327,2)</ns0:f>
        <ns0:v>137.38</ns0:v>
      </ns0:c>
      <ns0:c r="M7" s="3">
        <ns0:f>ROUND(M207*M327,2)</ns0:f>
        <ns0:v>65.99</ns0:v>
      </ns0:c>
      <ns0:c r="N7" s="3">
        <ns0:f>ROUND(N207*N327,2)</ns0:f>
        <ns0:v>317.20</ns0:v>
      </ns0:c>
      <ns0:c r="O7" s="3">
        <ns0:f>SUM(C7:N7)</ns0:f>
        <ns0:v>2544.85</ns0:v>
      </ns0:c>
      <ns0:c r="P7" s="2" t="inlineStr">
        <ns0:is>
          <ns0:t>EXP3.007</ns0:t>
        </ns0:is>
      </ns0:c>
      <ns0:c r="Q7" s="2" t="inlineStr">
        <ns0:is>
          <ns0:t>演示占位-v1</ns0:t>
        </ns0:is>
      </ns0:c>
      <ns0:c r="R7" s="2" t="inlineStr">
        <ns0:is>
          <ns0:t>模拟权责发生制</ns0:t>
        </ns0:is>
      </ns0:c>
      <ns0:c r="S7" s="2" t="inlineStr">
        <ns0:is>
          <ns0:t>2027-01</ns0:t>
        </ns0:is>
      </ns0:c>
      <ns0:c r="T7" s="2" t="inlineStr">
        <ns0:is>
          <ns0:t>2027-06</ns0:t>
        </ns0:is>
      </ns0:c>
      <ns0:c r="U7" s="2" t="inlineStr">
        <ns0:is>
          <ns0:t>无</ns0:t>
        </ns0:is>
      </ns0:c>
      <ns0:c r="V7" s="2" t="inlineStr">
        <ns0:is>
          <ns0:t>无</ns0:t>
        </ns0:is>
      </ns0:c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季度</ns0:t>
        </ns0:is>
      </ns0:c>
    </ns0:row>
    <ns0:row r="8" ht="20" customHeight="1">
      <ns0:c r="A8" s="2"/>
      <ns0:c r="B8" s="2" t="inlineStr">
        <ns0:is>
          <ns0:t>福利费</ns0:t>
        </ns0:is>
      </ns0:c>
      <ns0:c r="C8" s="3">
        <ns0:f>ROUND(C208*C328,2)</ns0:f>
        <ns0:v>330.91</ns0:v>
      </ns0:c>
      <ns0:c r="D8" s="3">
        <ns0:f>ROUND(D208*D328,2)</ns0:f>
        <ns0:v>222.36</ns0:v>
      </ns0:c>
      <ns0:c r="E8" s="3">
        <ns0:f>ROUND(E208*E328,2)</ns0:f>
        <ns0:v>368.87</ns0:v>
      </ns0:c>
      <ns0:c r="F8" s="3">
        <ns0:f>ROUND(F208*F328,2)</ns0:f>
        <ns0:v>203.52</ns0:v>
      </ns0:c>
      <ns0:c r="G8" s="3">
        <ns0:f>ROUND(G208*G328,2)</ns0:f>
        <ns0:v>297.39</ns0:v>
      </ns0:c>
      <ns0:c r="H8" s="3">
        <ns0:f>ROUND(H208*H328,2)</ns0:f>
        <ns0:v>180.57</ns0:v>
      </ns0:c>
      <ns0:c r="I8" s="3">
        <ns0:f>ROUND(I208*I328,2)</ns0:f>
        <ns0:v>217.35</ns0:v>
      </ns0:c>
      <ns0:c r="J8" s="3">
        <ns0:f>ROUND(J208*J328,2)</ns0:f>
        <ns0:v>464.25</ns0:v>
      </ns0:c>
      <ns0:c r="K8" s="3">
        <ns0:f>ROUND(K208*K328,2)</ns0:f>
        <ns0:v>211.41</ns0:v>
      </ns0:c>
      <ns0:c r="L8" s="3">
        <ns0:f>ROUND(L208*L328,2)</ns0:f>
        <ns0:v>259.11</ns0:v>
      </ns0:c>
      <ns0:c r="M8" s="3">
        <ns0:f>ROUND(M208*M328,2)</ns0:f>
        <ns0:v>125.71</ns0:v>
      </ns0:c>
      <ns0:c r="N8" s="3">
        <ns0:f>ROUND(N208*N328,2)</ns0:f>
        <ns0:v>193.25</ns0:v>
      </ns0:c>
      <ns0:c r="O8" s="3">
        <ns0:f>SUM(C8:N8)</ns0:f>
        <ns0:v>3074.70</ns0:v>
      </ns0:c>
      <ns0:c r="P8" s="2" t="inlineStr">
        <ns0:is>
          <ns0:t>EXP3.008</ns0:t>
        </ns0:is>
      </ns0:c>
      <ns0:c r="Q8" s="2" t="inlineStr">
        <ns0:is>
          <ns0:t>演示占位-v1</ns0:t>
        </ns0:is>
      </ns0:c>
      <ns0:c r="R8" s="2" t="inlineStr">
        <ns0:is>
          <ns0:t>模拟权责发生制</ns0:t>
        </ns0:is>
      </ns0:c>
      <ns0:c r="S8" s="2" t="inlineStr">
        <ns0:is>
          <ns0:t>2027-01</ns0:t>
        </ns0:is>
      </ns0:c>
      <ns0:c r="T8" s="2" t="inlineStr">
        <ns0:is>
          <ns0:t>2027-06</ns0:t>
        </ns0:is>
      </ns0:c>
      <ns0:c r="U8" s="2" t="inlineStr">
        <ns0:is>
          <ns0:t>无</ns0:t>
        </ns0:is>
      </ns0:c>
      <ns0:c r="V8" s="2" t="inlineStr">
        <ns0:is>
          <ns0:t>无</ns0:t>
        </ns0:is>
      </ns0:c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2"/>
      <ns0:c r="B9" s="2" t="inlineStr">
        <ns0:is>
          <ns0:t>招聘费</ns0:t>
        </ns0:is>
      </ns0:c>
      <ns0:c r="C9" s="3">
        <ns0:f>ROUND(C209*C329,2)</ns0:f>
        <ns0:v>274.12</ns0:v>
      </ns0:c>
      <ns0:c r="D9" s="3">
        <ns0:f>ROUND(D209*D329,2)</ns0:f>
        <ns0:v>164.52</ns0:v>
      </ns0:c>
      <ns0:c r="E9" s="3">
        <ns0:f>ROUND(E209*E329,2)</ns0:f>
        <ns0:v>382.87</ns0:v>
      </ns0:c>
      <ns0:c r="F9" s="3">
        <ns0:f>ROUND(F209*F329,2)</ns0:f>
        <ns0:v>213.66</ns0:v>
      </ns0:c>
      <ns0:c r="G9" s="3">
        <ns0:f>ROUND(G209*G329,2)</ns0:f>
        <ns0:v>126.63</ns0:v>
      </ns0:c>
      <ns0:c r="H9" s="3">
        <ns0:f>ROUND(H209*H329,2)</ns0:f>
        <ns0:v>139.63</ns0:v>
      </ns0:c>
      <ns0:c r="I9" s="3">
        <ns0:f>ROUND(I209*I329,2)</ns0:f>
        <ns0:v>399.13</ns0:v>
      </ns0:c>
      <ns0:c r="J9" s="3">
        <ns0:f>ROUND(J209*J329,2)</ns0:f>
        <ns0:v>376.17</ns0:v>
      </ns0:c>
      <ns0:c r="K9" s="3">
        <ns0:f>ROUND(K209*K329,2)</ns0:f>
        <ns0:v>338.86</ns0:v>
      </ns0:c>
      <ns0:c r="L9" s="3">
        <ns0:f>ROUND(L209*L329,2)</ns0:f>
        <ns0:v>139.40</ns0:v>
      </ns0:c>
      <ns0:c r="M9" s="3">
        <ns0:f>ROUND(M209*M329,2)</ns0:f>
        <ns0:v>242.20</ns0:v>
      </ns0:c>
      <ns0:c r="N9" s="3">
        <ns0:f>ROUND(N209*N329,2)</ns0:f>
        <ns0:v>469.67</ns0:v>
      </ns0:c>
      <ns0:c r="O9" s="3">
        <ns0:f>SUM(C9:N9)</ns0:f>
        <ns0:v>3266.86</ns0:v>
      </ns0:c>
      <ns0:c r="P9" s="2" t="inlineStr">
        <ns0:is>
          <ns0:t>EXP3.009</ns0:t>
        </ns0:is>
      </ns0:c>
      <ns0:c r="Q9" s="2" t="inlineStr">
        <ns0:is>
          <ns0:t>演示占位-v1</ns0:t>
        </ns0:is>
      </ns0:c>
      <ns0:c r="R9" s="2" t="inlineStr">
        <ns0:is>
          <ns0:t>模拟权责发生制</ns0:t>
        </ns0:is>
      </ns0:c>
      <ns0:c r="S9" s="2" t="inlineStr">
        <ns0:is>
          <ns0:t>2027-01</ns0:t>
        </ns0:is>
      </ns0:c>
      <ns0:c r="T9" s="2" t="inlineStr">
        <ns0:is>
          <ns0:t>2027-06</ns0:t>
        </ns0:is>
      </ns0:c>
      <ns0:c r="U9" s="2" t="inlineStr">
        <ns0:is>
          <ns0:t>无</ns0:t>
        </ns0:is>
      </ns0:c>
      <ns0:c r="V9" s="2" t="inlineStr">
        <ns0:is>
          <ns0:t>无</ns0:t>
        </ns0:is>
      </ns0:c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2"/>
      <ns0:c r="B10" s="2" t="inlineStr">
        <ns0:is>
          <ns0:t>培训费</ns0:t>
        </ns0:is>
      </ns0:c>
      <ns0:c r="C10" s="3">
        <ns0:f>ROUND(C210*C330,2)</ns0:f>
        <ns0:v>137.94</ns0:v>
      </ns0:c>
      <ns0:c r="D10" s="3">
        <ns0:f>ROUND(D210*D330,2)</ns0:f>
        <ns0:v>160.46</ns0:v>
      </ns0:c>
      <ns0:c r="E10" s="3">
        <ns0:f>ROUND(E210*E330,2)</ns0:f>
        <ns0:v>179.24</ns0:v>
      </ns0:c>
      <ns0:c r="F10" s="3">
        <ns0:f>ROUND(F210*F330,2)</ns0:f>
        <ns0:v>337.02</ns0:v>
      </ns0:c>
      <ns0:c r="G10" s="3">
        <ns0:f>ROUND(G210*G330,2)</ns0:f>
        <ns0:v>428.22</ns0:v>
      </ns0:c>
      <ns0:c r="H10" s="3">
        <ns0:f>ROUND(H210*H330,2)</ns0:f>
        <ns0:v>288.61</ns0:v>
      </ns0:c>
      <ns0:c r="I10" s="3">
        <ns0:f>ROUND(I210*I330,2)</ns0:f>
        <ns0:v>372.16</ns0:v>
      </ns0:c>
      <ns0:c r="J10" s="3">
        <ns0:f>ROUND(J210*J330,2)</ns0:f>
        <ns0:v>100.89</ns0:v>
      </ns0:c>
      <ns0:c r="K10" s="3">
        <ns0:f>ROUND(K210*K330,2)</ns0:f>
        <ns0:v>357.07</ns0:v>
      </ns0:c>
      <ns0:c r="L10" s="3">
        <ns0:f>ROUND(L210*L330,2)</ns0:f>
        <ns0:v>268.22</ns0:v>
      </ns0:c>
      <ns0:c r="M10" s="3">
        <ns0:f>ROUND(M210*M330,2)</ns0:f>
        <ns0:v>269.38</ns0:v>
      </ns0:c>
      <ns0:c r="N10" s="3">
        <ns0:f>ROUND(N210*N330,2)</ns0:f>
        <ns0:v>95.97</ns0:v>
      </ns0:c>
      <ns0:c r="O10" s="3">
        <ns0:f>SUM(C10:N10)</ns0:f>
        <ns0:v>2995.18</ns0:v>
      </ns0:c>
      <ns0:c r="P10" s="2" t="inlineStr">
        <ns0:is>
          <ns0:t>EXP3.010</ns0:t>
        </ns0:is>
      </ns0:c>
      <ns0:c r="Q10" s="2" t="inlineStr">
        <ns0:is>
          <ns0:t>演示占位-v1</ns0:t>
        </ns0:is>
      </ns0:c>
      <ns0:c r="R10" s="2" t="inlineStr">
        <ns0:is>
          <ns0:t>模拟权责发生制</ns0:t>
        </ns0:is>
      </ns0:c>
      <ns0:c r="S10" s="2" t="inlineStr">
        <ns0:is>
          <ns0:t>2027-01</ns0:t>
        </ns0:is>
      </ns0:c>
      <ns0:c r="T10" s="2" t="inlineStr">
        <ns0:is>
          <ns0:t>2027-06</ns0:t>
        </ns0:is>
      </ns0:c>
      <ns0:c r="U10" s="2" t="inlineStr">
        <ns0:is>
          <ns0:t>无</ns0:t>
        </ns0:is>
      </ns0:c>
      <ns0:c r="V10" s="2" t="inlineStr">
        <ns0:is>
          <ns0:t>无</ns0:t>
        </ns0:is>
      </ns0:c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2"/>
      <ns0:c r="B11" s="2" t="inlineStr">
        <ns0:is>
          <ns0:t>房租</ns0:t>
        </ns0:is>
      </ns0:c>
      <ns0:c r="C11" s="3">
        <ns0:f>ROUND(C211*C331,2)</ns0:f>
        <ns0:v>242.94</ns0:v>
      </ns0:c>
      <ns0:c r="D11" s="3">
        <ns0:f>ROUND(D211*D331,2)</ns0:f>
        <ns0:v>164.62</ns0:v>
      </ns0:c>
      <ns0:c r="E11" s="3">
        <ns0:f>ROUND(E211*E331,2)</ns0:f>
        <ns0:v>360.43</ns0:v>
      </ns0:c>
      <ns0:c r="F11" s="3">
        <ns0:f>ROUND(F211*F331,2)</ns0:f>
        <ns0:v>249.58</ns0:v>
      </ns0:c>
      <ns0:c r="G11" s="3">
        <ns0:f>ROUND(G211*G331,2)</ns0:f>
        <ns0:v>317.48</ns0:v>
      </ns0:c>
      <ns0:c r="H11" s="3">
        <ns0:f>ROUND(H211*H331,2)</ns0:f>
        <ns0:v>201.06</ns0:v>
      </ns0:c>
      <ns0:c r="I11" s="3">
        <ns0:f>ROUND(I211*I331,2)</ns0:f>
        <ns0:v>223.59</ns0:v>
      </ns0:c>
      <ns0:c r="J11" s="3">
        <ns0:f>ROUND(J211*J331,2)</ns0:f>
        <ns0:v>119.36</ns0:v>
      </ns0:c>
      <ns0:c r="K11" s="3">
        <ns0:f>ROUND(K211*K331,2)</ns0:f>
        <ns0:v>315.34</ns0:v>
      </ns0:c>
      <ns0:c r="L11" s="3">
        <ns0:f>ROUND(L211*L331,2)</ns0:f>
        <ns0:v>125.65</ns0:v>
      </ns0:c>
      <ns0:c r="M11" s="3">
        <ns0:f>ROUND(M211*M331,2)</ns0:f>
        <ns0:v>253.09</ns0:v>
      </ns0:c>
      <ns0:c r="N11" s="3">
        <ns0:f>ROUND(N211*N331,2)</ns0:f>
        <ns0:v>113.79</ns0:v>
      </ns0:c>
      <ns0:c r="O11" s="3">
        <ns0:f>SUM(C11:N11)</ns0:f>
        <ns0:v>2686.93</ns0:v>
      </ns0:c>
      <ns0:c r="P11" s="2" t="inlineStr">
        <ns0:is>
          <ns0:t>EXP3.011</ns0:t>
        </ns0:is>
      </ns0:c>
      <ns0:c r="Q11" s="2" t="inlineStr">
        <ns0:is>
          <ns0:t>演示占位-v1</ns0:t>
        </ns0:is>
      </ns0:c>
      <ns0:c r="R11" s="2" t="inlineStr">
        <ns0:is>
          <ns0:t>模拟权责发生制</ns0:t>
        </ns0:is>
      </ns0:c>
      <ns0:c r="S11" s="2" t="inlineStr">
        <ns0:is>
          <ns0:t>2027-01</ns0:t>
        </ns0:is>
      </ns0:c>
      <ns0:c r="T11" s="2" t="inlineStr">
        <ns0:is>
          <ns0:t>2027-06</ns0:t>
        </ns0:is>
      </ns0:c>
      <ns0:c r="U11" s="2" t="inlineStr">
        <ns0:is>
          <ns0:t>无</ns0:t>
        </ns0:is>
      </ns0:c>
      <ns0:c r="V11" s="2" t="inlineStr">
        <ns0:is>
          <ns0:t>无</ns0:t>
        </ns0:is>
      </ns0:c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2"/>
      <ns0:c r="B12" s="2" t="inlineStr">
        <ns0:is>
          <ns0:t>物业管理费</ns0:t>
        </ns0:is>
      </ns0:c>
      <ns0:c r="C12" s="3">
        <ns0:f>ROUND(C212*C332,2)</ns0:f>
        <ns0:v>284.97</ns0:v>
      </ns0:c>
      <ns0:c r="D12" s="3">
        <ns0:f>ROUND(D212*D332,2)</ns0:f>
        <ns0:v>82.51</ns0:v>
      </ns0:c>
      <ns0:c r="E12" s="3">
        <ns0:f>ROUND(E212*E332,2)</ns0:f>
        <ns0:v>306.01</ns0:v>
      </ns0:c>
      <ns0:c r="F12" s="3">
        <ns0:f>ROUND(F212*F332,2)</ns0:f>
        <ns0:v>404.09</ns0:v>
      </ns0:c>
      <ns0:c r="G12" s="3">
        <ns0:f>ROUND(G212*G332,2)</ns0:f>
        <ns0:v>447.68</ns0:v>
      </ns0:c>
      <ns0:c r="H12" s="3">
        <ns0:f>ROUND(H212*H332,2)</ns0:f>
        <ns0:v>81.18</ns0:v>
      </ns0:c>
      <ns0:c r="I12" s="3">
        <ns0:f>ROUND(I212*I332,2)</ns0:f>
        <ns0:v>371.75</ns0:v>
      </ns0:c>
      <ns0:c r="J12" s="3">
        <ns0:f>ROUND(J212*J332,2)</ns0:f>
        <ns0:v>177.30</ns0:v>
      </ns0:c>
      <ns0:c r="K12" s="3">
        <ns0:f>ROUND(K212*K332,2)</ns0:f>
        <ns0:v>563.90</ns0:v>
      </ns0:c>
      <ns0:c r="L12" s="3">
        <ns0:f>ROUND(L212*L332,2)</ns0:f>
        <ns0:v>183.74</ns0:v>
      </ns0:c>
      <ns0:c r="M12" s="3">
        <ns0:f>ROUND(M212*M332,2)</ns0:f>
        <ns0:v>206.59</ns0:v>
      </ns0:c>
      <ns0:c r="N12" s="3">
        <ns0:f>ROUND(N212*N332,2)</ns0:f>
        <ns0:v>140.60</ns0:v>
      </ns0:c>
      <ns0:c r="O12" s="3">
        <ns0:f>SUM(C12:N12)</ns0:f>
        <ns0:v>3250.32</ns0:v>
      </ns0:c>
      <ns0:c r="P12" s="2" t="inlineStr">
        <ns0:is>
          <ns0:t>EXP3.012</ns0:t>
        </ns0:is>
      </ns0:c>
      <ns0:c r="Q12" s="2" t="inlineStr">
        <ns0:is>
          <ns0:t>演示占位-v1</ns0:t>
        </ns0:is>
      </ns0:c>
      <ns0:c r="R12" s="2" t="inlineStr">
        <ns0:is>
          <ns0:t>模拟权责发生制</ns0:t>
        </ns0:is>
      </ns0:c>
      <ns0:c r="S12" s="2" t="inlineStr">
        <ns0:is>
          <ns0:t>2027-01</ns0:t>
        </ns0:is>
      </ns0:c>
      <ns0:c r="T12" s="2" t="inlineStr">
        <ns0:is>
          <ns0:t>2027-06</ns0:t>
        </ns0:is>
      </ns0:c>
      <ns0:c r="U12" s="2" t="inlineStr">
        <ns0:is>
          <ns0:t>无</ns0:t>
        </ns0:is>
      </ns0:c>
      <ns0:c r="V12" s="2" t="inlineStr">
        <ns0:is>
          <ns0:t>无</ns0:t>
        </ns0:is>
      </ns0:c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2"/>
      <ns0:c r="B13" s="2" t="inlineStr">
        <ns0:is>
          <ns0:t>汽车费用</ns0:t>
        </ns0:is>
      </ns0:c>
      <ns0:c r="C13" s="3">
        <ns0:f>ROUND(C213*C333,2)</ns0:f>
        <ns0:v>119.87</ns0:v>
      </ns0:c>
      <ns0:c r="D13" s="3">
        <ns0:f>ROUND(D213*D333,2)</ns0:f>
        <ns0:v>170.90</ns0:v>
      </ns0:c>
      <ns0:c r="E13" s="3">
        <ns0:f>ROUND(E213*E333,2)</ns0:f>
        <ns0:v>143.96</ns0:v>
      </ns0:c>
      <ns0:c r="F13" s="3">
        <ns0:f>ROUND(F213*F333,2)</ns0:f>
        <ns0:v>155.91</ns0:v>
      </ns0:c>
      <ns0:c r="G13" s="3">
        <ns0:f>ROUND(G213*G333,2)</ns0:f>
        <ns0:v>136.35</ns0:v>
      </ns0:c>
      <ns0:c r="H13" s="3">
        <ns0:f>ROUND(H213*H333,2)</ns0:f>
        <ns0:v>195.99</ns0:v>
      </ns0:c>
      <ns0:c r="I13" s="3">
        <ns0:f>ROUND(I213*I333,2)</ns0:f>
        <ns0:v>127.15</ns0:v>
      </ns0:c>
      <ns0:c r="J13" s="3">
        <ns0:f>ROUND(J213*J333,2)</ns0:f>
        <ns0:v>245.12</ns0:v>
      </ns0:c>
      <ns0:c r="K13" s="3">
        <ns0:f>ROUND(K213*K333,2)</ns0:f>
        <ns0:v>199.20</ns0:v>
      </ns0:c>
      <ns0:c r="L13" s="3">
        <ns0:f>ROUND(L213*L333,2)</ns0:f>
        <ns0:v>253.09</ns0:v>
      </ns0:c>
      <ns0:c r="M13" s="3">
        <ns0:f>ROUND(M213*M333,2)</ns0:f>
        <ns0:v>101.31</ns0:v>
      </ns0:c>
      <ns0:c r="N13" s="3">
        <ns0:f>ROUND(N213*N333,2)</ns0:f>
        <ns0:v>158.80</ns0:v>
      </ns0:c>
      <ns0:c r="O13" s="3">
        <ns0:f>SUM(C13:N13)</ns0:f>
        <ns0:v>2007.65</ns0:v>
      </ns0:c>
      <ns0:c r="P13" s="2" t="inlineStr">
        <ns0:is>
          <ns0:t>EXP3.013</ns0:t>
        </ns0:is>
      </ns0:c>
      <ns0:c r="Q13" s="2" t="inlineStr">
        <ns0:is>
          <ns0:t>演示占位-v1</ns0:t>
        </ns0:is>
      </ns0:c>
      <ns0:c r="R13" s="2" t="inlineStr">
        <ns0:is>
          <ns0:t>模拟权责发生制</ns0:t>
        </ns0:is>
      </ns0:c>
      <ns0:c r="S13" s="2" t="inlineStr">
        <ns0:is>
          <ns0:t>2027-01</ns0:t>
        </ns0:is>
      </ns0:c>
      <ns0:c r="T13" s="2" t="inlineStr">
        <ns0:is>
          <ns0:t>2027-06</ns0:t>
        </ns0:is>
      </ns0:c>
      <ns0:c r="U13" s="2" t="inlineStr">
        <ns0:is>
          <ns0:t>无</ns0:t>
        </ns0:is>
      </ns0:c>
      <ns0:c r="V13" s="2" t="inlineStr">
        <ns0:is>
          <ns0:t>无</ns0:t>
        </ns0:is>
      </ns0:c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2"/>
      <ns0:c r="B14" s="2" t="inlineStr">
        <ns0:is>
          <ns0:t>办公费</ns0:t>
        </ns0:is>
      </ns0:c>
      <ns0:c r="C14" s="3">
        <ns0:f>ROUND(C214*C334,2)</ns0:f>
        <ns0:v>114.09</ns0:v>
      </ns0:c>
      <ns0:c r="D14" s="3">
        <ns0:f>ROUND(D214*D334,2)</ns0:f>
        <ns0:v>248.93</ns0:v>
      </ns0:c>
      <ns0:c r="E14" s="3">
        <ns0:f>ROUND(E214*E334,2)</ns0:f>
        <ns0:v>463.72</ns0:v>
      </ns0:c>
      <ns0:c r="F14" s="3">
        <ns0:f>ROUND(F214*F334,2)</ns0:f>
        <ns0:v>319.32</ns0:v>
      </ns0:c>
      <ns0:c r="G14" s="3">
        <ns0:f>ROUND(G214*G334,2)</ns0:f>
        <ns0:v>394.41</ns0:v>
      </ns0:c>
      <ns0:c r="H14" s="3">
        <ns0:f>ROUND(H214*H334,2)</ns0:f>
        <ns0:v>210.84</ns0:v>
      </ns0:c>
      <ns0:c r="I14" s="3">
        <ns0:f>ROUND(I214*I334,2)</ns0:f>
        <ns0:v>74.94</ns0:v>
      </ns0:c>
      <ns0:c r="J14" s="3">
        <ns0:f>ROUND(J214*J334,2)</ns0:f>
        <ns0:v>281.14</ns0:v>
      </ns0:c>
      <ns0:c r="K14" s="3">
        <ns0:f>ROUND(K214*K334,2)</ns0:f>
        <ns0:v>81.29</ns0:v>
      </ns0:c>
      <ns0:c r="L14" s="3">
        <ns0:f>ROUND(L214*L334,2)</ns0:f>
        <ns0:v>219.54</ns0:v>
      </ns0:c>
      <ns0:c r="M14" s="3">
        <ns0:f>ROUND(M214*M334,2)</ns0:f>
        <ns0:v>396.13</ns0:v>
      </ns0:c>
      <ns0:c r="N14" s="3">
        <ns0:f>ROUND(N214*N334,2)</ns0:f>
        <ns0:v>66.39</ns0:v>
      </ns0:c>
      <ns0:c r="O14" s="3">
        <ns0:f>SUM(C14:N14)</ns0:f>
        <ns0:v>2870.74</ns0:v>
      </ns0:c>
      <ns0:c r="P14" s="2" t="inlineStr">
        <ns0:is>
          <ns0:t>EXP3.014</ns0:t>
        </ns0:is>
      </ns0:c>
      <ns0:c r="Q14" s="2" t="inlineStr">
        <ns0:is>
          <ns0:t>演示占位-v1</ns0:t>
        </ns0:is>
      </ns0:c>
      <ns0:c r="R14" s="2" t="inlineStr">
        <ns0:is>
          <ns0:t>模拟权责发生制</ns0:t>
        </ns0:is>
      </ns0:c>
      <ns0:c r="S14" s="2" t="inlineStr">
        <ns0:is>
          <ns0:t>2027-01</ns0:t>
        </ns0:is>
      </ns0:c>
      <ns0:c r="T14" s="2" t="inlineStr">
        <ns0:is>
          <ns0:t>2027-06</ns0:t>
        </ns0:is>
      </ns0:c>
      <ns0:c r="U14" s="2" t="inlineStr">
        <ns0:is>
          <ns0:t>无</ns0:t>
        </ns0:is>
      </ns0:c>
      <ns0:c r="V14" s="2" t="inlineStr">
        <ns0:is>
          <ns0:t>无</ns0:t>
        </ns0:is>
      </ns0:c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2"/>
      <ns0:c r="B15" s="2" t="inlineStr">
        <ns0:is>
          <ns0:t>办公用品</ns0:t>
        </ns0:is>
      </ns0:c>
      <ns0:c r="C15" s="3">
        <ns0:f>ROUND(C215*C335,2)</ns0:f>
        <ns0:v>125.44</ns0:v>
      </ns0:c>
      <ns0:c r="D15" s="3">
        <ns0:f>ROUND(D215*D335,2)</ns0:f>
        <ns0:v>199.07</ns0:v>
      </ns0:c>
      <ns0:c r="E15" s="3">
        <ns0:f>ROUND(E215*E335,2)</ns0:f>
        <ns0:v>110.76</ns0:v>
      </ns0:c>
      <ns0:c r="F15" s="3">
        <ns0:f>ROUND(F215*F335,2)</ns0:f>
        <ns0:v>201.45</ns0:v>
      </ns0:c>
      <ns0:c r="G15" s="3">
        <ns0:f>ROUND(G215*G335,2)</ns0:f>
        <ns0:v>476.45</ns0:v>
      </ns0:c>
      <ns0:c r="H15" s="3">
        <ns0:f>ROUND(H215*H335,2)</ns0:f>
        <ns0:v>397.96</ns0:v>
      </ns0:c>
      <ns0:c r="I15" s="3">
        <ns0:f>ROUND(I215*I335,2)</ns0:f>
        <ns0:v>311.68</ns0:v>
      </ns0:c>
      <ns0:c r="J15" s="3">
        <ns0:f>ROUND(J215*J335,2)</ns0:f>
        <ns0:v>81.36</ns0:v>
      </ns0:c>
      <ns0:c r="K15" s="3">
        <ns0:f>ROUND(K215*K335,2)</ns0:f>
        <ns0:v>319.68</ns0:v>
      </ns0:c>
      <ns0:c r="L15" s="3">
        <ns0:f>ROUND(L215*L335,2)</ns0:f>
        <ns0:v>80.86</ns0:v>
      </ns0:c>
      <ns0:c r="M15" s="3">
        <ns0:f>ROUND(M215*M335,2)</ns0:f>
        <ns0:v>169.82</ns0:v>
      </ns0:c>
      <ns0:c r="N15" s="3">
        <ns0:f>ROUND(N215*N335,2)</ns0:f>
        <ns0:v>98.24</ns0:v>
      </ns0:c>
      <ns0:c r="O15" s="3">
        <ns0:f>SUM(C15:N15)</ns0:f>
        <ns0:v>2572.77</ns0:v>
      </ns0:c>
      <ns0:c r="P15" s="2" t="inlineStr">
        <ns0:is>
          <ns0:t>EXP3.015</ns0:t>
        </ns0:is>
      </ns0:c>
      <ns0:c r="Q15" s="2" t="inlineStr">
        <ns0:is>
          <ns0:t>演示占位-v1</ns0:t>
        </ns0:is>
      </ns0:c>
      <ns0:c r="R15" s="2" t="inlineStr">
        <ns0:is>
          <ns0:t>模拟权责发生制</ns0:t>
        </ns0:is>
      </ns0:c>
      <ns0:c r="S15" s="2" t="inlineStr">
        <ns0:is>
          <ns0:t>2027-01</ns0:t>
        </ns0:is>
      </ns0:c>
      <ns0:c r="T15" s="2" t="inlineStr">
        <ns0:is>
          <ns0:t>2027-06</ns0:t>
        </ns0:is>
      </ns0:c>
      <ns0:c r="U15" s="2" t="inlineStr">
        <ns0:is>
          <ns0:t>无</ns0:t>
        </ns0:is>
      </ns0:c>
      <ns0:c r="V15" s="2" t="inlineStr">
        <ns0:is>
          <ns0:t>无</ns0:t>
        </ns0:is>
      </ns0:c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2"/>
      <ns0:c r="B16" s="2" t="inlineStr">
        <ns0:is>
          <ns0:t>水电煤</ns0:t>
        </ns0:is>
      </ns0:c>
      <ns0:c r="C16" s="3">
        <ns0:f>ROUND(C216*C336,2)</ns0:f>
        <ns0:v>333.52</ns0:v>
      </ns0:c>
      <ns0:c r="D16" s="3">
        <ns0:f>ROUND(D216*D336,2)</ns0:f>
        <ns0:v>166.62</ns0:v>
      </ns0:c>
      <ns0:c r="E16" s="3">
        <ns0:f>ROUND(E216*E336,2)</ns0:f>
        <ns0:v>98.80</ns0:v>
      </ns0:c>
      <ns0:c r="F16" s="3">
        <ns0:f>ROUND(F216*F336,2)</ns0:f>
        <ns0:v>283.39</ns0:v>
      </ns0:c>
      <ns0:c r="G16" s="3">
        <ns0:f>ROUND(G216*G336,2)</ns0:f>
        <ns0:v>214.10</ns0:v>
      </ns0:c>
      <ns0:c r="H16" s="3">
        <ns0:f>ROUND(H216*H336,2)</ns0:f>
        <ns0:v>111.53</ns0:v>
      </ns0:c>
      <ns0:c r="I16" s="3">
        <ns0:f>ROUND(I216*I336,2)</ns0:f>
        <ns0:v>321.75</ns0:v>
      </ns0:c>
      <ns0:c r="J16" s="3">
        <ns0:f>ROUND(J216*J336,2)</ns0:f>
        <ns0:v>161.84</ns0:v>
      </ns0:c>
      <ns0:c r="K16" s="3">
        <ns0:f>ROUND(K216*K336,2)</ns0:f>
        <ns0:v>312.03</ns0:v>
      </ns0:c>
      <ns0:c r="L16" s="3">
        <ns0:f>ROUND(L216*L336,2)</ns0:f>
        <ns0:v>189.88</ns0:v>
      </ns0:c>
      <ns0:c r="M16" s="3">
        <ns0:f>ROUND(M216*M336,2)</ns0:f>
        <ns0:v>248.13</ns0:v>
      </ns0:c>
      <ns0:c r="N16" s="3">
        <ns0:f>ROUND(N216*N336,2)</ns0:f>
        <ns0:v>217.53</ns0:v>
      </ns0:c>
      <ns0:c r="O16" s="3">
        <ns0:f>SUM(C16:N16)</ns0:f>
        <ns0:v>2659.12</ns0:v>
      </ns0:c>
      <ns0:c r="P16" s="2" t="inlineStr">
        <ns0:is>
          <ns0:t>EXP3.016</ns0:t>
        </ns0:is>
      </ns0:c>
      <ns0:c r="Q16" s="2" t="inlineStr">
        <ns0:is>
          <ns0:t>演示占位-v1</ns0:t>
        </ns0:is>
      </ns0:c>
      <ns0:c r="R16" s="2" t="inlineStr">
        <ns0:is>
          <ns0:t>模拟权责发生制</ns0:t>
        </ns0:is>
      </ns0:c>
      <ns0:c r="S16" s="2" t="inlineStr">
        <ns0:is>
          <ns0:t>2027-01</ns0:t>
        </ns0:is>
      </ns0:c>
      <ns0:c r="T16" s="2" t="inlineStr">
        <ns0:is>
          <ns0:t>2027-06</ns0:t>
        </ns0:is>
      </ns0:c>
      <ns0:c r="U16" s="2" t="inlineStr">
        <ns0:is>
          <ns0:t>无</ns0:t>
        </ns0:is>
      </ns0:c>
      <ns0:c r="V16" s="2" t="inlineStr">
        <ns0:is>
          <ns0:t>无</ns0:t>
        </ns0:is>
      </ns0:c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实时经营</ns0:t>
        </ns0:is>
      </ns0:c>
    </ns0:row>
    <ns0:row r="17" ht="20" customHeight="1">
      <ns0:c r="A17" s="2"/>
      <ns0:c r="B17" s="2" t="inlineStr">
        <ns0:is>
          <ns0:t>咨询服务费</ns0:t>
        </ns0:is>
      </ns0:c>
      <ns0:c r="C17" s="3">
        <ns0:f>ROUND(C217*C337,2)</ns0:f>
        <ns0:v>122.72</ns0:v>
      </ns0:c>
      <ns0:c r="D17" s="3">
        <ns0:f>ROUND(D217*D337,2)</ns0:f>
        <ns0:v>85.58</ns0:v>
      </ns0:c>
      <ns0:c r="E17" s="3">
        <ns0:f>ROUND(E217*E337,2)</ns0:f>
        <ns0:v>148.68</ns0:v>
      </ns0:c>
      <ns0:c r="F17" s="3">
        <ns0:f>ROUND(F217*F337,2)</ns0:f>
        <ns0:v>165.75</ns0:v>
      </ns0:c>
      <ns0:c r="G17" s="3">
        <ns0:f>ROUND(G217*G337,2)</ns0:f>
        <ns0:v>370.91</ns0:v>
      </ns0:c>
      <ns0:c r="H17" s="3">
        <ns0:f>ROUND(H217*H337,2)</ns0:f>
        <ns0:v>158.60</ns0:v>
      </ns0:c>
      <ns0:c r="I17" s="3">
        <ns0:f>ROUND(I217*I337,2)</ns0:f>
        <ns0:v>213.99</ns0:v>
      </ns0:c>
      <ns0:c r="J17" s="3">
        <ns0:f>ROUND(J217*J337,2)</ns0:f>
        <ns0:v>315.88</ns0:v>
      </ns0:c>
      <ns0:c r="K17" s="3">
        <ns0:f>ROUND(K217*K337,2)</ns0:f>
        <ns0:v>237.39</ns0:v>
      </ns0:c>
      <ns0:c r="L17" s="3">
        <ns0:f>ROUND(L217*L337,2)</ns0:f>
        <ns0:v>154.85</ns0:v>
      </ns0:c>
      <ns0:c r="M17" s="3">
        <ns0:f>ROUND(M217*M337,2)</ns0:f>
        <ns0:v>129.53</ns0:v>
      </ns0:c>
      <ns0:c r="N17" s="3">
        <ns0:f>ROUND(N217*N337,2)</ns0:f>
        <ns0:v>192.03</ns0:v>
      </ns0:c>
      <ns0:c r="O17" s="3">
        <ns0:f>SUM(C17:N17)</ns0:f>
        <ns0:v>2295.91</ns0:v>
      </ns0:c>
      <ns0:c r="P17" s="2" t="inlineStr">
        <ns0:is>
          <ns0:t>EXP3.017</ns0:t>
        </ns0:is>
      </ns0:c>
      <ns0:c r="Q17" s="2" t="inlineStr">
        <ns0:is>
          <ns0:t>演示占位-v1</ns0:t>
        </ns0:is>
      </ns0:c>
      <ns0:c r="R17" s="2" t="inlineStr">
        <ns0:is>
          <ns0:t>模拟权责发生制</ns0:t>
        </ns0:is>
      </ns0:c>
      <ns0:c r="S17" s="2" t="inlineStr">
        <ns0:is>
          <ns0:t>2027-01</ns0:t>
        </ns0:is>
      </ns0:c>
      <ns0:c r="T17" s="2" t="inlineStr">
        <ns0:is>
          <ns0:t>2027-06</ns0:t>
        </ns0:is>
      </ns0:c>
      <ns0:c r="U17" s="2" t="inlineStr">
        <ns0:is>
          <ns0:t>无</ns0:t>
        </ns0:is>
      </ns0:c>
      <ns0:c r="V17" s="2" t="inlineStr">
        <ns0:is>
          <ns0:t>无</ns0:t>
        </ns0:is>
      </ns0:c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蓝色为实时经营输入参数；示例数值为占位；金额单位：元</ns0:t>
        </ns0:is>
      </ns0:c>
    </ns0:row>
    <ns0:row r="18" ht="20" customHeight="1">
      <ns0:c r="A18" s="2"/>
      <ns0:c r="B18" s="2" t="inlineStr">
        <ns0:is>
          <ns0:t>电话费</ns0:t>
        </ns0:is>
      </ns0:c>
      <ns0:c r="C18" s="3">
        <ns0:f>ROUND(C218*C338,2)</ns0:f>
        <ns0:v>545.03</ns0:v>
      </ns0:c>
      <ns0:c r="D18" s="3">
        <ns0:f>ROUND(D218*D338,2)</ns0:f>
        <ns0:v>304.58</ns0:v>
      </ns0:c>
      <ns0:c r="E18" s="3">
        <ns0:f>ROUND(E218*E338,2)</ns0:f>
        <ns0:v>155.86</ns0:v>
      </ns0:c>
      <ns0:c r="F18" s="3">
        <ns0:f>ROUND(F218*F338,2)</ns0:f>
        <ns0:v>350.10</ns0:v>
      </ns0:c>
      <ns0:c r="G18" s="3">
        <ns0:f>ROUND(G218*G338,2)</ns0:f>
        <ns0:v>227.12</ns0:v>
      </ns0:c>
      <ns0:c r="H18" s="3">
        <ns0:f>ROUND(H218*H338,2)</ns0:f>
        <ns0:v>187.27</ns0:v>
      </ns0:c>
      <ns0:c r="I18" s="3">
        <ns0:f>ROUND(I218*I338,2)</ns0:f>
        <ns0:v>259.04</ns0:v>
      </ns0:c>
      <ns0:c r="J18" s="3">
        <ns0:f>ROUND(J218*J338,2)</ns0:f>
        <ns0:v>246.12</ns0:v>
      </ns0:c>
      <ns0:c r="K18" s="3">
        <ns0:f>ROUND(K218*K338,2)</ns0:f>
        <ns0:v>105.58</ns0:v>
      </ns0:c>
      <ns0:c r="L18" s="3">
        <ns0:f>ROUND(L218*L338,2)</ns0:f>
        <ns0:v>302.99</ns0:v>
      </ns0:c>
      <ns0:c r="M18" s="3">
        <ns0:f>ROUND(M218*M338,2)</ns0:f>
        <ns0:v>79.45</ns0:v>
      </ns0:c>
      <ns0:c r="N18" s="3">
        <ns0:f>ROUND(N218*N338,2)</ns0:f>
        <ns0:v>152.12</ns0:v>
      </ns0:c>
      <ns0:c r="O18" s="3">
        <ns0:f>SUM(C18:N18)</ns0:f>
        <ns0:v>2915.26</ns0:v>
      </ns0:c>
      <ns0:c r="P18" s="2" t="inlineStr">
        <ns0:is>
          <ns0:t>EXP3.018</ns0:t>
        </ns0:is>
      </ns0:c>
      <ns0:c r="Q18" s="2" t="inlineStr">
        <ns0:is>
          <ns0:t>演示占位-v1</ns0:t>
        </ns0:is>
      </ns0:c>
      <ns0:c r="R18" s="2" t="inlineStr">
        <ns0:is>
          <ns0:t>模拟权责发生制</ns0:t>
        </ns0:is>
      </ns0:c>
      <ns0:c r="S18" s="2" t="inlineStr">
        <ns0:is>
          <ns0:t>2027-01</ns0:t>
        </ns0:is>
      </ns0:c>
      <ns0:c r="T18" s="2" t="inlineStr">
        <ns0:is>
          <ns0:t>2027-06</ns0:t>
        </ns0:is>
      </ns0:c>
      <ns0:c r="U18" s="2" t="inlineStr">
        <ns0:is>
          <ns0:t>无</ns0:t>
        </ns0:is>
      </ns0:c>
      <ns0:c r="V18" s="2" t="inlineStr">
        <ns0:is>
          <ns0:t>无</ns0:t>
        </ns0:is>
      </ns0:c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2"/>
      <ns0:c r="B19" s="2" t="inlineStr">
        <ns0:is>
          <ns0:t>快递费</ns0:t>
        </ns0:is>
      </ns0:c>
      <ns0:c r="C19" s="3">
        <ns0:f>ROUND(C219*C339,2)</ns0:f>
        <ns0:v>429.24</ns0:v>
      </ns0:c>
      <ns0:c r="D19" s="3">
        <ns0:f>ROUND(D219*D339,2)</ns0:f>
        <ns0:v>174.40</ns0:v>
      </ns0:c>
      <ns0:c r="E19" s="3">
        <ns0:f>ROUND(E219*E339,2)</ns0:f>
        <ns0:v>173.08</ns0:v>
      </ns0:c>
      <ns0:c r="F19" s="3">
        <ns0:f>ROUND(F219*F339,2)</ns0:f>
        <ns0:v>338.93</ns0:v>
      </ns0:c>
      <ns0:c r="G19" s="3">
        <ns0:f>ROUND(G219*G339,2)</ns0:f>
        <ns0:v>114.93</ns0:v>
      </ns0:c>
      <ns0:c r="H19" s="3">
        <ns0:f>ROUND(H219*H339,2)</ns0:f>
        <ns0:v>312.79</ns0:v>
      </ns0:c>
      <ns0:c r="I19" s="3">
        <ns0:f>ROUND(I219*I339,2)</ns0:f>
        <ns0:v>265.75</ns0:v>
      </ns0:c>
      <ns0:c r="J19" s="3">
        <ns0:f>ROUND(J219*J339,2)</ns0:f>
        <ns0:v>73.35</ns0:v>
      </ns0:c>
      <ns0:c r="K19" s="3">
        <ns0:f>ROUND(K219*K339,2)</ns0:f>
        <ns0:v>160.11</ns0:v>
      </ns0:c>
      <ns0:c r="L19" s="3">
        <ns0:f>ROUND(L219*L339,2)</ns0:f>
        <ns0:v>145.54</ns0:v>
      </ns0:c>
      <ns0:c r="M19" s="3">
        <ns0:f>ROUND(M219*M339,2)</ns0:f>
        <ns0:v>217.81</ns0:v>
      </ns0:c>
      <ns0:c r="N19" s="3">
        <ns0:f>ROUND(N219*N339,2)</ns0:f>
        <ns0:v>160.31</ns0:v>
      </ns0:c>
      <ns0:c r="O19" s="3">
        <ns0:f>SUM(C19:N19)</ns0:f>
        <ns0:v>2566.24</ns0:v>
      </ns0:c>
      <ns0:c r="P19" s="2" t="inlineStr">
        <ns0:is>
          <ns0:t>EXP3.019</ns0:t>
        </ns0:is>
      </ns0:c>
      <ns0:c r="Q19" s="2" t="inlineStr">
        <ns0:is>
          <ns0:t>演示占位-v1</ns0:t>
        </ns0:is>
      </ns0:c>
      <ns0:c r="R19" s="2" t="inlineStr">
        <ns0:is>
          <ns0:t>模拟权责发生制</ns0:t>
        </ns0:is>
      </ns0:c>
      <ns0:c r="S19" s="2" t="inlineStr">
        <ns0:is>
          <ns0:t>2027-01</ns0:t>
        </ns0:is>
      </ns0:c>
      <ns0:c r="T19" s="2" t="inlineStr">
        <ns0:is>
          <ns0:t>2027-06</ns0:t>
        </ns0:is>
      </ns0:c>
      <ns0:c r="U19" s="2" t="inlineStr">
        <ns0:is>
          <ns0:t>无</ns0:t>
        </ns0:is>
      </ns0:c>
      <ns0:c r="V19" s="2" t="inlineStr">
        <ns0:is>
          <ns0:t>无</ns0:t>
        </ns0:is>
      </ns0:c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2"/>
      <ns0:c r="B20" s="2" t="inlineStr">
        <ns0:is>
          <ns0:t>折旧及摊销</ns0:t>
        </ns0:is>
      </ns0:c>
      <ns0:c r="C20" s="3">
        <ns0:f>ROUND('摊销明细'!C33/3,2)</ns0:f>
        <ns0:v>677.66</ns0:v>
      </ns0:c>
      <ns0:c r="D20" s="3">
        <ns0:f>ROUND('摊销明细'!D33/3,2)</ns0:f>
        <ns0:v>677.66</ns0:v>
      </ns0:c>
      <ns0:c r="E20" s="3">
        <ns0:f>ROUND('摊销明细'!E33/3,2)</ns0:f>
        <ns0:v>677.66</ns0:v>
      </ns0:c>
      <ns0:c r="F20" s="3">
        <ns0:f>ROUND('摊销明细'!F33/3,2)</ns0:f>
        <ns0:v>677.66</ns0:v>
      </ns0:c>
      <ns0:c r="G20" s="3">
        <ns0:f>ROUND('摊销明细'!G33/3,2)</ns0:f>
        <ns0:v>677.66</ns0:v>
      </ns0:c>
      <ns0:c r="H20" s="3">
        <ns0:f>ROUND('摊销明细'!H33/3,2)</ns0:f>
        <ns0:v>677.66</ns0:v>
      </ns0:c>
      <ns0:c r="I20" s="3">
        <ns0:f>ROUND('摊销明细'!I33/3,2)</ns0:f>
        <ns0:v>677.66</ns0:v>
      </ns0:c>
      <ns0:c r="J20" s="3">
        <ns0:f>ROUND('摊销明细'!J33/3,2)</ns0:f>
        <ns0:v>677.66</ns0:v>
      </ns0:c>
      <ns0:c r="K20" s="3">
        <ns0:f>ROUND('摊销明细'!K33/3,2)</ns0:f>
        <ns0:v>677.66</ns0:v>
      </ns0:c>
      <ns0:c r="L20" s="3">
        <ns0:f>ROUND('摊销明细'!L33/3,2)</ns0:f>
        <ns0:v>677.66</ns0:v>
      </ns0:c>
      <ns0:c r="M20" s="3">
        <ns0:f>ROUND('摊销明细'!M33/3,2)</ns0:f>
        <ns0:v>677.66</ns0:v>
      </ns0:c>
      <ns0:c r="N20" s="3">
        <ns0:f>ROUND('摊销明细'!N33/3,2)</ns0:f>
        <ns0:v>677.66</ns0:v>
      </ns0:c>
      <ns0:c r="O20" s="3">
        <ns0:f>SUM(C20:N20)</ns0:f>
        <ns0:v>8131.92</ns0:v>
      </ns0:c>
      <ns0:c r="P20" s="2" t="inlineStr">
        <ns0:is>
          <ns0:t>EXP3.020</ns0:t>
        </ns0:is>
      </ns0:c>
      <ns0:c r="Q20" s="2" t="inlineStr">
        <ns0:is>
          <ns0:t>演示占位-v1</ns0:t>
        </ns0:is>
      </ns0:c>
      <ns0:c r="R20" s="2" t="inlineStr">
        <ns0:is>
          <ns0:t>模拟权责发生制</ns0:t>
        </ns0:is>
      </ns0:c>
      <ns0:c r="S20" s="2" t="inlineStr">
        <ns0:is>
          <ns0:t>2027-01</ns0:t>
        </ns0:is>
      </ns0:c>
      <ns0:c r="T20" s="2" t="inlineStr">
        <ns0:is>
          <ns0:t>2027-06</ns0:t>
        </ns0:is>
      </ns0:c>
      <ns0:c r="U20" s="2" t="inlineStr">
        <ns0:is>
          <ns0:t>无</ns0:t>
        </ns0:is>
      </ns0:c>
      <ns0:c r="V20" s="2" t="inlineStr">
        <ns0:is>
          <ns0:t>无</ns0:t>
        </ns0:is>
      </ns0:c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2" t="inlineStr">
        <ns0:is>
          <ns0:t>差旅费</ns0:t>
        </ns0:is>
      </ns0:c>
      <ns0:c r="B21" s="2" t="inlineStr">
        <ns0:is>
          <ns0:t>机票火车票</ns0:t>
        </ns0:is>
      </ns0:c>
      <ns0:c r="C21" s="3">
        <ns0:f>ROUND(C221*C341,2)</ns0:f>
        <ns0:v>79.15</ns0:v>
      </ns0:c>
      <ns0:c r="D21" s="3">
        <ns0:f>ROUND(D221*D341,2)</ns0:f>
        <ns0:v>189.88</ns0:v>
      </ns0:c>
      <ns0:c r="E21" s="3">
        <ns0:f>ROUND(E221*E341,2)</ns0:f>
        <ns0:v>227.04</ns0:v>
      </ns0:c>
      <ns0:c r="F21" s="3">
        <ns0:f>ROUND(F221*F341,2)</ns0:f>
        <ns0:v>383.02</ns0:v>
      </ns0:c>
      <ns0:c r="G21" s="3">
        <ns0:f>ROUND(G221*G341,2)</ns0:f>
        <ns0:v>66.05</ns0:v>
      </ns0:c>
      <ns0:c r="H21" s="3">
        <ns0:f>ROUND(H221*H341,2)</ns0:f>
        <ns0:v>256.75</ns0:v>
      </ns0:c>
      <ns0:c r="I21" s="3">
        <ns0:f>ROUND(I221*I341,2)</ns0:f>
        <ns0:v>275.06</ns0:v>
      </ns0:c>
      <ns0:c r="J21" s="3">
        <ns0:f>ROUND(J221*J341,2)</ns0:f>
        <ns0:v>126.97</ns0:v>
      </ns0:c>
      <ns0:c r="K21" s="3">
        <ns0:f>ROUND(K221*K341,2)</ns0:f>
        <ns0:v>128.24</ns0:v>
      </ns0:c>
      <ns0:c r="L21" s="3">
        <ns0:f>ROUND(L221*L341,2)</ns0:f>
        <ns0:v>350.68</ns0:v>
      </ns0:c>
      <ns0:c r="M21" s="3">
        <ns0:f>ROUND(M221*M341,2)</ns0:f>
        <ns0:v>336.84</ns0:v>
      </ns0:c>
      <ns0:c r="N21" s="3">
        <ns0:f>ROUND(N221*N341,2)</ns0:f>
        <ns0:v>237.07</ns0:v>
      </ns0:c>
      <ns0:c r="O21" s="3">
        <ns0:f>SUM(C21:N21)</ns0:f>
        <ns0:v>2656.75</ns0:v>
      </ns0:c>
      <ns0:c r="P21" s="2" t="inlineStr">
        <ns0:is>
          <ns0:t>EXP3.021</ns0:t>
        </ns0:is>
      </ns0:c>
      <ns0:c r="Q21" s="2" t="inlineStr">
        <ns0:is>
          <ns0:t>演示占位-v1</ns0:t>
        </ns0:is>
      </ns0:c>
      <ns0:c r="R21" s="2" t="inlineStr">
        <ns0:is>
          <ns0:t>模拟权责发生制</ns0:t>
        </ns0:is>
      </ns0:c>
      <ns0:c r="S21" s="2" t="inlineStr">
        <ns0:is>
          <ns0:t>2027-01</ns0:t>
        </ns0:is>
      </ns0:c>
      <ns0:c r="T21" s="2" t="inlineStr">
        <ns0:is>
          <ns0:t>2027-06</ns0:t>
        </ns0:is>
      </ns0:c>
      <ns0:c r="U21" s="2" t="inlineStr">
        <ns0:is>
          <ns0:t>无</ns0:t>
        </ns0:is>
      </ns0:c>
      <ns0:c r="V21" s="2" t="inlineStr">
        <ns0:is>
          <ns0:t>无</ns0:t>
        </ns0:is>
      </ns0:c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2"/>
      <ns0:c r="B22" s="2" t="inlineStr">
        <ns0:is>
          <ns0:t>住宿费</ns0:t>
        </ns0:is>
      </ns0:c>
      <ns0:c r="C22" s="3">
        <ns0:f>ROUND(C222*C342,2)</ns0:f>
        <ns0:v>126.36</ns0:v>
      </ns0:c>
      <ns0:c r="D22" s="3">
        <ns0:f>ROUND(D222*D342,2)</ns0:f>
        <ns0:v>356.75</ns0:v>
      </ns0:c>
      <ns0:c r="E22" s="3">
        <ns0:f>ROUND(E222*E342,2)</ns0:f>
        <ns0:v>62.86</ns0:v>
      </ns0:c>
      <ns0:c r="F22" s="3">
        <ns0:f>ROUND(F222*F342,2)</ns0:f>
        <ns0:v>104.76</ns0:v>
      </ns0:c>
      <ns0:c r="G22" s="3">
        <ns0:f>ROUND(G222*G342,2)</ns0:f>
        <ns0:v>236.33</ns0:v>
      </ns0:c>
      <ns0:c r="H22" s="3">
        <ns0:f>ROUND(H222*H342,2)</ns0:f>
        <ns0:v>51.35</ns0:v>
      </ns0:c>
      <ns0:c r="I22" s="3">
        <ns0:f>ROUND(I222*I342,2)</ns0:f>
        <ns0:v>75.47</ns0:v>
      </ns0:c>
      <ns0:c r="J22" s="3">
        <ns0:f>ROUND(J222*J342,2)</ns0:f>
        <ns0:v>322.20</ns0:v>
      </ns0:c>
      <ns0:c r="K22" s="3">
        <ns0:f>ROUND(K222*K342,2)</ns0:f>
        <ns0:v>246.23</ns0:v>
      </ns0:c>
      <ns0:c r="L22" s="3">
        <ns0:f>ROUND(L222*L342,2)</ns0:f>
        <ns0:v>56.28</ns0:v>
      </ns0:c>
      <ns0:c r="M22" s="3">
        <ns0:f>ROUND(M222*M342,2)</ns0:f>
        <ns0:v>121.47</ns0:v>
      </ns0:c>
      <ns0:c r="N22" s="3">
        <ns0:f>ROUND(N222*N342,2)</ns0:f>
        <ns0:v>457.00</ns0:v>
      </ns0:c>
      <ns0:c r="O22" s="3">
        <ns0:f>SUM(C22:N22)</ns0:f>
        <ns0:v>2217.06</ns0:v>
      </ns0:c>
      <ns0:c r="P22" s="2" t="inlineStr">
        <ns0:is>
          <ns0:t>EXP3.022</ns0:t>
        </ns0:is>
      </ns0:c>
      <ns0:c r="Q22" s="2" t="inlineStr">
        <ns0:is>
          <ns0:t>演示占位-v1</ns0:t>
        </ns0:is>
      </ns0:c>
      <ns0:c r="R22" s="2" t="inlineStr">
        <ns0:is>
          <ns0:t>模拟权责发生制</ns0:t>
        </ns0:is>
      </ns0:c>
      <ns0:c r="S22" s="2" t="inlineStr">
        <ns0:is>
          <ns0:t>2027-01</ns0:t>
        </ns0:is>
      </ns0:c>
      <ns0:c r="T22" s="2" t="inlineStr">
        <ns0:is>
          <ns0:t>2027-06</ns0:t>
        </ns0:is>
      </ns0:c>
      <ns0:c r="U22" s="2" t="inlineStr">
        <ns0:is>
          <ns0:t>无</ns0:t>
        </ns0:is>
      </ns0:c>
      <ns0:c r="V22" s="2" t="inlineStr">
        <ns0:is>
          <ns0:t>无</ns0:t>
        </ns0:is>
      </ns0:c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2"/>
      <ns0:c r="B23" s="2" t="inlineStr">
        <ns0:is>
          <ns0:t>交通费</ns0:t>
        </ns0:is>
      </ns0:c>
      <ns0:c r="C23" s="3">
        <ns0:f>ROUND(C223*C343,2)</ns0:f>
        <ns0:v>343.35</ns0:v>
      </ns0:c>
      <ns0:c r="D23" s="3">
        <ns0:f>ROUND(D223*D343,2)</ns0:f>
        <ns0:v>227.71</ns0:v>
      </ns0:c>
      <ns0:c r="E23" s="3">
        <ns0:f>ROUND(E223*E343,2)</ns0:f>
        <ns0:v>220.22</ns0:v>
      </ns0:c>
      <ns0:c r="F23" s="3">
        <ns0:f>ROUND(F223*F343,2)</ns0:f>
        <ns0:v>233.79</ns0:v>
      </ns0:c>
      <ns0:c r="G23" s="3">
        <ns0:f>ROUND(G223*G343,2)</ns0:f>
        <ns0:v>59.09</ns0:v>
      </ns0:c>
      <ns0:c r="H23" s="3">
        <ns0:f>ROUND(H223*H343,2)</ns0:f>
        <ns0:v>274.06</ns0:v>
      </ns0:c>
      <ns0:c r="I23" s="3">
        <ns0:f>ROUND(I223*I343,2)</ns0:f>
        <ns0:v>313.46</ns0:v>
      </ns0:c>
      <ns0:c r="J23" s="3">
        <ns0:f>ROUND(J223*J343,2)</ns0:f>
        <ns0:v>414.13</ns0:v>
      </ns0:c>
      <ns0:c r="K23" s="3">
        <ns0:f>ROUND(K223*K343,2)</ns0:f>
        <ns0:v>215.30</ns0:v>
      </ns0:c>
      <ns0:c r="L23" s="3">
        <ns0:f>ROUND(L223*L343,2)</ns0:f>
        <ns0:v>234.68</ns0:v>
      </ns0:c>
      <ns0:c r="M23" s="3">
        <ns0:f>ROUND(M223*M343,2)</ns0:f>
        <ns0:v>312.63</ns0:v>
      </ns0:c>
      <ns0:c r="N23" s="3">
        <ns0:f>ROUND(N223*N343,2)</ns0:f>
        <ns0:v>259.83</ns0:v>
      </ns0:c>
      <ns0:c r="O23" s="3">
        <ns0:f>SUM(C23:N23)</ns0:f>
        <ns0:v>3108.25</ns0:v>
      </ns0:c>
      <ns0:c r="P23" s="2" t="inlineStr">
        <ns0:is>
          <ns0:t>EXP3.023</ns0:t>
        </ns0:is>
      </ns0:c>
      <ns0:c r="Q23" s="2" t="inlineStr">
        <ns0:is>
          <ns0:t>演示占位-v1</ns0:t>
        </ns0:is>
      </ns0:c>
      <ns0:c r="R23" s="2" t="inlineStr">
        <ns0:is>
          <ns0:t>模拟权责发生制</ns0:t>
        </ns0:is>
      </ns0:c>
      <ns0:c r="S23" s="2" t="inlineStr">
        <ns0:is>
          <ns0:t>2027-01</ns0:t>
        </ns0:is>
      </ns0:c>
      <ns0:c r="T23" s="2" t="inlineStr">
        <ns0:is>
          <ns0:t>2027-06</ns0:t>
        </ns0:is>
      </ns0:c>
      <ns0:c r="U23" s="2" t="inlineStr">
        <ns0:is>
          <ns0:t>无</ns0:t>
        </ns0:is>
      </ns0:c>
      <ns0:c r="V23" s="2" t="inlineStr">
        <ns0:is>
          <ns0:t>无</ns0:t>
        </ns0:is>
      </ns0:c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/>
      <ns0:c r="B24" s="2" t="inlineStr">
        <ns0:is>
          <ns0:t>差旅补贴</ns0:t>
        </ns0:is>
      </ns0:c>
      <ns0:c r="C24" s="3">
        <ns0:f>ROUND(C224*C344,2)</ns0:f>
        <ns0:v>164.90</ns0:v>
      </ns0:c>
      <ns0:c r="D24" s="3">
        <ns0:f>ROUND(D224*D344,2)</ns0:f>
        <ns0:v>563.89</ns0:v>
      </ns0:c>
      <ns0:c r="E24" s="3">
        <ns0:f>ROUND(E224*E344,2)</ns0:f>
        <ns0:v>331.72</ns0:v>
      </ns0:c>
      <ns0:c r="F24" s="3">
        <ns0:f>ROUND(F224*F344,2)</ns0:f>
        <ns0:v>464.55</ns0:v>
      </ns0:c>
      <ns0:c r="G24" s="3">
        <ns0:f>ROUND(G224*G344,2)</ns0:f>
        <ns0:v>167.66</ns0:v>
      </ns0:c>
      <ns0:c r="H24" s="3">
        <ns0:f>ROUND(H224*H344,2)</ns0:f>
        <ns0:v>353.52</ns0:v>
      </ns0:c>
      <ns0:c r="I24" s="3">
        <ns0:f>ROUND(I224*I344,2)</ns0:f>
        <ns0:v>144.54</ns0:v>
      </ns0:c>
      <ns0:c r="J24" s="3">
        <ns0:f>ROUND(J224*J344,2)</ns0:f>
        <ns0:v>206.21</ns0:v>
      </ns0:c>
      <ns0:c r="K24" s="3">
        <ns0:f>ROUND(K224*K344,2)</ns0:f>
        <ns0:v>354.64</ns0:v>
      </ns0:c>
      <ns0:c r="L24" s="3">
        <ns0:f>ROUND(L224*L344,2)</ns0:f>
        <ns0:v>185.01</ns0:v>
      </ns0:c>
      <ns0:c r="M24" s="3">
        <ns0:f>ROUND(M224*M344,2)</ns0:f>
        <ns0:v>315.40</ns0:v>
      </ns0:c>
      <ns0:c r="N24" s="3">
        <ns0:f>ROUND(N224*N344,2)</ns0:f>
        <ns0:v>115.10</ns0:v>
      </ns0:c>
      <ns0:c r="O24" s="3">
        <ns0:f>SUM(C24:N24)</ns0:f>
        <ns0:v>3367.14</ns0:v>
      </ns0:c>
      <ns0:c r="P24" s="2" t="inlineStr">
        <ns0:is>
          <ns0:t>EXP3.024</ns0:t>
        </ns0:is>
      </ns0:c>
      <ns0:c r="Q24" s="2" t="inlineStr">
        <ns0:is>
          <ns0:t>演示占位-v1</ns0:t>
        </ns0:is>
      </ns0:c>
      <ns0:c r="R24" s="2" t="inlineStr">
        <ns0:is>
          <ns0:t>模拟权责发生制</ns0:t>
        </ns0:is>
      </ns0:c>
      <ns0:c r="S24" s="2" t="inlineStr">
        <ns0:is>
          <ns0:t>2027-01</ns0:t>
        </ns0:is>
      </ns0:c>
      <ns0:c r="T24" s="2" t="inlineStr">
        <ns0:is>
          <ns0:t>2027-06</ns0:t>
        </ns0:is>
      </ns0:c>
      <ns0:c r="U24" s="2" t="inlineStr">
        <ns0:is>
          <ns0:t>无</ns0:t>
        </ns0:is>
      </ns0:c>
      <ns0:c r="V24" s="2" t="inlineStr">
        <ns0:is>
          <ns0:t>无</ns0:t>
        </ns0:is>
      </ns0:c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 t="inlineStr">
        <ns0:is>
          <ns0:t>业务招待费</ns0:t>
        </ns0:is>
      </ns0:c>
      <ns0:c r="B25" s="2" t="inlineStr">
        <ns0:is>
          <ns0:t>业务招待费</ns0:t>
        </ns0:is>
      </ns0:c>
      <ns0:c r="C25" s="3">
        <ns0:f>ROUND(C225*C345,2)</ns0:f>
        <ns0:v>303.98</ns0:v>
      </ns0:c>
      <ns0:c r="D25" s="3">
        <ns0:f>ROUND(D225*D345,2)</ns0:f>
        <ns0:v>374.65</ns0:v>
      </ns0:c>
      <ns0:c r="E25" s="3">
        <ns0:f>ROUND(E225*E345,2)</ns0:f>
        <ns0:v>346.10</ns0:v>
      </ns0:c>
      <ns0:c r="F25" s="3">
        <ns0:f>ROUND(F225*F345,2)</ns0:f>
        <ns0:v>445.08</ns0:v>
      </ns0:c>
      <ns0:c r="G25" s="3">
        <ns0:f>ROUND(G225*G345,2)</ns0:f>
        <ns0:v>288.01</ns0:v>
      </ns0:c>
      <ns0:c r="H25" s="3">
        <ns0:f>ROUND(H225*H345,2)</ns0:f>
        <ns0:v>160.37</ns0:v>
      </ns0:c>
      <ns0:c r="I25" s="3">
        <ns0:f>ROUND(I225*I345,2)</ns0:f>
        <ns0:v>216.37</ns0:v>
      </ns0:c>
      <ns0:c r="J25" s="3">
        <ns0:f>ROUND(J225*J345,2)</ns0:f>
        <ns0:v>441.98</ns0:v>
      </ns0:c>
      <ns0:c r="K25" s="3">
        <ns0:f>ROUND(K225*K345,2)</ns0:f>
        <ns0:v>329.31</ns0:v>
      </ns0:c>
      <ns0:c r="L25" s="3">
        <ns0:f>ROUND(L225*L345,2)</ns0:f>
        <ns0:v>176.05</ns0:v>
      </ns0:c>
      <ns0:c r="M25" s="3">
        <ns0:f>ROUND(M225*M345,2)</ns0:f>
        <ns0:v>131.72</ns0:v>
      </ns0:c>
      <ns0:c r="N25" s="3">
        <ns0:f>ROUND(N225*N345,2)</ns0:f>
        <ns0:v>380.11</ns0:v>
      </ns0:c>
      <ns0:c r="O25" s="3">
        <ns0:f>SUM(C25:N25)</ns0:f>
        <ns0:v>3593.73</ns0:v>
      </ns0:c>
      <ns0:c r="P25" s="2" t="inlineStr">
        <ns0:is>
          <ns0:t>EXP3.025</ns0:t>
        </ns0:is>
      </ns0:c>
      <ns0:c r="Q25" s="2" t="inlineStr">
        <ns0:is>
          <ns0:t>演示占位-v1</ns0:t>
        </ns0:is>
      </ns0:c>
      <ns0:c r="R25" s="2" t="inlineStr">
        <ns0:is>
          <ns0:t>模拟权责发生制</ns0:t>
        </ns0:is>
      </ns0:c>
      <ns0:c r="S25" s="2" t="inlineStr">
        <ns0:is>
          <ns0:t>2027-01</ns0:t>
        </ns0:is>
      </ns0:c>
      <ns0:c r="T25" s="2" t="inlineStr">
        <ns0:is>
          <ns0:t>2027-06</ns0:t>
        </ns0:is>
      </ns0:c>
      <ns0:c r="U25" s="2" t="inlineStr">
        <ns0:is>
          <ns0:t>无</ns0:t>
        </ns0:is>
      </ns0:c>
      <ns0:c r="V25" s="2" t="inlineStr">
        <ns0:is>
          <ns0:t>无</ns0:t>
        </ns0:is>
      </ns0:c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 t="inlineStr">
        <ns0:is>
          <ns0:t>市内交通费</ns0:t>
        </ns0:is>
      </ns0:c>
      <ns0:c r="B26" s="2" t="inlineStr">
        <ns0:is>
          <ns0:t>市内交通费</ns0:t>
        </ns0:is>
      </ns0:c>
      <ns0:c r="C26" s="3">
        <ns0:f>ROUND(C226*C346,2)</ns0:f>
        <ns0:v>120.59</ns0:v>
      </ns0:c>
      <ns0:c r="D26" s="3">
        <ns0:f>ROUND(D226*D346,2)</ns0:f>
        <ns0:v>156.49</ns0:v>
      </ns0:c>
      <ns0:c r="E26" s="3">
        <ns0:f>ROUND(E226*E346,2)</ns0:f>
        <ns0:v>156.90</ns0:v>
      </ns0:c>
      <ns0:c r="F26" s="3">
        <ns0:f>ROUND(F226*F346,2)</ns0:f>
        <ns0:v>177.42</ns0:v>
      </ns0:c>
      <ns0:c r="G26" s="3">
        <ns0:f>ROUND(G226*G346,2)</ns0:f>
        <ns0:v>290.58</ns0:v>
      </ns0:c>
      <ns0:c r="H26" s="3">
        <ns0:f>ROUND(H226*H346,2)</ns0:f>
        <ns0:v>391.18</ns0:v>
      </ns0:c>
      <ns0:c r="I26" s="3">
        <ns0:f>ROUND(I226*I346,2)</ns0:f>
        <ns0:v>79.74</ns0:v>
      </ns0:c>
      <ns0:c r="J26" s="3">
        <ns0:f>ROUND(J226*J346,2)</ns0:f>
        <ns0:v>407.91</ns0:v>
      </ns0:c>
      <ns0:c r="K26" s="3">
        <ns0:f>ROUND(K226*K346,2)</ns0:f>
        <ns0:v>237.43</ns0:v>
      </ns0:c>
      <ns0:c r="L26" s="3">
        <ns0:f>ROUND(L226*L346,2)</ns0:f>
        <ns0:v>69.25</ns0:v>
      </ns0:c>
      <ns0:c r="M26" s="3">
        <ns0:f>ROUND(M226*M346,2)</ns0:f>
        <ns0:v>92.44</ns0:v>
      </ns0:c>
      <ns0:c r="N26" s="3">
        <ns0:f>ROUND(N226*N346,2)</ns0:f>
        <ns0:v>176.80</ns0:v>
      </ns0:c>
      <ns0:c r="O26" s="3">
        <ns0:f>SUM(C26:N26)</ns0:f>
        <ns0:v>2356.73</ns0:v>
      </ns0:c>
      <ns0:c r="P26" s="2" t="inlineStr">
        <ns0:is>
          <ns0:t>EXP3.026</ns0:t>
        </ns0:is>
      </ns0:c>
      <ns0:c r="Q26" s="2" t="inlineStr">
        <ns0:is>
          <ns0:t>演示占位-v1</ns0:t>
        </ns0:is>
      </ns0:c>
      <ns0:c r="R26" s="2" t="inlineStr">
        <ns0:is>
          <ns0:t>模拟权责发生制</ns0:t>
        </ns0:is>
      </ns0:c>
      <ns0:c r="S26" s="2" t="inlineStr">
        <ns0:is>
          <ns0:t>2027-01</ns0:t>
        </ns0:is>
      </ns0:c>
      <ns0:c r="T26" s="2" t="inlineStr">
        <ns0:is>
          <ns0:t>2027-06</ns0:t>
        </ns0:is>
      </ns0:c>
      <ns0:c r="U26" s="2" t="inlineStr">
        <ns0:is>
          <ns0:t>无</ns0:t>
        </ns0:is>
      </ns0:c>
      <ns0:c r="V26" s="2" t="inlineStr">
        <ns0:is>
          <ns0:t>无</ns0:t>
        </ns0:is>
      </ns0:c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 t="inlineStr">
        <ns0:is>
          <ns0:t>调研费用</ns0:t>
        </ns0:is>
      </ns0:c>
      <ns0:c r="B27" s="2" t="inlineStr">
        <ns0:is>
          <ns0:t>调研费用</ns0:t>
        </ns0:is>
      </ns0:c>
      <ns0:c r="C27" s="3">
        <ns0:f>ROUND(C227*C347,2)</ns0:f>
        <ns0:v>114.98</ns0:v>
      </ns0:c>
      <ns0:c r="D27" s="3">
        <ns0:f>ROUND(D227*D347,2)</ns0:f>
        <ns0:v>277.67</ns0:v>
      </ns0:c>
      <ns0:c r="E27" s="3">
        <ns0:f>ROUND(E227*E347,2)</ns0:f>
        <ns0:v>371.45</ns0:v>
      </ns0:c>
      <ns0:c r="F27" s="3">
        <ns0:f>ROUND(F227*F347,2)</ns0:f>
        <ns0:v>132.86</ns0:v>
      </ns0:c>
      <ns0:c r="G27" s="3">
        <ns0:f>ROUND(G227*G347,2)</ns0:f>
        <ns0:v>151.03</ns0:v>
      </ns0:c>
      <ns0:c r="H27" s="3">
        <ns0:f>ROUND(H227*H347,2)</ns0:f>
        <ns0:v>203.10</ns0:v>
      </ns0:c>
      <ns0:c r="I27" s="3">
        <ns0:f>ROUND(I227*I347,2)</ns0:f>
        <ns0:v>137.95</ns0:v>
      </ns0:c>
      <ns0:c r="J27" s="3">
        <ns0:f>ROUND(J227*J347,2)</ns0:f>
        <ns0:v>145.28</ns0:v>
      </ns0:c>
      <ns0:c r="K27" s="3">
        <ns0:f>ROUND(K227*K347,2)</ns0:f>
        <ns0:v>277.42</ns0:v>
      </ns0:c>
      <ns0:c r="L27" s="3">
        <ns0:f>ROUND(L227*L347,2)</ns0:f>
        <ns0:v>277.94</ns0:v>
      </ns0:c>
      <ns0:c r="M27" s="3">
        <ns0:f>ROUND(M227*M347,2)</ns0:f>
        <ns0:v>201.91</ns0:v>
      </ns0:c>
      <ns0:c r="N27" s="3">
        <ns0:f>ROUND(N227*N347,2)</ns0:f>
        <ns0:v>210.40</ns0:v>
      </ns0:c>
      <ns0:c r="O27" s="3">
        <ns0:f>SUM(C27:N27)</ns0:f>
        <ns0:v>2501.99</ns0:v>
      </ns0:c>
      <ns0:c r="P27" s="2" t="inlineStr">
        <ns0:is>
          <ns0:t>EXP3.027</ns0:t>
        </ns0:is>
      </ns0:c>
      <ns0:c r="Q27" s="2" t="inlineStr">
        <ns0:is>
          <ns0:t>演示占位-v1</ns0:t>
        </ns0:is>
      </ns0:c>
      <ns0:c r="R27" s="2" t="inlineStr">
        <ns0:is>
          <ns0:t>模拟权责发生制</ns0:t>
        </ns0:is>
      </ns0:c>
      <ns0:c r="S27" s="2" t="inlineStr">
        <ns0:is>
          <ns0:t>2027-01</ns0:t>
        </ns0:is>
      </ns0:c>
      <ns0:c r="T27" s="2" t="inlineStr">
        <ns0:is>
          <ns0:t>2027-06</ns0:t>
        </ns0:is>
      </ns0:c>
      <ns0:c r="U27" s="2" t="inlineStr">
        <ns0:is>
          <ns0:t>无</ns0:t>
        </ns0:is>
      </ns0:c>
      <ns0:c r="V27" s="2" t="inlineStr">
        <ns0:is>
          <ns0:t>无</ns0:t>
        </ns0:is>
      </ns0:c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 t="inlineStr">
        <ns0:is>
          <ns0:t>手续费</ns0:t>
        </ns0:is>
      </ns0:c>
      <ns0:c r="B28" s="2" t="inlineStr">
        <ns0:is>
          <ns0:t>手续费</ns0:t>
        </ns0:is>
      </ns0:c>
      <ns0:c r="C28" s="3">
        <ns0:f>ROUND(C228*C348,2)</ns0:f>
        <ns0:v>292.39</ns0:v>
      </ns0:c>
      <ns0:c r="D28" s="3">
        <ns0:f>ROUND(D228*D348,2)</ns0:f>
        <ns0:v>104.20</ns0:v>
      </ns0:c>
      <ns0:c r="E28" s="3">
        <ns0:f>ROUND(E228*E348,2)</ns0:f>
        <ns0:v>227.74</ns0:v>
      </ns0:c>
      <ns0:c r="F28" s="3">
        <ns0:f>ROUND(F228*F348,2)</ns0:f>
        <ns0:v>486.76</ns0:v>
      </ns0:c>
      <ns0:c r="G28" s="3">
        <ns0:f>ROUND(G228*G348,2)</ns0:f>
        <ns0:v>223.47</ns0:v>
      </ns0:c>
      <ns0:c r="H28" s="3">
        <ns0:f>ROUND(H228*H348,2)</ns0:f>
        <ns0:v>213.00</ns0:v>
      </ns0:c>
      <ns0:c r="I28" s="3">
        <ns0:f>ROUND(I228*I348,2)</ns0:f>
        <ns0:v>298.85</ns0:v>
      </ns0:c>
      <ns0:c r="J28" s="3">
        <ns0:f>ROUND(J228*J348,2)</ns0:f>
        <ns0:v>331.46</ns0:v>
      </ns0:c>
      <ns0:c r="K28" s="3">
        <ns0:f>ROUND(K228*K348,2)</ns0:f>
        <ns0:v>175.56</ns0:v>
      </ns0:c>
      <ns0:c r="L28" s="3">
        <ns0:f>ROUND(L228*L348,2)</ns0:f>
        <ns0:v>133.82</ns0:v>
      </ns0:c>
      <ns0:c r="M28" s="3">
        <ns0:f>ROUND(M228*M348,2)</ns0:f>
        <ns0:v>361.82</ns0:v>
      </ns0:c>
      <ns0:c r="N28" s="3">
        <ns0:f>ROUND(N228*N348,2)</ns0:f>
        <ns0:v>318.52</ns0:v>
      </ns0:c>
      <ns0:c r="O28" s="3">
        <ns0:f>SUM(C28:N28)</ns0:f>
        <ns0:v>3167.59</ns0:v>
      </ns0:c>
      <ns0:c r="P28" s="2" t="inlineStr">
        <ns0:is>
          <ns0:t>EXP3.028</ns0:t>
        </ns0:is>
      </ns0:c>
      <ns0:c r="Q28" s="2" t="inlineStr">
        <ns0:is>
          <ns0:t>演示占位-v1</ns0:t>
        </ns0:is>
      </ns0:c>
      <ns0:c r="R28" s="2" t="inlineStr">
        <ns0:is>
          <ns0:t>模拟权责发生制</ns0:t>
        </ns0:is>
      </ns0:c>
      <ns0:c r="S28" s="2" t="inlineStr">
        <ns0:is>
          <ns0:t>2027-01</ns0:t>
        </ns0:is>
      </ns0:c>
      <ns0:c r="T28" s="2" t="inlineStr">
        <ns0:is>
          <ns0:t>2027-06</ns0:t>
        </ns0:is>
      </ns0:c>
      <ns0:c r="U28" s="2" t="inlineStr">
        <ns0:is>
          <ns0:t>无</ns0:t>
        </ns0:is>
      </ns0:c>
      <ns0:c r="V28" s="2" t="inlineStr">
        <ns0:is>
          <ns0:t>无</ns0:t>
        </ns0:is>
      </ns0:c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/>
      <ns0:c r="B29" s="2" t="inlineStr">
        <ns0:is>
          <ns0:t>利息收入</ns0:t>
        </ns0:is>
      </ns0:c>
      <ns0:c r="C29" s="3">
        <ns0:f>0</ns0:f>
        <ns0:v>0</ns0:v>
      </ns0:c>
      <ns0:c r="D29" s="3">
        <ns0:f>0</ns0:f>
        <ns0:v>0</ns0:v>
      </ns0:c>
      <ns0:c r="E29" s="3">
        <ns0:f>0</ns0:f>
        <ns0:v>0</ns0:v>
      </ns0:c>
      <ns0:c r="F29" s="3">
        <ns0:f>0</ns0:f>
        <ns0:v>0</ns0:v>
      </ns0:c>
      <ns0:c r="G29" s="3">
        <ns0:f>0</ns0:f>
        <ns0:v>0</ns0:v>
      </ns0:c>
      <ns0:c r="H29" s="3">
        <ns0:f>0</ns0:f>
        <ns0:v>0</ns0:v>
      </ns0:c>
      <ns0:c r="I29" s="3">
        <ns0:f>0</ns0:f>
        <ns0:v>0</ns0:v>
      </ns0:c>
      <ns0:c r="J29" s="3">
        <ns0:f>0</ns0:f>
        <ns0:v>0</ns0:v>
      </ns0:c>
      <ns0:c r="K29" s="3">
        <ns0:f>0</ns0:f>
        <ns0:v>0</ns0:v>
      </ns0:c>
      <ns0:c r="L29" s="3">
        <ns0:f>0</ns0:f>
        <ns0:v>0</ns0:v>
      </ns0:c>
      <ns0:c r="M29" s="3">
        <ns0:f>0</ns0:f>
        <ns0:v>0</ns0:v>
      </ns0:c>
      <ns0:c r="N29" s="3">
        <ns0:f>0</ns0:f>
        <ns0:v>0</ns0:v>
      </ns0:c>
      <ns0:c r="O29" s="3">
        <ns0:f>SUM(C29:N29)</ns0:f>
        <ns0:v>0</ns0:v>
      </ns0:c>
      <ns0:c r="P29" s="2" t="inlineStr">
        <ns0:is>
          <ns0:t>EXP3.029</ns0:t>
        </ns0:is>
      </ns0:c>
      <ns0:c r="Q29" s="2" t="inlineStr">
        <ns0:is>
          <ns0:t>演示占位-v1</ns0:t>
        </ns0:is>
      </ns0:c>
      <ns0:c r="R29" s="2" t="inlineStr">
        <ns0:is>
          <ns0:t>模拟权责发生制</ns0:t>
        </ns0:is>
      </ns0:c>
      <ns0:c r="S29" s="2" t="inlineStr">
        <ns0:is>
          <ns0:t>2027-01</ns0:t>
        </ns0:is>
      </ns0:c>
      <ns0:c r="T29" s="2" t="inlineStr">
        <ns0:is>
          <ns0:t>2027-06</ns0:t>
        </ns0:is>
      </ns0:c>
      <ns0:c r="U29" s="2" t="inlineStr">
        <ns0:is>
          <ns0:t>无</ns0:t>
        </ns0:is>
      </ns0:c>
      <ns0:c r="V29" s="2" t="inlineStr">
        <ns0:is>
          <ns0:t>无</ns0:t>
        </ns0:is>
      </ns0:c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/>
      <ns0:c r="B30" s="5" t="inlineStr">
        <ns0:is>
          <ns0:t>利息支出</ns0:t>
        </ns0:is>
      </ns0:c>
      <ns0:c r="C30" s="6">
        <ns0:f>ROUND(C230*C350,2)</ns0:f>
        <ns0:v>147.11</ns0:v>
      </ns0:c>
      <ns0:c r="D30" s="6">
        <ns0:f>ROUND(D230*D350,2)</ns0:f>
        <ns0:v>483.43</ns0:v>
      </ns0:c>
      <ns0:c r="E30" s="6">
        <ns0:f>ROUND(E230*E350,2)</ns0:f>
        <ns0:v>374.85</ns0:v>
      </ns0:c>
      <ns0:c r="F30" s="6">
        <ns0:f>ROUND(F230*F350,2)</ns0:f>
        <ns0:v>159.37</ns0:v>
      </ns0:c>
      <ns0:c r="G30" s="6">
        <ns0:f>ROUND(G230*G350,2)</ns0:f>
        <ns0:v>216.58</ns0:v>
      </ns0:c>
      <ns0:c r="H30" s="6">
        <ns0:f>ROUND(H230*H350,2)</ns0:f>
        <ns0:v>534.54</ns0:v>
      </ns0:c>
      <ns0:c r="I30" s="6">
        <ns0:f>ROUND(I230*I350,2)</ns0:f>
        <ns0:v>226.88</ns0:v>
      </ns0:c>
      <ns0:c r="J30" s="6">
        <ns0:f>ROUND(J230*J350,2)</ns0:f>
        <ns0:v>256.81</ns0:v>
      </ns0:c>
      <ns0:c r="K30" s="6">
        <ns0:f>ROUND(K230*K350,2)</ns0:f>
        <ns0:v>99.74</ns0:v>
      </ns0:c>
      <ns0:c r="L30" s="6">
        <ns0:f>ROUND(L230*L350,2)</ns0:f>
        <ns0:v>154.48</ns0:v>
      </ns0:c>
      <ns0:c r="M30" s="6">
        <ns0:f>ROUND(M230*M350,2)</ns0:f>
        <ns0:v>232.03</ns0:v>
      </ns0:c>
      <ns0:c r="N30" s="6">
        <ns0:f>ROUND(N230*N350,2)</ns0:f>
        <ns0:v>318.19</ns0:v>
      </ns0:c>
      <ns0:c r="O30" s="6">
        <ns0:f>SUM(C30:N30)</ns0:f>
        <ns0:v>3204.01</ns0:v>
      </ns0:c>
      <ns0:c r="P30" s="2" t="inlineStr">
        <ns0:is>
          <ns0:t>EXP3.030</ns0:t>
        </ns0:is>
      </ns0:c>
      <ns0:c r="Q30" s="2" t="inlineStr">
        <ns0:is>
          <ns0:t>演示占位-v1</ns0:t>
        </ns0:is>
      </ns0:c>
      <ns0:c r="R30" s="2" t="inlineStr">
        <ns0:is>
          <ns0:t>模拟权责发生制</ns0:t>
        </ns0:is>
      </ns0:c>
      <ns0:c r="S30" s="2" t="inlineStr">
        <ns0:is>
          <ns0:t>2027-01</ns0:t>
        </ns0:is>
      </ns0:c>
      <ns0:c r="T30" s="2" t="inlineStr">
        <ns0:is>
          <ns0:t>2027-06</ns0:t>
        </ns0:is>
      </ns0:c>
      <ns0:c r="U30" s="2" t="inlineStr">
        <ns0:is>
          <ns0:t>无</ns0:t>
        </ns0:is>
      </ns0:c>
      <ns0:c r="V30" s="2" t="inlineStr">
        <ns0:is>
          <ns0:t>无</ns0:t>
        </ns0:is>
      </ns0:c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 t="inlineStr">
        <ns0:is>
          <ns0:t>税金</ns0:t>
        </ns0:is>
      </ns0:c>
      <ns0:c r="B31" s="2" t="inlineStr">
        <ns0:is>
          <ns0:t>车船税</ns0:t>
        </ns0:is>
      </ns0:c>
      <ns0:c r="C31" s="3">
        <ns0:f>ROUND(C231*C351,2)</ns0:f>
        <ns0:v>196.01</ns0:v>
      </ns0:c>
      <ns0:c r="D31" s="3">
        <ns0:f>ROUND(D231*D351,2)</ns0:f>
        <ns0:v>259.18</ns0:v>
      </ns0:c>
      <ns0:c r="E31" s="3">
        <ns0:f>ROUND(E231*E351,2)</ns0:f>
        <ns0:v>107.05</ns0:v>
      </ns0:c>
      <ns0:c r="F31" s="3">
        <ns0:f>ROUND(F231*F351,2)</ns0:f>
        <ns0:v>199.63</ns0:v>
      </ns0:c>
      <ns0:c r="G31" s="3">
        <ns0:f>ROUND(G231*G351,2)</ns0:f>
        <ns0:v>137.65</ns0:v>
      </ns0:c>
      <ns0:c r="H31" s="3">
        <ns0:f>ROUND(H231*H351,2)</ns0:f>
        <ns0:v>215.79</ns0:v>
      </ns0:c>
      <ns0:c r="I31" s="3">
        <ns0:f>ROUND(I231*I351,2)</ns0:f>
        <ns0:v>300.58</ns0:v>
      </ns0:c>
      <ns0:c r="J31" s="3">
        <ns0:f>ROUND(J231*J351,2)</ns0:f>
        <ns0:v>152.27</ns0:v>
      </ns0:c>
      <ns0:c r="K31" s="3">
        <ns0:f>ROUND(K231*K351,2)</ns0:f>
        <ns0:v>231.26</ns0:v>
      </ns0:c>
      <ns0:c r="L31" s="3">
        <ns0:f>ROUND(L231*L351,2)</ns0:f>
        <ns0:v>77.18</ns0:v>
      </ns0:c>
      <ns0:c r="M31" s="3">
        <ns0:f>ROUND(M231*M351,2)</ns0:f>
        <ns0:v>134.45</ns0:v>
      </ns0:c>
      <ns0:c r="N31" s="3">
        <ns0:f>ROUND(N231*N351,2)</ns0:f>
        <ns0:v>253.32</ns0:v>
      </ns0:c>
      <ns0:c r="O31" s="3">
        <ns0:f>SUM(C31:N31)</ns0:f>
        <ns0:v>2264.37</ns0:v>
      </ns0:c>
      <ns0:c r="P31" s="2" t="inlineStr">
        <ns0:is>
          <ns0:t>EXP3.031</ns0:t>
        </ns0:is>
      </ns0:c>
      <ns0:c r="Q31" s="2" t="inlineStr">
        <ns0:is>
          <ns0:t>演示占位-v1</ns0:t>
        </ns0:is>
      </ns0:c>
      <ns0:c r="R31" s="2" t="inlineStr">
        <ns0:is>
          <ns0:t>模拟权责发生制</ns0:t>
        </ns0:is>
      </ns0:c>
      <ns0:c r="S31" s="2" t="inlineStr">
        <ns0:is>
          <ns0:t>2027-01</ns0:t>
        </ns0:is>
      </ns0:c>
      <ns0:c r="T31" s="2" t="inlineStr">
        <ns0:is>
          <ns0:t>2027-06</ns0:t>
        </ns0:is>
      </ns0:c>
      <ns0:c r="U31" s="2" t="inlineStr">
        <ns0:is>
          <ns0:t>无</ns0:t>
        </ns0:is>
      </ns0:c>
      <ns0:c r="V31" s="2" t="inlineStr">
        <ns0:is>
          <ns0:t>无</ns0:t>
        </ns0:is>
      </ns0:c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/>
      <ns0:c r="B32" s="2" t="inlineStr">
        <ns0:is>
          <ns0:t>印花税</ns0:t>
        </ns0:is>
      </ns0:c>
      <ns0:c r="C32" s="3">
        <ns0:f>ROUND(C232*C352,2)</ns0:f>
        <ns0:v>170.66</ns0:v>
      </ns0:c>
      <ns0:c r="D32" s="3">
        <ns0:f>ROUND(D232*D352,2)</ns0:f>
        <ns0:v>374.77</ns0:v>
      </ns0:c>
      <ns0:c r="E32" s="3">
        <ns0:f>ROUND(E232*E352,2)</ns0:f>
        <ns0:v>328.54</ns0:v>
      </ns0:c>
      <ns0:c r="F32" s="3">
        <ns0:f>ROUND(F232*F352,2)</ns0:f>
        <ns0:v>58.41</ns0:v>
      </ns0:c>
      <ns0:c r="G32" s="3">
        <ns0:f>ROUND(G232*G352,2)</ns0:f>
        <ns0:v>153.09</ns0:v>
      </ns0:c>
      <ns0:c r="H32" s="3">
        <ns0:f>ROUND(H232*H352,2)</ns0:f>
        <ns0:v>82.39</ns0:v>
      </ns0:c>
      <ns0:c r="I32" s="3">
        <ns0:f>ROUND(I232*I352,2)</ns0:f>
        <ns0:v>490.18</ns0:v>
      </ns0:c>
      <ns0:c r="J32" s="3">
        <ns0:f>ROUND(J232*J352,2)</ns0:f>
        <ns0:v>234.43</ns0:v>
      </ns0:c>
      <ns0:c r="K32" s="3">
        <ns0:f>ROUND(K232*K352,2)</ns0:f>
        <ns0:v>61.89</ns0:v>
      </ns0:c>
      <ns0:c r="L32" s="3">
        <ns0:f>ROUND(L232*L352,2)</ns0:f>
        <ns0:v>394.33</ns0:v>
      </ns0:c>
      <ns0:c r="M32" s="3">
        <ns0:f>ROUND(M232*M352,2)</ns0:f>
        <ns0:v>139.89</ns0:v>
      </ns0:c>
      <ns0:c r="N32" s="3">
        <ns0:f>ROUND(N232*N352,2)</ns0:f>
        <ns0:v>183.89</ns0:v>
      </ns0:c>
      <ns0:c r="O32" s="3">
        <ns0:f>SUM(C32:N32)</ns0:f>
        <ns0:v>2672.47</ns0:v>
      </ns0:c>
      <ns0:c r="P32" s="2" t="inlineStr">
        <ns0:is>
          <ns0:t>EXP3.032</ns0:t>
        </ns0:is>
      </ns0:c>
      <ns0:c r="Q32" s="2" t="inlineStr">
        <ns0:is>
          <ns0:t>演示占位-v1</ns0:t>
        </ns0:is>
      </ns0:c>
      <ns0:c r="R32" s="2" t="inlineStr">
        <ns0:is>
          <ns0:t>模拟权责发生制</ns0:t>
        </ns0:is>
      </ns0:c>
      <ns0:c r="S32" s="2" t="inlineStr">
        <ns0:is>
          <ns0:t>2027-01</ns0:t>
        </ns0:is>
      </ns0:c>
      <ns0:c r="T32" s="2" t="inlineStr">
        <ns0:is>
          <ns0:t>2027-06</ns0:t>
        </ns0:is>
      </ns0:c>
      <ns0:c r="U32" s="2" t="inlineStr">
        <ns0:is>
          <ns0:t>无</ns0:t>
        </ns0:is>
      </ns0:c>
      <ns0:c r="V32" s="2" t="inlineStr">
        <ns0:is>
          <ns0:t>无</ns0:t>
        </ns0:is>
      </ns0:c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 t="inlineStr">
        <ns0:is>
          <ns0:t>其他</ns0:t>
        </ns0:is>
      </ns0:c>
      <ns0:c r="B33" s="2" t="inlineStr">
        <ns0:is>
          <ns0:t>其他</ns0:t>
        </ns0:is>
      </ns0:c>
      <ns0:c r="C33" s="3">
        <ns0:f>ROUND(C233*C353,2)</ns0:f>
        <ns0:v>286.44</ns0:v>
      </ns0:c>
      <ns0:c r="D33" s="3">
        <ns0:f>ROUND(D233*D353,2)</ns0:f>
        <ns0:v>542.28</ns0:v>
      </ns0:c>
      <ns0:c r="E33" s="3">
        <ns0:f>ROUND(E233*E353,2)</ns0:f>
        <ns0:v>184.45</ns0:v>
      </ns0:c>
      <ns0:c r="F33" s="3">
        <ns0:f>ROUND(F233*F353,2)</ns0:f>
        <ns0:v>377.92</ns0:v>
      </ns0:c>
      <ns0:c r="G33" s="3">
        <ns0:f>ROUND(G233*G353,2)</ns0:f>
        <ns0:v>468.05</ns0:v>
      </ns0:c>
      <ns0:c r="H33" s="3">
        <ns0:f>ROUND(H233*H353,2)</ns0:f>
        <ns0:v>567.70</ns0:v>
      </ns0:c>
      <ns0:c r="I33" s="3">
        <ns0:f>ROUND(I233*I353,2)</ns0:f>
        <ns0:v>143.55</ns0:v>
      </ns0:c>
      <ns0:c r="J33" s="3">
        <ns0:f>ROUND(J233*J353,2)</ns0:f>
        <ns0:v>304.64</ns0:v>
      </ns0:c>
      <ns0:c r="K33" s="3">
        <ns0:f>ROUND(K233*K353,2)</ns0:f>
        <ns0:v>130.39</ns0:v>
      </ns0:c>
      <ns0:c r="L33" s="3">
        <ns0:f>ROUND(L233*L353,2)</ns0:f>
        <ns0:v>453.88</ns0:v>
      </ns0:c>
      <ns0:c r="M33" s="3">
        <ns0:f>ROUND(M233*M353,2)</ns0:f>
        <ns0:v>177.89</ns0:v>
      </ns0:c>
      <ns0:c r="N33" s="3">
        <ns0:f>ROUND(N233*N353,2)</ns0:f>
        <ns0:v>47.19</ns0:v>
      </ns0:c>
      <ns0:c r="O33" s="3">
        <ns0:f>SUM(C33:N33)</ns0:f>
        <ns0:v>3684.38</ns0:v>
      </ns0:c>
      <ns0:c r="P33" s="2" t="inlineStr">
        <ns0:is>
          <ns0:t>EXP3.033</ns0:t>
        </ns0:is>
      </ns0:c>
      <ns0:c r="Q33" s="2" t="inlineStr">
        <ns0:is>
          <ns0:t>演示占位-v1</ns0:t>
        </ns0:is>
      </ns0:c>
      <ns0:c r="R33" s="2" t="inlineStr">
        <ns0:is>
          <ns0:t>模拟权责发生制</ns0:t>
        </ns0:is>
      </ns0:c>
      <ns0:c r="S33" s="2" t="inlineStr">
        <ns0:is>
          <ns0:t>2027-01</ns0:t>
        </ns0:is>
      </ns0:c>
      <ns0:c r="T33" s="2" t="inlineStr">
        <ns0:is>
          <ns0:t>2027-06</ns0:t>
        </ns0:is>
      </ns0:c>
      <ns0:c r="U33" s="2" t="inlineStr">
        <ns0:is>
          <ns0:t>无</ns0:t>
        </ns0:is>
      </ns0:c>
      <ns0:c r="V33" s="2" t="inlineStr">
        <ns0:is>
          <ns0:t>无</ns0:t>
        </ns0:is>
      </ns0:c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 t="inlineStr">
        <ns0:is>
          <ns0:t>合计</ns0:t>
        </ns0:is>
      </ns0:c>
      <ns0:c r="B34" s="2"/>
      <ns0:c r="C34" s="3">
        <ns0:f>SUM(C4:C33)</ns0:f>
        <ns0:v>7014.18</ns0:v>
      </ns0:c>
      <ns0:c r="D34" s="3">
        <ns0:f>SUM(D4:D33)</ns0:f>
        <ns0:v>7866.51</ns0:v>
      </ns0:c>
      <ns0:c r="E34" s="3">
        <ns0:f>SUM(E4:E33)</ns0:f>
        <ns0:v>7553.93</ns0:v>
      </ns0:c>
      <ns0:c r="F34" s="3">
        <ns0:f>SUM(F4:F33)</ns0:f>
        <ns0:v>7952.95</ns0:v>
      </ns0:c>
      <ns0:c r="G34" s="3">
        <ns0:f>SUM(G4:G33)</ns0:f>
        <ns0:v>7885.40</ns0:v>
      </ns0:c>
      <ns0:c r="H34" s="3">
        <ns0:f>SUM(H4:H33)</ns0:f>
        <ns0:v>7167.82</ns0:v>
      </ns0:c>
      <ns0:c r="I34" s="3">
        <ns0:f>SUM(I4:I33)</ns0:f>
        <ns0:v>7868.58</ns0:v>
      </ns0:c>
      <ns0:c r="J34" s="3">
        <ns0:f>SUM(J4:J33)</ns0:f>
        <ns0:v>7471.13</ns0:v>
      </ns0:c>
      <ns0:c r="K34" s="3">
        <ns0:f>SUM(K4:K33)</ns0:f>
        <ns0:v>7544.69</ns0:v>
      </ns0:c>
      <ns0:c r="L34" s="3">
        <ns0:f>SUM(L4:L33)</ns0:f>
        <ns0:v>6523.25</ns0:v>
      </ns0:c>
      <ns0:c r="M34" s="3">
        <ns0:f>SUM(M4:M33)</ns0:f>
        <ns0:v>6366.46</ns0:v>
      </ns0:c>
      <ns0:c r="N34" s="3">
        <ns0:f>SUM(N4:N33)</ns0:f>
        <ns0:v>6306.45</ns0:v>
      </ns0:c>
      <ns0:c r="O34" s="3">
        <ns0:f>SUM(C34:N34)</ns0:f>
        <ns0:v>87521.35</ns0:v>
      </ns0:c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 t="inlineStr">
        <ns0:is>
          <ns0:t>增值税附加</ns0:t>
        </ns0:is>
      </ns0:c>
      <ns0:c r="B35" s="2"/>
      <ns0:c r="C35" s="3"/>
      <ns0:c r="D35" s="3"/>
      <ns0:c r="E35" s="3"/>
      <ns0:c r="F35" s="3"/>
      <ns0:c r="G35" s="3"/>
      <ns0:c r="H35" s="3"/>
      <ns0:c r="I35" s="3"/>
      <ns0:c r="J35" s="3"/>
      <ns0:c r="K35" s="3"/>
      <ns0:c r="L35" s="3"/>
      <ns0:c r="M35" s="3"/>
      <ns0:c r="N35" s="3"/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 t="inlineStr">
        <ns0:is>
          <ns0:t>三费及税金合计</ns0:t>
        </ns0:is>
      </ns0:c>
      <ns0:c r="B36" s="2"/>
      <ns0:c r="C36" s="3"/>
      <ns0:c r="D36" s="3"/>
      <ns0:c r="E36" s="3"/>
      <ns0:c r="F36" s="3"/>
      <ns0:c r="G36" s="3"/>
      <ns0:c r="H36" s="3"/>
      <ns0:c r="I36" s="3"/>
      <ns0:c r="J36" s="3"/>
      <ns0:c r="K36" s="3"/>
      <ns0:c r="L36" s="3"/>
      <ns0:c r="M36" s="3"/>
      <ns0:c r="N36" s="3"/>
      <ns0:c r="O36" s="3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/>
      <ns0:c r="C64" s="3"/>
      <ns0:c r="D64" s="3"/>
      <ns0:c r="E64" s="3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/>
      <ns0:c r="C65" s="3"/>
      <ns0:c r="D65" s="3"/>
      <ns0:c r="E65" s="3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/>
      <ns0:c r="C66" s="3"/>
      <ns0:c r="D66" s="3"/>
      <ns0:c r="E66" s="3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/>
      <ns0:c r="C67" s="3"/>
      <ns0:c r="D67" s="3"/>
      <ns0:c r="E67" s="3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/>
      <ns0:c r="C68" s="3"/>
      <ns0:c r="D68" s="3"/>
      <ns0:c r="E68" s="3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 t="inlineStr">
        <ns0:is>
          <ns0:t>工资单价</ns0:t>
        </ns0:is>
      </ns0:c>
      <ns0:c r="C204" s="4">
        <ns0:v>38.79</ns0:v>
      </ns0:c>
      <ns0:c r="D204" s="4">
        <ns0:v>72.68</ns0:v>
      </ns0:c>
      <ns0:c r="E204" s="4">
        <ns0:v>35.41</ns0:v>
      </ns0:c>
      <ns0:c r="F204" s="4">
        <ns0:v>35.89</ns0:v>
      </ns0:c>
      <ns0:c r="G204" s="4">
        <ns0:v>63.54</ns0:v>
      </ns0:c>
      <ns0:c r="H204" s="4">
        <ns0:v>20.40</ns0:v>
      </ns0:c>
      <ns0:c r="I204" s="4">
        <ns0:v>50.33</ns0:v>
      </ns0:c>
      <ns0:c r="J204" s="4">
        <ns0:v>46.91</ns0:v>
      </ns0:c>
      <ns0:c r="K204" s="4">
        <ns0:v>47.19</ns0:v>
      </ns0:c>
      <ns0:c r="L204" s="4">
        <ns0:v>62.05</ns0:v>
      </ns0:c>
      <ns0:c r="M204" s="4">
        <ns0:v>24.31</ns0:v>
      </ns0:c>
      <ns0:c r="N204" s="4">
        <ns0:v>36.86</ns0:v>
      </ns0:c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 t="inlineStr">
        <ns0:is>
          <ns0:t>十三薪单价</ns0:t>
        </ns0:is>
      </ns0:c>
      <ns0:c r="C205" s="4">
        <ns0:v>25.05</ns0:v>
      </ns0:c>
      <ns0:c r="D205" s="4">
        <ns0:v>46.44</ns0:v>
      </ns0:c>
      <ns0:c r="E205" s="4">
        <ns0:v>46.07</ns0:v>
      </ns0:c>
      <ns0:c r="F205" s="4">
        <ns0:v>43.39</ns0:v>
      </ns0:c>
      <ns0:c r="G205" s="4">
        <ns0:v>21.54</ns0:v>
      </ns0:c>
      <ns0:c r="H205" s="4">
        <ns0:v>49.97</ns0:v>
      </ns0:c>
      <ns0:c r="I205" s="4">
        <ns0:v>55.35</ns0:v>
      </ns0:c>
      <ns0:c r="J205" s="4">
        <ns0:v>27.64</ns0:v>
      </ns0:c>
      <ns0:c r="K205" s="4">
        <ns0:v>59.26</ns0:v>
      </ns0:c>
      <ns0:c r="L205" s="4">
        <ns0:v>49.30</ns0:v>
      </ns0:c>
      <ns0:c r="M205" s="4">
        <ns0:v>50.90</ns0:v>
      </ns0:c>
      <ns0:c r="N205" s="4">
        <ns0:v>25.87</ns0:v>
      </ns0:c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 t="inlineStr">
        <ns0:is>
          <ns0:t>离职补偿金单价</ns0:t>
        </ns0:is>
      </ns0:c>
      <ns0:c r="C206" s="4">
        <ns0:v>26.90</ns0:v>
      </ns0:c>
      <ns0:c r="D206" s="4">
        <ns0:v>56.21</ns0:v>
      </ns0:c>
      <ns0:c r="E206" s="4">
        <ns0:v>29.80</ns0:v>
      </ns0:c>
      <ns0:c r="F206" s="4">
        <ns0:v>48.81</ns0:v>
      </ns0:c>
      <ns0:c r="G206" s="4">
        <ns0:v>65.54</ns0:v>
      </ns0:c>
      <ns0:c r="H206" s="4">
        <ns0:v>41.20</ns0:v>
      </ns0:c>
      <ns0:c r="I206" s="4">
        <ns0:v>30.64</ns0:v>
      </ns0:c>
      <ns0:c r="J206" s="4">
        <ns0:v>21.51</ns0:v>
      </ns0:c>
      <ns0:c r="K206" s="4">
        <ns0:v>22.77</ns0:v>
      </ns0:c>
      <ns0:c r="L206" s="4">
        <ns0:v>64.40</ns0:v>
      </ns0:c>
      <ns0:c r="M206" s="4">
        <ns0:v>55.76</ns0:v>
      </ns0:c>
      <ns0:c r="N206" s="4">
        <ns0:v>17.82</ns0:v>
      </ns0:c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 t="inlineStr">
        <ns0:is>
          <ns0:t>五险一金单价</ns0:t>
        </ns0:is>
      </ns0:c>
      <ns0:c r="C207" s="4">
        <ns0:v>55.07</ns0:v>
      </ns0:c>
      <ns0:c r="D207" s="4">
        <ns0:v>37.61</ns0:v>
      </ns0:c>
      <ns0:c r="E207" s="4">
        <ns0:v>28.55</ns0:v>
      </ns0:c>
      <ns0:c r="F207" s="4">
        <ns0:v>52.50</ns0:v>
      </ns0:c>
      <ns0:c r="G207" s="4">
        <ns0:v>30.55</ns0:v>
      </ns0:c>
      <ns0:c r="H207" s="4">
        <ns0:v>45.45</ns0:v>
      </ns0:c>
      <ns0:c r="I207" s="4">
        <ns0:v>37.99</ns0:v>
      </ns0:c>
      <ns0:c r="J207" s="4">
        <ns0:v>57.33</ns0:v>
      </ns0:c>
      <ns0:c r="K207" s="4">
        <ns0:v>42.82</ns0:v>
      </ns0:c>
      <ns0:c r="L207" s="4">
        <ns0:v>30.26</ns0:v>
      </ns0:c>
      <ns0:c r="M207" s="4">
        <ns0:v>29.07</ns0:v>
      </ns0:c>
      <ns0:c r="N207" s="4">
        <ns0:v>50.27</ns0:v>
      </ns0:c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 t="inlineStr">
        <ns0:is>
          <ns0:t>福利费单价</ns0:t>
        </ns0:is>
      </ns0:c>
      <ns0:c r="C208" s="4">
        <ns0:v>42.92</ns0:v>
      </ns0:c>
      <ns0:c r="D208" s="4">
        <ns0:v>32.70</ns0:v>
      </ns0:c>
      <ns0:c r="E208" s="4">
        <ns0:v>46.87</ns0:v>
      </ns0:c>
      <ns0:c r="F208" s="4">
        <ns0:v>37.62</ns0:v>
      </ns0:c>
      <ns0:c r="G208" s="4">
        <ns0:v>37.22</ns0:v>
      </ns0:c>
      <ns0:c r="H208" s="4">
        <ns0:v>24.94</ns0:v>
      </ns0:c>
      <ns0:c r="I208" s="4">
        <ns0:v>43.21</ns0:v>
      </ns0:c>
      <ns0:c r="J208" s="4">
        <ns0:v>59.14</ns0:v>
      </ns0:c>
      <ns0:c r="K208" s="4">
        <ns0:v>41.13</ns0:v>
      </ns0:c>
      <ns0:c r="L208" s="4">
        <ns0:v>46.94</ns0:v>
      </ns0:c>
      <ns0:c r="M208" s="4">
        <ns0:v>24.41</ns0:v>
      </ns0:c>
      <ns0:c r="N208" s="4">
        <ns0:v>66.87</ns0:v>
      </ns0:c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 t="inlineStr">
        <ns0:is>
          <ns0:t>招聘费单价</ns0:t>
        </ns0:is>
      </ns0:c>
      <ns0:c r="C209" s="4">
        <ns0:v>48.95</ns0:v>
      </ns0:c>
      <ns0:c r="D209" s="4">
        <ns0:v>62.32</ns0:v>
      </ns0:c>
      <ns0:c r="E209" s="4">
        <ns0:v>47.74</ns0:v>
      </ns0:c>
      <ns0:c r="F209" s="4">
        <ns0:v>33.70</ns0:v>
      </ns0:c>
      <ns0:c r="G209" s="4">
        <ns0:v>29.38</ns0:v>
      </ns0:c>
      <ns0:c r="H209" s="4">
        <ns0:v>37.84</ns0:v>
      </ns0:c>
      <ns0:c r="I209" s="4">
        <ns0:v>64.48</ns0:v>
      </ns0:c>
      <ns0:c r="J209" s="4">
        <ns0:v>51.46</ns0:v>
      </ns0:c>
      <ns0:c r="K209" s="4">
        <ns0:v>55.55</ns0:v>
      </ns0:c>
      <ns0:c r="L209" s="4">
        <ns0:v>35.38</ns0:v>
      </ns0:c>
      <ns0:c r="M209" s="4">
        <ns0:v>76.89</ns0:v>
      </ns0:c>
      <ns0:c r="N209" s="4">
        <ns0:v>55.98</ns0:v>
      </ns0:c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 t="inlineStr">
        <ns0:is>
          <ns0:t>培训费单价</ns0:t>
        </ns0:is>
      </ns0:c>
      <ns0:c r="C210" s="4">
        <ns0:v>17.03</ns0:v>
      </ns0:c>
      <ns0:c r="D210" s="4">
        <ns0:v>25.43</ns0:v>
      </ns0:c>
      <ns0:c r="E210" s="4">
        <ns0:v>50.92</ns0:v>
      </ns0:c>
      <ns0:c r="F210" s="4">
        <ns0:v>54.01</ns0:v>
      </ns0:c>
      <ns0:c r="G210" s="4">
        <ns0:v>64.98</ns0:v>
      </ns0:c>
      <ns0:c r="H210" s="4">
        <ns0:v>42.38</ns0:v>
      </ns0:c>
      <ns0:c r="I210" s="4">
        <ns0:v>49.49</ns0:v>
      </ns0:c>
      <ns0:c r="J210" s="4">
        <ns0:v>32.65</ns0:v>
      </ns0:c>
      <ns0:c r="K210" s="4">
        <ns0:v>58.44</ns0:v>
      </ns0:c>
      <ns0:c r="L210" s="4">
        <ns0:v>31.08</ns0:v>
      </ns0:c>
      <ns0:c r="M210" s="4">
        <ns0:v>59.73</ns0:v>
      </ns0:c>
      <ns0:c r="N210" s="4">
        <ns0:v>22.58</ns0:v>
      </ns0:c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 t="inlineStr">
        <ns0:is>
          <ns0:t>房租单价</ns0:t>
        </ns0:is>
      </ns0:c>
      <ns0:c r="C211" s="4">
        <ns0:v>50.09</ns0:v>
      </ns0:c>
      <ns0:c r="D211" s="4">
        <ns0:v>27.62</ns0:v>
      </ns0:c>
      <ns0:c r="E211" s="4">
        <ns0:v>50.13</ns0:v>
      </ns0:c>
      <ns0:c r="F211" s="4">
        <ns0:v>33.91</ns0:v>
      </ns0:c>
      <ns0:c r="G211" s="4">
        <ns0:v>52.65</ns0:v>
      </ns0:c>
      <ns0:c r="H211" s="4">
        <ns0:v>24.40</ns0:v>
      </ns0:c>
      <ns0:c r="I211" s="4">
        <ns0:v>70.98</ns0:v>
      </ns0:c>
      <ns0:c r="J211" s="4">
        <ns0:v>38.88</ns0:v>
      </ns0:c>
      <ns0:c r="K211" s="4">
        <ns0:v>52.82</ns0:v>
      </ns0:c>
      <ns0:c r="L211" s="4">
        <ns0:v>19.39</ns0:v>
      </ns0:c>
      <ns0:c r="M211" s="4">
        <ns0:v>65.91</ns0:v>
      </ns0:c>
      <ns0:c r="N211" s="4">
        <ns0:v>41.99</ns0:v>
      </ns0:c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 t="inlineStr">
        <ns0:is>
          <ns0:t>物业管理费单价</ns0:t>
        </ns0:is>
      </ns0:c>
      <ns0:c r="C212" s="4">
        <ns0:v>34.21</ns0:v>
      </ns0:c>
      <ns0:c r="D212" s="4">
        <ns0:v>33.27</ns0:v>
      </ns0:c>
      <ns0:c r="E212" s="4">
        <ns0:v>62.07</ns0:v>
      </ns0:c>
      <ns0:c r="F212" s="4">
        <ns0:v>59.25</ns0:v>
      </ns0:c>
      <ns0:c r="G212" s="4">
        <ns0:v>70.17</ns0:v>
      </ns0:c>
      <ns0:c r="H212" s="4">
        <ns0:v>31.71</ns0:v>
      </ns0:c>
      <ns0:c r="I212" s="4">
        <ns0:v>61.65</ns0:v>
      </ns0:c>
      <ns0:c r="J212" s="4">
        <ns0:v>71.49</ns0:v>
      </ns0:c>
      <ns0:c r="K212" s="4">
        <ns0:v>60.31</ns0:v>
      </ns0:c>
      <ns0:c r="L212" s="4">
        <ns0:v>36.24</ns0:v>
      </ns0:c>
      <ns0:c r="M212" s="4">
        <ns0:v>60.94</ns0:v>
      </ns0:c>
      <ns0:c r="N212" s="4">
        <ns0:v>26.78</ns0:v>
      </ns0:c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 t="inlineStr">
        <ns0:is>
          <ns0:t>汽车费用单价</ns0:t>
        </ns0:is>
      </ns0:c>
      <ns0:c r="C213" s="4">
        <ns0:v>51.01</ns0:v>
      </ns0:c>
      <ns0:c r="D213" s="4">
        <ns0:v>29.67</ns0:v>
      </ns0:c>
      <ns0:c r="E213" s="4">
        <ns0:v>18.48</ns0:v>
      </ns0:c>
      <ns0:c r="F213" s="4">
        <ns0:v>45.06</ns0:v>
      </ns0:c>
      <ns0:c r="G213" s="4">
        <ns0:v>53.68</ns0:v>
      </ns0:c>
      <ns0:c r="H213" s="4">
        <ns0:v>31.11</ns0:v>
      </ns0:c>
      <ns0:c r="I213" s="4">
        <ns0:v>26.49</ns0:v>
      </ns0:c>
      <ns0:c r="J213" s="4">
        <ns0:v>54.96</ns0:v>
      </ns0:c>
      <ns0:c r="K213" s="4">
        <ns0:v>30.32</ns0:v>
      </ns0:c>
      <ns0:c r="L213" s="4">
        <ns0:v>55.14</ns0:v>
      </ns0:c>
      <ns0:c r="M213" s="4">
        <ns0:v>23.95</ns0:v>
      </ns0:c>
      <ns0:c r="N213" s="4">
        <ns0:v>20.65</ns0:v>
      </ns0:c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 t="inlineStr">
        <ns0:is>
          <ns0:t>办公费单价</ns0:t>
        </ns0:is>
      </ns0:c>
      <ns0:c r="C214" s="4">
        <ns0:v>28.17</ns0:v>
      </ns0:c>
      <ns0:c r="D214" s="4">
        <ns0:v>60.42</ns0:v>
      </ns0:c>
      <ns0:c r="E214" s="4">
        <ns0:v>56.62</ns0:v>
      </ns0:c>
      <ns0:c r="F214" s="4">
        <ns0:v>56.92</ns0:v>
      </ns0:c>
      <ns0:c r="G214" s="4">
        <ns0:v>69.93</ns0:v>
      </ns0:c>
      <ns0:c r="H214" s="4">
        <ns0:v>51.30</ns0:v>
      </ns0:c>
      <ns0:c r="I214" s="4">
        <ns0:v>30.34</ns0:v>
      </ns0:c>
      <ns0:c r="J214" s="4">
        <ns0:v>63.75</ns0:v>
      </ns0:c>
      <ns0:c r="K214" s="4">
        <ns0:v>17.37</ns0:v>
      </ns0:c>
      <ns0:c r="L214" s="4">
        <ns0:v>68.82</ns0:v>
      </ns0:c>
      <ns0:c r="M214" s="4">
        <ns0:v>63.28</ns0:v>
      </ns0:c>
      <ns0:c r="N214" s="4">
        <ns0:v>19.76</ns0:v>
      </ns0:c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 t="inlineStr">
        <ns0:is>
          <ns0:t>办公用品单价</ns0:t>
        </ns0:is>
      </ns0:c>
      <ns0:c r="C215" s="4">
        <ns0:v>64.66</ns0:v>
      </ns0:c>
      <ns0:c r="D215" s="4">
        <ns0:v>29.89</ns0:v>
      </ns0:c>
      <ns0:c r="E215" s="4">
        <ns0:v>43.78</ns0:v>
      </ns0:c>
      <ns0:c r="F215" s="4">
        <ns0:v>49.74</ns0:v>
      </ns0:c>
      <ns0:c r="G215" s="4">
        <ns0:v>60.31</ns0:v>
      </ns0:c>
      <ns0:c r="H215" s="4">
        <ns0:v>52.71</ns0:v>
      </ns0:c>
      <ns0:c r="I215" s="4">
        <ns0:v>58.15</ns0:v>
      </ns0:c>
      <ns0:c r="J215" s="4">
        <ns0:v>17.61</ns0:v>
      </ns0:c>
      <ns0:c r="K215" s="4">
        <ns0:v>45.80</ns0:v>
      </ns0:c>
      <ns0:c r="L215" s="4">
        <ns0:v>16.57</ns0:v>
      </ns0:c>
      <ns0:c r="M215" s="4">
        <ns0:v>33.43</ns0:v>
      </ns0:c>
      <ns0:c r="N215" s="4">
        <ns0:v>29.15</ns0:v>
      </ns0:c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 t="inlineStr">
        <ns0:is>
          <ns0:t>水电煤单价</ns0:t>
        </ns0:is>
      </ns0:c>
      <ns0:c r="C216" s="4">
        <ns0:v>68.91</ns0:v>
      </ns0:c>
      <ns0:c r="D216" s="4">
        <ns0:v>42.29</ns0:v>
      </ns0:c>
      <ns0:c r="E216" s="4">
        <ns0:v>20.80</ns0:v>
      </ns0:c>
      <ns0:c r="F216" s="4">
        <ns0:v>41.19</ns0:v>
      </ns0:c>
      <ns0:c r="G216" s="4">
        <ns0:v>28.32</ns0:v>
      </ns0:c>
      <ns0:c r="H216" s="4">
        <ns0:v>54.67</ns0:v>
      </ns0:c>
      <ns0:c r="I216" s="4">
        <ns0:v>55.00</ns0:v>
      </ns0:c>
      <ns0:c r="J216" s="4">
        <ns0:v>17.44</ns0:v>
      </ns0:c>
      <ns0:c r="K216" s="4">
        <ns0:v>52.53</ns0:v>
      </ns0:c>
      <ns0:c r="L216" s="4">
        <ns0:v>60.47</ns0:v>
      </ns0:c>
      <ns0:c r="M216" s="4">
        <ns0:v>59.22</ns0:v>
      </ns0:c>
      <ns0:c r="N216" s="4">
        <ns0:v>42.82</ns0:v>
      </ns0:c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 t="inlineStr">
        <ns0:is>
          <ns0:t>咨询服务费单价</ns0:t>
        </ns0:is>
      </ns0:c>
      <ns0:c r="C217" s="4">
        <ns0:v>52.22</ns0:v>
      </ns0:c>
      <ns0:c r="D217" s="4">
        <ns0:v>35.66</ns0:v>
      </ns0:c>
      <ns0:c r="E217" s="4">
        <ns0:v>29.50</ns0:v>
      </ns0:c>
      <ns0:c r="F217" s="4">
        <ns0:v>37.93</ns0:v>
      </ns0:c>
      <ns0:c r="G217" s="4">
        <ns0:v>51.16</ns0:v>
      </ns0:c>
      <ns0:c r="H217" s="4">
        <ns0:v>50.67</ns0:v>
      </ns0:c>
      <ns0:c r="I217" s="4">
        <ns0:v>30.14</ns0:v>
      </ns0:c>
      <ns0:c r="J217" s="4">
        <ns0:v>51.28</ns0:v>
      </ns0:c>
      <ns0:c r="K217" s="4">
        <ns0:v>42.85</ns0:v>
      </ns0:c>
      <ns0:c r="L217" s="4">
        <ns0:v>56.72</ns0:v>
      </ns0:c>
      <ns0:c r="M217" s="4">
        <ns0:v>23.13</ns0:v>
      </ns0:c>
      <ns0:c r="N217" s="4">
        <ns0:v>66.91</ns0:v>
      </ns0:c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 t="inlineStr">
        <ns0:is>
          <ns0:t>电话费单价</ns0:t>
        </ns0:is>
      </ns0:c>
      <ns0:c r="C218" s="4">
        <ns0:v>68.73</ns0:v>
      </ns0:c>
      <ns0:c r="D218" s="4">
        <ns0:v>51.80</ns0:v>
      </ns0:c>
      <ns0:c r="E218" s="4">
        <ns0:v>46.25</ns0:v>
      </ns0:c>
      <ns0:c r="F218" s="4">
        <ns0:v>51.79</ns0:v>
      </ns0:c>
      <ns0:c r="G218" s="4">
        <ns0:v>63.62</ns0:v>
      </ns0:c>
      <ns0:c r="H218" s="4">
        <ns0:v>43.35</ns0:v>
      </ns0:c>
      <ns0:c r="I218" s="4">
        <ns0:v>47.97</ns0:v>
      </ns0:c>
      <ns0:c r="J218" s="4">
        <ns0:v>48.64</ns0:v>
      </ns0:c>
      <ns0:c r="K218" s="4">
        <ns0:v>21.46</ns0:v>
      </ns0:c>
      <ns0:c r="L218" s="4">
        <ns0:v>67.33</ns0:v>
      </ns0:c>
      <ns0:c r="M218" s="4">
        <ns0:v>26.75</ns0:v>
      </ns0:c>
      <ns0:c r="N218" s="4">
        <ns0:v>50.04</ns0:v>
      </ns0:c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 t="inlineStr">
        <ns0:is>
          <ns0:t>快递费单价</ns0:t>
        </ns0:is>
      </ns0:c>
      <ns0:c r="C219" s="4">
        <ns0:v>63.78</ns0:v>
      </ns0:c>
      <ns0:c r="D219" s="4">
        <ns0:v>28.22</ns0:v>
      </ns0:c>
      <ns0:c r="E219" s="4">
        <ns0:v>25.91</ns0:v>
      </ns0:c>
      <ns0:c r="F219" s="4">
        <ns0:v>60.85</ns0:v>
      </ns0:c>
      <ns0:c r="G219" s="4">
        <ns0:v>33.12</ns0:v>
      </ns0:c>
      <ns0:c r="H219" s="4">
        <ns0:v>58.14</ns0:v>
      </ns0:c>
      <ns0:c r="I219" s="4">
        <ns0:v>62.53</ns0:v>
      </ns0:c>
      <ns0:c r="J219" s="4">
        <ns0:v>16.67</ns0:v>
      </ns0:c>
      <ns0:c r="K219" s="4">
        <ns0:v>53.55</ns0:v>
      </ns0:c>
      <ns0:c r="L219" s="4">
        <ns0:v>31.57</ns0:v>
      </ns0:c>
      <ns0:c r="M219" s="4">
        <ns0:v>38.28</ns0:v>
      </ns0:c>
      <ns0:c r="N219" s="4">
        <ns0:v>38.91</ns0:v>
      </ns0:c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 t="inlineStr">
        <ns0:is>
          <ns0:t>折旧及摊销单价</ns0:t>
        </ns0:is>
      </ns0:c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 t="inlineStr">
        <ns0:is>
          <ns0:t>机票火车票单价</ns0:t>
        </ns0:is>
      </ns0:c>
      <ns0:c r="C221" s="4">
        <ns0:v>18.45</ns0:v>
      </ns0:c>
      <ns0:c r="D221" s="4">
        <ns0:v>55.52</ns0:v>
      </ns0:c>
      <ns0:c r="E221" s="4">
        <ns0:v>46.43</ns0:v>
      </ns0:c>
      <ns0:c r="F221" s="4">
        <ns0:v>56.41</ns0:v>
      </ns0:c>
      <ns0:c r="G221" s="4">
        <ns0:v>15.69</ns0:v>
      </ns0:c>
      <ns0:c r="H221" s="4">
        <ns0:v>37.21</ns0:v>
      </ns0:c>
      <ns0:c r="I221" s="4">
        <ns0:v>55.68</ns0:v>
      </ns0:c>
      <ns0:c r="J221" s="4">
        <ns0:v>55.69</ns0:v>
      </ns0:c>
      <ns0:c r="K221" s="4">
        <ns0:v>50.49</ns0:v>
      </ns0:c>
      <ns0:c r="L221" s="4">
        <ns0:v>48.37</ns0:v>
      </ns0:c>
      <ns0:c r="M221" s="4">
        <ns0:v>66.70</ns0:v>
      </ns0:c>
      <ns0:c r="N221" s="4">
        <ns0:v>44.90</ns0:v>
      </ns0:c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 t="inlineStr">
        <ns0:is>
          <ns0:t>住宿费单价</ns0:t>
        </ns0:is>
      </ns0:c>
      <ns0:c r="C222" s="4">
        <ns0:v>22.85</ns0:v>
      </ns0:c>
      <ns0:c r="D222" s="4">
        <ns0:v>51.11</ns0:v>
      </ns0:c>
      <ns0:c r="E222" s="4">
        <ns0:v>18.99</ns0:v>
      </ns0:c>
      <ns0:c r="F222" s="4">
        <ns0:v>29.02</ns0:v>
      </ns0:c>
      <ns0:c r="G222" s="4">
        <ns0:v>39.52</ns0:v>
      </ns0:c>
      <ns0:c r="H222" s="4">
        <ns0:v>19.60</ns0:v>
      </ns0:c>
      <ns0:c r="I222" s="4">
        <ns0:v>23.22</ns0:v>
      </ns0:c>
      <ns0:c r="J222" s="4">
        <ns0:v>42.96</ns0:v>
      </ns0:c>
      <ns0:c r="K222" s="4">
        <ns0:v>52.39</ns0:v>
      </ns0:c>
      <ns0:c r="L222" s="4">
        <ns0:v>27.19</ns0:v>
      </ns0:c>
      <ns0:c r="M222" s="4">
        <ns0:v>19.16</ns0:v>
      </ns0:c>
      <ns0:c r="N222" s="4">
        <ns0:v>55.26</ns0:v>
      </ns0:c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 t="inlineStr">
        <ns0:is>
          <ns0:t>交通费单价</ns0:t>
        </ns0:is>
      </ns0:c>
      <ns0:c r="C223" s="4">
        <ns0:v>39.15</ns0:v>
      </ns0:c>
      <ns0:c r="D223" s="4">
        <ns0:v>52.71</ns0:v>
      </ns0:c>
      <ns0:c r="E223" s="4">
        <ns0:v>57.20</ns0:v>
      </ns0:c>
      <ns0:c r="F223" s="4">
        <ns0:v>47.23</ns0:v>
      </ns0:c>
      <ns0:c r="G223" s="4">
        <ns0:v>20.03</ns0:v>
      </ns0:c>
      <ns0:c r="H223" s="4">
        <ns0:v>66.52</ns0:v>
      </ns0:c>
      <ns0:c r="I223" s="4">
        <ns0:v>69.35</ns0:v>
      </ns0:c>
      <ns0:c r="J223" s="4">
        <ns0:v>52.89</ns0:v>
      </ns0:c>
      <ns0:c r="K223" s="4">
        <ns0:v>27.78</ns0:v>
      </ns0:c>
      <ns0:c r="L223" s="4">
        <ns0:v>48.09</ns0:v>
      </ns0:c>
      <ns0:c r="M223" s="4">
        <ns0:v>40.92</ns0:v>
      </ns0:c>
      <ns0:c r="N223" s="4">
        <ns0:v>56.24</ns0:v>
      </ns0:c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 t="inlineStr">
        <ns0:is>
          <ns0:t>差旅补贴单价</ns0:t>
        </ns0:is>
      </ns0:c>
      <ns0:c r="C224" s="4">
        <ns0:v>67.58</ns0:v>
      </ns0:c>
      <ns0:c r="D224" s="4">
        <ns0:v>58.80</ns0:v>
      </ns0:c>
      <ns0:c r="E224" s="4">
        <ns0:v>54.38</ns0:v>
      </ns0:c>
      <ns0:c r="F224" s="4">
        <ns0:v>67.62</ns0:v>
      </ns0:c>
      <ns0:c r="G224" s="4">
        <ns0:v>50.96</ns0:v>
      </ns0:c>
      <ns0:c r="H224" s="4">
        <ns0:v>35.89</ns0:v>
      </ns0:c>
      <ns0:c r="I224" s="4">
        <ns0:v>24.54</ns0:v>
      </ns0:c>
      <ns0:c r="J224" s="4">
        <ns0:v>35.01</ns0:v>
      </ns0:c>
      <ns0:c r="K224" s="4">
        <ns0:v>44.22</ns0:v>
      </ns0:c>
      <ns0:c r="L224" s="4">
        <ns0:v>30.99</ns0:v>
      </ns0:c>
      <ns0:c r="M224" s="4">
        <ns0:v>38.51</ns0:v>
      </ns0:c>
      <ns0:c r="N224" s="4">
        <ns0:v>30.53</ns0:v>
      </ns0:c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 t="inlineStr">
        <ns0:is>
          <ns0:t>业务招待费单价</ns0:t>
        </ns0:is>
      </ns0:c>
      <ns0:c r="C225" s="4">
        <ns0:v>61.04</ns0:v>
      </ns0:c>
      <ns0:c r="D225" s="4">
        <ns0:v>56.17</ns0:v>
      </ns0:c>
      <ns0:c r="E225" s="4">
        <ns0:v>48.07</ns0:v>
      </ns0:c>
      <ns0:c r="F225" s="4">
        <ns0:v>58.18</ns0:v>
      </ns0:c>
      <ns0:c r="G225" s="4">
        <ns0:v>31.34</ns0:v>
      </ns0:c>
      <ns0:c r="H225" s="4">
        <ns0:v>22.43</ns0:v>
      </ns0:c>
      <ns0:c r="I225" s="4">
        <ns0:v>65.37</ns0:v>
      </ns0:c>
      <ns0:c r="J225" s="4">
        <ns0:v>50.57</ns0:v>
      </ns0:c>
      <ns0:c r="K225" s="4">
        <ns0:v>66.26</ns0:v>
      </ns0:c>
      <ns0:c r="L225" s="4">
        <ns0:v>34.93</ns0:v>
      </ns0:c>
      <ns0:c r="M225" s="4">
        <ns0:v>44.65</ns0:v>
      </ns0:c>
      <ns0:c r="N225" s="4">
        <ns0:v>47.16</ns0:v>
      </ns0:c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 t="inlineStr">
        <ns0:is>
          <ns0:t>市内交通费单价</ns0:t>
        </ns0:is>
      </ns0:c>
      <ns0:c r="C226" s="4">
        <ns0:v>23.28</ns0:v>
      </ns0:c>
      <ns0:c r="D226" s="4">
        <ns0:v>18.63</ns0:v>
      </ns0:c>
      <ns0:c r="E226" s="4">
        <ns0:v>67.63</ns0:v>
      </ns0:c>
      <ns0:c r="F226" s="4">
        <ns0:v>30.91</ns0:v>
      </ns0:c>
      <ns0:c r="G226" s="4">
        <ns0:v>51.43</ns0:v>
      </ns0:c>
      <ns0:c r="H226" s="4">
        <ns0:v>44.86</ns0:v>
      </ns0:c>
      <ns0:c r="I226" s="4">
        <ns0:v>28.48</ns0:v>
      </ns0:c>
      <ns0:c r="J226" s="4">
        <ns0:v>64.85</ns0:v>
      </ns0:c>
      <ns0:c r="K226" s="4">
        <ns0:v>34.36</ns0:v>
      </ns0:c>
      <ns0:c r="L226" s="4">
        <ns0:v>22.41</ns0:v>
      </ns0:c>
      <ns0:c r="M226" s="4">
        <ns0:v>28.62</ns0:v>
      </ns0:c>
      <ns0:c r="N226" s="4">
        <ns0:v>25.33</ns0:v>
      </ns0:c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 t="inlineStr">
        <ns0:is>
          <ns0:t>调研费用单价</ns0:t>
        </ns0:is>
      </ns0:c>
      <ns0:c r="C227" s="4">
        <ns0:v>53.73</ns0:v>
      </ns0:c>
      <ns0:c r="D227" s="4">
        <ns0:v>30.99</ns0:v>
      </ns0:c>
      <ns0:c r="E227" s="4">
        <ns0:v>48.94</ns0:v>
      </ns0:c>
      <ns0:c r="F227" s="4">
        <ns0:v>29.46</ns0:v>
      </ns0:c>
      <ns0:c r="G227" s="4">
        <ns0:v>15.70</ns0:v>
      </ns0:c>
      <ns0:c r="H227" s="4">
        <ns0:v>45.95</ns0:v>
      </ns0:c>
      <ns0:c r="I227" s="4">
        <ns0:v>39.19</ns0:v>
      </ns0:c>
      <ns0:c r="J227" s="4">
        <ns0:v>36.23</ns0:v>
      </ns0:c>
      <ns0:c r="K227" s="4">
        <ns0:v>36.94</ns0:v>
      </ns0:c>
      <ns0:c r="L227" s="4">
        <ns0:v>47.43</ns0:v>
      </ns0:c>
      <ns0:c r="M227" s="4">
        <ns0:v>45.17</ns0:v>
      </ns0:c>
      <ns0:c r="N227" s="4">
        <ns0:v>33.03</ns0:v>
      </ns0:c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 t="inlineStr">
        <ns0:is>
          <ns0:t>手续费单价</ns0:t>
        </ns0:is>
      </ns0:c>
      <ns0:c r="C228" s="4">
        <ns0:v>61.17</ns0:v>
      </ns0:c>
      <ns0:c r="D228" s="4">
        <ns0:v>30.03</ns0:v>
      </ns0:c>
      <ns0:c r="E228" s="4">
        <ns0:v>34.93</ns0:v>
      </ns0:c>
      <ns0:c r="F228" s="4">
        <ns0:v>53.49</ns0:v>
      </ns0:c>
      <ns0:c r="G228" s="4">
        <ns0:v>27.42</ns0:v>
      </ns0:c>
      <ns0:c r="H228" s="4">
        <ns0:v>66.98</ns0:v>
      </ns0:c>
      <ns0:c r="I228" s="4">
        <ns0:v>44.34</ns0:v>
      </ns0:c>
      <ns0:c r="J228" s="4">
        <ns0:v>52.78</ns0:v>
      </ns0:c>
      <ns0:c r="K228" s="4">
        <ns0:v>57.56</ns0:v>
      </ns0:c>
      <ns0:c r="L228" s="4">
        <ns0:v>19.31</ns0:v>
      </ns0:c>
      <ns0:c r="M228" s="4">
        <ns0:v>53.13</ns0:v>
      </ns0:c>
      <ns0:c r="N228" s="4">
        <ns0:v>50.72</ns0:v>
      </ns0:c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 t="inlineStr">
        <ns0:is>
          <ns0:t>利息收入单价</ns0:t>
        </ns0:is>
      </ns0:c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 t="inlineStr">
        <ns0:is>
          <ns0:t>利息支出单价</ns0:t>
        </ns0:is>
      </ns0:c>
      <ns0:c r="C230" s="4">
        <ns0:v>18.86</ns0:v>
      </ns0:c>
      <ns0:c r="D230" s="4">
        <ns0:v>52.49</ns0:v>
      </ns0:c>
      <ns0:c r="E230" s="4">
        <ns0:v>42.84</ns0:v>
      </ns0:c>
      <ns0:c r="F230" s="4">
        <ns0:v>26.83</ns0:v>
      </ns0:c>
      <ns0:c r="G230" s="4">
        <ns0:v>29.75</ns0:v>
      </ns0:c>
      <ns0:c r="H230" s="4">
        <ns0:v>60.40</ns0:v>
      </ns0:c>
      <ns0:c r="I230" s="4">
        <ns0:v>39.05</ns0:v>
      </ns0:c>
      <ns0:c r="J230" s="4">
        <ns0:v>36.17</ns0:v>
      </ns0:c>
      <ns0:c r="K230" s="4">
        <ns0:v>25.84</ns0:v>
      </ns0:c>
      <ns0:c r="L230" s="4">
        <ns0:v>35.19</ns0:v>
      </ns0:c>
      <ns0:c r="M230" s="4">
        <ns0:v>44.88</ns0:v>
      </ns0:c>
      <ns0:c r="N230" s="4">
        <ns0:v>49.64</ns0:v>
      </ns0:c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 t="inlineStr">
        <ns0:is>
          <ns0:t>车船税单价</ns0:t>
        </ns0:is>
      </ns0:c>
      <ns0:c r="C231" s="4">
        <ns0:v>52.27</ns0:v>
      </ns0:c>
      <ns0:c r="D231" s="4">
        <ns0:v>33.88</ns0:v>
      </ns0:c>
      <ns0:c r="E231" s="4">
        <ns0:v>28.70</ns0:v>
      </ns0:c>
      <ns0:c r="F231" s="4">
        <ns0:v>51.45</ns0:v>
      </ns0:c>
      <ns0:c r="G231" s="4">
        <ns0:v>39.44</ns0:v>
      </ns0:c>
      <ns0:c r="H231" s="4">
        <ns0:v>35.26</ns0:v>
      </ns0:c>
      <ns0:c r="I231" s="4">
        <ns0:v>29.76</ns0:v>
      </ns0:c>
      <ns0:c r="J231" s="4">
        <ns0:v>68.59</ns0:v>
      </ns0:c>
      <ns0:c r="K231" s="4">
        <ns0:v>31.68</ns0:v>
      </ns0:c>
      <ns0:c r="L231" s="4">
        <ns0:v>19.74</ns0:v>
      </ns0:c>
      <ns0:c r="M231" s="4">
        <ns0:v>36.24</ns0:v>
      </ns0:c>
      <ns0:c r="N231" s="4">
        <ns0:v>60.17</ns0:v>
      </ns0:c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 t="inlineStr">
        <ns0:is>
          <ns0:t>印花税单价</ns0:t>
        </ns0:is>
      </ns0:c>
      <ns0:c r="C232" s="4">
        <ns0:v>20.03</ns0:v>
      </ns0:c>
      <ns0:c r="D232" s="4">
        <ns0:v>47.56</ns0:v>
      </ns0:c>
      <ns0:c r="E232" s="4">
        <ns0:v>64.42</ns0:v>
      </ns0:c>
      <ns0:c r="F232" s="4">
        <ns0:v>21.24</ns0:v>
      </ns0:c>
      <ns0:c r="G232" s="4">
        <ns0:v>33.87</ns0:v>
      </ns0:c>
      <ns0:c r="H232" s="4">
        <ns0:v>27.19</ns0:v>
      </ns0:c>
      <ns0:c r="I232" s="4">
        <ns0:v>69.43</ns0:v>
      </ns0:c>
      <ns0:c r="J232" s="4">
        <ns0:v>45.52</ns0:v>
      </ns0:c>
      <ns0:c r="K232" s="4">
        <ns0:v>21.49</ns0:v>
      </ns0:c>
      <ns0:c r="L232" s="4">
        <ns0:v>54.39</ns0:v>
      </ns0:c>
      <ns0:c r="M232" s="4">
        <ns0:v>35.06</ns0:v>
      </ns0:c>
      <ns0:c r="N232" s="4">
        <ns0:v>42.08</ns0:v>
      </ns0:c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 t="inlineStr">
        <ns0:is>
          <ns0:t>其他单价</ns0:t>
        </ns0:is>
      </ns0:c>
      <ns0:c r="C233" s="4">
        <ns0:v>32.33</ns0:v>
      </ns0:c>
      <ns0:c r="D233" s="4">
        <ns0:v>68.04</ns0:v>
      </ns0:c>
      <ns0:c r="E233" s="4">
        <ns0:v>52.85</ns0:v>
      </ns0:c>
      <ns0:c r="F233" s="4">
        <ns0:v>51.07</ns0:v>
      </ns0:c>
      <ns0:c r="G233" s="4">
        <ns0:v>53.37</ns0:v>
      </ns0:c>
      <ns0:c r="H233" s="4">
        <ns0:v>62.18</ns0:v>
      </ns0:c>
      <ns0:c r="I233" s="4">
        <ns0:v>57.65</ns0:v>
      </ns0:c>
      <ns0:c r="J233" s="4">
        <ns0:v>48.82</ns0:v>
      </ns0:c>
      <ns0:c r="K233" s="4">
        <ns0:v>53.22</ns0:v>
      </ns0:c>
      <ns0:c r="L233" s="4">
        <ns0:v>63.48</ns0:v>
      </ns0:c>
      <ns0:c r="M233" s="4">
        <ns0:v>50.68</ns0:v>
      </ns0:c>
      <ns0:c r="N233" s="4">
        <ns0:v>21.16</ns0:v>
      </ns0:c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 t="inlineStr">
        <ns0:is>
          <ns0:t>工资数量</ns0:t>
        </ns0:is>
      </ns0:c>
      <ns0:c r="C324" s="4">
        <ns0:v>7.48</ns0:v>
      </ns0:c>
      <ns0:c r="D324" s="4">
        <ns0:v>5.82</ns0:v>
      </ns0:c>
      <ns0:c r="E324" s="4">
        <ns0:v>6.84</ns0:v>
      </ns0:c>
      <ns0:c r="F324" s="4">
        <ns0:v>2.28</ns0:v>
      </ns0:c>
      <ns0:c r="G324" s="4">
        <ns0:v>9.71</ns0:v>
      </ns0:c>
      <ns0:c r="H324" s="4">
        <ns0:v>4.69</ns0:v>
      </ns0:c>
      <ns0:c r="I324" s="4">
        <ns0:v>7.44</ns0:v>
      </ns0:c>
      <ns0:c r="J324" s="4">
        <ns0:v>7.71</ns0:v>
      </ns0:c>
      <ns0:c r="K324" s="4">
        <ns0:v>7.56</ns0:v>
      </ns0:c>
      <ns0:c r="L324" s="4">
        <ns0:v>5.13</ns0:v>
      </ns0:c>
      <ns0:c r="M324" s="4">
        <ns0:v>6.98</ns0:v>
      </ns0:c>
      <ns0:c r="N324" s="4">
        <ns0:v>4.46</ns0:v>
      </ns0:c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 t="inlineStr">
        <ns0:is>
          <ns0:t>十三薪数量</ns0:t>
        </ns0:is>
      </ns0:c>
      <ns0:c r="C325" s="4">
        <ns0:v>7.45</ns0:v>
      </ns0:c>
      <ns0:c r="D325" s="4">
        <ns0:v>6.89</ns0:v>
      </ns0:c>
      <ns0:c r="E325" s="4">
        <ns0:v>9.86</ns0:v>
      </ns0:c>
      <ns0:c r="F325" s="4">
        <ns0:v>5.93</ns0:v>
      </ns0:c>
      <ns0:c r="G325" s="4">
        <ns0:v>8.37</ns0:v>
      </ns0:c>
      <ns0:c r="H325" s="4">
        <ns0:v>2.45</ns0:v>
      </ns0:c>
      <ns0:c r="I325" s="4">
        <ns0:v>9.16</ns0:v>
      </ns0:c>
      <ns0:c r="J325" s="4">
        <ns0:v>4.44</ns0:v>
      </ns0:c>
      <ns0:c r="K325" s="4">
        <ns0:v>7.57</ns0:v>
      </ns0:c>
      <ns0:c r="L325" s="4">
        <ns0:v>4.66</ns0:v>
      </ns0:c>
      <ns0:c r="M325" s="4">
        <ns0:v>3.80</ns0:v>
      </ns0:c>
      <ns0:c r="N325" s="4">
        <ns0:v>2.18</ns0:v>
      </ns0:c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 t="inlineStr">
        <ns0:is>
          <ns0:t>离职补偿金数量</ns0:t>
        </ns0:is>
      </ns0:c>
      <ns0:c r="C326" s="4">
        <ns0:v>4.19</ns0:v>
      </ns0:c>
      <ns0:c r="D326" s="4">
        <ns0:v>5.36</ns0:v>
      </ns0:c>
      <ns0:c r="E326" s="4">
        <ns0:v>4.59</ns0:v>
      </ns0:c>
      <ns0:c r="F326" s="4">
        <ns0:v>4.97</ns0:v>
      </ns0:c>
      <ns0:c r="G326" s="4">
        <ns0:v>3.12</ns0:v>
      </ns0:c>
      <ns0:c r="H326" s="4">
        <ns0:v>7.69</ns0:v>
      </ns0:c>
      <ns0:c r="I326" s="4">
        <ns0:v>5.03</ns0:v>
      </ns0:c>
      <ns0:c r="J326" s="4">
        <ns0:v>7.88</ns0:v>
      </ns0:c>
      <ns0:c r="K326" s="4">
        <ns0:v>2.89</ns0:v>
      </ns0:c>
      <ns0:c r="L326" s="4">
        <ns0:v>4.25</ns0:v>
      </ns0:c>
      <ns0:c r="M326" s="4">
        <ns0:v>4.70</ns0:v>
      </ns0:c>
      <ns0:c r="N326" s="4">
        <ns0:v>4.19</ns0:v>
      </ns0:c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 t="inlineStr">
        <ns0:is>
          <ns0:t>五险一金数量</ns0:t>
        </ns0:is>
      </ns0:c>
      <ns0:c r="C327" s="4">
        <ns0:v>6.18</ns0:v>
      </ns0:c>
      <ns0:c r="D327" s="4">
        <ns0:v>2.37</ns0:v>
      </ns0:c>
      <ns0:c r="E327" s="4">
        <ns0:v>7.42</ns0:v>
      </ns0:c>
      <ns0:c r="F327" s="4">
        <ns0:v>4.71</ns0:v>
      </ns0:c>
      <ns0:c r="G327" s="4">
        <ns0:v>6.44</ns0:v>
      </ns0:c>
      <ns0:c r="H327" s="4">
        <ns0:v>4.08</ns0:v>
      </ns0:c>
      <ns0:c r="I327" s="4">
        <ns0:v>7.75</ns0:v>
      </ns0:c>
      <ns0:c r="J327" s="4">
        <ns0:v>2.66</ns0:v>
      </ns0:c>
      <ns0:c r="K327" s="4">
        <ns0:v>7.16</ns0:v>
      </ns0:c>
      <ns0:c r="L327" s="4">
        <ns0:v>4.54</ns0:v>
      </ns0:c>
      <ns0:c r="M327" s="4">
        <ns0:v>2.27</ns0:v>
      </ns0:c>
      <ns0:c r="N327" s="4">
        <ns0:v>6.31</ns0:v>
      </ns0:c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 t="inlineStr">
        <ns0:is>
          <ns0:t>福利费数量</ns0:t>
        </ns0:is>
      </ns0:c>
      <ns0:c r="C328" s="4">
        <ns0:v>7.71</ns0:v>
      </ns0:c>
      <ns0:c r="D328" s="4">
        <ns0:v>6.80</ns0:v>
      </ns0:c>
      <ns0:c r="E328" s="4">
        <ns0:v>7.87</ns0:v>
      </ns0:c>
      <ns0:c r="F328" s="4">
        <ns0:v>5.41</ns0:v>
      </ns0:c>
      <ns0:c r="G328" s="4">
        <ns0:v>7.99</ns0:v>
      </ns0:c>
      <ns0:c r="H328" s="4">
        <ns0:v>7.24</ns0:v>
      </ns0:c>
      <ns0:c r="I328" s="4">
        <ns0:v>5.03</ns0:v>
      </ns0:c>
      <ns0:c r="J328" s="4">
        <ns0:v>7.85</ns0:v>
      </ns0:c>
      <ns0:c r="K328" s="4">
        <ns0:v>5.14</ns0:v>
      </ns0:c>
      <ns0:c r="L328" s="4">
        <ns0:v>5.52</ns0:v>
      </ns0:c>
      <ns0:c r="M328" s="4">
        <ns0:v>5.15</ns0:v>
      </ns0:c>
      <ns0:c r="N328" s="4">
        <ns0:v>2.89</ns0:v>
      </ns0:c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 t="inlineStr">
        <ns0:is>
          <ns0:t>招聘费数量</ns0:t>
        </ns0:is>
      </ns0:c>
      <ns0:c r="C329" s="4">
        <ns0:v>5.60</ns0:v>
      </ns0:c>
      <ns0:c r="D329" s="4">
        <ns0:v>2.64</ns0:v>
      </ns0:c>
      <ns0:c r="E329" s="4">
        <ns0:v>8.02</ns0:v>
      </ns0:c>
      <ns0:c r="F329" s="4">
        <ns0:v>6.34</ns0:v>
      </ns0:c>
      <ns0:c r="G329" s="4">
        <ns0:v>4.31</ns0:v>
      </ns0:c>
      <ns0:c r="H329" s="4">
        <ns0:v>3.69</ns0:v>
      </ns0:c>
      <ns0:c r="I329" s="4">
        <ns0:v>6.19</ns0:v>
      </ns0:c>
      <ns0:c r="J329" s="4">
        <ns0:v>7.31</ns0:v>
      </ns0:c>
      <ns0:c r="K329" s="4">
        <ns0:v>6.10</ns0:v>
      </ns0:c>
      <ns0:c r="L329" s="4">
        <ns0:v>3.94</ns0:v>
      </ns0:c>
      <ns0:c r="M329" s="4">
        <ns0:v>3.15</ns0:v>
      </ns0:c>
      <ns0:c r="N329" s="4">
        <ns0:v>8.39</ns0:v>
      </ns0:c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 t="inlineStr">
        <ns0:is>
          <ns0:t>培训费数量</ns0:t>
        </ns0:is>
      </ns0:c>
      <ns0:c r="C330" s="4">
        <ns0:v>8.10</ns0:v>
      </ns0:c>
      <ns0:c r="D330" s="4">
        <ns0:v>6.31</ns0:v>
      </ns0:c>
      <ns0:c r="E330" s="4">
        <ns0:v>3.52</ns0:v>
      </ns0:c>
      <ns0:c r="F330" s="4">
        <ns0:v>6.24</ns0:v>
      </ns0:c>
      <ns0:c r="G330" s="4">
        <ns0:v>6.59</ns0:v>
      </ns0:c>
      <ns0:c r="H330" s="4">
        <ns0:v>6.81</ns0:v>
      </ns0:c>
      <ns0:c r="I330" s="4">
        <ns0:v>7.52</ns0:v>
      </ns0:c>
      <ns0:c r="J330" s="4">
        <ns0:v>3.09</ns0:v>
      </ns0:c>
      <ns0:c r="K330" s="4">
        <ns0:v>6.11</ns0:v>
      </ns0:c>
      <ns0:c r="L330" s="4">
        <ns0:v>8.63</ns0:v>
      </ns0:c>
      <ns0:c r="M330" s="4">
        <ns0:v>4.51</ns0:v>
      </ns0:c>
      <ns0:c r="N330" s="4">
        <ns0:v>4.25</ns0:v>
      </ns0:c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 t="inlineStr">
        <ns0:is>
          <ns0:t>房租数量</ns0:t>
        </ns0:is>
      </ns0:c>
      <ns0:c r="C331" s="4">
        <ns0:v>4.85</ns0:v>
      </ns0:c>
      <ns0:c r="D331" s="4">
        <ns0:v>5.96</ns0:v>
      </ns0:c>
      <ns0:c r="E331" s="4">
        <ns0:v>7.19</ns0:v>
      </ns0:c>
      <ns0:c r="F331" s="4">
        <ns0:v>7.36</ns0:v>
      </ns0:c>
      <ns0:c r="G331" s="4">
        <ns0:v>6.03</ns0:v>
      </ns0:c>
      <ns0:c r="H331" s="4">
        <ns0:v>8.24</ns0:v>
      </ns0:c>
      <ns0:c r="I331" s="4">
        <ns0:v>3.15</ns0:v>
      </ns0:c>
      <ns0:c r="J331" s="4">
        <ns0:v>3.07</ns0:v>
      </ns0:c>
      <ns0:c r="K331" s="4">
        <ns0:v>5.97</ns0:v>
      </ns0:c>
      <ns0:c r="L331" s="4">
        <ns0:v>6.48</ns0:v>
      </ns0:c>
      <ns0:c r="M331" s="4">
        <ns0:v>3.84</ns0:v>
      </ns0:c>
      <ns0:c r="N331" s="4">
        <ns0:v>2.71</ns0:v>
      </ns0:c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 t="inlineStr">
        <ns0:is>
          <ns0:t>物业管理费数量</ns0:t>
        </ns0:is>
      </ns0:c>
      <ns0:c r="C332" s="4">
        <ns0:v>8.33</ns0:v>
      </ns0:c>
      <ns0:c r="D332" s="4">
        <ns0:v>2.48</ns0:v>
      </ns0:c>
      <ns0:c r="E332" s="4">
        <ns0:v>4.93</ns0:v>
      </ns0:c>
      <ns0:c r="F332" s="4">
        <ns0:v>6.82</ns0:v>
      </ns0:c>
      <ns0:c r="G332" s="4">
        <ns0:v>6.38</ns0:v>
      </ns0:c>
      <ns0:c r="H332" s="4">
        <ns0:v>2.56</ns0:v>
      </ns0:c>
      <ns0:c r="I332" s="4">
        <ns0:v>6.03</ns0:v>
      </ns0:c>
      <ns0:c r="J332" s="4">
        <ns0:v>2.48</ns0:v>
      </ns0:c>
      <ns0:c r="K332" s="4">
        <ns0:v>9.35</ns0:v>
      </ns0:c>
      <ns0:c r="L332" s="4">
        <ns0:v>5.07</ns0:v>
      </ns0:c>
      <ns0:c r="M332" s="4">
        <ns0:v>3.39</ns0:v>
      </ns0:c>
      <ns0:c r="N332" s="4">
        <ns0:v>5.25</ns0:v>
      </ns0:c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 t="inlineStr">
        <ns0:is>
          <ns0:t>汽车费用数量</ns0:t>
        </ns0:is>
      </ns0:c>
      <ns0:c r="C333" s="4">
        <ns0:v>2.35</ns0:v>
      </ns0:c>
      <ns0:c r="D333" s="4">
        <ns0:v>5.76</ns0:v>
      </ns0:c>
      <ns0:c r="E333" s="4">
        <ns0:v>7.79</ns0:v>
      </ns0:c>
      <ns0:c r="F333" s="4">
        <ns0:v>3.46</ns0:v>
      </ns0:c>
      <ns0:c r="G333" s="4">
        <ns0:v>2.54</ns0:v>
      </ns0:c>
      <ns0:c r="H333" s="4">
        <ns0:v>6.30</ns0:v>
      </ns0:c>
      <ns0:c r="I333" s="4">
        <ns0:v>4.80</ns0:v>
      </ns0:c>
      <ns0:c r="J333" s="4">
        <ns0:v>4.46</ns0:v>
      </ns0:c>
      <ns0:c r="K333" s="4">
        <ns0:v>6.57</ns0:v>
      </ns0:c>
      <ns0:c r="L333" s="4">
        <ns0:v>4.59</ns0:v>
      </ns0:c>
      <ns0:c r="M333" s="4">
        <ns0:v>4.23</ns0:v>
      </ns0:c>
      <ns0:c r="N333" s="4">
        <ns0:v>7.69</ns0:v>
      </ns0:c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 t="inlineStr">
        <ns0:is>
          <ns0:t>办公费数量</ns0:t>
        </ns0:is>
      </ns0:c>
      <ns0:c r="C334" s="4">
        <ns0:v>4.05</ns0:v>
      </ns0:c>
      <ns0:c r="D334" s="4">
        <ns0:v>4.12</ns0:v>
      </ns0:c>
      <ns0:c r="E334" s="4">
        <ns0:v>8.19</ns0:v>
      </ns0:c>
      <ns0:c r="F334" s="4">
        <ns0:v>5.61</ns0:v>
      </ns0:c>
      <ns0:c r="G334" s="4">
        <ns0:v>5.64</ns0:v>
      </ns0:c>
      <ns0:c r="H334" s="4">
        <ns0:v>4.11</ns0:v>
      </ns0:c>
      <ns0:c r="I334" s="4">
        <ns0:v>2.47</ns0:v>
      </ns0:c>
      <ns0:c r="J334" s="4">
        <ns0:v>4.41</ns0:v>
      </ns0:c>
      <ns0:c r="K334" s="4">
        <ns0:v>4.68</ns0:v>
      </ns0:c>
      <ns0:c r="L334" s="4">
        <ns0:v>3.19</ns0:v>
      </ns0:c>
      <ns0:c r="M334" s="4">
        <ns0:v>6.26</ns0:v>
      </ns0:c>
      <ns0:c r="N334" s="4">
        <ns0:v>3.36</ns0:v>
      </ns0:c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 t="inlineStr">
        <ns0:is>
          <ns0:t>办公用品数量</ns0:t>
        </ns0:is>
      </ns0:c>
      <ns0:c r="C335" s="4">
        <ns0:v>1.94</ns0:v>
      </ns0:c>
      <ns0:c r="D335" s="4">
        <ns0:v>6.66</ns0:v>
      </ns0:c>
      <ns0:c r="E335" s="4">
        <ns0:v>2.53</ns0:v>
      </ns0:c>
      <ns0:c r="F335" s="4">
        <ns0:v>4.05</ns0:v>
      </ns0:c>
      <ns0:c r="G335" s="4">
        <ns0:v>7.90</ns0:v>
      </ns0:c>
      <ns0:c r="H335" s="4">
        <ns0:v>7.55</ns0:v>
      </ns0:c>
      <ns0:c r="I335" s="4">
        <ns0:v>5.36</ns0:v>
      </ns0:c>
      <ns0:c r="J335" s="4">
        <ns0:v>4.62</ns0:v>
      </ns0:c>
      <ns0:c r="K335" s="4">
        <ns0:v>6.98</ns0:v>
      </ns0:c>
      <ns0:c r="L335" s="4">
        <ns0:v>4.88</ns0:v>
      </ns0:c>
      <ns0:c r="M335" s="4">
        <ns0:v>5.08</ns0:v>
      </ns0:c>
      <ns0:c r="N335" s="4">
        <ns0:v>3.37</ns0:v>
      </ns0:c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 t="inlineStr">
        <ns0:is>
          <ns0:t>水电煤数量</ns0:t>
        </ns0:is>
      </ns0:c>
      <ns0:c r="C336" s="4">
        <ns0:v>4.84</ns0:v>
      </ns0:c>
      <ns0:c r="D336" s="4">
        <ns0:v>3.94</ns0:v>
      </ns0:c>
      <ns0:c r="E336" s="4">
        <ns0:v>4.75</ns0:v>
      </ns0:c>
      <ns0:c r="F336" s="4">
        <ns0:v>6.88</ns0:v>
      </ns0:c>
      <ns0:c r="G336" s="4">
        <ns0:v>7.56</ns0:v>
      </ns0:c>
      <ns0:c r="H336" s="4">
        <ns0:v>2.04</ns0:v>
      </ns0:c>
      <ns0:c r="I336" s="4">
        <ns0:v>5.85</ns0:v>
      </ns0:c>
      <ns0:c r="J336" s="4">
        <ns0:v>9.28</ns0:v>
      </ns0:c>
      <ns0:c r="K336" s="4">
        <ns0:v>5.94</ns0:v>
      </ns0:c>
      <ns0:c r="L336" s="4">
        <ns0:v>3.14</ns0:v>
      </ns0:c>
      <ns0:c r="M336" s="4">
        <ns0:v>4.19</ns0:v>
      </ns0:c>
      <ns0:c r="N336" s="4">
        <ns0:v>5.08</ns0:v>
      </ns0:c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 t="inlineStr">
        <ns0:is>
          <ns0:t>咨询服务费数量</ns0:t>
        </ns0:is>
      </ns0:c>
      <ns0:c r="C337" s="4">
        <ns0:v>2.35</ns0:v>
      </ns0:c>
      <ns0:c r="D337" s="4">
        <ns0:v>2.40</ns0:v>
      </ns0:c>
      <ns0:c r="E337" s="4">
        <ns0:v>5.04</ns0:v>
      </ns0:c>
      <ns0:c r="F337" s="4">
        <ns0:v>4.37</ns0:v>
      </ns0:c>
      <ns0:c r="G337" s="4">
        <ns0:v>7.25</ns0:v>
      </ns0:c>
      <ns0:c r="H337" s="4">
        <ns0:v>3.13</ns0:v>
      </ns0:c>
      <ns0:c r="I337" s="4">
        <ns0:v>7.10</ns0:v>
      </ns0:c>
      <ns0:c r="J337" s="4">
        <ns0:v>6.16</ns0:v>
      </ns0:c>
      <ns0:c r="K337" s="4">
        <ns0:v>5.54</ns0:v>
      </ns0:c>
      <ns0:c r="L337" s="4">
        <ns0:v>2.73</ns0:v>
      </ns0:c>
      <ns0:c r="M337" s="4">
        <ns0:v>5.60</ns0:v>
      </ns0:c>
      <ns0:c r="N337" s="4">
        <ns0:v>2.87</ns0:v>
      </ns0:c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 t="inlineStr">
        <ns0:is>
          <ns0:t>电话费数量</ns0:t>
        </ns0:is>
      </ns0:c>
      <ns0:c r="C338" s="4">
        <ns0:v>7.93</ns0:v>
      </ns0:c>
      <ns0:c r="D338" s="4">
        <ns0:v>5.88</ns0:v>
      </ns0:c>
      <ns0:c r="E338" s="4">
        <ns0:v>3.37</ns0:v>
      </ns0:c>
      <ns0:c r="F338" s="4">
        <ns0:v>6.76</ns0:v>
      </ns0:c>
      <ns0:c r="G338" s="4">
        <ns0:v>3.57</ns0:v>
      </ns0:c>
      <ns0:c r="H338" s="4">
        <ns0:v>4.32</ns0:v>
      </ns0:c>
      <ns0:c r="I338" s="4">
        <ns0:v>5.40</ns0:v>
      </ns0:c>
      <ns0:c r="J338" s="4">
        <ns0:v>5.06</ns0:v>
      </ns0:c>
      <ns0:c r="K338" s="4">
        <ns0:v>4.92</ns0:v>
      </ns0:c>
      <ns0:c r="L338" s="4">
        <ns0:v>4.50</ns0:v>
      </ns0:c>
      <ns0:c r="M338" s="4">
        <ns0:v>2.97</ns0:v>
      </ns0:c>
      <ns0:c r="N338" s="4">
        <ns0:v>3.04</ns0:v>
      </ns0:c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 t="inlineStr">
        <ns0:is>
          <ns0:t>快递费数量</ns0:t>
        </ns0:is>
      </ns0:c>
      <ns0:c r="C339" s="4">
        <ns0:v>6.73</ns0:v>
      </ns0:c>
      <ns0:c r="D339" s="4">
        <ns0:v>6.18</ns0:v>
      </ns0:c>
      <ns0:c r="E339" s="4">
        <ns0:v>6.68</ns0:v>
      </ns0:c>
      <ns0:c r="F339" s="4">
        <ns0:v>5.57</ns0:v>
      </ns0:c>
      <ns0:c r="G339" s="4">
        <ns0:v>3.47</ns0:v>
      </ns0:c>
      <ns0:c r="H339" s="4">
        <ns0:v>5.38</ns0:v>
      </ns0:c>
      <ns0:c r="I339" s="4">
        <ns0:v>4.25</ns0:v>
      </ns0:c>
      <ns0:c r="J339" s="4">
        <ns0:v>4.40</ns0:v>
      </ns0:c>
      <ns0:c r="K339" s="4">
        <ns0:v>2.99</ns0:v>
      </ns0:c>
      <ns0:c r="L339" s="4">
        <ns0:v>4.61</ns0:v>
      </ns0:c>
      <ns0:c r="M339" s="4">
        <ns0:v>5.69</ns0:v>
      </ns0:c>
      <ns0:c r="N339" s="4">
        <ns0:v>4.12</ns0:v>
      </ns0:c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 t="inlineStr">
        <ns0:is>
          <ns0:t>折旧及摊销数量</ns0:t>
        </ns0:is>
      </ns0:c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 t="inlineStr">
        <ns0:is>
          <ns0:t>机票火车票数量</ns0:t>
        </ns0:is>
      </ns0:c>
      <ns0:c r="C341" s="4">
        <ns0:v>4.29</ns0:v>
      </ns0:c>
      <ns0:c r="D341" s="4">
        <ns0:v>3.42</ns0:v>
      </ns0:c>
      <ns0:c r="E341" s="4">
        <ns0:v>4.89</ns0:v>
      </ns0:c>
      <ns0:c r="F341" s="4">
        <ns0:v>6.79</ns0:v>
      </ns0:c>
      <ns0:c r="G341" s="4">
        <ns0:v>4.21</ns0:v>
      </ns0:c>
      <ns0:c r="H341" s="4">
        <ns0:v>6.90</ns0:v>
      </ns0:c>
      <ns0:c r="I341" s="4">
        <ns0:v>4.94</ns0:v>
      </ns0:c>
      <ns0:c r="J341" s="4">
        <ns0:v>2.28</ns0:v>
      </ns0:c>
      <ns0:c r="K341" s="4">
        <ns0:v>2.54</ns0:v>
      </ns0:c>
      <ns0:c r="L341" s="4">
        <ns0:v>7.25</ns0:v>
      </ns0:c>
      <ns0:c r="M341" s="4">
        <ns0:v>5.05</ns0:v>
      </ns0:c>
      <ns0:c r="N341" s="4">
        <ns0:v>5.28</ns0:v>
      </ns0:c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 t="inlineStr">
        <ns0:is>
          <ns0:t>住宿费数量</ns0:t>
        </ns0:is>
      </ns0:c>
      <ns0:c r="C342" s="4">
        <ns0:v>5.53</ns0:v>
      </ns0:c>
      <ns0:c r="D342" s="4">
        <ns0:v>6.98</ns0:v>
      </ns0:c>
      <ns0:c r="E342" s="4">
        <ns0:v>3.31</ns0:v>
      </ns0:c>
      <ns0:c r="F342" s="4">
        <ns0:v>3.61</ns0:v>
      </ns0:c>
      <ns0:c r="G342" s="4">
        <ns0:v>5.98</ns0:v>
      </ns0:c>
      <ns0:c r="H342" s="4">
        <ns0:v>2.62</ns0:v>
      </ns0:c>
      <ns0:c r="I342" s="4">
        <ns0:v>3.25</ns0:v>
      </ns0:c>
      <ns0:c r="J342" s="4">
        <ns0:v>7.50</ns0:v>
      </ns0:c>
      <ns0:c r="K342" s="4">
        <ns0:v>4.70</ns0:v>
      </ns0:c>
      <ns0:c r="L342" s="4">
        <ns0:v>2.07</ns0:v>
      </ns0:c>
      <ns0:c r="M342" s="4">
        <ns0:v>6.34</ns0:v>
      </ns0:c>
      <ns0:c r="N342" s="4">
        <ns0:v>8.27</ns0:v>
      </ns0:c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 t="inlineStr">
        <ns0:is>
          <ns0:t>交通费数量</ns0:t>
        </ns0:is>
      </ns0:c>
      <ns0:c r="C343" s="4">
        <ns0:v>8.77</ns0:v>
      </ns0:c>
      <ns0:c r="D343" s="4">
        <ns0:v>4.32</ns0:v>
      </ns0:c>
      <ns0:c r="E343" s="4">
        <ns0:v>3.85</ns0:v>
      </ns0:c>
      <ns0:c r="F343" s="4">
        <ns0:v>4.95</ns0:v>
      </ns0:c>
      <ns0:c r="G343" s="4">
        <ns0:v>2.95</ns0:v>
      </ns0:c>
      <ns0:c r="H343" s="4">
        <ns0:v>4.12</ns0:v>
      </ns0:c>
      <ns0:c r="I343" s="4">
        <ns0:v>4.52</ns0:v>
      </ns0:c>
      <ns0:c r="J343" s="4">
        <ns0:v>7.83</ns0:v>
      </ns0:c>
      <ns0:c r="K343" s="4">
        <ns0:v>7.75</ns0:v>
      </ns0:c>
      <ns0:c r="L343" s="4">
        <ns0:v>4.88</ns0:v>
      </ns0:c>
      <ns0:c r="M343" s="4">
        <ns0:v>7.64</ns0:v>
      </ns0:c>
      <ns0:c r="N343" s="4">
        <ns0:v>4.62</ns0:v>
      </ns0:c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 t="inlineStr">
        <ns0:is>
          <ns0:t>差旅补贴数量</ns0:t>
        </ns0:is>
      </ns0:c>
      <ns0:c r="C344" s="4">
        <ns0:v>2.44</ns0:v>
      </ns0:c>
      <ns0:c r="D344" s="4">
        <ns0:v>9.59</ns0:v>
      </ns0:c>
      <ns0:c r="E344" s="4">
        <ns0:v>6.10</ns0:v>
      </ns0:c>
      <ns0:c r="F344" s="4">
        <ns0:v>6.87</ns0:v>
      </ns0:c>
      <ns0:c r="G344" s="4">
        <ns0:v>3.29</ns0:v>
      </ns0:c>
      <ns0:c r="H344" s="4">
        <ns0:v>9.85</ns0:v>
      </ns0:c>
      <ns0:c r="I344" s="4">
        <ns0:v>5.89</ns0:v>
      </ns0:c>
      <ns0:c r="J344" s="4">
        <ns0:v>5.89</ns0:v>
      </ns0:c>
      <ns0:c r="K344" s="4">
        <ns0:v>8.02</ns0:v>
      </ns0:c>
      <ns0:c r="L344" s="4">
        <ns0:v>5.97</ns0:v>
      </ns0:c>
      <ns0:c r="M344" s="4">
        <ns0:v>8.19</ns0:v>
      </ns0:c>
      <ns0:c r="N344" s="4">
        <ns0:v>3.77</ns0:v>
      </ns0:c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 t="inlineStr">
        <ns0:is>
          <ns0:t>业务招待费数量</ns0:t>
        </ns0:is>
      </ns0:c>
      <ns0:c r="C345" s="4">
        <ns0:v>4.98</ns0:v>
      </ns0:c>
      <ns0:c r="D345" s="4">
        <ns0:v>6.67</ns0:v>
      </ns0:c>
      <ns0:c r="E345" s="4">
        <ns0:v>7.20</ns0:v>
      </ns0:c>
      <ns0:c r="F345" s="4">
        <ns0:v>7.65</ns0:v>
      </ns0:c>
      <ns0:c r="G345" s="4">
        <ns0:v>9.19</ns0:v>
      </ns0:c>
      <ns0:c r="H345" s="4">
        <ns0:v>7.15</ns0:v>
      </ns0:c>
      <ns0:c r="I345" s="4">
        <ns0:v>3.31</ns0:v>
      </ns0:c>
      <ns0:c r="J345" s="4">
        <ns0:v>8.74</ns0:v>
      </ns0:c>
      <ns0:c r="K345" s="4">
        <ns0:v>4.97</ns0:v>
      </ns0:c>
      <ns0:c r="L345" s="4">
        <ns0:v>5.04</ns0:v>
      </ns0:c>
      <ns0:c r="M345" s="4">
        <ns0:v>2.95</ns0:v>
      </ns0:c>
      <ns0:c r="N345" s="4">
        <ns0:v>8.06</ns0:v>
      </ns0:c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 t="inlineStr">
        <ns0:is>
          <ns0:t>市内交通费数量</ns0:t>
        </ns0:is>
      </ns0:c>
      <ns0:c r="C346" s="4">
        <ns0:v>5.18</ns0:v>
      </ns0:c>
      <ns0:c r="D346" s="4">
        <ns0:v>8.40</ns0:v>
      </ns0:c>
      <ns0:c r="E346" s="4">
        <ns0:v>2.32</ns0:v>
      </ns0:c>
      <ns0:c r="F346" s="4">
        <ns0:v>5.74</ns0:v>
      </ns0:c>
      <ns0:c r="G346" s="4">
        <ns0:v>5.65</ns0:v>
      </ns0:c>
      <ns0:c r="H346" s="4">
        <ns0:v>8.72</ns0:v>
      </ns0:c>
      <ns0:c r="I346" s="4">
        <ns0:v>2.80</ns0:v>
      </ns0:c>
      <ns0:c r="J346" s="4">
        <ns0:v>6.29</ns0:v>
      </ns0:c>
      <ns0:c r="K346" s="4">
        <ns0:v>6.91</ns0:v>
      </ns0:c>
      <ns0:c r="L346" s="4">
        <ns0:v>3.09</ns0:v>
      </ns0:c>
      <ns0:c r="M346" s="4">
        <ns0:v>3.23</ns0:v>
      </ns0:c>
      <ns0:c r="N346" s="4">
        <ns0:v>6.98</ns0:v>
      </ns0:c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 t="inlineStr">
        <ns0:is>
          <ns0:t>调研费用数量</ns0:t>
        </ns0:is>
      </ns0:c>
      <ns0:c r="C347" s="4">
        <ns0:v>2.14</ns0:v>
      </ns0:c>
      <ns0:c r="D347" s="4">
        <ns0:v>8.96</ns0:v>
      </ns0:c>
      <ns0:c r="E347" s="4">
        <ns0:v>7.59</ns0:v>
      </ns0:c>
      <ns0:c r="F347" s="4">
        <ns0:v>4.51</ns0:v>
      </ns0:c>
      <ns0:c r="G347" s="4">
        <ns0:v>9.62</ns0:v>
      </ns0:c>
      <ns0:c r="H347" s="4">
        <ns0:v>4.42</ns0:v>
      </ns0:c>
      <ns0:c r="I347" s="4">
        <ns0:v>3.52</ns0:v>
      </ns0:c>
      <ns0:c r="J347" s="4">
        <ns0:v>4.01</ns0:v>
      </ns0:c>
      <ns0:c r="K347" s="4">
        <ns0:v>7.51</ns0:v>
      </ns0:c>
      <ns0:c r="L347" s="4">
        <ns0:v>5.86</ns0:v>
      </ns0:c>
      <ns0:c r="M347" s="4">
        <ns0:v>4.47</ns0:v>
      </ns0:c>
      <ns0:c r="N347" s="4">
        <ns0:v>6.37</ns0:v>
      </ns0:c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 t="inlineStr">
        <ns0:is>
          <ns0:t>手续费数量</ns0:t>
        </ns0:is>
      </ns0:c>
      <ns0:c r="C348" s="4">
        <ns0:v>4.78</ns0:v>
      </ns0:c>
      <ns0:c r="D348" s="4">
        <ns0:v>3.47</ns0:v>
      </ns0:c>
      <ns0:c r="E348" s="4">
        <ns0:v>6.52</ns0:v>
      </ns0:c>
      <ns0:c r="F348" s="4">
        <ns0:v>9.10</ns0:v>
      </ns0:c>
      <ns0:c r="G348" s="4">
        <ns0:v>8.15</ns0:v>
      </ns0:c>
      <ns0:c r="H348" s="4">
        <ns0:v>3.18</ns0:v>
      </ns0:c>
      <ns0:c r="I348" s="4">
        <ns0:v>6.74</ns0:v>
      </ns0:c>
      <ns0:c r="J348" s="4">
        <ns0:v>6.28</ns0:v>
      </ns0:c>
      <ns0:c r="K348" s="4">
        <ns0:v>3.05</ns0:v>
      </ns0:c>
      <ns0:c r="L348" s="4">
        <ns0:v>6.93</ns0:v>
      </ns0:c>
      <ns0:c r="M348" s="4">
        <ns0:v>6.81</ns0:v>
      </ns0:c>
      <ns0:c r="N348" s="4">
        <ns0:v>6.28</ns0:v>
      </ns0:c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 t="inlineStr">
        <ns0:is>
          <ns0:t>利息收入数量</ns0:t>
        </ns0:is>
      </ns0:c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 t="inlineStr">
        <ns0:is>
          <ns0:t>利息支出数量</ns0:t>
        </ns0:is>
      </ns0:c>
      <ns0:c r="C350" s="4">
        <ns0:v>7.80</ns0:v>
      </ns0:c>
      <ns0:c r="D350" s="4">
        <ns0:v>9.21</ns0:v>
      </ns0:c>
      <ns0:c r="E350" s="4">
        <ns0:v>8.75</ns0:v>
      </ns0:c>
      <ns0:c r="F350" s="4">
        <ns0:v>5.94</ns0:v>
      </ns0:c>
      <ns0:c r="G350" s="4">
        <ns0:v>7.28</ns0:v>
      </ns0:c>
      <ns0:c r="H350" s="4">
        <ns0:v>8.85</ns0:v>
      </ns0:c>
      <ns0:c r="I350" s="4">
        <ns0:v>5.81</ns0:v>
      </ns0:c>
      <ns0:c r="J350" s="4">
        <ns0:v>7.10</ns0:v>
      </ns0:c>
      <ns0:c r="K350" s="4">
        <ns0:v>3.86</ns0:v>
      </ns0:c>
      <ns0:c r="L350" s="4">
        <ns0:v>4.39</ns0:v>
      </ns0:c>
      <ns0:c r="M350" s="4">
        <ns0:v>5.17</ns0:v>
      </ns0:c>
      <ns0:c r="N350" s="4">
        <ns0:v>6.41</ns0:v>
      </ns0:c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 t="inlineStr">
        <ns0:is>
          <ns0:t>车船税数量</ns0:t>
        </ns0:is>
      </ns0:c>
      <ns0:c r="C351" s="4">
        <ns0:v>3.75</ns0:v>
      </ns0:c>
      <ns0:c r="D351" s="4">
        <ns0:v>7.65</ns0:v>
      </ns0:c>
      <ns0:c r="E351" s="4">
        <ns0:v>3.73</ns0:v>
      </ns0:c>
      <ns0:c r="F351" s="4">
        <ns0:v>3.88</ns0:v>
      </ns0:c>
      <ns0:c r="G351" s="4">
        <ns0:v>3.49</ns0:v>
      </ns0:c>
      <ns0:c r="H351" s="4">
        <ns0:v>6.12</ns0:v>
      </ns0:c>
      <ns0:c r="I351" s="4">
        <ns0:v>10.10</ns0:v>
      </ns0:c>
      <ns0:c r="J351" s="4">
        <ns0:v>2.22</ns0:v>
      </ns0:c>
      <ns0:c r="K351" s="4">
        <ns0:v>7.30</ns0:v>
      </ns0:c>
      <ns0:c r="L351" s="4">
        <ns0:v>3.91</ns0:v>
      </ns0:c>
      <ns0:c r="M351" s="4">
        <ns0:v>3.71</ns0:v>
      </ns0:c>
      <ns0:c r="N351" s="4">
        <ns0:v>4.21</ns0:v>
      </ns0:c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 t="inlineStr">
        <ns0:is>
          <ns0:t>印花税数量</ns0:t>
        </ns0:is>
      </ns0:c>
      <ns0:c r="C352" s="4">
        <ns0:v>8.52</ns0:v>
      </ns0:c>
      <ns0:c r="D352" s="4">
        <ns0:v>7.88</ns0:v>
      </ns0:c>
      <ns0:c r="E352" s="4">
        <ns0:v>5.10</ns0:v>
      </ns0:c>
      <ns0:c r="F352" s="4">
        <ns0:v>2.75</ns0:v>
      </ns0:c>
      <ns0:c r="G352" s="4">
        <ns0:v>4.52</ns0:v>
      </ns0:c>
      <ns0:c r="H352" s="4">
        <ns0:v>3.03</ns0:v>
      </ns0:c>
      <ns0:c r="I352" s="4">
        <ns0:v>7.06</ns0:v>
      </ns0:c>
      <ns0:c r="J352" s="4">
        <ns0:v>5.15</ns0:v>
      </ns0:c>
      <ns0:c r="K352" s="4">
        <ns0:v>2.88</ns0:v>
      </ns0:c>
      <ns0:c r="L352" s="4">
        <ns0:v>7.25</ns0:v>
      </ns0:c>
      <ns0:c r="M352" s="4">
        <ns0:v>3.99</ns0:v>
      </ns0:c>
      <ns0:c r="N352" s="4">
        <ns0:v>4.37</ns0:v>
      </ns0:c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 t="inlineStr">
        <ns0:is>
          <ns0:t>其他数量</ns0:t>
        </ns0:is>
      </ns0:c>
      <ns0:c r="C353" s="4">
        <ns0:v>8.86</ns0:v>
      </ns0:c>
      <ns0:c r="D353" s="4">
        <ns0:v>7.97</ns0:v>
      </ns0:c>
      <ns0:c r="E353" s="4">
        <ns0:v>3.49</ns0:v>
      </ns0:c>
      <ns0:c r="F353" s="4">
        <ns0:v>7.40</ns0:v>
      </ns0:c>
      <ns0:c r="G353" s="4">
        <ns0:v>8.77</ns0:v>
      </ns0:c>
      <ns0:c r="H353" s="4">
        <ns0:v>9.13</ns0:v>
      </ns0:c>
      <ns0:c r="I353" s="4">
        <ns0:v>2.49</ns0:v>
      </ns0:c>
      <ns0:c r="J353" s="4">
        <ns0:v>6.24</ns0:v>
      </ns0:c>
      <ns0:c r="K353" s="4">
        <ns0:v>2.45</ns0:v>
      </ns0:c>
      <ns0:c r="L353" s="4">
        <ns0:v>7.15</ns0:v>
      </ns0:c>
      <ns0:c r="M353" s="4">
        <ns0:v>3.51</ns0:v>
      </ns0:c>
      <ns0:c r="N353" s="4">
        <ns0:v>2.23</ns0:v>
      </ns0:c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A1:C1"/>
    <ns0:mergeCell ref="C2:N2"/>
    <ns0:mergeCell ref="A25:B25"/>
    <ns0:mergeCell ref="A26:B26"/>
    <ns0:mergeCell ref="A27:B27"/>
    <ns0:mergeCell ref="A33:B33"/>
    <ns0:mergeCell ref="A34:B34"/>
    <ns0:mergeCell ref="A35:B35"/>
    <ns0:mergeCell ref="A36:B36"/>
    <ns0:mergeCell ref="A4:A10"/>
    <ns0:mergeCell ref="A11:A20"/>
    <ns0:mergeCell ref="A21:A24"/>
    <ns0:mergeCell ref="A29:A30"/>
    <ns0:mergeCell ref="A31:A32"/>
    <ns0:mergeCell ref="O2:O3"/>
    <ns0:mergeCell ref="A2:B3"/>
  </ns0:mergeCells>
  <ns0:pageMargins left="0.7" right="0.7" top="0.75" bottom="0.75" header="0.3" footer="0.3"/>
</ns0:worksheet>
</file>

<file path=xl/worksheets/sheet10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2.625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12.625" hidden="0" customWidth="1"/>
    <ns0:col min="17" max="17" width="12.625" hidden="0" customWidth="1"/>
    <ns0:col min="18" max="18" width="16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/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2" t="inlineStr">
        <ns0:is>
          <ns0:t>项目</ns0:t>
        </ns0:is>
      </ns0:c>
      <ns0:c r="B2" s="2"/>
      <ns0:c r="C2" s="3"/>
      <ns0:c r="D2" s="3"/>
      <ns0:c r="E2" s="3"/>
      <ns0:c r="F2" s="3"/>
      <ns0:c r="G2" s="3"/>
      <ns0:c r="H2" s="3"/>
      <ns0:c r="I2" s="3"/>
      <ns0:c r="J2" s="3"/>
      <ns0:c r="K2" s="3"/>
      <ns0:c r="L2" s="3"/>
      <ns0:c r="M2" s="3"/>
      <ns0:c r="N2" s="3"/>
      <ns0:c r="O2" s="3" t="inlineStr">
        <ns0:is>
          <ns0:t>合计</ns0:t>
        </ns0:is>
      </ns0:c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E-5f17fa2948</ns0:t>
        </ns0:is>
      </ns0:c>
    </ns0:row>
    <ns0:row r="3" ht="20" customHeight="1">
      <ns0:c r="A3" s="2"/>
      <ns0:c r="B3" s="2"/>
      <ns0:c r="C3" s="6"/>
      <ns0:c r="D3" s="6"/>
      <ns0:c r="E3" s="6"/>
      <ns0:c r="F3" s="6"/>
      <ns0:c r="G3" s="6"/>
      <ns0:c r="H3" s="6"/>
      <ns0:c r="I3" s="6"/>
      <ns0:c r="J3" s="6"/>
      <ns0:c r="K3" s="6"/>
      <ns0:c r="L3" s="6"/>
      <ns0:c r="M3" s="6"/>
      <ns0:c r="N3" s="6"/>
      <ns0:c r="O3" s="6"/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主体乙</ns0:t>
        </ns0:is>
      </ns0:c>
    </ns0:row>
    <ns0:row r="4" ht="20" customHeight="1">
      <ns0:c r="A4" s="2" t="inlineStr">
        <ns0:is>
          <ns0:t>员工费用</ns0:t>
        </ns0:is>
      </ns0:c>
      <ns0:c r="B4" s="2" t="inlineStr">
        <ns0:is>
          <ns0:t>工资</ns0:t>
        </ns0:is>
      </ns0:c>
      <ns0:c r="C4" s="3">
        <ns0:f>'销售费用'!C4+'管理费用'!C4+'蓝恐龙费用'!C4</ns0:f>
        <ns0:v>725.05</ns0:v>
      </ns0:c>
      <ns0:c r="D4" s="3">
        <ns0:f>'销售费用'!D4+'管理费用'!D4+'蓝恐龙费用'!D4</ns0:f>
        <ns0:v>883.25</ns0:v>
      </ns0:c>
      <ns0:c r="E4" s="3">
        <ns0:f>'销售费用'!E4+'管理费用'!E4+'蓝恐龙费用'!E4</ns0:f>
        <ns0:v>809.75</ns0:v>
      </ns0:c>
      <ns0:c r="F4" s="3">
        <ns0:f>'销售费用'!F4+'管理费用'!F4+'蓝恐龙费用'!F4</ns0:f>
        <ns0:v>1040.35</ns0:v>
      </ns0:c>
      <ns0:c r="G4" s="3">
        <ns0:f>'销售费用'!G4+'管理费用'!G4+'蓝恐龙费用'!G4</ns0:f>
        <ns0:v>884.74</ns0:v>
      </ns0:c>
      <ns0:c r="H4" s="3">
        <ns0:f>'销售费用'!H4+'管理费用'!H4+'蓝恐龙费用'!H4</ns0:f>
        <ns0:v>525.88</ns0:v>
      </ns0:c>
      <ns0:c r="I4" s="3">
        <ns0:f>'销售费用'!I4+'管理费用'!I4+'蓝恐龙费用'!I4</ns0:f>
        <ns0:v>759.77</ns0:v>
      </ns0:c>
      <ns0:c r="J4" s="3">
        <ns0:f>'销售费用'!J4+'管理费用'!J4+'蓝恐龙费用'!J4</ns0:f>
        <ns0:v>682.28</ns0:v>
      </ns0:c>
      <ns0:c r="K4" s="3">
        <ns0:f>'销售费用'!K4+'管理费用'!K4+'蓝恐龙费用'!K4</ns0:f>
        <ns0:v>1108.44</ns0:v>
      </ns0:c>
      <ns0:c r="L4" s="3">
        <ns0:f>'销售费用'!L4+'管理费用'!L4+'蓝恐龙费用'!L4</ns0:f>
        <ns0:v>593.43</ns0:v>
      </ns0:c>
      <ns0:c r="M4" s="3">
        <ns0:f>'销售费用'!M4+'管理费用'!M4+'蓝恐龙费用'!M4</ns0:f>
        <ns0:v>505.47</ns0:v>
      </ns0:c>
      <ns0:c r="N4" s="3">
        <ns0:f>'销售费用'!N4+'管理费用'!N4+'蓝恐龙费用'!N4</ns0:f>
        <ns0:v>738.33</ns0:v>
      </ns0:c>
      <ns0:c r="O4" s="3">
        <ns0:f>SUM(C4:N4)</ns0:f>
        <ns0:v>9256.74</ns0:v>
      </ns0:c>
      <ns0:c r="P4" s="2"/>
      <ns0:c r="Q4" s="2"/>
      <ns0:c r="R4" s="2"/>
      <ns0:c r="S4" s="2"/>
      <ns0:c r="T4" s="2"/>
      <ns0:c r="U4" s="2"/>
      <ns0:c r="V4" s="2"/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S-03e3bfa6bf</ns0:t>
        </ns0:is>
      </ns0:c>
    </ns0:row>
    <ns0:row r="5" ht="20" customHeight="1">
      <ns0:c r="A5" s="2"/>
      <ns0:c r="B5" s="2" t="inlineStr">
        <ns0:is>
          <ns0:t>十三薪</ns0:t>
        </ns0:is>
      </ns0:c>
      <ns0:c r="C5" s="3">
        <ns0:f>'销售费用'!C5+'管理费用'!C5+'蓝恐龙费用'!C5</ns0:f>
        <ns0:v>648.82</ns0:v>
      </ns0:c>
      <ns0:c r="D5" s="3">
        <ns0:f>'销售费用'!D5+'管理费用'!D5+'蓝恐龙费用'!D5</ns0:f>
        <ns0:v>1175.00</ns0:v>
      </ns0:c>
      <ns0:c r="E5" s="3">
        <ns0:f>'销售费用'!E5+'管理费用'!E5+'蓝恐龙费用'!E5</ns0:f>
        <ns0:v>931.42</ns0:v>
      </ns0:c>
      <ns0:c r="F5" s="3">
        <ns0:f>'销售费用'!F5+'管理费用'!F5+'蓝恐龙费用'!F5</ns0:f>
        <ns0:v>643.16</ns0:v>
      </ns0:c>
      <ns0:c r="G5" s="3">
        <ns0:f>'销售费用'!G5+'管理费用'!G5+'蓝恐龙费用'!G5</ns0:f>
        <ns0:v>677.02</ns0:v>
      </ns0:c>
      <ns0:c r="H5" s="3">
        <ns0:f>'销售费用'!H5+'管理费用'!H5+'蓝恐龙费用'!H5</ns0:f>
        <ns0:v>623.56</ns0:v>
      </ns0:c>
      <ns0:c r="I5" s="3">
        <ns0:f>'销售费用'!I5+'管理费用'!I5+'蓝恐龙费用'!I5</ns0:f>
        <ns0:v>759.04</ns0:v>
      </ns0:c>
      <ns0:c r="J5" s="3">
        <ns0:f>'销售费用'!J5+'管理费用'!J5+'蓝恐龙费用'!J5</ns0:f>
        <ns0:v>344.74</ns0:v>
      </ns0:c>
      <ns0:c r="K5" s="3">
        <ns0:f>'销售费用'!K5+'管理费用'!K5+'蓝恐龙费用'!K5</ns0:f>
        <ns0:v>1260.44</ns0:v>
      </ns0:c>
      <ns0:c r="L5" s="3">
        <ns0:f>'销售费用'!L5+'管理费用'!L5+'蓝恐龙费用'!L5</ns0:f>
        <ns0:v>429.03</ns0:v>
      </ns0:c>
      <ns0:c r="M5" s="3">
        <ns0:f>'销售费用'!M5+'管理费用'!M5+'蓝恐龙费用'!M5</ns0:f>
        <ns0:v>591.70</ns0:v>
      </ns0:c>
      <ns0:c r="N5" s="3">
        <ns0:f>'销售费用'!N5+'管理费用'!N5+'蓝恐龙费用'!N5</ns0:f>
        <ns0:v>494.05</ns0:v>
      </ns0:c>
      <ns0:c r="O5" s="3">
        <ns0:f>SUM(C5:N5)</ns0:f>
        <ns0:v>8577.98</ns0:v>
      </ns0:c>
      <ns0:c r="P5" s="2"/>
      <ns0:c r="Q5" s="2"/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扩展情景</ns0:t>
        </ns0:is>
      </ns0:c>
    </ns0:row>
    <ns0:row r="6" ht="20" customHeight="1">
      <ns0:c r="A6" s="2"/>
      <ns0:c r="B6" s="2" t="inlineStr">
        <ns0:is>
          <ns0:t>离职补偿金</ns0:t>
        </ns0:is>
      </ns0:c>
      <ns0:c r="C6" s="3">
        <ns0:f>'销售费用'!C6+'管理费用'!C6+'蓝恐龙费用'!C6</ns0:f>
        <ns0:v>619.96</ns0:v>
      </ns0:c>
      <ns0:c r="D6" s="3">
        <ns0:f>'销售费用'!D6+'管理费用'!D6+'蓝恐龙费用'!D6</ns0:f>
        <ns0:v>666.70</ns0:v>
      </ns0:c>
      <ns0:c r="E6" s="3">
        <ns0:f>'销售费用'!E6+'管理费用'!E6+'蓝恐龙费用'!E6</ns0:f>
        <ns0:v>502.85</ns0:v>
      </ns0:c>
      <ns0:c r="F6" s="3">
        <ns0:f>'销售费用'!F6+'管理费用'!F6+'蓝恐龙费用'!F6</ns0:f>
        <ns0:v>648.27</ns0:v>
      </ns0:c>
      <ns0:c r="G6" s="3">
        <ns0:f>'销售费用'!G6+'管理费用'!G6+'蓝恐龙费用'!G6</ns0:f>
        <ns0:v>952.41</ns0:v>
      </ns0:c>
      <ns0:c r="H6" s="3">
        <ns0:f>'销售费用'!H6+'管理费用'!H6+'蓝恐龙费用'!H6</ns0:f>
        <ns0:v>831.26</ns0:v>
      </ns0:c>
      <ns0:c r="I6" s="3">
        <ns0:f>'销售费用'!I6+'管理费用'!I6+'蓝恐龙费用'!I6</ns0:f>
        <ns0:v>850.92</ns0:v>
      </ns0:c>
      <ns0:c r="J6" s="3">
        <ns0:f>'销售费用'!J6+'管理费用'!J6+'蓝恐龙费用'!J6</ns0:f>
        <ns0:v>708.74</ns0:v>
      </ns0:c>
      <ns0:c r="K6" s="3">
        <ns0:f>'销售费用'!K6+'管理费用'!K6+'蓝恐龙费用'!K6</ns0:f>
        <ns0:v>657.97</ns0:v>
      </ns0:c>
      <ns0:c r="L6" s="3">
        <ns0:f>'销售费用'!L6+'管理费用'!L6+'蓝恐龙费用'!L6</ns0:f>
        <ns0:v>802.58</ns0:v>
      </ns0:c>
      <ns0:c r="M6" s="3">
        <ns0:f>'销售费用'!M6+'管理费用'!M6+'蓝恐龙费用'!M6</ns0:f>
        <ns0:v>506.80</ns0:v>
      </ns0:c>
      <ns0:c r="N6" s="3">
        <ns0:f>'销售费用'!N6+'管理费用'!N6+'蓝恐龙费用'!N6</ns0:f>
        <ns0:v>777.04</ns0:v>
      </ns0:c>
      <ns0:c r="O6" s="3">
        <ns0:f>SUM(C6:N6)</ns0:f>
        <ns0:v>8525.50</ns0:v>
      </ns0:c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2"/>
      <ns0:c r="B7" s="2" t="inlineStr">
        <ns0:is>
          <ns0:t>五险一金</ns0:t>
        </ns0:is>
      </ns0:c>
      <ns0:c r="C7" s="3">
        <ns0:f>'销售费用'!C7+'管理费用'!C7+'蓝恐龙费用'!C7</ns0:f>
        <ns0:v>596.45</ns0:v>
      </ns0:c>
      <ns0:c r="D7" s="3">
        <ns0:f>'销售费用'!D7+'管理费用'!D7+'蓝恐龙费用'!D7</ns0:f>
        <ns0:v>623.94</ns0:v>
      </ns0:c>
      <ns0:c r="E7" s="3">
        <ns0:f>'销售费用'!E7+'管理费用'!E7+'蓝恐龙费用'!E7</ns0:f>
        <ns0:v>351.43</ns0:v>
      </ns0:c>
      <ns0:c r="F7" s="3">
        <ns0:f>'销售费用'!F7+'管理费用'!F7+'蓝恐龙费用'!F7</ns0:f>
        <ns0:v>697.52</ns0:v>
      </ns0:c>
      <ns0:c r="G7" s="3">
        <ns0:f>'销售费用'!G7+'管理费用'!G7+'蓝恐龙费用'!G7</ns0:f>
        <ns0:v>381.17</ns0:v>
      </ns0:c>
      <ns0:c r="H7" s="3">
        <ns0:f>'销售费用'!H7+'管理费用'!H7+'蓝恐龙费用'!H7</ns0:f>
        <ns0:v>584.99</ns0:v>
      </ns0:c>
      <ns0:c r="I7" s="3">
        <ns0:f>'销售费用'!I7+'管理费用'!I7+'蓝恐龙费用'!I7</ns0:f>
        <ns0:v>605.96</ns0:v>
      </ns0:c>
      <ns0:c r="J7" s="3">
        <ns0:f>'销售费用'!J7+'管理费用'!J7+'蓝恐龙费用'!J7</ns0:f>
        <ns0:v>509.33</ns0:v>
      </ns0:c>
      <ns0:c r="K7" s="3">
        <ns0:f>'销售费用'!K7+'管理费用'!K7+'蓝恐龙费用'!K7</ns0:f>
        <ns0:v>1025.49</ns0:v>
      </ns0:c>
      <ns0:c r="L7" s="3">
        <ns0:f>'销售费用'!L7+'管理费用'!L7+'蓝恐龙费用'!L7</ns0:f>
        <ns0:v>573.96</ns0:v>
      </ns0:c>
      <ns0:c r="M7" s="3">
        <ns0:f>'销售费用'!M7+'管理费用'!M7+'蓝恐龙费用'!M7</ns0:f>
        <ns0:v>721.37</ns0:v>
      </ns0:c>
      <ns0:c r="N7" s="3">
        <ns0:f>'销售费用'!N7+'管理费用'!N7+'蓝恐龙费用'!N7</ns0:f>
        <ns0:v>687.90</ns0:v>
      </ns0:c>
      <ns0:c r="O7" s="3">
        <ns0:f>SUM(C7:N7)</ns0:f>
        <ns0:v>7359.51</ns0:v>
      </ns0:c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季度</ns0:t>
        </ns0:is>
      </ns0:c>
    </ns0:row>
    <ns0:row r="8" ht="20" customHeight="1">
      <ns0:c r="A8" s="2"/>
      <ns0:c r="B8" s="2" t="inlineStr">
        <ns0:is>
          <ns0:t>福利费</ns0:t>
        </ns0:is>
      </ns0:c>
      <ns0:c r="C8" s="3">
        <ns0:f>'销售费用'!C8+'管理费用'!C8+'蓝恐龙费用'!C8</ns0:f>
        <ns0:v>833.50</ns0:v>
      </ns0:c>
      <ns0:c r="D8" s="3">
        <ns0:f>'销售费用'!D8+'管理费用'!D8+'蓝恐龙费用'!D8</ns0:f>
        <ns0:v>820.53</ns0:v>
      </ns0:c>
      <ns0:c r="E8" s="3">
        <ns0:f>'销售费用'!E8+'管理费用'!E8+'蓝恐龙费用'!E8</ns0:f>
        <ns0:v>1034.07</ns0:v>
      </ns0:c>
      <ns0:c r="F8" s="3">
        <ns0:f>'销售费用'!F8+'管理费用'!F8+'蓝恐龙费用'!F8</ns0:f>
        <ns0:v>575.81</ns0:v>
      </ns0:c>
      <ns0:c r="G8" s="3">
        <ns0:f>'销售费用'!G8+'管理费用'!G8+'蓝恐龙费用'!G8</ns0:f>
        <ns0:v>872.91</ns0:v>
      </ns0:c>
      <ns0:c r="H8" s="3">
        <ns0:f>'销售费用'!H8+'管理费用'!H8+'蓝恐龙费用'!H8</ns0:f>
        <ns0:v>481.00</ns0:v>
      </ns0:c>
      <ns0:c r="I8" s="3">
        <ns0:f>'销售费用'!I8+'管理费用'!I8+'蓝恐龙费用'!I8</ns0:f>
        <ns0:v>757.09</ns0:v>
      </ns0:c>
      <ns0:c r="J8" s="3">
        <ns0:f>'销售费用'!J8+'管理费用'!J8+'蓝恐龙费用'!J8</ns0:f>
        <ns0:v>868.20</ns0:v>
      </ns0:c>
      <ns0:c r="K8" s="3">
        <ns0:f>'销售费用'!K8+'管理费用'!K8+'蓝恐龙费用'!K8</ns0:f>
        <ns0:v>587.93</ns0:v>
      </ns0:c>
      <ns0:c r="L8" s="3">
        <ns0:f>'销售费用'!L8+'管理费用'!L8+'蓝恐龙费用'!L8</ns0:f>
        <ns0:v>1002.12</ns0:v>
      </ns0:c>
      <ns0:c r="M8" s="3">
        <ns0:f>'销售费用'!M8+'管理费用'!M8+'蓝恐龙费用'!M8</ns0:f>
        <ns0:v>606.65</ns0:v>
      </ns0:c>
      <ns0:c r="N8" s="3">
        <ns0:f>'销售费用'!N8+'管理费用'!N8+'蓝恐龙费用'!N8</ns0:f>
        <ns0:v>685.63</ns0:v>
      </ns0:c>
      <ns0:c r="O8" s="3">
        <ns0:f>SUM(C8:N8)</ns0:f>
        <ns0:v>9125.44</ns0:v>
      </ns0:c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2"/>
      <ns0:c r="B9" s="2" t="inlineStr">
        <ns0:is>
          <ns0:t>招聘费</ns0:t>
        </ns0:is>
      </ns0:c>
      <ns0:c r="C9" s="3">
        <ns0:f>'销售费用'!C9+'管理费用'!C9+'蓝恐龙费用'!C9</ns0:f>
        <ns0:v>485.30</ns0:v>
      </ns0:c>
      <ns0:c r="D9" s="3">
        <ns0:f>'销售费用'!D9+'管理费用'!D9+'蓝恐龙费用'!D9</ns0:f>
        <ns0:v>485.87</ns0:v>
      </ns0:c>
      <ns0:c r="E9" s="3">
        <ns0:f>'销售费用'!E9+'管理费用'!E9+'蓝恐龙费用'!E9</ns0:f>
        <ns0:v>722.36</ns0:v>
      </ns0:c>
      <ns0:c r="F9" s="3">
        <ns0:f>'销售费用'!F9+'管理费用'!F9+'蓝恐龙费用'!F9</ns0:f>
        <ns0:v>670.64</ns0:v>
      </ns0:c>
      <ns0:c r="G9" s="3">
        <ns0:f>'销售费用'!G9+'管理费用'!G9+'蓝恐龙费用'!G9</ns0:f>
        <ns0:v>676.13</ns0:v>
      </ns0:c>
      <ns0:c r="H9" s="3">
        <ns0:f>'销售费用'!H9+'管理费用'!H9+'蓝恐龙费用'!H9</ns0:f>
        <ns0:v>762.72</ns0:v>
      </ns0:c>
      <ns0:c r="I9" s="3">
        <ns0:f>'销售费用'!I9+'管理费用'!I9+'蓝恐龙费用'!I9</ns0:f>
        <ns0:v>1072.44</ns0:v>
      </ns0:c>
      <ns0:c r="J9" s="3">
        <ns0:f>'销售费用'!J9+'管理费用'!J9+'蓝恐龙费用'!J9</ns0:f>
        <ns0:v>564.13</ns0:v>
      </ns0:c>
      <ns0:c r="K9" s="3">
        <ns0:f>'销售费用'!K9+'管理费用'!K9+'蓝恐龙费用'!K9</ns0:f>
        <ns0:v>560.55</ns0:v>
      </ns0:c>
      <ns0:c r="L9" s="3">
        <ns0:f>'销售费用'!L9+'管理费用'!L9+'蓝恐龙费用'!L9</ns0:f>
        <ns0:v>582.22</ns0:v>
      </ns0:c>
      <ns0:c r="M9" s="3">
        <ns0:f>'销售费用'!M9+'管理费用'!M9+'蓝恐龙费用'!M9</ns0:f>
        <ns0:v>632.89</ns0:v>
      </ns0:c>
      <ns0:c r="N9" s="3">
        <ns0:f>'销售费用'!N9+'管理费用'!N9+'蓝恐龙费用'!N9</ns0:f>
        <ns0:v>907.77</ns0:v>
      </ns0:c>
      <ns0:c r="O9" s="3">
        <ns0:f>SUM(C9:N9)</ns0:f>
        <ns0:v>8123.02</ns0:v>
      </ns0:c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2"/>
      <ns0:c r="B10" s="2" t="inlineStr">
        <ns0:is>
          <ns0:t>培训费</ns0:t>
        </ns0:is>
      </ns0:c>
      <ns0:c r="C10" s="3">
        <ns0:f>'销售费用'!C10+'管理费用'!C10+'蓝恐龙费用'!C10</ns0:f>
        <ns0:v>552.15</ns0:v>
      </ns0:c>
      <ns0:c r="D10" s="3">
        <ns0:f>'销售费用'!D10+'管理费用'!D10+'蓝恐龙费用'!D10</ns0:f>
        <ns0:v>467.41</ns0:v>
      </ns0:c>
      <ns0:c r="E10" s="3">
        <ns0:f>'销售费用'!E10+'管理费用'!E10+'蓝恐龙费用'!E10</ns0:f>
        <ns0:v>809.28</ns0:v>
      </ns0:c>
      <ns0:c r="F10" s="3">
        <ns0:f>'销售费用'!F10+'管理费用'!F10+'蓝恐龙费用'!F10</ns0:f>
        <ns0:v>628.75</ns0:v>
      </ns0:c>
      <ns0:c r="G10" s="3">
        <ns0:f>'销售费用'!G10+'管理费用'!G10+'蓝恐龙费用'!G10</ns0:f>
        <ns0:v>844.31</ns0:v>
      </ns0:c>
      <ns0:c r="H10" s="3">
        <ns0:f>'销售费用'!H10+'管理费用'!H10+'蓝恐龙费用'!H10</ns0:f>
        <ns0:v>640.87</ns0:v>
      </ns0:c>
      <ns0:c r="I10" s="3">
        <ns0:f>'销售费用'!I10+'管理费用'!I10+'蓝恐龙费用'!I10</ns0:f>
        <ns0:v>808.47</ns0:v>
      </ns0:c>
      <ns0:c r="J10" s="3">
        <ns0:f>'销售费用'!J10+'管理费用'!J10+'蓝恐龙费用'!J10</ns0:f>
        <ns0:v>444.62</ns0:v>
      </ns0:c>
      <ns0:c r="K10" s="3">
        <ns0:f>'销售费用'!K10+'管理费用'!K10+'蓝恐龙费用'!K10</ns0:f>
        <ns0:v>996.77</ns0:v>
      </ns0:c>
      <ns0:c r="L10" s="3">
        <ns0:f>'销售费用'!L10+'管理费用'!L10+'蓝恐龙费用'!L10</ns0:f>
        <ns0:v>674.03</ns0:v>
      </ns0:c>
      <ns0:c r="M10" s="3">
        <ns0:f>'销售费用'!M10+'管理费用'!M10+'蓝恐龙费用'!M10</ns0:f>
        <ns0:v>907.17</ns0:v>
      </ns0:c>
      <ns0:c r="N10" s="3">
        <ns0:f>'销售费用'!N10+'管理费用'!N10+'蓝恐龙费用'!N10</ns0:f>
        <ns0:v>907.99</ns0:v>
      </ns0:c>
      <ns0:c r="O10" s="3">
        <ns0:f>SUM(C10:N10)</ns0:f>
        <ns0:v>8681.82</ns0:v>
      </ns0:c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2"/>
      <ns0:c r="B11" s="2" t="inlineStr">
        <ns0:is>
          <ns0:t>房租</ns0:t>
        </ns0:is>
      </ns0:c>
      <ns0:c r="C11" s="3">
        <ns0:f>'销售费用'!C11+'管理费用'!C11+'蓝恐龙费用'!C11</ns0:f>
        <ns0:v>1002.32</ns0:v>
      </ns0:c>
      <ns0:c r="D11" s="3">
        <ns0:f>'销售费用'!D11+'管理费用'!D11+'蓝恐龙费用'!D11</ns0:f>
        <ns0:v>749.02</ns0:v>
      </ns0:c>
      <ns0:c r="E11" s="3">
        <ns0:f>'销售费用'!E11+'管理费用'!E11+'蓝恐龙费用'!E11</ns0:f>
        <ns0:v>722.56</ns0:v>
      </ns0:c>
      <ns0:c r="F11" s="3">
        <ns0:f>'销售费用'!F11+'管理费用'!F11+'蓝恐龙费用'!F11</ns0:f>
        <ns0:v>731.93</ns0:v>
      </ns0:c>
      <ns0:c r="G11" s="3">
        <ns0:f>'销售费用'!G11+'管理费用'!G11+'蓝恐龙费用'!G11</ns0:f>
        <ns0:v>690.09</ns0:v>
      </ns0:c>
      <ns0:c r="H11" s="3">
        <ns0:f>'销售费用'!H11+'管理费用'!H11+'蓝恐龙费用'!H11</ns0:f>
        <ns0:v>524.40</ns0:v>
      </ns0:c>
      <ns0:c r="I11" s="3">
        <ns0:f>'销售费用'!I11+'管理费用'!I11+'蓝恐龙费用'!I11</ns0:f>
        <ns0:v>837.13</ns0:v>
      </ns0:c>
      <ns0:c r="J11" s="3">
        <ns0:f>'销售费用'!J11+'管理费用'!J11+'蓝恐龙费用'!J11</ns0:f>
        <ns0:v>473.88</ns0:v>
      </ns0:c>
      <ns0:c r="K11" s="3">
        <ns0:f>'销售费用'!K11+'管理费用'!K11+'蓝恐龙费用'!K11</ns0:f>
        <ns0:v>694.75</ns0:v>
      </ns0:c>
      <ns0:c r="L11" s="3">
        <ns0:f>'销售费用'!L11+'管理费用'!L11+'蓝恐龙费用'!L11</ns0:f>
        <ns0:v>495.74</ns0:v>
      </ns0:c>
      <ns0:c r="M11" s="3">
        <ns0:f>'销售费用'!M11+'管理费用'!M11+'蓝恐龙费用'!M11</ns0:f>
        <ns0:v>927.79</ns0:v>
      </ns0:c>
      <ns0:c r="N11" s="3">
        <ns0:f>'销售费用'!N11+'管理费用'!N11+'蓝恐龙费用'!N11</ns0:f>
        <ns0:v>894.08</ns0:v>
      </ns0:c>
      <ns0:c r="O11" s="3">
        <ns0:f>SUM(C11:N11)</ns0:f>
        <ns0:v>8743.69</ns0:v>
      </ns0:c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2"/>
      <ns0:c r="B12" s="2" t="inlineStr">
        <ns0:is>
          <ns0:t>物业管理费</ns0:t>
        </ns0:is>
      </ns0:c>
      <ns0:c r="C12" s="3">
        <ns0:f>'销售费用'!C12+'管理费用'!C12+'蓝恐龙费用'!C12</ns0:f>
        <ns0:v>942.14</ns0:v>
      </ns0:c>
      <ns0:c r="D12" s="3">
        <ns0:f>'销售费用'!D12+'管理费用'!D12+'蓝恐龙费用'!D12</ns0:f>
        <ns0:v>224.83</ns0:v>
      </ns0:c>
      <ns0:c r="E12" s="3">
        <ns0:f>'销售费用'!E12+'管理费用'!E12+'蓝恐龙费用'!E12</ns0:f>
        <ns0:v>857.52</ns0:v>
      </ns0:c>
      <ns0:c r="F12" s="3">
        <ns0:f>'销售费用'!F12+'管理费用'!F12+'蓝恐龙费用'!F12</ns0:f>
        <ns0:v>723.90</ns0:v>
      </ns0:c>
      <ns0:c r="G12" s="3">
        <ns0:f>'销售费用'!G12+'管理费用'!G12+'蓝恐龙费用'!G12</ns0:f>
        <ns0:v>1040.09</ns0:v>
      </ns0:c>
      <ns0:c r="H12" s="3">
        <ns0:f>'销售费用'!H12+'管理费用'!H12+'蓝恐龙费用'!H12</ns0:f>
        <ns0:v>750.61</ns0:v>
      </ns0:c>
      <ns0:c r="I12" s="3">
        <ns0:f>'销售费用'!I12+'管理费用'!I12+'蓝恐龙费用'!I12</ns0:f>
        <ns0:v>841.64</ns0:v>
      </ns0:c>
      <ns0:c r="J12" s="3">
        <ns0:f>'销售费用'!J12+'管理费用'!J12+'蓝恐龙费用'!J12</ns0:f>
        <ns0:v>808.42</ns0:v>
      </ns0:c>
      <ns0:c r="K12" s="3">
        <ns0:f>'销售费用'!K12+'管理费用'!K12+'蓝恐龙费用'!K12</ns0:f>
        <ns0:v>951.50</ns0:v>
      </ns0:c>
      <ns0:c r="L12" s="3">
        <ns0:f>'销售费用'!L12+'管理费用'!L12+'蓝恐龙费用'!L12</ns0:f>
        <ns0:v>667.00</ns0:v>
      </ns0:c>
      <ns0:c r="M12" s="3">
        <ns0:f>'销售费用'!M12+'管理费用'!M12+'蓝恐龙费用'!M12</ns0:f>
        <ns0:v>600.86</ns0:v>
      </ns0:c>
      <ns0:c r="N12" s="3">
        <ns0:f>'销售费用'!N12+'管理费用'!N12+'蓝恐龙费用'!N12</ns0:f>
        <ns0:v>334.63</ns0:v>
      </ns0:c>
      <ns0:c r="O12" s="3">
        <ns0:f>SUM(C12:N12)</ns0:f>
        <ns0:v>8743.14</ns0:v>
      </ns0:c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2"/>
      <ns0:c r="B13" s="2" t="inlineStr">
        <ns0:is>
          <ns0:t>汽车费用</ns0:t>
        </ns0:is>
      </ns0:c>
      <ns0:c r="C13" s="3">
        <ns0:f>'销售费用'!C13+'管理费用'!C13+'蓝恐龙费用'!C13</ns0:f>
        <ns0:v>717.60</ns0:v>
      </ns0:c>
      <ns0:c r="D13" s="3">
        <ns0:f>'销售费用'!D13+'管理费用'!D13+'蓝恐龙费用'!D13</ns0:f>
        <ns0:v>521.49</ns0:v>
      </ns0:c>
      <ns0:c r="E13" s="3">
        <ns0:f>'销售费用'!E13+'管理费用'!E13+'蓝恐龙费用'!E13</ns0:f>
        <ns0:v>663.27</ns0:v>
      </ns0:c>
      <ns0:c r="F13" s="3">
        <ns0:f>'销售费用'!F13+'管理费用'!F13+'蓝恐龙费用'!F13</ns0:f>
        <ns0:v>711.64</ns0:v>
      </ns0:c>
      <ns0:c r="G13" s="3">
        <ns0:f>'销售费用'!G13+'管理费用'!G13+'蓝恐龙费用'!G13</ns0:f>
        <ns0:v>502.21</ns0:v>
      </ns0:c>
      <ns0:c r="H13" s="3">
        <ns0:f>'销售费用'!H13+'管理费用'!H13+'蓝恐龙费用'!H13</ns0:f>
        <ns0:v>696.15</ns0:v>
      </ns0:c>
      <ns0:c r="I13" s="3">
        <ns0:f>'销售费用'!I13+'管理费用'!I13+'蓝恐龙费用'!I13</ns0:f>
        <ns0:v>527.82</ns0:v>
      </ns0:c>
      <ns0:c r="J13" s="3">
        <ns0:f>'销售费用'!J13+'管理费用'!J13+'蓝恐龙费用'!J13</ns0:f>
        <ns0:v>646.40</ns0:v>
      </ns0:c>
      <ns0:c r="K13" s="3">
        <ns0:f>'销售费用'!K13+'管理费用'!K13+'蓝恐龙费用'!K13</ns0:f>
        <ns0:v>859.35</ns0:v>
      </ns0:c>
      <ns0:c r="L13" s="3">
        <ns0:f>'销售费用'!L13+'管理费用'!L13+'蓝恐龙费用'!L13</ns0:f>
        <ns0:v>606.26</ns0:v>
      </ns0:c>
      <ns0:c r="M13" s="3">
        <ns0:f>'销售费用'!M13+'管理费用'!M13+'蓝恐龙费用'!M13</ns0:f>
        <ns0:v>590.70</ns0:v>
      </ns0:c>
      <ns0:c r="N13" s="3">
        <ns0:f>'销售费用'!N13+'管理费用'!N13+'蓝恐龙费用'!N13</ns0:f>
        <ns0:v>682.83</ns0:v>
      </ns0:c>
      <ns0:c r="O13" s="3">
        <ns0:f>SUM(C13:N13)</ns0:f>
        <ns0:v>7725.72</ns0:v>
      </ns0:c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2"/>
      <ns0:c r="B14" s="2" t="inlineStr">
        <ns0:is>
          <ns0:t>办公费</ns0:t>
        </ns0:is>
      </ns0:c>
      <ns0:c r="C14" s="3">
        <ns0:f>'销售费用'!C14+'管理费用'!C14+'蓝恐龙费用'!C14</ns0:f>
        <ns0:v>424.92</ns0:v>
      </ns0:c>
      <ns0:c r="D14" s="3">
        <ns0:f>'销售费用'!D14+'管理费用'!D14+'蓝恐龙费用'!D14</ns0:f>
        <ns0:v>782.35</ns0:v>
      </ns0:c>
      <ns0:c r="E14" s="3">
        <ns0:f>'销售费用'!E14+'管理费用'!E14+'蓝恐龙费用'!E14</ns0:f>
        <ns0:v>873.45</ns0:v>
      </ns0:c>
      <ns0:c r="F14" s="3">
        <ns0:f>'销售费用'!F14+'管理费用'!F14+'蓝恐龙费用'!F14</ns0:f>
        <ns0:v>1117.56</ns0:v>
      </ns0:c>
      <ns0:c r="G14" s="3">
        <ns0:f>'销售费用'!G14+'管理费用'!G14+'蓝恐龙费用'!G14</ns0:f>
        <ns0:v>732.52</ns0:v>
      </ns0:c>
      <ns0:c r="H14" s="3">
        <ns0:f>'销售费用'!H14+'管理费用'!H14+'蓝恐龙费用'!H14</ns0:f>
        <ns0:v>472.92</ns0:v>
      </ns0:c>
      <ns0:c r="I14" s="3">
        <ns0:f>'销售费用'!I14+'管理费用'!I14+'蓝恐龙费用'!I14</ns0:f>
        <ns0:v>611.39</ns0:v>
      </ns0:c>
      <ns0:c r="J14" s="3">
        <ns0:f>'销售费用'!J14+'管理费用'!J14+'蓝恐龙费用'!J14</ns0:f>
        <ns0:v>964.58</ns0:v>
      </ns0:c>
      <ns0:c r="K14" s="3">
        <ns0:f>'销售费用'!K14+'管理费用'!K14+'蓝恐龙费用'!K14</ns0:f>
        <ns0:v>949.13</ns0:v>
      </ns0:c>
      <ns0:c r="L14" s="3">
        <ns0:f>'销售费用'!L14+'管理费用'!L14+'蓝恐龙费用'!L14</ns0:f>
        <ns0:v>709.26</ns0:v>
      </ns0:c>
      <ns0:c r="M14" s="3">
        <ns0:f>'销售费用'!M14+'管理费用'!M14+'蓝恐龙费用'!M14</ns0:f>
        <ns0:v>1005.52</ns0:v>
      </ns0:c>
      <ns0:c r="N14" s="3">
        <ns0:f>'销售费用'!N14+'管理费用'!N14+'蓝恐龙费用'!N14</ns0:f>
        <ns0:v>565.08</ns0:v>
      </ns0:c>
      <ns0:c r="O14" s="3">
        <ns0:f>SUM(C14:N14)</ns0:f>
        <ns0:v>9208.68</ns0:v>
      </ns0:c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2"/>
      <ns0:c r="B15" s="2" t="inlineStr">
        <ns0:is>
          <ns0:t>办公用品</ns0:t>
        </ns0:is>
      </ns0:c>
      <ns0:c r="C15" s="3">
        <ns0:f>'销售费用'!C15+'管理费用'!C15+'蓝恐龙费用'!C15</ns0:f>
        <ns0:v>686.14</ns0:v>
      </ns0:c>
      <ns0:c r="D15" s="3">
        <ns0:f>'销售费用'!D15+'管理费用'!D15+'蓝恐龙费用'!D15</ns0:f>
        <ns0:v>837.60</ns0:v>
      </ns0:c>
      <ns0:c r="E15" s="3">
        <ns0:f>'销售费用'!E15+'管理费用'!E15+'蓝恐龙费用'!E15</ns0:f>
        <ns0:v>399.62</ns0:v>
      </ns0:c>
      <ns0:c r="F15" s="3">
        <ns0:f>'销售费用'!F15+'管理费用'!F15+'蓝恐龙费用'!F15</ns0:f>
        <ns0:v>599.03</ns0:v>
      </ns0:c>
      <ns0:c r="G15" s="3">
        <ns0:f>'销售费用'!G15+'管理费用'!G15+'蓝恐龙费用'!G15</ns0:f>
        <ns0:v>1105.11</ns0:v>
      </ns0:c>
      <ns0:c r="H15" s="3">
        <ns0:f>'销售费用'!H15+'管理费用'!H15+'蓝恐龙费用'!H15</ns0:f>
        <ns0:v>908.98</ns0:v>
      </ns0:c>
      <ns0:c r="I15" s="3">
        <ns0:f>'销售费用'!I15+'管理费用'!I15+'蓝恐龙费用'!I15</ns0:f>
        <ns0:v>945.59</ns0:v>
      </ns0:c>
      <ns0:c r="J15" s="3">
        <ns0:f>'销售费用'!J15+'管理费用'!J15+'蓝恐龙费用'!J15</ns0:f>
        <ns0:v>926.70</ns0:v>
      </ns0:c>
      <ns0:c r="K15" s="3">
        <ns0:f>'销售费用'!K15+'管理费用'!K15+'蓝恐龙费用'!K15</ns0:f>
        <ns0:v>1182.54</ns0:v>
      </ns0:c>
      <ns0:c r="L15" s="3">
        <ns0:f>'销售费用'!L15+'管理费用'!L15+'蓝恐龙费用'!L15</ns0:f>
        <ns0:v>853.58</ns0:v>
      </ns0:c>
      <ns0:c r="M15" s="3">
        <ns0:f>'销售费用'!M15+'管理费用'!M15+'蓝恐龙费用'!M15</ns0:f>
        <ns0:v>636.00</ns0:v>
      </ns0:c>
      <ns0:c r="N15" s="3">
        <ns0:f>'销售费用'!N15+'管理费用'!N15+'蓝恐龙费用'!N15</ns0:f>
        <ns0:v>475.01</ns0:v>
      </ns0:c>
      <ns0:c r="O15" s="3">
        <ns0:f>SUM(C15:N15)</ns0:f>
        <ns0:v>9555.90</ns0:v>
      </ns0:c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2"/>
      <ns0:c r="B16" s="2" t="inlineStr">
        <ns0:is>
          <ns0:t>水电煤</ns0:t>
        </ns0:is>
      </ns0:c>
      <ns0:c r="C16" s="3">
        <ns0:f>'销售费用'!C16+'管理费用'!C16+'蓝恐龙费用'!C16</ns0:f>
        <ns0:v>881.58</ns0:v>
      </ns0:c>
      <ns0:c r="D16" s="3">
        <ns0:f>'销售费用'!D16+'管理费用'!D16+'蓝恐龙费用'!D16</ns0:f>
        <ns0:v>485.85</ns0:v>
      </ns0:c>
      <ns0:c r="E16" s="3">
        <ns0:f>'销售费用'!E16+'管理费用'!E16+'蓝恐龙费用'!E16</ns0:f>
        <ns0:v>602.05</ns0:v>
      </ns0:c>
      <ns0:c r="F16" s="3">
        <ns0:f>'销售费用'!F16+'管理费用'!F16+'蓝恐龙费用'!F16</ns0:f>
        <ns0:v>1167.86</ns0:v>
      </ns0:c>
      <ns0:c r="G16" s="3">
        <ns0:f>'销售费用'!G16+'管理费用'!G16+'蓝恐龙费用'!G16</ns0:f>
        <ns0:v>666.69</ns0:v>
      </ns0:c>
      <ns0:c r="H16" s="3">
        <ns0:f>'销售费用'!H16+'管理费用'!H16+'蓝恐龙费用'!H16</ns0:f>
        <ns0:v>1137.24</ns0:v>
      </ns0:c>
      <ns0:c r="I16" s="3">
        <ns0:f>'销售费用'!I16+'管理费用'!I16+'蓝恐龙费用'!I16</ns0:f>
        <ns0:v>823.13</ns0:v>
      </ns0:c>
      <ns0:c r="J16" s="3">
        <ns0:f>'销售费用'!J16+'管理费用'!J16+'蓝恐龙费用'!J16</ns0:f>
        <ns0:v>483.08</ns0:v>
      </ns0:c>
      <ns0:c r="K16" s="3">
        <ns0:f>'销售费用'!K16+'管理费用'!K16+'蓝恐龙费用'!K16</ns0:f>
        <ns0:v>694.47</ns0:v>
      </ns0:c>
      <ns0:c r="L16" s="3">
        <ns0:f>'销售费用'!L16+'管理费用'!L16+'蓝恐龙费用'!L16</ns0:f>
        <ns0:v>730.79</ns0:v>
      </ns0:c>
      <ns0:c r="M16" s="3">
        <ns0:f>'销售费用'!M16+'管理费用'!M16+'蓝恐龙费用'!M16</ns0:f>
        <ns0:v>614.18</ns0:v>
      </ns0:c>
      <ns0:c r="N16" s="3">
        <ns0:f>'销售费用'!N16+'管理费用'!N16+'蓝恐龙费用'!N16</ns0:f>
        <ns0:v>1144.89</ns0:v>
      </ns0:c>
      <ns0:c r="O16" s="3">
        <ns0:f>SUM(C16:N16)</ns0:f>
        <ns0:v>9431.81</ns0:v>
      </ns0:c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实时经营</ns0:t>
        </ns0:is>
      </ns0:c>
    </ns0:row>
    <ns0:row r="17" ht="20" customHeight="1">
      <ns0:c r="A17" s="2"/>
      <ns0:c r="B17" s="2" t="inlineStr">
        <ns0:is>
          <ns0:t>咨询服务费</ns0:t>
        </ns0:is>
      </ns0:c>
      <ns0:c r="C17" s="3">
        <ns0:f>'销售费用'!C17+'管理费用'!C17+'蓝恐龙费用'!C17</ns0:f>
        <ns0:v>560.98</ns0:v>
      </ns0:c>
      <ns0:c r="D17" s="3">
        <ns0:f>'销售费用'!D17+'管理费用'!D17+'蓝恐龙费用'!D17</ns0:f>
        <ns0:v>521.01</ns0:v>
      </ns0:c>
      <ns0:c r="E17" s="3">
        <ns0:f>'销售费用'!E17+'管理费用'!E17+'蓝恐龙费用'!E17</ns0:f>
        <ns0:v>717.90</ns0:v>
      </ns0:c>
      <ns0:c r="F17" s="3">
        <ns0:f>'销售费用'!F17+'管理费用'!F17+'蓝恐龙费用'!F17</ns0:f>
        <ns0:v>799.70</ns0:v>
      </ns0:c>
      <ns0:c r="G17" s="3">
        <ns0:f>'销售费用'!G17+'管理费用'!G17+'蓝恐龙费用'!G17</ns0:f>
        <ns0:v>672.51</ns0:v>
      </ns0:c>
      <ns0:c r="H17" s="3">
        <ns0:f>'销售费用'!H17+'管理费用'!H17+'蓝恐龙费用'!H17</ns0:f>
        <ns0:v>551.38</ns0:v>
      </ns0:c>
      <ns0:c r="I17" s="3">
        <ns0:f>'销售费用'!I17+'管理费用'!I17+'蓝恐龙费用'!I17</ns0:f>
        <ns0:v>614.49</ns0:v>
      </ns0:c>
      <ns0:c r="J17" s="3">
        <ns0:f>'销售费用'!J17+'管理费用'!J17+'蓝恐龙费用'!J17</ns0:f>
        <ns0:v>720.65</ns0:v>
      </ns0:c>
      <ns0:c r="K17" s="3">
        <ns0:f>'销售费用'!K17+'管理费用'!K17+'蓝恐龙费用'!K17</ns0:f>
        <ns0:v>617.00</ns0:v>
      </ns0:c>
      <ns0:c r="L17" s="3">
        <ns0:f>'销售费用'!L17+'管理费用'!L17+'蓝恐龙费用'!L17</ns0:f>
        <ns0:v>628.07</ns0:v>
      </ns0:c>
      <ns0:c r="M17" s="3">
        <ns0:f>'销售费用'!M17+'管理费用'!M17+'蓝恐龙费用'!M17</ns0:f>
        <ns0:v>1018.03</ns0:v>
      </ns0:c>
      <ns0:c r="N17" s="3">
        <ns0:f>'销售费用'!N17+'管理费用'!N17+'蓝恐龙费用'!N17</ns0:f>
        <ns0:v>704.90</ns0:v>
      </ns0:c>
      <ns0:c r="O17" s="3">
        <ns0:f>SUM(C17:N17)</ns0:f>
        <ns0:v>8126.62</ns0:v>
      </ns0:c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蓝色为实时经营输入参数；示例数值为占位；金额单位：元</ns0:t>
        </ns0:is>
      </ns0:c>
    </ns0:row>
    <ns0:row r="18" ht="20" customHeight="1">
      <ns0:c r="A18" s="2"/>
      <ns0:c r="B18" s="2" t="inlineStr">
        <ns0:is>
          <ns0:t>电话费</ns0:t>
        </ns0:is>
      </ns0:c>
      <ns0:c r="C18" s="3">
        <ns0:f>'销售费用'!C18+'管理费用'!C18+'蓝恐龙费用'!C18</ns0:f>
        <ns0:v>954.10</ns0:v>
      </ns0:c>
      <ns0:c r="D18" s="3">
        <ns0:f>'销售费用'!D18+'管理费用'!D18+'蓝恐龙费用'!D18</ns0:f>
        <ns0:v>928.53</ns0:v>
      </ns0:c>
      <ns0:c r="E18" s="3">
        <ns0:f>'销售费用'!E18+'管理费用'!E18+'蓝恐龙费用'!E18</ns0:f>
        <ns0:v>719.85</ns0:v>
      </ns0:c>
      <ns0:c r="F18" s="3">
        <ns0:f>'销售费用'!F18+'管理费用'!F18+'蓝恐龙费用'!F18</ns0:f>
        <ns0:v>638.68</ns0:v>
      </ns0:c>
      <ns0:c r="G18" s="3">
        <ns0:f>'销售费用'!G18+'管理费用'!G18+'蓝恐龙费用'!G18</ns0:f>
        <ns0:v>674.19</ns0:v>
      </ns0:c>
      <ns0:c r="H18" s="3">
        <ns0:f>'销售费用'!H18+'管理费用'!H18+'蓝恐龙费用'!H18</ns0:f>
        <ns0:v>581.95</ns0:v>
      </ns0:c>
      <ns0:c r="I18" s="3">
        <ns0:f>'销售费用'!I18+'管理费用'!I18+'蓝恐龙费用'!I18</ns0:f>
        <ns0:v>688.89</ns0:v>
      </ns0:c>
      <ns0:c r="J18" s="3">
        <ns0:f>'销售费用'!J18+'管理费用'!J18+'蓝恐龙费用'!J18</ns0:f>
        <ns0:v>666.17</ns0:v>
      </ns0:c>
      <ns0:c r="K18" s="3">
        <ns0:f>'销售费用'!K18+'管理费用'!K18+'蓝恐龙费用'!K18</ns0:f>
        <ns0:v>581.75</ns0:v>
      </ns0:c>
      <ns0:c r="L18" s="3">
        <ns0:f>'销售费用'!L18+'管理费用'!L18+'蓝恐龙费用'!L18</ns0:f>
        <ns0:v>669.80</ns0:v>
      </ns0:c>
      <ns0:c r="M18" s="3">
        <ns0:f>'销售费用'!M18+'管理费用'!M18+'蓝恐龙费用'!M18</ns0:f>
        <ns0:v>390.31</ns0:v>
      </ns0:c>
      <ns0:c r="N18" s="3">
        <ns0:f>'销售费用'!N18+'管理费用'!N18+'蓝恐龙费用'!N18</ns0:f>
        <ns0:v>902.01</ns0:v>
      </ns0:c>
      <ns0:c r="O18" s="3">
        <ns0:f>SUM(C18:N18)</ns0:f>
        <ns0:v>8396.23</ns0:v>
      </ns0:c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2"/>
      <ns0:c r="B19" s="2" t="inlineStr">
        <ns0:is>
          <ns0:t>快递费</ns0:t>
        </ns0:is>
      </ns0:c>
      <ns0:c r="C19" s="3">
        <ns0:f>'销售费用'!C19+'管理费用'!C19+'蓝恐龙费用'!C19</ns0:f>
        <ns0:v>870.44</ns0:v>
      </ns0:c>
      <ns0:c r="D19" s="3">
        <ns0:f>'销售费用'!D19+'管理费用'!D19+'蓝恐龙费用'!D19</ns0:f>
        <ns0:v>651.13</ns0:v>
      </ns0:c>
      <ns0:c r="E19" s="3">
        <ns0:f>'销售费用'!E19+'管理费用'!E19+'蓝恐龙费用'!E19</ns0:f>
        <ns0:v>572.80</ns0:v>
      </ns0:c>
      <ns0:c r="F19" s="3">
        <ns0:f>'销售费用'!F19+'管理费用'!F19+'蓝恐龙费用'!F19</ns0:f>
        <ns0:v>687.06</ns0:v>
      </ns0:c>
      <ns0:c r="G19" s="3">
        <ns0:f>'销售费用'!G19+'管理费用'!G19+'蓝恐龙费用'!G19</ns0:f>
        <ns0:v>467.39</ns0:v>
      </ns0:c>
      <ns0:c r="H19" s="3">
        <ns0:f>'销售费用'!H19+'管理费用'!H19+'蓝恐龙费用'!H19</ns0:f>
        <ns0:v>738.29</ns0:v>
      </ns0:c>
      <ns0:c r="I19" s="3">
        <ns0:f>'销售费用'!I19+'管理费用'!I19+'蓝恐龙费用'!I19</ns0:f>
        <ns0:v>734.34</ns0:v>
      </ns0:c>
      <ns0:c r="J19" s="3">
        <ns0:f>'销售费用'!J19+'管理费用'!J19+'蓝恐龙费用'!J19</ns0:f>
        <ns0:v>436.30</ns0:v>
      </ns0:c>
      <ns0:c r="K19" s="3">
        <ns0:f>'销售费用'!K19+'管理费用'!K19+'蓝恐龙费用'!K19</ns0:f>
        <ns0:v>1006.88</ns0:v>
      </ns0:c>
      <ns0:c r="L19" s="3">
        <ns0:f>'销售费用'!L19+'管理费用'!L19+'蓝恐龙费用'!L19</ns0:f>
        <ns0:v>593.77</ns0:v>
      </ns0:c>
      <ns0:c r="M19" s="3">
        <ns0:f>'销售费用'!M19+'管理费用'!M19+'蓝恐龙费用'!M19</ns0:f>
        <ns0:v>725.12</ns0:v>
      </ns0:c>
      <ns0:c r="N19" s="3">
        <ns0:f>'销售费用'!N19+'管理费用'!N19+'蓝恐龙费用'!N19</ns0:f>
        <ns0:v>660.70</ns0:v>
      </ns0:c>
      <ns0:c r="O19" s="3">
        <ns0:f>SUM(C19:N19)</ns0:f>
        <ns0:v>8144.22</ns0:v>
      </ns0:c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2"/>
      <ns0:c r="B20" s="2" t="inlineStr">
        <ns0:is>
          <ns0:t>折旧及摊销</ns0:t>
        </ns0:is>
      </ns0:c>
      <ns0:c r="C20" s="3">
        <ns0:f>'销售费用'!C20+'管理费用'!C20+'蓝恐龙费用'!C20</ns0:f>
        <ns0:v>2032.98</ns0:v>
      </ns0:c>
      <ns0:c r="D20" s="3">
        <ns0:f>'销售费用'!D20+'管理费用'!D20+'蓝恐龙费用'!D20</ns0:f>
        <ns0:v>2032.98</ns0:v>
      </ns0:c>
      <ns0:c r="E20" s="3">
        <ns0:f>'销售费用'!E20+'管理费用'!E20+'蓝恐龙费用'!E20</ns0:f>
        <ns0:v>2032.98</ns0:v>
      </ns0:c>
      <ns0:c r="F20" s="3">
        <ns0:f>'销售费用'!F20+'管理费用'!F20+'蓝恐龙费用'!F20</ns0:f>
        <ns0:v>2032.98</ns0:v>
      </ns0:c>
      <ns0:c r="G20" s="3">
        <ns0:f>'销售费用'!G20+'管理费用'!G20+'蓝恐龙费用'!G20</ns0:f>
        <ns0:v>2032.98</ns0:v>
      </ns0:c>
      <ns0:c r="H20" s="3">
        <ns0:f>'销售费用'!H20+'管理费用'!H20+'蓝恐龙费用'!H20</ns0:f>
        <ns0:v>2032.98</ns0:v>
      </ns0:c>
      <ns0:c r="I20" s="3">
        <ns0:f>'销售费用'!I20+'管理费用'!I20+'蓝恐龙费用'!I20</ns0:f>
        <ns0:v>2032.98</ns0:v>
      </ns0:c>
      <ns0:c r="J20" s="3">
        <ns0:f>'销售费用'!J20+'管理费用'!J20+'蓝恐龙费用'!J20</ns0:f>
        <ns0:v>2032.98</ns0:v>
      </ns0:c>
      <ns0:c r="K20" s="3">
        <ns0:f>'销售费用'!K20+'管理费用'!K20+'蓝恐龙费用'!K20</ns0:f>
        <ns0:v>2032.98</ns0:v>
      </ns0:c>
      <ns0:c r="L20" s="3">
        <ns0:f>'销售费用'!L20+'管理费用'!L20+'蓝恐龙费用'!L20</ns0:f>
        <ns0:v>2032.98</ns0:v>
      </ns0:c>
      <ns0:c r="M20" s="3">
        <ns0:f>'销售费用'!M20+'管理费用'!M20+'蓝恐龙费用'!M20</ns0:f>
        <ns0:v>2032.98</ns0:v>
      </ns0:c>
      <ns0:c r="N20" s="3">
        <ns0:f>'销售费用'!N20+'管理费用'!N20+'蓝恐龙费用'!N20</ns0:f>
        <ns0:v>2032.98</ns0:v>
      </ns0:c>
      <ns0:c r="O20" s="3">
        <ns0:f>SUM(C20:N20)</ns0:f>
        <ns0:v>24395.76</ns0:v>
      </ns0:c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2" t="inlineStr">
        <ns0:is>
          <ns0:t>差旅费</ns0:t>
        </ns0:is>
      </ns0:c>
      <ns0:c r="B21" s="2" t="inlineStr">
        <ns0:is>
          <ns0:t>机票火车票</ns0:t>
        </ns0:is>
      </ns0:c>
      <ns0:c r="C21" s="3">
        <ns0:f>'销售费用'!C21+'管理费用'!C21+'蓝恐龙费用'!C21</ns0:f>
        <ns0:v>657.92</ns0:v>
      </ns0:c>
      <ns0:c r="D21" s="3">
        <ns0:f>'销售费用'!D21+'管理费用'!D21+'蓝恐龙费用'!D21</ns0:f>
        <ns0:v>539.04</ns0:v>
      </ns0:c>
      <ns0:c r="E21" s="3">
        <ns0:f>'销售费用'!E21+'管理费用'!E21+'蓝恐龙费用'!E21</ns0:f>
        <ns0:v>985.50</ns0:v>
      </ns0:c>
      <ns0:c r="F21" s="3">
        <ns0:f>'销售费用'!F21+'管理费用'!F21+'蓝恐龙费用'!F21</ns0:f>
        <ns0:v>664.84</ns0:v>
      </ns0:c>
      <ns0:c r="G21" s="3">
        <ns0:f>'销售费用'!G21+'管理费用'!G21+'蓝恐龙费用'!G21</ns0:f>
        <ns0:v>511.22</ns0:v>
      </ns0:c>
      <ns0:c r="H21" s="3">
        <ns0:f>'销售费用'!H21+'管理费用'!H21+'蓝恐龙费用'!H21</ns0:f>
        <ns0:v>574.39</ns0:v>
      </ns0:c>
      <ns0:c r="I21" s="3">
        <ns0:f>'销售费用'!I21+'管理费用'!I21+'蓝恐龙费用'!I21</ns0:f>
        <ns0:v>922.15</ns0:v>
      </ns0:c>
      <ns0:c r="J21" s="3">
        <ns0:f>'销售费用'!J21+'管理费用'!J21+'蓝恐龙费用'!J21</ns0:f>
        <ns0:v>395.36</ns0:v>
      </ns0:c>
      <ns0:c r="K21" s="3">
        <ns0:f>'销售费用'!K21+'管理费用'!K21+'蓝恐龙费用'!K21</ns0:f>
        <ns0:v>1037.17</ns0:v>
      </ns0:c>
      <ns0:c r="L21" s="3">
        <ns0:f>'销售费用'!L21+'管理费用'!L21+'蓝恐龙费用'!L21</ns0:f>
        <ns0:v>940.69</ns0:v>
      </ns0:c>
      <ns0:c r="M21" s="3">
        <ns0:f>'销售费用'!M21+'管理费用'!M21+'蓝恐龙费用'!M21</ns0:f>
        <ns0:v>1081.63</ns0:v>
      </ns0:c>
      <ns0:c r="N21" s="3">
        <ns0:f>'销售费用'!N21+'管理费用'!N21+'蓝恐龙费用'!N21</ns0:f>
        <ns0:v>679.53</ns0:v>
      </ns0:c>
      <ns0:c r="O21" s="3">
        <ns0:f>SUM(C21:N21)</ns0:f>
        <ns0:v>8989.44</ns0:v>
      </ns0:c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2"/>
      <ns0:c r="B22" s="2" t="inlineStr">
        <ns0:is>
          <ns0:t>住宿费</ns0:t>
        </ns0:is>
      </ns0:c>
      <ns0:c r="C22" s="3">
        <ns0:f>'销售费用'!C22+'管理费用'!C22+'蓝恐龙费用'!C22</ns0:f>
        <ns0:v>420.39</ns0:v>
      </ns0:c>
      <ns0:c r="D22" s="3">
        <ns0:f>'销售费用'!D22+'管理费用'!D22+'蓝恐龙费用'!D22</ns0:f>
        <ns0:v>598.75</ns0:v>
      </ns0:c>
      <ns0:c r="E22" s="3">
        <ns0:f>'销售费用'!E22+'管理费用'!E22+'蓝恐龙费用'!E22</ns0:f>
        <ns0:v>437.53</ns0:v>
      </ns0:c>
      <ns0:c r="F22" s="3">
        <ns0:f>'销售费用'!F22+'管理费用'!F22+'蓝恐龙费用'!F22</ns0:f>
        <ns0:v>730.65</ns0:v>
      </ns0:c>
      <ns0:c r="G22" s="3">
        <ns0:f>'销售费用'!G22+'管理费用'!G22+'蓝恐龙费用'!G22</ns0:f>
        <ns0:v>856.23</ns0:v>
      </ns0:c>
      <ns0:c r="H22" s="3">
        <ns0:f>'销售费用'!H22+'管理费用'!H22+'蓝恐龙费用'!H22</ns0:f>
        <ns0:v>452.63</ns0:v>
      </ns0:c>
      <ns0:c r="I22" s="3">
        <ns0:f>'销售费用'!I22+'管理费用'!I22+'蓝恐龙费用'!I22</ns0:f>
        <ns0:v>760.95</ns0:v>
      </ns0:c>
      <ns0:c r="J22" s="3">
        <ns0:f>'销售费用'!J22+'管理费用'!J22+'蓝恐龙费用'!J22</ns0:f>
        <ns0:v>690.48</ns0:v>
      </ns0:c>
      <ns0:c r="K22" s="3">
        <ns0:f>'销售费用'!K22+'管理费用'!K22+'蓝恐龙费用'!K22</ns0:f>
        <ns0:v>827.25</ns0:v>
      </ns0:c>
      <ns0:c r="L22" s="3">
        <ns0:f>'销售费用'!L22+'管理费用'!L22+'蓝恐龙费用'!L22</ns0:f>
        <ns0:v>467.93</ns0:v>
      </ns0:c>
      <ns0:c r="M22" s="3">
        <ns0:f>'销售费用'!M22+'管理费用'!M22+'蓝恐龙费用'!M22</ns0:f>
        <ns0:v>587.59</ns0:v>
      </ns0:c>
      <ns0:c r="N22" s="3">
        <ns0:f>'销售费用'!N22+'管理费用'!N22+'蓝恐龙费用'!N22</ns0:f>
        <ns0:v>940.47</ns0:v>
      </ns0:c>
      <ns0:c r="O22" s="3">
        <ns0:f>SUM(C22:N22)</ns0:f>
        <ns0:v>7770.85</ns0:v>
      </ns0:c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2"/>
      <ns0:c r="B23" s="2" t="inlineStr">
        <ns0:is>
          <ns0:t>交通费</ns0:t>
        </ns0:is>
      </ns0:c>
      <ns0:c r="C23" s="3">
        <ns0:f>'销售费用'!C23+'管理费用'!C23+'蓝恐龙费用'!C23</ns0:f>
        <ns0:v>869.71</ns0:v>
      </ns0:c>
      <ns0:c r="D23" s="3">
        <ns0:f>'销售费用'!D23+'管理费用'!D23+'蓝恐龙费用'!D23</ns0:f>
        <ns0:v>790.75</ns0:v>
      </ns0:c>
      <ns0:c r="E23" s="3">
        <ns0:f>'销售费用'!E23+'管理费用'!E23+'蓝恐龙费用'!E23</ns0:f>
        <ns0:v>548.18</ns0:v>
      </ns0:c>
      <ns0:c r="F23" s="3">
        <ns0:f>'销售费用'!F23+'管理费用'!F23+'蓝恐龙费用'!F23</ns0:f>
        <ns0:v>713.92</ns0:v>
      </ns0:c>
      <ns0:c r="G23" s="3">
        <ns0:f>'销售费用'!G23+'管理费用'!G23+'蓝恐龙费用'!G23</ns0:f>
        <ns0:v>649.57</ns0:v>
      </ns0:c>
      <ns0:c r="H23" s="3">
        <ns0:f>'销售费用'!H23+'管理费用'!H23+'蓝恐龙费用'!H23</ns0:f>
        <ns0:v>718.93</ns0:v>
      </ns0:c>
      <ns0:c r="I23" s="3">
        <ns0:f>'销售费用'!I23+'管理费用'!I23+'蓝恐龙费用'!I23</ns0:f>
        <ns0:v>586.48</ns0:v>
      </ns0:c>
      <ns0:c r="J23" s="3">
        <ns0:f>'销售费用'!J23+'管理费用'!J23+'蓝恐龙费用'!J23</ns0:f>
        <ns0:v>638.64</ns0:v>
      </ns0:c>
      <ns0:c r="K23" s="3">
        <ns0:f>'销售费用'!K23+'管理费用'!K23+'蓝恐龙费用'!K23</ns0:f>
        <ns0:v>514.79</ns0:v>
      </ns0:c>
      <ns0:c r="L23" s="3">
        <ns0:f>'销售费用'!L23+'管理费用'!L23+'蓝恐龙费用'!L23</ns0:f>
        <ns0:v>854.37</ns0:v>
      </ns0:c>
      <ns0:c r="M23" s="3">
        <ns0:f>'销售费用'!M23+'管理费用'!M23+'蓝恐龙费用'!M23</ns0:f>
        <ns0:v>916.05</ns0:v>
      </ns0:c>
      <ns0:c r="N23" s="3">
        <ns0:f>'销售费用'!N23+'管理费用'!N23+'蓝恐龙费用'!N23</ns0:f>
        <ns0:v>875.63</ns0:v>
      </ns0:c>
      <ns0:c r="O23" s="3">
        <ns0:f>SUM(C23:N23)</ns0:f>
        <ns0:v>8677.02</ns0:v>
      </ns0:c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/>
      <ns0:c r="B24" s="2" t="inlineStr">
        <ns0:is>
          <ns0:t>差旅补贴</ns0:t>
        </ns0:is>
      </ns0:c>
      <ns0:c r="C24" s="3">
        <ns0:f>'销售费用'!C24+'管理费用'!C24+'蓝恐龙费用'!C24</ns0:f>
        <ns0:v>457.48</ns0:v>
      </ns0:c>
      <ns0:c r="D24" s="3">
        <ns0:f>'销售费用'!D24+'管理费用'!D24+'蓝恐龙费用'!D24</ns0:f>
        <ns0:v>1279.52</ns0:v>
      </ns0:c>
      <ns0:c r="E24" s="3">
        <ns0:f>'销售费用'!E24+'管理费用'!E24+'蓝恐龙费用'!E24</ns0:f>
        <ns0:v>1046.89</ns0:v>
      </ns0:c>
      <ns0:c r="F24" s="3">
        <ns0:f>'销售费用'!F24+'管理费用'!F24+'蓝恐龙费用'!F24</ns0:f>
        <ns0:v>1348.65</ns0:v>
      </ns0:c>
      <ns0:c r="G24" s="3">
        <ns0:f>'销售费用'!G24+'管理费用'!G24+'蓝恐龙费用'!G24</ns0:f>
        <ns0:v>585.03</ns0:v>
      </ns0:c>
      <ns0:c r="H24" s="3">
        <ns0:f>'销售费用'!H24+'管理费用'!H24+'蓝恐龙费用'!H24</ns0:f>
        <ns0:v>584.62</ns0:v>
      </ns0:c>
      <ns0:c r="I24" s="3">
        <ns0:f>'销售费用'!I24+'管理费用'!I24+'蓝恐龙费用'!I24</ns0:f>
        <ns0:v>617.51</ns0:v>
      </ns0:c>
      <ns0:c r="J24" s="3">
        <ns0:f>'销售费用'!J24+'管理费用'!J24+'蓝恐龙费用'!J24</ns0:f>
        <ns0:v>768.21</ns0:v>
      </ns0:c>
      <ns0:c r="K24" s="3">
        <ns0:f>'销售费用'!K24+'管理费用'!K24+'蓝恐龙费用'!K24</ns0:f>
        <ns0:v>1045.59</ns0:v>
      </ns0:c>
      <ns0:c r="L24" s="3">
        <ns0:f>'销售费用'!L24+'管理费用'!L24+'蓝恐龙费用'!L24</ns0:f>
        <ns0:v>911.21</ns0:v>
      </ns0:c>
      <ns0:c r="M24" s="3">
        <ns0:f>'销售费用'!M24+'管理费用'!M24+'蓝恐龙费用'!M24</ns0:f>
        <ns0:v>874.98</ns0:v>
      </ns0:c>
      <ns0:c r="N24" s="3">
        <ns0:f>'销售费用'!N24+'管理费用'!N24+'蓝恐龙费用'!N24</ns0:f>
        <ns0:v>798.14</ns0:v>
      </ns0:c>
      <ns0:c r="O24" s="3">
        <ns0:f>SUM(C24:N24)</ns0:f>
        <ns0:v>10317.83</ns0:v>
      </ns0:c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 t="inlineStr">
        <ns0:is>
          <ns0:t>业务招待费</ns0:t>
        </ns0:is>
      </ns0:c>
      <ns0:c r="B25" s="2" t="inlineStr">
        <ns0:is>
          <ns0:t>业务招待费</ns0:t>
        </ns0:is>
      </ns0:c>
      <ns0:c r="C25" s="3">
        <ns0:f>'销售费用'!C25+'管理费用'!C25+'蓝恐龙费用'!C25</ns0:f>
        <ns0:v>544.04</ns0:v>
      </ns0:c>
      <ns0:c r="D25" s="3">
        <ns0:f>'销售费用'!D25+'管理费用'!D25+'蓝恐龙费用'!D25</ns0:f>
        <ns0:v>852.97</ns0:v>
      </ns0:c>
      <ns0:c r="E25" s="3">
        <ns0:f>'销售费用'!E25+'管理费用'!E25+'蓝恐龙费用'!E25</ns0:f>
        <ns0:v>666.55</ns0:v>
      </ns0:c>
      <ns0:c r="F25" s="3">
        <ns0:f>'销售费用'!F25+'管理费用'!F25+'蓝恐龙费用'!F25</ns0:f>
        <ns0:v>798.64</ns0:v>
      </ns0:c>
      <ns0:c r="G25" s="3">
        <ns0:f>'销售费用'!G25+'管理费用'!G25+'蓝恐龙费用'!G25</ns0:f>
        <ns0:v>701.35</ns0:v>
      </ns0:c>
      <ns0:c r="H25" s="3">
        <ns0:f>'销售费用'!H25+'管理费用'!H25+'蓝恐龙费用'!H25</ns0:f>
        <ns0:v>923.12</ns0:v>
      </ns0:c>
      <ns0:c r="I25" s="3">
        <ns0:f>'销售费用'!I25+'管理费用'!I25+'蓝恐龙费用'!I25</ns0:f>
        <ns0:v>557.49</ns0:v>
      </ns0:c>
      <ns0:c r="J25" s="3">
        <ns0:f>'销售费用'!J25+'管理费用'!J25+'蓝恐龙费用'!J25</ns0:f>
        <ns0:v>1206.75</ns0:v>
      </ns0:c>
      <ns0:c r="K25" s="3">
        <ns0:f>'销售费用'!K25+'管理费用'!K25+'蓝恐龙费用'!K25</ns0:f>
        <ns0:v>697.45</ns0:v>
      </ns0:c>
      <ns0:c r="L25" s="3">
        <ns0:f>'销售费用'!L25+'管理费用'!L25+'蓝恐龙费用'!L25</ns0:f>
        <ns0:v>443.56</ns0:v>
      </ns0:c>
      <ns0:c r="M25" s="3">
        <ns0:f>'销售费用'!M25+'管理费用'!M25+'蓝恐龙费用'!M25</ns0:f>
        <ns0:v>1091.24</ns0:v>
      </ns0:c>
      <ns0:c r="N25" s="3">
        <ns0:f>'销售费用'!N25+'管理费用'!N25+'蓝恐龙费用'!N25</ns0:f>
        <ns0:v>1040.70</ns0:v>
      </ns0:c>
      <ns0:c r="O25" s="3">
        <ns0:f>SUM(C25:N25)</ns0:f>
        <ns0:v>9523.86</ns0:v>
      </ns0:c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 t="inlineStr">
        <ns0:is>
          <ns0:t>市内交通费</ns0:t>
        </ns0:is>
      </ns0:c>
      <ns0:c r="B26" s="2" t="inlineStr">
        <ns0:is>
          <ns0:t>市内交通费</ns0:t>
        </ns0:is>
      </ns0:c>
      <ns0:c r="C26" s="3">
        <ns0:f>'销售费用'!C26+'管理费用'!C26+'蓝恐龙费用'!C26</ns0:f>
        <ns0:v>886.89</ns0:v>
      </ns0:c>
      <ns0:c r="D26" s="3">
        <ns0:f>'销售费用'!D26+'管理费用'!D26+'蓝恐龙费用'!D26</ns0:f>
        <ns0:v>443.04</ns0:v>
      </ns0:c>
      <ns0:c r="E26" s="3">
        <ns0:f>'销售费用'!E26+'管理费用'!E26+'蓝恐龙费用'!E26</ns0:f>
        <ns0:v>562.85</ns0:v>
      </ns0:c>
      <ns0:c r="F26" s="3">
        <ns0:f>'销售费用'!F26+'管理费用'!F26+'蓝恐龙费用'!F26</ns0:f>
        <ns0:v>843.85</ns0:v>
      </ns0:c>
      <ns0:c r="G26" s="3">
        <ns0:f>'销售费用'!G26+'管理费用'!G26+'蓝恐龙费用'!G26</ns0:f>
        <ns0:v>840.01</ns0:v>
      </ns0:c>
      <ns0:c r="H26" s="3">
        <ns0:f>'销售费用'!H26+'管理费用'!H26+'蓝恐龙费用'!H26</ns0:f>
        <ns0:v>754.40</ns0:v>
      </ns0:c>
      <ns0:c r="I26" s="3">
        <ns0:f>'销售费用'!I26+'管理费用'!I26+'蓝恐龙费用'!I26</ns0:f>
        <ns0:v>532.61</ns0:v>
      </ns0:c>
      <ns0:c r="J26" s="3">
        <ns0:f>'销售费用'!J26+'管理费用'!J26+'蓝恐龙费用'!J26</ns0:f>
        <ns0:v>654.40</ns0:v>
      </ns0:c>
      <ns0:c r="K26" s="3">
        <ns0:f>'销售费用'!K26+'管理费用'!K26+'蓝恐龙费用'!K26</ns0:f>
        <ns0:v>575.12</ns0:v>
      </ns0:c>
      <ns0:c r="L26" s="3">
        <ns0:f>'销售费用'!L26+'管理费用'!L26+'蓝恐龙费用'!L26</ns0:f>
        <ns0:v>542.39</ns0:v>
      </ns0:c>
      <ns0:c r="M26" s="3">
        <ns0:f>'销售费用'!M26+'管理费用'!M26+'蓝恐龙费用'!M26</ns0:f>
        <ns0:v>728.32</ns0:v>
      </ns0:c>
      <ns0:c r="N26" s="3">
        <ns0:f>'销售费用'!N26+'管理费用'!N26+'蓝恐龙费用'!N26</ns0:f>
        <ns0:v>913.41</ns0:v>
      </ns0:c>
      <ns0:c r="O26" s="3">
        <ns0:f>SUM(C26:N26)</ns0:f>
        <ns0:v>8277.29</ns0:v>
      </ns0:c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 t="inlineStr">
        <ns0:is>
          <ns0:t>调研费用</ns0:t>
        </ns0:is>
      </ns0:c>
      <ns0:c r="B27" s="2" t="inlineStr">
        <ns0:is>
          <ns0:t>调研费用</ns0:t>
        </ns0:is>
      </ns0:c>
      <ns0:c r="C27" s="3">
        <ns0:f>'销售费用'!C27+'管理费用'!C27+'蓝恐龙费用'!C27</ns0:f>
        <ns0:v>527.15</ns0:v>
      </ns0:c>
      <ns0:c r="D27" s="3">
        <ns0:f>'销售费用'!D27+'管理费用'!D27+'蓝恐龙费用'!D27</ns0:f>
        <ns0:v>571.30</ns0:v>
      </ns0:c>
      <ns0:c r="E27" s="3">
        <ns0:f>'销售费用'!E27+'管理费用'!E27+'蓝恐龙费用'!E27</ns0:f>
        <ns0:v>585.66</ns0:v>
      </ns0:c>
      <ns0:c r="F27" s="3">
        <ns0:f>'销售费用'!F27+'管理费用'!F27+'蓝恐龙费用'!F27</ns0:f>
        <ns0:v>704.11</ns0:v>
      </ns0:c>
      <ns0:c r="G27" s="3">
        <ns0:f>'销售费用'!G27+'管理费用'!G27+'蓝恐龙费用'!G27</ns0:f>
        <ns0:v>579.11</ns0:v>
      </ns0:c>
      <ns0:c r="H27" s="3">
        <ns0:f>'销售费用'!H27+'管理费用'!H27+'蓝恐龙费用'!H27</ns0:f>
        <ns0:v>585.31</ns0:v>
      </ns0:c>
      <ns0:c r="I27" s="3">
        <ns0:f>'销售费用'!I27+'管理费用'!I27+'蓝恐龙费用'!I27</ns0:f>
        <ns0:v>700.16</ns0:v>
      </ns0:c>
      <ns0:c r="J27" s="3">
        <ns0:f>'销售费用'!J27+'管理费用'!J27+'蓝恐龙费用'!J27</ns0:f>
        <ns0:v>500.52</ns0:v>
      </ns0:c>
      <ns0:c r="K27" s="3">
        <ns0:f>'销售费用'!K27+'管理费用'!K27+'蓝恐龙费用'!K27</ns0:f>
        <ns0:v>597.45</ns0:v>
      </ns0:c>
      <ns0:c r="L27" s="3">
        <ns0:f>'销售费用'!L27+'管理费用'!L27+'蓝恐龙费用'!L27</ns0:f>
        <ns0:v>780.10</ns0:v>
      </ns0:c>
      <ns0:c r="M27" s="3">
        <ns0:f>'销售费用'!M27+'管理费用'!M27+'蓝恐龙费用'!M27</ns0:f>
        <ns0:v>471.96</ns0:v>
      </ns0:c>
      <ns0:c r="N27" s="3">
        <ns0:f>'销售费用'!N27+'管理费用'!N27+'蓝恐龙费用'!N27</ns0:f>
        <ns0:v>1110.22</ns0:v>
      </ns0:c>
      <ns0:c r="O27" s="3">
        <ns0:f>SUM(C27:N27)</ns0:f>
        <ns0:v>7713.05</ns0:v>
      </ns0:c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 t="inlineStr">
        <ns0:is>
          <ns0:t>手续费</ns0:t>
        </ns0:is>
      </ns0:c>
      <ns0:c r="B28" s="2" t="inlineStr">
        <ns0:is>
          <ns0:t>手续费</ns0:t>
        </ns0:is>
      </ns0:c>
      <ns0:c r="C28" s="3">
        <ns0:f>'销售费用'!C28+'管理费用'!C28+'蓝恐龙费用'!C28</ns0:f>
        <ns0:v>876.20</ns0:v>
      </ns0:c>
      <ns0:c r="D28" s="3">
        <ns0:f>'销售费用'!D28+'管理费用'!D28+'蓝恐龙费用'!D28</ns0:f>
        <ns0:v>615.80</ns0:v>
      </ns0:c>
      <ns0:c r="E28" s="3">
        <ns0:f>'销售费用'!E28+'管理费用'!E28+'蓝恐龙费用'!E28</ns0:f>
        <ns0:v>597.99</ns0:v>
      </ns0:c>
      <ns0:c r="F28" s="3">
        <ns0:f>'销售费用'!F28+'管理费用'!F28+'蓝恐龙费用'!F28</ns0:f>
        <ns0:v>811.05</ns0:v>
      </ns0:c>
      <ns0:c r="G28" s="3">
        <ns0:f>'销售费用'!G28+'管理费用'!G28+'蓝恐龙费用'!G28</ns0:f>
        <ns0:v>631.00</ns0:v>
      </ns0:c>
      <ns0:c r="H28" s="3">
        <ns0:f>'销售费用'!H28+'管理费用'!H28+'蓝恐龙费用'!H28</ns0:f>
        <ns0:v>670.79</ns0:v>
      </ns0:c>
      <ns0:c r="I28" s="3">
        <ns0:f>'销售费用'!I28+'管理费用'!I28+'蓝恐龙费用'!I28</ns0:f>
        <ns0:v>986.22</ns0:v>
      </ns0:c>
      <ns0:c r="J28" s="3">
        <ns0:f>'销售费用'!J28+'管理费用'!J28+'蓝恐龙费用'!J28</ns0:f>
        <ns0:v>941.27</ns0:v>
      </ns0:c>
      <ns0:c r="K28" s="3">
        <ns0:f>'销售费用'!K28+'管理费用'!K28+'蓝恐龙费用'!K28</ns0:f>
        <ns0:v>536.19</ns0:v>
      </ns0:c>
      <ns0:c r="L28" s="3">
        <ns0:f>'销售费用'!L28+'管理费用'!L28+'蓝恐龙费用'!L28</ns0:f>
        <ns0:v>764.61</ns0:v>
      </ns0:c>
      <ns0:c r="M28" s="3">
        <ns0:f>'销售费用'!M28+'管理费用'!M28+'蓝恐龙费用'!M28</ns0:f>
        <ns0:v>632.94</ns0:v>
      </ns0:c>
      <ns0:c r="N28" s="3">
        <ns0:f>'销售费用'!N28+'管理费用'!N28+'蓝恐龙费用'!N28</ns0:f>
        <ns0:v>648.17</ns0:v>
      </ns0:c>
      <ns0:c r="O28" s="3">
        <ns0:f>SUM(C28:N28)</ns0:f>
        <ns0:v>8712.23</ns0:v>
      </ns0:c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/>
      <ns0:c r="B29" s="2" t="inlineStr">
        <ns0:is>
          <ns0:t>利息收入</ns0:t>
        </ns0:is>
      </ns0:c>
      <ns0:c r="C29" s="3">
        <ns0:f>'销售费用'!C29+'管理费用'!C29+'蓝恐龙费用'!C29</ns0:f>
        <ns0:v>0</ns0:v>
      </ns0:c>
      <ns0:c r="D29" s="3">
        <ns0:f>'销售费用'!D29+'管理费用'!D29+'蓝恐龙费用'!D29</ns0:f>
        <ns0:v>0</ns0:v>
      </ns0:c>
      <ns0:c r="E29" s="3">
        <ns0:f>'销售费用'!E29+'管理费用'!E29+'蓝恐龙费用'!E29</ns0:f>
        <ns0:v>0</ns0:v>
      </ns0:c>
      <ns0:c r="F29" s="3">
        <ns0:f>'销售费用'!F29+'管理费用'!F29+'蓝恐龙费用'!F29</ns0:f>
        <ns0:v>0</ns0:v>
      </ns0:c>
      <ns0:c r="G29" s="3">
        <ns0:f>'销售费用'!G29+'管理费用'!G29+'蓝恐龙费用'!G29</ns0:f>
        <ns0:v>0</ns0:v>
      </ns0:c>
      <ns0:c r="H29" s="3">
        <ns0:f>'销售费用'!H29+'管理费用'!H29+'蓝恐龙费用'!H29</ns0:f>
        <ns0:v>0</ns0:v>
      </ns0:c>
      <ns0:c r="I29" s="3">
        <ns0:f>'销售费用'!I29+'管理费用'!I29+'蓝恐龙费用'!I29</ns0:f>
        <ns0:v>0</ns0:v>
      </ns0:c>
      <ns0:c r="J29" s="3">
        <ns0:f>'销售费用'!J29+'管理费用'!J29+'蓝恐龙费用'!J29</ns0:f>
        <ns0:v>0</ns0:v>
      </ns0:c>
      <ns0:c r="K29" s="3">
        <ns0:f>'销售费用'!K29+'管理费用'!K29+'蓝恐龙费用'!K29</ns0:f>
        <ns0:v>0</ns0:v>
      </ns0:c>
      <ns0:c r="L29" s="3">
        <ns0:f>'销售费用'!L29+'管理费用'!L29+'蓝恐龙费用'!L29</ns0:f>
        <ns0:v>0</ns0:v>
      </ns0:c>
      <ns0:c r="M29" s="3">
        <ns0:f>'销售费用'!M29+'管理费用'!M29+'蓝恐龙费用'!M29</ns0:f>
        <ns0:v>0</ns0:v>
      </ns0:c>
      <ns0:c r="N29" s="3">
        <ns0:f>'销售费用'!N29+'管理费用'!N29+'蓝恐龙费用'!N29</ns0:f>
        <ns0:v>0</ns0:v>
      </ns0:c>
      <ns0:c r="O29" s="3">
        <ns0:f>SUM(C29:N29)</ns0:f>
        <ns0:v>0</ns0:v>
      </ns0:c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/>
      <ns0:c r="B30" s="5" t="inlineStr">
        <ns0:is>
          <ns0:t>利息支出</ns0:t>
        </ns0:is>
      </ns0:c>
      <ns0:c r="C30" s="6">
        <ns0:f>'销售费用'!C30+'管理费用'!C30+'蓝恐龙费用'!C30</ns0:f>
        <ns0:v>1025.27</ns0:v>
      </ns0:c>
      <ns0:c r="D30" s="6">
        <ns0:f>'销售费用'!D30+'管理费用'!D30+'蓝恐龙费用'!D30</ns0:f>
        <ns0:v>676.72</ns0:v>
      </ns0:c>
      <ns0:c r="E30" s="6">
        <ns0:f>'销售费用'!E30+'管理费用'!E30+'蓝恐龙费用'!E30</ns0:f>
        <ns0:v>741.24</ns0:v>
      </ns0:c>
      <ns0:c r="F30" s="6">
        <ns0:f>'销售费用'!F30+'管理费用'!F30+'蓝恐龙费用'!F30</ns0:f>
        <ns0:v>747.57</ns0:v>
      </ns0:c>
      <ns0:c r="G30" s="6">
        <ns0:f>'销售费用'!G30+'管理费用'!G30+'蓝恐龙费用'!G30</ns0:f>
        <ns0:v>484.25</ns0:v>
      </ns0:c>
      <ns0:c r="H30" s="6">
        <ns0:f>'销售费用'!H30+'管理费用'!H30+'蓝恐龙费用'!H30</ns0:f>
        <ns0:v>1207.31</ns0:v>
      </ns0:c>
      <ns0:c r="I30" s="6">
        <ns0:f>'销售费用'!I30+'管理费用'!I30+'蓝恐龙费用'!I30</ns0:f>
        <ns0:v>721.85</ns0:v>
      </ns0:c>
      <ns0:c r="J30" s="6">
        <ns0:f>'销售费用'!J30+'管理费用'!J30+'蓝恐龙费用'!J30</ns0:f>
        <ns0:v>642.33</ns0:v>
      </ns0:c>
      <ns0:c r="K30" s="6">
        <ns0:f>'销售费用'!K30+'管理费用'!K30+'蓝恐龙费用'!K30</ns0:f>
        <ns0:v>440.69</ns0:v>
      </ns0:c>
      <ns0:c r="L30" s="6">
        <ns0:f>'销售费用'!L30+'管理费用'!L30+'蓝恐龙费用'!L30</ns0:f>
        <ns0:v>865.07</ns0:v>
      </ns0:c>
      <ns0:c r="M30" s="6">
        <ns0:f>'销售费用'!M30+'管理费用'!M30+'蓝恐龙费用'!M30</ns0:f>
        <ns0:v>667.32</ns0:v>
      </ns0:c>
      <ns0:c r="N30" s="6">
        <ns0:f>'销售费用'!N30+'管理费用'!N30+'蓝恐龙费用'!N30</ns0:f>
        <ns0:v>926.65</ns0:v>
      </ns0:c>
      <ns0:c r="O30" s="6">
        <ns0:f>SUM(C30:N30)</ns0:f>
        <ns0:v>9146.27</ns0:v>
      </ns0:c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 t="inlineStr">
        <ns0:is>
          <ns0:t>税金</ns0:t>
        </ns0:is>
      </ns0:c>
      <ns0:c r="B31" s="2" t="inlineStr">
        <ns0:is>
          <ns0:t>车船税</ns0:t>
        </ns0:is>
      </ns0:c>
      <ns0:c r="C31" s="3">
        <ns0:f>'销售费用'!C31+'管理费用'!C31+'蓝恐龙费用'!C31</ns0:f>
        <ns0:v>478.27</ns0:v>
      </ns0:c>
      <ns0:c r="D31" s="3">
        <ns0:f>'销售费用'!D31+'管理费用'!D31+'蓝恐龙费用'!D31</ns0:f>
        <ns0:v>798.35</ns0:v>
      </ns0:c>
      <ns0:c r="E31" s="3">
        <ns0:f>'销售费用'!E31+'管理费用'!E31+'蓝恐龙费用'!E31</ns0:f>
        <ns0:v>676.24</ns0:v>
      </ns0:c>
      <ns0:c r="F31" s="3">
        <ns0:f>'销售费用'!F31+'管理费用'!F31+'蓝恐龙费用'!F31</ns0:f>
        <ns0:v>690.91</ns0:v>
      </ns0:c>
      <ns0:c r="G31" s="3">
        <ns0:f>'销售费用'!G31+'管理费用'!G31+'蓝恐龙费用'!G31</ns0:f>
        <ns0:v>448.62</ns0:v>
      </ns0:c>
      <ns0:c r="H31" s="3">
        <ns0:f>'销售费用'!H31+'管理费用'!H31+'蓝恐龙费用'!H31</ns0:f>
        <ns0:v>627.86</ns0:v>
      </ns0:c>
      <ns0:c r="I31" s="3">
        <ns0:f>'销售费用'!I31+'管理费用'!I31+'蓝恐龙费用'!I31</ns0:f>
        <ns0:v>691.74</ns0:v>
      </ns0:c>
      <ns0:c r="J31" s="3">
        <ns0:f>'销售费用'!J31+'管理费用'!J31+'蓝恐龙费用'!J31</ns0:f>
        <ns0:v>416.70</ns0:v>
      </ns0:c>
      <ns0:c r="K31" s="3">
        <ns0:f>'销售费用'!K31+'管理费用'!K31+'蓝恐龙费用'!K31</ns0:f>
        <ns0:v>866.95</ns0:v>
      </ns0:c>
      <ns0:c r="L31" s="3">
        <ns0:f>'销售费用'!L31+'管理费用'!L31+'蓝恐龙费用'!L31</ns0:f>
        <ns0:v>325.74</ns0:v>
      </ns0:c>
      <ns0:c r="M31" s="3">
        <ns0:f>'销售费用'!M31+'管理费用'!M31+'蓝恐龙费用'!M31</ns0:f>
        <ns0:v>470.72</ns0:v>
      </ns0:c>
      <ns0:c r="N31" s="3">
        <ns0:f>'销售费用'!N31+'管理费用'!N31+'蓝恐龙费用'!N31</ns0:f>
        <ns0:v>703.49</ns0:v>
      </ns0:c>
      <ns0:c r="O31" s="3">
        <ns0:f>SUM(C31:N31)</ns0:f>
        <ns0:v>7195.59</ns0:v>
      </ns0:c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/>
      <ns0:c r="B32" s="2" t="inlineStr">
        <ns0:is>
          <ns0:t>印花税</ns0:t>
        </ns0:is>
      </ns0:c>
      <ns0:c r="C32" s="3">
        <ns0:f>'销售费用'!C32+'管理费用'!C32+'蓝恐龙费用'!C32</ns0:f>
        <ns0:v>499.86</ns0:v>
      </ns0:c>
      <ns0:c r="D32" s="3">
        <ns0:f>'销售费用'!D32+'管理费用'!D32+'蓝恐龙费用'!D32</ns0:f>
        <ns0:v>1134.88</ns0:v>
      </ns0:c>
      <ns0:c r="E32" s="3">
        <ns0:f>'销售费用'!E32+'管理费用'!E32+'蓝恐龙费用'!E32</ns0:f>
        <ns0:v>767.42</ns0:v>
      </ns0:c>
      <ns0:c r="F32" s="3">
        <ns0:f>'销售费用'!F32+'管理费用'!F32+'蓝恐龙费用'!F32</ns0:f>
        <ns0:v>994.12</ns0:v>
      </ns0:c>
      <ns0:c r="G32" s="3">
        <ns0:f>'销售费用'!G32+'管理费用'!G32+'蓝恐龙费用'!G32</ns0:f>
        <ns0:v>511.42</ns0:v>
      </ns0:c>
      <ns0:c r="H32" s="3">
        <ns0:f>'销售费用'!H32+'管理费用'!H32+'蓝恐龙费用'!H32</ns0:f>
        <ns0:v>507.68</ns0:v>
      </ns0:c>
      <ns0:c r="I32" s="3">
        <ns0:f>'销售费用'!I32+'管理费用'!I32+'蓝恐龙费用'!I32</ns0:f>
        <ns0:v>704.85</ns0:v>
      </ns0:c>
      <ns0:c r="J32" s="3">
        <ns0:f>'销售费用'!J32+'管理费用'!J32+'蓝恐龙费用'!J32</ns0:f>
        <ns0:v>784.99</ns0:v>
      </ns0:c>
      <ns0:c r="K32" s="3">
        <ns0:f>'销售费用'!K32+'管理费用'!K32+'蓝恐龙费用'!K32</ns0:f>
        <ns0:v>598.97</ns0:v>
      </ns0:c>
      <ns0:c r="L32" s="3">
        <ns0:f>'销售费用'!L32+'管理费用'!L32+'蓝恐龙费用'!L32</ns0:f>
        <ns0:v>922.22</ns0:v>
      </ns0:c>
      <ns0:c r="M32" s="3">
        <ns0:f>'销售费用'!M32+'管理费用'!M32+'蓝恐龙费用'!M32</ns0:f>
        <ns0:v>685.22</ns0:v>
      </ns0:c>
      <ns0:c r="N32" s="3">
        <ns0:f>'销售费用'!N32+'管理费用'!N32+'蓝恐龙费用'!N32</ns0:f>
        <ns0:v>754.40</ns0:v>
      </ns0:c>
      <ns0:c r="O32" s="3">
        <ns0:f>SUM(C32:N32)</ns0:f>
        <ns0:v>8866.03</ns0:v>
      </ns0:c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 t="inlineStr">
        <ns0:is>
          <ns0:t>其他</ns0:t>
        </ns0:is>
      </ns0:c>
      <ns0:c r="B33" s="2" t="inlineStr">
        <ns0:is>
          <ns0:t>其他</ns0:t>
        </ns0:is>
      </ns0:c>
      <ns0:c r="C33" s="3">
        <ns0:f>'销售费用'!C33+'管理费用'!C33+'蓝恐龙费用'!C33</ns0:f>
        <ns0:v>639.31</ns0:v>
      </ns0:c>
      <ns0:c r="D33" s="3">
        <ns0:f>'销售费用'!D33+'管理费用'!D33+'蓝恐龙费用'!D33</ns0:f>
        <ns0:v>1201.96</ns0:v>
      </ns0:c>
      <ns0:c r="E33" s="3">
        <ns0:f>'销售费用'!E33+'管理费用'!E33+'蓝恐龙费用'!E33</ns0:f>
        <ns0:v>613.90</ns0:v>
      </ns0:c>
      <ns0:c r="F33" s="3">
        <ns0:f>'销售费用'!F33+'管理费用'!F33+'蓝恐龙费用'!F33</ns0:f>
        <ns0:v>586.18</ns0:v>
      </ns0:c>
      <ns0:c r="G33" s="3">
        <ns0:f>'销售费用'!G33+'管理费用'!G33+'蓝恐龙费用'!G33</ns0:f>
        <ns0:v>862.64</ns0:v>
      </ns0:c>
      <ns0:c r="H33" s="3">
        <ns0:f>'销售费用'!H33+'管理费用'!H33+'蓝恐龙费用'!H33</ns0:f>
        <ns0:v>897.43</ns0:v>
      </ns0:c>
      <ns0:c r="I33" s="3">
        <ns0:f>'销售费用'!I33+'管理费用'!I33+'蓝恐龙费用'!I33</ns0:f>
        <ns0:v>375.24</ns0:v>
      </ns0:c>
      <ns0:c r="J33" s="3">
        <ns0:f>'销售费用'!J33+'管理费用'!J33+'蓝恐龙费用'!J33</ns0:f>
        <ns0:v>681.91</ns0:v>
      </ns0:c>
      <ns0:c r="K33" s="3">
        <ns0:f>'销售费用'!K33+'管理费用'!K33+'蓝恐龙费用'!K33</ns0:f>
        <ns0:v>943.45</ns0:v>
      </ns0:c>
      <ns0:c r="L33" s="3">
        <ns0:f>'销售费用'!L33+'管理费用'!L33+'蓝恐龙费用'!L33</ns0:f>
        <ns0:v>705.20</ns0:v>
      </ns0:c>
      <ns0:c r="M33" s="3">
        <ns0:f>'销售费用'!M33+'管理费用'!M33+'蓝恐龙费用'!M33</ns0:f>
        <ns0:v>619.72</ns0:v>
      </ns0:c>
      <ns0:c r="N33" s="3">
        <ns0:f>'销售费用'!N33+'管理费用'!N33+'蓝恐龙费用'!N33</ns0:f>
        <ns0:v>553.60</ns0:v>
      </ns0:c>
      <ns0:c r="O33" s="3">
        <ns0:f>SUM(C33:N33)</ns0:f>
        <ns0:v>8680.54</ns0:v>
      </ns0:c>
      <ns0:c r="P33" s="2"/>
      <ns0:c r="Q33" s="2"/>
      <ns0:c r="R33" s="2"/>
      <ns0:c r="S33" s="2"/>
      <ns0:c r="T33" s="2"/>
      <ns0:c r="U33" s="2"/>
      <ns0:c r="V33" s="2"/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 t="inlineStr">
        <ns0:is>
          <ns0:t>合计</ns0:t>
        </ns0:is>
      </ns0:c>
      <ns0:c r="B34" s="2"/>
      <ns0:c r="C34" s="3">
        <ns0:f>SUM(C4:C33)</ns0:f>
        <ns0:v>21416.92</ns0:v>
      </ns0:c>
      <ns0:c r="D34" s="3">
        <ns0:f>SUM(D4:D33)</ns0:f>
        <ns0:v>22360.57</ns0:v>
      </ns0:c>
      <ns0:c r="E34" s="3">
        <ns0:f>SUM(E4:E33)</ns0:f>
        <ns0:v>21553.11</ns0:v>
      </ns0:c>
      <ns0:c r="F34" s="3">
        <ns0:f>SUM(F4:F33)</ns0:f>
        <ns0:v>23749.33</ns0:v>
      </ns0:c>
      <ns0:c r="G34" s="3">
        <ns0:f>SUM(G4:G33)</ns0:f>
        <ns0:v>21532.92</ns0:v>
      </ns0:c>
      <ns0:c r="H34" s="3">
        <ns0:f>SUM(H4:H33)</ns0:f>
        <ns0:v>21349.65</ns0:v>
      </ns0:c>
      <ns0:c r="I34" s="3">
        <ns0:f>SUM(I4:I33)</ns0:f>
        <ns0:v>22428.34</ns0:v>
      </ns0:c>
      <ns0:c r="J34" s="3">
        <ns0:f>SUM(J4:J33)</ns0:f>
        <ns0:v>20602.76</ns0:v>
      </ns0:c>
      <ns0:c r="K34" s="3">
        <ns0:f>SUM(K4:K33)</ns0:f>
        <ns0:v>24449.01</ns0:v>
      </ns0:c>
      <ns0:c r="L34" s="3">
        <ns0:f>SUM(L4:L33)</ns0:f>
        <ns0:v>21167.71</ns0:v>
      </ns0:c>
      <ns0:c r="M34" s="3">
        <ns0:f>SUM(M4:M33)</ns0:f>
        <ns0:v>21841.23</ns0:v>
      </ns0:c>
      <ns0:c r="N34" s="3">
        <ns0:f>SUM(N4:N33)</ns0:f>
        <ns0:v>23540.23</ns0:v>
      </ns0:c>
      <ns0:c r="O34" s="3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 t="inlineStr">
        <ns0:is>
          <ns0:t>增值税附加</ns0:t>
        </ns0:is>
      </ns0:c>
      <ns0:c r="B35" s="2"/>
      <ns0:c r="C35" s="3"/>
      <ns0:c r="D35" s="3"/>
      <ns0:c r="E35" s="3"/>
      <ns0:c r="F35" s="3"/>
      <ns0:c r="G35" s="3"/>
      <ns0:c r="H35" s="3"/>
      <ns0:c r="I35" s="3"/>
      <ns0:c r="J35" s="3"/>
      <ns0:c r="K35" s="3"/>
      <ns0:c r="L35" s="3"/>
      <ns0:c r="M35" s="3"/>
      <ns0:c r="N35" s="3"/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 t="inlineStr">
        <ns0:is>
          <ns0:t>三费及税金合计</ns0:t>
        </ns0:is>
      </ns0:c>
      <ns0:c r="B36" s="2"/>
      <ns0:c r="C36" s="3"/>
      <ns0:c r="D36" s="3"/>
      <ns0:c r="E36" s="3"/>
      <ns0:c r="F36" s="3"/>
      <ns0:c r="G36" s="3"/>
      <ns0:c r="H36" s="3"/>
      <ns0:c r="I36" s="3"/>
      <ns0:c r="J36" s="3"/>
      <ns0:c r="K36" s="3"/>
      <ns0:c r="L36" s="3"/>
      <ns0:c r="M36" s="3"/>
      <ns0:c r="N36" s="3"/>
      <ns0:c r="O36" s="3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/>
      <ns0:c r="C64" s="3"/>
      <ns0:c r="D64" s="3"/>
      <ns0:c r="E64" s="3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/>
      <ns0:c r="C65" s="3"/>
      <ns0:c r="D65" s="3"/>
      <ns0:c r="E65" s="3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/>
      <ns0:c r="C66" s="3"/>
      <ns0:c r="D66" s="3"/>
      <ns0:c r="E66" s="3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/>
      <ns0:c r="C67" s="3"/>
      <ns0:c r="D67" s="3"/>
      <ns0:c r="E67" s="3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/>
      <ns0:c r="C68" s="3"/>
      <ns0:c r="D68" s="3"/>
      <ns0:c r="E68" s="3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 t="inlineStr">
        <ns0:is>
          <ns0:t>实时经营月度勾稽</ns0:t>
        </ns0:is>
      </ns0:c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A1:C1"/>
    <ns0:mergeCell ref="C2:N2"/>
    <ns0:mergeCell ref="A25:B25"/>
    <ns0:mergeCell ref="A26:B26"/>
    <ns0:mergeCell ref="A27:B27"/>
    <ns0:mergeCell ref="A33:B33"/>
    <ns0:mergeCell ref="A34:B34"/>
    <ns0:mergeCell ref="A35:B35"/>
    <ns0:mergeCell ref="A36:B36"/>
    <ns0:mergeCell ref="A42:B42"/>
    <ns0:mergeCell ref="A43:B43"/>
    <ns0:mergeCell ref="A44:B44"/>
    <ns0:mergeCell ref="A45:B45"/>
    <ns0:mergeCell ref="A4:A10"/>
    <ns0:mergeCell ref="A11:A20"/>
    <ns0:mergeCell ref="A21:A24"/>
    <ns0:mergeCell ref="A29:A30"/>
    <ns0:mergeCell ref="A31:A32"/>
    <ns0:mergeCell ref="O2:O3"/>
    <ns0:mergeCell ref="A2:B3"/>
  </ns0:mergeCells>
  <ns0:pageMargins left="0.7" right="0.7" top="0.75" bottom="0.75" header="0.3" footer="0.3"/>
</ns0:worksheet>
</file>

<file path=xl/worksheets/sheet11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9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20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/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2"/>
      <ns0:c r="B2" s="2" t="inlineStr">
        <ns0:is>
          <ns0:t>日期</ns0:t>
        </ns0:is>
      </ns0:c>
      <ns0:c r="C2" s="3"/>
      <ns0:c r="D2" s="3"/>
      <ns0:c r="E2" s="3"/>
      <ns0:c r="F2" s="3"/>
      <ns0:c r="G2" s="3"/>
      <ns0:c r="H2" s="3" t="inlineStr">
        <ns0:is>
          <ns0:t>金额</ns0:t>
        </ns0:is>
      </ns0:c>
      <ns0:c r="I2" s="3"/>
      <ns0:c r="J2" s="3"/>
      <ns0:c r="K2" s="3"/>
      <ns0:c r="L2" s="3"/>
      <ns0:c r="M2" s="3"/>
      <ns0:c r="N2" s="3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E-5f17fa2948</ns0:t>
        </ns0:is>
      </ns0:c>
    </ns0:row>
    <ns0:row r="3" ht="20" customHeight="1">
      <ns0:c r="A3" s="2"/>
      <ns0:c r="B3" s="2"/>
      <ns0:c r="C3" s="6"/>
      <ns0:c r="D3" s="6"/>
      <ns0:c r="E3" s="6"/>
      <ns0:c r="F3" s="6"/>
      <ns0:c r="G3" s="6"/>
      <ns0:c r="H3" s="6"/>
      <ns0:c r="I3" s="6"/>
      <ns0:c r="J3" s="6"/>
      <ns0:c r="K3" s="6"/>
      <ns0:c r="L3" s="6"/>
      <ns0:c r="M3" s="6"/>
      <ns0:c r="N3" s="6"/>
      <ns0:c r="O3" s="6"/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主体乙</ns0:t>
        </ns0:is>
      </ns0:c>
    </ns0:row>
    <ns0:row r="4" ht="20" customHeight="1">
      <ns0:c r="A4" s="2"/>
      <ns0:c r="B4" s="2"/>
      <ns0:c r="C4" s="3"/>
      <ns0:c r="D4" s="3"/>
      <ns0:c r="E4" s="3"/>
      <ns0:c r="F4" s="3"/>
      <ns0:c r="G4" s="3"/>
      <ns0:c r="H4" s="3"/>
      <ns0:c r="I4" s="3"/>
      <ns0:c r="J4" s="3"/>
      <ns0:c r="K4" s="3"/>
      <ns0:c r="L4" s="3"/>
      <ns0:c r="M4" s="3"/>
      <ns0:c r="N4" s="3"/>
      <ns0:c r="O4" s="3"/>
      <ns0:c r="P4" s="2"/>
      <ns0:c r="Q4" s="2"/>
      <ns0:c r="R4" s="2"/>
      <ns0:c r="S4" s="2"/>
      <ns0:c r="T4" s="2"/>
      <ns0:c r="U4" s="2"/>
      <ns0:c r="V4" s="2"/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S-03e3bfa6bf</ns0:t>
        </ns0:is>
      </ns0:c>
    </ns0:row>
    <ns0:row r="5" ht="20" customHeight="1">
      <ns0:c r="A5" s="2"/>
      <ns0:c r="B5" s="2"/>
      <ns0:c r="C5" s="3"/>
      <ns0:c r="D5" s="3"/>
      <ns0:c r="E5" s="3"/>
      <ns0:c r="F5" s="3"/>
      <ns0:c r="G5" s="3"/>
      <ns0:c r="H5" s="3"/>
      <ns0:c r="I5" s="3"/>
      <ns0:c r="J5" s="3"/>
      <ns0:c r="K5" s="3"/>
      <ns0:c r="L5" s="3"/>
      <ns0:c r="M5" s="3"/>
      <ns0:c r="N5" s="3"/>
      <ns0:c r="O5" s="3"/>
      <ns0:c r="P5" s="2"/>
      <ns0:c r="Q5" s="2"/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扩展情景</ns0:t>
        </ns0:is>
      </ns0:c>
    </ns0:row>
    <ns0:row r="6" ht="20" customHeight="1">
      <ns0:c r="A6" s="2"/>
      <ns0:c r="B6" s="2"/>
      <ns0:c r="C6" s="3"/>
      <ns0:c r="D6" s="3"/>
      <ns0:c r="E6" s="3"/>
      <ns0:c r="F6" s="3"/>
      <ns0:c r="G6" s="3"/>
      <ns0:c r="H6" s="3"/>
      <ns0:c r="I6" s="3"/>
      <ns0:c r="J6" s="3"/>
      <ns0:c r="K6" s="3"/>
      <ns0:c r="L6" s="3"/>
      <ns0:c r="M6" s="3"/>
      <ns0:c r="N6" s="3"/>
      <ns0:c r="O6" s="3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2"/>
      <ns0:c r="B7" s="2"/>
      <ns0:c r="C7" s="3"/>
      <ns0:c r="D7" s="3"/>
      <ns0:c r="E7" s="3"/>
      <ns0:c r="F7" s="3"/>
      <ns0:c r="G7" s="3"/>
      <ns0:c r="H7" s="3"/>
      <ns0:c r="I7" s="3"/>
      <ns0:c r="J7" s="3"/>
      <ns0:c r="K7" s="3"/>
      <ns0:c r="L7" s="3"/>
      <ns0:c r="M7" s="3"/>
      <ns0:c r="N7" s="3"/>
      <ns0:c r="O7" s="3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季度</ns0:t>
        </ns0:is>
      </ns0:c>
    </ns0:row>
    <ns0:row r="8" ht="20" customHeight="1">
      <ns0:c r="A8" s="2"/>
      <ns0:c r="B8" s="2"/>
      <ns0:c r="C8" s="3"/>
      <ns0:c r="D8" s="3"/>
      <ns0:c r="E8" s="3"/>
      <ns0:c r="F8" s="3"/>
      <ns0:c r="G8" s="3"/>
      <ns0:c r="H8" s="3"/>
      <ns0:c r="I8" s="3"/>
      <ns0:c r="J8" s="3"/>
      <ns0:c r="K8" s="3"/>
      <ns0:c r="L8" s="3"/>
      <ns0:c r="M8" s="3"/>
      <ns0:c r="N8" s="3"/>
      <ns0:c r="O8" s="3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2"/>
      <ns0:c r="B9" s="2"/>
      <ns0:c r="C9" s="3"/>
      <ns0:c r="D9" s="3"/>
      <ns0:c r="E9" s="3"/>
      <ns0:c r="F9" s="3"/>
      <ns0:c r="G9" s="3"/>
      <ns0:c r="H9" s="3"/>
      <ns0:c r="I9" s="3"/>
      <ns0:c r="J9" s="3"/>
      <ns0:c r="K9" s="3"/>
      <ns0:c r="L9" s="3"/>
      <ns0:c r="M9" s="3"/>
      <ns0:c r="N9" s="3"/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2"/>
      <ns0:c r="B10" s="2"/>
      <ns0:c r="C10" s="3"/>
      <ns0:c r="D10" s="3"/>
      <ns0:c r="E10" s="3"/>
      <ns0:c r="F10" s="3"/>
      <ns0:c r="G10" s="3"/>
      <ns0:c r="H10" s="3"/>
      <ns0:c r="I10" s="3"/>
      <ns0:c r="J10" s="3"/>
      <ns0:c r="K10" s="3"/>
      <ns0:c r="L10" s="3"/>
      <ns0:c r="M10" s="3"/>
      <ns0:c r="N10" s="3"/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2"/>
      <ns0:c r="B11" s="2"/>
      <ns0:c r="C11" s="3"/>
      <ns0:c r="D11" s="3"/>
      <ns0:c r="E11" s="3"/>
      <ns0:c r="F11" s="3"/>
      <ns0:c r="G11" s="3"/>
      <ns0:c r="H11" s="3"/>
      <ns0:c r="I11" s="3"/>
      <ns0:c r="J11" s="3"/>
      <ns0:c r="K11" s="3"/>
      <ns0:c r="L11" s="3"/>
      <ns0:c r="M11" s="3"/>
      <ns0:c r="N11" s="3"/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2"/>
      <ns0:c r="B12" s="2"/>
      <ns0:c r="C12" s="3"/>
      <ns0:c r="D12" s="3"/>
      <ns0:c r="E12" s="3"/>
      <ns0:c r="F12" s="3"/>
      <ns0:c r="G12" s="3"/>
      <ns0:c r="H12" s="3"/>
      <ns0:c r="I12" s="3"/>
      <ns0:c r="J12" s="3"/>
      <ns0:c r="K12" s="3"/>
      <ns0:c r="L12" s="3"/>
      <ns0:c r="M12" s="3"/>
      <ns0:c r="N12" s="3"/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2"/>
      <ns0:c r="B13" s="2"/>
      <ns0:c r="C13" s="3"/>
      <ns0:c r="D13" s="3"/>
      <ns0:c r="E13" s="3"/>
      <ns0:c r="F13" s="3"/>
      <ns0:c r="G13" s="3"/>
      <ns0:c r="H13" s="3"/>
      <ns0:c r="I13" s="3"/>
      <ns0:c r="J13" s="3"/>
      <ns0:c r="K13" s="3"/>
      <ns0:c r="L13" s="3"/>
      <ns0:c r="M13" s="3"/>
      <ns0:c r="N13" s="3"/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2"/>
      <ns0:c r="B14" s="2"/>
      <ns0:c r="C14" s="3"/>
      <ns0:c r="D14" s="3"/>
      <ns0:c r="E14" s="3"/>
      <ns0:c r="F14" s="3"/>
      <ns0:c r="G14" s="3"/>
      <ns0:c r="H14" s="3"/>
      <ns0:c r="I14" s="3"/>
      <ns0:c r="J14" s="3"/>
      <ns0:c r="K14" s="3"/>
      <ns0:c r="L14" s="3"/>
      <ns0:c r="M14" s="3"/>
      <ns0:c r="N14" s="3"/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2"/>
      <ns0:c r="B15" s="2"/>
      <ns0:c r="C15" s="3"/>
      <ns0:c r="D15" s="3"/>
      <ns0:c r="E15" s="3"/>
      <ns0:c r="F15" s="3"/>
      <ns0:c r="G15" s="3"/>
      <ns0:c r="H15" s="3"/>
      <ns0:c r="I15" s="3"/>
      <ns0:c r="J15" s="3"/>
      <ns0:c r="K15" s="3"/>
      <ns0:c r="L15" s="3"/>
      <ns0:c r="M15" s="3"/>
      <ns0:c r="N15" s="3"/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2"/>
      <ns0:c r="B16" s="2"/>
      <ns0:c r="C16" s="3"/>
      <ns0:c r="D16" s="3"/>
      <ns0:c r="E16" s="3"/>
      <ns0:c r="F16" s="3"/>
      <ns0:c r="G16" s="3"/>
      <ns0:c r="H16" s="3"/>
      <ns0:c r="I16" s="3"/>
      <ns0:c r="J16" s="3"/>
      <ns0:c r="K16" s="3"/>
      <ns0:c r="L16" s="3"/>
      <ns0:c r="M16" s="3"/>
      <ns0:c r="N16" s="3"/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实时经营</ns0:t>
        </ns0:is>
      </ns0:c>
    </ns0:row>
    <ns0:row r="17" ht="20" customHeight="1">
      <ns0:c r="A17" s="2"/>
      <ns0:c r="B17" s="2"/>
      <ns0:c r="C17" s="3"/>
      <ns0:c r="D17" s="3"/>
      <ns0:c r="E17" s="3"/>
      <ns0:c r="F17" s="3"/>
      <ns0:c r="G17" s="3"/>
      <ns0:c r="H17" s="3"/>
      <ns0:c r="I17" s="3"/>
      <ns0:c r="J17" s="3"/>
      <ns0:c r="K17" s="3"/>
      <ns0:c r="L17" s="3"/>
      <ns0:c r="M17" s="3"/>
      <ns0:c r="N17" s="3"/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蓝色为实时经营输入参数；示例数值为占位；金额单位：元</ns0:t>
        </ns0:is>
      </ns0:c>
    </ns0:row>
    <ns0:row r="18" ht="20" customHeight="1">
      <ns0:c r="A18" s="2"/>
      <ns0:c r="B18" s="2"/>
      <ns0:c r="C18" s="3"/>
      <ns0:c r="D18" s="3"/>
      <ns0:c r="E18" s="3"/>
      <ns0:c r="F18" s="3"/>
      <ns0:c r="G18" s="3"/>
      <ns0:c r="H18" s="3"/>
      <ns0:c r="I18" s="3"/>
      <ns0:c r="J18" s="3"/>
      <ns0:c r="K18" s="3"/>
      <ns0:c r="L18" s="3"/>
      <ns0:c r="M18" s="3"/>
      <ns0:c r="N18" s="3"/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2"/>
      <ns0:c r="B19" s="2"/>
      <ns0:c r="C19" s="3"/>
      <ns0:c r="D19" s="3"/>
      <ns0:c r="E19" s="3"/>
      <ns0:c r="F19" s="3"/>
      <ns0:c r="G19" s="3"/>
      <ns0:c r="H19" s="3"/>
      <ns0:c r="I19" s="3"/>
      <ns0:c r="J19" s="3"/>
      <ns0:c r="K19" s="3"/>
      <ns0:c r="L19" s="3"/>
      <ns0:c r="M19" s="3"/>
      <ns0:c r="N19" s="3"/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2"/>
      <ns0:c r="B20" s="2" t="inlineStr">
        <ns0:is>
          <ns0:t>摘要</ns0:t>
        </ns0:is>
      </ns0:c>
      <ns0:c r="C20" s="3"/>
      <ns0:c r="D20" s="3"/>
      <ns0:c r="E20" s="3"/>
      <ns0:c r="F20" s="3"/>
      <ns0:c r="G20" s="3"/>
      <ns0:c r="H20" s="3"/>
      <ns0:c r="I20" s="3"/>
      <ns0:c r="J20" s="3"/>
      <ns0:c r="K20" s="3"/>
      <ns0:c r="L20" s="3"/>
      <ns0:c r="M20" s="3"/>
      <ns0:c r="N20" s="3"/>
      <ns0:c r="O20" s="3" t="inlineStr">
        <ns0:is>
          <ns0:t>合计</ns0:t>
        </ns0:is>
      </ns0:c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2"/>
      <ns0:c r="B21" s="2"/>
      <ns0:c r="C21" s="3"/>
      <ns0:c r="D21" s="3"/>
      <ns0:c r="E21" s="3"/>
      <ns0:c r="F21" s="3"/>
      <ns0:c r="G21" s="3"/>
      <ns0:c r="H21" s="3"/>
      <ns0:c r="I21" s="3"/>
      <ns0:c r="J21" s="3"/>
      <ns0:c r="K21" s="3"/>
      <ns0:c r="L21" s="3"/>
      <ns0:c r="M21" s="3"/>
      <ns0:c r="N21" s="3"/>
      <ns0:c r="O21" s="3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2"/>
      <ns0:c r="B22" s="2"/>
      <ns0:c r="C22" s="3"/>
      <ns0:c r="D22" s="3"/>
      <ns0:c r="E22" s="3"/>
      <ns0:c r="F22" s="3"/>
      <ns0:c r="G22" s="3"/>
      <ns0:c r="H22" s="3"/>
      <ns0:c r="I22" s="3"/>
      <ns0:c r="J22" s="3"/>
      <ns0:c r="K22" s="3"/>
      <ns0:c r="L22" s="3"/>
      <ns0:c r="M22" s="3"/>
      <ns0:c r="N22" s="3"/>
      <ns0:c r="O22" s="3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2"/>
      <ns0:c r="B23" s="2"/>
      <ns0:c r="C23" s="3"/>
      <ns0:c r="D23" s="3"/>
      <ns0:c r="E23" s="3"/>
      <ns0:c r="F23" s="3"/>
      <ns0:c r="G23" s="3"/>
      <ns0:c r="H23" s="3"/>
      <ns0:c r="I23" s="3"/>
      <ns0:c r="J23" s="3"/>
      <ns0:c r="K23" s="3"/>
      <ns0:c r="L23" s="3"/>
      <ns0:c r="M23" s="3"/>
      <ns0:c r="N23" s="3"/>
      <ns0:c r="O23" s="3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/>
      <ns0:c r="B24" s="2"/>
      <ns0:c r="C24" s="3"/>
      <ns0:c r="D24" s="3"/>
      <ns0:c r="E24" s="3"/>
      <ns0:c r="F24" s="3"/>
      <ns0:c r="G24" s="3"/>
      <ns0:c r="H24" s="3"/>
      <ns0:c r="I24" s="3"/>
      <ns0:c r="J24" s="3"/>
      <ns0:c r="K24" s="3"/>
      <ns0:c r="L24" s="3"/>
      <ns0:c r="M24" s="3"/>
      <ns0:c r="N24" s="3"/>
      <ns0:c r="O24" s="3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/>
      <ns0:c r="B25" s="2"/>
      <ns0:c r="C25" s="3"/>
      <ns0:c r="D25" s="3"/>
      <ns0:c r="E25" s="3"/>
      <ns0:c r="F25" s="3"/>
      <ns0:c r="G25" s="3"/>
      <ns0:c r="H25" s="3"/>
      <ns0:c r="I25" s="3"/>
      <ns0:c r="J25" s="3"/>
      <ns0:c r="K25" s="3"/>
      <ns0:c r="L25" s="3"/>
      <ns0:c r="M25" s="3"/>
      <ns0:c r="N25" s="3"/>
      <ns0:c r="O25" s="3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/>
      <ns0:c r="B26" s="2"/>
      <ns0:c r="C26" s="3"/>
      <ns0:c r="D26" s="3"/>
      <ns0:c r="E26" s="3"/>
      <ns0:c r="F26" s="3"/>
      <ns0:c r="G26" s="3"/>
      <ns0:c r="H26" s="3"/>
      <ns0:c r="I26" s="3"/>
      <ns0:c r="J26" s="3"/>
      <ns0:c r="K26" s="3"/>
      <ns0:c r="L26" s="3"/>
      <ns0:c r="M26" s="3"/>
      <ns0:c r="N26" s="3"/>
      <ns0:c r="O26" s="3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/>
      <ns0:c r="B27" s="2"/>
      <ns0:c r="C27" s="3"/>
      <ns0:c r="D27" s="3"/>
      <ns0:c r="E27" s="3"/>
      <ns0:c r="F27" s="3"/>
      <ns0:c r="G27" s="3"/>
      <ns0:c r="H27" s="3"/>
      <ns0:c r="I27" s="3"/>
      <ns0:c r="J27" s="3"/>
      <ns0:c r="K27" s="3"/>
      <ns0:c r="L27" s="3"/>
      <ns0:c r="M27" s="3"/>
      <ns0:c r="N27" s="3"/>
      <ns0:c r="O27" s="3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/>
      <ns0:c r="B28" s="2"/>
      <ns0:c r="C28" s="3"/>
      <ns0:c r="D28" s="3"/>
      <ns0:c r="E28" s="3"/>
      <ns0:c r="F28" s="3"/>
      <ns0:c r="G28" s="3"/>
      <ns0:c r="H28" s="3"/>
      <ns0:c r="I28" s="3"/>
      <ns0:c r="J28" s="3"/>
      <ns0:c r="K28" s="3"/>
      <ns0:c r="L28" s="3"/>
      <ns0:c r="M28" s="3"/>
      <ns0:c r="N28" s="3"/>
      <ns0:c r="O28" s="3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/>
      <ns0:c r="B29" s="2"/>
      <ns0:c r="C29" s="3"/>
      <ns0:c r="D29" s="3"/>
      <ns0:c r="E29" s="3"/>
      <ns0:c r="F29" s="3"/>
      <ns0:c r="G29" s="3"/>
      <ns0:c r="H29" s="3"/>
      <ns0:c r="I29" s="3"/>
      <ns0:c r="J29" s="3"/>
      <ns0:c r="K29" s="3"/>
      <ns0:c r="L29" s="3"/>
      <ns0:c r="M29" s="3"/>
      <ns0:c r="N29" s="3"/>
      <ns0:c r="O29" s="3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/>
      <ns0:c r="B30" s="5" t="inlineStr">
        <ns0:is>
          <ns0:t>实时经营内部底稿</ns0:t>
        </ns0:is>
      </ns0:c>
      <ns0:c r="C30" s="6"/>
      <ns0:c r="D30" s="6"/>
      <ns0:c r="E30" s="6"/>
      <ns0:c r="F30" s="6"/>
      <ns0:c r="G30" s="6"/>
      <ns0:c r="H30" s="6"/>
      <ns0:c r="I30" s="6"/>
      <ns0:c r="J30" s="6"/>
      <ns0:c r="K30" s="6"/>
      <ns0:c r="L30" s="6"/>
      <ns0:c r="M30" s="6"/>
      <ns0:c r="N30" s="6"/>
      <ns0:c r="O30" s="6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/>
      <ns0:c r="B31" s="2" t="inlineStr">
        <ns0:is>
          <ns0:t>摊销资产原值</ns0:t>
        </ns0:is>
      </ns0:c>
      <ns0:c r="C31" s="4">
        <ns0:v>109780.82</ns0:v>
      </ns0:c>
      <ns0:c r="D31" s="3">
        <ns0:f>$C$31</ns0:f>
        <ns0:v>109780.82</ns0:v>
      </ns0:c>
      <ns0:c r="E31" s="3">
        <ns0:f>$C$31</ns0:f>
        <ns0:v>109780.82</ns0:v>
      </ns0:c>
      <ns0:c r="F31" s="3">
        <ns0:f>$C$31</ns0:f>
        <ns0:v>109780.82</ns0:v>
      </ns0:c>
      <ns0:c r="G31" s="3">
        <ns0:f>$C$31</ns0:f>
        <ns0:v>109780.82</ns0:v>
      </ns0:c>
      <ns0:c r="H31" s="3">
        <ns0:f>$C$31</ns0:f>
        <ns0:v>109780.82</ns0:v>
      </ns0:c>
      <ns0:c r="I31" s="3">
        <ns0:f>$C$31</ns0:f>
        <ns0:v>109780.82</ns0:v>
      </ns0:c>
      <ns0:c r="J31" s="3">
        <ns0:f>$C$31</ns0:f>
        <ns0:v>109780.82</ns0:v>
      </ns0:c>
      <ns0:c r="K31" s="3">
        <ns0:f>$C$31</ns0:f>
        <ns0:v>109780.82</ns0:v>
      </ns0:c>
      <ns0:c r="L31" s="3">
        <ns0:f>$C$31</ns0:f>
        <ns0:v>109780.82</ns0:v>
      </ns0:c>
      <ns0:c r="M31" s="3">
        <ns0:f>$C$31</ns0:f>
        <ns0:v>109780.82</ns0:v>
      </ns0:c>
      <ns0:c r="N31" s="3">
        <ns0:f>$C$31</ns0:f>
        <ns0:v>109780.82</ns0:v>
      </ns0:c>
      <ns0:c r="O31" s="3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/>
      <ns0:c r="B32" s="2" t="inlineStr">
        <ns0:is>
          <ns0:t>摊销月数</ns0:t>
        </ns0:is>
      </ns0:c>
      <ns0:c r="C32" s="4">
        <ns0:v>54</ns0:v>
      </ns0:c>
      <ns0:c r="D32" s="3">
        <ns0:f>$C$32</ns0:f>
        <ns0:v>54</ns0:v>
      </ns0:c>
      <ns0:c r="E32" s="3">
        <ns0:f>$C$32</ns0:f>
        <ns0:v>54</ns0:v>
      </ns0:c>
      <ns0:c r="F32" s="3">
        <ns0:f>$C$32</ns0:f>
        <ns0:v>54</ns0:v>
      </ns0:c>
      <ns0:c r="G32" s="3">
        <ns0:f>$C$32</ns0:f>
        <ns0:v>54</ns0:v>
      </ns0:c>
      <ns0:c r="H32" s="3">
        <ns0:f>$C$32</ns0:f>
        <ns0:v>54</ns0:v>
      </ns0:c>
      <ns0:c r="I32" s="3">
        <ns0:f>$C$32</ns0:f>
        <ns0:v>54</ns0:v>
      </ns0:c>
      <ns0:c r="J32" s="3">
        <ns0:f>$C$32</ns0:f>
        <ns0:v>54</ns0:v>
      </ns0:c>
      <ns0:c r="K32" s="3">
        <ns0:f>$C$32</ns0:f>
        <ns0:v>54</ns0:v>
      </ns0:c>
      <ns0:c r="L32" s="3">
        <ns0:f>$C$32</ns0:f>
        <ns0:v>54</ns0:v>
      </ns0:c>
      <ns0:c r="M32" s="3">
        <ns0:f>$C$32</ns0:f>
        <ns0:v>54</ns0:v>
      </ns0:c>
      <ns0:c r="N32" s="3">
        <ns0:f>$C$32</ns0:f>
        <ns0:v>54</ns0:v>
      </ns0:c>
      <ns0:c r="O32" s="3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/>
      <ns0:c r="B33" s="2" t="inlineStr">
        <ns0:is>
          <ns0:t>本月摊销</ns0:t>
        </ns0:is>
      </ns0:c>
      <ns0:c r="C33" s="3">
        <ns0:f>ROUND(C31/MAX(C32,1),2)</ns0:f>
        <ns0:v>2032.98</ns0:v>
      </ns0:c>
      <ns0:c r="D33" s="3">
        <ns0:f>ROUND(D31/MAX(D32,1),2)</ns0:f>
        <ns0:v>2032.98</ns0:v>
      </ns0:c>
      <ns0:c r="E33" s="3">
        <ns0:f>ROUND(E31/MAX(E32,1),2)</ns0:f>
        <ns0:v>2032.98</ns0:v>
      </ns0:c>
      <ns0:c r="F33" s="3">
        <ns0:f>ROUND(F31/MAX(F32,1),2)</ns0:f>
        <ns0:v>2032.98</ns0:v>
      </ns0:c>
      <ns0:c r="G33" s="3">
        <ns0:f>ROUND(G31/MAX(G32,1),2)</ns0:f>
        <ns0:v>2032.98</ns0:v>
      </ns0:c>
      <ns0:c r="H33" s="3">
        <ns0:f>ROUND(H31/MAX(H32,1),2)</ns0:f>
        <ns0:v>2032.98</ns0:v>
      </ns0:c>
      <ns0:c r="I33" s="3">
        <ns0:f>ROUND(I31/MAX(I32,1),2)</ns0:f>
        <ns0:v>2032.98</ns0:v>
      </ns0:c>
      <ns0:c r="J33" s="3">
        <ns0:f>ROUND(J31/MAX(J32,1),2)</ns0:f>
        <ns0:v>2032.98</ns0:v>
      </ns0:c>
      <ns0:c r="K33" s="3">
        <ns0:f>ROUND(K31/MAX(K32,1),2)</ns0:f>
        <ns0:v>2032.98</ns0:v>
      </ns0:c>
      <ns0:c r="L33" s="3">
        <ns0:f>ROUND(L31/MAX(L32,1),2)</ns0:f>
        <ns0:v>2032.98</ns0:v>
      </ns0:c>
      <ns0:c r="M33" s="3">
        <ns0:f>ROUND(M31/MAX(M32,1),2)</ns0:f>
        <ns0:v>2032.98</ns0:v>
      </ns0:c>
      <ns0:c r="N33" s="3">
        <ns0:f>ROUND(N31/MAX(N32,1),2)</ns0:f>
        <ns0:v>2032.98</ns0:v>
      </ns0:c>
      <ns0:c r="O33" s="3"/>
      <ns0:c r="P33" s="2"/>
      <ns0:c r="Q33" s="2"/>
      <ns0:c r="R33" s="2"/>
      <ns0:c r="S33" s="2"/>
      <ns0:c r="T33" s="2"/>
      <ns0:c r="U33" s="2"/>
      <ns0:c r="V33" s="2"/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/>
      <ns0:c r="B34" s="2" t="inlineStr">
        <ns0:is>
          <ns0:t>累计已摊销</ns0:t>
        </ns0:is>
      </ns0:c>
      <ns0:c r="C34" s="3">
        <ns0:f>SUM($C33:C33)</ns0:f>
        <ns0:v>2032.98</ns0:v>
      </ns0:c>
      <ns0:c r="D34" s="3">
        <ns0:f>SUM($C33:D33)</ns0:f>
        <ns0:v>4065.96</ns0:v>
      </ns0:c>
      <ns0:c r="E34" s="3">
        <ns0:f>SUM($C33:E33)</ns0:f>
        <ns0:v>6098.94</ns0:v>
      </ns0:c>
      <ns0:c r="F34" s="3">
        <ns0:f>SUM($C33:F33)</ns0:f>
        <ns0:v>8131.92</ns0:v>
      </ns0:c>
      <ns0:c r="G34" s="3">
        <ns0:f>SUM($C33:G33)</ns0:f>
        <ns0:v>10164.90</ns0:v>
      </ns0:c>
      <ns0:c r="H34" s="3">
        <ns0:f>SUM($C33:H33)</ns0:f>
        <ns0:v>12197.88</ns0:v>
      </ns0:c>
      <ns0:c r="I34" s="3">
        <ns0:f>SUM($C33:I33)</ns0:f>
        <ns0:v>14230.86</ns0:v>
      </ns0:c>
      <ns0:c r="J34" s="3">
        <ns0:f>SUM($C33:J33)</ns0:f>
        <ns0:v>16263.84</ns0:v>
      </ns0:c>
      <ns0:c r="K34" s="3">
        <ns0:f>SUM($C33:K33)</ns0:f>
        <ns0:v>18296.82</ns0:v>
      </ns0:c>
      <ns0:c r="L34" s="3">
        <ns0:f>SUM($C33:L33)</ns0:f>
        <ns0:v>20329.80</ns0:v>
      </ns0:c>
      <ns0:c r="M34" s="3">
        <ns0:f>SUM($C33:M33)</ns0:f>
        <ns0:v>22362.78</ns0:v>
      </ns0:c>
      <ns0:c r="N34" s="3">
        <ns0:f>SUM($C33:N33)</ns0:f>
        <ns0:v>24395.76</ns0:v>
      </ns0:c>
      <ns0:c r="O34" s="3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/>
      <ns0:c r="B35" s="2" t="inlineStr">
        <ns0:is>
          <ns0:t>尚未摊销</ns0:t>
        </ns0:is>
      </ns0:c>
      <ns0:c r="C35" s="3">
        <ns0:f>C31-C34</ns0:f>
        <ns0:v>107747.84</ns0:v>
      </ns0:c>
      <ns0:c r="D35" s="3">
        <ns0:f>D31-D34</ns0:f>
        <ns0:v>105714.86</ns0:v>
      </ns0:c>
      <ns0:c r="E35" s="3">
        <ns0:f>E31-E34</ns0:f>
        <ns0:v>103681.88</ns0:v>
      </ns0:c>
      <ns0:c r="F35" s="3">
        <ns0:f>F31-F34</ns0:f>
        <ns0:v>101648.90</ns0:v>
      </ns0:c>
      <ns0:c r="G35" s="3">
        <ns0:f>G31-G34</ns0:f>
        <ns0:v>99615.92</ns0:v>
      </ns0:c>
      <ns0:c r="H35" s="3">
        <ns0:f>H31-H34</ns0:f>
        <ns0:v>97582.94</ns0:v>
      </ns0:c>
      <ns0:c r="I35" s="3">
        <ns0:f>I31-I34</ns0:f>
        <ns0:v>95549.96</ns0:v>
      </ns0:c>
      <ns0:c r="J35" s="3">
        <ns0:f>J31-J34</ns0:f>
        <ns0:v>93516.98</ns0:v>
      </ns0:c>
      <ns0:c r="K35" s="3">
        <ns0:f>K31-K34</ns0:f>
        <ns0:v>91484.00</ns0:v>
      </ns0:c>
      <ns0:c r="L35" s="3">
        <ns0:f>L31-L34</ns0:f>
        <ns0:v>89451.02</ns0:v>
      </ns0:c>
      <ns0:c r="M35" s="3">
        <ns0:f>M31-M34</ns0:f>
        <ns0:v>87418.04</ns0:v>
      </ns0:c>
      <ns0:c r="N35" s="3">
        <ns0:f>N31-N34</ns0:f>
        <ns0:v>85385.06</ns0:v>
      </ns0:c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/>
      <ns0:c r="B36" s="2" t="inlineStr">
        <ns0:is>
          <ns0:t>摊销起始日</ns0:t>
        </ns0:is>
      </ns0:c>
      <ns0:c r="C36" s="3" t="inlineStr">
        <ns0:is>
          <ns0:t>2027-01-01</ns0:t>
        </ns0:is>
      </ns0:c>
      <ns0:c r="D36" s="3"/>
      <ns0:c r="E36" s="3"/>
      <ns0:c r="F36" s="3"/>
      <ns0:c r="G36" s="3"/>
      <ns0:c r="H36" s="3"/>
      <ns0:c r="I36" s="3"/>
      <ns0:c r="J36" s="3"/>
      <ns0:c r="K36" s="3"/>
      <ns0:c r="L36" s="3"/>
      <ns0:c r="M36" s="3"/>
      <ns0:c r="N36" s="3"/>
      <ns0:c r="O36" s="3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/>
      <ns0:c r="C64" s="3"/>
      <ns0:c r="D64" s="3"/>
      <ns0:c r="E64" s="3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/>
      <ns0:c r="C65" s="3"/>
      <ns0:c r="D65" s="3"/>
      <ns0:c r="E65" s="3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/>
      <ns0:c r="C66" s="3"/>
      <ns0:c r="D66" s="3"/>
      <ns0:c r="E66" s="3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/>
      <ns0:c r="C67" s="3"/>
      <ns0:c r="D67" s="3"/>
      <ns0:c r="E67" s="3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/>
      <ns0:c r="C68" s="3"/>
      <ns0:c r="D68" s="3"/>
      <ns0:c r="E68" s="3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pageMargins left="0.7" right="0.7" top="0.75" bottom="0.75" header="0.3" footer="0.3"/>
</ns0:worksheet>
</file>

<file path=xl/worksheets/sheet12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25.75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20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 t="inlineStr">
        <ns0:is>
          <ns0:t>摘要</ns0:t>
        </ns0:is>
      </ns0:c>
      <ns0:c r="B1" s="2" t="inlineStr">
        <ns0:is>
          <ns0:t>科目</ns0:t>
        </ns0:is>
      </ns0:c>
      <ns0:c r="C1" s="3" t="inlineStr">
        <ns0:is>
          <ns0:t>借方</ns0:t>
        </ns0:is>
      </ns0:c>
      <ns0:c r="D1" s="3" t="inlineStr">
        <ns0:is>
          <ns0:t>贷方</ns0:t>
        </ns0:is>
      </ns0:c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2"/>
      <ns0:c r="B2" s="2" t="inlineStr">
        <ns0:is>
          <ns0:t>管理费用</ns0:t>
        </ns0:is>
      </ns0:c>
      <ns0:c r="C2" s="3"/>
      <ns0:c r="D2" s="3"/>
      <ns0:c r="E2" s="3"/>
      <ns0:c r="F2" s="3"/>
      <ns0:c r="G2" s="3"/>
      <ns0:c r="H2" s="3"/>
      <ns0:c r="I2" s="3"/>
      <ns0:c r="J2" s="3"/>
      <ns0:c r="K2" s="3"/>
      <ns0:c r="L2" s="3"/>
      <ns0:c r="M2" s="3"/>
      <ns0:c r="N2" s="3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E-5f17fa2948</ns0:t>
        </ns0:is>
      </ns0:c>
    </ns0:row>
    <ns0:row r="3" ht="20" customHeight="1">
      <ns0:c r="A3" s="2"/>
      <ns0:c r="B3" s="2"/>
      <ns0:c r="C3" s="6"/>
      <ns0:c r="D3" s="6"/>
      <ns0:c r="E3" s="6"/>
      <ns0:c r="F3" s="6"/>
      <ns0:c r="G3" s="6"/>
      <ns0:c r="H3" s="6"/>
      <ns0:c r="I3" s="6"/>
      <ns0:c r="J3" s="6"/>
      <ns0:c r="K3" s="6"/>
      <ns0:c r="L3" s="6"/>
      <ns0:c r="M3" s="6"/>
      <ns0:c r="N3" s="6"/>
      <ns0:c r="O3" s="6"/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主体乙</ns0:t>
        </ns0:is>
      </ns0:c>
    </ns0:row>
    <ns0:row r="4" ht="20" customHeight="1">
      <ns0:c r="A4" s="2"/>
      <ns0:c r="B4" s="2"/>
      <ns0:c r="C4" s="3"/>
      <ns0:c r="D4" s="3"/>
      <ns0:c r="E4" s="3"/>
      <ns0:c r="F4" s="3"/>
      <ns0:c r="G4" s="3"/>
      <ns0:c r="H4" s="3"/>
      <ns0:c r="I4" s="3"/>
      <ns0:c r="J4" s="3"/>
      <ns0:c r="K4" s="3"/>
      <ns0:c r="L4" s="3"/>
      <ns0:c r="M4" s="3"/>
      <ns0:c r="N4" s="3"/>
      <ns0:c r="O4" s="3"/>
      <ns0:c r="P4" s="2"/>
      <ns0:c r="Q4" s="2"/>
      <ns0:c r="R4" s="2"/>
      <ns0:c r="S4" s="2"/>
      <ns0:c r="T4" s="2"/>
      <ns0:c r="U4" s="2"/>
      <ns0:c r="V4" s="2"/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S-03e3bfa6bf</ns0:t>
        </ns0:is>
      </ns0:c>
    </ns0:row>
    <ns0:row r="5" ht="20" customHeight="1">
      <ns0:c r="A5" s="2"/>
      <ns0:c r="B5" s="2"/>
      <ns0:c r="C5" s="3"/>
      <ns0:c r="D5" s="3"/>
      <ns0:c r="E5" s="3"/>
      <ns0:c r="F5" s="3"/>
      <ns0:c r="G5" s="3"/>
      <ns0:c r="H5" s="3"/>
      <ns0:c r="I5" s="3"/>
      <ns0:c r="J5" s="3"/>
      <ns0:c r="K5" s="3"/>
      <ns0:c r="L5" s="3"/>
      <ns0:c r="M5" s="3"/>
      <ns0:c r="N5" s="3"/>
      <ns0:c r="O5" s="3"/>
      <ns0:c r="P5" s="2"/>
      <ns0:c r="Q5" s="2"/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扩展情景</ns0:t>
        </ns0:is>
      </ns0:c>
    </ns0:row>
    <ns0:row r="6" ht="20" customHeight="1">
      <ns0:c r="A6" s="2"/>
      <ns0:c r="B6" s="2"/>
      <ns0:c r="C6" s="3"/>
      <ns0:c r="D6" s="3"/>
      <ns0:c r="E6" s="3"/>
      <ns0:c r="F6" s="3"/>
      <ns0:c r="G6" s="3"/>
      <ns0:c r="H6" s="3"/>
      <ns0:c r="I6" s="3"/>
      <ns0:c r="J6" s="3"/>
      <ns0:c r="K6" s="3"/>
      <ns0:c r="L6" s="3"/>
      <ns0:c r="M6" s="3"/>
      <ns0:c r="N6" s="3"/>
      <ns0:c r="O6" s="3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2"/>
      <ns0:c r="B7" s="2"/>
      <ns0:c r="C7" s="3"/>
      <ns0:c r="D7" s="3"/>
      <ns0:c r="E7" s="3"/>
      <ns0:c r="F7" s="3"/>
      <ns0:c r="G7" s="3"/>
      <ns0:c r="H7" s="3"/>
      <ns0:c r="I7" s="3"/>
      <ns0:c r="J7" s="3"/>
      <ns0:c r="K7" s="3"/>
      <ns0:c r="L7" s="3"/>
      <ns0:c r="M7" s="3"/>
      <ns0:c r="N7" s="3"/>
      <ns0:c r="O7" s="3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季度</ns0:t>
        </ns0:is>
      </ns0:c>
    </ns0:row>
    <ns0:row r="8" ht="20" customHeight="1">
      <ns0:c r="A8" s="2"/>
      <ns0:c r="B8" s="2" t="inlineStr">
        <ns0:is>
          <ns0:t>财务费用</ns0:t>
        </ns0:is>
      </ns0:c>
      <ns0:c r="C8" s="3"/>
      <ns0:c r="D8" s="3"/>
      <ns0:c r="E8" s="3"/>
      <ns0:c r="F8" s="3"/>
      <ns0:c r="G8" s="3"/>
      <ns0:c r="H8" s="3"/>
      <ns0:c r="I8" s="3"/>
      <ns0:c r="J8" s="3"/>
      <ns0:c r="K8" s="3"/>
      <ns0:c r="L8" s="3"/>
      <ns0:c r="M8" s="3"/>
      <ns0:c r="N8" s="3"/>
      <ns0:c r="O8" s="3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2"/>
      <ns0:c r="B9" s="2"/>
      <ns0:c r="C9" s="3"/>
      <ns0:c r="D9" s="3"/>
      <ns0:c r="E9" s="3"/>
      <ns0:c r="F9" s="3"/>
      <ns0:c r="G9" s="3"/>
      <ns0:c r="H9" s="3"/>
      <ns0:c r="I9" s="3"/>
      <ns0:c r="J9" s="3"/>
      <ns0:c r="K9" s="3"/>
      <ns0:c r="L9" s="3"/>
      <ns0:c r="M9" s="3"/>
      <ns0:c r="N9" s="3"/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2"/>
      <ns0:c r="B10" s="2"/>
      <ns0:c r="C10" s="3"/>
      <ns0:c r="D10" s="3"/>
      <ns0:c r="E10" s="3"/>
      <ns0:c r="F10" s="3"/>
      <ns0:c r="G10" s="3"/>
      <ns0:c r="H10" s="3"/>
      <ns0:c r="I10" s="3"/>
      <ns0:c r="J10" s="3"/>
      <ns0:c r="K10" s="3"/>
      <ns0:c r="L10" s="3"/>
      <ns0:c r="M10" s="3"/>
      <ns0:c r="N10" s="3"/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2"/>
      <ns0:c r="B11" s="2" t="inlineStr">
        <ns0:is>
          <ns0:t>财务费用</ns0:t>
        </ns0:is>
      </ns0:c>
      <ns0:c r="C11" s="3"/>
      <ns0:c r="D11" s="3"/>
      <ns0:c r="E11" s="3"/>
      <ns0:c r="F11" s="3"/>
      <ns0:c r="G11" s="3"/>
      <ns0:c r="H11" s="3"/>
      <ns0:c r="I11" s="3"/>
      <ns0:c r="J11" s="3"/>
      <ns0:c r="K11" s="3"/>
      <ns0:c r="L11" s="3"/>
      <ns0:c r="M11" s="3"/>
      <ns0:c r="N11" s="3"/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2"/>
      <ns0:c r="B12" s="2" t="inlineStr">
        <ns0:is>
          <ns0:t>财务费用</ns0:t>
        </ns0:is>
      </ns0:c>
      <ns0:c r="C12" s="3"/>
      <ns0:c r="D12" s="3"/>
      <ns0:c r="E12" s="3"/>
      <ns0:c r="F12" s="3"/>
      <ns0:c r="G12" s="3"/>
      <ns0:c r="H12" s="3"/>
      <ns0:c r="I12" s="3"/>
      <ns0:c r="J12" s="3"/>
      <ns0:c r="K12" s="3"/>
      <ns0:c r="L12" s="3"/>
      <ns0:c r="M12" s="3"/>
      <ns0:c r="N12" s="3"/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2"/>
      <ns0:c r="B13" s="2"/>
      <ns0:c r="C13" s="3"/>
      <ns0:c r="D13" s="3"/>
      <ns0:c r="E13" s="3"/>
      <ns0:c r="F13" s="3"/>
      <ns0:c r="G13" s="3"/>
      <ns0:c r="H13" s="3"/>
      <ns0:c r="I13" s="3"/>
      <ns0:c r="J13" s="3"/>
      <ns0:c r="K13" s="3"/>
      <ns0:c r="L13" s="3"/>
      <ns0:c r="M13" s="3"/>
      <ns0:c r="N13" s="3"/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2"/>
      <ns0:c r="B14" s="2"/>
      <ns0:c r="C14" s="3"/>
      <ns0:c r="D14" s="3"/>
      <ns0:c r="E14" s="3"/>
      <ns0:c r="F14" s="3"/>
      <ns0:c r="G14" s="3"/>
      <ns0:c r="H14" s="3"/>
      <ns0:c r="I14" s="3"/>
      <ns0:c r="J14" s="3"/>
      <ns0:c r="K14" s="3"/>
      <ns0:c r="L14" s="3"/>
      <ns0:c r="M14" s="3"/>
      <ns0:c r="N14" s="3"/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2"/>
      <ns0:c r="B15" s="2"/>
      <ns0:c r="C15" s="3"/>
      <ns0:c r="D15" s="3"/>
      <ns0:c r="E15" s="3"/>
      <ns0:c r="F15" s="3"/>
      <ns0:c r="G15" s="3"/>
      <ns0:c r="H15" s="3"/>
      <ns0:c r="I15" s="3"/>
      <ns0:c r="J15" s="3"/>
      <ns0:c r="K15" s="3"/>
      <ns0:c r="L15" s="3"/>
      <ns0:c r="M15" s="3"/>
      <ns0:c r="N15" s="3"/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2"/>
      <ns0:c r="B16" s="2"/>
      <ns0:c r="C16" s="3"/>
      <ns0:c r="D16" s="3"/>
      <ns0:c r="E16" s="3"/>
      <ns0:c r="F16" s="3"/>
      <ns0:c r="G16" s="3"/>
      <ns0:c r="H16" s="3"/>
      <ns0:c r="I16" s="3"/>
      <ns0:c r="J16" s="3"/>
      <ns0:c r="K16" s="3"/>
      <ns0:c r="L16" s="3"/>
      <ns0:c r="M16" s="3"/>
      <ns0:c r="N16" s="3"/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实时经营</ns0:t>
        </ns0:is>
      </ns0:c>
    </ns0:row>
    <ns0:row r="17" ht="20" customHeight="1">
      <ns0:c r="A17" s="2"/>
      <ns0:c r="B17" s="2"/>
      <ns0:c r="C17" s="3"/>
      <ns0:c r="D17" s="3"/>
      <ns0:c r="E17" s="3"/>
      <ns0:c r="F17" s="3"/>
      <ns0:c r="G17" s="3"/>
      <ns0:c r="H17" s="3"/>
      <ns0:c r="I17" s="3"/>
      <ns0:c r="J17" s="3"/>
      <ns0:c r="K17" s="3"/>
      <ns0:c r="L17" s="3"/>
      <ns0:c r="M17" s="3"/>
      <ns0:c r="N17" s="3"/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蓝色为实时经营输入参数；示例数值为占位；金额单位：元</ns0:t>
        </ns0:is>
      </ns0:c>
    </ns0:row>
    <ns0:row r="18" ht="20" customHeight="1">
      <ns0:c r="A18" s="2"/>
      <ns0:c r="B18" s="2"/>
      <ns0:c r="C18" s="3"/>
      <ns0:c r="D18" s="3"/>
      <ns0:c r="E18" s="3"/>
      <ns0:c r="F18" s="3"/>
      <ns0:c r="G18" s="3"/>
      <ns0:c r="H18" s="3"/>
      <ns0:c r="I18" s="3"/>
      <ns0:c r="J18" s="3"/>
      <ns0:c r="K18" s="3"/>
      <ns0:c r="L18" s="3"/>
      <ns0:c r="M18" s="3"/>
      <ns0:c r="N18" s="3"/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2"/>
      <ns0:c r="B19" s="2"/>
      <ns0:c r="C19" s="3"/>
      <ns0:c r="D19" s="3"/>
      <ns0:c r="E19" s="3"/>
      <ns0:c r="F19" s="3"/>
      <ns0:c r="G19" s="3"/>
      <ns0:c r="H19" s="3"/>
      <ns0:c r="I19" s="3"/>
      <ns0:c r="J19" s="3"/>
      <ns0:c r="K19" s="3"/>
      <ns0:c r="L19" s="3"/>
      <ns0:c r="M19" s="3"/>
      <ns0:c r="N19" s="3"/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2"/>
      <ns0:c r="B20" s="2"/>
      <ns0:c r="C20" s="3"/>
      <ns0:c r="D20" s="3"/>
      <ns0:c r="E20" s="3"/>
      <ns0:c r="F20" s="3"/>
      <ns0:c r="G20" s="3"/>
      <ns0:c r="H20" s="3"/>
      <ns0:c r="I20" s="3"/>
      <ns0:c r="J20" s="3"/>
      <ns0:c r="K20" s="3"/>
      <ns0:c r="L20" s="3"/>
      <ns0:c r="M20" s="3"/>
      <ns0:c r="N20" s="3"/>
      <ns0:c r="O20" s="3"/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2"/>
      <ns0:c r="B21" s="2"/>
      <ns0:c r="C21" s="3"/>
      <ns0:c r="D21" s="3"/>
      <ns0:c r="E21" s="3"/>
      <ns0:c r="F21" s="3"/>
      <ns0:c r="G21" s="3"/>
      <ns0:c r="H21" s="3"/>
      <ns0:c r="I21" s="3"/>
      <ns0:c r="J21" s="3"/>
      <ns0:c r="K21" s="3"/>
      <ns0:c r="L21" s="3"/>
      <ns0:c r="M21" s="3"/>
      <ns0:c r="N21" s="3"/>
      <ns0:c r="O21" s="3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2"/>
      <ns0:c r="B22" s="2"/>
      <ns0:c r="C22" s="3"/>
      <ns0:c r="D22" s="3"/>
      <ns0:c r="E22" s="3"/>
      <ns0:c r="F22" s="3"/>
      <ns0:c r="G22" s="3"/>
      <ns0:c r="H22" s="3"/>
      <ns0:c r="I22" s="3"/>
      <ns0:c r="J22" s="3"/>
      <ns0:c r="K22" s="3"/>
      <ns0:c r="L22" s="3"/>
      <ns0:c r="M22" s="3"/>
      <ns0:c r="N22" s="3"/>
      <ns0:c r="O22" s="3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2"/>
      <ns0:c r="B23" s="2"/>
      <ns0:c r="C23" s="3"/>
      <ns0:c r="D23" s="3"/>
      <ns0:c r="E23" s="3"/>
      <ns0:c r="F23" s="3"/>
      <ns0:c r="G23" s="3"/>
      <ns0:c r="H23" s="3"/>
      <ns0:c r="I23" s="3"/>
      <ns0:c r="J23" s="3"/>
      <ns0:c r="K23" s="3"/>
      <ns0:c r="L23" s="3"/>
      <ns0:c r="M23" s="3"/>
      <ns0:c r="N23" s="3"/>
      <ns0:c r="O23" s="3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/>
      <ns0:c r="B24" s="2"/>
      <ns0:c r="C24" s="3"/>
      <ns0:c r="D24" s="3"/>
      <ns0:c r="E24" s="3"/>
      <ns0:c r="F24" s="3"/>
      <ns0:c r="G24" s="3"/>
      <ns0:c r="H24" s="3"/>
      <ns0:c r="I24" s="3"/>
      <ns0:c r="J24" s="3"/>
      <ns0:c r="K24" s="3"/>
      <ns0:c r="L24" s="3"/>
      <ns0:c r="M24" s="3"/>
      <ns0:c r="N24" s="3"/>
      <ns0:c r="O24" s="3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/>
      <ns0:c r="B25" s="2"/>
      <ns0:c r="C25" s="3"/>
      <ns0:c r="D25" s="3"/>
      <ns0:c r="E25" s="3"/>
      <ns0:c r="F25" s="3"/>
      <ns0:c r="G25" s="3"/>
      <ns0:c r="H25" s="3"/>
      <ns0:c r="I25" s="3"/>
      <ns0:c r="J25" s="3"/>
      <ns0:c r="K25" s="3"/>
      <ns0:c r="L25" s="3"/>
      <ns0:c r="M25" s="3"/>
      <ns0:c r="N25" s="3"/>
      <ns0:c r="O25" s="3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/>
      <ns0:c r="B26" s="2"/>
      <ns0:c r="C26" s="3"/>
      <ns0:c r="D26" s="3"/>
      <ns0:c r="E26" s="3"/>
      <ns0:c r="F26" s="3"/>
      <ns0:c r="G26" s="3"/>
      <ns0:c r="H26" s="3"/>
      <ns0:c r="I26" s="3"/>
      <ns0:c r="J26" s="3"/>
      <ns0:c r="K26" s="3"/>
      <ns0:c r="L26" s="3"/>
      <ns0:c r="M26" s="3"/>
      <ns0:c r="N26" s="3"/>
      <ns0:c r="O26" s="3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/>
      <ns0:c r="B27" s="2"/>
      <ns0:c r="C27" s="3"/>
      <ns0:c r="D27" s="3"/>
      <ns0:c r="E27" s="3"/>
      <ns0:c r="F27" s="3"/>
      <ns0:c r="G27" s="3"/>
      <ns0:c r="H27" s="3"/>
      <ns0:c r="I27" s="3"/>
      <ns0:c r="J27" s="3"/>
      <ns0:c r="K27" s="3"/>
      <ns0:c r="L27" s="3"/>
      <ns0:c r="M27" s="3"/>
      <ns0:c r="N27" s="3"/>
      <ns0:c r="O27" s="3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/>
      <ns0:c r="B28" s="2"/>
      <ns0:c r="C28" s="3"/>
      <ns0:c r="D28" s="3"/>
      <ns0:c r="E28" s="3"/>
      <ns0:c r="F28" s="3"/>
      <ns0:c r="G28" s="3"/>
      <ns0:c r="H28" s="3"/>
      <ns0:c r="I28" s="3"/>
      <ns0:c r="J28" s="3"/>
      <ns0:c r="K28" s="3"/>
      <ns0:c r="L28" s="3"/>
      <ns0:c r="M28" s="3"/>
      <ns0:c r="N28" s="3"/>
      <ns0:c r="O28" s="3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/>
      <ns0:c r="B29" s="2" t="inlineStr">
        <ns0:is>
          <ns0:t>财务费用</ns0:t>
        </ns0:is>
      </ns0:c>
      <ns0:c r="C29" s="3"/>
      <ns0:c r="D29" s="3"/>
      <ns0:c r="E29" s="3"/>
      <ns0:c r="F29" s="3"/>
      <ns0:c r="G29" s="3"/>
      <ns0:c r="H29" s="3"/>
      <ns0:c r="I29" s="3"/>
      <ns0:c r="J29" s="3"/>
      <ns0:c r="K29" s="3"/>
      <ns0:c r="L29" s="3"/>
      <ns0:c r="M29" s="3"/>
      <ns0:c r="N29" s="3"/>
      <ns0:c r="O29" s="3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/>
      <ns0:c r="B30" s="5"/>
      <ns0:c r="C30" s="6"/>
      <ns0:c r="D30" s="6"/>
      <ns0:c r="E30" s="6"/>
      <ns0:c r="F30" s="6"/>
      <ns0:c r="G30" s="6"/>
      <ns0:c r="H30" s="6"/>
      <ns0:c r="I30" s="6"/>
      <ns0:c r="J30" s="6"/>
      <ns0:c r="K30" s="6"/>
      <ns0:c r="L30" s="6"/>
      <ns0:c r="M30" s="6"/>
      <ns0:c r="N30" s="6"/>
      <ns0:c r="O30" s="6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/>
      <ns0:c r="B31" s="2"/>
      <ns0:c r="C31" s="3"/>
      <ns0:c r="D31" s="3"/>
      <ns0:c r="E31" s="3"/>
      <ns0:c r="F31" s="3"/>
      <ns0:c r="G31" s="3"/>
      <ns0:c r="H31" s="3"/>
      <ns0:c r="I31" s="3"/>
      <ns0:c r="J31" s="3"/>
      <ns0:c r="K31" s="3"/>
      <ns0:c r="L31" s="3"/>
      <ns0:c r="M31" s="3"/>
      <ns0:c r="N31" s="3"/>
      <ns0:c r="O31" s="3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/>
      <ns0:c r="B32" s="2" t="inlineStr">
        <ns0:is>
          <ns0:t>财务费用</ns0:t>
        </ns0:is>
      </ns0:c>
      <ns0:c r="C32" s="3"/>
      <ns0:c r="D32" s="3"/>
      <ns0:c r="E32" s="3"/>
      <ns0:c r="F32" s="3"/>
      <ns0:c r="G32" s="3"/>
      <ns0:c r="H32" s="3"/>
      <ns0:c r="I32" s="3"/>
      <ns0:c r="J32" s="3"/>
      <ns0:c r="K32" s="3"/>
      <ns0:c r="L32" s="3"/>
      <ns0:c r="M32" s="3"/>
      <ns0:c r="N32" s="3"/>
      <ns0:c r="O32" s="3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/>
      <ns0:c r="B33" s="2" t="inlineStr">
        <ns0:is>
          <ns0:t>管理费用</ns0:t>
        </ns0:is>
      </ns0:c>
      <ns0:c r="C33" s="3"/>
      <ns0:c r="D33" s="3"/>
      <ns0:c r="E33" s="3"/>
      <ns0:c r="F33" s="3"/>
      <ns0:c r="G33" s="3"/>
      <ns0:c r="H33" s="3"/>
      <ns0:c r="I33" s="3"/>
      <ns0:c r="J33" s="3"/>
      <ns0:c r="K33" s="3"/>
      <ns0:c r="L33" s="3"/>
      <ns0:c r="M33" s="3"/>
      <ns0:c r="N33" s="3"/>
      <ns0:c r="O33" s="3"/>
      <ns0:c r="P33" s="2"/>
      <ns0:c r="Q33" s="2"/>
      <ns0:c r="R33" s="2"/>
      <ns0:c r="S33" s="2"/>
      <ns0:c r="T33" s="2"/>
      <ns0:c r="U33" s="2"/>
      <ns0:c r="V33" s="2"/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/>
      <ns0:c r="B34" s="2"/>
      <ns0:c r="C34" s="3"/>
      <ns0:c r="D34" s="3"/>
      <ns0:c r="E34" s="3"/>
      <ns0:c r="F34" s="3"/>
      <ns0:c r="G34" s="3"/>
      <ns0:c r="H34" s="3"/>
      <ns0:c r="I34" s="3"/>
      <ns0:c r="J34" s="3"/>
      <ns0:c r="K34" s="3"/>
      <ns0:c r="L34" s="3"/>
      <ns0:c r="M34" s="3"/>
      <ns0:c r="N34" s="3"/>
      <ns0:c r="O34" s="3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/>
      <ns0:c r="B35" s="2" t="inlineStr">
        <ns0:is>
          <ns0:t>管理费用</ns0:t>
        </ns0:is>
      </ns0:c>
      <ns0:c r="C35" s="3"/>
      <ns0:c r="D35" s="3"/>
      <ns0:c r="E35" s="3"/>
      <ns0:c r="F35" s="3"/>
      <ns0:c r="G35" s="3"/>
      <ns0:c r="H35" s="3"/>
      <ns0:c r="I35" s="3"/>
      <ns0:c r="J35" s="3"/>
      <ns0:c r="K35" s="3"/>
      <ns0:c r="L35" s="3"/>
      <ns0:c r="M35" s="3"/>
      <ns0:c r="N35" s="3"/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/>
      <ns0:c r="B36" s="2"/>
      <ns0:c r="C36" s="3"/>
      <ns0:c r="D36" s="3"/>
      <ns0:c r="E36" s="3"/>
      <ns0:c r="F36" s="3"/>
      <ns0:c r="G36" s="3"/>
      <ns0:c r="H36" s="3"/>
      <ns0:c r="I36" s="3"/>
      <ns0:c r="J36" s="3"/>
      <ns0:c r="K36" s="3"/>
      <ns0:c r="L36" s="3"/>
      <ns0:c r="M36" s="3"/>
      <ns0:c r="N36" s="3"/>
      <ns0:c r="O36" s="3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 t="inlineStr">
        <ns0:is>
          <ns0:t>管理费用</ns0:t>
        </ns0:is>
      </ns0:c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 t="inlineStr">
        <ns0:is>
          <ns0:t>管理费用</ns0:t>
        </ns0:is>
      </ns0:c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 t="inlineStr">
        <ns0:is>
          <ns0:t>管理费用</ns0:t>
        </ns0:is>
      </ns0:c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 t="inlineStr">
        <ns0:is>
          <ns0:t>管理费用</ns0:t>
        </ns0:is>
      </ns0:c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/>
      <ns0:c r="C64" s="3"/>
      <ns0:c r="D64" s="3"/>
      <ns0:c r="E64" s="3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/>
      <ns0:c r="C65" s="3"/>
      <ns0:c r="D65" s="3"/>
      <ns0:c r="E65" s="3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/>
      <ns0:c r="C66" s="3"/>
      <ns0:c r="D66" s="3"/>
      <ns0:c r="E66" s="3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/>
      <ns0:c r="C67" s="3"/>
      <ns0:c r="D67" s="3"/>
      <ns0:c r="E67" s="3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/>
      <ns0:c r="C68" s="3"/>
      <ns0:c r="D68" s="3"/>
      <ns0:c r="E68" s="3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 t="inlineStr">
        <ns0:is>
          <ns0:t>管理费用</ns0:t>
        </ns0:is>
      </ns0:c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 t="inlineStr">
        <ns0:is>
          <ns0:t>利息支出</ns0:t>
        </ns0:is>
      </ns0:c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 t="inlineStr">
        <ns0:is>
          <ns0:t>财务费用</ns0:t>
        </ns0:is>
      </ns0:c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 t="inlineStr">
        <ns0:is>
          <ns0:t>期间</ns0:t>
        </ns0:is>
      </ns0:c>
      <ns0:c r="B150" s="2" t="inlineStr">
        <ns0:is>
          <ns0:t>科目</ns0:t>
        </ns0:is>
      </ns0:c>
      <ns0:c r="C150" s="3" t="inlineStr">
        <ns0:is>
          <ns0:t>借方</ns0:t>
        </ns0:is>
      </ns0:c>
      <ns0:c r="D150" s="3" t="inlineStr">
        <ns0:is>
          <ns0:t>贷方</ns0:t>
        </ns0:is>
      </ns0:c>
      <ns0:c r="E150" s="3" t="inlineStr">
        <ns0:is>
          <ns0:t>说明</ns0:t>
        </ns0:is>
      </ns0:c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 t="inlineStr">
        <ns0:is>
          <ns0:t>2027-01</ns0:t>
        </ns0:is>
      </ns0:c>
      <ns0:c r="B151" s="2" t="inlineStr">
        <ns0:is>
          <ns0:t>银行存款</ns0:t>
        </ns0:is>
      </ns0:c>
      <ns0:c r="C151" s="3">
        <ns0:f>'利润表'!C61</ns0:f>
        <ns0:v>408623.09</ns0:v>
      </ns0:c>
      <ns0:c r="D151" s="3">
        <ns0:f>0</ns0:f>
        <ns0:v>0</ns0:v>
      </ns0:c>
      <ns0:c r="E151" s="3" t="inlineStr">
        <ns0:is>
          <ns0:t>占位收入分录，非完整总账</ns0:t>
        </ns0:is>
      </ns0:c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 t="inlineStr">
        <ns0:is>
          <ns0:t>主营业务收入</ns0:t>
        </ns0:is>
      </ns0:c>
      <ns0:c r="C152" s="3">
        <ns0:f>0</ns0:f>
        <ns0:v>0</ns0:v>
      </ns0:c>
      <ns0:c r="D152" s="3">
        <ns0:f>C151</ns0:f>
        <ns0:v>408623.09</ns0:v>
      </ns0:c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 t="inlineStr">
        <ns0:is>
          <ns0:t>2027-02</ns0:t>
        </ns0:is>
      </ns0:c>
      <ns0:c r="B153" s="2" t="inlineStr">
        <ns0:is>
          <ns0:t>银行存款</ns0:t>
        </ns0:is>
      </ns0:c>
      <ns0:c r="C153" s="3">
        <ns0:f>'利润表'!D61</ns0:f>
        <ns0:v>415340.14</ns0:v>
      </ns0:c>
      <ns0:c r="D153" s="3">
        <ns0:f>0</ns0:f>
        <ns0:v>0</ns0:v>
      </ns0:c>
      <ns0:c r="E153" s="3" t="inlineStr">
        <ns0:is>
          <ns0:t>占位收入分录，非完整总账</ns0:t>
        </ns0:is>
      </ns0:c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 t="inlineStr">
        <ns0:is>
          <ns0:t>主营业务收入</ns0:t>
        </ns0:is>
      </ns0:c>
      <ns0:c r="C154" s="3">
        <ns0:f>0</ns0:f>
        <ns0:v>0</ns0:v>
      </ns0:c>
      <ns0:c r="D154" s="3">
        <ns0:f>C153</ns0:f>
        <ns0:v>415340.14</ns0:v>
      </ns0:c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 t="inlineStr">
        <ns0:is>
          <ns0:t>2027-03</ns0:t>
        </ns0:is>
      </ns0:c>
      <ns0:c r="B155" s="2" t="inlineStr">
        <ns0:is>
          <ns0:t>银行存款</ns0:t>
        </ns0:is>
      </ns0:c>
      <ns0:c r="C155" s="3">
        <ns0:f>'利润表'!E61</ns0:f>
        <ns0:v>378755.26</ns0:v>
      </ns0:c>
      <ns0:c r="D155" s="3">
        <ns0:f>0</ns0:f>
        <ns0:v>0</ns0:v>
      </ns0:c>
      <ns0:c r="E155" s="3" t="inlineStr">
        <ns0:is>
          <ns0:t>占位收入分录，非完整总账</ns0:t>
        </ns0:is>
      </ns0:c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 t="inlineStr">
        <ns0:is>
          <ns0:t>主营业务收入</ns0:t>
        </ns0:is>
      </ns0:c>
      <ns0:c r="C156" s="3">
        <ns0:f>0</ns0:f>
        <ns0:v>0</ns0:v>
      </ns0:c>
      <ns0:c r="D156" s="3">
        <ns0:f>C155</ns0:f>
        <ns0:v>378755.26</ns0:v>
      </ns0:c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 t="inlineStr">
        <ns0:is>
          <ns0:t>2027-04</ns0:t>
        </ns0:is>
      </ns0:c>
      <ns0:c r="B157" s="2" t="inlineStr">
        <ns0:is>
          <ns0:t>银行存款</ns0:t>
        </ns0:is>
      </ns0:c>
      <ns0:c r="C157" s="3">
        <ns0:f>'利润表'!F61</ns0:f>
        <ns0:v>319119.29</ns0:v>
      </ns0:c>
      <ns0:c r="D157" s="3">
        <ns0:f>0</ns0:f>
        <ns0:v>0</ns0:v>
      </ns0:c>
      <ns0:c r="E157" s="3" t="inlineStr">
        <ns0:is>
          <ns0:t>占位收入分录，非完整总账</ns0:t>
        </ns0:is>
      </ns0:c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 t="inlineStr">
        <ns0:is>
          <ns0:t>主营业务收入</ns0:t>
        </ns0:is>
      </ns0:c>
      <ns0:c r="C158" s="3">
        <ns0:f>0</ns0:f>
        <ns0:v>0</ns0:v>
      </ns0:c>
      <ns0:c r="D158" s="3">
        <ns0:f>C157</ns0:f>
        <ns0:v>319119.29</ns0:v>
      </ns0:c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 t="inlineStr">
        <ns0:is>
          <ns0:t>2027-05</ns0:t>
        </ns0:is>
      </ns0:c>
      <ns0:c r="B159" s="2" t="inlineStr">
        <ns0:is>
          <ns0:t>银行存款</ns0:t>
        </ns0:is>
      </ns0:c>
      <ns0:c r="C159" s="3">
        <ns0:f>'利润表'!G61</ns0:f>
        <ns0:v>401999.60</ns0:v>
      </ns0:c>
      <ns0:c r="D159" s="3">
        <ns0:f>0</ns0:f>
        <ns0:v>0</ns0:v>
      </ns0:c>
      <ns0:c r="E159" s="3" t="inlineStr">
        <ns0:is>
          <ns0:t>占位收入分录，非完整总账</ns0:t>
        </ns0:is>
      </ns0:c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 t="inlineStr">
        <ns0:is>
          <ns0:t>主营业务收入</ns0:t>
        </ns0:is>
      </ns0:c>
      <ns0:c r="C160" s="3">
        <ns0:f>0</ns0:f>
        <ns0:v>0</ns0:v>
      </ns0:c>
      <ns0:c r="D160" s="3">
        <ns0:f>C159</ns0:f>
        <ns0:v>401999.60</ns0:v>
      </ns0:c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 t="inlineStr">
        <ns0:is>
          <ns0:t>2027-06</ns0:t>
        </ns0:is>
      </ns0:c>
      <ns0:c r="B161" s="2" t="inlineStr">
        <ns0:is>
          <ns0:t>银行存款</ns0:t>
        </ns0:is>
      </ns0:c>
      <ns0:c r="C161" s="3">
        <ns0:f>'利润表'!H61</ns0:f>
        <ns0:v>367020.74</ns0:v>
      </ns0:c>
      <ns0:c r="D161" s="3">
        <ns0:f>0</ns0:f>
        <ns0:v>0</ns0:v>
      </ns0:c>
      <ns0:c r="E161" s="3" t="inlineStr">
        <ns0:is>
          <ns0:t>占位收入分录，非完整总账</ns0:t>
        </ns0:is>
      </ns0:c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 t="inlineStr">
        <ns0:is>
          <ns0:t>主营业务收入</ns0:t>
        </ns0:is>
      </ns0:c>
      <ns0:c r="C162" s="3">
        <ns0:f>0</ns0:f>
        <ns0:v>0</ns0:v>
      </ns0:c>
      <ns0:c r="D162" s="3">
        <ns0:f>C161</ns0:f>
        <ns0:v>367020.74</ns0:v>
      </ns0:c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 t="inlineStr">
        <ns0:is>
          <ns0:t>2027-07</ns0:t>
        </ns0:is>
      </ns0:c>
      <ns0:c r="B163" s="2" t="inlineStr">
        <ns0:is>
          <ns0:t>银行存款</ns0:t>
        </ns0:is>
      </ns0:c>
      <ns0:c r="C163" s="3">
        <ns0:f>'利润表'!I61</ns0:f>
        <ns0:v>425331.12</ns0:v>
      </ns0:c>
      <ns0:c r="D163" s="3">
        <ns0:f>0</ns0:f>
        <ns0:v>0</ns0:v>
      </ns0:c>
      <ns0:c r="E163" s="3" t="inlineStr">
        <ns0:is>
          <ns0:t>占位收入分录，非完整总账</ns0:t>
        </ns0:is>
      </ns0:c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 t="inlineStr">
        <ns0:is>
          <ns0:t>主营业务收入</ns0:t>
        </ns0:is>
      </ns0:c>
      <ns0:c r="C164" s="3">
        <ns0:f>0</ns0:f>
        <ns0:v>0</ns0:v>
      </ns0:c>
      <ns0:c r="D164" s="3">
        <ns0:f>C163</ns0:f>
        <ns0:v>425331.12</ns0:v>
      </ns0:c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 t="inlineStr">
        <ns0:is>
          <ns0:t>2027-08</ns0:t>
        </ns0:is>
      </ns0:c>
      <ns0:c r="B165" s="2" t="inlineStr">
        <ns0:is>
          <ns0:t>银行存款</ns0:t>
        </ns0:is>
      </ns0:c>
      <ns0:c r="C165" s="3">
        <ns0:f>'利润表'!J61</ns0:f>
        <ns0:v>498913.82</ns0:v>
      </ns0:c>
      <ns0:c r="D165" s="3">
        <ns0:f>0</ns0:f>
        <ns0:v>0</ns0:v>
      </ns0:c>
      <ns0:c r="E165" s="3" t="inlineStr">
        <ns0:is>
          <ns0:t>占位收入分录，非完整总账</ns0:t>
        </ns0:is>
      </ns0:c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 t="inlineStr">
        <ns0:is>
          <ns0:t>主营业务收入</ns0:t>
        </ns0:is>
      </ns0:c>
      <ns0:c r="C166" s="3">
        <ns0:f>0</ns0:f>
        <ns0:v>0</ns0:v>
      </ns0:c>
      <ns0:c r="D166" s="3">
        <ns0:f>C165</ns0:f>
        <ns0:v>498913.82</ns0:v>
      </ns0:c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 t="inlineStr">
        <ns0:is>
          <ns0:t>2027-09</ns0:t>
        </ns0:is>
      </ns0:c>
      <ns0:c r="B167" s="2" t="inlineStr">
        <ns0:is>
          <ns0:t>银行存款</ns0:t>
        </ns0:is>
      </ns0:c>
      <ns0:c r="C167" s="3">
        <ns0:f>'利润表'!K61</ns0:f>
        <ns0:v>365030.03</ns0:v>
      </ns0:c>
      <ns0:c r="D167" s="3">
        <ns0:f>0</ns0:f>
        <ns0:v>0</ns0:v>
      </ns0:c>
      <ns0:c r="E167" s="3" t="inlineStr">
        <ns0:is>
          <ns0:t>占位收入分录，非完整总账</ns0:t>
        </ns0:is>
      </ns0:c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 t="inlineStr">
        <ns0:is>
          <ns0:t>主营业务收入</ns0:t>
        </ns0:is>
      </ns0:c>
      <ns0:c r="C168" s="3">
        <ns0:f>0</ns0:f>
        <ns0:v>0</ns0:v>
      </ns0:c>
      <ns0:c r="D168" s="3">
        <ns0:f>C167</ns0:f>
        <ns0:v>365030.03</ns0:v>
      </ns0:c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 t="inlineStr">
        <ns0:is>
          <ns0:t>2027-10</ns0:t>
        </ns0:is>
      </ns0:c>
      <ns0:c r="B169" s="2" t="inlineStr">
        <ns0:is>
          <ns0:t>银行存款</ns0:t>
        </ns0:is>
      </ns0:c>
      <ns0:c r="C169" s="3">
        <ns0:f>'利润表'!L61</ns0:f>
        <ns0:v>349631.91</ns0:v>
      </ns0:c>
      <ns0:c r="D169" s="3">
        <ns0:f>0</ns0:f>
        <ns0:v>0</ns0:v>
      </ns0:c>
      <ns0:c r="E169" s="3" t="inlineStr">
        <ns0:is>
          <ns0:t>占位收入分录，非完整总账</ns0:t>
        </ns0:is>
      </ns0:c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 t="inlineStr">
        <ns0:is>
          <ns0:t>主营业务收入</ns0:t>
        </ns0:is>
      </ns0:c>
      <ns0:c r="C170" s="3">
        <ns0:f>0</ns0:f>
        <ns0:v>0</ns0:v>
      </ns0:c>
      <ns0:c r="D170" s="3">
        <ns0:f>C169</ns0:f>
        <ns0:v>349631.91</ns0:v>
      </ns0:c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 t="inlineStr">
        <ns0:is>
          <ns0:t>2027-11</ns0:t>
        </ns0:is>
      </ns0:c>
      <ns0:c r="B171" s="2" t="inlineStr">
        <ns0:is>
          <ns0:t>银行存款</ns0:t>
        </ns0:is>
      </ns0:c>
      <ns0:c r="C171" s="3">
        <ns0:f>'利润表'!M61</ns0:f>
        <ns0:v>349914.67</ns0:v>
      </ns0:c>
      <ns0:c r="D171" s="3">
        <ns0:f>0</ns0:f>
        <ns0:v>0</ns0:v>
      </ns0:c>
      <ns0:c r="E171" s="3" t="inlineStr">
        <ns0:is>
          <ns0:t>占位收入分录，非完整总账</ns0:t>
        </ns0:is>
      </ns0:c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 t="inlineStr">
        <ns0:is>
          <ns0:t>主营业务收入</ns0:t>
        </ns0:is>
      </ns0:c>
      <ns0:c r="C172" s="3">
        <ns0:f>0</ns0:f>
        <ns0:v>0</ns0:v>
      </ns0:c>
      <ns0:c r="D172" s="3">
        <ns0:f>C171</ns0:f>
        <ns0:v>349914.67</ns0:v>
      </ns0:c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 t="inlineStr">
        <ns0:is>
          <ns0:t>2027-12</ns0:t>
        </ns0:is>
      </ns0:c>
      <ns0:c r="B173" s="2" t="inlineStr">
        <ns0:is>
          <ns0:t>银行存款</ns0:t>
        </ns0:is>
      </ns0:c>
      <ns0:c r="C173" s="3">
        <ns0:f>'利润表'!N61</ns0:f>
        <ns0:v>405437.91</ns0:v>
      </ns0:c>
      <ns0:c r="D173" s="3">
        <ns0:f>0</ns0:f>
        <ns0:v>0</ns0:v>
      </ns0:c>
      <ns0:c r="E173" s="3" t="inlineStr">
        <ns0:is>
          <ns0:t>占位收入分录，非完整总账</ns0:t>
        </ns0:is>
      </ns0:c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 t="inlineStr">
        <ns0:is>
          <ns0:t>主营业务收入</ns0:t>
        </ns0:is>
      </ns0:c>
      <ns0:c r="C174" s="3">
        <ns0:f>0</ns0:f>
        <ns0:v>0</ns0:v>
      </ns0:c>
      <ns0:c r="D174" s="3">
        <ns0:f>C173</ns0:f>
        <ns0:v>405437.91</ns0:v>
      </ns0:c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pageMargins left="0.7" right="0.7" top="0.75" bottom="0.75" header="0.3" footer="0.3"/>
</ns0:worksheet>
</file>