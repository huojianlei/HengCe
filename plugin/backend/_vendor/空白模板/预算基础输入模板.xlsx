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5b2b6e763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eabf214490da42b3"/>
    <x:sheet xmlns:r="http://schemas.openxmlformats.org/officeDocument/2006/relationships" name="资产负债表" sheetId="2" r:id="R5dd161d7ae784edb"/>
    <x:sheet xmlns:r="http://schemas.openxmlformats.org/officeDocument/2006/relationships" name="现金流量表" sheetId="3" r:id="R9c7844c425704c1f"/>
    <x:sheet xmlns:r="http://schemas.openxmlformats.org/officeDocument/2006/relationships" name="收入非主控" sheetId="4" r:id="R3b0b97ac37294be9"/>
    <x:sheet xmlns:r="http://schemas.openxmlformats.org/officeDocument/2006/relationships" name="收入主控" sheetId="5" r:id="R3882e16190014a22"/>
    <x:sheet xmlns:r="http://schemas.openxmlformats.org/officeDocument/2006/relationships" name="税金及附加" sheetId="6" r:id="Rb42c471332d943f3"/>
    <x:sheet xmlns:r="http://schemas.openxmlformats.org/officeDocument/2006/relationships" name="销售费用" sheetId="7" r:id="R1d0a07b50d9f4e9a"/>
    <x:sheet xmlns:r="http://schemas.openxmlformats.org/officeDocument/2006/relationships" name="管理费用" sheetId="8" r:id="R28db4eab3a814193"/>
    <x:sheet xmlns:r="http://schemas.openxmlformats.org/officeDocument/2006/relationships" name="蓝恐龙费用" sheetId="9" r:id="R57ba6d535ed74df4"/>
    <x:sheet xmlns:r="http://schemas.openxmlformats.org/officeDocument/2006/relationships" name="费用表月度汇总" sheetId="10" r:id="R9b07cbcf44134258"/>
    <x:sheet xmlns:r="http://schemas.openxmlformats.org/officeDocument/2006/relationships" name="摊销明细" sheetId="11" r:id="R4019986718154661"/>
    <x:sheet xmlns:r="http://schemas.openxmlformats.org/officeDocument/2006/relationships" name="分录" sheetId="12" r:id="Re25714329ee845ef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#,##0.00;(#,##0.00);&quot;—&quot;"/>
    <ns0:numFmt numFmtId="201" formatCode="#,##0.00;(#,##0.00);&quot;&quot;"/>
  </ns0:numFmts>
  <ns0:fonts count="4">
    <ns0:font>
      <ns0:sz val="11"/>
      <ns0:name val="Carlito"/>
    </ns0:font>
    <ns0:font>
      <ns0:sz val="10"/>
      <ns0:name val="Microsoft YaHei"/>
    </ns0:font>
    <ns0:font>
      <ns0:sz val="10"/>
      <ns0:color rgb="FF000000"/>
      <ns0:name val="Microsoft YaHei"/>
    </ns0:font>
    <ns0:font>
      <ns0:sz val="10"/>
      <ns0:color rgb="FF000000"/>
      <ns0:name val="Microsoft YaHei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13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200" fontId="1" fillId="3" borderId="0" xfId="0" applyNumberFormat="1" applyFont="1" applyFill="1" applyBorder="1" applyAlignment="1">
      <ns0:alignment vertical="center"/>
    </ns0:xf>
    <ns0:xf numFmtId="200" fontId="2" fillId="3" borderId="0" xfId="0" applyNumberFormat="1" applyFont="1" applyFill="1" applyBorder="1" applyAlignment="1">
      <ns0:alignment vertical="center"/>
    </ns0:xf>
    <ns0:xf numFmtId="0" fontId="3" fillId="3" borderId="0" xfId="0" applyNumberFormat="1" applyFont="1" applyFill="1" applyBorder="1" applyAlignment="1">
      <ns0:alignment vertical="center"/>
    </ns0:xf>
    <ns0:xf numFmtId="200" fontId="3" fillId="3" borderId="0" xfId="0" applyNumberFormat="1" applyFont="1" applyFill="1" applyBorder="1" applyAlignment="1">
      <ns0:alignment vertical="center"/>
    </ns0:xf>
    <ns0:xf numFmtId="201" fontId="3" fillId="3" borderId="0" xfId="0" applyNumberFormat="1" applyFont="1" applyFill="1" applyBorder="1" applyAlignment="1">
      <ns0:alignment vertical="center"/>
    </ns0:xf>
    <ns0:xf numFmtId="0" fontId="3" fillId="3" borderId="1" xfId="0" applyNumberFormat="1" applyFont="1" applyFill="1" applyBorder="1" applyAlignment="1">
      <ns0:alignment vertical="center"/>
    </ns0:xf>
    <ns0:xf numFmtId="201" fontId="3" fillId="3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95b27ff254e8d" /><Relationship Type="http://schemas.openxmlformats.org/officeDocument/2006/relationships/theme" Target="/xl/theme/theme1.xml" Id="Rb9d3378d8666486e" /><Relationship Type="http://schemas.openxmlformats.org/officeDocument/2006/relationships/sharedStrings" Target="/xl/sharedStrings.xml" Id="Ra69479555d694e33" /><Relationship Type="http://schemas.openxmlformats.org/officeDocument/2006/relationships/worksheet" Target="/xl/worksheets/sheet1.xml" Id="Reabf214490da42b3" /><Relationship Type="http://schemas.openxmlformats.org/officeDocument/2006/relationships/worksheet" Target="/xl/worksheets/sheet2.xml" Id="R5dd161d7ae784edb" /><Relationship Type="http://schemas.openxmlformats.org/officeDocument/2006/relationships/worksheet" Target="/xl/worksheets/sheet3.xml" Id="R9c7844c425704c1f" /><Relationship Type="http://schemas.openxmlformats.org/officeDocument/2006/relationships/worksheet" Target="/xl/worksheets/sheet4.xml" Id="R3b0b97ac37294be9" /><Relationship Type="http://schemas.openxmlformats.org/officeDocument/2006/relationships/worksheet" Target="/xl/worksheets/sheet5.xml" Id="R3882e16190014a22" /><Relationship Type="http://schemas.openxmlformats.org/officeDocument/2006/relationships/worksheet" Target="/xl/worksheets/sheet6.xml" Id="Rb42c471332d943f3" /><Relationship Type="http://schemas.openxmlformats.org/officeDocument/2006/relationships/worksheet" Target="/xl/worksheets/sheet7.xml" Id="R1d0a07b50d9f4e9a" /><Relationship Type="http://schemas.openxmlformats.org/officeDocument/2006/relationships/worksheet" Target="/xl/worksheets/sheet8.xml" Id="R28db4eab3a814193" /><Relationship Type="http://schemas.openxmlformats.org/officeDocument/2006/relationships/worksheet" Target="/xl/worksheets/sheet9.xml" Id="R57ba6d535ed74df4" /><Relationship Type="http://schemas.openxmlformats.org/officeDocument/2006/relationships/worksheet" Target="/xl/worksheets/sheet10.xml" Id="R9b07cbcf44134258" /><Relationship Type="http://schemas.openxmlformats.org/officeDocument/2006/relationships/worksheet" Target="/xl/worksheets/sheet11.xml" Id="R4019986718154661" /><Relationship Type="http://schemas.openxmlformats.org/officeDocument/2006/relationships/worksheet" Target="/xl/worksheets/sheet12.xml" Id="Re25714329ee8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利润表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     目</ns0:v>
      </ns0:c>
      <ns0:c r="B2" s="13" t="str">
        <ns0:v>行数</ns0:v>
      </ns0:c>
      <ns0:c r="C2" s="14"/>
      <ns0:c r="D2" s="14"/>
      <ns0:c r="E2" s="14"/>
      <ns0:c r="F2" s="14" t="str">
        <ns0:v>其他主体费用计入管理费用展示</ns0:v>
      </ns0:c>
      <ns0:c r="G2" s="14"/>
      <ns0:c r="H2" s="14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全年预算基础</ns0:v>
      </ns0:c>
      <ns0:c r="D3" s="14" t="str">
        <ns0:v>非本次输入</ns0:v>
      </ns0:c>
      <ns0:c r="E3" s="14"/>
      <ns0:c r="F3" s="14"/>
      <ns0:c r="G3" s="14"/>
      <ns0:c r="H3" s="14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一、营业收入</ns0:v>
      </ns0:c>
      <ns0:c r="B4" s="13"/>
      <ns0:c r="C4" s="14" t="n">
        <ns0:f>SUM(C61:N61)</ns0:f>
      </ns0:c>
      <ns0:c r="D4" s="14"/>
      <ns0:c r="E4" s="14"/>
      <ns0:c r="F4" s="14"/>
      <ns0:c r="G4" s="14"/>
      <ns0:c r="H4" s="14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 t="str">
        <ns0:v>减：营业成本</ns0:v>
      </ns0:c>
      <ns0:c r="B5" s="13"/>
      <ns0:c r="C5" s="14" t="n">
        <ns0:f>SUM(C62:N62)</ns0:f>
      </ns0:c>
      <ns0:c r="D5" s="14"/>
      <ns0:c r="E5" s="14"/>
      <ns0:c r="F5" s="14"/>
      <ns0:c r="G5" s="14"/>
      <ns0:c r="H5" s="14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 t="str">
        <ns0:v>营业税金及附加</ns0:v>
      </ns0:c>
      <ns0:c r="B6" s="13"/>
      <ns0:c r="C6" s="14" t="n">
        <ns0:f>SUM(C63:N63)</ns0:f>
      </ns0:c>
      <ns0:c r="D6" s="14"/>
      <ns0:c r="E6" s="14"/>
      <ns0:c r="F6" s="14"/>
      <ns0:c r="G6" s="14"/>
      <ns0:c r="H6" s="14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 t="str">
        <ns0:v>销售费用</ns0:v>
      </ns0:c>
      <ns0:c r="B7" s="13"/>
      <ns0:c r="C7" s="14">
        <ns0:f>SUM(C64:N64)-SUM('销售费用'!O28:O30)</ns0:f>
      </ns0:c>
      <ns0:c r="D7" s="14"/>
      <ns0:c r="E7" s="14"/>
      <ns0:c r="F7" s="14"/>
      <ns0:c r="G7" s="14"/>
      <ns0:c r="H7" s="14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 t="str">
        <ns0:v>管理费用</ns0:v>
      </ns0:c>
      <ns0:c r="B8" s="13"/>
      <ns0:c r="C8" s="14">
        <ns0:f>SUM(C65:N66)-SUM('管理费用'!O28:O30,'蓝恐龙费用'!O28:O30)</ns0:f>
      </ns0:c>
      <ns0:c r="D8" s="14"/>
      <ns0:c r="E8" s="14"/>
      <ns0:c r="F8" s="14"/>
      <ns0:c r="G8" s="14"/>
      <ns0:c r="H8" s="14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 t="str">
        <ns0:v>财务费用</ns0:v>
      </ns0:c>
      <ns0:c r="B9" s="13"/>
      <ns0:c r="C9" s="14">
        <ns0:f>SUM('销售费用'!O28:O30,'管理费用'!O28:O30,'蓝恐龙费用'!O28:O30)</ns0:f>
      </ns0:c>
      <ns0:c r="D9" s="14"/>
      <ns0:c r="E9" s="14"/>
      <ns0:c r="F9" s="14"/>
      <ns0:c r="G9" s="14"/>
      <ns0:c r="H9" s="14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 t="str">
        <ns0:v>资产减值损失</ns0:v>
      </ns0:c>
      <ns0:c r="B10" s="13"/>
      <ns0:c r="C10" s="14"/>
      <ns0:c r="D10" s="14"/>
      <ns0:c r="E10" s="14"/>
      <ns0:c r="F10" s="14"/>
      <ns0:c r="G10" s="14"/>
      <ns0:c r="H10" s="14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 t="str">
        <ns0:v>加：公允价值变动收益（损失以“-”号填列）</ns0:v>
      </ns0:c>
      <ns0:c r="B11" s="13"/>
      <ns0:c r="C11" s="14"/>
      <ns0:c r="D11" s="14"/>
      <ns0:c r="E11" s="14"/>
      <ns0:c r="F11" s="14"/>
      <ns0:c r="G11" s="14"/>
      <ns0:c r="H11" s="14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 t="str">
        <ns0:v>投资收益（损失以“-”号填列）</ns0:v>
      </ns0:c>
      <ns0:c r="B12" s="13"/>
      <ns0:c r="C12" s="14"/>
      <ns0:c r="D12" s="14"/>
      <ns0:c r="E12" s="14"/>
      <ns0:c r="F12" s="14"/>
      <ns0:c r="G12" s="14"/>
      <ns0:c r="H12" s="14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 t="str">
        <ns0:v>其中:对联营企业和合营企业的投资收益</ns0:v>
      </ns0:c>
      <ns0:c r="B13" s="13"/>
      <ns0:c r="C13" s="14"/>
      <ns0:c r="D13" s="14"/>
      <ns0:c r="E13" s="14"/>
      <ns0:c r="F13" s="14"/>
      <ns0:c r="G13" s="14"/>
      <ns0:c r="H13" s="14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 t="str">
        <ns0:v>二、营业利润（亏损以“-”号填列）</ns0:v>
      </ns0:c>
      <ns0:c r="B14" s="13"/>
      <ns0:c r="C14" s="14" t="n">
        <ns0:f>SUM(C67:N67)</ns0:f>
      </ns0:c>
      <ns0:c r="D14" s="14"/>
      <ns0:c r="E14" s="14"/>
      <ns0:c r="F14" s="14"/>
      <ns0:c r="G14" s="14"/>
      <ns0:c r="H14" s="14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 t="str">
        <ns0:v>加：营业外收入</ns0:v>
      </ns0:c>
      <ns0:c r="B15" s="13"/>
      <ns0:c r="C15" s="14"/>
      <ns0:c r="D15" s="14"/>
      <ns0:c r="E15" s="14"/>
      <ns0:c r="F15" s="14"/>
      <ns0:c r="G15" s="14"/>
      <ns0:c r="H15" s="14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 t="str">
        <ns0:v>减：营业外支出</ns0:v>
      </ns0:c>
      <ns0:c r="B16" s="13"/>
      <ns0:c r="C16" s="14"/>
      <ns0:c r="D16" s="14"/>
      <ns0:c r="E16" s="14"/>
      <ns0:c r="F16" s="14"/>
      <ns0:c r="G16" s="14"/>
      <ns0:c r="H16" s="14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 t="str">
        <ns0:v>其中：非流动资产处置损失</ns0:v>
      </ns0:c>
      <ns0:c r="B17" s="13"/>
      <ns0:c r="C17" s="14"/>
      <ns0:c r="D17" s="14"/>
      <ns0:c r="E17" s="14"/>
      <ns0:c r="F17" s="14"/>
      <ns0:c r="G17" s="14"/>
      <ns0:c r="H17" s="14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 t="str">
        <ns0:v>三、利润总额（亏损总额以“-”号填列）</ns0:v>
      </ns0:c>
      <ns0:c r="B18" s="13"/>
      <ns0:c r="C18" s="14" t="n">
        <ns0:f>SUM(C67:N67)</ns0:f>
      </ns0:c>
      <ns0:c r="D18" s="14"/>
      <ns0:c r="E18" s="14"/>
      <ns0:c r="F18" s="14"/>
      <ns0:c r="G18" s="14"/>
      <ns0:c r="H18" s="14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 t="str">
        <ns0:v>减：所得税费用</ns0:v>
      </ns0:c>
      <ns0:c r="B19" s="13"/>
      <ns0:c r="C19" s="14" t="n">
        <ns0:f>SUM(C68:N68)</ns0:f>
      </ns0:c>
      <ns0:c r="D19" s="14"/>
      <ns0:c r="E19" s="14"/>
      <ns0:c r="F19" s="14"/>
      <ns0:c r="G19" s="14"/>
      <ns0:c r="H19" s="14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 t="str">
        <ns0:v>四、净利润（净亏损以“-”号填列）</ns0:v>
      </ns0:c>
      <ns0:c r="B20" s="13"/>
      <ns0:c r="C20" s="14" t="n">
        <ns0:f>SUM(C69:N69)</ns0:f>
      </ns0:c>
      <ns0:c r="D20" s="14"/>
      <ns0:c r="E20" s="14"/>
      <ns0:c r="F20" s="14"/>
      <ns0:c r="G20" s="14"/>
      <ns0:c r="H20" s="14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五、每股收益：</ns0:v>
      </ns0:c>
      <ns0:c r="B21" s="13"/>
      <ns0:c r="C21" s="14"/>
      <ns0:c r="D21" s="14"/>
      <ns0:c r="E21" s="14"/>
      <ns0:c r="F21" s="14"/>
      <ns0:c r="G21" s="14"/>
      <ns0:c r="H21" s="14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 t="str">
        <ns0:v>（一）基本每股收益</ns0:v>
      </ns0:c>
      <ns0:c r="B22" s="13"/>
      <ns0:c r="C22" s="14"/>
      <ns0:c r="D22" s="14"/>
      <ns0:c r="E22" s="14"/>
      <ns0:c r="F22" s="14"/>
      <ns0:c r="G22" s="14"/>
      <ns0:c r="H22" s="14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 t="str">
        <ns0:v>（二）稀释每股收益</ns0:v>
      </ns0:c>
      <ns0:c r="B23" s="13"/>
      <ns0:c r="C23" s="14"/>
      <ns0:c r="D23" s="14"/>
      <ns0:c r="E23" s="14"/>
      <ns0:c r="F23" s="14"/>
      <ns0:c r="G23" s="14"/>
      <ns0:c r="H23" s="14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0"/>
      <ns0:c r="C30" s="12"/>
      <ns0:c r="D30" s="12"/>
      <ns0:c r="E30" s="12"/>
      <ns0:c r="F30" s="12"/>
      <ns0:c r="G30" s="12"/>
      <ns0:c r="H30" s="12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0"/>
      <ns0:c r="C31" s="12"/>
      <ns0:c r="D31" s="12"/>
      <ns0:c r="E31" s="12"/>
      <ns0:c r="F31" s="12"/>
      <ns0:c r="G31" s="12"/>
      <ns0:c r="H31" s="12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0"/>
      <ns0:c r="C32" s="12"/>
      <ns0:c r="D32" s="12"/>
      <ns0:c r="E32" s="12"/>
      <ns0:c r="F32" s="12"/>
      <ns0:c r="G32" s="12"/>
      <ns0:c r="H32" s="12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0"/>
      <ns0:c r="C33" s="12"/>
      <ns0:c r="D33" s="12"/>
      <ns0:c r="E33" s="12"/>
      <ns0:c r="F33" s="12"/>
      <ns0:c r="G33" s="12"/>
      <ns0:c r="H33" s="12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0"/>
      <ns0:c r="C34" s="12"/>
      <ns0:c r="D34" s="12"/>
      <ns0:c r="E34" s="12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0"/>
      <ns0:c r="C35" s="12"/>
      <ns0:c r="D35" s="12"/>
      <ns0:c r="E35" s="12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0"/>
      <ns0:c r="C36" s="12"/>
      <ns0:c r="D36" s="12"/>
      <ns0:c r="E36" s="12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3" t="str">
        <ns0:v>预算基础月度勾稽</ns0:v>
      </ns0:c>
      <ns0:c r="C60" s="14" t="str">
        <ns0:v>1月</ns0:v>
      </ns0:c>
      <ns0:c r="D60" s="14" t="str">
        <ns0:v>2月</ns0:v>
      </ns0:c>
      <ns0:c r="E60" s="14" t="str">
        <ns0:v>3月</ns0:v>
      </ns0:c>
      <ns0:c r="F60" s="14" t="str">
        <ns0:v>4月</ns0:v>
      </ns0:c>
      <ns0:c r="G60" s="14" t="str">
        <ns0:v>5月</ns0:v>
      </ns0:c>
      <ns0:c r="H60" s="14" t="str">
        <ns0:v>6月</ns0:v>
      </ns0:c>
      <ns0:c r="I60" s="14" t="str">
        <ns0:v>7月</ns0:v>
      </ns0:c>
      <ns0:c r="J60" s="14" t="str">
        <ns0:v>8月</ns0:v>
      </ns0:c>
      <ns0:c r="K60" s="14" t="str">
        <ns0:v>9月</ns0:v>
      </ns0:c>
      <ns0:c r="L60" s="14" t="str">
        <ns0:v>10月</ns0:v>
      </ns0:c>
      <ns0:c r="M60" s="14" t="str">
        <ns0:v>11月</ns0:v>
      </ns0:c>
      <ns0:c r="N60" s="14" t="str">
        <ns0:v>12月</ns0:v>
      </ns0:c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3" t="str">
        <ns0:v>营业收入</ns0:v>
      </ns0:c>
      <ns0:c r="C61" s="14" t="n">
        <ns0:f>'收入非主控'!C33+'收入主控'!C33</ns0:f>
      </ns0:c>
      <ns0:c r="D61" s="14" t="n">
        <ns0:f>'收入非主控'!D33+'收入主控'!D33</ns0:f>
      </ns0:c>
      <ns0:c r="E61" s="14" t="n">
        <ns0:f>'收入非主控'!E33+'收入主控'!E33</ns0:f>
      </ns0:c>
      <ns0:c r="F61" s="14" t="n">
        <ns0:f>'收入非主控'!F33+'收入主控'!F33</ns0:f>
      </ns0:c>
      <ns0:c r="G61" s="14" t="n">
        <ns0:f>'收入非主控'!G33+'收入主控'!G33</ns0:f>
      </ns0:c>
      <ns0:c r="H61" s="14" t="n">
        <ns0:f>'收入非主控'!H33+'收入主控'!H33</ns0:f>
      </ns0:c>
      <ns0:c r="I61" s="14" t="n">
        <ns0:f>'收入非主控'!I33+'收入主控'!I33</ns0:f>
      </ns0:c>
      <ns0:c r="J61" s="14" t="n">
        <ns0:f>'收入非主控'!J33+'收入主控'!J33</ns0:f>
      </ns0:c>
      <ns0:c r="K61" s="14" t="n">
        <ns0:f>'收入非主控'!K33+'收入主控'!K33</ns0:f>
      </ns0:c>
      <ns0:c r="L61" s="14" t="n">
        <ns0:f>'收入非主控'!L33+'收入主控'!L33</ns0:f>
      </ns0:c>
      <ns0:c r="M61" s="14" t="n">
        <ns0:f>'收入非主控'!M33+'收入主控'!M33</ns0:f>
      </ns0:c>
      <ns0:c r="N61" s="14" t="n">
        <ns0:f>'收入非主控'!N33+'收入主控'!N33</ns0:f>
      </ns0:c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3" t="str">
        <ns0:v>营业成本</ns0:v>
      </ns0:c>
      <ns0:c r="C62" s="14" t="n">
        <ns0:f>'收入非主控'!C36+'收入主控'!C36</ns0:f>
      </ns0:c>
      <ns0:c r="D62" s="14" t="n">
        <ns0:f>'收入非主控'!D36+'收入主控'!D36</ns0:f>
      </ns0:c>
      <ns0:c r="E62" s="14" t="n">
        <ns0:f>'收入非主控'!E36+'收入主控'!E36</ns0:f>
      </ns0:c>
      <ns0:c r="F62" s="14" t="n">
        <ns0:f>'收入非主控'!F36+'收入主控'!F36</ns0:f>
      </ns0:c>
      <ns0:c r="G62" s="14" t="n">
        <ns0:f>'收入非主控'!G36+'收入主控'!G36</ns0:f>
      </ns0:c>
      <ns0:c r="H62" s="14" t="n">
        <ns0:f>'收入非主控'!H36+'收入主控'!H36</ns0:f>
      </ns0:c>
      <ns0:c r="I62" s="14" t="n">
        <ns0:f>'收入非主控'!I36+'收入主控'!I36</ns0:f>
      </ns0:c>
      <ns0:c r="J62" s="14" t="n">
        <ns0:f>'收入非主控'!J36+'收入主控'!J36</ns0:f>
      </ns0:c>
      <ns0:c r="K62" s="14" t="n">
        <ns0:f>'收入非主控'!K36+'收入主控'!K36</ns0:f>
      </ns0:c>
      <ns0:c r="L62" s="14" t="n">
        <ns0:f>'收入非主控'!L36+'收入主控'!L36</ns0:f>
      </ns0:c>
      <ns0:c r="M62" s="14" t="n">
        <ns0:f>'收入非主控'!M36+'收入主控'!M36</ns0:f>
      </ns0:c>
      <ns0:c r="N62" s="14" t="n">
        <ns0:f>'收入非主控'!N36+'收入主控'!N36</ns0:f>
      </ns0:c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3" t="str">
        <ns0:v>税金及附加</ns0:v>
      </ns0:c>
      <ns0:c r="C63" s="14" t="n">
        <ns0:f>'税金及附加'!C33</ns0:f>
      </ns0:c>
      <ns0:c r="D63" s="14" t="n">
        <ns0:f>'税金及附加'!D33</ns0:f>
      </ns0:c>
      <ns0:c r="E63" s="14" t="n">
        <ns0:f>'税金及附加'!E33</ns0:f>
      </ns0:c>
      <ns0:c r="F63" s="14" t="n">
        <ns0:f>'税金及附加'!F33</ns0:f>
      </ns0:c>
      <ns0:c r="G63" s="14" t="n">
        <ns0:f>'税金及附加'!G33</ns0:f>
      </ns0:c>
      <ns0:c r="H63" s="14" t="n">
        <ns0:f>'税金及附加'!H33</ns0:f>
      </ns0:c>
      <ns0:c r="I63" s="14" t="n">
        <ns0:f>'税金及附加'!I33</ns0:f>
      </ns0:c>
      <ns0:c r="J63" s="14" t="n">
        <ns0:f>'税金及附加'!J33</ns0:f>
      </ns0:c>
      <ns0:c r="K63" s="14" t="n">
        <ns0:f>'税金及附加'!K33</ns0:f>
      </ns0:c>
      <ns0:c r="L63" s="14" t="n">
        <ns0:f>'税金及附加'!L33</ns0:f>
      </ns0:c>
      <ns0:c r="M63" s="14" t="n">
        <ns0:f>'税金及附加'!M33</ns0:f>
      </ns0:c>
      <ns0:c r="N63" s="14" t="n">
        <ns0:f>'税金及附加'!N33</ns0:f>
      </ns0:c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3" t="str">
        <ns0:v>销售费用</ns0:v>
      </ns0:c>
      <ns0:c r="C64" s="14" t="n">
        <ns0:f>'销售费用'!C34</ns0:f>
      </ns0:c>
      <ns0:c r="D64" s="14" t="n">
        <ns0:f>'销售费用'!D34</ns0:f>
      </ns0:c>
      <ns0:c r="E64" s="14" t="n">
        <ns0:f>'销售费用'!E34</ns0:f>
      </ns0:c>
      <ns0:c r="F64" s="14" t="n">
        <ns0:f>'销售费用'!F34</ns0:f>
      </ns0:c>
      <ns0:c r="G64" s="14" t="n">
        <ns0:f>'销售费用'!G34</ns0:f>
      </ns0:c>
      <ns0:c r="H64" s="14" t="n">
        <ns0:f>'销售费用'!H34</ns0:f>
      </ns0:c>
      <ns0:c r="I64" s="14" t="n">
        <ns0:f>'销售费用'!I34</ns0:f>
      </ns0:c>
      <ns0:c r="J64" s="14" t="n">
        <ns0:f>'销售费用'!J34</ns0:f>
      </ns0:c>
      <ns0:c r="K64" s="14" t="n">
        <ns0:f>'销售费用'!K34</ns0:f>
      </ns0:c>
      <ns0:c r="L64" s="14" t="n">
        <ns0:f>'销售费用'!L34</ns0:f>
      </ns0:c>
      <ns0:c r="M64" s="14" t="n">
        <ns0:f>'销售费用'!M34</ns0:f>
      </ns0:c>
      <ns0:c r="N64" s="14" t="n">
        <ns0:f>'销售费用'!N34</ns0:f>
      </ns0:c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3" t="str">
        <ns0:v>管理费用</ns0:v>
      </ns0:c>
      <ns0:c r="C65" s="14" t="n">
        <ns0:f>'管理费用'!C34</ns0:f>
      </ns0:c>
      <ns0:c r="D65" s="14" t="n">
        <ns0:f>'管理费用'!D34</ns0:f>
      </ns0:c>
      <ns0:c r="E65" s="14" t="n">
        <ns0:f>'管理费用'!E34</ns0:f>
      </ns0:c>
      <ns0:c r="F65" s="14" t="n">
        <ns0:f>'管理费用'!F34</ns0:f>
      </ns0:c>
      <ns0:c r="G65" s="14" t="n">
        <ns0:f>'管理费用'!G34</ns0:f>
      </ns0:c>
      <ns0:c r="H65" s="14" t="n">
        <ns0:f>'管理费用'!H34</ns0:f>
      </ns0:c>
      <ns0:c r="I65" s="14" t="n">
        <ns0:f>'管理费用'!I34</ns0:f>
      </ns0:c>
      <ns0:c r="J65" s="14" t="n">
        <ns0:f>'管理费用'!J34</ns0:f>
      </ns0:c>
      <ns0:c r="K65" s="14" t="n">
        <ns0:f>'管理费用'!K34</ns0:f>
      </ns0:c>
      <ns0:c r="L65" s="14" t="n">
        <ns0:f>'管理费用'!L34</ns0:f>
      </ns0:c>
      <ns0:c r="M65" s="14" t="n">
        <ns0:f>'管理费用'!M34</ns0:f>
      </ns0:c>
      <ns0:c r="N65" s="14" t="n">
        <ns0:f>'管理费用'!N34</ns0:f>
      </ns0:c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3" t="str">
        <ns0:v>其他主体费用</ns0:v>
      </ns0:c>
      <ns0:c r="C66" s="14" t="n">
        <ns0:f>'蓝恐龙费用'!C34</ns0:f>
      </ns0:c>
      <ns0:c r="D66" s="14" t="n">
        <ns0:f>'蓝恐龙费用'!D34</ns0:f>
      </ns0:c>
      <ns0:c r="E66" s="14" t="n">
        <ns0:f>'蓝恐龙费用'!E34</ns0:f>
      </ns0:c>
      <ns0:c r="F66" s="14" t="n">
        <ns0:f>'蓝恐龙费用'!F34</ns0:f>
      </ns0:c>
      <ns0:c r="G66" s="14" t="n">
        <ns0:f>'蓝恐龙费用'!G34</ns0:f>
      </ns0:c>
      <ns0:c r="H66" s="14" t="n">
        <ns0:f>'蓝恐龙费用'!H34</ns0:f>
      </ns0:c>
      <ns0:c r="I66" s="14" t="n">
        <ns0:f>'蓝恐龙费用'!I34</ns0:f>
      </ns0:c>
      <ns0:c r="J66" s="14" t="n">
        <ns0:f>'蓝恐龙费用'!J34</ns0:f>
      </ns0:c>
      <ns0:c r="K66" s="14" t="n">
        <ns0:f>'蓝恐龙费用'!K34</ns0:f>
      </ns0:c>
      <ns0:c r="L66" s="14" t="n">
        <ns0:f>'蓝恐龙费用'!L34</ns0:f>
      </ns0:c>
      <ns0:c r="M66" s="14" t="n">
        <ns0:f>'蓝恐龙费用'!M34</ns0:f>
      </ns0:c>
      <ns0:c r="N66" s="14" t="n">
        <ns0:f>'蓝恐龙费用'!N34</ns0:f>
      </ns0:c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3" t="str">
        <ns0:v>税前利润</ns0:v>
      </ns0:c>
      <ns0:c r="C67" s="14" t="n">
        <ns0:f>C61-SUM(C62:C66)</ns0:f>
      </ns0:c>
      <ns0:c r="D67" s="14" t="n">
        <ns0:f>D61-SUM(D62:D66)</ns0:f>
      </ns0:c>
      <ns0:c r="E67" s="14" t="n">
        <ns0:f>E61-SUM(E62:E66)</ns0:f>
      </ns0:c>
      <ns0:c r="F67" s="14" t="n">
        <ns0:f>F61-SUM(F62:F66)</ns0:f>
      </ns0:c>
      <ns0:c r="G67" s="14" t="n">
        <ns0:f>G61-SUM(G62:G66)</ns0:f>
      </ns0:c>
      <ns0:c r="H67" s="14" t="n">
        <ns0:f>H61-SUM(H62:H66)</ns0:f>
      </ns0:c>
      <ns0:c r="I67" s="14" t="n">
        <ns0:f>I61-SUM(I62:I66)</ns0:f>
      </ns0:c>
      <ns0:c r="J67" s="14" t="n">
        <ns0:f>J61-SUM(J62:J66)</ns0:f>
      </ns0:c>
      <ns0:c r="K67" s="14" t="n">
        <ns0:f>K61-SUM(K62:K66)</ns0:f>
      </ns0:c>
      <ns0:c r="L67" s="14" t="n">
        <ns0:f>L61-SUM(L62:L66)</ns0:f>
      </ns0:c>
      <ns0:c r="M67" s="14" t="n">
        <ns0:f>M61-SUM(M62:M66)</ns0:f>
      </ns0:c>
      <ns0:c r="N67" s="14" t="n">
        <ns0:f>N61-SUM(N62:N66)</ns0:f>
      </ns0:c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3" t="str">
        <ns0:v>所得税费用</ns0:v>
      </ns0:c>
      <ns0:c r="C68" s="14" t="n">
        <ns0:f>ROUND(MAX(C67,0)*$C$200,2)</ns0:f>
      </ns0:c>
      <ns0:c r="D68" s="14" t="n">
        <ns0:f>ROUND(MAX(D67,0)*$C$200,2)</ns0:f>
      </ns0:c>
      <ns0:c r="E68" s="14" t="n">
        <ns0:f>ROUND(MAX(E67,0)*$C$200,2)</ns0:f>
      </ns0:c>
      <ns0:c r="F68" s="14" t="n">
        <ns0:f>ROUND(MAX(F67,0)*$C$200,2)</ns0:f>
      </ns0:c>
      <ns0:c r="G68" s="14" t="n">
        <ns0:f>ROUND(MAX(G67,0)*$C$200,2)</ns0:f>
      </ns0:c>
      <ns0:c r="H68" s="14" t="n">
        <ns0:f>ROUND(MAX(H67,0)*$C$200,2)</ns0:f>
      </ns0:c>
      <ns0:c r="I68" s="14" t="n">
        <ns0:f>ROUND(MAX(I67,0)*$C$200,2)</ns0:f>
      </ns0:c>
      <ns0:c r="J68" s="14" t="n">
        <ns0:f>ROUND(MAX(J67,0)*$C$200,2)</ns0:f>
      </ns0:c>
      <ns0:c r="K68" s="14" t="n">
        <ns0:f>ROUND(MAX(K67,0)*$C$200,2)</ns0:f>
      </ns0:c>
      <ns0:c r="L68" s="14" t="n">
        <ns0:f>ROUND(MAX(L67,0)*$C$200,2)</ns0:f>
      </ns0:c>
      <ns0:c r="M68" s="14" t="n">
        <ns0:f>ROUND(MAX(M67,0)*$C$200,2)</ns0:f>
      </ns0:c>
      <ns0:c r="N68" s="14" t="n">
        <ns0:f>ROUND(MAX(N67,0)*$C$200,2)</ns0:f>
      </ns0:c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3" t="str">
        <ns0:v>净利润</ns0:v>
      </ns0:c>
      <ns0:c r="C69" s="14" t="n">
        <ns0:f>C67-C68</ns0:f>
      </ns0:c>
      <ns0:c r="D69" s="14" t="n">
        <ns0:f>D67-D68</ns0:f>
      </ns0:c>
      <ns0:c r="E69" s="14" t="n">
        <ns0:f>E67-E68</ns0:f>
      </ns0:c>
      <ns0:c r="F69" s="14" t="n">
        <ns0:f>F67-F68</ns0:f>
      </ns0:c>
      <ns0:c r="G69" s="14" t="n">
        <ns0:f>G67-G68</ns0:f>
      </ns0:c>
      <ns0:c r="H69" s="14" t="n">
        <ns0:f>H67-H68</ns0:f>
      </ns0:c>
      <ns0:c r="I69" s="14" t="n">
        <ns0:f>I67-I68</ns0:f>
      </ns0:c>
      <ns0:c r="J69" s="14" t="n">
        <ns0:f>J67-J68</ns0:f>
      </ns0:c>
      <ns0:c r="K69" s="14" t="n">
        <ns0:f>K67-K68</ns0:f>
      </ns0:c>
      <ns0:c r="L69" s="14" t="n">
        <ns0:f>L67-L68</ns0:f>
      </ns0:c>
      <ns0:c r="M69" s="14" t="n">
        <ns0:f>M67-M68</ns0:f>
      </ns0:c>
      <ns0:c r="N69" s="14" t="n">
        <ns0:f>N67-N68</ns0:f>
      </ns0:c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3" t="str">
        <ns0:v>所得税率（演示假设）</ns0:v>
      </ns0:c>
      <ns0:c r="C200" s="14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资 产 负 债 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资产</ns0:v>
      </ns0:c>
      <ns0:c r="B2" s="13" t="str">
        <ns0:v>行次</ns0:v>
      </ns0:c>
      <ns0:c r="C2" s="14" t="str">
        <ns0:v>年初数</ns0:v>
      </ns0:c>
      <ns0:c r="D2" s="14" t="str">
        <ns0:v>期末数</ns0:v>
      </ns0:c>
      <ns0:c r="E2" s="14" t="str">
        <ns0:v>负债和所有者权益        (或股东权益)</ns0:v>
      </ns0:c>
      <ns0:c r="F2" s="14" t="str">
        <ns0:v>行次</ns0:v>
      </ns0:c>
      <ns0:c r="G2" s="14" t="str">
        <ns0:v>全年预算基础</ns0:v>
      </ns0:c>
      <ns0:c r="H2" s="14" t="str">
        <ns0:v>非本次输入</ns0:v>
      </ns0:c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 t="str">
        <ns0:v>流动资产：</ns0:v>
      </ns0:c>
      <ns0:c r="B3" s="13"/>
      <ns0:c r="C3" s="14" t="str">
        <ns0:v>全年预算基础</ns0:v>
      </ns0:c>
      <ns0:c r="D3" s="14" t="str">
        <ns0:v>非本次输入</ns0:v>
      </ns0:c>
      <ns0:c r="E3" s="14" t="str">
        <ns0:v>流动负债：</ns0:v>
      </ns0:c>
      <ns0:c r="F3" s="14"/>
      <ns0:c r="G3" s="14"/>
      <ns0:c r="H3" s="14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货币资金</ns0:v>
      </ns0:c>
      <ns0:c r="B4" s="13"/>
      <ns0:c r="C4" s="14" t="n">
        <ns0:f>N61</ns0:f>
      </ns0:c>
      <ns0:c r="D4" s="14"/>
      <ns0:c r="E4" s="14" t="str">
        <ns0:v>短期借款</ns0:v>
      </ns0:c>
      <ns0:c r="F4" s="14"/>
      <ns0:c r="G4" s="14"/>
      <ns0:c r="H4" s="14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 t="str">
        <ns0:v>短期投资</ns0:v>
      </ns0:c>
      <ns0:c r="B5" s="13"/>
      <ns0:c r="C5" s="14"/>
      <ns0:c r="D5" s="14"/>
      <ns0:c r="E5" s="14" t="str">
        <ns0:v>应付票据</ns0:v>
      </ns0:c>
      <ns0:c r="F5" s="14"/>
      <ns0:c r="G5" s="14"/>
      <ns0:c r="H5" s="14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 t="str">
        <ns0:v>应收票据</ns0:v>
      </ns0:c>
      <ns0:c r="B6" s="13"/>
      <ns0:c r="C6" s="14"/>
      <ns0:c r="D6" s="14"/>
      <ns0:c r="E6" s="14" t="str">
        <ns0:v>应付账款</ns0:v>
      </ns0:c>
      <ns0:c r="F6" s="14"/>
      <ns0:c r="G6" s="14">
        <ns0:f>$C$203</ns0:f>
      </ns0:c>
      <ns0:c r="H6" s="14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 t="str">
        <ns0:v>应收股利</ns0:v>
      </ns0:c>
      <ns0:c r="B7" s="13"/>
      <ns0:c r="C7" s="14"/>
      <ns0:c r="D7" s="14"/>
      <ns0:c r="E7" s="14" t="str">
        <ns0:v>预收账款</ns0:v>
      </ns0:c>
      <ns0:c r="F7" s="14"/>
      <ns0:c r="G7" s="14"/>
      <ns0:c r="H7" s="14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 t="str">
        <ns0:v>应收利息</ns0:v>
      </ns0:c>
      <ns0:c r="B8" s="13"/>
      <ns0:c r="C8" s="14"/>
      <ns0:c r="D8" s="14"/>
      <ns0:c r="E8" s="14" t="str">
        <ns0:v>应付工资</ns0:v>
      </ns0:c>
      <ns0:c r="F8" s="14"/>
      <ns0:c r="G8" s="14"/>
      <ns0:c r="H8" s="14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 t="str">
        <ns0:v>应收账款</ns0:v>
      </ns0:c>
      <ns0:c r="B9" s="13"/>
      <ns0:c r="C9" s="14">
        <ns0:f>$C$201</ns0:f>
      </ns0:c>
      <ns0:c r="D9" s="14"/>
      <ns0:c r="E9" s="14" t="str">
        <ns0:v>应付福利费</ns0:v>
      </ns0:c>
      <ns0:c r="F9" s="14"/>
      <ns0:c r="G9" s="14"/>
      <ns0:c r="H9" s="14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 t="str">
        <ns0:v>其他应收款</ns0:v>
      </ns0:c>
      <ns0:c r="B10" s="13"/>
      <ns0:c r="C10" s="14"/>
      <ns0:c r="D10" s="14"/>
      <ns0:c r="E10" s="14" t="str">
        <ns0:v>应付利息</ns0:v>
      </ns0:c>
      <ns0:c r="F10" s="14"/>
      <ns0:c r="G10" s="14"/>
      <ns0:c r="H10" s="14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 t="str">
        <ns0:v>预付账款</ns0:v>
      </ns0:c>
      <ns0:c r="B11" s="13"/>
      <ns0:c r="C11" s="14"/>
      <ns0:c r="D11" s="14"/>
      <ns0:c r="E11" s="14" t="str">
        <ns0:v>应交税金</ns0:v>
      </ns0:c>
      <ns0:c r="F11" s="14"/>
      <ns0:c r="G11" s="14"/>
      <ns0:c r="H11" s="14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 t="str">
        <ns0:v>应收补贴款</ns0:v>
      </ns0:c>
      <ns0:c r="B12" s="13"/>
      <ns0:c r="C12" s="14"/>
      <ns0:c r="D12" s="14"/>
      <ns0:c r="E12" s="14" t="str">
        <ns0:v>其他应交款</ns0:v>
      </ns0:c>
      <ns0:c r="F12" s="14"/>
      <ns0:c r="G12" s="14"/>
      <ns0:c r="H12" s="14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 t="str">
        <ns0:v>存货</ns0:v>
      </ns0:c>
      <ns0:c r="B13" s="13"/>
      <ns0:c r="C13" s="14">
        <ns0:f>$C$202</ns0:f>
      </ns0:c>
      <ns0:c r="D13" s="14"/>
      <ns0:c r="E13" s="14" t="str">
        <ns0:v>其他应付款</ns0:v>
      </ns0:c>
      <ns0:c r="F13" s="14"/>
      <ns0:c r="G13" s="14"/>
      <ns0:c r="H13" s="14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 t="str">
        <ns0:v>待摊费用</ns0:v>
      </ns0:c>
      <ns0:c r="B14" s="13"/>
      <ns0:c r="C14" s="14"/>
      <ns0:c r="D14" s="14"/>
      <ns0:c r="E14" s="14" t="str">
        <ns0:v>预提费用</ns0:v>
      </ns0:c>
      <ns0:c r="F14" s="14"/>
      <ns0:c r="G14" s="14"/>
      <ns0:c r="H14" s="14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 t="str">
        <ns0:v>一年内到期的长期债券投资</ns0:v>
      </ns0:c>
      <ns0:c r="B15" s="13"/>
      <ns0:c r="C15" s="14"/>
      <ns0:c r="D15" s="14"/>
      <ns0:c r="E15" s="14" t="str">
        <ns0:v>预计负债</ns0:v>
      </ns0:c>
      <ns0:c r="F15" s="14"/>
      <ns0:c r="G15" s="14"/>
      <ns0:c r="H15" s="14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 t="str">
        <ns0:v>其他流动资产</ns0:v>
      </ns0:c>
      <ns0:c r="B16" s="13"/>
      <ns0:c r="C16" s="14"/>
      <ns0:c r="D16" s="14"/>
      <ns0:c r="E16" s="14" t="str">
        <ns0:v>一年内到期的长期负债</ns0:v>
      </ns0:c>
      <ns0:c r="F16" s="14"/>
      <ns0:c r="G16" s="14"/>
      <ns0:c r="H16" s="14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 t="str">
        <ns0:v>流动资产合计</ns0:v>
      </ns0:c>
      <ns0:c r="B17" s="13"/>
      <ns0:c r="C17" s="14">
        <ns0:f>C4+C9+C13</ns0:f>
      </ns0:c>
      <ns0:c r="D17" s="14"/>
      <ns0:c r="E17" s="14" t="str">
        <ns0:v>其他流动负债</ns0:v>
      </ns0:c>
      <ns0:c r="F17" s="14"/>
      <ns0:c r="G17" s="14"/>
      <ns0:c r="H17" s="14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 t="str">
        <ns0:v>长期资产：</ns0:v>
      </ns0:c>
      <ns0:c r="B18" s="13"/>
      <ns0:c r="C18" s="14"/>
      <ns0:c r="D18" s="14"/>
      <ns0:c r="E18" s="14"/>
      <ns0:c r="F18" s="14"/>
      <ns0:c r="G18" s="14"/>
      <ns0:c r="H18" s="14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 t="str">
        <ns0:v>长期股权投资</ns0:v>
      </ns0:c>
      <ns0:c r="B19" s="13"/>
      <ns0:c r="C19" s="14"/>
      <ns0:c r="D19" s="14"/>
      <ns0:c r="E19" s="14" t="str">
        <ns0:v>流动负债合计</ns0:v>
      </ns0:c>
      <ns0:c r="F19" s="14"/>
      <ns0:c r="G19" s="14">
        <ns0:f>G6</ns0:f>
      </ns0:c>
      <ns0:c r="H19" s="14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 t="str">
        <ns0:v>长期债券投资</ns0:v>
      </ns0:c>
      <ns0:c r="B20" s="13"/>
      <ns0:c r="C20" s="14"/>
      <ns0:c r="D20" s="14"/>
      <ns0:c r="E20" s="14" t="str">
        <ns0:v>长期负债：</ns0:v>
      </ns0:c>
      <ns0:c r="F20" s="14"/>
      <ns0:c r="G20" s="14"/>
      <ns0:c r="H20" s="14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长期投资合计</ns0:v>
      </ns0:c>
      <ns0:c r="B21" s="13"/>
      <ns0:c r="C21" s="14"/>
      <ns0:c r="D21" s="14"/>
      <ns0:c r="E21" s="14" t="str">
        <ns0:v>长期借款</ns0:v>
      </ns0:c>
      <ns0:c r="F21" s="14"/>
      <ns0:c r="G21" s="14"/>
      <ns0:c r="H21" s="14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 t="str">
        <ns0:v>固定资产：</ns0:v>
      </ns0:c>
      <ns0:c r="B22" s="13"/>
      <ns0:c r="C22" s="14"/>
      <ns0:c r="D22" s="14"/>
      <ns0:c r="E22" s="14" t="str">
        <ns0:v>应付债券</ns0:v>
      </ns0:c>
      <ns0:c r="F22" s="14"/>
      <ns0:c r="G22" s="14"/>
      <ns0:c r="H22" s="14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 t="str">
        <ns0:v>固定资产原价</ns0:v>
      </ns0:c>
      <ns0:c r="B23" s="13"/>
      <ns0:c r="C23" s="14"/>
      <ns0:c r="D23" s="14"/>
      <ns0:c r="E23" s="14" t="str">
        <ns0:v>长期应付款</ns0:v>
      </ns0:c>
      <ns0:c r="F23" s="14"/>
      <ns0:c r="G23" s="14"/>
      <ns0:c r="H23" s="14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 t="str">
        <ns0:v>减：累计折旧</ns0:v>
      </ns0:c>
      <ns0:c r="B24" s="13"/>
      <ns0:c r="C24" s="14"/>
      <ns0:c r="D24" s="14"/>
      <ns0:c r="E24" s="14" t="str">
        <ns0:v>专项应付款</ns0:v>
      </ns0:c>
      <ns0:c r="F24" s="14"/>
      <ns0:c r="G24" s="14"/>
      <ns0:c r="H24" s="14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固定资产净值</ns0:v>
      </ns0:c>
      <ns0:c r="B25" s="13"/>
      <ns0:c r="C25" s="14"/>
      <ns0:c r="D25" s="14"/>
      <ns0:c r="E25" s="14" t="str">
        <ns0:v>其他长期负债</ns0:v>
      </ns0:c>
      <ns0:c r="F25" s="14"/>
      <ns0:c r="G25" s="14"/>
      <ns0:c r="H25" s="14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减：固定资产减值准备</ns0:v>
      </ns0:c>
      <ns0:c r="B26" s="13"/>
      <ns0:c r="C26" s="14"/>
      <ns0:c r="D26" s="14"/>
      <ns0:c r="E26" s="14" t="str">
        <ns0:v>长期负债合计</ns0:v>
      </ns0:c>
      <ns0:c r="F26" s="14"/>
      <ns0:c r="G26" s="14"/>
      <ns0:c r="H26" s="14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固定资产净额</ns0:v>
      </ns0:c>
      <ns0:c r="B27" s="13"/>
      <ns0:c r="C27" s="14"/>
      <ns0:c r="D27" s="14"/>
      <ns0:c r="E27" s="14" t="str">
        <ns0:v>递延税项：</ns0:v>
      </ns0:c>
      <ns0:c r="F27" s="14"/>
      <ns0:c r="G27" s="14"/>
      <ns0:c r="H27" s="14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工程物资</ns0:v>
      </ns0:c>
      <ns0:c r="B28" s="13"/>
      <ns0:c r="C28" s="14"/>
      <ns0:c r="D28" s="14"/>
      <ns0:c r="E28" s="14" t="str">
        <ns0:v>递延税款贷项</ns0:v>
      </ns0:c>
      <ns0:c r="F28" s="14"/>
      <ns0:c r="G28" s="14"/>
      <ns0:c r="H28" s="14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 t="str">
        <ns0:v>在建工程</ns0:v>
      </ns0:c>
      <ns0:c r="B29" s="13"/>
      <ns0:c r="C29" s="14"/>
      <ns0:c r="D29" s="14"/>
      <ns0:c r="E29" s="14" t="str">
        <ns0:v>负债合计</ns0:v>
      </ns0:c>
      <ns0:c r="F29" s="14"/>
      <ns0:c r="G29" s="14" t="n">
        <ns0:f>N64</ns0:f>
      </ns0:c>
      <ns0:c r="H29" s="14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 t="str">
        <ns0:v>固定资产清理</ns0:v>
      </ns0:c>
      <ns0:c r="B30" s="13"/>
      <ns0:c r="C30" s="14"/>
      <ns0:c r="D30" s="14"/>
      <ns0:c r="E30" s="14"/>
      <ns0:c r="F30" s="14"/>
      <ns0:c r="G30" s="14"/>
      <ns0:c r="H30" s="14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固定资产合计</ns0:v>
      </ns0:c>
      <ns0:c r="B31" s="13"/>
      <ns0:c r="C31" s="14"/>
      <ns0:c r="D31" s="14"/>
      <ns0:c r="E31" s="14" t="str">
        <ns0:v>所有者权益(或股东权益)：</ns0:v>
      </ns0:c>
      <ns0:c r="F31" s="14"/>
      <ns0:c r="G31" s="14"/>
      <ns0:c r="H31" s="14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 t="str">
        <ns0:v>无形资产及其他资产：</ns0:v>
      </ns0:c>
      <ns0:c r="B32" s="13"/>
      <ns0:c r="C32" s="14"/>
      <ns0:c r="D32" s="14"/>
      <ns0:c r="E32" s="14" t="str">
        <ns0:v>实收资本(或股本)</ns0:v>
      </ns0:c>
      <ns0:c r="F32" s="14"/>
      <ns0:c r="G32" s="14" t="n">
        <ns0:f>N65</ns0:f>
      </ns0:c>
      <ns0:c r="H32" s="14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无形资产</ns0:v>
      </ns0:c>
      <ns0:c r="B33" s="13"/>
      <ns0:c r="C33" s="14"/>
      <ns0:c r="D33" s="14"/>
      <ns0:c r="E33" s="14" t="str">
        <ns0:v>减：已归还投资</ns0:v>
      </ns0:c>
      <ns0:c r="F33" s="14"/>
      <ns0:c r="G33" s="14"/>
      <ns0:c r="H33" s="14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长期待摊费用</ns0:v>
      </ns0:c>
      <ns0:c r="B34" s="13"/>
      <ns0:c r="C34" s="14">
        <ns0:f>N62-$C$201-$C$202</ns0:f>
      </ns0:c>
      <ns0:c r="D34" s="14"/>
      <ns0:c r="E34" s="14" t="str">
        <ns0:v>实收资本(或股本)净额</ns0:v>
      </ns0:c>
      <ns0:c r="F34" s="14"/>
      <ns0:c r="G34" s="14" t="n">
        <ns0:f>N65</ns0:f>
      </ns0:c>
      <ns0:c r="H34" s="14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其他长期资产</ns0:v>
      </ns0:c>
      <ns0:c r="B35" s="13"/>
      <ns0:c r="C35" s="14"/>
      <ns0:c r="D35" s="14"/>
      <ns0:c r="E35" s="14" t="str">
        <ns0:v>资本公积</ns0:v>
      </ns0:c>
      <ns0:c r="F35" s="14"/>
      <ns0:c r="G35" s="14"/>
      <ns0:c r="H35" s="14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无形资产及其他资产合计</ns0:v>
      </ns0:c>
      <ns0:c r="B36" s="13"/>
      <ns0:c r="C36" s="14">
        <ns0:f>C34</ns0:f>
      </ns0:c>
      <ns0:c r="D36" s="14"/>
      <ns0:c r="E36" s="14" t="str">
        <ns0:v>盈余公积</ns0:v>
      </ns0:c>
      <ns0:c r="F36" s="14"/>
      <ns0:c r="G36" s="14"/>
      <ns0:c r="H36" s="14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3"/>
      <ns0:c r="B37" s="13"/>
      <ns0:c r="C37" s="14"/>
      <ns0:c r="D37" s="14"/>
      <ns0:c r="E37" s="14" t="str">
        <ns0:v>其中：法定公益金</ns0:v>
      </ns0:c>
      <ns0:c r="F37" s="14"/>
      <ns0:c r="G37" s="14"/>
      <ns0:c r="H37" s="14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3" t="str">
        <ns0:v>递延税款：</ns0:v>
      </ns0:c>
      <ns0:c r="B38" s="13"/>
      <ns0:c r="C38" s="14"/>
      <ns0:c r="D38" s="14"/>
      <ns0:c r="E38" s="14" t="str">
        <ns0:v>未分配利润</ns0:v>
      </ns0:c>
      <ns0:c r="F38" s="14"/>
      <ns0:c r="G38" s="14" t="n">
        <ns0:f>N66</ns0:f>
      </ns0:c>
      <ns0:c r="H38" s="14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3" t="str">
        <ns0:v>递延税款借项</ns0:v>
      </ns0:c>
      <ns0:c r="B39" s="13"/>
      <ns0:c r="C39" s="14"/>
      <ns0:c r="D39" s="14"/>
      <ns0:c r="E39" s="14" t="str">
        <ns0:v>所有者权益(或股东权益)合计</ns0:v>
      </ns0:c>
      <ns0:c r="F39" s="14"/>
      <ns0:c r="G39" s="14" t="n">
        <ns0:f>N67</ns0:f>
      </ns0:c>
      <ns0:c r="H39" s="14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3" t="str">
        <ns0:v>资产总计</ns0:v>
      </ns0:c>
      <ns0:c r="B40" s="13"/>
      <ns0:c r="C40" s="14" t="n">
        <ns0:f>N63</ns0:f>
      </ns0:c>
      <ns0:c r="D40" s="14"/>
      <ns0:c r="E40" s="14" t="str">
        <ns0:v>负债和所有者权益(或股东权益)总计</ns0:v>
      </ns0:c>
      <ns0:c r="F40" s="14"/>
      <ns0:c r="G40" s="14" t="n">
        <ns0:f>N68</ns0:f>
      </ns0:c>
      <ns0:c r="H40" s="14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3" t="str">
        <ns0:v>预算基础月度勾稽</ns0:v>
      </ns0:c>
      <ns0:c r="C60" s="14" t="str">
        <ns0:v>1月</ns0:v>
      </ns0:c>
      <ns0:c r="D60" s="14" t="str">
        <ns0:v>2月</ns0:v>
      </ns0:c>
      <ns0:c r="E60" s="14" t="str">
        <ns0:v>3月</ns0:v>
      </ns0:c>
      <ns0:c r="F60" s="14" t="str">
        <ns0:v>4月</ns0:v>
      </ns0:c>
      <ns0:c r="G60" s="14" t="str">
        <ns0:v>5月</ns0:v>
      </ns0:c>
      <ns0:c r="H60" s="14" t="str">
        <ns0:v>6月</ns0:v>
      </ns0:c>
      <ns0:c r="I60" s="14" t="str">
        <ns0:v>7月</ns0:v>
      </ns0:c>
      <ns0:c r="J60" s="14" t="str">
        <ns0:v>8月</ns0:v>
      </ns0:c>
      <ns0:c r="K60" s="14" t="str">
        <ns0:v>9月</ns0:v>
      </ns0:c>
      <ns0:c r="L60" s="14" t="str">
        <ns0:v>10月</ns0:v>
      </ns0:c>
      <ns0:c r="M60" s="14" t="str">
        <ns0:v>11月</ns0:v>
      </ns0:c>
      <ns0:c r="N60" s="14" t="str">
        <ns0:v>12月</ns0:v>
      </ns0:c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3" t="str">
        <ns0:v>货币资金</ns0:v>
      </ns0:c>
      <ns0:c r="C61" s="14" t="n">
        <ns0:f>'现金流量表'!C68</ns0:f>
      </ns0:c>
      <ns0:c r="D61" s="14" t="n">
        <ns0:f>'现金流量表'!D68</ns0:f>
      </ns0:c>
      <ns0:c r="E61" s="14" t="n">
        <ns0:f>'现金流量表'!E68</ns0:f>
      </ns0:c>
      <ns0:c r="F61" s="14" t="n">
        <ns0:f>'现金流量表'!F68</ns0:f>
      </ns0:c>
      <ns0:c r="G61" s="14" t="n">
        <ns0:f>'现金流量表'!G68</ns0:f>
      </ns0:c>
      <ns0:c r="H61" s="14" t="n">
        <ns0:f>'现金流量表'!H68</ns0:f>
      </ns0:c>
      <ns0:c r="I61" s="14" t="n">
        <ns0:f>'现金流量表'!I68</ns0:f>
      </ns0:c>
      <ns0:c r="J61" s="14" t="n">
        <ns0:f>'现金流量表'!J68</ns0:f>
      </ns0:c>
      <ns0:c r="K61" s="14" t="n">
        <ns0:f>'现金流量表'!K68</ns0:f>
      </ns0:c>
      <ns0:c r="L61" s="14" t="n">
        <ns0:f>'现金流量表'!L68</ns0:f>
      </ns0:c>
      <ns0:c r="M61" s="14" t="n">
        <ns0:f>'现金流量表'!M68</ns0:f>
      </ns0:c>
      <ns0:c r="N61" s="14" t="n">
        <ns0:f>'现金流量表'!N68</ns0:f>
      </ns0:c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3" t="inlineStr">
        <ns0:is>
          <ns0:t>未摊销资产及营运资金</ns0:t>
        </ns0:is>
      </ns0:c>
      <ns0:c r="C62" s="14">
        <ns0:f>'摊销明细'!$C$31-SUM('现金流量表'!$C62:C62)+$C$201+$C$202</ns0:f>
      </ns0:c>
      <ns0:c r="D62" s="14">
        <ns0:f>'摊销明细'!$C$31-SUM('现金流量表'!$C62:D62)+$C$201+$C$202</ns0:f>
      </ns0:c>
      <ns0:c r="E62" s="14">
        <ns0:f>'摊销明细'!$C$31-SUM('现金流量表'!$C62:E62)+$C$201+$C$202</ns0:f>
      </ns0:c>
      <ns0:c r="F62" s="14">
        <ns0:f>'摊销明细'!$C$31-SUM('现金流量表'!$C62:F62)+$C$201+$C$202</ns0:f>
      </ns0:c>
      <ns0:c r="G62" s="14">
        <ns0:f>'摊销明细'!$C$31-SUM('现金流量表'!$C62:G62)+$C$201+$C$202</ns0:f>
      </ns0:c>
      <ns0:c r="H62" s="14">
        <ns0:f>'摊销明细'!$C$31-SUM('现金流量表'!$C62:H62)+$C$201+$C$202</ns0:f>
      </ns0:c>
      <ns0:c r="I62" s="14">
        <ns0:f>'摊销明细'!$C$31-SUM('现金流量表'!$C62:I62)+$C$201+$C$202</ns0:f>
      </ns0:c>
      <ns0:c r="J62" s="14">
        <ns0:f>'摊销明细'!$C$31-SUM('现金流量表'!$C62:J62)+$C$201+$C$202</ns0:f>
      </ns0:c>
      <ns0:c r="K62" s="14">
        <ns0:f>'摊销明细'!$C$31-SUM('现金流量表'!$C62:K62)+$C$201+$C$202</ns0:f>
      </ns0:c>
      <ns0:c r="L62" s="14">
        <ns0:f>'摊销明细'!$C$31-SUM('现金流量表'!$C62:L62)+$C$201+$C$202</ns0:f>
      </ns0:c>
      <ns0:c r="M62" s="14">
        <ns0:f>'摊销明细'!$C$31-SUM('现金流量表'!$C62:M62)+$C$201+$C$202</ns0:f>
      </ns0:c>
      <ns0:c r="N62" s="14">
        <ns0:f>'摊销明细'!$C$31-SUM('现金流量表'!$C62:N62)+$C$201+$C$202</ns0:f>
      </ns0:c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3" t="str">
        <ns0:v>资产总额</ns0:v>
      </ns0:c>
      <ns0:c r="C63" s="14" t="n">
        <ns0:f>SUM(C61:C62)</ns0:f>
      </ns0:c>
      <ns0:c r="D63" s="14" t="n">
        <ns0:f>SUM(D61:D62)</ns0:f>
      </ns0:c>
      <ns0:c r="E63" s="14" t="n">
        <ns0:f>SUM(E61:E62)</ns0:f>
      </ns0:c>
      <ns0:c r="F63" s="14" t="n">
        <ns0:f>SUM(F61:F62)</ns0:f>
      </ns0:c>
      <ns0:c r="G63" s="14" t="n">
        <ns0:f>SUM(G61:G62)</ns0:f>
      </ns0:c>
      <ns0:c r="H63" s="14" t="n">
        <ns0:f>SUM(H61:H62)</ns0:f>
      </ns0:c>
      <ns0:c r="I63" s="14" t="n">
        <ns0:f>SUM(I61:I62)</ns0:f>
      </ns0:c>
      <ns0:c r="J63" s="14" t="n">
        <ns0:f>SUM(J61:J62)</ns0:f>
      </ns0:c>
      <ns0:c r="K63" s="14" t="n">
        <ns0:f>SUM(K61:K62)</ns0:f>
      </ns0:c>
      <ns0:c r="L63" s="14" t="n">
        <ns0:f>SUM(L61:L62)</ns0:f>
      </ns0:c>
      <ns0:c r="M63" s="14" t="n">
        <ns0:f>SUM(M61:M62)</ns0:f>
      </ns0:c>
      <ns0:c r="N63" s="14" t="n">
        <ns0:f>SUM(N61:N62)</ns0:f>
      </ns0:c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3" t="str">
        <ns0:v>负债总额</ns0:v>
      </ns0:c>
      <ns0:c r="C64" s="14">
        <ns0:f>$C$203</ns0:f>
      </ns0:c>
      <ns0:c r="D64" s="14">
        <ns0:f>$C$203</ns0:f>
      </ns0:c>
      <ns0:c r="E64" s="14">
        <ns0:f>$C$203</ns0:f>
      </ns0:c>
      <ns0:c r="F64" s="14">
        <ns0:f>$C$203</ns0:f>
      </ns0:c>
      <ns0:c r="G64" s="14">
        <ns0:f>$C$203</ns0:f>
      </ns0:c>
      <ns0:c r="H64" s="14">
        <ns0:f>$C$203</ns0:f>
      </ns0:c>
      <ns0:c r="I64" s="14">
        <ns0:f>$C$203</ns0:f>
      </ns0:c>
      <ns0:c r="J64" s="14">
        <ns0:f>$C$203</ns0:f>
      </ns0:c>
      <ns0:c r="K64" s="14">
        <ns0:f>$C$203</ns0:f>
      </ns0:c>
      <ns0:c r="L64" s="14">
        <ns0:f>$C$203</ns0:f>
      </ns0:c>
      <ns0:c r="M64" s="14">
        <ns0:f>$C$203</ns0:f>
      </ns0:c>
      <ns0:c r="N64" s="14">
        <ns0:f>$C$203</ns0:f>
      </ns0:c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3" t="str">
        <ns0:v>实收资本</ns0:v>
      </ns0:c>
      <ns0:c r="C65" s="14">
        <ns0:f>$C$200+'摊销明细'!$C$31+$C$201+$C$202-$C$203</ns0:f>
      </ns0:c>
      <ns0:c r="D65" s="14">
        <ns0:f>$C$200+'摊销明细'!$C$31+$C$201+$C$202-$C$203</ns0:f>
      </ns0:c>
      <ns0:c r="E65" s="14">
        <ns0:f>$C$200+'摊销明细'!$C$31+$C$201+$C$202-$C$203</ns0:f>
      </ns0:c>
      <ns0:c r="F65" s="14">
        <ns0:f>$C$200+'摊销明细'!$C$31+$C$201+$C$202-$C$203</ns0:f>
      </ns0:c>
      <ns0:c r="G65" s="14">
        <ns0:f>$C$200+'摊销明细'!$C$31+$C$201+$C$202-$C$203</ns0:f>
      </ns0:c>
      <ns0:c r="H65" s="14">
        <ns0:f>$C$200+'摊销明细'!$C$31+$C$201+$C$202-$C$203</ns0:f>
      </ns0:c>
      <ns0:c r="I65" s="14">
        <ns0:f>$C$200+'摊销明细'!$C$31+$C$201+$C$202-$C$203</ns0:f>
      </ns0:c>
      <ns0:c r="J65" s="14">
        <ns0:f>$C$200+'摊销明细'!$C$31+$C$201+$C$202-$C$203</ns0:f>
      </ns0:c>
      <ns0:c r="K65" s="14">
        <ns0:f>$C$200+'摊销明细'!$C$31+$C$201+$C$202-$C$203</ns0:f>
      </ns0:c>
      <ns0:c r="L65" s="14">
        <ns0:f>$C$200+'摊销明细'!$C$31+$C$201+$C$202-$C$203</ns0:f>
      </ns0:c>
      <ns0:c r="M65" s="14">
        <ns0:f>$C$200+'摊销明细'!$C$31+$C$201+$C$202-$C$203</ns0:f>
      </ns0:c>
      <ns0:c r="N65" s="14">
        <ns0:f>$C$200+'摊销明细'!$C$31+$C$201+$C$202-$C$203</ns0:f>
      </ns0:c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3" t="str">
        <ns0:v>累计未分配利润</ns0:v>
      </ns0:c>
      <ns0:c r="C66" s="14" t="n">
        <ns0:f>SUM('利润表'!$C69:C69)</ns0:f>
      </ns0:c>
      <ns0:c r="D66" s="14" t="n">
        <ns0:f>SUM('利润表'!$C69:D69)</ns0:f>
      </ns0:c>
      <ns0:c r="E66" s="14" t="n">
        <ns0:f>SUM('利润表'!$C69:E69)</ns0:f>
      </ns0:c>
      <ns0:c r="F66" s="14" t="n">
        <ns0:f>SUM('利润表'!$C69:F69)</ns0:f>
      </ns0:c>
      <ns0:c r="G66" s="14" t="n">
        <ns0:f>SUM('利润表'!$C69:G69)</ns0:f>
      </ns0:c>
      <ns0:c r="H66" s="14" t="n">
        <ns0:f>SUM('利润表'!$C69:H69)</ns0:f>
      </ns0:c>
      <ns0:c r="I66" s="14" t="n">
        <ns0:f>SUM('利润表'!$C69:I69)</ns0:f>
      </ns0:c>
      <ns0:c r="J66" s="14" t="n">
        <ns0:f>SUM('利润表'!$C69:J69)</ns0:f>
      </ns0:c>
      <ns0:c r="K66" s="14" t="n">
        <ns0:f>SUM('利润表'!$C69:K69)</ns0:f>
      </ns0:c>
      <ns0:c r="L66" s="14" t="n">
        <ns0:f>SUM('利润表'!$C69:L69)</ns0:f>
      </ns0:c>
      <ns0:c r="M66" s="14" t="n">
        <ns0:f>SUM('利润表'!$C69:M69)</ns0:f>
      </ns0:c>
      <ns0:c r="N66" s="14" t="n">
        <ns0:f>SUM('利润表'!$C69:N69)</ns0:f>
      </ns0:c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3" t="str">
        <ns0:v>所有者权益</ns0:v>
      </ns0:c>
      <ns0:c r="C67" s="14" t="n">
        <ns0:f>SUM(C65:C66)</ns0:f>
      </ns0:c>
      <ns0:c r="D67" s="14" t="n">
        <ns0:f>SUM(D65:D66)</ns0:f>
      </ns0:c>
      <ns0:c r="E67" s="14" t="n">
        <ns0:f>SUM(E65:E66)</ns0:f>
      </ns0:c>
      <ns0:c r="F67" s="14" t="n">
        <ns0:f>SUM(F65:F66)</ns0:f>
      </ns0:c>
      <ns0:c r="G67" s="14" t="n">
        <ns0:f>SUM(G65:G66)</ns0:f>
      </ns0:c>
      <ns0:c r="H67" s="14" t="n">
        <ns0:f>SUM(H65:H66)</ns0:f>
      </ns0:c>
      <ns0:c r="I67" s="14" t="n">
        <ns0:f>SUM(I65:I66)</ns0:f>
      </ns0:c>
      <ns0:c r="J67" s="14" t="n">
        <ns0:f>SUM(J65:J66)</ns0:f>
      </ns0:c>
      <ns0:c r="K67" s="14" t="n">
        <ns0:f>SUM(K65:K66)</ns0:f>
      </ns0:c>
      <ns0:c r="L67" s="14" t="n">
        <ns0:f>SUM(L65:L66)</ns0:f>
      </ns0:c>
      <ns0:c r="M67" s="14" t="n">
        <ns0:f>SUM(M65:M66)</ns0:f>
      </ns0:c>
      <ns0:c r="N67" s="14" t="n">
        <ns0:f>SUM(N65:N66)</ns0:f>
      </ns0:c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3" t="str">
        <ns0:v>负债及权益合计</ns0:v>
      </ns0:c>
      <ns0:c r="C68" s="14" t="n">
        <ns0:f>SUM(C64,C67)</ns0:f>
      </ns0:c>
      <ns0:c r="D68" s="14" t="n">
        <ns0:f>SUM(D64,D67)</ns0:f>
      </ns0:c>
      <ns0:c r="E68" s="14" t="n">
        <ns0:f>SUM(E64,E67)</ns0:f>
      </ns0:c>
      <ns0:c r="F68" s="14" t="n">
        <ns0:f>SUM(F64,F67)</ns0:f>
      </ns0:c>
      <ns0:c r="G68" s="14" t="n">
        <ns0:f>SUM(G64,G67)</ns0:f>
      </ns0:c>
      <ns0:c r="H68" s="14" t="n">
        <ns0:f>SUM(H64,H67)</ns0:f>
      </ns0:c>
      <ns0:c r="I68" s="14" t="n">
        <ns0:f>SUM(I64,I67)</ns0:f>
      </ns0:c>
      <ns0:c r="J68" s="14" t="n">
        <ns0:f>SUM(J64,J67)</ns0:f>
      </ns0:c>
      <ns0:c r="K68" s="14" t="n">
        <ns0:f>SUM(K64,K67)</ns0:f>
      </ns0:c>
      <ns0:c r="L68" s="14" t="n">
        <ns0:f>SUM(L64,L67)</ns0:f>
      </ns0:c>
      <ns0:c r="M68" s="14" t="n">
        <ns0:f>SUM(M64,M67)</ns0:f>
      </ns0:c>
      <ns0:c r="N68" s="14" t="n">
        <ns0:f>SUM(N64,N67)</ns0:f>
      </ns0:c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3" t="str">
        <ns0:v>期初现金（投入资本）</ns0:v>
      </ns0:c>
      <ns0:c r="C200" s="14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3" t="inlineStr">
        <ns0:is>
          <ns0:t>应收账款</ns0:t>
        </ns0:is>
      </ns0:c>
      <ns0:c r="C201" s="14">
        <ns0:f>ROUND('利润表'!$C$4*45/360,2)</ns0:f>
      </ns0:c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3" t="inlineStr">
        <ns0:is>
          <ns0:t>存货</ns0:t>
        </ns0:is>
      </ns0:c>
      <ns0:c r="C202" s="14">
        <ns0:f>ROUND('利润表'!$C$5*30/360,2)</ns0:f>
      </ns0:c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3" t="inlineStr">
        <ns0:is>
          <ns0:t>应付账款</ns0:t>
        </ns0:is>
      </ns0:c>
      <ns0:c r="C203" s="14">
        <ns0:f>ROUND('利润表'!$C$5*20/360,2)</ns0:f>
      </ns0:c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现金流量表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      目</ns0:v>
      </ns0:c>
      <ns0:c r="B2" s="13" t="str">
        <ns0:v>行次</ns0:v>
      </ns0:c>
      <ns0:c r="C2" s="14"/>
      <ns0:c r="D2" s="14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 t="str">
        <ns0:v>一、经营活动产生的现金流量：</ns0:v>
      </ns0:c>
      <ns0:c r="B3" s="13"/>
      <ns0:c r="C3" s="14" t="str">
        <ns0:v>全年预算基础</ns0:v>
      </ns0:c>
      <ns0:c r="D3" s="14" t="str">
        <ns0:v>非本次输入</ns0:v>
      </ns0:c>
      <ns0:c r="E3" s="12"/>
      <ns0:c r="F3" s="12"/>
      <ns0:c r="G3" s="12"/>
      <ns0:c r="H3" s="12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销售商品、提供劳务收到的现金</ns0:v>
      </ns0:c>
      <ns0:c r="B4" s="13"/>
      <ns0:c r="C4" s="14"/>
      <ns0:c r="D4" s="14"/>
      <ns0:c r="E4" s="12"/>
      <ns0:c r="F4" s="12"/>
      <ns0:c r="G4" s="12"/>
      <ns0:c r="H4" s="12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 t="str">
        <ns0:v>收到的税费返还</ns0:v>
      </ns0:c>
      <ns0:c r="B5" s="13"/>
      <ns0:c r="C5" s="14"/>
      <ns0:c r="D5" s="14"/>
      <ns0:c r="E5" s="12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 t="str">
        <ns0:v>收到其他与经营活动有关的现金</ns0:v>
      </ns0:c>
      <ns0:c r="B6" s="13"/>
      <ns0:c r="C6" s="14"/>
      <ns0:c r="D6" s="14"/>
      <ns0:c r="E6" s="12"/>
      <ns0:c r="F6" s="12"/>
      <ns0:c r="G6" s="12"/>
      <ns0:c r="H6" s="12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 t="str">
        <ns0:v>经营活动现金流入小计</ns0:v>
      </ns0:c>
      <ns0:c r="B7" s="13"/>
      <ns0:c r="C7" s="14"/>
      <ns0:c r="D7" s="14"/>
      <ns0:c r="E7" s="12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 t="str">
        <ns0:v>购买商品、接受劳务支付的现金（04）</ns0:v>
      </ns0:c>
      <ns0:c r="B8" s="13"/>
      <ns0:c r="C8" s="14"/>
      <ns0:c r="D8" s="14"/>
      <ns0:c r="E8" s="12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 t="str">
        <ns0:v>支付给职工以及为职工支付的现金（05）</ns0:v>
      </ns0:c>
      <ns0:c r="B9" s="13"/>
      <ns0:c r="C9" s="14"/>
      <ns0:c r="D9" s="14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 t="str">
        <ns0:v>支付的各项税费（06）</ns0:v>
      </ns0:c>
      <ns0:c r="B10" s="13"/>
      <ns0:c r="C10" s="14"/>
      <ns0:c r="D10" s="14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 t="str">
        <ns0:v>支付其他与经营活动有关的现金（07）</ns0:v>
      </ns0:c>
      <ns0:c r="B11" s="13"/>
      <ns0:c r="C11" s="14"/>
      <ns0:c r="D11" s="14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 t="str">
        <ns0:v>经营活动现金流出小计</ns0:v>
      </ns0:c>
      <ns0:c r="B12" s="13"/>
      <ns0:c r="C12" s="14"/>
      <ns0:c r="D12" s="14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 t="str">
        <ns0:v>经营活动产生的现金流量净额</ns0:v>
      </ns0:c>
      <ns0:c r="B13" s="13"/>
      <ns0:c r="C13" s="14" t="n">
        <ns0:f>SUM(C63:N63)</ns0:f>
      </ns0:c>
      <ns0:c r="D13" s="14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 t="str">
        <ns0:v>二、投资活动产生的现金流量：</ns0:v>
      </ns0:c>
      <ns0:c r="B14" s="13"/>
      <ns0:c r="C14" s="14"/>
      <ns0:c r="D14" s="14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 t="str">
        <ns0:v>收回投资收到的现金</ns0:v>
      </ns0:c>
      <ns0:c r="B15" s="13"/>
      <ns0:c r="C15" s="14"/>
      <ns0:c r="D15" s="14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 t="str">
        <ns0:v>取得投资收益收到的现金</ns0:v>
      </ns0:c>
      <ns0:c r="B16" s="13"/>
      <ns0:c r="C16" s="14"/>
      <ns0:c r="D16" s="14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 t="str">
        <ns0:v>处置固定资产、无形资产和其他长期资产收回的现金净额</ns0:v>
      </ns0:c>
      <ns0:c r="B17" s="13"/>
      <ns0:c r="C17" s="14"/>
      <ns0:c r="D17" s="14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 t="str">
        <ns0:v>处置子公司及其他营业单位收到的现金净额</ns0:v>
      </ns0:c>
      <ns0:c r="B18" s="13"/>
      <ns0:c r="C18" s="14"/>
      <ns0:c r="D18" s="14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 t="str">
        <ns0:v>收到其他与投资活动有关的现金</ns0:v>
      </ns0:c>
      <ns0:c r="B19" s="13"/>
      <ns0:c r="C19" s="14"/>
      <ns0:c r="D19" s="14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 t="str">
        <ns0:v>投资活动现金流入小计</ns0:v>
      </ns0:c>
      <ns0:c r="B20" s="13"/>
      <ns0:c r="C20" s="14"/>
      <ns0:c r="D20" s="14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购建固定资产、无形资产和其他长期资产支付的现金（13）</ns0:v>
      </ns0:c>
      <ns0:c r="B21" s="13"/>
      <ns0:c r="C21" s="14"/>
      <ns0:c r="D21" s="14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 t="str">
        <ns0:v>投资支付的现金（14）</ns0:v>
      </ns0:c>
      <ns0:c r="B22" s="13"/>
      <ns0:c r="C22" s="14"/>
      <ns0:c r="D22" s="14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 t="str">
        <ns0:v>取得子公司及其他营业单位支付的现金净额</ns0:v>
      </ns0:c>
      <ns0:c r="B23" s="13"/>
      <ns0:c r="C23" s="14"/>
      <ns0:c r="D23" s="14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 t="str">
        <ns0:v>支付其他与投资活动有关的现金</ns0:v>
      </ns0:c>
      <ns0:c r="B24" s="13"/>
      <ns0:c r="C24" s="14"/>
      <ns0:c r="D24" s="14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投资活动现金流出小计</ns0:v>
      </ns0:c>
      <ns0:c r="B25" s="13"/>
      <ns0:c r="C25" s="14"/>
      <ns0:c r="D25" s="14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投资活动产生的现金流量净额</ns0:v>
      </ns0:c>
      <ns0:c r="B26" s="13"/>
      <ns0:c r="C26" s="14" t="n">
        <ns0:f>SUM(C64:N64)</ns0:f>
      </ns0:c>
      <ns0:c r="D26" s="14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三、筹资活动产生的现金流量：</ns0:v>
      </ns0:c>
      <ns0:c r="B27" s="13"/>
      <ns0:c r="C27" s="14"/>
      <ns0:c r="D27" s="14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吸收投资收到的现金</ns0:v>
      </ns0:c>
      <ns0:c r="B28" s="13"/>
      <ns0:c r="C28" s="14"/>
      <ns0:c r="D28" s="14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 t="str">
        <ns0:v>取得借款收到的现金</ns0:v>
      </ns0:c>
      <ns0:c r="B29" s="13"/>
      <ns0:c r="C29" s="14"/>
      <ns0:c r="D29" s="14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 t="str">
        <ns0:v>收到其他与筹资活动有关的现金</ns0:v>
      </ns0:c>
      <ns0:c r="B30" s="13"/>
      <ns0:c r="C30" s="14"/>
      <ns0:c r="D30" s="14"/>
      <ns0:c r="E30" s="12"/>
      <ns0:c r="F30" s="12"/>
      <ns0:c r="G30" s="12"/>
      <ns0:c r="H30" s="12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筹资活动现金流入小计</ns0:v>
      </ns0:c>
      <ns0:c r="B31" s="13"/>
      <ns0:c r="C31" s="14"/>
      <ns0:c r="D31" s="14"/>
      <ns0:c r="E31" s="12"/>
      <ns0:c r="F31" s="12"/>
      <ns0:c r="G31" s="12"/>
      <ns0:c r="H31" s="12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 t="str">
        <ns0:v>偿还债务支付的现金</ns0:v>
      </ns0:c>
      <ns0:c r="B32" s="13"/>
      <ns0:c r="C32" s="14"/>
      <ns0:c r="D32" s="14"/>
      <ns0:c r="E32" s="12"/>
      <ns0:c r="F32" s="12"/>
      <ns0:c r="G32" s="12"/>
      <ns0:c r="H32" s="12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分配股利、利润或偿付利息支付的现金</ns0:v>
      </ns0:c>
      <ns0:c r="B33" s="13"/>
      <ns0:c r="C33" s="14"/>
      <ns0:c r="D33" s="14"/>
      <ns0:c r="E33" s="12"/>
      <ns0:c r="F33" s="12"/>
      <ns0:c r="G33" s="12"/>
      <ns0:c r="H33" s="12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支付其他与筹资活动有关的现金</ns0:v>
      </ns0:c>
      <ns0:c r="B34" s="13"/>
      <ns0:c r="C34" s="14"/>
      <ns0:c r="D34" s="14"/>
      <ns0:c r="E34" s="12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筹资活动现金流出小计</ns0:v>
      </ns0:c>
      <ns0:c r="B35" s="13"/>
      <ns0:c r="C35" s="14"/>
      <ns0:c r="D35" s="14"/>
      <ns0:c r="E35" s="12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筹资活动产生的现金流量净额</ns0:v>
      </ns0:c>
      <ns0:c r="B36" s="13"/>
      <ns0:c r="C36" s="14" t="n">
        <ns0:f>SUM(C65:N65)</ns0:f>
      </ns0:c>
      <ns0:c r="D36" s="14"/>
      <ns0:c r="E36" s="12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3" t="str">
        <ns0:v>四、汇率变动对现金及现金等价物的影响</ns0:v>
      </ns0:c>
      <ns0:c r="B37" s="13"/>
      <ns0:c r="C37" s="14"/>
      <ns0:c r="D37" s="14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3" t="str">
        <ns0:v>五、现金及现金等价物净增加额</ns0:v>
      </ns0:c>
      <ns0:c r="B38" s="13"/>
      <ns0:c r="C38" s="14" t="n">
        <ns0:f>SUM(C66:N66)</ns0:f>
      </ns0:c>
      <ns0:c r="D38" s="14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3" t="str">
        <ns0:v>加：期初现金及现金等价物余额</ns0:v>
      </ns0:c>
      <ns0:c r="B39" s="13"/>
      <ns0:c r="C39" s="14" t="n">
        <ns0:f>C67</ns0:f>
      </ns0:c>
      <ns0:c r="D39" s="14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3" t="str">
        <ns0:v>六、期末现金及现金等价物余额</ns0:v>
      </ns0:c>
      <ns0:c r="B40" s="13"/>
      <ns0:c r="C40" s="14" t="n">
        <ns0:f>N68</ns0:f>
      </ns0:c>
      <ns0:c r="D40" s="14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3" t="str">
        <ns0:v>预算基础月度勾稽</ns0:v>
      </ns0:c>
      <ns0:c r="C60" s="14" t="str">
        <ns0:v>1月</ns0:v>
      </ns0:c>
      <ns0:c r="D60" s="14" t="str">
        <ns0:v>2月</ns0:v>
      </ns0:c>
      <ns0:c r="E60" s="14" t="str">
        <ns0:v>3月</ns0:v>
      </ns0:c>
      <ns0:c r="F60" s="14" t="str">
        <ns0:v>4月</ns0:v>
      </ns0:c>
      <ns0:c r="G60" s="14" t="str">
        <ns0:v>5月</ns0:v>
      </ns0:c>
      <ns0:c r="H60" s="14" t="str">
        <ns0:v>6月</ns0:v>
      </ns0:c>
      <ns0:c r="I60" s="14" t="str">
        <ns0:v>7月</ns0:v>
      </ns0:c>
      <ns0:c r="J60" s="14" t="str">
        <ns0:v>8月</ns0:v>
      </ns0:c>
      <ns0:c r="K60" s="14" t="str">
        <ns0:v>9月</ns0:v>
      </ns0:c>
      <ns0:c r="L60" s="14" t="str">
        <ns0:v>10月</ns0:v>
      </ns0:c>
      <ns0:c r="M60" s="14" t="str">
        <ns0:v>11月</ns0:v>
      </ns0:c>
      <ns0:c r="N60" s="14" t="str">
        <ns0:v>12月</ns0:v>
      </ns0:c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3" t="str">
        <ns0:v>净利润</ns0:v>
      </ns0:c>
      <ns0:c r="C61" s="14" t="n">
        <ns0:f>'利润表'!C69</ns0:f>
      </ns0:c>
      <ns0:c r="D61" s="14" t="n">
        <ns0:f>'利润表'!D69</ns0:f>
      </ns0:c>
      <ns0:c r="E61" s="14" t="n">
        <ns0:f>'利润表'!E69</ns0:f>
      </ns0:c>
      <ns0:c r="F61" s="14" t="n">
        <ns0:f>'利润表'!F69</ns0:f>
      </ns0:c>
      <ns0:c r="G61" s="14" t="n">
        <ns0:f>'利润表'!G69</ns0:f>
      </ns0:c>
      <ns0:c r="H61" s="14" t="n">
        <ns0:f>'利润表'!H69</ns0:f>
      </ns0:c>
      <ns0:c r="I61" s="14" t="n">
        <ns0:f>'利润表'!I69</ns0:f>
      </ns0:c>
      <ns0:c r="J61" s="14" t="n">
        <ns0:f>'利润表'!J69</ns0:f>
      </ns0:c>
      <ns0:c r="K61" s="14" t="n">
        <ns0:f>'利润表'!K69</ns0:f>
      </ns0:c>
      <ns0:c r="L61" s="14" t="n">
        <ns0:f>'利润表'!L69</ns0:f>
      </ns0:c>
      <ns0:c r="M61" s="14" t="n">
        <ns0:f>'利润表'!M69</ns0:f>
      </ns0:c>
      <ns0:c r="N61" s="14" t="n">
        <ns0:f>'利润表'!N69</ns0:f>
      </ns0:c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3" t="str">
        <ns0:v>折旧摊销加回</ns0:v>
      </ns0:c>
      <ns0:c r="C62" s="14" t="n">
        <ns0:f>'销售费用'!C20+'管理费用'!C20+'蓝恐龙费用'!C20</ns0:f>
      </ns0:c>
      <ns0:c r="D62" s="14" t="n">
        <ns0:f>'销售费用'!D20+'管理费用'!D20+'蓝恐龙费用'!D20</ns0:f>
      </ns0:c>
      <ns0:c r="E62" s="14" t="n">
        <ns0:f>'销售费用'!E20+'管理费用'!E20+'蓝恐龙费用'!E20</ns0:f>
      </ns0:c>
      <ns0:c r="F62" s="14" t="n">
        <ns0:f>'销售费用'!F20+'管理费用'!F20+'蓝恐龙费用'!F20</ns0:f>
      </ns0:c>
      <ns0:c r="G62" s="14" t="n">
        <ns0:f>'销售费用'!G20+'管理费用'!G20+'蓝恐龙费用'!G20</ns0:f>
      </ns0:c>
      <ns0:c r="H62" s="14" t="n">
        <ns0:f>'销售费用'!H20+'管理费用'!H20+'蓝恐龙费用'!H20</ns0:f>
      </ns0:c>
      <ns0:c r="I62" s="14" t="n">
        <ns0:f>'销售费用'!I20+'管理费用'!I20+'蓝恐龙费用'!I20</ns0:f>
      </ns0:c>
      <ns0:c r="J62" s="14" t="n">
        <ns0:f>'销售费用'!J20+'管理费用'!J20+'蓝恐龙费用'!J20</ns0:f>
      </ns0:c>
      <ns0:c r="K62" s="14" t="n">
        <ns0:f>'销售费用'!K20+'管理费用'!K20+'蓝恐龙费用'!K20</ns0:f>
      </ns0:c>
      <ns0:c r="L62" s="14" t="n">
        <ns0:f>'销售费用'!L20+'管理费用'!L20+'蓝恐龙费用'!L20</ns0:f>
      </ns0:c>
      <ns0:c r="M62" s="14" t="n">
        <ns0:f>'销售费用'!M20+'管理费用'!M20+'蓝恐龙费用'!M20</ns0:f>
      </ns0:c>
      <ns0:c r="N62" s="14" t="n">
        <ns0:f>'销售费用'!N20+'管理费用'!N20+'蓝恐龙费用'!N20</ns0:f>
      </ns0:c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3" t="str">
        <ns0:v>经营现金净流量</ns0:v>
      </ns0:c>
      <ns0:c r="C63" s="14" t="n">
        <ns0:f>SUM(C61:C62)</ns0:f>
      </ns0:c>
      <ns0:c r="D63" s="14" t="n">
        <ns0:f>SUM(D61:D62)</ns0:f>
      </ns0:c>
      <ns0:c r="E63" s="14" t="n">
        <ns0:f>SUM(E61:E62)</ns0:f>
      </ns0:c>
      <ns0:c r="F63" s="14" t="n">
        <ns0:f>SUM(F61:F62)</ns0:f>
      </ns0:c>
      <ns0:c r="G63" s="14" t="n">
        <ns0:f>SUM(G61:G62)</ns0:f>
      </ns0:c>
      <ns0:c r="H63" s="14" t="n">
        <ns0:f>SUM(H61:H62)</ns0:f>
      </ns0:c>
      <ns0:c r="I63" s="14" t="n">
        <ns0:f>SUM(I61:I62)</ns0:f>
      </ns0:c>
      <ns0:c r="J63" s="14" t="n">
        <ns0:f>SUM(J61:J62)</ns0:f>
      </ns0:c>
      <ns0:c r="K63" s="14" t="n">
        <ns0:f>SUM(K61:K62)</ns0:f>
      </ns0:c>
      <ns0:c r="L63" s="14" t="n">
        <ns0:f>SUM(L61:L62)</ns0:f>
      </ns0:c>
      <ns0:c r="M63" s="14" t="n">
        <ns0:f>SUM(M61:M62)</ns0:f>
      </ns0:c>
      <ns0:c r="N63" s="14" t="n">
        <ns0:f>SUM(N61:N62)</ns0:f>
      </ns0:c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3" t="str">
        <ns0:v>投资现金净流量</ns0:v>
      </ns0:c>
      <ns0:c r="C64" s="14" t="n">
        <ns0:f>0</ns0:f>
      </ns0:c>
      <ns0:c r="D64" s="14" t="n">
        <ns0:f>0</ns0:f>
      </ns0:c>
      <ns0:c r="E64" s="14" t="n">
        <ns0:f>0</ns0:f>
      </ns0:c>
      <ns0:c r="F64" s="14" t="n">
        <ns0:f>0</ns0:f>
      </ns0:c>
      <ns0:c r="G64" s="14" t="n">
        <ns0:f>0</ns0:f>
      </ns0:c>
      <ns0:c r="H64" s="14" t="n">
        <ns0:f>0</ns0:f>
      </ns0:c>
      <ns0:c r="I64" s="14" t="n">
        <ns0:f>0</ns0:f>
      </ns0:c>
      <ns0:c r="J64" s="14" t="n">
        <ns0:f>0</ns0:f>
      </ns0:c>
      <ns0:c r="K64" s="14" t="n">
        <ns0:f>0</ns0:f>
      </ns0:c>
      <ns0:c r="L64" s="14" t="n">
        <ns0:f>0</ns0:f>
      </ns0:c>
      <ns0:c r="M64" s="14" t="n">
        <ns0:f>0</ns0:f>
      </ns0:c>
      <ns0:c r="N64" s="14" t="n">
        <ns0:f>0</ns0:f>
      </ns0:c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3" t="str">
        <ns0:v>筹资现金净流量</ns0:v>
      </ns0:c>
      <ns0:c r="C65" s="14" t="n">
        <ns0:f>0</ns0:f>
      </ns0:c>
      <ns0:c r="D65" s="14" t="n">
        <ns0:f>0</ns0:f>
      </ns0:c>
      <ns0:c r="E65" s="14" t="n">
        <ns0:f>0</ns0:f>
      </ns0:c>
      <ns0:c r="F65" s="14" t="n">
        <ns0:f>0</ns0:f>
      </ns0:c>
      <ns0:c r="G65" s="14" t="n">
        <ns0:f>0</ns0:f>
      </ns0:c>
      <ns0:c r="H65" s="14" t="n">
        <ns0:f>0</ns0:f>
      </ns0:c>
      <ns0:c r="I65" s="14" t="n">
        <ns0:f>0</ns0:f>
      </ns0:c>
      <ns0:c r="J65" s="14" t="n">
        <ns0:f>0</ns0:f>
      </ns0:c>
      <ns0:c r="K65" s="14" t="n">
        <ns0:f>0</ns0:f>
      </ns0:c>
      <ns0:c r="L65" s="14" t="n">
        <ns0:f>0</ns0:f>
      </ns0:c>
      <ns0:c r="M65" s="14" t="n">
        <ns0:f>0</ns0:f>
      </ns0:c>
      <ns0:c r="N65" s="14" t="n">
        <ns0:f>0</ns0:f>
      </ns0:c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3" t="str">
        <ns0:v>现金净增加</ns0:v>
      </ns0:c>
      <ns0:c r="C66" s="14" t="n">
        <ns0:f>SUM(C63:C65)</ns0:f>
      </ns0:c>
      <ns0:c r="D66" s="14" t="n">
        <ns0:f>SUM(D63:D65)</ns0:f>
      </ns0:c>
      <ns0:c r="E66" s="14" t="n">
        <ns0:f>SUM(E63:E65)</ns0:f>
      </ns0:c>
      <ns0:c r="F66" s="14" t="n">
        <ns0:f>SUM(F63:F65)</ns0:f>
      </ns0:c>
      <ns0:c r="G66" s="14" t="n">
        <ns0:f>SUM(G63:G65)</ns0:f>
      </ns0:c>
      <ns0:c r="H66" s="14" t="n">
        <ns0:f>SUM(H63:H65)</ns0:f>
      </ns0:c>
      <ns0:c r="I66" s="14" t="n">
        <ns0:f>SUM(I63:I65)</ns0:f>
      </ns0:c>
      <ns0:c r="J66" s="14" t="n">
        <ns0:f>SUM(J63:J65)</ns0:f>
      </ns0:c>
      <ns0:c r="K66" s="14" t="n">
        <ns0:f>SUM(K63:K65)</ns0:f>
      </ns0:c>
      <ns0:c r="L66" s="14" t="n">
        <ns0:f>SUM(L63:L65)</ns0:f>
      </ns0:c>
      <ns0:c r="M66" s="14" t="n">
        <ns0:f>SUM(M63:M65)</ns0:f>
      </ns0:c>
      <ns0:c r="N66" s="14" t="n">
        <ns0:f>SUM(N63:N65)</ns0:f>
      </ns0:c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3" t="str">
        <ns0:v>期初现金</ns0:v>
      </ns0:c>
      <ns0:c r="C67" s="14" t="n">
        <ns0:f>'资产负债表'!$C$200</ns0:f>
      </ns0:c>
      <ns0:c r="D67" s="14" t="n">
        <ns0:f>C68</ns0:f>
      </ns0:c>
      <ns0:c r="E67" s="14" t="n">
        <ns0:f>D68</ns0:f>
      </ns0:c>
      <ns0:c r="F67" s="14" t="n">
        <ns0:f>E68</ns0:f>
      </ns0:c>
      <ns0:c r="G67" s="14" t="n">
        <ns0:f>F68</ns0:f>
      </ns0:c>
      <ns0:c r="H67" s="14" t="n">
        <ns0:f>G68</ns0:f>
      </ns0:c>
      <ns0:c r="I67" s="14" t="n">
        <ns0:f>H68</ns0:f>
      </ns0:c>
      <ns0:c r="J67" s="14" t="n">
        <ns0:f>I68</ns0:f>
      </ns0:c>
      <ns0:c r="K67" s="14" t="n">
        <ns0:f>J68</ns0:f>
      </ns0:c>
      <ns0:c r="L67" s="14" t="n">
        <ns0:f>K68</ns0:f>
      </ns0:c>
      <ns0:c r="M67" s="14" t="n">
        <ns0:f>L68</ns0:f>
      </ns0:c>
      <ns0:c r="N67" s="14" t="n">
        <ns0:f>M68</ns0:f>
      </ns0:c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3" t="str">
        <ns0:v>期末现金</ns0:v>
      </ns0:c>
      <ns0:c r="C68" s="14" t="n">
        <ns0:f>SUM(C66:C67)</ns0:f>
      </ns0:c>
      <ns0:c r="D68" s="14" t="n">
        <ns0:f>SUM(D66:D67)</ns0:f>
      </ns0:c>
      <ns0:c r="E68" s="14" t="n">
        <ns0:f>SUM(E66:E67)</ns0:f>
      </ns0:c>
      <ns0:c r="F68" s="14" t="n">
        <ns0:f>SUM(F66:F67)</ns0:f>
      </ns0:c>
      <ns0:c r="G68" s="14" t="n">
        <ns0:f>SUM(G66:G67)</ns0:f>
      </ns0:c>
      <ns0:c r="H68" s="14" t="n">
        <ns0:f>SUM(H66:H67)</ns0:f>
      </ns0:c>
      <ns0:c r="I68" s="14" t="n">
        <ns0:f>SUM(I66:I67)</ns0:f>
      </ns0:c>
      <ns0:c r="J68" s="14" t="n">
        <ns0:f>SUM(J66:J67)</ns0:f>
      </ns0:c>
      <ns0:c r="K68" s="14" t="n">
        <ns0:f>SUM(K66:K67)</ns0:f>
      </ns0:c>
      <ns0:c r="L68" s="14" t="n">
        <ns0:f>SUM(L66:L67)</ns0:f>
      </ns0:c>
      <ns0:c r="M68" s="14" t="n">
        <ns0:f>SUM(M66:M67)</ns0:f>
      </ns0:c>
      <ns0:c r="N68" s="14" t="n">
        <ns0:f>SUM(N66:N67)</ns0:f>
      </ns0:c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0"/>
      <ns0:c r="B2" s="10"/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0"/>
      <ns0:c r="B3" s="10" t="str">
        <ns0:v>电视剧</ns0:v>
      </ns0:c>
      <ns0:c r="C3" s="14"/>
      <ns0:c r="D3" s="14" t="str">
        <ns0:v>项目名称</ns0:v>
      </ns0:c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4"/>
      <ns0:c r="P3" s="13"/>
      <ns0:c r="Q3" s="13"/>
      <ns0:c r="R3" s="13"/>
      <ns0:c r="S3" s="13"/>
      <ns0:c r="T3" s="13"/>
      <ns0:c r="U3" s="13"/>
      <ns0:c r="V3" s="13"/>
      <ns0:c r="W3" s="13"/>
      <ns0:c r="X3" s="13"/>
      <ns0:c r="Y3" s="13"/>
      <ns0:c r="Z3" s="13"/>
      <ns0:c r="AA3" s="13"/>
      <ns0:c r="AB3" s="13"/>
      <ns0:c r="AC3" s="13"/>
      <ns0:c r="AD3" s="13"/>
      <ns0:c r="AE3" s="13"/>
      <ns0:c r="AF3" s="13"/>
      <ns0:c r="AG3" s="13"/>
      <ns0:c r="AH3" s="13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0"/>
      <ns0:c r="B4" s="10"/>
      <ns0:c r="C4" s="14"/>
      <ns0:c r="D4" s="14"/>
      <ns0:c r="E4" s="14"/>
      <ns0:c r="F4" s="14"/>
      <ns0:c r="G4" s="14"/>
      <ns0:c r="H4" s="14"/>
      <ns0:c r="I4" s="14"/>
      <ns0:c r="J4" s="14"/>
      <ns0:c r="K4" s="14"/>
      <ns0:c r="L4" s="14"/>
      <ns0:c r="M4" s="14"/>
      <ns0:c r="N4" s="14"/>
      <ns0:c r="O4" s="14"/>
      <ns0:c r="P4" s="13"/>
      <ns0:c r="Q4" s="13"/>
      <ns0:c r="R4" s="13"/>
      <ns0:c r="S4" s="13"/>
      <ns0:c r="T4" s="13"/>
      <ns0:c r="U4" s="13"/>
      <ns0:c r="V4" s="13"/>
      <ns0:c r="W4" s="13"/>
      <ns0:c r="X4" s="13"/>
      <ns0:c r="Y4" s="13"/>
      <ns0:c r="Z4" s="13"/>
      <ns0:c r="AA4" s="13"/>
      <ns0:c r="AB4" s="13"/>
      <ns0:c r="AC4" s="13"/>
      <ns0:c r="AD4" s="13"/>
      <ns0:c r="AE4" s="13"/>
      <ns0:c r="AF4" s="13"/>
      <ns0:c r="AG4" s="13"/>
      <ns0:c r="AH4" s="13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0"/>
      <ns0:c r="B5" s="10"/>
      <ns0:c r="C5" s="14"/>
      <ns0:c r="D5" s="14"/>
      <ns0:c r="E5" s="14"/>
      <ns0:c r="F5" s="14"/>
      <ns0:c r="G5" s="14"/>
      <ns0:c r="H5" s="14"/>
      <ns0:c r="I5" s="14"/>
      <ns0:c r="J5" s="14"/>
      <ns0:c r="K5" s="14"/>
      <ns0:c r="L5" s="14"/>
      <ns0:c r="M5" s="14"/>
      <ns0:c r="N5" s="14"/>
      <ns0:c r="O5" s="14"/>
      <ns0:c r="P5" s="13"/>
      <ns0:c r="Q5" s="13"/>
      <ns0:c r="R5" s="13"/>
      <ns0:c r="S5" s="13"/>
      <ns0:c r="T5" s="13"/>
      <ns0:c r="U5" s="13"/>
      <ns0:c r="V5" s="13"/>
      <ns0:c r="W5" s="13"/>
      <ns0:c r="X5" s="13"/>
      <ns0:c r="Y5" s="13"/>
      <ns0:c r="Z5" s="13"/>
      <ns0:c r="AA5" s="13"/>
      <ns0:c r="AB5" s="13"/>
      <ns0:c r="AC5" s="13"/>
      <ns0:c r="AD5" s="13"/>
      <ns0:c r="AE5" s="13"/>
      <ns0:c r="AF5" s="13"/>
      <ns0:c r="AG5" s="13"/>
      <ns0:c r="AH5" s="13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0"/>
      <ns0:c r="B6" s="10"/>
      <ns0:c r="C6" s="14"/>
      <ns0:c r="D6" s="12"/>
      <ns0:c r="E6" s="14"/>
      <ns0:c r="F6" s="14"/>
      <ns0:c r="G6" s="14"/>
      <ns0:c r="H6" s="14"/>
      <ns0:c r="I6" s="14"/>
      <ns0:c r="J6" s="14"/>
      <ns0:c r="K6" s="14"/>
      <ns0:c r="L6" s="14"/>
      <ns0:c r="M6" s="14"/>
      <ns0:c r="N6" s="14"/>
      <ns0:c r="O6" s="14"/>
      <ns0:c r="P6" s="13"/>
      <ns0:c r="Q6" s="13"/>
      <ns0:c r="R6" s="13"/>
      <ns0:c r="S6" s="13"/>
      <ns0:c r="T6" s="13"/>
      <ns0:c r="U6" s="13"/>
      <ns0:c r="V6" s="13"/>
      <ns0:c r="W6" s="13"/>
      <ns0:c r="X6" s="13"/>
      <ns0:c r="Y6" s="13"/>
      <ns0:c r="Z6" s="13"/>
      <ns0:c r="AA6" s="13"/>
      <ns0:c r="AB6" s="13"/>
      <ns0:c r="AC6" s="13"/>
      <ns0:c r="AD6" s="13"/>
      <ns0:c r="AE6" s="13"/>
      <ns0:c r="AF6" s="13"/>
      <ns0:c r="AG6" s="13"/>
      <ns0:c r="AH6" s="13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0"/>
      <ns0:c r="C7" s="14"/>
      <ns0:c r="D7" s="12"/>
      <ns0:c r="E7" s="14"/>
      <ns0:c r="F7" s="14"/>
      <ns0:c r="G7" s="14"/>
      <ns0:c r="H7" s="14"/>
      <ns0:c r="I7" s="14"/>
      <ns0:c r="J7" s="14"/>
      <ns0:c r="K7" s="14"/>
      <ns0:c r="L7" s="14"/>
      <ns0:c r="M7" s="14"/>
      <ns0:c r="N7" s="14"/>
      <ns0:c r="O7" s="14"/>
      <ns0:c r="P7" s="13"/>
      <ns0:c r="Q7" s="13"/>
      <ns0:c r="R7" s="13"/>
      <ns0:c r="S7" s="13"/>
      <ns0:c r="T7" s="13"/>
      <ns0:c r="U7" s="13"/>
      <ns0:c r="V7" s="13"/>
      <ns0:c r="W7" s="13"/>
      <ns0:c r="X7" s="13"/>
      <ns0:c r="Y7" s="13"/>
      <ns0:c r="Z7" s="13"/>
      <ns0:c r="AA7" s="13"/>
      <ns0:c r="AB7" s="13"/>
      <ns0:c r="AC7" s="13"/>
      <ns0:c r="AD7" s="13"/>
      <ns0:c r="AE7" s="13"/>
      <ns0:c r="AF7" s="13"/>
      <ns0:c r="AG7" s="13"/>
      <ns0:c r="AH7" s="13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0"/>
      <ns0:c r="C8" s="14"/>
      <ns0:c r="D8" s="14"/>
      <ns0:c r="E8" s="14"/>
      <ns0:c r="F8" s="14"/>
      <ns0:c r="G8" s="14"/>
      <ns0:c r="H8" s="14"/>
      <ns0:c r="I8" s="14"/>
      <ns0:c r="J8" s="14"/>
      <ns0:c r="K8" s="14"/>
      <ns0:c r="L8" s="14"/>
      <ns0:c r="M8" s="14"/>
      <ns0:c r="N8" s="14"/>
      <ns0:c r="O8" s="14"/>
      <ns0:c r="P8" s="13"/>
      <ns0:c r="Q8" s="13"/>
      <ns0:c r="R8" s="13"/>
      <ns0:c r="S8" s="13"/>
      <ns0:c r="T8" s="13"/>
      <ns0:c r="U8" s="13"/>
      <ns0:c r="V8" s="13"/>
      <ns0:c r="W8" s="13"/>
      <ns0:c r="X8" s="13"/>
      <ns0:c r="Y8" s="13"/>
      <ns0:c r="Z8" s="13"/>
      <ns0:c r="AA8" s="13"/>
      <ns0:c r="AB8" s="13"/>
      <ns0:c r="AC8" s="13"/>
      <ns0:c r="AD8" s="13"/>
      <ns0:c r="AE8" s="13"/>
      <ns0:c r="AF8" s="13"/>
      <ns0:c r="AG8" s="13"/>
      <ns0:c r="AH8" s="13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0"/>
      <ns0:c r="C9" s="12"/>
      <ns0:c r="D9" s="12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0"/>
      <ns0:c r="C10" s="12"/>
      <ns0:c r="D10" s="12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0"/>
      <ns0:c r="C11" s="12"/>
      <ns0:c r="D11" s="12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0"/>
      <ns0:c r="C12" s="12"/>
      <ns0:c r="D12" s="12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0"/>
      <ns0:c r="C13" s="12"/>
      <ns0:c r="D13" s="12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0"/>
      <ns0:c r="C14" s="12"/>
      <ns0:c r="D14" s="12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0"/>
      <ns0:c r="C15" s="12"/>
      <ns0:c r="D15" s="12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0"/>
      <ns0:c r="C16" s="12"/>
      <ns0:c r="D16" s="12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0"/>
      <ns0:c r="B17" s="10"/>
      <ns0:c r="C17" s="12"/>
      <ns0:c r="D17" s="12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0"/>
      <ns0:c r="C20" s="12"/>
      <ns0:c r="D20" s="12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0"/>
      <ns0:c r="C21" s="12"/>
      <ns0:c r="D21" s="12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0"/>
      <ns0:c r="C22" s="12"/>
      <ns0:c r="D22" s="12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0"/>
      <ns0:c r="C23" s="12"/>
      <ns0:c r="D23" s="12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预算基础（月度，元）</ns0:v>
      </ns0:c>
      <ns0:c r="C30" s="14" t="str">
        <ns0:v>1月</ns0:v>
      </ns0:c>
      <ns0:c r="D30" s="14" t="str">
        <ns0:v>2月</ns0:v>
      </ns0:c>
      <ns0:c r="E30" s="14" t="str">
        <ns0:v>3月</ns0:v>
      </ns0:c>
      <ns0:c r="F30" s="14" t="str">
        <ns0:v>4月</ns0:v>
      </ns0:c>
      <ns0:c r="G30" s="14" t="str">
        <ns0:v>5月</ns0:v>
      </ns0:c>
      <ns0:c r="H30" s="14" t="str">
        <ns0:v>6月</ns0:v>
      </ns0:c>
      <ns0:c r="I30" s="14" t="str">
        <ns0:v>7月</ns0:v>
      </ns0:c>
      <ns0:c r="J30" s="14" t="str">
        <ns0:v>8月</ns0:v>
      </ns0:c>
      <ns0:c r="K30" s="14" t="str">
        <ns0:v>9月</ns0:v>
      </ns0:c>
      <ns0:c r="L30" s="14" t="str">
        <ns0:v>10月</ns0:v>
      </ns0:c>
      <ns0:c r="M30" s="14" t="str">
        <ns0:v>11月</ns0:v>
      </ns0:c>
      <ns0:c r="N30" s="14" t="str">
        <ns0:v>12月</ns0:v>
      </ns0:c>
      <ns0:c r="O30" s="14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授权单价</ns0:v>
      </ns0:c>
      <ns0:c r="C31" s="14"/>
      <ns0:c r="D31" s="14"/>
      <ns0:c r="E31" s="14"/>
      <ns0:c r="F31" s="14"/>
      <ns0:c r="G31" s="14"/>
      <ns0:c r="H31" s="14"/>
      <ns0:c r="I31" s="14"/>
      <ns0:c r="J31" s="14"/>
      <ns0:c r="K31" s="14"/>
      <ns0:c r="L31" s="14"/>
      <ns0:c r="M31" s="14"/>
      <ns0:c r="N31" s="14"/>
      <ns0:c r="O31" s="14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授权数量</ns0:v>
      </ns0:c>
      <ns0:c r="C32" s="14"/>
      <ns0:c r="D32" s="14"/>
      <ns0:c r="E32" s="14"/>
      <ns0:c r="F32" s="14"/>
      <ns0:c r="G32" s="14"/>
      <ns0:c r="H32" s="14"/>
      <ns0:c r="I32" s="14"/>
      <ns0:c r="J32" s="14"/>
      <ns0:c r="K32" s="14"/>
      <ns0:c r="L32" s="14"/>
      <ns0:c r="M32" s="14"/>
      <ns0:c r="N32" s="14"/>
      <ns0:c r="O32" s="14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营业收入</ns0:v>
      </ns0:c>
      <ns0:c r="C33" s="14" t="n">
        <ns0:f>ROUND(C31*C32,2)</ns0:f>
      </ns0:c>
      <ns0:c r="D33" s="14" t="n">
        <ns0:f>ROUND(D31*D32,2)</ns0:f>
      </ns0:c>
      <ns0:c r="E33" s="14" t="n">
        <ns0:f>ROUND(E31*E32,2)</ns0:f>
      </ns0:c>
      <ns0:c r="F33" s="14" t="n">
        <ns0:f>ROUND(F31*F32,2)</ns0:f>
      </ns0:c>
      <ns0:c r="G33" s="14" t="n">
        <ns0:f>ROUND(G31*G32,2)</ns0:f>
      </ns0:c>
      <ns0:c r="H33" s="14" t="n">
        <ns0:f>ROUND(H31*H32,2)</ns0:f>
      </ns0:c>
      <ns0:c r="I33" s="14" t="n">
        <ns0:f>ROUND(I31*I32,2)</ns0:f>
      </ns0:c>
      <ns0:c r="J33" s="14" t="n">
        <ns0:f>ROUND(J31*J32,2)</ns0:f>
      </ns0:c>
      <ns0:c r="K33" s="14" t="n">
        <ns0:f>ROUND(K31*K32,2)</ns0:f>
      </ns0:c>
      <ns0:c r="L33" s="14" t="n">
        <ns0:f>ROUND(L31*L32,2)</ns0:f>
      </ns0:c>
      <ns0:c r="M33" s="14" t="n">
        <ns0:f>ROUND(M31*M32,2)</ns0:f>
      </ns0:c>
      <ns0:c r="N33" s="14" t="n">
        <ns0:f>ROUND(N31*N32,2)</ns0:f>
      </ns0:c>
      <ns0:c r="O33" s="14" t="n">
        <ns0:f>SUM(C33:N33)</ns0:f>
      </ns0:c>
      <ns0:c r="P33" s="10" t="str">
        <ns0:v>REV1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3" t="str">
        <ns0:v>单位采购成本</ns0:v>
      </ns0:c>
      <ns0:c r="C34" s="14"/>
      <ns0:c r="D34" s="14"/>
      <ns0:c r="E34" s="14"/>
      <ns0:c r="F34" s="14"/>
      <ns0:c r="G34" s="14"/>
      <ns0:c r="H34" s="14"/>
      <ns0:c r="I34" s="14"/>
      <ns0:c r="J34" s="14"/>
      <ns0:c r="K34" s="14"/>
      <ns0:c r="L34" s="14"/>
      <ns0:c r="M34" s="14"/>
      <ns0:c r="N34" s="14"/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3" t="str">
        <ns0:v>采购数量</ns0:v>
      </ns0:c>
      <ns0:c r="C35" s="14" t="n">
        <ns0:f>C32</ns0:f>
      </ns0:c>
      <ns0:c r="D35" s="14" t="n">
        <ns0:f>D32</ns0:f>
      </ns0:c>
      <ns0:c r="E35" s="14" t="n">
        <ns0:f>E32</ns0:f>
      </ns0:c>
      <ns0:c r="F35" s="14" t="n">
        <ns0:f>F32</ns0:f>
      </ns0:c>
      <ns0:c r="G35" s="14" t="n">
        <ns0:f>G32</ns0:f>
      </ns0:c>
      <ns0:c r="H35" s="14" t="n">
        <ns0:f>H32</ns0:f>
      </ns0:c>
      <ns0:c r="I35" s="14" t="n">
        <ns0:f>I32</ns0:f>
      </ns0:c>
      <ns0:c r="J35" s="14" t="n">
        <ns0:f>J32</ns0:f>
      </ns0:c>
      <ns0:c r="K35" s="14" t="n">
        <ns0:f>K32</ns0:f>
      </ns0:c>
      <ns0:c r="L35" s="14" t="n">
        <ns0:f>L32</ns0:f>
      </ns0:c>
      <ns0:c r="M35" s="14" t="n">
        <ns0:f>M32</ns0:f>
      </ns0:c>
      <ns0:c r="N35" s="14" t="n">
        <ns0:f>N32</ns0:f>
      </ns0:c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3" t="str">
        <ns0:v>营业成本</ns0:v>
      </ns0:c>
      <ns0:c r="C36" s="14" t="n">
        <ns0:f>ROUND(C34*C35,2)</ns0:f>
      </ns0:c>
      <ns0:c r="D36" s="14" t="n">
        <ns0:f>ROUND(D34*D35,2)</ns0:f>
      </ns0:c>
      <ns0:c r="E36" s="14" t="n">
        <ns0:f>ROUND(E34*E35,2)</ns0:f>
      </ns0:c>
      <ns0:c r="F36" s="14" t="n">
        <ns0:f>ROUND(F34*F35,2)</ns0:f>
      </ns0:c>
      <ns0:c r="G36" s="14" t="n">
        <ns0:f>ROUND(G34*G35,2)</ns0:f>
      </ns0:c>
      <ns0:c r="H36" s="14" t="n">
        <ns0:f>ROUND(H34*H35,2)</ns0:f>
      </ns0:c>
      <ns0:c r="I36" s="14" t="n">
        <ns0:f>ROUND(I34*I35,2)</ns0:f>
      </ns0:c>
      <ns0:c r="J36" s="14" t="n">
        <ns0:f>ROUND(J34*J35,2)</ns0:f>
      </ns0:c>
      <ns0:c r="K36" s="14" t="n">
        <ns0:f>ROUND(K34*K35,2)</ns0:f>
      </ns0:c>
      <ns0:c r="L36" s="14" t="n">
        <ns0:f>ROUND(L34*L35,2)</ns0:f>
      </ns0:c>
      <ns0:c r="M36" s="14" t="n">
        <ns0:f>ROUND(M34*M35,2)</ns0:f>
      </ns0:c>
      <ns0:c r="N36" s="14" t="n">
        <ns0:f>ROUND(N34*N35,2)</ns0:f>
      </ns0:c>
      <ns0:c r="O36" s="14" t="n">
        <ns0:f>SUM(C36:N36)</ns0:f>
      </ns0:c>
      <ns0:c r="P36" s="10" t="str">
        <ns0:v>COGS1</ns0:v>
      </ns0:c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3" t="str">
        <ns0:v>采购金额（占位）</ns0:v>
      </ns0:c>
      <ns0:c r="C37" s="14" t="n">
        <ns0:f>C36</ns0:f>
      </ns0:c>
      <ns0:c r="D37" s="14" t="n">
        <ns0:f>D36</ns0:f>
      </ns0:c>
      <ns0:c r="E37" s="14" t="n">
        <ns0:f>E36</ns0:f>
      </ns0:c>
      <ns0:c r="F37" s="14" t="n">
        <ns0:f>F36</ns0:f>
      </ns0:c>
      <ns0:c r="G37" s="14" t="n">
        <ns0:f>G36</ns0:f>
      </ns0:c>
      <ns0:c r="H37" s="14" t="n">
        <ns0:f>H36</ns0:f>
      </ns0:c>
      <ns0:c r="I37" s="14" t="n">
        <ns0:f>I36</ns0:f>
      </ns0:c>
      <ns0:c r="J37" s="14" t="n">
        <ns0:f>J36</ns0:f>
      </ns0:c>
      <ns0:c r="K37" s="14" t="n">
        <ns0:f>K36</ns0:f>
      </ns0:c>
      <ns0:c r="L37" s="14" t="n">
        <ns0:f>L36</ns0:f>
      </ns0:c>
      <ns0:c r="M37" s="14" t="n">
        <ns0:f>M36</ns0:f>
      </ns0:c>
      <ns0:c r="N37" s="14" t="n">
        <ns0:f>N36</ns0:f>
      </ns0:c>
      <ns0:c r="O37" s="14" t="n">
        <ns0:f>SUM(C37:N37)</ns0:f>
      </ns0:c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/>
      <ns0:c r="B2" s="13" t="str">
        <ns0:v>项目名称</ns0:v>
      </ns0:c>
      <ns0:c r="C2" s="14"/>
      <ns0:c r="D2" s="14" t="str">
        <ns0:v>投资比例</ns0:v>
      </ns0:c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/>
      <ns0:c r="P2" s="13"/>
      <ns0:c r="Q2" s="13"/>
      <ns0:c r="R2" s="13"/>
      <ns0:c r="S2" s="13"/>
      <ns0:c r="T2" s="13"/>
      <ns0:c r="U2" s="13"/>
      <ns0:c r="V2" s="13"/>
      <ns0:c r="W2" s="13"/>
      <ns0:c r="X2" s="13"/>
      <ns0:c r="Y2" s="13"/>
      <ns0:c r="Z2" s="13"/>
      <ns0:c r="AA2" s="13" t="str">
        <ns0:v>成本</ns0:v>
      </ns0:c>
      <ns0:c r="AB2" s="13"/>
      <ns0:c r="AC2" s="13"/>
      <ns0:c r="AD2" s="13"/>
      <ns0:c r="AE2" s="13"/>
      <ns0:c r="AF2" s="13"/>
      <ns0:c r="AG2" s="13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/>
      <ns0:c r="D3" s="14"/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4"/>
      <ns0:c r="P3" s="13"/>
      <ns0:c r="Q3" s="13"/>
      <ns0:c r="R3" s="13"/>
      <ns0:c r="S3" s="13"/>
      <ns0:c r="T3" s="13"/>
      <ns0:c r="U3" s="13"/>
      <ns0:c r="V3" s="13"/>
      <ns0:c r="W3" s="13"/>
      <ns0:c r="X3" s="13"/>
      <ns0:c r="Y3" s="13"/>
      <ns0:c r="Z3" s="13"/>
      <ns0:c r="AA3" s="13"/>
      <ns0:c r="AB3" s="13"/>
      <ns0:c r="AC3" s="13"/>
      <ns0:c r="AD3" s="13"/>
      <ns0:c r="AE3" s="13"/>
      <ns0:c r="AF3" s="13"/>
      <ns0:c r="AG3" s="13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/>
      <ns0:c r="B4" s="13"/>
      <ns0:c r="C4" s="14"/>
      <ns0:c r="D4" s="14"/>
      <ns0:c r="E4" s="14"/>
      <ns0:c r="F4" s="14"/>
      <ns0:c r="G4" s="14"/>
      <ns0:c r="H4" s="14"/>
      <ns0:c r="I4" s="14"/>
      <ns0:c r="J4" s="14"/>
      <ns0:c r="K4" s="14"/>
      <ns0:c r="L4" s="14"/>
      <ns0:c r="M4" s="14"/>
      <ns0:c r="N4" s="14"/>
      <ns0:c r="O4" s="14"/>
      <ns0:c r="P4" s="13"/>
      <ns0:c r="Q4" s="13"/>
      <ns0:c r="R4" s="13"/>
      <ns0:c r="S4" s="13"/>
      <ns0:c r="T4" s="13"/>
      <ns0:c r="U4" s="13"/>
      <ns0:c r="V4" s="13"/>
      <ns0:c r="W4" s="13"/>
      <ns0:c r="X4" s="13"/>
      <ns0:c r="Y4" s="13"/>
      <ns0:c r="Z4" s="13"/>
      <ns0:c r="AA4" s="13"/>
      <ns0:c r="AB4" s="13"/>
      <ns0:c r="AC4" s="13"/>
      <ns0:c r="AD4" s="13"/>
      <ns0:c r="AE4" s="13"/>
      <ns0:c r="AF4" s="13"/>
      <ns0:c r="AG4" s="13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/>
      <ns0:c r="C5" s="14"/>
      <ns0:c r="D5" s="14"/>
      <ns0:c r="E5" s="14"/>
      <ns0:c r="F5" s="14"/>
      <ns0:c r="G5" s="14"/>
      <ns0:c r="H5" s="14"/>
      <ns0:c r="I5" s="14"/>
      <ns0:c r="J5" s="14"/>
      <ns0:c r="K5" s="14"/>
      <ns0:c r="L5" s="14"/>
      <ns0:c r="M5" s="14"/>
      <ns0:c r="N5" s="14"/>
      <ns0:c r="O5" s="14"/>
      <ns0:c r="P5" s="13"/>
      <ns0:c r="Q5" s="13"/>
      <ns0:c r="R5" s="13"/>
      <ns0:c r="S5" s="13"/>
      <ns0:c r="T5" s="13"/>
      <ns0:c r="U5" s="13"/>
      <ns0:c r="V5" s="13"/>
      <ns0:c r="W5" s="13"/>
      <ns0:c r="X5" s="13"/>
      <ns0:c r="Y5" s="13"/>
      <ns0:c r="Z5" s="13"/>
      <ns0:c r="AA5" s="13"/>
      <ns0:c r="AB5" s="13"/>
      <ns0:c r="AC5" s="13"/>
      <ns0:c r="AD5" s="13"/>
      <ns0:c r="AE5" s="13"/>
      <ns0:c r="AF5" s="13"/>
      <ns0:c r="AG5" s="13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/>
      <ns0:c r="C6" s="14"/>
      <ns0:c r="D6" s="14"/>
      <ns0:c r="E6" s="14"/>
      <ns0:c r="F6" s="14"/>
      <ns0:c r="G6" s="14"/>
      <ns0:c r="H6" s="14"/>
      <ns0:c r="I6" s="14"/>
      <ns0:c r="J6" s="14"/>
      <ns0:c r="K6" s="14"/>
      <ns0:c r="L6" s="14"/>
      <ns0:c r="M6" s="14"/>
      <ns0:c r="N6" s="14"/>
      <ns0:c r="O6" s="14"/>
      <ns0:c r="P6" s="13"/>
      <ns0:c r="Q6" s="13"/>
      <ns0:c r="R6" s="13"/>
      <ns0:c r="S6" s="13"/>
      <ns0:c r="T6" s="13"/>
      <ns0:c r="U6" s="13"/>
      <ns0:c r="V6" s="13"/>
      <ns0:c r="W6" s="13"/>
      <ns0:c r="X6" s="13"/>
      <ns0:c r="Y6" s="13"/>
      <ns0:c r="Z6" s="13"/>
      <ns0:c r="AA6" s="13"/>
      <ns0:c r="AB6" s="13"/>
      <ns0:c r="AC6" s="13"/>
      <ns0:c r="AD6" s="13"/>
      <ns0:c r="AE6" s="13"/>
      <ns0:c r="AF6" s="13"/>
      <ns0:c r="AG6" s="13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0"/>
      <ns0:c r="C7" s="12"/>
      <ns0:c r="D7" s="12"/>
      <ns0:c r="E7" s="12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0"/>
      <ns0:c r="C8" s="12"/>
      <ns0:c r="D8" s="12"/>
      <ns0:c r="E8" s="12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0"/>
      <ns0:c r="C9" s="12"/>
      <ns0:c r="D9" s="12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0"/>
      <ns0:c r="C10" s="12"/>
      <ns0:c r="D10" s="12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0"/>
      <ns0:c r="C11" s="12"/>
      <ns0:c r="D11" s="12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0"/>
      <ns0:c r="C12" s="12"/>
      <ns0:c r="D12" s="12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0"/>
      <ns0:c r="C13" s="12"/>
      <ns0:c r="D13" s="12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0"/>
      <ns0:c r="C14" s="12"/>
      <ns0:c r="D14" s="12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0"/>
      <ns0:c r="C15" s="12"/>
      <ns0:c r="D15" s="12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0"/>
      <ns0:c r="C16" s="12"/>
      <ns0:c r="D16" s="12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0"/>
      <ns0:c r="B17" s="10"/>
      <ns0:c r="C17" s="12"/>
      <ns0:c r="D17" s="12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0"/>
      <ns0:c r="C20" s="12"/>
      <ns0:c r="D20" s="12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0"/>
      <ns0:c r="C21" s="12"/>
      <ns0:c r="D21" s="12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0"/>
      <ns0:c r="C22" s="12"/>
      <ns0:c r="D22" s="12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0"/>
      <ns0:c r="C23" s="12"/>
      <ns0:c r="D23" s="12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预算基础（月度，元）</ns0:v>
      </ns0:c>
      <ns0:c r="C30" s="14" t="str">
        <ns0:v>1月</ns0:v>
      </ns0:c>
      <ns0:c r="D30" s="14" t="str">
        <ns0:v>2月</ns0:v>
      </ns0:c>
      <ns0:c r="E30" s="14" t="str">
        <ns0:v>3月</ns0:v>
      </ns0:c>
      <ns0:c r="F30" s="14" t="str">
        <ns0:v>4月</ns0:v>
      </ns0:c>
      <ns0:c r="G30" s="14" t="str">
        <ns0:v>5月</ns0:v>
      </ns0:c>
      <ns0:c r="H30" s="14" t="str">
        <ns0:v>6月</ns0:v>
      </ns0:c>
      <ns0:c r="I30" s="14" t="str">
        <ns0:v>7月</ns0:v>
      </ns0:c>
      <ns0:c r="J30" s="14" t="str">
        <ns0:v>8月</ns0:v>
      </ns0:c>
      <ns0:c r="K30" s="14" t="str">
        <ns0:v>9月</ns0:v>
      </ns0:c>
      <ns0:c r="L30" s="14" t="str">
        <ns0:v>10月</ns0:v>
      </ns0:c>
      <ns0:c r="M30" s="14" t="str">
        <ns0:v>11月</ns0:v>
      </ns0:c>
      <ns0:c r="N30" s="14" t="str">
        <ns0:v>12月</ns0:v>
      </ns0:c>
      <ns0:c r="O30" s="14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授权单价</ns0:v>
      </ns0:c>
      <ns0:c r="C31" s="14"/>
      <ns0:c r="D31" s="14"/>
      <ns0:c r="E31" s="14"/>
      <ns0:c r="F31" s="14"/>
      <ns0:c r="G31" s="14"/>
      <ns0:c r="H31" s="14"/>
      <ns0:c r="I31" s="14"/>
      <ns0:c r="J31" s="14"/>
      <ns0:c r="K31" s="14"/>
      <ns0:c r="L31" s="14"/>
      <ns0:c r="M31" s="14"/>
      <ns0:c r="N31" s="14"/>
      <ns0:c r="O31" s="14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授权数量</ns0:v>
      </ns0:c>
      <ns0:c r="C32" s="14"/>
      <ns0:c r="D32" s="14"/>
      <ns0:c r="E32" s="14"/>
      <ns0:c r="F32" s="14"/>
      <ns0:c r="G32" s="14"/>
      <ns0:c r="H32" s="14"/>
      <ns0:c r="I32" s="14"/>
      <ns0:c r="J32" s="14"/>
      <ns0:c r="K32" s="14"/>
      <ns0:c r="L32" s="14"/>
      <ns0:c r="M32" s="14"/>
      <ns0:c r="N32" s="14"/>
      <ns0:c r="O32" s="14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营业收入</ns0:v>
      </ns0:c>
      <ns0:c r="C33" s="14" t="n">
        <ns0:f>ROUND(C31*C32,2)</ns0:f>
      </ns0:c>
      <ns0:c r="D33" s="14" t="n">
        <ns0:f>ROUND(D31*D32,2)</ns0:f>
      </ns0:c>
      <ns0:c r="E33" s="14" t="n">
        <ns0:f>ROUND(E31*E32,2)</ns0:f>
      </ns0:c>
      <ns0:c r="F33" s="14" t="n">
        <ns0:f>ROUND(F31*F32,2)</ns0:f>
      </ns0:c>
      <ns0:c r="G33" s="14" t="n">
        <ns0:f>ROUND(G31*G32,2)</ns0:f>
      </ns0:c>
      <ns0:c r="H33" s="14" t="n">
        <ns0:f>ROUND(H31*H32,2)</ns0:f>
      </ns0:c>
      <ns0:c r="I33" s="14" t="n">
        <ns0:f>ROUND(I31*I32,2)</ns0:f>
      </ns0:c>
      <ns0:c r="J33" s="14" t="n">
        <ns0:f>ROUND(J31*J32,2)</ns0:f>
      </ns0:c>
      <ns0:c r="K33" s="14" t="n">
        <ns0:f>ROUND(K31*K32,2)</ns0:f>
      </ns0:c>
      <ns0:c r="L33" s="14" t="n">
        <ns0:f>ROUND(L31*L32,2)</ns0:f>
      </ns0:c>
      <ns0:c r="M33" s="14" t="n">
        <ns0:f>ROUND(M31*M32,2)</ns0:f>
      </ns0:c>
      <ns0:c r="N33" s="14" t="n">
        <ns0:f>ROUND(N31*N32,2)</ns0:f>
      </ns0:c>
      <ns0:c r="O33" s="14" t="n">
        <ns0:f>SUM(C33:N33)</ns0:f>
      </ns0:c>
      <ns0:c r="P33" s="10" t="str">
        <ns0:v>REV2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3" t="str">
        <ns0:v>单位采购成本</ns0:v>
      </ns0:c>
      <ns0:c r="C34" s="14"/>
      <ns0:c r="D34" s="14"/>
      <ns0:c r="E34" s="14"/>
      <ns0:c r="F34" s="14"/>
      <ns0:c r="G34" s="14"/>
      <ns0:c r="H34" s="14"/>
      <ns0:c r="I34" s="14"/>
      <ns0:c r="J34" s="14"/>
      <ns0:c r="K34" s="14"/>
      <ns0:c r="L34" s="14"/>
      <ns0:c r="M34" s="14"/>
      <ns0:c r="N34" s="14"/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3" t="str">
        <ns0:v>采购数量</ns0:v>
      </ns0:c>
      <ns0:c r="C35" s="14" t="n">
        <ns0:f>C32</ns0:f>
      </ns0:c>
      <ns0:c r="D35" s="14" t="n">
        <ns0:f>D32</ns0:f>
      </ns0:c>
      <ns0:c r="E35" s="14" t="n">
        <ns0:f>E32</ns0:f>
      </ns0:c>
      <ns0:c r="F35" s="14" t="n">
        <ns0:f>F32</ns0:f>
      </ns0:c>
      <ns0:c r="G35" s="14" t="n">
        <ns0:f>G32</ns0:f>
      </ns0:c>
      <ns0:c r="H35" s="14" t="n">
        <ns0:f>H32</ns0:f>
      </ns0:c>
      <ns0:c r="I35" s="14" t="n">
        <ns0:f>I32</ns0:f>
      </ns0:c>
      <ns0:c r="J35" s="14" t="n">
        <ns0:f>J32</ns0:f>
      </ns0:c>
      <ns0:c r="K35" s="14" t="n">
        <ns0:f>K32</ns0:f>
      </ns0:c>
      <ns0:c r="L35" s="14" t="n">
        <ns0:f>L32</ns0:f>
      </ns0:c>
      <ns0:c r="M35" s="14" t="n">
        <ns0:f>M32</ns0:f>
      </ns0:c>
      <ns0:c r="N35" s="14" t="n">
        <ns0:f>N32</ns0:f>
      </ns0:c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3" t="str">
        <ns0:v>营业成本</ns0:v>
      </ns0:c>
      <ns0:c r="C36" s="14" t="n">
        <ns0:f>ROUND(C34*C35,2)</ns0:f>
      </ns0:c>
      <ns0:c r="D36" s="14" t="n">
        <ns0:f>ROUND(D34*D35,2)</ns0:f>
      </ns0:c>
      <ns0:c r="E36" s="14" t="n">
        <ns0:f>ROUND(E34*E35,2)</ns0:f>
      </ns0:c>
      <ns0:c r="F36" s="14" t="n">
        <ns0:f>ROUND(F34*F35,2)</ns0:f>
      </ns0:c>
      <ns0:c r="G36" s="14" t="n">
        <ns0:f>ROUND(G34*G35,2)</ns0:f>
      </ns0:c>
      <ns0:c r="H36" s="14" t="n">
        <ns0:f>ROUND(H34*H35,2)</ns0:f>
      </ns0:c>
      <ns0:c r="I36" s="14" t="n">
        <ns0:f>ROUND(I34*I35,2)</ns0:f>
      </ns0:c>
      <ns0:c r="J36" s="14" t="n">
        <ns0:f>ROUND(J34*J35,2)</ns0:f>
      </ns0:c>
      <ns0:c r="K36" s="14" t="n">
        <ns0:f>ROUND(K34*K35,2)</ns0:f>
      </ns0:c>
      <ns0:c r="L36" s="14" t="n">
        <ns0:f>ROUND(L34*L35,2)</ns0:f>
      </ns0:c>
      <ns0:c r="M36" s="14" t="n">
        <ns0:f>ROUND(M34*M35,2)</ns0:f>
      </ns0:c>
      <ns0:c r="N36" s="14" t="n">
        <ns0:f>ROUND(N34*N35,2)</ns0:f>
      </ns0:c>
      <ns0:c r="O36" s="14" t="n">
        <ns0:f>SUM(C36:N36)</ns0:f>
      </ns0:c>
      <ns0:c r="P36" s="10" t="str">
        <ns0:v>COGS2</ns0:v>
      </ns0:c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3" t="str">
        <ns0:v>采购金额（占位）</ns0:v>
      </ns0:c>
      <ns0:c r="C37" s="14" t="n">
        <ns0:f>C36</ns0:f>
      </ns0:c>
      <ns0:c r="D37" s="14" t="n">
        <ns0:f>D36</ns0:f>
      </ns0:c>
      <ns0:c r="E37" s="14" t="n">
        <ns0:f>E36</ns0:f>
      </ns0:c>
      <ns0:c r="F37" s="14" t="n">
        <ns0:f>F36</ns0:f>
      </ns0:c>
      <ns0:c r="G37" s="14" t="n">
        <ns0:f>G36</ns0:f>
      </ns0:c>
      <ns0:c r="H37" s="14" t="n">
        <ns0:f>H36</ns0:f>
      </ns0:c>
      <ns0:c r="I37" s="14" t="n">
        <ns0:f>I36</ns0:f>
      </ns0:c>
      <ns0:c r="J37" s="14" t="n">
        <ns0:f>J36</ns0:f>
      </ns0:c>
      <ns0:c r="K37" s="14" t="n">
        <ns0:f>K36</ns0:f>
      </ns0:c>
      <ns0:c r="L37" s="14" t="n">
        <ns0:f>L36</ns0:f>
      </ns0:c>
      <ns0:c r="M37" s="14" t="n">
        <ns0:f>M36</ns0:f>
      </ns0:c>
      <ns0:c r="N37" s="14" t="n">
        <ns0:f>N36</ns0:f>
      </ns0:c>
      <ns0:c r="O37" s="14" t="n">
        <ns0:f>SUM(C37:N37)</ns0:f>
      </ns0:c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0"/>
      <ns0:c r="B2" s="13"/>
      <ns0:c r="C2" s="14"/>
      <ns0:c r="D2" s="14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0"/>
      <ns0:c r="B3" s="13"/>
      <ns0:c r="C3" s="14"/>
      <ns0:c r="D3" s="14"/>
      <ns0:c r="E3" s="12"/>
      <ns0:c r="F3" s="12"/>
      <ns0:c r="G3" s="12"/>
      <ns0:c r="H3" s="12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0"/>
      <ns0:c r="B4" s="13"/>
      <ns0:c r="C4" s="14"/>
      <ns0:c r="D4" s="14"/>
      <ns0:c r="E4" s="12"/>
      <ns0:c r="F4" s="12"/>
      <ns0:c r="G4" s="12"/>
      <ns0:c r="H4" s="12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0"/>
      <ns0:c r="B5" s="13"/>
      <ns0:c r="C5" s="14"/>
      <ns0:c r="D5" s="14"/>
      <ns0:c r="E5" s="12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0"/>
      <ns0:c r="B6" s="13" t="str">
        <ns0:v>税金及附加</ns0:v>
      </ns0:c>
      <ns0:c r="C6" s="14"/>
      <ns0:c r="D6" s="14"/>
      <ns0:c r="E6" s="12"/>
      <ns0:c r="F6" s="12"/>
      <ns0:c r="G6" s="12"/>
      <ns0:c r="H6" s="12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3"/>
      <ns0:c r="C7" s="14"/>
      <ns0:c r="D7" s="14"/>
      <ns0:c r="E7" s="12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3"/>
      <ns0:c r="C8" s="14"/>
      <ns0:c r="D8" s="14"/>
      <ns0:c r="E8" s="12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3"/>
      <ns0:c r="C9" s="14"/>
      <ns0:c r="D9" s="14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3"/>
      <ns0:c r="C10" s="14"/>
      <ns0:c r="D10" s="14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0"/>
      <ns0:c r="C11" s="12"/>
      <ns0:c r="D11" s="12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0"/>
      <ns0:c r="C12" s="12"/>
      <ns0:c r="D12" s="12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0"/>
      <ns0:c r="C13" s="12"/>
      <ns0:c r="D13" s="12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0"/>
      <ns0:c r="C14" s="12"/>
      <ns0:c r="D14" s="12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0"/>
      <ns0:c r="C15" s="12"/>
      <ns0:c r="D15" s="12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0"/>
      <ns0:c r="C16" s="12"/>
      <ns0:c r="D16" s="12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0"/>
      <ns0:c r="B17" s="10"/>
      <ns0:c r="C17" s="12"/>
      <ns0:c r="D17" s="12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0"/>
      <ns0:c r="C20" s="12"/>
      <ns0:c r="D20" s="12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0"/>
      <ns0:c r="C21" s="12"/>
      <ns0:c r="D21" s="12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0"/>
      <ns0:c r="C22" s="12"/>
      <ns0:c r="D22" s="12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0"/>
      <ns0:c r="C23" s="12"/>
      <ns0:c r="D23" s="12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预算基础（月度，元）</ns0:v>
      </ns0:c>
      <ns0:c r="C30" s="14"/>
      <ns0:c r="D30" s="14"/>
      <ns0:c r="E30" s="14"/>
      <ns0:c r="F30" s="14"/>
      <ns0:c r="G30" s="14"/>
      <ns0:c r="H30" s="14"/>
      <ns0:c r="I30" s="14"/>
      <ns0:c r="J30" s="14"/>
      <ns0:c r="K30" s="14"/>
      <ns0:c r="L30" s="14"/>
      <ns0:c r="M30" s="14"/>
      <ns0:c r="N30" s="14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综合附加率（演示假设）</ns0:v>
      </ns0:c>
      <ns0:c r="C31" s="14"/>
      <ns0:c r="D31" s="14"/>
      <ns0:c r="E31" s="14"/>
      <ns0:c r="F31" s="14"/>
      <ns0:c r="G31" s="14"/>
      <ns0:c r="H31" s="14"/>
      <ns0:c r="I31" s="14"/>
      <ns0:c r="J31" s="14"/>
      <ns0:c r="K31" s="14"/>
      <ns0:c r="L31" s="14"/>
      <ns0:c r="M31" s="14"/>
      <ns0:c r="N31" s="14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计税收入</ns0:v>
      </ns0:c>
      <ns0:c r="C32" s="14" t="n">
        <ns0:f>'收入非主控'!C33+'收入主控'!C33</ns0:f>
      </ns0:c>
      <ns0:c r="D32" s="14" t="n">
        <ns0:f>'收入非主控'!D33+'收入主控'!D33</ns0:f>
      </ns0:c>
      <ns0:c r="E32" s="14" t="n">
        <ns0:f>'收入非主控'!E33+'收入主控'!E33</ns0:f>
      </ns0:c>
      <ns0:c r="F32" s="14" t="n">
        <ns0:f>'收入非主控'!F33+'收入主控'!F33</ns0:f>
      </ns0:c>
      <ns0:c r="G32" s="14" t="n">
        <ns0:f>'收入非主控'!G33+'收入主控'!G33</ns0:f>
      </ns0:c>
      <ns0:c r="H32" s="14" t="n">
        <ns0:f>'收入非主控'!H33+'收入主控'!H33</ns0:f>
      </ns0:c>
      <ns0:c r="I32" s="14" t="n">
        <ns0:f>'收入非主控'!I33+'收入主控'!I33</ns0:f>
      </ns0:c>
      <ns0:c r="J32" s="14" t="n">
        <ns0:f>'收入非主控'!J33+'收入主控'!J33</ns0:f>
      </ns0:c>
      <ns0:c r="K32" s="14" t="n">
        <ns0:f>'收入非主控'!K33+'收入主控'!K33</ns0:f>
      </ns0:c>
      <ns0:c r="L32" s="14" t="n">
        <ns0:f>'收入非主控'!L33+'收入主控'!L33</ns0:f>
      </ns0:c>
      <ns0:c r="M32" s="14" t="n">
        <ns0:f>'收入非主控'!M33+'收入主控'!M33</ns0:f>
      </ns0:c>
      <ns0:c r="N32" s="14" t="n">
        <ns0:f>'收入非主控'!N33+'收入主控'!N33</ns0:f>
      </ns0:c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税金及附加</ns0:v>
      </ns0:c>
      <ns0:c r="C33" s="14" t="n">
        <ns0:f>ROUND(C32*$C$31,2)</ns0:f>
      </ns0:c>
      <ns0:c r="D33" s="14" t="n">
        <ns0:f>ROUND(D32*$C$31,2)</ns0:f>
      </ns0:c>
      <ns0:c r="E33" s="14" t="n">
        <ns0:f>ROUND(E32*$C$31,2)</ns0:f>
      </ns0:c>
      <ns0:c r="F33" s="14" t="n">
        <ns0:f>ROUND(F32*$C$31,2)</ns0:f>
      </ns0:c>
      <ns0:c r="G33" s="14" t="n">
        <ns0:f>ROUND(G32*$C$31,2)</ns0:f>
      </ns0:c>
      <ns0:c r="H33" s="14" t="n">
        <ns0:f>ROUND(H32*$C$31,2)</ns0:f>
      </ns0:c>
      <ns0:c r="I33" s="14" t="n">
        <ns0:f>ROUND(I32*$C$31,2)</ns0:f>
      </ns0:c>
      <ns0:c r="J33" s="14" t="n">
        <ns0:f>ROUND(J32*$C$31,2)</ns0:f>
      </ns0:c>
      <ns0:c r="K33" s="14" t="n">
        <ns0:f>ROUND(K32*$C$31,2)</ns0:f>
      </ns0:c>
      <ns0:c r="L33" s="14" t="n">
        <ns0:f>ROUND(L32*$C$31,2)</ns0:f>
      </ns0:c>
      <ns0:c r="M33" s="14" t="n">
        <ns0:f>ROUND(M32*$C$31,2)</ns0:f>
      </ns0:c>
      <ns0:c r="N33" s="14" t="n">
        <ns0:f>ROUND(N32*$C$31,2)</ns0:f>
      </ns0:c>
      <ns0:c r="O33" s="12"/>
      <ns0:c r="P33" s="10" t="str">
        <ns0:v>TAX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0"/>
      <ns0:c r="C34" s="12"/>
      <ns0:c r="D34" s="12"/>
      <ns0:c r="E34" s="12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0"/>
      <ns0:c r="C35" s="12"/>
      <ns0:c r="D35" s="12"/>
      <ns0:c r="E35" s="12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0"/>
      <ns0:c r="C36" s="12"/>
      <ns0:c r="D36" s="12"/>
      <ns0:c r="E36" s="12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销售费用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 t="str">
        <ns0:v>预算基础（月度，元）</ns0:v>
      </ns0:c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1月</ns0:v>
      </ns0:c>
      <ns0:c r="D3" s="14" t="str">
        <ns0:v>2月</ns0:v>
      </ns0:c>
      <ns0:c r="E3" s="14" t="str">
        <ns0:v>3月</ns0:v>
      </ns0:c>
      <ns0:c r="F3" s="14" t="str">
        <ns0:v>4月</ns0:v>
      </ns0:c>
      <ns0:c r="G3" s="14" t="str">
        <ns0:v>5月</ns0:v>
      </ns0:c>
      <ns0:c r="H3" s="14" t="str">
        <ns0:v>6月</ns0:v>
      </ns0:c>
      <ns0:c r="I3" s="14" t="str">
        <ns0:v>7月</ns0:v>
      </ns0:c>
      <ns0:c r="J3" s="14" t="str">
        <ns0:v>8月</ns0:v>
      </ns0:c>
      <ns0:c r="K3" s="14" t="str">
        <ns0:v>9月</ns0:v>
      </ns0:c>
      <ns0:c r="L3" s="14" t="str">
        <ns0:v>10月</ns0:v>
      </ns0:c>
      <ns0:c r="M3" s="14" t="str">
        <ns0:v>11月</ns0:v>
      </ns0:c>
      <ns0:c r="N3" s="14" t="str">
        <ns0:v>12月</ns0:v>
      </ns0:c>
      <ns0:c r="O3" s="14" t="str">
        <ns0:v>小计</ns0:v>
      </ns0:c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ROUND(C204*C324,2)</ns0:f>
      </ns0:c>
      <ns0:c r="D4" s="14" t="n">
        <ns0:f>ROUND(D204*D324,2)</ns0:f>
      </ns0:c>
      <ns0:c r="E4" s="14" t="n">
        <ns0:f>ROUND(E204*E324,2)</ns0:f>
      </ns0:c>
      <ns0:c r="F4" s="14" t="n">
        <ns0:f>ROUND(F204*F324,2)</ns0:f>
      </ns0:c>
      <ns0:c r="G4" s="14" t="n">
        <ns0:f>ROUND(G204*G324,2)</ns0:f>
      </ns0:c>
      <ns0:c r="H4" s="14" t="n">
        <ns0:f>ROUND(H204*H324,2)</ns0:f>
      </ns0:c>
      <ns0:c r="I4" s="14" t="n">
        <ns0:f>ROUND(I204*I324,2)</ns0:f>
      </ns0:c>
      <ns0:c r="J4" s="14" t="n">
        <ns0:f>ROUND(J204*J324,2)</ns0:f>
      </ns0:c>
      <ns0:c r="K4" s="14" t="n">
        <ns0:f>ROUND(K204*K324,2)</ns0:f>
      </ns0:c>
      <ns0:c r="L4" s="14" t="n">
        <ns0:f>ROUND(L204*L324,2)</ns0:f>
      </ns0:c>
      <ns0:c r="M4" s="14" t="n">
        <ns0:f>ROUND(M204*M324,2)</ns0:f>
      </ns0:c>
      <ns0:c r="N4" s="14" t="n">
        <ns0:f>ROUND(N204*N324,2)</ns0:f>
      </ns0:c>
      <ns0:c r="O4" s="14" t="n">
        <ns0:f>SUM(C4:N4)</ns0:f>
      </ns0:c>
      <ns0:c r="P4" s="10" t="str">
        <ns0:v>EXP1.004</ns0:v>
      </ns0:c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2" t="n">
        <ns0:f>ROUND(C205*C325,2)</ns0:f>
      </ns0:c>
      <ns0:c r="D5" s="14" t="n">
        <ns0:f>ROUND(D205*D325,2)</ns0:f>
      </ns0:c>
      <ns0:c r="E5" s="14" t="n">
        <ns0:f>ROUND(E205*E325,2)</ns0:f>
      </ns0:c>
      <ns0:c r="F5" s="14" t="n">
        <ns0:f>ROUND(F205*F325,2)</ns0:f>
      </ns0:c>
      <ns0:c r="G5" s="14" t="n">
        <ns0:f>ROUND(G205*G325,2)</ns0:f>
      </ns0:c>
      <ns0:c r="H5" s="14" t="n">
        <ns0:f>ROUND(H205*H325,2)</ns0:f>
      </ns0:c>
      <ns0:c r="I5" s="14" t="n">
        <ns0:f>ROUND(I205*I325,2)</ns0:f>
      </ns0:c>
      <ns0:c r="J5" s="14" t="n">
        <ns0:f>ROUND(J205*J325,2)</ns0:f>
      </ns0:c>
      <ns0:c r="K5" s="14" t="n">
        <ns0:f>ROUND(K205*K325,2)</ns0:f>
      </ns0:c>
      <ns0:c r="L5" s="14" t="n">
        <ns0:f>ROUND(L205*L325,2)</ns0:f>
      </ns0:c>
      <ns0:c r="M5" s="14" t="n">
        <ns0:f>ROUND(M205*M325,2)</ns0:f>
      </ns0:c>
      <ns0:c r="N5" s="14" t="n">
        <ns0:f>ROUND(N205*N325,2)</ns0:f>
      </ns0:c>
      <ns0:c r="O5" s="14" t="n">
        <ns0:f>SUM(C5:N5)</ns0:f>
      </ns0:c>
      <ns0:c r="P5" s="10" t="str">
        <ns0:v>EXP1.005</ns0:v>
      </ns0:c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 t="str">
        <ns0:v>离职补偿金</ns0:v>
      </ns0:c>
      <ns0:c r="C6" s="14" t="n">
        <ns0:f>ROUND(C206*C326,2)</ns0:f>
      </ns0:c>
      <ns0:c r="D6" s="14" t="n">
        <ns0:f>ROUND(D206*D326,2)</ns0:f>
      </ns0:c>
      <ns0:c r="E6" s="14" t="n">
        <ns0:f>ROUND(E206*E326,2)</ns0:f>
      </ns0:c>
      <ns0:c r="F6" s="14" t="n">
        <ns0:f>ROUND(F206*F326,2)</ns0:f>
      </ns0:c>
      <ns0:c r="G6" s="14" t="n">
        <ns0:f>ROUND(G206*G326,2)</ns0:f>
      </ns0:c>
      <ns0:c r="H6" s="14" t="n">
        <ns0:f>ROUND(H206*H326,2)</ns0:f>
      </ns0:c>
      <ns0:c r="I6" s="14" t="n">
        <ns0:f>ROUND(I206*I326,2)</ns0:f>
      </ns0:c>
      <ns0:c r="J6" s="14" t="n">
        <ns0:f>ROUND(J206*J326,2)</ns0:f>
      </ns0:c>
      <ns0:c r="K6" s="14" t="n">
        <ns0:f>ROUND(K206*K326,2)</ns0:f>
      </ns0:c>
      <ns0:c r="L6" s="14" t="n">
        <ns0:f>ROUND(L206*L326,2)</ns0:f>
      </ns0:c>
      <ns0:c r="M6" s="14" t="n">
        <ns0:f>ROUND(M206*M326,2)</ns0:f>
      </ns0:c>
      <ns0:c r="N6" s="14" t="n">
        <ns0:f>ROUND(N206*N326,2)</ns0:f>
      </ns0:c>
      <ns0:c r="O6" s="14" t="n">
        <ns0:f>SUM(C6:N6)</ns0:f>
      </ns0:c>
      <ns0:c r="P6" s="10" t="str">
        <ns0:v>EXP1.006</ns0:v>
      </ns0:c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ROUND(C207*C327,2)</ns0:f>
      </ns0:c>
      <ns0:c r="D7" s="14" t="n">
        <ns0:f>ROUND(D207*D327,2)</ns0:f>
      </ns0:c>
      <ns0:c r="E7" s="14" t="n">
        <ns0:f>ROUND(E207*E327,2)</ns0:f>
      </ns0:c>
      <ns0:c r="F7" s="14" t="n">
        <ns0:f>ROUND(F207*F327,2)</ns0:f>
      </ns0:c>
      <ns0:c r="G7" s="14" t="n">
        <ns0:f>ROUND(G207*G327,2)</ns0:f>
      </ns0:c>
      <ns0:c r="H7" s="14" t="n">
        <ns0:f>ROUND(H207*H327,2)</ns0:f>
      </ns0:c>
      <ns0:c r="I7" s="14" t="n">
        <ns0:f>ROUND(I207*I327,2)</ns0:f>
      </ns0:c>
      <ns0:c r="J7" s="14" t="n">
        <ns0:f>ROUND(J207*J327,2)</ns0:f>
      </ns0:c>
      <ns0:c r="K7" s="14" t="n">
        <ns0:f>ROUND(K207*K327,2)</ns0:f>
      </ns0:c>
      <ns0:c r="L7" s="14" t="n">
        <ns0:f>ROUND(L207*L327,2)</ns0:f>
      </ns0:c>
      <ns0:c r="M7" s="14" t="n">
        <ns0:f>ROUND(M207*M327,2)</ns0:f>
      </ns0:c>
      <ns0:c r="N7" s="14" t="n">
        <ns0:f>ROUND(N207*N327,2)</ns0:f>
      </ns0:c>
      <ns0:c r="O7" s="14" t="n">
        <ns0:f>SUM(C7:N7)</ns0:f>
      </ns0:c>
      <ns0:c r="P7" s="10" t="str">
        <ns0:v>EXP1.007</ns0:v>
      </ns0:c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ROUND(C208*C328,2)</ns0:f>
      </ns0:c>
      <ns0:c r="D8" s="14" t="n">
        <ns0:f>ROUND(D208*D328,2)</ns0:f>
      </ns0:c>
      <ns0:c r="E8" s="14" t="n">
        <ns0:f>ROUND(E208*E328,2)</ns0:f>
      </ns0:c>
      <ns0:c r="F8" s="14" t="n">
        <ns0:f>ROUND(F208*F328,2)</ns0:f>
      </ns0:c>
      <ns0:c r="G8" s="14" t="n">
        <ns0:f>ROUND(G208*G328,2)</ns0:f>
      </ns0:c>
      <ns0:c r="H8" s="14" t="n">
        <ns0:f>ROUND(H208*H328,2)</ns0:f>
      </ns0:c>
      <ns0:c r="I8" s="14" t="n">
        <ns0:f>ROUND(I208*I328,2)</ns0:f>
      </ns0:c>
      <ns0:c r="J8" s="14" t="n">
        <ns0:f>ROUND(J208*J328,2)</ns0:f>
      </ns0:c>
      <ns0:c r="K8" s="14" t="n">
        <ns0:f>ROUND(K208*K328,2)</ns0:f>
      </ns0:c>
      <ns0:c r="L8" s="14" t="n">
        <ns0:f>ROUND(L208*L328,2)</ns0:f>
      </ns0:c>
      <ns0:c r="M8" s="14" t="n">
        <ns0:f>ROUND(M208*M328,2)</ns0:f>
      </ns0:c>
      <ns0:c r="N8" s="14" t="n">
        <ns0:f>ROUND(N208*N328,2)</ns0:f>
      </ns0:c>
      <ns0:c r="O8" s="14" t="n">
        <ns0:f>SUM(C8:N8)</ns0:f>
      </ns0:c>
      <ns0:c r="P8" s="10" t="str">
        <ns0:v>EXP1.008</ns0:v>
      </ns0:c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4" t="n">
        <ns0:f>ROUND(C209*C329,2)</ns0:f>
      </ns0:c>
      <ns0:c r="D9" s="14" t="n">
        <ns0:f>ROUND(D209*D329,2)</ns0:f>
      </ns0:c>
      <ns0:c r="E9" s="14" t="n">
        <ns0:f>ROUND(E209*E329,2)</ns0:f>
      </ns0:c>
      <ns0:c r="F9" s="14" t="n">
        <ns0:f>ROUND(F209*F329,2)</ns0:f>
      </ns0:c>
      <ns0:c r="G9" s="14" t="n">
        <ns0:f>ROUND(G209*G329,2)</ns0:f>
      </ns0:c>
      <ns0:c r="H9" s="14" t="n">
        <ns0:f>ROUND(H209*H329,2)</ns0:f>
      </ns0:c>
      <ns0:c r="I9" s="14" t="n">
        <ns0:f>ROUND(I209*I329,2)</ns0:f>
      </ns0:c>
      <ns0:c r="J9" s="14" t="n">
        <ns0:f>ROUND(J209*J329,2)</ns0:f>
      </ns0:c>
      <ns0:c r="K9" s="14" t="n">
        <ns0:f>ROUND(K209*K329,2)</ns0:f>
      </ns0:c>
      <ns0:c r="L9" s="14" t="n">
        <ns0:f>ROUND(L209*L329,2)</ns0:f>
      </ns0:c>
      <ns0:c r="M9" s="14" t="n">
        <ns0:f>ROUND(M209*M329,2)</ns0:f>
      </ns0:c>
      <ns0:c r="N9" s="14" t="n">
        <ns0:f>ROUND(N209*N329,2)</ns0:f>
      </ns0:c>
      <ns0:c r="O9" s="14" t="n">
        <ns0:f>SUM(C9:N9)</ns0:f>
      </ns0:c>
      <ns0:c r="P9" s="10" t="str">
        <ns0:v>EXP1.009</ns0:v>
      </ns0:c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ROUND(C210*C330,2)</ns0:f>
      </ns0:c>
      <ns0:c r="D10" s="14" t="n">
        <ns0:f>ROUND(D210*D330,2)</ns0:f>
      </ns0:c>
      <ns0:c r="E10" s="14" t="n">
        <ns0:f>ROUND(E210*E330,2)</ns0:f>
      </ns0:c>
      <ns0:c r="F10" s="14" t="n">
        <ns0:f>ROUND(F210*F330,2)</ns0:f>
      </ns0:c>
      <ns0:c r="G10" s="14" t="n">
        <ns0:f>ROUND(G210*G330,2)</ns0:f>
      </ns0:c>
      <ns0:c r="H10" s="14" t="n">
        <ns0:f>ROUND(H210*H330,2)</ns0:f>
      </ns0:c>
      <ns0:c r="I10" s="14" t="n">
        <ns0:f>ROUND(I210*I330,2)</ns0:f>
      </ns0:c>
      <ns0:c r="J10" s="14" t="n">
        <ns0:f>ROUND(J210*J330,2)</ns0:f>
      </ns0:c>
      <ns0:c r="K10" s="14" t="n">
        <ns0:f>ROUND(K210*K330,2)</ns0:f>
      </ns0:c>
      <ns0:c r="L10" s="14" t="n">
        <ns0:f>ROUND(L210*L330,2)</ns0:f>
      </ns0:c>
      <ns0:c r="M10" s="14" t="n">
        <ns0:f>ROUND(M210*M330,2)</ns0:f>
      </ns0:c>
      <ns0:c r="N10" s="14" t="n">
        <ns0:f>ROUND(N210*N330,2)</ns0:f>
      </ns0:c>
      <ns0:c r="O10" s="14" t="n">
        <ns0:f>SUM(C10:N10)</ns0:f>
      </ns0:c>
      <ns0:c r="P10" s="10" t="str">
        <ns0:v>EXP1.010</ns0:v>
      </ns0:c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ROUND(C211*C331,2)</ns0:f>
      </ns0:c>
      <ns0:c r="D11" s="14" t="n">
        <ns0:f>ROUND(D211*D331,2)</ns0:f>
      </ns0:c>
      <ns0:c r="E11" s="14" t="n">
        <ns0:f>ROUND(E211*E331,2)</ns0:f>
      </ns0:c>
      <ns0:c r="F11" s="14" t="n">
        <ns0:f>ROUND(F211*F331,2)</ns0:f>
      </ns0:c>
      <ns0:c r="G11" s="14" t="n">
        <ns0:f>ROUND(G211*G331,2)</ns0:f>
      </ns0:c>
      <ns0:c r="H11" s="14" t="n">
        <ns0:f>ROUND(H211*H331,2)</ns0:f>
      </ns0:c>
      <ns0:c r="I11" s="14" t="n">
        <ns0:f>ROUND(I211*I331,2)</ns0:f>
      </ns0:c>
      <ns0:c r="J11" s="14" t="n">
        <ns0:f>ROUND(J211*J331,2)</ns0:f>
      </ns0:c>
      <ns0:c r="K11" s="14" t="n">
        <ns0:f>ROUND(K211*K331,2)</ns0:f>
      </ns0:c>
      <ns0:c r="L11" s="14" t="n">
        <ns0:f>ROUND(L211*L331,2)</ns0:f>
      </ns0:c>
      <ns0:c r="M11" s="14" t="n">
        <ns0:f>ROUND(M211*M331,2)</ns0:f>
      </ns0:c>
      <ns0:c r="N11" s="14" t="n">
        <ns0:f>ROUND(N211*N331,2)</ns0:f>
      </ns0:c>
      <ns0:c r="O11" s="14" t="n">
        <ns0:f>SUM(C11:N11)</ns0:f>
      </ns0:c>
      <ns0:c r="P11" s="10" t="str">
        <ns0:v>EXP1.011</ns0:v>
      </ns0:c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ROUND(C212*C332,2)</ns0:f>
      </ns0:c>
      <ns0:c r="D12" s="14" t="n">
        <ns0:f>ROUND(D212*D332,2)</ns0:f>
      </ns0:c>
      <ns0:c r="E12" s="14" t="n">
        <ns0:f>ROUND(E212*E332,2)</ns0:f>
      </ns0:c>
      <ns0:c r="F12" s="14" t="n">
        <ns0:f>ROUND(F212*F332,2)</ns0:f>
      </ns0:c>
      <ns0:c r="G12" s="14" t="n">
        <ns0:f>ROUND(G212*G332,2)</ns0:f>
      </ns0:c>
      <ns0:c r="H12" s="14" t="n">
        <ns0:f>ROUND(H212*H332,2)</ns0:f>
      </ns0:c>
      <ns0:c r="I12" s="14" t="n">
        <ns0:f>ROUND(I212*I332,2)</ns0:f>
      </ns0:c>
      <ns0:c r="J12" s="14" t="n">
        <ns0:f>ROUND(J212*J332,2)</ns0:f>
      </ns0:c>
      <ns0:c r="K12" s="14" t="n">
        <ns0:f>ROUND(K212*K332,2)</ns0:f>
      </ns0:c>
      <ns0:c r="L12" s="14" t="n">
        <ns0:f>ROUND(L212*L332,2)</ns0:f>
      </ns0:c>
      <ns0:c r="M12" s="14" t="n">
        <ns0:f>ROUND(M212*M332,2)</ns0:f>
      </ns0:c>
      <ns0:c r="N12" s="14" t="n">
        <ns0:f>ROUND(N212*N332,2)</ns0:f>
      </ns0:c>
      <ns0:c r="O12" s="14" t="n">
        <ns0:f>SUM(C12:N12)</ns0:f>
      </ns0:c>
      <ns0:c r="P12" s="10" t="str">
        <ns0:v>EXP1.012</ns0:v>
      </ns0:c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ROUND(C213*C333,2)</ns0:f>
      </ns0:c>
      <ns0:c r="D13" s="14" t="n">
        <ns0:f>ROUND(D213*D333,2)</ns0:f>
      </ns0:c>
      <ns0:c r="E13" s="14" t="n">
        <ns0:f>ROUND(E213*E333,2)</ns0:f>
      </ns0:c>
      <ns0:c r="F13" s="14" t="n">
        <ns0:f>ROUND(F213*F333,2)</ns0:f>
      </ns0:c>
      <ns0:c r="G13" s="14" t="n">
        <ns0:f>ROUND(G213*G333,2)</ns0:f>
      </ns0:c>
      <ns0:c r="H13" s="14" t="n">
        <ns0:f>ROUND(H213*H333,2)</ns0:f>
      </ns0:c>
      <ns0:c r="I13" s="14" t="n">
        <ns0:f>ROUND(I213*I333,2)</ns0:f>
      </ns0:c>
      <ns0:c r="J13" s="14" t="n">
        <ns0:f>ROUND(J213*J333,2)</ns0:f>
      </ns0:c>
      <ns0:c r="K13" s="14" t="n">
        <ns0:f>ROUND(K213*K333,2)</ns0:f>
      </ns0:c>
      <ns0:c r="L13" s="14" t="n">
        <ns0:f>ROUND(L213*L333,2)</ns0:f>
      </ns0:c>
      <ns0:c r="M13" s="14" t="n">
        <ns0:f>ROUND(M213*M333,2)</ns0:f>
      </ns0:c>
      <ns0:c r="N13" s="14" t="n">
        <ns0:f>ROUND(N213*N333,2)</ns0:f>
      </ns0:c>
      <ns0:c r="O13" s="14" t="n">
        <ns0:f>SUM(C13:N13)</ns0:f>
      </ns0:c>
      <ns0:c r="P13" s="10" t="str">
        <ns0:v>EXP1.013</ns0:v>
      </ns0:c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ROUND(C214*C334,2)</ns0:f>
      </ns0:c>
      <ns0:c r="D14" s="14" t="n">
        <ns0:f>ROUND(D214*D334,2)</ns0:f>
      </ns0:c>
      <ns0:c r="E14" s="14" t="n">
        <ns0:f>ROUND(E214*E334,2)</ns0:f>
      </ns0:c>
      <ns0:c r="F14" s="14" t="n">
        <ns0:f>ROUND(F214*F334,2)</ns0:f>
      </ns0:c>
      <ns0:c r="G14" s="14" t="n">
        <ns0:f>ROUND(G214*G334,2)</ns0:f>
      </ns0:c>
      <ns0:c r="H14" s="14" t="n">
        <ns0:f>ROUND(H214*H334,2)</ns0:f>
      </ns0:c>
      <ns0:c r="I14" s="14" t="n">
        <ns0:f>ROUND(I214*I334,2)</ns0:f>
      </ns0:c>
      <ns0:c r="J14" s="14" t="n">
        <ns0:f>ROUND(J214*J334,2)</ns0:f>
      </ns0:c>
      <ns0:c r="K14" s="14" t="n">
        <ns0:f>ROUND(K214*K334,2)</ns0:f>
      </ns0:c>
      <ns0:c r="L14" s="14" t="n">
        <ns0:f>ROUND(L214*L334,2)</ns0:f>
      </ns0:c>
      <ns0:c r="M14" s="14" t="n">
        <ns0:f>ROUND(M214*M334,2)</ns0:f>
      </ns0:c>
      <ns0:c r="N14" s="14" t="n">
        <ns0:f>ROUND(N214*N334,2)</ns0:f>
      </ns0:c>
      <ns0:c r="O14" s="14" t="n">
        <ns0:f>SUM(C14:N14)</ns0:f>
      </ns0:c>
      <ns0:c r="P14" s="10" t="str">
        <ns0:v>EXP1.014</ns0:v>
      </ns0:c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ROUND(C215*C335,2)</ns0:f>
      </ns0:c>
      <ns0:c r="D15" s="14" t="n">
        <ns0:f>ROUND(D215*D335,2)</ns0:f>
      </ns0:c>
      <ns0:c r="E15" s="14" t="n">
        <ns0:f>ROUND(E215*E335,2)</ns0:f>
      </ns0:c>
      <ns0:c r="F15" s="14" t="n">
        <ns0:f>ROUND(F215*F335,2)</ns0:f>
      </ns0:c>
      <ns0:c r="G15" s="14" t="n">
        <ns0:f>ROUND(G215*G335,2)</ns0:f>
      </ns0:c>
      <ns0:c r="H15" s="14" t="n">
        <ns0:f>ROUND(H215*H335,2)</ns0:f>
      </ns0:c>
      <ns0:c r="I15" s="14" t="n">
        <ns0:f>ROUND(I215*I335,2)</ns0:f>
      </ns0:c>
      <ns0:c r="J15" s="14" t="n">
        <ns0:f>ROUND(J215*J335,2)</ns0:f>
      </ns0:c>
      <ns0:c r="K15" s="14" t="n">
        <ns0:f>ROUND(K215*K335,2)</ns0:f>
      </ns0:c>
      <ns0:c r="L15" s="14" t="n">
        <ns0:f>ROUND(L215*L335,2)</ns0:f>
      </ns0:c>
      <ns0:c r="M15" s="14" t="n">
        <ns0:f>ROUND(M215*M335,2)</ns0:f>
      </ns0:c>
      <ns0:c r="N15" s="14" t="n">
        <ns0:f>ROUND(N215*N335,2)</ns0:f>
      </ns0:c>
      <ns0:c r="O15" s="14" t="n">
        <ns0:f>SUM(C15:N15)</ns0:f>
      </ns0:c>
      <ns0:c r="P15" s="10" t="str">
        <ns0:v>EXP1.015</ns0:v>
      </ns0:c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ROUND(C216*C336,2)</ns0:f>
      </ns0:c>
      <ns0:c r="D16" s="14" t="n">
        <ns0:f>ROUND(D216*D336,2)</ns0:f>
      </ns0:c>
      <ns0:c r="E16" s="14" t="n">
        <ns0:f>ROUND(E216*E336,2)</ns0:f>
      </ns0:c>
      <ns0:c r="F16" s="14" t="n">
        <ns0:f>ROUND(F216*F336,2)</ns0:f>
      </ns0:c>
      <ns0:c r="G16" s="14" t="n">
        <ns0:f>ROUND(G216*G336,2)</ns0:f>
      </ns0:c>
      <ns0:c r="H16" s="14" t="n">
        <ns0:f>ROUND(H216*H336,2)</ns0:f>
      </ns0:c>
      <ns0:c r="I16" s="14" t="n">
        <ns0:f>ROUND(I216*I336,2)</ns0:f>
      </ns0:c>
      <ns0:c r="J16" s="14" t="n">
        <ns0:f>ROUND(J216*J336,2)</ns0:f>
      </ns0:c>
      <ns0:c r="K16" s="14" t="n">
        <ns0:f>ROUND(K216*K336,2)</ns0:f>
      </ns0:c>
      <ns0:c r="L16" s="14" t="n">
        <ns0:f>ROUND(L216*L336,2)</ns0:f>
      </ns0:c>
      <ns0:c r="M16" s="14" t="n">
        <ns0:f>ROUND(M216*M336,2)</ns0:f>
      </ns0:c>
      <ns0:c r="N16" s="14" t="n">
        <ns0:f>ROUND(N216*N336,2)</ns0:f>
      </ns0:c>
      <ns0:c r="O16" s="14" t="n">
        <ns0:f>SUM(C16:N16)</ns0:f>
      </ns0:c>
      <ns0:c r="P16" s="10" t="str">
        <ns0:v>EXP1.016</ns0:v>
      </ns0:c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/>
      <ns0:c r="B17" s="13" t="str">
        <ns0:v>咨询服务费</ns0:v>
      </ns0:c>
      <ns0:c r="C17" s="14" t="n">
        <ns0:f>ROUND(C217*C337,2)</ns0:f>
      </ns0:c>
      <ns0:c r="D17" s="14" t="n">
        <ns0:f>ROUND(D217*D337,2)</ns0:f>
      </ns0:c>
      <ns0:c r="E17" s="14" t="n">
        <ns0:f>ROUND(E217*E337,2)</ns0:f>
      </ns0:c>
      <ns0:c r="F17" s="14" t="n">
        <ns0:f>ROUND(F217*F337,2)</ns0:f>
      </ns0:c>
      <ns0:c r="G17" s="14" t="n">
        <ns0:f>ROUND(G217*G337,2)</ns0:f>
      </ns0:c>
      <ns0:c r="H17" s="14" t="n">
        <ns0:f>ROUND(H217*H337,2)</ns0:f>
      </ns0:c>
      <ns0:c r="I17" s="14" t="n">
        <ns0:f>ROUND(I217*I337,2)</ns0:f>
      </ns0:c>
      <ns0:c r="J17" s="14" t="n">
        <ns0:f>ROUND(J217*J337,2)</ns0:f>
      </ns0:c>
      <ns0:c r="K17" s="14" t="n">
        <ns0:f>ROUND(K217*K337,2)</ns0:f>
      </ns0:c>
      <ns0:c r="L17" s="14" t="n">
        <ns0:f>ROUND(L217*L337,2)</ns0:f>
      </ns0:c>
      <ns0:c r="M17" s="14" t="n">
        <ns0:f>ROUND(M217*M337,2)</ns0:f>
      </ns0:c>
      <ns0:c r="N17" s="14" t="n">
        <ns0:f>ROUND(N217*N337,2)</ns0:f>
      </ns0:c>
      <ns0:c r="O17" s="14" t="n">
        <ns0:f>SUM(C17:N17)</ns0:f>
      </ns0:c>
      <ns0:c r="P17" s="10" t="str">
        <ns0:v>EXP1.017</ns0:v>
      </ns0:c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ROUND(C218*C338,2)</ns0:f>
      </ns0:c>
      <ns0:c r="D18" s="14" t="n">
        <ns0:f>ROUND(D218*D338,2)</ns0:f>
      </ns0:c>
      <ns0:c r="E18" s="14" t="n">
        <ns0:f>ROUND(E218*E338,2)</ns0:f>
      </ns0:c>
      <ns0:c r="F18" s="14" t="n">
        <ns0:f>ROUND(F218*F338,2)</ns0:f>
      </ns0:c>
      <ns0:c r="G18" s="14" t="n">
        <ns0:f>ROUND(G218*G338,2)</ns0:f>
      </ns0:c>
      <ns0:c r="H18" s="14" t="n">
        <ns0:f>ROUND(H218*H338,2)</ns0:f>
      </ns0:c>
      <ns0:c r="I18" s="14" t="n">
        <ns0:f>ROUND(I218*I338,2)</ns0:f>
      </ns0:c>
      <ns0:c r="J18" s="14" t="n">
        <ns0:f>ROUND(J218*J338,2)</ns0:f>
      </ns0:c>
      <ns0:c r="K18" s="14" t="n">
        <ns0:f>ROUND(K218*K338,2)</ns0:f>
      </ns0:c>
      <ns0:c r="L18" s="14" t="n">
        <ns0:f>ROUND(L218*L338,2)</ns0:f>
      </ns0:c>
      <ns0:c r="M18" s="14" t="n">
        <ns0:f>ROUND(M218*M338,2)</ns0:f>
      </ns0:c>
      <ns0:c r="N18" s="14" t="n">
        <ns0:f>ROUND(N218*N338,2)</ns0:f>
      </ns0:c>
      <ns0:c r="O18" s="14" t="n">
        <ns0:f>SUM(C18:N18)</ns0:f>
      </ns0:c>
      <ns0:c r="P18" s="10" t="str">
        <ns0:v>EXP1.018</ns0:v>
      </ns0:c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ROUND(C219*C339,2)</ns0:f>
      </ns0:c>
      <ns0:c r="D19" s="14" t="n">
        <ns0:f>ROUND(D219*D339,2)</ns0:f>
      </ns0:c>
      <ns0:c r="E19" s="14" t="n">
        <ns0:f>ROUND(E219*E339,2)</ns0:f>
      </ns0:c>
      <ns0:c r="F19" s="14" t="n">
        <ns0:f>ROUND(F219*F339,2)</ns0:f>
      </ns0:c>
      <ns0:c r="G19" s="14" t="n">
        <ns0:f>ROUND(G219*G339,2)</ns0:f>
      </ns0:c>
      <ns0:c r="H19" s="14" t="n">
        <ns0:f>ROUND(H219*H339,2)</ns0:f>
      </ns0:c>
      <ns0:c r="I19" s="14" t="n">
        <ns0:f>ROUND(I219*I339,2)</ns0:f>
      </ns0:c>
      <ns0:c r="J19" s="14" t="n">
        <ns0:f>ROUND(J219*J339,2)</ns0:f>
      </ns0:c>
      <ns0:c r="K19" s="14" t="n">
        <ns0:f>ROUND(K219*K339,2)</ns0:f>
      </ns0:c>
      <ns0:c r="L19" s="14" t="n">
        <ns0:f>ROUND(L219*L339,2)</ns0:f>
      </ns0:c>
      <ns0:c r="M19" s="14" t="n">
        <ns0:f>ROUND(M219*M339,2)</ns0:f>
      </ns0:c>
      <ns0:c r="N19" s="14" t="n">
        <ns0:f>ROUND(N219*N339,2)</ns0:f>
      </ns0:c>
      <ns0:c r="O19" s="14" t="n">
        <ns0:f>SUM(C19:N19)</ns0:f>
      </ns0:c>
      <ns0:c r="P19" s="10" t="str">
        <ns0:v>EXP1.019</ns0:v>
      </ns0:c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ROUND('摊销明细'!C33/3,2)</ns0:f>
      </ns0:c>
      <ns0:c r="D20" s="14" t="n">
        <ns0:f>ROUND('摊销明细'!D33/3,2)</ns0:f>
      </ns0:c>
      <ns0:c r="E20" s="14" t="n">
        <ns0:f>ROUND('摊销明细'!E33/3,2)</ns0:f>
      </ns0:c>
      <ns0:c r="F20" s="14" t="n">
        <ns0:f>ROUND('摊销明细'!F33/3,2)</ns0:f>
      </ns0:c>
      <ns0:c r="G20" s="14" t="n">
        <ns0:f>ROUND('摊销明细'!G33/3,2)</ns0:f>
      </ns0:c>
      <ns0:c r="H20" s="14" t="n">
        <ns0:f>ROUND('摊销明细'!H33/3,2)</ns0:f>
      </ns0:c>
      <ns0:c r="I20" s="14" t="n">
        <ns0:f>ROUND('摊销明细'!I33/3,2)</ns0:f>
      </ns0:c>
      <ns0:c r="J20" s="14" t="n">
        <ns0:f>ROUND('摊销明细'!J33/3,2)</ns0:f>
      </ns0:c>
      <ns0:c r="K20" s="14" t="n">
        <ns0:f>ROUND('摊销明细'!K33/3,2)</ns0:f>
      </ns0:c>
      <ns0:c r="L20" s="14" t="n">
        <ns0:f>ROUND('摊销明细'!L33/3,2)</ns0:f>
      </ns0:c>
      <ns0:c r="M20" s="14" t="n">
        <ns0:f>ROUND('摊销明细'!M33/3,2)</ns0:f>
      </ns0:c>
      <ns0:c r="N20" s="14" t="n">
        <ns0:f>ROUND('摊销明细'!N33/3,2)</ns0:f>
      </ns0:c>
      <ns0:c r="O20" s="14" t="n">
        <ns0:f>SUM(C20:N20)</ns0:f>
      </ns0:c>
      <ns0:c r="P20" s="10" t="str">
        <ns0:v>EXP1.020</ns0:v>
      </ns0:c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ROUND(C221*C341,2)</ns0:f>
      </ns0:c>
      <ns0:c r="D21" s="14" t="n">
        <ns0:f>ROUND(D221*D341,2)</ns0:f>
      </ns0:c>
      <ns0:c r="E21" s="14" t="n">
        <ns0:f>ROUND(E221*E341,2)</ns0:f>
      </ns0:c>
      <ns0:c r="F21" s="14" t="n">
        <ns0:f>ROUND(F221*F341,2)</ns0:f>
      </ns0:c>
      <ns0:c r="G21" s="14" t="n">
        <ns0:f>ROUND(G221*G341,2)</ns0:f>
      </ns0:c>
      <ns0:c r="H21" s="14" t="n">
        <ns0:f>ROUND(H221*H341,2)</ns0:f>
      </ns0:c>
      <ns0:c r="I21" s="14" t="n">
        <ns0:f>ROUND(I221*I341,2)</ns0:f>
      </ns0:c>
      <ns0:c r="J21" s="14" t="n">
        <ns0:f>ROUND(J221*J341,2)</ns0:f>
      </ns0:c>
      <ns0:c r="K21" s="14" t="n">
        <ns0:f>ROUND(K221*K341,2)</ns0:f>
      </ns0:c>
      <ns0:c r="L21" s="14" t="n">
        <ns0:f>ROUND(L221*L341,2)</ns0:f>
      </ns0:c>
      <ns0:c r="M21" s="14" t="n">
        <ns0:f>ROUND(M221*M341,2)</ns0:f>
      </ns0:c>
      <ns0:c r="N21" s="14" t="n">
        <ns0:f>ROUND(N221*N341,2)</ns0:f>
      </ns0:c>
      <ns0:c r="O21" s="14" t="n">
        <ns0:f>SUM(C21:N21)</ns0:f>
      </ns0:c>
      <ns0:c r="P21" s="10" t="str">
        <ns0:v>EXP1.021</ns0:v>
      </ns0:c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ROUND(C222*C342,2)</ns0:f>
      </ns0:c>
      <ns0:c r="D22" s="14" t="n">
        <ns0:f>ROUND(D222*D342,2)</ns0:f>
      </ns0:c>
      <ns0:c r="E22" s="14" t="n">
        <ns0:f>ROUND(E222*E342,2)</ns0:f>
      </ns0:c>
      <ns0:c r="F22" s="14" t="n">
        <ns0:f>ROUND(F222*F342,2)</ns0:f>
      </ns0:c>
      <ns0:c r="G22" s="14" t="n">
        <ns0:f>ROUND(G222*G342,2)</ns0:f>
      </ns0:c>
      <ns0:c r="H22" s="14" t="n">
        <ns0:f>ROUND(H222*H342,2)</ns0:f>
      </ns0:c>
      <ns0:c r="I22" s="14" t="n">
        <ns0:f>ROUND(I222*I342,2)</ns0:f>
      </ns0:c>
      <ns0:c r="J22" s="14" t="n">
        <ns0:f>ROUND(J222*J342,2)</ns0:f>
      </ns0:c>
      <ns0:c r="K22" s="14" t="n">
        <ns0:f>ROUND(K222*K342,2)</ns0:f>
      </ns0:c>
      <ns0:c r="L22" s="14" t="n">
        <ns0:f>ROUND(L222*L342,2)</ns0:f>
      </ns0:c>
      <ns0:c r="M22" s="14" t="n">
        <ns0:f>ROUND(M222*M342,2)</ns0:f>
      </ns0:c>
      <ns0:c r="N22" s="14" t="n">
        <ns0:f>ROUND(N222*N342,2)</ns0:f>
      </ns0:c>
      <ns0:c r="O22" s="14" t="n">
        <ns0:f>SUM(C22:N22)</ns0:f>
      </ns0:c>
      <ns0:c r="P22" s="10" t="str">
        <ns0:v>EXP1.022</ns0:v>
      </ns0:c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ROUND(C223*C343,2)</ns0:f>
      </ns0:c>
      <ns0:c r="D23" s="14" t="n">
        <ns0:f>ROUND(D223*D343,2)</ns0:f>
      </ns0:c>
      <ns0:c r="E23" s="14" t="n">
        <ns0:f>ROUND(E223*E343,2)</ns0:f>
      </ns0:c>
      <ns0:c r="F23" s="14" t="n">
        <ns0:f>ROUND(F223*F343,2)</ns0:f>
      </ns0:c>
      <ns0:c r="G23" s="14" t="n">
        <ns0:f>ROUND(G223*G343,2)</ns0:f>
      </ns0:c>
      <ns0:c r="H23" s="14" t="n">
        <ns0:f>ROUND(H223*H343,2)</ns0:f>
      </ns0:c>
      <ns0:c r="I23" s="14" t="n">
        <ns0:f>ROUND(I223*I343,2)</ns0:f>
      </ns0:c>
      <ns0:c r="J23" s="14" t="n">
        <ns0:f>ROUND(J223*J343,2)</ns0:f>
      </ns0:c>
      <ns0:c r="K23" s="14" t="n">
        <ns0:f>ROUND(K223*K343,2)</ns0:f>
      </ns0:c>
      <ns0:c r="L23" s="14" t="n">
        <ns0:f>ROUND(L223*L343,2)</ns0:f>
      </ns0:c>
      <ns0:c r="M23" s="14" t="n">
        <ns0:f>ROUND(M223*M343,2)</ns0:f>
      </ns0:c>
      <ns0:c r="N23" s="14" t="n">
        <ns0:f>ROUND(N223*N343,2)</ns0:f>
      </ns0:c>
      <ns0:c r="O23" s="14" t="n">
        <ns0:f>SUM(C23:N23)</ns0:f>
      </ns0:c>
      <ns0:c r="P23" s="10" t="str">
        <ns0:v>EXP1.023</ns0:v>
      </ns0:c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ROUND(C224*C344,2)</ns0:f>
      </ns0:c>
      <ns0:c r="D24" s="14" t="n">
        <ns0:f>ROUND(D224*D344,2)</ns0:f>
      </ns0:c>
      <ns0:c r="E24" s="14" t="n">
        <ns0:f>ROUND(E224*E344,2)</ns0:f>
      </ns0:c>
      <ns0:c r="F24" s="14" t="n">
        <ns0:f>ROUND(F224*F344,2)</ns0:f>
      </ns0:c>
      <ns0:c r="G24" s="14" t="n">
        <ns0:f>ROUND(G224*G344,2)</ns0:f>
      </ns0:c>
      <ns0:c r="H24" s="14" t="n">
        <ns0:f>ROUND(H224*H344,2)</ns0:f>
      </ns0:c>
      <ns0:c r="I24" s="14" t="n">
        <ns0:f>ROUND(I224*I344,2)</ns0:f>
      </ns0:c>
      <ns0:c r="J24" s="14" t="n">
        <ns0:f>ROUND(J224*J344,2)</ns0:f>
      </ns0:c>
      <ns0:c r="K24" s="14" t="n">
        <ns0:f>ROUND(K224*K344,2)</ns0:f>
      </ns0:c>
      <ns0:c r="L24" s="14" t="n">
        <ns0:f>ROUND(L224*L344,2)</ns0:f>
      </ns0:c>
      <ns0:c r="M24" s="14" t="n">
        <ns0:f>ROUND(M224*M344,2)</ns0:f>
      </ns0:c>
      <ns0:c r="N24" s="14" t="n">
        <ns0:f>ROUND(N224*N344,2)</ns0:f>
      </ns0:c>
      <ns0:c r="O24" s="14" t="n">
        <ns0:f>SUM(C24:N24)</ns0:f>
      </ns0:c>
      <ns0:c r="P24" s="10" t="str">
        <ns0:v>EXP1.024</ns0:v>
      </ns0:c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ROUND(C225*C345,2)</ns0:f>
      </ns0:c>
      <ns0:c r="D25" s="14" t="n">
        <ns0:f>ROUND(D225*D345,2)</ns0:f>
      </ns0:c>
      <ns0:c r="E25" s="14" t="n">
        <ns0:f>ROUND(E225*E345,2)</ns0:f>
      </ns0:c>
      <ns0:c r="F25" s="14" t="n">
        <ns0:f>ROUND(F225*F345,2)</ns0:f>
      </ns0:c>
      <ns0:c r="G25" s="14" t="n">
        <ns0:f>ROUND(G225*G345,2)</ns0:f>
      </ns0:c>
      <ns0:c r="H25" s="14" t="n">
        <ns0:f>ROUND(H225*H345,2)</ns0:f>
      </ns0:c>
      <ns0:c r="I25" s="14" t="n">
        <ns0:f>ROUND(I225*I345,2)</ns0:f>
      </ns0:c>
      <ns0:c r="J25" s="14" t="n">
        <ns0:f>ROUND(J225*J345,2)</ns0:f>
      </ns0:c>
      <ns0:c r="K25" s="14" t="n">
        <ns0:f>ROUND(K225*K345,2)</ns0:f>
      </ns0:c>
      <ns0:c r="L25" s="14" t="n">
        <ns0:f>ROUND(L225*L345,2)</ns0:f>
      </ns0:c>
      <ns0:c r="M25" s="14" t="n">
        <ns0:f>ROUND(M225*M345,2)</ns0:f>
      </ns0:c>
      <ns0:c r="N25" s="14" t="n">
        <ns0:f>ROUND(N225*N345,2)</ns0:f>
      </ns0:c>
      <ns0:c r="O25" s="14" t="n">
        <ns0:f>SUM(C25:N25)</ns0:f>
      </ns0:c>
      <ns0:c r="P25" s="10" t="str">
        <ns0:v>EXP1.025</ns0:v>
      </ns0:c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ROUND(C226*C346,2)</ns0:f>
      </ns0:c>
      <ns0:c r="D26" s="14" t="n">
        <ns0:f>ROUND(D226*D346,2)</ns0:f>
      </ns0:c>
      <ns0:c r="E26" s="14" t="n">
        <ns0:f>ROUND(E226*E346,2)</ns0:f>
      </ns0:c>
      <ns0:c r="F26" s="14" t="n">
        <ns0:f>ROUND(F226*F346,2)</ns0:f>
      </ns0:c>
      <ns0:c r="G26" s="14" t="n">
        <ns0:f>ROUND(G226*G346,2)</ns0:f>
      </ns0:c>
      <ns0:c r="H26" s="14" t="n">
        <ns0:f>ROUND(H226*H346,2)</ns0:f>
      </ns0:c>
      <ns0:c r="I26" s="14" t="n">
        <ns0:f>ROUND(I226*I346,2)</ns0:f>
      </ns0:c>
      <ns0:c r="J26" s="14" t="n">
        <ns0:f>ROUND(J226*J346,2)</ns0:f>
      </ns0:c>
      <ns0:c r="K26" s="14" t="n">
        <ns0:f>ROUND(K226*K346,2)</ns0:f>
      </ns0:c>
      <ns0:c r="L26" s="14" t="n">
        <ns0:f>ROUND(L226*L346,2)</ns0:f>
      </ns0:c>
      <ns0:c r="M26" s="14" t="n">
        <ns0:f>ROUND(M226*M346,2)</ns0:f>
      </ns0:c>
      <ns0:c r="N26" s="14" t="n">
        <ns0:f>ROUND(N226*N346,2)</ns0:f>
      </ns0:c>
      <ns0:c r="O26" s="14" t="n">
        <ns0:f>SUM(C26:N26)</ns0:f>
      </ns0:c>
      <ns0:c r="P26" s="10" t="str">
        <ns0:v>EXP1.026</ns0:v>
      </ns0:c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ROUND(C227*C347,2)</ns0:f>
      </ns0:c>
      <ns0:c r="D27" s="14" t="n">
        <ns0:f>ROUND(D227*D347,2)</ns0:f>
      </ns0:c>
      <ns0:c r="E27" s="14" t="n">
        <ns0:f>ROUND(E227*E347,2)</ns0:f>
      </ns0:c>
      <ns0:c r="F27" s="14" t="n">
        <ns0:f>ROUND(F227*F347,2)</ns0:f>
      </ns0:c>
      <ns0:c r="G27" s="14" t="n">
        <ns0:f>ROUND(G227*G347,2)</ns0:f>
      </ns0:c>
      <ns0:c r="H27" s="14" t="n">
        <ns0:f>ROUND(H227*H347,2)</ns0:f>
      </ns0:c>
      <ns0:c r="I27" s="14" t="n">
        <ns0:f>ROUND(I227*I347,2)</ns0:f>
      </ns0:c>
      <ns0:c r="J27" s="14" t="n">
        <ns0:f>ROUND(J227*J347,2)</ns0:f>
      </ns0:c>
      <ns0:c r="K27" s="14" t="n">
        <ns0:f>ROUND(K227*K347,2)</ns0:f>
      </ns0:c>
      <ns0:c r="L27" s="14" t="n">
        <ns0:f>ROUND(L227*L347,2)</ns0:f>
      </ns0:c>
      <ns0:c r="M27" s="14" t="n">
        <ns0:f>ROUND(M227*M347,2)</ns0:f>
      </ns0:c>
      <ns0:c r="N27" s="14" t="n">
        <ns0:f>ROUND(N227*N347,2)</ns0:f>
      </ns0:c>
      <ns0:c r="O27" s="14" t="n">
        <ns0:f>SUM(C27:N27)</ns0:f>
      </ns0:c>
      <ns0:c r="P27" s="10" t="str">
        <ns0:v>EXP1.027</ns0:v>
      </ns0:c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ROUND(C228*C348,2)</ns0:f>
      </ns0:c>
      <ns0:c r="D28" s="14" t="n">
        <ns0:f>ROUND(D228*D348,2)</ns0:f>
      </ns0:c>
      <ns0:c r="E28" s="14" t="n">
        <ns0:f>ROUND(E228*E348,2)</ns0:f>
      </ns0:c>
      <ns0:c r="F28" s="14" t="n">
        <ns0:f>ROUND(F228*F348,2)</ns0:f>
      </ns0:c>
      <ns0:c r="G28" s="14" t="n">
        <ns0:f>ROUND(G228*G348,2)</ns0:f>
      </ns0:c>
      <ns0:c r="H28" s="14" t="n">
        <ns0:f>ROUND(H228*H348,2)</ns0:f>
      </ns0:c>
      <ns0:c r="I28" s="14" t="n">
        <ns0:f>ROUND(I228*I348,2)</ns0:f>
      </ns0:c>
      <ns0:c r="J28" s="14" t="n">
        <ns0:f>ROUND(J228*J348,2)</ns0:f>
      </ns0:c>
      <ns0:c r="K28" s="14" t="n">
        <ns0:f>ROUND(K228*K348,2)</ns0:f>
      </ns0:c>
      <ns0:c r="L28" s="14" t="n">
        <ns0:f>ROUND(L228*L348,2)</ns0:f>
      </ns0:c>
      <ns0:c r="M28" s="14" t="n">
        <ns0:f>ROUND(M228*M348,2)</ns0:f>
      </ns0:c>
      <ns0:c r="N28" s="14" t="n">
        <ns0:f>ROUND(N228*N348,2)</ns0:f>
      </ns0:c>
      <ns0:c r="O28" s="14" t="n">
        <ns0:f>SUM(C28:N28)</ns0:f>
      </ns0:c>
      <ns0:c r="P28" s="10" t="str">
        <ns0:v>EXP1.028</ns0:v>
      </ns0:c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0</ns0:f>
      </ns0:c>
      <ns0:c r="D29" s="14" t="n">
        <ns0:f>0</ns0:f>
      </ns0:c>
      <ns0:c r="E29" s="14" t="n">
        <ns0:f>0</ns0:f>
      </ns0:c>
      <ns0:c r="F29" s="14" t="n">
        <ns0:f>0</ns0:f>
      </ns0:c>
      <ns0:c r="G29" s="14" t="n">
        <ns0:f>0</ns0:f>
      </ns0:c>
      <ns0:c r="H29" s="14" t="n">
        <ns0:f>0</ns0:f>
      </ns0:c>
      <ns0:c r="I29" s="14" t="n">
        <ns0:f>0</ns0:f>
      </ns0:c>
      <ns0:c r="J29" s="14" t="n">
        <ns0:f>0</ns0:f>
      </ns0:c>
      <ns0:c r="K29" s="14" t="n">
        <ns0:f>0</ns0:f>
      </ns0:c>
      <ns0:c r="L29" s="14" t="n">
        <ns0:f>0</ns0:f>
      </ns0:c>
      <ns0:c r="M29" s="14" t="n">
        <ns0:f>0</ns0:f>
      </ns0:c>
      <ns0:c r="N29" s="14" t="n">
        <ns0:f>0</ns0:f>
      </ns0:c>
      <ns0:c r="O29" s="14" t="n">
        <ns0:f>SUM(C29:N29)</ns0:f>
      </ns0:c>
      <ns0:c r="P29" s="10" t="str">
        <ns0:v>EXP1.029</ns0:v>
      </ns0:c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ROUND(C230*C350,2)</ns0:f>
      </ns0:c>
      <ns0:c r="D30" s="14" t="n">
        <ns0:f>ROUND(D230*D350,2)</ns0:f>
      </ns0:c>
      <ns0:c r="E30" s="14" t="n">
        <ns0:f>ROUND(E230*E350,2)</ns0:f>
      </ns0:c>
      <ns0:c r="F30" s="14" t="n">
        <ns0:f>ROUND(F230*F350,2)</ns0:f>
      </ns0:c>
      <ns0:c r="G30" s="14" t="n">
        <ns0:f>ROUND(G230*G350,2)</ns0:f>
      </ns0:c>
      <ns0:c r="H30" s="14" t="n">
        <ns0:f>ROUND(H230*H350,2)</ns0:f>
      </ns0:c>
      <ns0:c r="I30" s="14" t="n">
        <ns0:f>ROUND(I230*I350,2)</ns0:f>
      </ns0:c>
      <ns0:c r="J30" s="14" t="n">
        <ns0:f>ROUND(J230*J350,2)</ns0:f>
      </ns0:c>
      <ns0:c r="K30" s="14" t="n">
        <ns0:f>ROUND(K230*K350,2)</ns0:f>
      </ns0:c>
      <ns0:c r="L30" s="14" t="n">
        <ns0:f>ROUND(L230*L350,2)</ns0:f>
      </ns0:c>
      <ns0:c r="M30" s="14" t="n">
        <ns0:f>ROUND(M230*M350,2)</ns0:f>
      </ns0:c>
      <ns0:c r="N30" s="14" t="n">
        <ns0:f>ROUND(N230*N350,2)</ns0:f>
      </ns0:c>
      <ns0:c r="O30" s="14" t="n">
        <ns0:f>SUM(C30:N30)</ns0:f>
      </ns0:c>
      <ns0:c r="P30" s="10" t="str">
        <ns0:v>EXP1.030</ns0:v>
      </ns0:c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ROUND(C231*C351,2)</ns0:f>
      </ns0:c>
      <ns0:c r="D31" s="14" t="n">
        <ns0:f>ROUND(D231*D351,2)</ns0:f>
      </ns0:c>
      <ns0:c r="E31" s="14" t="n">
        <ns0:f>ROUND(E231*E351,2)</ns0:f>
      </ns0:c>
      <ns0:c r="F31" s="14" t="n">
        <ns0:f>ROUND(F231*F351,2)</ns0:f>
      </ns0:c>
      <ns0:c r="G31" s="14" t="n">
        <ns0:f>ROUND(G231*G351,2)</ns0:f>
      </ns0:c>
      <ns0:c r="H31" s="14" t="n">
        <ns0:f>ROUND(H231*H351,2)</ns0:f>
      </ns0:c>
      <ns0:c r="I31" s="14" t="n">
        <ns0:f>ROUND(I231*I351,2)</ns0:f>
      </ns0:c>
      <ns0:c r="J31" s="14" t="n">
        <ns0:f>ROUND(J231*J351,2)</ns0:f>
      </ns0:c>
      <ns0:c r="K31" s="14" t="n">
        <ns0:f>ROUND(K231*K351,2)</ns0:f>
      </ns0:c>
      <ns0:c r="L31" s="14" t="n">
        <ns0:f>ROUND(L231*L351,2)</ns0:f>
      </ns0:c>
      <ns0:c r="M31" s="14" t="n">
        <ns0:f>ROUND(M231*M351,2)</ns0:f>
      </ns0:c>
      <ns0:c r="N31" s="14" t="n">
        <ns0:f>ROUND(N231*N351,2)</ns0:f>
      </ns0:c>
      <ns0:c r="O31" s="14" t="n">
        <ns0:f>SUM(C31:N31)</ns0:f>
      </ns0:c>
      <ns0:c r="P31" s="10" t="str">
        <ns0:v>EXP1.031</ns0:v>
      </ns0:c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ROUND(C232*C352,2)</ns0:f>
      </ns0:c>
      <ns0:c r="D32" s="14" t="n">
        <ns0:f>ROUND(D232*D352,2)</ns0:f>
      </ns0:c>
      <ns0:c r="E32" s="14" t="n">
        <ns0:f>ROUND(E232*E352,2)</ns0:f>
      </ns0:c>
      <ns0:c r="F32" s="14" t="n">
        <ns0:f>ROUND(F232*F352,2)</ns0:f>
      </ns0:c>
      <ns0:c r="G32" s="14" t="n">
        <ns0:f>ROUND(G232*G352,2)</ns0:f>
      </ns0:c>
      <ns0:c r="H32" s="14" t="n">
        <ns0:f>ROUND(H232*H352,2)</ns0:f>
      </ns0:c>
      <ns0:c r="I32" s="14" t="n">
        <ns0:f>ROUND(I232*I352,2)</ns0:f>
      </ns0:c>
      <ns0:c r="J32" s="14" t="n">
        <ns0:f>ROUND(J232*J352,2)</ns0:f>
      </ns0:c>
      <ns0:c r="K32" s="14" t="n">
        <ns0:f>ROUND(K232*K352,2)</ns0:f>
      </ns0:c>
      <ns0:c r="L32" s="14" t="n">
        <ns0:f>ROUND(L232*L352,2)</ns0:f>
      </ns0:c>
      <ns0:c r="M32" s="14" t="n">
        <ns0:f>ROUND(M232*M352,2)</ns0:f>
      </ns0:c>
      <ns0:c r="N32" s="14" t="n">
        <ns0:f>ROUND(N232*N352,2)</ns0:f>
      </ns0:c>
      <ns0:c r="O32" s="14" t="n">
        <ns0:f>SUM(C32:N32)</ns0:f>
      </ns0:c>
      <ns0:c r="P32" s="10" t="str">
        <ns0:v>EXP1.032</ns0:v>
      </ns0:c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ROUND(C233*C353,2)</ns0:f>
      </ns0:c>
      <ns0:c r="D33" s="14" t="n">
        <ns0:f>ROUND(D233*D353,2)</ns0:f>
      </ns0:c>
      <ns0:c r="E33" s="14" t="n">
        <ns0:f>ROUND(E233*E353,2)</ns0:f>
      </ns0:c>
      <ns0:c r="F33" s="14" t="n">
        <ns0:f>ROUND(F233*F353,2)</ns0:f>
      </ns0:c>
      <ns0:c r="G33" s="14" t="n">
        <ns0:f>ROUND(G233*G353,2)</ns0:f>
      </ns0:c>
      <ns0:c r="H33" s="14" t="n">
        <ns0:f>ROUND(H233*H353,2)</ns0:f>
      </ns0:c>
      <ns0:c r="I33" s="14" t="n">
        <ns0:f>ROUND(I233*I353,2)</ns0:f>
      </ns0:c>
      <ns0:c r="J33" s="14" t="n">
        <ns0:f>ROUND(J233*J353,2)</ns0:f>
      </ns0:c>
      <ns0:c r="K33" s="14" t="n">
        <ns0:f>ROUND(K233*K353,2)</ns0:f>
      </ns0:c>
      <ns0:c r="L33" s="14" t="n">
        <ns0:f>ROUND(L233*L353,2)</ns0:f>
      </ns0:c>
      <ns0:c r="M33" s="14" t="n">
        <ns0:f>ROUND(M233*M353,2)</ns0:f>
      </ns0:c>
      <ns0:c r="N33" s="14" t="n">
        <ns0:f>ROUND(N233*N353,2)</ns0:f>
      </ns0:c>
      <ns0:c r="O33" s="14" t="n">
        <ns0:f>SUM(C33:N33)</ns0:f>
      </ns0:c>
      <ns0:c r="P33" s="10" t="str">
        <ns0:v>EXP1.033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 t="n">
        <ns0:f>SUM(C34:N34)</ns0:f>
      </ns0:c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 t="str">
        <ns0:v>工资单价</ns0:v>
      </ns0:c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 t="str">
        <ns0:v>十三薪单价</ns0:v>
      </ns0:c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 t="str">
        <ns0:v>离职补偿金单价</ns0:v>
      </ns0:c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 t="str">
        <ns0:v>五险一金单价</ns0:v>
      </ns0:c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 t="str">
        <ns0:v>福利费单价</ns0:v>
      </ns0:c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 t="str">
        <ns0:v>招聘费单价</ns0:v>
      </ns0:c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 t="str">
        <ns0:v>培训费单价</ns0:v>
      </ns0:c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 t="str">
        <ns0:v>房租单价</ns0:v>
      </ns0:c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 t="str">
        <ns0:v>物业管理费单价</ns0:v>
      </ns0:c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 t="str">
        <ns0:v>汽车费用单价</ns0:v>
      </ns0:c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 t="str">
        <ns0:v>办公费单价</ns0:v>
      </ns0:c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 t="str">
        <ns0:v>办公用品单价</ns0:v>
      </ns0:c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 t="str">
        <ns0:v>水电煤单价</ns0:v>
      </ns0:c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 t="str">
        <ns0:v>咨询服务费单价</ns0:v>
      </ns0:c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 t="str">
        <ns0:v>电话费单价</ns0:v>
      </ns0:c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 t="str">
        <ns0:v>快递费单价</ns0:v>
      </ns0:c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 t="str">
        <ns0:v>折旧及摊销单价</ns0:v>
      </ns0:c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 t="str">
        <ns0:v>机票火车票单价</ns0:v>
      </ns0:c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 t="str">
        <ns0:v>住宿费单价</ns0:v>
      </ns0:c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 t="str">
        <ns0:v>交通费单价</ns0:v>
      </ns0:c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 t="str">
        <ns0:v>差旅补贴单价</ns0:v>
      </ns0:c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 t="str">
        <ns0:v>业务招待费单价</ns0:v>
      </ns0:c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 t="str">
        <ns0:v>市内交通费单价</ns0:v>
      </ns0:c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 t="str">
        <ns0:v>调研费用单价</ns0:v>
      </ns0:c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 t="str">
        <ns0:v>手续费单价</ns0:v>
      </ns0:c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 t="str">
        <ns0:v>利息收入单价</ns0:v>
      </ns0:c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 t="str">
        <ns0:v>利息支出单价</ns0:v>
      </ns0:c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 t="str">
        <ns0:v>车船税单价</ns0:v>
      </ns0:c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 t="str">
        <ns0:v>印花税单价</ns0:v>
      </ns0:c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 t="str">
        <ns0:v>其他单价</ns0:v>
      </ns0:c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 t="str">
        <ns0:v>工资数量</ns0:v>
      </ns0:c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 t="str">
        <ns0:v>十三薪数量</ns0:v>
      </ns0:c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 t="str">
        <ns0:v>离职补偿金数量</ns0:v>
      </ns0:c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 t="str">
        <ns0:v>五险一金数量</ns0:v>
      </ns0:c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 t="str">
        <ns0:v>福利费数量</ns0:v>
      </ns0:c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 t="str">
        <ns0:v>招聘费数量</ns0:v>
      </ns0:c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 t="str">
        <ns0:v>培训费数量</ns0:v>
      </ns0:c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 t="str">
        <ns0:v>房租数量</ns0:v>
      </ns0:c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 t="str">
        <ns0:v>物业管理费数量</ns0:v>
      </ns0:c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 t="str">
        <ns0:v>汽车费用数量</ns0:v>
      </ns0:c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 t="str">
        <ns0:v>办公费数量</ns0:v>
      </ns0:c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 t="str">
        <ns0:v>办公用品数量</ns0:v>
      </ns0:c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 t="str">
        <ns0:v>水电煤数量</ns0:v>
      </ns0:c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 t="str">
        <ns0:v>咨询服务费数量</ns0:v>
      </ns0:c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 t="str">
        <ns0:v>电话费数量</ns0:v>
      </ns0:c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 t="str">
        <ns0:v>快递费数量</ns0:v>
      </ns0:c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 t="str">
        <ns0:v>折旧及摊销数量</ns0:v>
      </ns0:c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 t="str">
        <ns0:v>机票火车票数量</ns0:v>
      </ns0:c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 t="str">
        <ns0:v>住宿费数量</ns0:v>
      </ns0:c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 t="str">
        <ns0:v>交通费数量</ns0:v>
      </ns0:c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 t="str">
        <ns0:v>差旅补贴数量</ns0:v>
      </ns0:c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 t="str">
        <ns0:v>业务招待费数量</ns0:v>
      </ns0:c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 t="str">
        <ns0:v>市内交通费数量</ns0:v>
      </ns0:c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 t="str">
        <ns0:v>调研费用数量</ns0:v>
      </ns0:c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 t="str">
        <ns0:v>手续费数量</ns0:v>
      </ns0:c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 t="str">
        <ns0:v>利息收入数量</ns0:v>
      </ns0:c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 t="str">
        <ns0:v>利息支出数量</ns0:v>
      </ns0:c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 t="str">
        <ns0:v>车船税数量</ns0:v>
      </ns0:c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 t="str">
        <ns0:v>印花税数量</ns0:v>
      </ns0:c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 t="str">
        <ns0:v>其他数量</ns0:v>
      </ns0:c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管理费用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 t="str">
        <ns0:v>预算基础（月度，元）</ns0:v>
      </ns0:c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1月</ns0:v>
      </ns0:c>
      <ns0:c r="D3" s="14" t="str">
        <ns0:v>2月</ns0:v>
      </ns0:c>
      <ns0:c r="E3" s="14" t="str">
        <ns0:v>3月</ns0:v>
      </ns0:c>
      <ns0:c r="F3" s="14" t="str">
        <ns0:v>4月</ns0:v>
      </ns0:c>
      <ns0:c r="G3" s="14" t="str">
        <ns0:v>5月</ns0:v>
      </ns0:c>
      <ns0:c r="H3" s="14" t="str">
        <ns0:v>6月</ns0:v>
      </ns0:c>
      <ns0:c r="I3" s="14" t="str">
        <ns0:v>7月</ns0:v>
      </ns0:c>
      <ns0:c r="J3" s="14" t="str">
        <ns0:v>8月</ns0:v>
      </ns0:c>
      <ns0:c r="K3" s="14" t="str">
        <ns0:v>9月</ns0:v>
      </ns0:c>
      <ns0:c r="L3" s="14" t="str">
        <ns0:v>10月</ns0:v>
      </ns0:c>
      <ns0:c r="M3" s="14" t="str">
        <ns0:v>11月</ns0:v>
      </ns0:c>
      <ns0:c r="N3" s="14" t="str">
        <ns0:v>12月</ns0:v>
      </ns0:c>
      <ns0:c r="O3" s="14" t="str">
        <ns0:v>小计</ns0:v>
      </ns0:c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ROUND(C204*C324,2)</ns0:f>
      </ns0:c>
      <ns0:c r="D4" s="14" t="n">
        <ns0:f>ROUND(D204*D324,2)</ns0:f>
      </ns0:c>
      <ns0:c r="E4" s="14" t="n">
        <ns0:f>ROUND(E204*E324,2)</ns0:f>
      </ns0:c>
      <ns0:c r="F4" s="14" t="n">
        <ns0:f>ROUND(F204*F324,2)</ns0:f>
      </ns0:c>
      <ns0:c r="G4" s="14" t="n">
        <ns0:f>ROUND(G204*G324,2)</ns0:f>
      </ns0:c>
      <ns0:c r="H4" s="14" t="n">
        <ns0:f>ROUND(H204*H324,2)</ns0:f>
      </ns0:c>
      <ns0:c r="I4" s="14" t="n">
        <ns0:f>ROUND(I204*I324,2)</ns0:f>
      </ns0:c>
      <ns0:c r="J4" s="14" t="n">
        <ns0:f>ROUND(J204*J324,2)</ns0:f>
      </ns0:c>
      <ns0:c r="K4" s="14" t="n">
        <ns0:f>ROUND(K204*K324,2)</ns0:f>
      </ns0:c>
      <ns0:c r="L4" s="14" t="n">
        <ns0:f>ROUND(L204*L324,2)</ns0:f>
      </ns0:c>
      <ns0:c r="M4" s="14" t="n">
        <ns0:f>ROUND(M204*M324,2)</ns0:f>
      </ns0:c>
      <ns0:c r="N4" s="14" t="n">
        <ns0:f>ROUND(N204*N324,2)</ns0:f>
      </ns0:c>
      <ns0:c r="O4" s="14" t="n">
        <ns0:f>SUM(C4:N4)</ns0:f>
      </ns0:c>
      <ns0:c r="P4" s="10" t="str">
        <ns0:v>EXP2.004</ns0:v>
      </ns0:c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4" t="n">
        <ns0:f>ROUND(C205*C325,2)</ns0:f>
      </ns0:c>
      <ns0:c r="D5" s="14" t="n">
        <ns0:f>ROUND(D205*D325,2)</ns0:f>
      </ns0:c>
      <ns0:c r="E5" s="14" t="n">
        <ns0:f>ROUND(E205*E325,2)</ns0:f>
      </ns0:c>
      <ns0:c r="F5" s="14" t="n">
        <ns0:f>ROUND(F205*F325,2)</ns0:f>
      </ns0:c>
      <ns0:c r="G5" s="14" t="n">
        <ns0:f>ROUND(G205*G325,2)</ns0:f>
      </ns0:c>
      <ns0:c r="H5" s="14" t="n">
        <ns0:f>ROUND(H205*H325,2)</ns0:f>
      </ns0:c>
      <ns0:c r="I5" s="14" t="n">
        <ns0:f>ROUND(I205*I325,2)</ns0:f>
      </ns0:c>
      <ns0:c r="J5" s="14" t="n">
        <ns0:f>ROUND(J205*J325,2)</ns0:f>
      </ns0:c>
      <ns0:c r="K5" s="14" t="n">
        <ns0:f>ROUND(K205*K325,2)</ns0:f>
      </ns0:c>
      <ns0:c r="L5" s="14" t="n">
        <ns0:f>ROUND(L205*L325,2)</ns0:f>
      </ns0:c>
      <ns0:c r="M5" s="14" t="n">
        <ns0:f>ROUND(M205*M325,2)</ns0:f>
      </ns0:c>
      <ns0:c r="N5" s="14" t="n">
        <ns0:f>ROUND(N205*N325,2)</ns0:f>
      </ns0:c>
      <ns0:c r="O5" s="14" t="n">
        <ns0:f>SUM(C5:N5)</ns0:f>
      </ns0:c>
      <ns0:c r="P5" s="10" t="str">
        <ns0:v>EXP2.005</ns0:v>
      </ns0:c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 t="str">
        <ns0:v>离职补偿金</ns0:v>
      </ns0:c>
      <ns0:c r="C6" s="14" t="n">
        <ns0:f>ROUND(C206*C326,2)</ns0:f>
      </ns0:c>
      <ns0:c r="D6" s="14" t="n">
        <ns0:f>ROUND(D206*D326,2)</ns0:f>
      </ns0:c>
      <ns0:c r="E6" s="14" t="n">
        <ns0:f>ROUND(E206*E326,2)</ns0:f>
      </ns0:c>
      <ns0:c r="F6" s="14" t="n">
        <ns0:f>ROUND(F206*F326,2)</ns0:f>
      </ns0:c>
      <ns0:c r="G6" s="14" t="n">
        <ns0:f>ROUND(G206*G326,2)</ns0:f>
      </ns0:c>
      <ns0:c r="H6" s="14" t="n">
        <ns0:f>ROUND(H206*H326,2)</ns0:f>
      </ns0:c>
      <ns0:c r="I6" s="14" t="n">
        <ns0:f>ROUND(I206*I326,2)</ns0:f>
      </ns0:c>
      <ns0:c r="J6" s="14" t="n">
        <ns0:f>ROUND(J206*J326,2)</ns0:f>
      </ns0:c>
      <ns0:c r="K6" s="14" t="n">
        <ns0:f>ROUND(K206*K326,2)</ns0:f>
      </ns0:c>
      <ns0:c r="L6" s="14" t="n">
        <ns0:f>ROUND(L206*L326,2)</ns0:f>
      </ns0:c>
      <ns0:c r="M6" s="14" t="n">
        <ns0:f>ROUND(M206*M326,2)</ns0:f>
      </ns0:c>
      <ns0:c r="N6" s="14" t="n">
        <ns0:f>ROUND(N206*N326,2)</ns0:f>
      </ns0:c>
      <ns0:c r="O6" s="14" t="n">
        <ns0:f>SUM(C6:N6)</ns0:f>
      </ns0:c>
      <ns0:c r="P6" s="10" t="str">
        <ns0:v>EXP2.006</ns0:v>
      </ns0:c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ROUND(C207*C327,2)</ns0:f>
      </ns0:c>
      <ns0:c r="D7" s="14" t="n">
        <ns0:f>ROUND(D207*D327,2)</ns0:f>
      </ns0:c>
      <ns0:c r="E7" s="14" t="n">
        <ns0:f>ROUND(E207*E327,2)</ns0:f>
      </ns0:c>
      <ns0:c r="F7" s="14" t="n">
        <ns0:f>ROUND(F207*F327,2)</ns0:f>
      </ns0:c>
      <ns0:c r="G7" s="14" t="n">
        <ns0:f>ROUND(G207*G327,2)</ns0:f>
      </ns0:c>
      <ns0:c r="H7" s="12" t="n">
        <ns0:f>ROUND(H207*H327,2)</ns0:f>
      </ns0:c>
      <ns0:c r="I7" s="12" t="n">
        <ns0:f>ROUND(I207*I327,2)</ns0:f>
      </ns0:c>
      <ns0:c r="J7" s="12" t="n">
        <ns0:f>ROUND(J207*J327,2)</ns0:f>
      </ns0:c>
      <ns0:c r="K7" s="12" t="n">
        <ns0:f>ROUND(K207*K327,2)</ns0:f>
      </ns0:c>
      <ns0:c r="L7" s="12" t="n">
        <ns0:f>ROUND(L207*L327,2)</ns0:f>
      </ns0:c>
      <ns0:c r="M7" s="12" t="n">
        <ns0:f>ROUND(M207*M327,2)</ns0:f>
      </ns0:c>
      <ns0:c r="N7" s="12" t="n">
        <ns0:f>ROUND(N207*N327,2)</ns0:f>
      </ns0:c>
      <ns0:c r="O7" s="14" t="n">
        <ns0:f>SUM(C7:N7)</ns0:f>
      </ns0:c>
      <ns0:c r="P7" s="10" t="str">
        <ns0:v>EXP2.007</ns0:v>
      </ns0:c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ROUND(C208*C328,2)</ns0:f>
      </ns0:c>
      <ns0:c r="D8" s="14" t="n">
        <ns0:f>ROUND(D208*D328,2)</ns0:f>
      </ns0:c>
      <ns0:c r="E8" s="14" t="n">
        <ns0:f>ROUND(E208*E328,2)</ns0:f>
      </ns0:c>
      <ns0:c r="F8" s="14" t="n">
        <ns0:f>ROUND(F208*F328,2)</ns0:f>
      </ns0:c>
      <ns0:c r="G8" s="14" t="n">
        <ns0:f>ROUND(G208*G328,2)</ns0:f>
      </ns0:c>
      <ns0:c r="H8" s="14" t="n">
        <ns0:f>ROUND(H208*H328,2)</ns0:f>
      </ns0:c>
      <ns0:c r="I8" s="14" t="n">
        <ns0:f>ROUND(I208*I328,2)</ns0:f>
      </ns0:c>
      <ns0:c r="J8" s="14" t="n">
        <ns0:f>ROUND(J208*J328,2)</ns0:f>
      </ns0:c>
      <ns0:c r="K8" s="14" t="n">
        <ns0:f>ROUND(K208*K328,2)</ns0:f>
      </ns0:c>
      <ns0:c r="L8" s="14" t="n">
        <ns0:f>ROUND(L208*L328,2)</ns0:f>
      </ns0:c>
      <ns0:c r="M8" s="14" t="n">
        <ns0:f>ROUND(M208*M328,2)</ns0:f>
      </ns0:c>
      <ns0:c r="N8" s="14" t="n">
        <ns0:f>ROUND(N208*N328,2)</ns0:f>
      </ns0:c>
      <ns0:c r="O8" s="14" t="n">
        <ns0:f>SUM(C8:N8)</ns0:f>
      </ns0:c>
      <ns0:c r="P8" s="10" t="str">
        <ns0:v>EXP2.008</ns0:v>
      </ns0:c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2" t="n">
        <ns0:f>ROUND(C209*C329,2)</ns0:f>
      </ns0:c>
      <ns0:c r="D9" s="12" t="n">
        <ns0:f>ROUND(D209*D329,2)</ns0:f>
      </ns0:c>
      <ns0:c r="E9" s="14" t="n">
        <ns0:f>ROUND(E209*E329,2)</ns0:f>
      </ns0:c>
      <ns0:c r="F9" s="14" t="n">
        <ns0:f>ROUND(F209*F329,2)</ns0:f>
      </ns0:c>
      <ns0:c r="G9" s="14" t="n">
        <ns0:f>ROUND(G209*G329,2)</ns0:f>
      </ns0:c>
      <ns0:c r="H9" s="14" t="n">
        <ns0:f>ROUND(H209*H329,2)</ns0:f>
      </ns0:c>
      <ns0:c r="I9" s="14" t="n">
        <ns0:f>ROUND(I209*I329,2)</ns0:f>
      </ns0:c>
      <ns0:c r="J9" s="14" t="n">
        <ns0:f>ROUND(J209*J329,2)</ns0:f>
      </ns0:c>
      <ns0:c r="K9" s="14" t="n">
        <ns0:f>ROUND(K209*K329,2)</ns0:f>
      </ns0:c>
      <ns0:c r="L9" s="14" t="n">
        <ns0:f>ROUND(L209*L329,2)</ns0:f>
      </ns0:c>
      <ns0:c r="M9" s="14" t="n">
        <ns0:f>ROUND(M209*M329,2)</ns0:f>
      </ns0:c>
      <ns0:c r="N9" s="14" t="n">
        <ns0:f>ROUND(N209*N329,2)</ns0:f>
      </ns0:c>
      <ns0:c r="O9" s="14" t="n">
        <ns0:f>SUM(C9:N9)</ns0:f>
      </ns0:c>
      <ns0:c r="P9" s="10" t="str">
        <ns0:v>EXP2.009</ns0:v>
      </ns0:c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ROUND(C210*C330,2)</ns0:f>
      </ns0:c>
      <ns0:c r="D10" s="14" t="n">
        <ns0:f>ROUND(D210*D330,2)</ns0:f>
      </ns0:c>
      <ns0:c r="E10" s="14" t="n">
        <ns0:f>ROUND(E210*E330,2)</ns0:f>
      </ns0:c>
      <ns0:c r="F10" s="14" t="n">
        <ns0:f>ROUND(F210*F330,2)</ns0:f>
      </ns0:c>
      <ns0:c r="G10" s="14" t="n">
        <ns0:f>ROUND(G210*G330,2)</ns0:f>
      </ns0:c>
      <ns0:c r="H10" s="14" t="n">
        <ns0:f>ROUND(H210*H330,2)</ns0:f>
      </ns0:c>
      <ns0:c r="I10" s="14" t="n">
        <ns0:f>ROUND(I210*I330,2)</ns0:f>
      </ns0:c>
      <ns0:c r="J10" s="14" t="n">
        <ns0:f>ROUND(J210*J330,2)</ns0:f>
      </ns0:c>
      <ns0:c r="K10" s="14" t="n">
        <ns0:f>ROUND(K210*K330,2)</ns0:f>
      </ns0:c>
      <ns0:c r="L10" s="14" t="n">
        <ns0:f>ROUND(L210*L330,2)</ns0:f>
      </ns0:c>
      <ns0:c r="M10" s="14" t="n">
        <ns0:f>ROUND(M210*M330,2)</ns0:f>
      </ns0:c>
      <ns0:c r="N10" s="14" t="n">
        <ns0:f>ROUND(N210*N330,2)</ns0:f>
      </ns0:c>
      <ns0:c r="O10" s="14" t="n">
        <ns0:f>SUM(C10:N10)</ns0:f>
      </ns0:c>
      <ns0:c r="P10" s="10" t="str">
        <ns0:v>EXP2.010</ns0:v>
      </ns0:c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ROUND(C211*C331,2)</ns0:f>
      </ns0:c>
      <ns0:c r="D11" s="14" t="n">
        <ns0:f>ROUND(D211*D331,2)</ns0:f>
      </ns0:c>
      <ns0:c r="E11" s="14" t="n">
        <ns0:f>ROUND(E211*E331,2)</ns0:f>
      </ns0:c>
      <ns0:c r="F11" s="14" t="n">
        <ns0:f>ROUND(F211*F331,2)</ns0:f>
      </ns0:c>
      <ns0:c r="G11" s="14" t="n">
        <ns0:f>ROUND(G211*G331,2)</ns0:f>
      </ns0:c>
      <ns0:c r="H11" s="14" t="n">
        <ns0:f>ROUND(H211*H331,2)</ns0:f>
      </ns0:c>
      <ns0:c r="I11" s="14" t="n">
        <ns0:f>ROUND(I211*I331,2)</ns0:f>
      </ns0:c>
      <ns0:c r="J11" s="14" t="n">
        <ns0:f>ROUND(J211*J331,2)</ns0:f>
      </ns0:c>
      <ns0:c r="K11" s="14" t="n">
        <ns0:f>ROUND(K211*K331,2)</ns0:f>
      </ns0:c>
      <ns0:c r="L11" s="14" t="n">
        <ns0:f>ROUND(L211*L331,2)</ns0:f>
      </ns0:c>
      <ns0:c r="M11" s="14" t="n">
        <ns0:f>ROUND(M211*M331,2)</ns0:f>
      </ns0:c>
      <ns0:c r="N11" s="14" t="n">
        <ns0:f>ROUND(N211*N331,2)</ns0:f>
      </ns0:c>
      <ns0:c r="O11" s="14" t="n">
        <ns0:f>SUM(C11:N11)</ns0:f>
      </ns0:c>
      <ns0:c r="P11" s="10" t="str">
        <ns0:v>EXP2.011</ns0:v>
      </ns0:c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ROUND(C212*C332,2)</ns0:f>
      </ns0:c>
      <ns0:c r="D12" s="14" t="n">
        <ns0:f>ROUND(D212*D332,2)</ns0:f>
      </ns0:c>
      <ns0:c r="E12" s="14" t="n">
        <ns0:f>ROUND(E212*E332,2)</ns0:f>
      </ns0:c>
      <ns0:c r="F12" s="14" t="n">
        <ns0:f>ROUND(F212*F332,2)</ns0:f>
      </ns0:c>
      <ns0:c r="G12" s="14" t="n">
        <ns0:f>ROUND(G212*G332,2)</ns0:f>
      </ns0:c>
      <ns0:c r="H12" s="14" t="n">
        <ns0:f>ROUND(H212*H332,2)</ns0:f>
      </ns0:c>
      <ns0:c r="I12" s="14" t="n">
        <ns0:f>ROUND(I212*I332,2)</ns0:f>
      </ns0:c>
      <ns0:c r="J12" s="14" t="n">
        <ns0:f>ROUND(J212*J332,2)</ns0:f>
      </ns0:c>
      <ns0:c r="K12" s="14" t="n">
        <ns0:f>ROUND(K212*K332,2)</ns0:f>
      </ns0:c>
      <ns0:c r="L12" s="14" t="n">
        <ns0:f>ROUND(L212*L332,2)</ns0:f>
      </ns0:c>
      <ns0:c r="M12" s="14" t="n">
        <ns0:f>ROUND(M212*M332,2)</ns0:f>
      </ns0:c>
      <ns0:c r="N12" s="14" t="n">
        <ns0:f>ROUND(N212*N332,2)</ns0:f>
      </ns0:c>
      <ns0:c r="O12" s="14" t="n">
        <ns0:f>SUM(C12:N12)</ns0:f>
      </ns0:c>
      <ns0:c r="P12" s="10" t="str">
        <ns0:v>EXP2.012</ns0:v>
      </ns0:c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ROUND(C213*C333,2)</ns0:f>
      </ns0:c>
      <ns0:c r="D13" s="14" t="n">
        <ns0:f>ROUND(D213*D333,2)</ns0:f>
      </ns0:c>
      <ns0:c r="E13" s="14" t="n">
        <ns0:f>ROUND(E213*E333,2)</ns0:f>
      </ns0:c>
      <ns0:c r="F13" s="14" t="n">
        <ns0:f>ROUND(F213*F333,2)</ns0:f>
      </ns0:c>
      <ns0:c r="G13" s="14" t="n">
        <ns0:f>ROUND(G213*G333,2)</ns0:f>
      </ns0:c>
      <ns0:c r="H13" s="14" t="n">
        <ns0:f>ROUND(H213*H333,2)</ns0:f>
      </ns0:c>
      <ns0:c r="I13" s="14" t="n">
        <ns0:f>ROUND(I213*I333,2)</ns0:f>
      </ns0:c>
      <ns0:c r="J13" s="14" t="n">
        <ns0:f>ROUND(J213*J333,2)</ns0:f>
      </ns0:c>
      <ns0:c r="K13" s="14" t="n">
        <ns0:f>ROUND(K213*K333,2)</ns0:f>
      </ns0:c>
      <ns0:c r="L13" s="14" t="n">
        <ns0:f>ROUND(L213*L333,2)</ns0:f>
      </ns0:c>
      <ns0:c r="M13" s="14" t="n">
        <ns0:f>ROUND(M213*M333,2)</ns0:f>
      </ns0:c>
      <ns0:c r="N13" s="14" t="n">
        <ns0:f>ROUND(N213*N333,2)</ns0:f>
      </ns0:c>
      <ns0:c r="O13" s="14" t="n">
        <ns0:f>SUM(C13:N13)</ns0:f>
      </ns0:c>
      <ns0:c r="P13" s="10" t="str">
        <ns0:v>EXP2.013</ns0:v>
      </ns0:c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ROUND(C214*C334,2)</ns0:f>
      </ns0:c>
      <ns0:c r="D14" s="14" t="n">
        <ns0:f>ROUND(D214*D334,2)</ns0:f>
      </ns0:c>
      <ns0:c r="E14" s="14" t="n">
        <ns0:f>ROUND(E214*E334,2)</ns0:f>
      </ns0:c>
      <ns0:c r="F14" s="14" t="n">
        <ns0:f>ROUND(F214*F334,2)</ns0:f>
      </ns0:c>
      <ns0:c r="G14" s="14" t="n">
        <ns0:f>ROUND(G214*G334,2)</ns0:f>
      </ns0:c>
      <ns0:c r="H14" s="14" t="n">
        <ns0:f>ROUND(H214*H334,2)</ns0:f>
      </ns0:c>
      <ns0:c r="I14" s="14" t="n">
        <ns0:f>ROUND(I214*I334,2)</ns0:f>
      </ns0:c>
      <ns0:c r="J14" s="14" t="n">
        <ns0:f>ROUND(J214*J334,2)</ns0:f>
      </ns0:c>
      <ns0:c r="K14" s="14" t="n">
        <ns0:f>ROUND(K214*K334,2)</ns0:f>
      </ns0:c>
      <ns0:c r="L14" s="14" t="n">
        <ns0:f>ROUND(L214*L334,2)</ns0:f>
      </ns0:c>
      <ns0:c r="M14" s="14" t="n">
        <ns0:f>ROUND(M214*M334,2)</ns0:f>
      </ns0:c>
      <ns0:c r="N14" s="14" t="n">
        <ns0:f>ROUND(N214*N334,2)</ns0:f>
      </ns0:c>
      <ns0:c r="O14" s="14" t="n">
        <ns0:f>SUM(C14:N14)</ns0:f>
      </ns0:c>
      <ns0:c r="P14" s="10" t="str">
        <ns0:v>EXP2.014</ns0:v>
      </ns0:c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ROUND(C215*C335,2)</ns0:f>
      </ns0:c>
      <ns0:c r="D15" s="14" t="n">
        <ns0:f>ROUND(D215*D335,2)</ns0:f>
      </ns0:c>
      <ns0:c r="E15" s="14" t="n">
        <ns0:f>ROUND(E215*E335,2)</ns0:f>
      </ns0:c>
      <ns0:c r="F15" s="14" t="n">
        <ns0:f>ROUND(F215*F335,2)</ns0:f>
      </ns0:c>
      <ns0:c r="G15" s="14" t="n">
        <ns0:f>ROUND(G215*G335,2)</ns0:f>
      </ns0:c>
      <ns0:c r="H15" s="14" t="n">
        <ns0:f>ROUND(H215*H335,2)</ns0:f>
      </ns0:c>
      <ns0:c r="I15" s="14" t="n">
        <ns0:f>ROUND(I215*I335,2)</ns0:f>
      </ns0:c>
      <ns0:c r="J15" s="14" t="n">
        <ns0:f>ROUND(J215*J335,2)</ns0:f>
      </ns0:c>
      <ns0:c r="K15" s="14" t="n">
        <ns0:f>ROUND(K215*K335,2)</ns0:f>
      </ns0:c>
      <ns0:c r="L15" s="14" t="n">
        <ns0:f>ROUND(L215*L335,2)</ns0:f>
      </ns0:c>
      <ns0:c r="M15" s="14" t="n">
        <ns0:f>ROUND(M215*M335,2)</ns0:f>
      </ns0:c>
      <ns0:c r="N15" s="14" t="n">
        <ns0:f>ROUND(N215*N335,2)</ns0:f>
      </ns0:c>
      <ns0:c r="O15" s="14" t="n">
        <ns0:f>SUM(C15:N15)</ns0:f>
      </ns0:c>
      <ns0:c r="P15" s="10" t="str">
        <ns0:v>EXP2.015</ns0:v>
      </ns0:c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ROUND(C216*C336,2)</ns0:f>
      </ns0:c>
      <ns0:c r="D16" s="14" t="n">
        <ns0:f>ROUND(D216*D336,2)</ns0:f>
      </ns0:c>
      <ns0:c r="E16" s="14" t="n">
        <ns0:f>ROUND(E216*E336,2)</ns0:f>
      </ns0:c>
      <ns0:c r="F16" s="14" t="n">
        <ns0:f>ROUND(F216*F336,2)</ns0:f>
      </ns0:c>
      <ns0:c r="G16" s="14" t="n">
        <ns0:f>ROUND(G216*G336,2)</ns0:f>
      </ns0:c>
      <ns0:c r="H16" s="14" t="n">
        <ns0:f>ROUND(H216*H336,2)</ns0:f>
      </ns0:c>
      <ns0:c r="I16" s="14" t="n">
        <ns0:f>ROUND(I216*I336,2)</ns0:f>
      </ns0:c>
      <ns0:c r="J16" s="14" t="n">
        <ns0:f>ROUND(J216*J336,2)</ns0:f>
      </ns0:c>
      <ns0:c r="K16" s="14" t="n">
        <ns0:f>ROUND(K216*K336,2)</ns0:f>
      </ns0:c>
      <ns0:c r="L16" s="14" t="n">
        <ns0:f>ROUND(L216*L336,2)</ns0:f>
      </ns0:c>
      <ns0:c r="M16" s="14" t="n">
        <ns0:f>ROUND(M216*M336,2)</ns0:f>
      </ns0:c>
      <ns0:c r="N16" s="14" t="n">
        <ns0:f>ROUND(N216*N336,2)</ns0:f>
      </ns0:c>
      <ns0:c r="O16" s="14" t="n">
        <ns0:f>SUM(C16:N16)</ns0:f>
      </ns0:c>
      <ns0:c r="P16" s="10" t="str">
        <ns0:v>EXP2.016</ns0:v>
      </ns0:c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/>
      <ns0:c r="B17" s="13" t="str">
        <ns0:v>咨询服务费</ns0:v>
      </ns0:c>
      <ns0:c r="C17" s="14" t="n">
        <ns0:f>ROUND(C217*C337,2)</ns0:f>
      </ns0:c>
      <ns0:c r="D17" s="14" t="n">
        <ns0:f>ROUND(D217*D337,2)</ns0:f>
      </ns0:c>
      <ns0:c r="E17" s="14" t="n">
        <ns0:f>ROUND(E217*E337,2)</ns0:f>
      </ns0:c>
      <ns0:c r="F17" s="14" t="n">
        <ns0:f>ROUND(F217*F337,2)</ns0:f>
      </ns0:c>
      <ns0:c r="G17" s="14" t="n">
        <ns0:f>ROUND(G217*G337,2)</ns0:f>
      </ns0:c>
      <ns0:c r="H17" s="14" t="n">
        <ns0:f>ROUND(H217*H337,2)</ns0:f>
      </ns0:c>
      <ns0:c r="I17" s="14" t="n">
        <ns0:f>ROUND(I217*I337,2)</ns0:f>
      </ns0:c>
      <ns0:c r="J17" s="14" t="n">
        <ns0:f>ROUND(J217*J337,2)</ns0:f>
      </ns0:c>
      <ns0:c r="K17" s="14" t="n">
        <ns0:f>ROUND(K217*K337,2)</ns0:f>
      </ns0:c>
      <ns0:c r="L17" s="14" t="n">
        <ns0:f>ROUND(L217*L337,2)</ns0:f>
      </ns0:c>
      <ns0:c r="M17" s="14" t="n">
        <ns0:f>ROUND(M217*M337,2)</ns0:f>
      </ns0:c>
      <ns0:c r="N17" s="14" t="n">
        <ns0:f>ROUND(N217*N337,2)</ns0:f>
      </ns0:c>
      <ns0:c r="O17" s="14" t="n">
        <ns0:f>SUM(C17:N17)</ns0:f>
      </ns0:c>
      <ns0:c r="P17" s="10" t="str">
        <ns0:v>EXP2.017</ns0:v>
      </ns0:c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ROUND(C218*C338,2)</ns0:f>
      </ns0:c>
      <ns0:c r="D18" s="14" t="n">
        <ns0:f>ROUND(D218*D338,2)</ns0:f>
      </ns0:c>
      <ns0:c r="E18" s="14" t="n">
        <ns0:f>ROUND(E218*E338,2)</ns0:f>
      </ns0:c>
      <ns0:c r="F18" s="14" t="n">
        <ns0:f>ROUND(F218*F338,2)</ns0:f>
      </ns0:c>
      <ns0:c r="G18" s="14" t="n">
        <ns0:f>ROUND(G218*G338,2)</ns0:f>
      </ns0:c>
      <ns0:c r="H18" s="14" t="n">
        <ns0:f>ROUND(H218*H338,2)</ns0:f>
      </ns0:c>
      <ns0:c r="I18" s="14" t="n">
        <ns0:f>ROUND(I218*I338,2)</ns0:f>
      </ns0:c>
      <ns0:c r="J18" s="14" t="n">
        <ns0:f>ROUND(J218*J338,2)</ns0:f>
      </ns0:c>
      <ns0:c r="K18" s="14" t="n">
        <ns0:f>ROUND(K218*K338,2)</ns0:f>
      </ns0:c>
      <ns0:c r="L18" s="14" t="n">
        <ns0:f>ROUND(L218*L338,2)</ns0:f>
      </ns0:c>
      <ns0:c r="M18" s="14" t="n">
        <ns0:f>ROUND(M218*M338,2)</ns0:f>
      </ns0:c>
      <ns0:c r="N18" s="14" t="n">
        <ns0:f>ROUND(N218*N338,2)</ns0:f>
      </ns0:c>
      <ns0:c r="O18" s="14" t="n">
        <ns0:f>SUM(C18:N18)</ns0:f>
      </ns0:c>
      <ns0:c r="P18" s="10" t="str">
        <ns0:v>EXP2.018</ns0:v>
      </ns0:c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ROUND(C219*C339,2)</ns0:f>
      </ns0:c>
      <ns0:c r="D19" s="14" t="n">
        <ns0:f>ROUND(D219*D339,2)</ns0:f>
      </ns0:c>
      <ns0:c r="E19" s="14" t="n">
        <ns0:f>ROUND(E219*E339,2)</ns0:f>
      </ns0:c>
      <ns0:c r="F19" s="14" t="n">
        <ns0:f>ROUND(F219*F339,2)</ns0:f>
      </ns0:c>
      <ns0:c r="G19" s="14" t="n">
        <ns0:f>ROUND(G219*G339,2)</ns0:f>
      </ns0:c>
      <ns0:c r="H19" s="14" t="n">
        <ns0:f>ROUND(H219*H339,2)</ns0:f>
      </ns0:c>
      <ns0:c r="I19" s="14" t="n">
        <ns0:f>ROUND(I219*I339,2)</ns0:f>
      </ns0:c>
      <ns0:c r="J19" s="14" t="n">
        <ns0:f>ROUND(J219*J339,2)</ns0:f>
      </ns0:c>
      <ns0:c r="K19" s="14" t="n">
        <ns0:f>ROUND(K219*K339,2)</ns0:f>
      </ns0:c>
      <ns0:c r="L19" s="14" t="n">
        <ns0:f>ROUND(L219*L339,2)</ns0:f>
      </ns0:c>
      <ns0:c r="M19" s="14" t="n">
        <ns0:f>ROUND(M219*M339,2)</ns0:f>
      </ns0:c>
      <ns0:c r="N19" s="14" t="n">
        <ns0:f>ROUND(N219*N339,2)</ns0:f>
      </ns0:c>
      <ns0:c r="O19" s="14" t="n">
        <ns0:f>SUM(C19:N19)</ns0:f>
      </ns0:c>
      <ns0:c r="P19" s="10" t="str">
        <ns0:v>EXP2.019</ns0:v>
      </ns0:c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ROUND('摊销明细'!C33/3,2)</ns0:f>
      </ns0:c>
      <ns0:c r="D20" s="14" t="n">
        <ns0:f>ROUND('摊销明细'!D33/3,2)</ns0:f>
      </ns0:c>
      <ns0:c r="E20" s="14" t="n">
        <ns0:f>ROUND('摊销明细'!E33/3,2)</ns0:f>
      </ns0:c>
      <ns0:c r="F20" s="14" t="n">
        <ns0:f>ROUND('摊销明细'!F33/3,2)</ns0:f>
      </ns0:c>
      <ns0:c r="G20" s="14" t="n">
        <ns0:f>ROUND('摊销明细'!G33/3,2)</ns0:f>
      </ns0:c>
      <ns0:c r="H20" s="14" t="n">
        <ns0:f>ROUND('摊销明细'!H33/3,2)</ns0:f>
      </ns0:c>
      <ns0:c r="I20" s="14" t="n">
        <ns0:f>ROUND('摊销明细'!I33/3,2)</ns0:f>
      </ns0:c>
      <ns0:c r="J20" s="14" t="n">
        <ns0:f>ROUND('摊销明细'!J33/3,2)</ns0:f>
      </ns0:c>
      <ns0:c r="K20" s="14" t="n">
        <ns0:f>ROUND('摊销明细'!K33/3,2)</ns0:f>
      </ns0:c>
      <ns0:c r="L20" s="14" t="n">
        <ns0:f>ROUND('摊销明细'!L33/3,2)</ns0:f>
      </ns0:c>
      <ns0:c r="M20" s="14" t="n">
        <ns0:f>ROUND('摊销明细'!M33/3,2)</ns0:f>
      </ns0:c>
      <ns0:c r="N20" s="14" t="n">
        <ns0:f>ROUND('摊销明细'!N33/3,2)</ns0:f>
      </ns0:c>
      <ns0:c r="O20" s="14" t="n">
        <ns0:f>SUM(C20:N20)</ns0:f>
      </ns0:c>
      <ns0:c r="P20" s="10" t="str">
        <ns0:v>EXP2.020</ns0:v>
      </ns0:c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ROUND(C221*C341,2)</ns0:f>
      </ns0:c>
      <ns0:c r="D21" s="14" t="n">
        <ns0:f>ROUND(D221*D341,2)</ns0:f>
      </ns0:c>
      <ns0:c r="E21" s="14" t="n">
        <ns0:f>ROUND(E221*E341,2)</ns0:f>
      </ns0:c>
      <ns0:c r="F21" s="14" t="n">
        <ns0:f>ROUND(F221*F341,2)</ns0:f>
      </ns0:c>
      <ns0:c r="G21" s="14" t="n">
        <ns0:f>ROUND(G221*G341,2)</ns0:f>
      </ns0:c>
      <ns0:c r="H21" s="14" t="n">
        <ns0:f>ROUND(H221*H341,2)</ns0:f>
      </ns0:c>
      <ns0:c r="I21" s="14" t="n">
        <ns0:f>ROUND(I221*I341,2)</ns0:f>
      </ns0:c>
      <ns0:c r="J21" s="14" t="n">
        <ns0:f>ROUND(J221*J341,2)</ns0:f>
      </ns0:c>
      <ns0:c r="K21" s="14" t="n">
        <ns0:f>ROUND(K221*K341,2)</ns0:f>
      </ns0:c>
      <ns0:c r="L21" s="14" t="n">
        <ns0:f>ROUND(L221*L341,2)</ns0:f>
      </ns0:c>
      <ns0:c r="M21" s="14" t="n">
        <ns0:f>ROUND(M221*M341,2)</ns0:f>
      </ns0:c>
      <ns0:c r="N21" s="14" t="n">
        <ns0:f>ROUND(N221*N341,2)</ns0:f>
      </ns0:c>
      <ns0:c r="O21" s="14" t="n">
        <ns0:f>SUM(C21:N21)</ns0:f>
      </ns0:c>
      <ns0:c r="P21" s="10" t="str">
        <ns0:v>EXP2.021</ns0:v>
      </ns0:c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ROUND(C222*C342,2)</ns0:f>
      </ns0:c>
      <ns0:c r="D22" s="14" t="n">
        <ns0:f>ROUND(D222*D342,2)</ns0:f>
      </ns0:c>
      <ns0:c r="E22" s="14" t="n">
        <ns0:f>ROUND(E222*E342,2)</ns0:f>
      </ns0:c>
      <ns0:c r="F22" s="14" t="n">
        <ns0:f>ROUND(F222*F342,2)</ns0:f>
      </ns0:c>
      <ns0:c r="G22" s="14" t="n">
        <ns0:f>ROUND(G222*G342,2)</ns0:f>
      </ns0:c>
      <ns0:c r="H22" s="14" t="n">
        <ns0:f>ROUND(H222*H342,2)</ns0:f>
      </ns0:c>
      <ns0:c r="I22" s="14" t="n">
        <ns0:f>ROUND(I222*I342,2)</ns0:f>
      </ns0:c>
      <ns0:c r="J22" s="14" t="n">
        <ns0:f>ROUND(J222*J342,2)</ns0:f>
      </ns0:c>
      <ns0:c r="K22" s="14" t="n">
        <ns0:f>ROUND(K222*K342,2)</ns0:f>
      </ns0:c>
      <ns0:c r="L22" s="14" t="n">
        <ns0:f>ROUND(L222*L342,2)</ns0:f>
      </ns0:c>
      <ns0:c r="M22" s="14" t="n">
        <ns0:f>ROUND(M222*M342,2)</ns0:f>
      </ns0:c>
      <ns0:c r="N22" s="14" t="n">
        <ns0:f>ROUND(N222*N342,2)</ns0:f>
      </ns0:c>
      <ns0:c r="O22" s="14" t="n">
        <ns0:f>SUM(C22:N22)</ns0:f>
      </ns0:c>
      <ns0:c r="P22" s="10" t="str">
        <ns0:v>EXP2.022</ns0:v>
      </ns0:c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ROUND(C223*C343,2)</ns0:f>
      </ns0:c>
      <ns0:c r="D23" s="14" t="n">
        <ns0:f>ROUND(D223*D343,2)</ns0:f>
      </ns0:c>
      <ns0:c r="E23" s="14" t="n">
        <ns0:f>ROUND(E223*E343,2)</ns0:f>
      </ns0:c>
      <ns0:c r="F23" s="14" t="n">
        <ns0:f>ROUND(F223*F343,2)</ns0:f>
      </ns0:c>
      <ns0:c r="G23" s="14" t="n">
        <ns0:f>ROUND(G223*G343,2)</ns0:f>
      </ns0:c>
      <ns0:c r="H23" s="14" t="n">
        <ns0:f>ROUND(H223*H343,2)</ns0:f>
      </ns0:c>
      <ns0:c r="I23" s="14" t="n">
        <ns0:f>ROUND(I223*I343,2)</ns0:f>
      </ns0:c>
      <ns0:c r="J23" s="14" t="n">
        <ns0:f>ROUND(J223*J343,2)</ns0:f>
      </ns0:c>
      <ns0:c r="K23" s="14" t="n">
        <ns0:f>ROUND(K223*K343,2)</ns0:f>
      </ns0:c>
      <ns0:c r="L23" s="14" t="n">
        <ns0:f>ROUND(L223*L343,2)</ns0:f>
      </ns0:c>
      <ns0:c r="M23" s="14" t="n">
        <ns0:f>ROUND(M223*M343,2)</ns0:f>
      </ns0:c>
      <ns0:c r="N23" s="14" t="n">
        <ns0:f>ROUND(N223*N343,2)</ns0:f>
      </ns0:c>
      <ns0:c r="O23" s="14" t="n">
        <ns0:f>SUM(C23:N23)</ns0:f>
      </ns0:c>
      <ns0:c r="P23" s="10" t="str">
        <ns0:v>EXP2.023</ns0:v>
      </ns0:c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ROUND(C224*C344,2)</ns0:f>
      </ns0:c>
      <ns0:c r="D24" s="14" t="n">
        <ns0:f>ROUND(D224*D344,2)</ns0:f>
      </ns0:c>
      <ns0:c r="E24" s="14" t="n">
        <ns0:f>ROUND(E224*E344,2)</ns0:f>
      </ns0:c>
      <ns0:c r="F24" s="14" t="n">
        <ns0:f>ROUND(F224*F344,2)</ns0:f>
      </ns0:c>
      <ns0:c r="G24" s="14" t="n">
        <ns0:f>ROUND(G224*G344,2)</ns0:f>
      </ns0:c>
      <ns0:c r="H24" s="14" t="n">
        <ns0:f>ROUND(H224*H344,2)</ns0:f>
      </ns0:c>
      <ns0:c r="I24" s="14" t="n">
        <ns0:f>ROUND(I224*I344,2)</ns0:f>
      </ns0:c>
      <ns0:c r="J24" s="14" t="n">
        <ns0:f>ROUND(J224*J344,2)</ns0:f>
      </ns0:c>
      <ns0:c r="K24" s="14" t="n">
        <ns0:f>ROUND(K224*K344,2)</ns0:f>
      </ns0:c>
      <ns0:c r="L24" s="14" t="n">
        <ns0:f>ROUND(L224*L344,2)</ns0:f>
      </ns0:c>
      <ns0:c r="M24" s="14" t="n">
        <ns0:f>ROUND(M224*M344,2)</ns0:f>
      </ns0:c>
      <ns0:c r="N24" s="14" t="n">
        <ns0:f>ROUND(N224*N344,2)</ns0:f>
      </ns0:c>
      <ns0:c r="O24" s="14" t="n">
        <ns0:f>SUM(C24:N24)</ns0:f>
      </ns0:c>
      <ns0:c r="P24" s="10" t="str">
        <ns0:v>EXP2.024</ns0:v>
      </ns0:c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ROUND(C225*C345,2)</ns0:f>
      </ns0:c>
      <ns0:c r="D25" s="14" t="n">
        <ns0:f>ROUND(D225*D345,2)</ns0:f>
      </ns0:c>
      <ns0:c r="E25" s="14" t="n">
        <ns0:f>ROUND(E225*E345,2)</ns0:f>
      </ns0:c>
      <ns0:c r="F25" s="14" t="n">
        <ns0:f>ROUND(F225*F345,2)</ns0:f>
      </ns0:c>
      <ns0:c r="G25" s="14" t="n">
        <ns0:f>ROUND(G225*G345,2)</ns0:f>
      </ns0:c>
      <ns0:c r="H25" s="14" t="n">
        <ns0:f>ROUND(H225*H345,2)</ns0:f>
      </ns0:c>
      <ns0:c r="I25" s="14" t="n">
        <ns0:f>ROUND(I225*I345,2)</ns0:f>
      </ns0:c>
      <ns0:c r="J25" s="14" t="n">
        <ns0:f>ROUND(J225*J345,2)</ns0:f>
      </ns0:c>
      <ns0:c r="K25" s="14" t="n">
        <ns0:f>ROUND(K225*K345,2)</ns0:f>
      </ns0:c>
      <ns0:c r="L25" s="14" t="n">
        <ns0:f>ROUND(L225*L345,2)</ns0:f>
      </ns0:c>
      <ns0:c r="M25" s="14" t="n">
        <ns0:f>ROUND(M225*M345,2)</ns0:f>
      </ns0:c>
      <ns0:c r="N25" s="14" t="n">
        <ns0:f>ROUND(N225*N345,2)</ns0:f>
      </ns0:c>
      <ns0:c r="O25" s="14" t="n">
        <ns0:f>SUM(C25:N25)</ns0:f>
      </ns0:c>
      <ns0:c r="P25" s="10" t="str">
        <ns0:v>EXP2.025</ns0:v>
      </ns0:c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ROUND(C226*C346,2)</ns0:f>
      </ns0:c>
      <ns0:c r="D26" s="14" t="n">
        <ns0:f>ROUND(D226*D346,2)</ns0:f>
      </ns0:c>
      <ns0:c r="E26" s="14" t="n">
        <ns0:f>ROUND(E226*E346,2)</ns0:f>
      </ns0:c>
      <ns0:c r="F26" s="14" t="n">
        <ns0:f>ROUND(F226*F346,2)</ns0:f>
      </ns0:c>
      <ns0:c r="G26" s="14" t="n">
        <ns0:f>ROUND(G226*G346,2)</ns0:f>
      </ns0:c>
      <ns0:c r="H26" s="14" t="n">
        <ns0:f>ROUND(H226*H346,2)</ns0:f>
      </ns0:c>
      <ns0:c r="I26" s="14" t="n">
        <ns0:f>ROUND(I226*I346,2)</ns0:f>
      </ns0:c>
      <ns0:c r="J26" s="14" t="n">
        <ns0:f>ROUND(J226*J346,2)</ns0:f>
      </ns0:c>
      <ns0:c r="K26" s="14" t="n">
        <ns0:f>ROUND(K226*K346,2)</ns0:f>
      </ns0:c>
      <ns0:c r="L26" s="14" t="n">
        <ns0:f>ROUND(L226*L346,2)</ns0:f>
      </ns0:c>
      <ns0:c r="M26" s="14" t="n">
        <ns0:f>ROUND(M226*M346,2)</ns0:f>
      </ns0:c>
      <ns0:c r="N26" s="14" t="n">
        <ns0:f>ROUND(N226*N346,2)</ns0:f>
      </ns0:c>
      <ns0:c r="O26" s="14" t="n">
        <ns0:f>SUM(C26:N26)</ns0:f>
      </ns0:c>
      <ns0:c r="P26" s="10" t="str">
        <ns0:v>EXP2.026</ns0:v>
      </ns0:c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ROUND(C227*C347,2)</ns0:f>
      </ns0:c>
      <ns0:c r="D27" s="14" t="n">
        <ns0:f>ROUND(D227*D347,2)</ns0:f>
      </ns0:c>
      <ns0:c r="E27" s="14" t="n">
        <ns0:f>ROUND(E227*E347,2)</ns0:f>
      </ns0:c>
      <ns0:c r="F27" s="14" t="n">
        <ns0:f>ROUND(F227*F347,2)</ns0:f>
      </ns0:c>
      <ns0:c r="G27" s="14" t="n">
        <ns0:f>ROUND(G227*G347,2)</ns0:f>
      </ns0:c>
      <ns0:c r="H27" s="14" t="n">
        <ns0:f>ROUND(H227*H347,2)</ns0:f>
      </ns0:c>
      <ns0:c r="I27" s="14" t="n">
        <ns0:f>ROUND(I227*I347,2)</ns0:f>
      </ns0:c>
      <ns0:c r="J27" s="14" t="n">
        <ns0:f>ROUND(J227*J347,2)</ns0:f>
      </ns0:c>
      <ns0:c r="K27" s="14" t="n">
        <ns0:f>ROUND(K227*K347,2)</ns0:f>
      </ns0:c>
      <ns0:c r="L27" s="14" t="n">
        <ns0:f>ROUND(L227*L347,2)</ns0:f>
      </ns0:c>
      <ns0:c r="M27" s="14" t="n">
        <ns0:f>ROUND(M227*M347,2)</ns0:f>
      </ns0:c>
      <ns0:c r="N27" s="14" t="n">
        <ns0:f>ROUND(N227*N347,2)</ns0:f>
      </ns0:c>
      <ns0:c r="O27" s="14" t="n">
        <ns0:f>SUM(C27:N27)</ns0:f>
      </ns0:c>
      <ns0:c r="P27" s="10" t="str">
        <ns0:v>EXP2.027</ns0:v>
      </ns0:c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ROUND(C228*C348,2)</ns0:f>
      </ns0:c>
      <ns0:c r="D28" s="14" t="n">
        <ns0:f>ROUND(D228*D348,2)</ns0:f>
      </ns0:c>
      <ns0:c r="E28" s="14" t="n">
        <ns0:f>ROUND(E228*E348,2)</ns0:f>
      </ns0:c>
      <ns0:c r="F28" s="14" t="n">
        <ns0:f>ROUND(F228*F348,2)</ns0:f>
      </ns0:c>
      <ns0:c r="G28" s="14" t="n">
        <ns0:f>ROUND(G228*G348,2)</ns0:f>
      </ns0:c>
      <ns0:c r="H28" s="14" t="n">
        <ns0:f>ROUND(H228*H348,2)</ns0:f>
      </ns0:c>
      <ns0:c r="I28" s="14" t="n">
        <ns0:f>ROUND(I228*I348,2)</ns0:f>
      </ns0:c>
      <ns0:c r="J28" s="14" t="n">
        <ns0:f>ROUND(J228*J348,2)</ns0:f>
      </ns0:c>
      <ns0:c r="K28" s="14" t="n">
        <ns0:f>ROUND(K228*K348,2)</ns0:f>
      </ns0:c>
      <ns0:c r="L28" s="14" t="n">
        <ns0:f>ROUND(L228*L348,2)</ns0:f>
      </ns0:c>
      <ns0:c r="M28" s="14" t="n">
        <ns0:f>ROUND(M228*M348,2)</ns0:f>
      </ns0:c>
      <ns0:c r="N28" s="14" t="n">
        <ns0:f>ROUND(N228*N348,2)</ns0:f>
      </ns0:c>
      <ns0:c r="O28" s="14" t="n">
        <ns0:f>SUM(C28:N28)</ns0:f>
      </ns0:c>
      <ns0:c r="P28" s="10" t="str">
        <ns0:v>EXP2.028</ns0:v>
      </ns0:c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0</ns0:f>
      </ns0:c>
      <ns0:c r="D29" s="14" t="n">
        <ns0:f>0</ns0:f>
      </ns0:c>
      <ns0:c r="E29" s="14" t="n">
        <ns0:f>0</ns0:f>
      </ns0:c>
      <ns0:c r="F29" s="14" t="n">
        <ns0:f>0</ns0:f>
      </ns0:c>
      <ns0:c r="G29" s="14" t="n">
        <ns0:f>0</ns0:f>
      </ns0:c>
      <ns0:c r="H29" s="14" t="n">
        <ns0:f>0</ns0:f>
      </ns0:c>
      <ns0:c r="I29" s="14" t="n">
        <ns0:f>0</ns0:f>
      </ns0:c>
      <ns0:c r="J29" s="14" t="n">
        <ns0:f>0</ns0:f>
      </ns0:c>
      <ns0:c r="K29" s="14" t="n">
        <ns0:f>0</ns0:f>
      </ns0:c>
      <ns0:c r="L29" s="14" t="n">
        <ns0:f>0</ns0:f>
      </ns0:c>
      <ns0:c r="M29" s="14" t="n">
        <ns0:f>0</ns0:f>
      </ns0:c>
      <ns0:c r="N29" s="14" t="n">
        <ns0:f>0</ns0:f>
      </ns0:c>
      <ns0:c r="O29" s="14" t="n">
        <ns0:f>SUM(C29:N29)</ns0:f>
      </ns0:c>
      <ns0:c r="P29" s="10" t="str">
        <ns0:v>EXP2.029</ns0:v>
      </ns0:c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ROUND(C230*C350,2)</ns0:f>
      </ns0:c>
      <ns0:c r="D30" s="14" t="n">
        <ns0:f>ROUND(D230*D350,2)</ns0:f>
      </ns0:c>
      <ns0:c r="E30" s="14" t="n">
        <ns0:f>ROUND(E230*E350,2)</ns0:f>
      </ns0:c>
      <ns0:c r="F30" s="14" t="n">
        <ns0:f>ROUND(F230*F350,2)</ns0:f>
      </ns0:c>
      <ns0:c r="G30" s="14" t="n">
        <ns0:f>ROUND(G230*G350,2)</ns0:f>
      </ns0:c>
      <ns0:c r="H30" s="14" t="n">
        <ns0:f>ROUND(H230*H350,2)</ns0:f>
      </ns0:c>
      <ns0:c r="I30" s="14" t="n">
        <ns0:f>ROUND(I230*I350,2)</ns0:f>
      </ns0:c>
      <ns0:c r="J30" s="14" t="n">
        <ns0:f>ROUND(J230*J350,2)</ns0:f>
      </ns0:c>
      <ns0:c r="K30" s="14" t="n">
        <ns0:f>ROUND(K230*K350,2)</ns0:f>
      </ns0:c>
      <ns0:c r="L30" s="14" t="n">
        <ns0:f>ROUND(L230*L350,2)</ns0:f>
      </ns0:c>
      <ns0:c r="M30" s="14" t="n">
        <ns0:f>ROUND(M230*M350,2)</ns0:f>
      </ns0:c>
      <ns0:c r="N30" s="14" t="n">
        <ns0:f>ROUND(N230*N350,2)</ns0:f>
      </ns0:c>
      <ns0:c r="O30" s="14" t="n">
        <ns0:f>SUM(C30:N30)</ns0:f>
      </ns0:c>
      <ns0:c r="P30" s="10" t="str">
        <ns0:v>EXP2.030</ns0:v>
      </ns0:c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ROUND(C231*C351,2)</ns0:f>
      </ns0:c>
      <ns0:c r="D31" s="14" t="n">
        <ns0:f>ROUND(D231*D351,2)</ns0:f>
      </ns0:c>
      <ns0:c r="E31" s="14" t="n">
        <ns0:f>ROUND(E231*E351,2)</ns0:f>
      </ns0:c>
      <ns0:c r="F31" s="14" t="n">
        <ns0:f>ROUND(F231*F351,2)</ns0:f>
      </ns0:c>
      <ns0:c r="G31" s="14" t="n">
        <ns0:f>ROUND(G231*G351,2)</ns0:f>
      </ns0:c>
      <ns0:c r="H31" s="14" t="n">
        <ns0:f>ROUND(H231*H351,2)</ns0:f>
      </ns0:c>
      <ns0:c r="I31" s="14" t="n">
        <ns0:f>ROUND(I231*I351,2)</ns0:f>
      </ns0:c>
      <ns0:c r="J31" s="14" t="n">
        <ns0:f>ROUND(J231*J351,2)</ns0:f>
      </ns0:c>
      <ns0:c r="K31" s="14" t="n">
        <ns0:f>ROUND(K231*K351,2)</ns0:f>
      </ns0:c>
      <ns0:c r="L31" s="14" t="n">
        <ns0:f>ROUND(L231*L351,2)</ns0:f>
      </ns0:c>
      <ns0:c r="M31" s="14" t="n">
        <ns0:f>ROUND(M231*M351,2)</ns0:f>
      </ns0:c>
      <ns0:c r="N31" s="14" t="n">
        <ns0:f>ROUND(N231*N351,2)</ns0:f>
      </ns0:c>
      <ns0:c r="O31" s="14" t="n">
        <ns0:f>SUM(C31:N31)</ns0:f>
      </ns0:c>
      <ns0:c r="P31" s="10" t="str">
        <ns0:v>EXP2.031</ns0:v>
      </ns0:c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ROUND(C232*C352,2)</ns0:f>
      </ns0:c>
      <ns0:c r="D32" s="14" t="n">
        <ns0:f>ROUND(D232*D352,2)</ns0:f>
      </ns0:c>
      <ns0:c r="E32" s="14" t="n">
        <ns0:f>ROUND(E232*E352,2)</ns0:f>
      </ns0:c>
      <ns0:c r="F32" s="14" t="n">
        <ns0:f>ROUND(F232*F352,2)</ns0:f>
      </ns0:c>
      <ns0:c r="G32" s="14" t="n">
        <ns0:f>ROUND(G232*G352,2)</ns0:f>
      </ns0:c>
      <ns0:c r="H32" s="14" t="n">
        <ns0:f>ROUND(H232*H352,2)</ns0:f>
      </ns0:c>
      <ns0:c r="I32" s="14" t="n">
        <ns0:f>ROUND(I232*I352,2)</ns0:f>
      </ns0:c>
      <ns0:c r="J32" s="14" t="n">
        <ns0:f>ROUND(J232*J352,2)</ns0:f>
      </ns0:c>
      <ns0:c r="K32" s="14" t="n">
        <ns0:f>ROUND(K232*K352,2)</ns0:f>
      </ns0:c>
      <ns0:c r="L32" s="14" t="n">
        <ns0:f>ROUND(L232*L352,2)</ns0:f>
      </ns0:c>
      <ns0:c r="M32" s="14" t="n">
        <ns0:f>ROUND(M232*M352,2)</ns0:f>
      </ns0:c>
      <ns0:c r="N32" s="14" t="n">
        <ns0:f>ROUND(N232*N352,2)</ns0:f>
      </ns0:c>
      <ns0:c r="O32" s="14" t="n">
        <ns0:f>SUM(C32:N32)</ns0:f>
      </ns0:c>
      <ns0:c r="P32" s="10" t="str">
        <ns0:v>EXP2.032</ns0:v>
      </ns0:c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ROUND(C233*C353,2)</ns0:f>
      </ns0:c>
      <ns0:c r="D33" s="14" t="n">
        <ns0:f>ROUND(D233*D353,2)</ns0:f>
      </ns0:c>
      <ns0:c r="E33" s="14" t="n">
        <ns0:f>ROUND(E233*E353,2)</ns0:f>
      </ns0:c>
      <ns0:c r="F33" s="14" t="n">
        <ns0:f>ROUND(F233*F353,2)</ns0:f>
      </ns0:c>
      <ns0:c r="G33" s="14" t="n">
        <ns0:f>ROUND(G233*G353,2)</ns0:f>
      </ns0:c>
      <ns0:c r="H33" s="14" t="n">
        <ns0:f>ROUND(H233*H353,2)</ns0:f>
      </ns0:c>
      <ns0:c r="I33" s="14" t="n">
        <ns0:f>ROUND(I233*I353,2)</ns0:f>
      </ns0:c>
      <ns0:c r="J33" s="14" t="n">
        <ns0:f>ROUND(J233*J353,2)</ns0:f>
      </ns0:c>
      <ns0:c r="K33" s="14" t="n">
        <ns0:f>ROUND(K233*K353,2)</ns0:f>
      </ns0:c>
      <ns0:c r="L33" s="14" t="n">
        <ns0:f>ROUND(L233*L353,2)</ns0:f>
      </ns0:c>
      <ns0:c r="M33" s="14" t="n">
        <ns0:f>ROUND(M233*M353,2)</ns0:f>
      </ns0:c>
      <ns0:c r="N33" s="14" t="n">
        <ns0:f>ROUND(N233*N353,2)</ns0:f>
      </ns0:c>
      <ns0:c r="O33" s="14" t="n">
        <ns0:f>SUM(C33:N33)</ns0:f>
      </ns0:c>
      <ns0:c r="P33" s="10" t="str">
        <ns0:v>EXP2.033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 t="n">
        <ns0:f>SUM(C34:N34)</ns0:f>
      </ns0:c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 t="str">
        <ns0:v>工资单价</ns0:v>
      </ns0:c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 t="str">
        <ns0:v>十三薪单价</ns0:v>
      </ns0:c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 t="str">
        <ns0:v>离职补偿金单价</ns0:v>
      </ns0:c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 t="str">
        <ns0:v>五险一金单价</ns0:v>
      </ns0:c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 t="str">
        <ns0:v>福利费单价</ns0:v>
      </ns0:c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 t="str">
        <ns0:v>招聘费单价</ns0:v>
      </ns0:c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 t="str">
        <ns0:v>培训费单价</ns0:v>
      </ns0:c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 t="str">
        <ns0:v>房租单价</ns0:v>
      </ns0:c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 t="str">
        <ns0:v>物业管理费单价</ns0:v>
      </ns0:c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 t="str">
        <ns0:v>汽车费用单价</ns0:v>
      </ns0:c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 t="str">
        <ns0:v>办公费单价</ns0:v>
      </ns0:c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 t="str">
        <ns0:v>办公用品单价</ns0:v>
      </ns0:c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 t="str">
        <ns0:v>水电煤单价</ns0:v>
      </ns0:c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 t="str">
        <ns0:v>咨询服务费单价</ns0:v>
      </ns0:c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 t="str">
        <ns0:v>电话费单价</ns0:v>
      </ns0:c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 t="str">
        <ns0:v>快递费单价</ns0:v>
      </ns0:c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 t="str">
        <ns0:v>折旧及摊销单价</ns0:v>
      </ns0:c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 t="str">
        <ns0:v>机票火车票单价</ns0:v>
      </ns0:c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 t="str">
        <ns0:v>住宿费单价</ns0:v>
      </ns0:c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 t="str">
        <ns0:v>交通费单价</ns0:v>
      </ns0:c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 t="str">
        <ns0:v>差旅补贴单价</ns0:v>
      </ns0:c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 t="str">
        <ns0:v>业务招待费单价</ns0:v>
      </ns0:c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 t="str">
        <ns0:v>市内交通费单价</ns0:v>
      </ns0:c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 t="str">
        <ns0:v>调研费用单价</ns0:v>
      </ns0:c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 t="str">
        <ns0:v>手续费单价</ns0:v>
      </ns0:c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 t="str">
        <ns0:v>利息收入单价</ns0:v>
      </ns0:c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 t="str">
        <ns0:v>利息支出单价</ns0:v>
      </ns0:c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 t="str">
        <ns0:v>车船税单价</ns0:v>
      </ns0:c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 t="str">
        <ns0:v>印花税单价</ns0:v>
      </ns0:c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 t="str">
        <ns0:v>其他单价</ns0:v>
      </ns0:c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 t="str">
        <ns0:v>工资数量</ns0:v>
      </ns0:c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 t="str">
        <ns0:v>十三薪数量</ns0:v>
      </ns0:c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 t="str">
        <ns0:v>离职补偿金数量</ns0:v>
      </ns0:c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 t="str">
        <ns0:v>五险一金数量</ns0:v>
      </ns0:c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 t="str">
        <ns0:v>福利费数量</ns0:v>
      </ns0:c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 t="str">
        <ns0:v>招聘费数量</ns0:v>
      </ns0:c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 t="str">
        <ns0:v>培训费数量</ns0:v>
      </ns0:c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 t="str">
        <ns0:v>房租数量</ns0:v>
      </ns0:c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 t="str">
        <ns0:v>物业管理费数量</ns0:v>
      </ns0:c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 t="str">
        <ns0:v>汽车费用数量</ns0:v>
      </ns0:c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 t="str">
        <ns0:v>办公费数量</ns0:v>
      </ns0:c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 t="str">
        <ns0:v>办公用品数量</ns0:v>
      </ns0:c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 t="str">
        <ns0:v>水电煤数量</ns0:v>
      </ns0:c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 t="str">
        <ns0:v>咨询服务费数量</ns0:v>
      </ns0:c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 t="str">
        <ns0:v>电话费数量</ns0:v>
      </ns0:c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 t="str">
        <ns0:v>快递费数量</ns0:v>
      </ns0:c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 t="str">
        <ns0:v>折旧及摊销数量</ns0:v>
      </ns0:c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 t="str">
        <ns0:v>机票火车票数量</ns0:v>
      </ns0:c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 t="str">
        <ns0:v>住宿费数量</ns0:v>
      </ns0:c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 t="str">
        <ns0:v>交通费数量</ns0:v>
      </ns0:c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 t="str">
        <ns0:v>差旅补贴数量</ns0:v>
      </ns0:c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 t="str">
        <ns0:v>业务招待费数量</ns0:v>
      </ns0:c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 t="str">
        <ns0:v>市内交通费数量</ns0:v>
      </ns0:c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 t="str">
        <ns0:v>调研费用数量</ns0:v>
      </ns0:c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 t="str">
        <ns0:v>手续费数量</ns0:v>
      </ns0:c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 t="str">
        <ns0:v>利息收入数量</ns0:v>
      </ns0:c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 t="str">
        <ns0:v>利息支出数量</ns0:v>
      </ns0:c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 t="str">
        <ns0:v>车船税数量</ns0:v>
      </ns0:c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 t="str">
        <ns0:v>印花税数量</ns0:v>
      </ns0:c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 t="str">
        <ns0:v>其他数量</ns0:v>
      </ns0:c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其他主体费用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 t="str">
        <ns0:v>预算基础（月度，元）</ns0:v>
      </ns0:c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 t="str">
        <ns0:v>合计</ns0:v>
      </ns0:c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1月</ns0:v>
      </ns0:c>
      <ns0:c r="D3" s="14" t="str">
        <ns0:v>2月</ns0:v>
      </ns0:c>
      <ns0:c r="E3" s="14" t="str">
        <ns0:v>3月</ns0:v>
      </ns0:c>
      <ns0:c r="F3" s="14" t="str">
        <ns0:v>4月</ns0:v>
      </ns0:c>
      <ns0:c r="G3" s="14" t="str">
        <ns0:v>5月</ns0:v>
      </ns0:c>
      <ns0:c r="H3" s="14" t="str">
        <ns0:v>6月</ns0:v>
      </ns0:c>
      <ns0:c r="I3" s="14" t="str">
        <ns0:v>7月</ns0:v>
      </ns0:c>
      <ns0:c r="J3" s="14" t="str">
        <ns0:v>8月</ns0:v>
      </ns0:c>
      <ns0:c r="K3" s="14" t="str">
        <ns0:v>9月</ns0:v>
      </ns0:c>
      <ns0:c r="L3" s="14" t="str">
        <ns0:v>10月</ns0:v>
      </ns0:c>
      <ns0:c r="M3" s="14" t="str">
        <ns0:v>11月</ns0:v>
      </ns0:c>
      <ns0:c r="N3" s="14" t="str">
        <ns0:v>12月</ns0:v>
      </ns0:c>
      <ns0:c r="O3" s="14" t="str">
        <ns0:v>小计</ns0:v>
      </ns0:c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ROUND(C204*C324,2)</ns0:f>
      </ns0:c>
      <ns0:c r="D4" s="14" t="n">
        <ns0:f>ROUND(D204*D324,2)</ns0:f>
      </ns0:c>
      <ns0:c r="E4" s="14" t="n">
        <ns0:f>ROUND(E204*E324,2)</ns0:f>
      </ns0:c>
      <ns0:c r="F4" s="14" t="n">
        <ns0:f>ROUND(F204*F324,2)</ns0:f>
      </ns0:c>
      <ns0:c r="G4" s="14" t="n">
        <ns0:f>ROUND(G204*G324,2)</ns0:f>
      </ns0:c>
      <ns0:c r="H4" s="14" t="n">
        <ns0:f>ROUND(H204*H324,2)</ns0:f>
      </ns0:c>
      <ns0:c r="I4" s="14" t="n">
        <ns0:f>ROUND(I204*I324,2)</ns0:f>
      </ns0:c>
      <ns0:c r="J4" s="14" t="n">
        <ns0:f>ROUND(J204*J324,2)</ns0:f>
      </ns0:c>
      <ns0:c r="K4" s="14" t="n">
        <ns0:f>ROUND(K204*K324,2)</ns0:f>
      </ns0:c>
      <ns0:c r="L4" s="14" t="n">
        <ns0:f>ROUND(L204*L324,2)</ns0:f>
      </ns0:c>
      <ns0:c r="M4" s="14" t="n">
        <ns0:f>ROUND(M204*M324,2)</ns0:f>
      </ns0:c>
      <ns0:c r="N4" s="14" t="n">
        <ns0:f>ROUND(N204*N324,2)</ns0:f>
      </ns0:c>
      <ns0:c r="O4" s="14" t="n">
        <ns0:f>SUM(C4:N4)</ns0:f>
      </ns0:c>
      <ns0:c r="P4" s="10" t="str">
        <ns0:v>EXP3.004</ns0:v>
      </ns0:c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4" t="n">
        <ns0:f>ROUND(C205*C325,2)</ns0:f>
      </ns0:c>
      <ns0:c r="D5" s="14" t="n">
        <ns0:f>ROUND(D205*D325,2)</ns0:f>
      </ns0:c>
      <ns0:c r="E5" s="14" t="n">
        <ns0:f>ROUND(E205*E325,2)</ns0:f>
      </ns0:c>
      <ns0:c r="F5" s="14" t="n">
        <ns0:f>ROUND(F205*F325,2)</ns0:f>
      </ns0:c>
      <ns0:c r="G5" s="14" t="n">
        <ns0:f>ROUND(G205*G325,2)</ns0:f>
      </ns0:c>
      <ns0:c r="H5" s="14" t="n">
        <ns0:f>ROUND(H205*H325,2)</ns0:f>
      </ns0:c>
      <ns0:c r="I5" s="14" t="n">
        <ns0:f>ROUND(I205*I325,2)</ns0:f>
      </ns0:c>
      <ns0:c r="J5" s="14" t="n">
        <ns0:f>ROUND(J205*J325,2)</ns0:f>
      </ns0:c>
      <ns0:c r="K5" s="14" t="n">
        <ns0:f>ROUND(K205*K325,2)</ns0:f>
      </ns0:c>
      <ns0:c r="L5" s="14" t="n">
        <ns0:f>ROUND(L205*L325,2)</ns0:f>
      </ns0:c>
      <ns0:c r="M5" s="14" t="n">
        <ns0:f>ROUND(M205*M325,2)</ns0:f>
      </ns0:c>
      <ns0:c r="N5" s="14" t="n">
        <ns0:f>ROUND(N205*N325,2)</ns0:f>
      </ns0:c>
      <ns0:c r="O5" s="14" t="n">
        <ns0:f>SUM(C5:N5)</ns0:f>
      </ns0:c>
      <ns0:c r="P5" s="10" t="str">
        <ns0:v>EXP3.005</ns0:v>
      </ns0:c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 t="str">
        <ns0:v>离职补偿金</ns0:v>
      </ns0:c>
      <ns0:c r="C6" s="14" t="n">
        <ns0:f>ROUND(C206*C326,2)</ns0:f>
      </ns0:c>
      <ns0:c r="D6" s="14" t="n">
        <ns0:f>ROUND(D206*D326,2)</ns0:f>
      </ns0:c>
      <ns0:c r="E6" s="14" t="n">
        <ns0:f>ROUND(E206*E326,2)</ns0:f>
      </ns0:c>
      <ns0:c r="F6" s="14" t="n">
        <ns0:f>ROUND(F206*F326,2)</ns0:f>
      </ns0:c>
      <ns0:c r="G6" s="14" t="n">
        <ns0:f>ROUND(G206*G326,2)</ns0:f>
      </ns0:c>
      <ns0:c r="H6" s="14" t="n">
        <ns0:f>ROUND(H206*H326,2)</ns0:f>
      </ns0:c>
      <ns0:c r="I6" s="14" t="n">
        <ns0:f>ROUND(I206*I326,2)</ns0:f>
      </ns0:c>
      <ns0:c r="J6" s="14" t="n">
        <ns0:f>ROUND(J206*J326,2)</ns0:f>
      </ns0:c>
      <ns0:c r="K6" s="14" t="n">
        <ns0:f>ROUND(K206*K326,2)</ns0:f>
      </ns0:c>
      <ns0:c r="L6" s="14" t="n">
        <ns0:f>ROUND(L206*L326,2)</ns0:f>
      </ns0:c>
      <ns0:c r="M6" s="14" t="n">
        <ns0:f>ROUND(M206*M326,2)</ns0:f>
      </ns0:c>
      <ns0:c r="N6" s="14" t="n">
        <ns0:f>ROUND(N206*N326,2)</ns0:f>
      </ns0:c>
      <ns0:c r="O6" s="14" t="n">
        <ns0:f>SUM(C6:N6)</ns0:f>
      </ns0:c>
      <ns0:c r="P6" s="10" t="str">
        <ns0:v>EXP3.006</ns0:v>
      </ns0:c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ROUND(C207*C327,2)</ns0:f>
      </ns0:c>
      <ns0:c r="D7" s="14" t="n">
        <ns0:f>ROUND(D207*D327,2)</ns0:f>
      </ns0:c>
      <ns0:c r="E7" s="14" t="n">
        <ns0:f>ROUND(E207*E327,2)</ns0:f>
      </ns0:c>
      <ns0:c r="F7" s="14" t="n">
        <ns0:f>ROUND(F207*F327,2)</ns0:f>
      </ns0:c>
      <ns0:c r="G7" s="14" t="n">
        <ns0:f>ROUND(G207*G327,2)</ns0:f>
      </ns0:c>
      <ns0:c r="H7" s="14" t="n">
        <ns0:f>ROUND(H207*H327,2)</ns0:f>
      </ns0:c>
      <ns0:c r="I7" s="14" t="n">
        <ns0:f>ROUND(I207*I327,2)</ns0:f>
      </ns0:c>
      <ns0:c r="J7" s="14" t="n">
        <ns0:f>ROUND(J207*J327,2)</ns0:f>
      </ns0:c>
      <ns0:c r="K7" s="14" t="n">
        <ns0:f>ROUND(K207*K327,2)</ns0:f>
      </ns0:c>
      <ns0:c r="L7" s="14" t="n">
        <ns0:f>ROUND(L207*L327,2)</ns0:f>
      </ns0:c>
      <ns0:c r="M7" s="14" t="n">
        <ns0:f>ROUND(M207*M327,2)</ns0:f>
      </ns0:c>
      <ns0:c r="N7" s="14" t="n">
        <ns0:f>ROUND(N207*N327,2)</ns0:f>
      </ns0:c>
      <ns0:c r="O7" s="14" t="n">
        <ns0:f>SUM(C7:N7)</ns0:f>
      </ns0:c>
      <ns0:c r="P7" s="10" t="str">
        <ns0:v>EXP3.007</ns0:v>
      </ns0:c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ROUND(C208*C328,2)</ns0:f>
      </ns0:c>
      <ns0:c r="D8" s="14" t="n">
        <ns0:f>ROUND(D208*D328,2)</ns0:f>
      </ns0:c>
      <ns0:c r="E8" s="14" t="n">
        <ns0:f>ROUND(E208*E328,2)</ns0:f>
      </ns0:c>
      <ns0:c r="F8" s="14" t="n">
        <ns0:f>ROUND(F208*F328,2)</ns0:f>
      </ns0:c>
      <ns0:c r="G8" s="14" t="n">
        <ns0:f>ROUND(G208*G328,2)</ns0:f>
      </ns0:c>
      <ns0:c r="H8" s="14" t="n">
        <ns0:f>ROUND(H208*H328,2)</ns0:f>
      </ns0:c>
      <ns0:c r="I8" s="14" t="n">
        <ns0:f>ROUND(I208*I328,2)</ns0:f>
      </ns0:c>
      <ns0:c r="J8" s="14" t="n">
        <ns0:f>ROUND(J208*J328,2)</ns0:f>
      </ns0:c>
      <ns0:c r="K8" s="14" t="n">
        <ns0:f>ROUND(K208*K328,2)</ns0:f>
      </ns0:c>
      <ns0:c r="L8" s="14" t="n">
        <ns0:f>ROUND(L208*L328,2)</ns0:f>
      </ns0:c>
      <ns0:c r="M8" s="14" t="n">
        <ns0:f>ROUND(M208*M328,2)</ns0:f>
      </ns0:c>
      <ns0:c r="N8" s="14" t="n">
        <ns0:f>ROUND(N208*N328,2)</ns0:f>
      </ns0:c>
      <ns0:c r="O8" s="14" t="n">
        <ns0:f>SUM(C8:N8)</ns0:f>
      </ns0:c>
      <ns0:c r="P8" s="10" t="str">
        <ns0:v>EXP3.008</ns0:v>
      </ns0:c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4" t="n">
        <ns0:f>ROUND(C209*C329,2)</ns0:f>
      </ns0:c>
      <ns0:c r="D9" s="14" t="n">
        <ns0:f>ROUND(D209*D329,2)</ns0:f>
      </ns0:c>
      <ns0:c r="E9" s="14" t="n">
        <ns0:f>ROUND(E209*E329,2)</ns0:f>
      </ns0:c>
      <ns0:c r="F9" s="14" t="n">
        <ns0:f>ROUND(F209*F329,2)</ns0:f>
      </ns0:c>
      <ns0:c r="G9" s="14" t="n">
        <ns0:f>ROUND(G209*G329,2)</ns0:f>
      </ns0:c>
      <ns0:c r="H9" s="14" t="n">
        <ns0:f>ROUND(H209*H329,2)</ns0:f>
      </ns0:c>
      <ns0:c r="I9" s="14" t="n">
        <ns0:f>ROUND(I209*I329,2)</ns0:f>
      </ns0:c>
      <ns0:c r="J9" s="14" t="n">
        <ns0:f>ROUND(J209*J329,2)</ns0:f>
      </ns0:c>
      <ns0:c r="K9" s="14" t="n">
        <ns0:f>ROUND(K209*K329,2)</ns0:f>
      </ns0:c>
      <ns0:c r="L9" s="14" t="n">
        <ns0:f>ROUND(L209*L329,2)</ns0:f>
      </ns0:c>
      <ns0:c r="M9" s="14" t="n">
        <ns0:f>ROUND(M209*M329,2)</ns0:f>
      </ns0:c>
      <ns0:c r="N9" s="14" t="n">
        <ns0:f>ROUND(N209*N329,2)</ns0:f>
      </ns0:c>
      <ns0:c r="O9" s="14" t="n">
        <ns0:f>SUM(C9:N9)</ns0:f>
      </ns0:c>
      <ns0:c r="P9" s="10" t="str">
        <ns0:v>EXP3.009</ns0:v>
      </ns0:c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ROUND(C210*C330,2)</ns0:f>
      </ns0:c>
      <ns0:c r="D10" s="14" t="n">
        <ns0:f>ROUND(D210*D330,2)</ns0:f>
      </ns0:c>
      <ns0:c r="E10" s="14" t="n">
        <ns0:f>ROUND(E210*E330,2)</ns0:f>
      </ns0:c>
      <ns0:c r="F10" s="14" t="n">
        <ns0:f>ROUND(F210*F330,2)</ns0:f>
      </ns0:c>
      <ns0:c r="G10" s="14" t="n">
        <ns0:f>ROUND(G210*G330,2)</ns0:f>
      </ns0:c>
      <ns0:c r="H10" s="14" t="n">
        <ns0:f>ROUND(H210*H330,2)</ns0:f>
      </ns0:c>
      <ns0:c r="I10" s="14" t="n">
        <ns0:f>ROUND(I210*I330,2)</ns0:f>
      </ns0:c>
      <ns0:c r="J10" s="14" t="n">
        <ns0:f>ROUND(J210*J330,2)</ns0:f>
      </ns0:c>
      <ns0:c r="K10" s="14" t="n">
        <ns0:f>ROUND(K210*K330,2)</ns0:f>
      </ns0:c>
      <ns0:c r="L10" s="14" t="n">
        <ns0:f>ROUND(L210*L330,2)</ns0:f>
      </ns0:c>
      <ns0:c r="M10" s="14" t="n">
        <ns0:f>ROUND(M210*M330,2)</ns0:f>
      </ns0:c>
      <ns0:c r="N10" s="14" t="n">
        <ns0:f>ROUND(N210*N330,2)</ns0:f>
      </ns0:c>
      <ns0:c r="O10" s="14" t="n">
        <ns0:f>SUM(C10:N10)</ns0:f>
      </ns0:c>
      <ns0:c r="P10" s="10" t="str">
        <ns0:v>EXP3.010</ns0:v>
      </ns0:c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ROUND(C211*C331,2)</ns0:f>
      </ns0:c>
      <ns0:c r="D11" s="14" t="n">
        <ns0:f>ROUND(D211*D331,2)</ns0:f>
      </ns0:c>
      <ns0:c r="E11" s="14" t="n">
        <ns0:f>ROUND(E211*E331,2)</ns0:f>
      </ns0:c>
      <ns0:c r="F11" s="14" t="n">
        <ns0:f>ROUND(F211*F331,2)</ns0:f>
      </ns0:c>
      <ns0:c r="G11" s="14" t="n">
        <ns0:f>ROUND(G211*G331,2)</ns0:f>
      </ns0:c>
      <ns0:c r="H11" s="14" t="n">
        <ns0:f>ROUND(H211*H331,2)</ns0:f>
      </ns0:c>
      <ns0:c r="I11" s="14" t="n">
        <ns0:f>ROUND(I211*I331,2)</ns0:f>
      </ns0:c>
      <ns0:c r="J11" s="14" t="n">
        <ns0:f>ROUND(J211*J331,2)</ns0:f>
      </ns0:c>
      <ns0:c r="K11" s="14" t="n">
        <ns0:f>ROUND(K211*K331,2)</ns0:f>
      </ns0:c>
      <ns0:c r="L11" s="14" t="n">
        <ns0:f>ROUND(L211*L331,2)</ns0:f>
      </ns0:c>
      <ns0:c r="M11" s="14" t="n">
        <ns0:f>ROUND(M211*M331,2)</ns0:f>
      </ns0:c>
      <ns0:c r="N11" s="14" t="n">
        <ns0:f>ROUND(N211*N331,2)</ns0:f>
      </ns0:c>
      <ns0:c r="O11" s="14" t="n">
        <ns0:f>SUM(C11:N11)</ns0:f>
      </ns0:c>
      <ns0:c r="P11" s="10" t="str">
        <ns0:v>EXP3.011</ns0:v>
      </ns0:c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ROUND(C212*C332,2)</ns0:f>
      </ns0:c>
      <ns0:c r="D12" s="14" t="n">
        <ns0:f>ROUND(D212*D332,2)</ns0:f>
      </ns0:c>
      <ns0:c r="E12" s="14" t="n">
        <ns0:f>ROUND(E212*E332,2)</ns0:f>
      </ns0:c>
      <ns0:c r="F12" s="14" t="n">
        <ns0:f>ROUND(F212*F332,2)</ns0:f>
      </ns0:c>
      <ns0:c r="G12" s="14" t="n">
        <ns0:f>ROUND(G212*G332,2)</ns0:f>
      </ns0:c>
      <ns0:c r="H12" s="14" t="n">
        <ns0:f>ROUND(H212*H332,2)</ns0:f>
      </ns0:c>
      <ns0:c r="I12" s="14" t="n">
        <ns0:f>ROUND(I212*I332,2)</ns0:f>
      </ns0:c>
      <ns0:c r="J12" s="14" t="n">
        <ns0:f>ROUND(J212*J332,2)</ns0:f>
      </ns0:c>
      <ns0:c r="K12" s="14" t="n">
        <ns0:f>ROUND(K212*K332,2)</ns0:f>
      </ns0:c>
      <ns0:c r="L12" s="14" t="n">
        <ns0:f>ROUND(L212*L332,2)</ns0:f>
      </ns0:c>
      <ns0:c r="M12" s="14" t="n">
        <ns0:f>ROUND(M212*M332,2)</ns0:f>
      </ns0:c>
      <ns0:c r="N12" s="14" t="n">
        <ns0:f>ROUND(N212*N332,2)</ns0:f>
      </ns0:c>
      <ns0:c r="O12" s="14" t="n">
        <ns0:f>SUM(C12:N12)</ns0:f>
      </ns0:c>
      <ns0:c r="P12" s="10" t="str">
        <ns0:v>EXP3.012</ns0:v>
      </ns0:c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ROUND(C213*C333,2)</ns0:f>
      </ns0:c>
      <ns0:c r="D13" s="14" t="n">
        <ns0:f>ROUND(D213*D333,2)</ns0:f>
      </ns0:c>
      <ns0:c r="E13" s="14" t="n">
        <ns0:f>ROUND(E213*E333,2)</ns0:f>
      </ns0:c>
      <ns0:c r="F13" s="14" t="n">
        <ns0:f>ROUND(F213*F333,2)</ns0:f>
      </ns0:c>
      <ns0:c r="G13" s="14" t="n">
        <ns0:f>ROUND(G213*G333,2)</ns0:f>
      </ns0:c>
      <ns0:c r="H13" s="14" t="n">
        <ns0:f>ROUND(H213*H333,2)</ns0:f>
      </ns0:c>
      <ns0:c r="I13" s="14" t="n">
        <ns0:f>ROUND(I213*I333,2)</ns0:f>
      </ns0:c>
      <ns0:c r="J13" s="14" t="n">
        <ns0:f>ROUND(J213*J333,2)</ns0:f>
      </ns0:c>
      <ns0:c r="K13" s="14" t="n">
        <ns0:f>ROUND(K213*K333,2)</ns0:f>
      </ns0:c>
      <ns0:c r="L13" s="14" t="n">
        <ns0:f>ROUND(L213*L333,2)</ns0:f>
      </ns0:c>
      <ns0:c r="M13" s="14" t="n">
        <ns0:f>ROUND(M213*M333,2)</ns0:f>
      </ns0:c>
      <ns0:c r="N13" s="14" t="n">
        <ns0:f>ROUND(N213*N333,2)</ns0:f>
      </ns0:c>
      <ns0:c r="O13" s="14" t="n">
        <ns0:f>SUM(C13:N13)</ns0:f>
      </ns0:c>
      <ns0:c r="P13" s="10" t="str">
        <ns0:v>EXP3.013</ns0:v>
      </ns0:c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ROUND(C214*C334,2)</ns0:f>
      </ns0:c>
      <ns0:c r="D14" s="14" t="n">
        <ns0:f>ROUND(D214*D334,2)</ns0:f>
      </ns0:c>
      <ns0:c r="E14" s="14" t="n">
        <ns0:f>ROUND(E214*E334,2)</ns0:f>
      </ns0:c>
      <ns0:c r="F14" s="14" t="n">
        <ns0:f>ROUND(F214*F334,2)</ns0:f>
      </ns0:c>
      <ns0:c r="G14" s="14" t="n">
        <ns0:f>ROUND(G214*G334,2)</ns0:f>
      </ns0:c>
      <ns0:c r="H14" s="14" t="n">
        <ns0:f>ROUND(H214*H334,2)</ns0:f>
      </ns0:c>
      <ns0:c r="I14" s="14" t="n">
        <ns0:f>ROUND(I214*I334,2)</ns0:f>
      </ns0:c>
      <ns0:c r="J14" s="14" t="n">
        <ns0:f>ROUND(J214*J334,2)</ns0:f>
      </ns0:c>
      <ns0:c r="K14" s="14" t="n">
        <ns0:f>ROUND(K214*K334,2)</ns0:f>
      </ns0:c>
      <ns0:c r="L14" s="14" t="n">
        <ns0:f>ROUND(L214*L334,2)</ns0:f>
      </ns0:c>
      <ns0:c r="M14" s="14" t="n">
        <ns0:f>ROUND(M214*M334,2)</ns0:f>
      </ns0:c>
      <ns0:c r="N14" s="14" t="n">
        <ns0:f>ROUND(N214*N334,2)</ns0:f>
      </ns0:c>
      <ns0:c r="O14" s="14" t="n">
        <ns0:f>SUM(C14:N14)</ns0:f>
      </ns0:c>
      <ns0:c r="P14" s="10" t="str">
        <ns0:v>EXP3.014</ns0:v>
      </ns0:c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ROUND(C215*C335,2)</ns0:f>
      </ns0:c>
      <ns0:c r="D15" s="14" t="n">
        <ns0:f>ROUND(D215*D335,2)</ns0:f>
      </ns0:c>
      <ns0:c r="E15" s="14" t="n">
        <ns0:f>ROUND(E215*E335,2)</ns0:f>
      </ns0:c>
      <ns0:c r="F15" s="14" t="n">
        <ns0:f>ROUND(F215*F335,2)</ns0:f>
      </ns0:c>
      <ns0:c r="G15" s="14" t="n">
        <ns0:f>ROUND(G215*G335,2)</ns0:f>
      </ns0:c>
      <ns0:c r="H15" s="14" t="n">
        <ns0:f>ROUND(H215*H335,2)</ns0:f>
      </ns0:c>
      <ns0:c r="I15" s="14" t="n">
        <ns0:f>ROUND(I215*I335,2)</ns0:f>
      </ns0:c>
      <ns0:c r="J15" s="14" t="n">
        <ns0:f>ROUND(J215*J335,2)</ns0:f>
      </ns0:c>
      <ns0:c r="K15" s="14" t="n">
        <ns0:f>ROUND(K215*K335,2)</ns0:f>
      </ns0:c>
      <ns0:c r="L15" s="14" t="n">
        <ns0:f>ROUND(L215*L335,2)</ns0:f>
      </ns0:c>
      <ns0:c r="M15" s="14" t="n">
        <ns0:f>ROUND(M215*M335,2)</ns0:f>
      </ns0:c>
      <ns0:c r="N15" s="14" t="n">
        <ns0:f>ROUND(N215*N335,2)</ns0:f>
      </ns0:c>
      <ns0:c r="O15" s="14" t="n">
        <ns0:f>SUM(C15:N15)</ns0:f>
      </ns0:c>
      <ns0:c r="P15" s="10" t="str">
        <ns0:v>EXP3.015</ns0:v>
      </ns0:c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ROUND(C216*C336,2)</ns0:f>
      </ns0:c>
      <ns0:c r="D16" s="14" t="n">
        <ns0:f>ROUND(D216*D336,2)</ns0:f>
      </ns0:c>
      <ns0:c r="E16" s="14" t="n">
        <ns0:f>ROUND(E216*E336,2)</ns0:f>
      </ns0:c>
      <ns0:c r="F16" s="14" t="n">
        <ns0:f>ROUND(F216*F336,2)</ns0:f>
      </ns0:c>
      <ns0:c r="G16" s="14" t="n">
        <ns0:f>ROUND(G216*G336,2)</ns0:f>
      </ns0:c>
      <ns0:c r="H16" s="14" t="n">
        <ns0:f>ROUND(H216*H336,2)</ns0:f>
      </ns0:c>
      <ns0:c r="I16" s="14" t="n">
        <ns0:f>ROUND(I216*I336,2)</ns0:f>
      </ns0:c>
      <ns0:c r="J16" s="14" t="n">
        <ns0:f>ROUND(J216*J336,2)</ns0:f>
      </ns0:c>
      <ns0:c r="K16" s="14" t="n">
        <ns0:f>ROUND(K216*K336,2)</ns0:f>
      </ns0:c>
      <ns0:c r="L16" s="14" t="n">
        <ns0:f>ROUND(L216*L336,2)</ns0:f>
      </ns0:c>
      <ns0:c r="M16" s="14" t="n">
        <ns0:f>ROUND(M216*M336,2)</ns0:f>
      </ns0:c>
      <ns0:c r="N16" s="14" t="n">
        <ns0:f>ROUND(N216*N336,2)</ns0:f>
      </ns0:c>
      <ns0:c r="O16" s="14" t="n">
        <ns0:f>SUM(C16:N16)</ns0:f>
      </ns0:c>
      <ns0:c r="P16" s="10" t="str">
        <ns0:v>EXP3.016</ns0:v>
      </ns0:c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/>
      <ns0:c r="B17" s="13" t="str">
        <ns0:v>咨询服务费</ns0:v>
      </ns0:c>
      <ns0:c r="C17" s="14" t="n">
        <ns0:f>ROUND(C217*C337,2)</ns0:f>
      </ns0:c>
      <ns0:c r="D17" s="14" t="n">
        <ns0:f>ROUND(D217*D337,2)</ns0:f>
      </ns0:c>
      <ns0:c r="E17" s="14" t="n">
        <ns0:f>ROUND(E217*E337,2)</ns0:f>
      </ns0:c>
      <ns0:c r="F17" s="14" t="n">
        <ns0:f>ROUND(F217*F337,2)</ns0:f>
      </ns0:c>
      <ns0:c r="G17" s="14" t="n">
        <ns0:f>ROUND(G217*G337,2)</ns0:f>
      </ns0:c>
      <ns0:c r="H17" s="14" t="n">
        <ns0:f>ROUND(H217*H337,2)</ns0:f>
      </ns0:c>
      <ns0:c r="I17" s="14" t="n">
        <ns0:f>ROUND(I217*I337,2)</ns0:f>
      </ns0:c>
      <ns0:c r="J17" s="14" t="n">
        <ns0:f>ROUND(J217*J337,2)</ns0:f>
      </ns0:c>
      <ns0:c r="K17" s="14" t="n">
        <ns0:f>ROUND(K217*K337,2)</ns0:f>
      </ns0:c>
      <ns0:c r="L17" s="14" t="n">
        <ns0:f>ROUND(L217*L337,2)</ns0:f>
      </ns0:c>
      <ns0:c r="M17" s="14" t="n">
        <ns0:f>ROUND(M217*M337,2)</ns0:f>
      </ns0:c>
      <ns0:c r="N17" s="14" t="n">
        <ns0:f>ROUND(N217*N337,2)</ns0:f>
      </ns0:c>
      <ns0:c r="O17" s="14" t="n">
        <ns0:f>SUM(C17:N17)</ns0:f>
      </ns0:c>
      <ns0:c r="P17" s="10" t="str">
        <ns0:v>EXP3.017</ns0:v>
      </ns0:c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ROUND(C218*C338,2)</ns0:f>
      </ns0:c>
      <ns0:c r="D18" s="14" t="n">
        <ns0:f>ROUND(D218*D338,2)</ns0:f>
      </ns0:c>
      <ns0:c r="E18" s="14" t="n">
        <ns0:f>ROUND(E218*E338,2)</ns0:f>
      </ns0:c>
      <ns0:c r="F18" s="14" t="n">
        <ns0:f>ROUND(F218*F338,2)</ns0:f>
      </ns0:c>
      <ns0:c r="G18" s="14" t="n">
        <ns0:f>ROUND(G218*G338,2)</ns0:f>
      </ns0:c>
      <ns0:c r="H18" s="14" t="n">
        <ns0:f>ROUND(H218*H338,2)</ns0:f>
      </ns0:c>
      <ns0:c r="I18" s="14" t="n">
        <ns0:f>ROUND(I218*I338,2)</ns0:f>
      </ns0:c>
      <ns0:c r="J18" s="14" t="n">
        <ns0:f>ROUND(J218*J338,2)</ns0:f>
      </ns0:c>
      <ns0:c r="K18" s="14" t="n">
        <ns0:f>ROUND(K218*K338,2)</ns0:f>
      </ns0:c>
      <ns0:c r="L18" s="14" t="n">
        <ns0:f>ROUND(L218*L338,2)</ns0:f>
      </ns0:c>
      <ns0:c r="M18" s="14" t="n">
        <ns0:f>ROUND(M218*M338,2)</ns0:f>
      </ns0:c>
      <ns0:c r="N18" s="14" t="n">
        <ns0:f>ROUND(N218*N338,2)</ns0:f>
      </ns0:c>
      <ns0:c r="O18" s="14" t="n">
        <ns0:f>SUM(C18:N18)</ns0:f>
      </ns0:c>
      <ns0:c r="P18" s="10" t="str">
        <ns0:v>EXP3.018</ns0:v>
      </ns0:c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ROUND(C219*C339,2)</ns0:f>
      </ns0:c>
      <ns0:c r="D19" s="14" t="n">
        <ns0:f>ROUND(D219*D339,2)</ns0:f>
      </ns0:c>
      <ns0:c r="E19" s="14" t="n">
        <ns0:f>ROUND(E219*E339,2)</ns0:f>
      </ns0:c>
      <ns0:c r="F19" s="14" t="n">
        <ns0:f>ROUND(F219*F339,2)</ns0:f>
      </ns0:c>
      <ns0:c r="G19" s="14" t="n">
        <ns0:f>ROUND(G219*G339,2)</ns0:f>
      </ns0:c>
      <ns0:c r="H19" s="14" t="n">
        <ns0:f>ROUND(H219*H339,2)</ns0:f>
      </ns0:c>
      <ns0:c r="I19" s="14" t="n">
        <ns0:f>ROUND(I219*I339,2)</ns0:f>
      </ns0:c>
      <ns0:c r="J19" s="14" t="n">
        <ns0:f>ROUND(J219*J339,2)</ns0:f>
      </ns0:c>
      <ns0:c r="K19" s="14" t="n">
        <ns0:f>ROUND(K219*K339,2)</ns0:f>
      </ns0:c>
      <ns0:c r="L19" s="14" t="n">
        <ns0:f>ROUND(L219*L339,2)</ns0:f>
      </ns0:c>
      <ns0:c r="M19" s="14" t="n">
        <ns0:f>ROUND(M219*M339,2)</ns0:f>
      </ns0:c>
      <ns0:c r="N19" s="14" t="n">
        <ns0:f>ROUND(N219*N339,2)</ns0:f>
      </ns0:c>
      <ns0:c r="O19" s="14" t="n">
        <ns0:f>SUM(C19:N19)</ns0:f>
      </ns0:c>
      <ns0:c r="P19" s="10" t="str">
        <ns0:v>EXP3.019</ns0:v>
      </ns0:c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ROUND('摊销明细'!C33/3,2)</ns0:f>
      </ns0:c>
      <ns0:c r="D20" s="14" t="n">
        <ns0:f>ROUND('摊销明细'!D33/3,2)</ns0:f>
      </ns0:c>
      <ns0:c r="E20" s="14" t="n">
        <ns0:f>ROUND('摊销明细'!E33/3,2)</ns0:f>
      </ns0:c>
      <ns0:c r="F20" s="14" t="n">
        <ns0:f>ROUND('摊销明细'!F33/3,2)</ns0:f>
      </ns0:c>
      <ns0:c r="G20" s="14" t="n">
        <ns0:f>ROUND('摊销明细'!G33/3,2)</ns0:f>
      </ns0:c>
      <ns0:c r="H20" s="14" t="n">
        <ns0:f>ROUND('摊销明细'!H33/3,2)</ns0:f>
      </ns0:c>
      <ns0:c r="I20" s="14" t="n">
        <ns0:f>ROUND('摊销明细'!I33/3,2)</ns0:f>
      </ns0:c>
      <ns0:c r="J20" s="14" t="n">
        <ns0:f>ROUND('摊销明细'!J33/3,2)</ns0:f>
      </ns0:c>
      <ns0:c r="K20" s="14" t="n">
        <ns0:f>ROUND('摊销明细'!K33/3,2)</ns0:f>
      </ns0:c>
      <ns0:c r="L20" s="14" t="n">
        <ns0:f>ROUND('摊销明细'!L33/3,2)</ns0:f>
      </ns0:c>
      <ns0:c r="M20" s="14" t="n">
        <ns0:f>ROUND('摊销明细'!M33/3,2)</ns0:f>
      </ns0:c>
      <ns0:c r="N20" s="14" t="n">
        <ns0:f>ROUND('摊销明细'!N33/3,2)</ns0:f>
      </ns0:c>
      <ns0:c r="O20" s="14" t="n">
        <ns0:f>SUM(C20:N20)</ns0:f>
      </ns0:c>
      <ns0:c r="P20" s="10" t="str">
        <ns0:v>EXP3.020</ns0:v>
      </ns0:c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ROUND(C221*C341,2)</ns0:f>
      </ns0:c>
      <ns0:c r="D21" s="14" t="n">
        <ns0:f>ROUND(D221*D341,2)</ns0:f>
      </ns0:c>
      <ns0:c r="E21" s="14" t="n">
        <ns0:f>ROUND(E221*E341,2)</ns0:f>
      </ns0:c>
      <ns0:c r="F21" s="14" t="n">
        <ns0:f>ROUND(F221*F341,2)</ns0:f>
      </ns0:c>
      <ns0:c r="G21" s="14" t="n">
        <ns0:f>ROUND(G221*G341,2)</ns0:f>
      </ns0:c>
      <ns0:c r="H21" s="14" t="n">
        <ns0:f>ROUND(H221*H341,2)</ns0:f>
      </ns0:c>
      <ns0:c r="I21" s="14" t="n">
        <ns0:f>ROUND(I221*I341,2)</ns0:f>
      </ns0:c>
      <ns0:c r="J21" s="14" t="n">
        <ns0:f>ROUND(J221*J341,2)</ns0:f>
      </ns0:c>
      <ns0:c r="K21" s="14" t="n">
        <ns0:f>ROUND(K221*K341,2)</ns0:f>
      </ns0:c>
      <ns0:c r="L21" s="14" t="n">
        <ns0:f>ROUND(L221*L341,2)</ns0:f>
      </ns0:c>
      <ns0:c r="M21" s="14" t="n">
        <ns0:f>ROUND(M221*M341,2)</ns0:f>
      </ns0:c>
      <ns0:c r="N21" s="14" t="n">
        <ns0:f>ROUND(N221*N341,2)</ns0:f>
      </ns0:c>
      <ns0:c r="O21" s="14" t="n">
        <ns0:f>SUM(C21:N21)</ns0:f>
      </ns0:c>
      <ns0:c r="P21" s="10" t="str">
        <ns0:v>EXP3.021</ns0:v>
      </ns0:c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ROUND(C222*C342,2)</ns0:f>
      </ns0:c>
      <ns0:c r="D22" s="14" t="n">
        <ns0:f>ROUND(D222*D342,2)</ns0:f>
      </ns0:c>
      <ns0:c r="E22" s="14" t="n">
        <ns0:f>ROUND(E222*E342,2)</ns0:f>
      </ns0:c>
      <ns0:c r="F22" s="14" t="n">
        <ns0:f>ROUND(F222*F342,2)</ns0:f>
      </ns0:c>
      <ns0:c r="G22" s="14" t="n">
        <ns0:f>ROUND(G222*G342,2)</ns0:f>
      </ns0:c>
      <ns0:c r="H22" s="14" t="n">
        <ns0:f>ROUND(H222*H342,2)</ns0:f>
      </ns0:c>
      <ns0:c r="I22" s="14" t="n">
        <ns0:f>ROUND(I222*I342,2)</ns0:f>
      </ns0:c>
      <ns0:c r="J22" s="14" t="n">
        <ns0:f>ROUND(J222*J342,2)</ns0:f>
      </ns0:c>
      <ns0:c r="K22" s="14" t="n">
        <ns0:f>ROUND(K222*K342,2)</ns0:f>
      </ns0:c>
      <ns0:c r="L22" s="14" t="n">
        <ns0:f>ROUND(L222*L342,2)</ns0:f>
      </ns0:c>
      <ns0:c r="M22" s="14" t="n">
        <ns0:f>ROUND(M222*M342,2)</ns0:f>
      </ns0:c>
      <ns0:c r="N22" s="14" t="n">
        <ns0:f>ROUND(N222*N342,2)</ns0:f>
      </ns0:c>
      <ns0:c r="O22" s="14" t="n">
        <ns0:f>SUM(C22:N22)</ns0:f>
      </ns0:c>
      <ns0:c r="P22" s="10" t="str">
        <ns0:v>EXP3.022</ns0:v>
      </ns0:c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ROUND(C223*C343,2)</ns0:f>
      </ns0:c>
      <ns0:c r="D23" s="14" t="n">
        <ns0:f>ROUND(D223*D343,2)</ns0:f>
      </ns0:c>
      <ns0:c r="E23" s="14" t="n">
        <ns0:f>ROUND(E223*E343,2)</ns0:f>
      </ns0:c>
      <ns0:c r="F23" s="14" t="n">
        <ns0:f>ROUND(F223*F343,2)</ns0:f>
      </ns0:c>
      <ns0:c r="G23" s="14" t="n">
        <ns0:f>ROUND(G223*G343,2)</ns0:f>
      </ns0:c>
      <ns0:c r="H23" s="14" t="n">
        <ns0:f>ROUND(H223*H343,2)</ns0:f>
      </ns0:c>
      <ns0:c r="I23" s="14" t="n">
        <ns0:f>ROUND(I223*I343,2)</ns0:f>
      </ns0:c>
      <ns0:c r="J23" s="14" t="n">
        <ns0:f>ROUND(J223*J343,2)</ns0:f>
      </ns0:c>
      <ns0:c r="K23" s="14" t="n">
        <ns0:f>ROUND(K223*K343,2)</ns0:f>
      </ns0:c>
      <ns0:c r="L23" s="14" t="n">
        <ns0:f>ROUND(L223*L343,2)</ns0:f>
      </ns0:c>
      <ns0:c r="M23" s="14" t="n">
        <ns0:f>ROUND(M223*M343,2)</ns0:f>
      </ns0:c>
      <ns0:c r="N23" s="14" t="n">
        <ns0:f>ROUND(N223*N343,2)</ns0:f>
      </ns0:c>
      <ns0:c r="O23" s="14" t="n">
        <ns0:f>SUM(C23:N23)</ns0:f>
      </ns0:c>
      <ns0:c r="P23" s="10" t="str">
        <ns0:v>EXP3.023</ns0:v>
      </ns0:c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ROUND(C224*C344,2)</ns0:f>
      </ns0:c>
      <ns0:c r="D24" s="14" t="n">
        <ns0:f>ROUND(D224*D344,2)</ns0:f>
      </ns0:c>
      <ns0:c r="E24" s="14" t="n">
        <ns0:f>ROUND(E224*E344,2)</ns0:f>
      </ns0:c>
      <ns0:c r="F24" s="14" t="n">
        <ns0:f>ROUND(F224*F344,2)</ns0:f>
      </ns0:c>
      <ns0:c r="G24" s="14" t="n">
        <ns0:f>ROUND(G224*G344,2)</ns0:f>
      </ns0:c>
      <ns0:c r="H24" s="14" t="n">
        <ns0:f>ROUND(H224*H344,2)</ns0:f>
      </ns0:c>
      <ns0:c r="I24" s="14" t="n">
        <ns0:f>ROUND(I224*I344,2)</ns0:f>
      </ns0:c>
      <ns0:c r="J24" s="14" t="n">
        <ns0:f>ROUND(J224*J344,2)</ns0:f>
      </ns0:c>
      <ns0:c r="K24" s="14" t="n">
        <ns0:f>ROUND(K224*K344,2)</ns0:f>
      </ns0:c>
      <ns0:c r="L24" s="14" t="n">
        <ns0:f>ROUND(L224*L344,2)</ns0:f>
      </ns0:c>
      <ns0:c r="M24" s="14" t="n">
        <ns0:f>ROUND(M224*M344,2)</ns0:f>
      </ns0:c>
      <ns0:c r="N24" s="14" t="n">
        <ns0:f>ROUND(N224*N344,2)</ns0:f>
      </ns0:c>
      <ns0:c r="O24" s="14" t="n">
        <ns0:f>SUM(C24:N24)</ns0:f>
      </ns0:c>
      <ns0:c r="P24" s="10" t="str">
        <ns0:v>EXP3.024</ns0:v>
      </ns0:c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ROUND(C225*C345,2)</ns0:f>
      </ns0:c>
      <ns0:c r="D25" s="14" t="n">
        <ns0:f>ROUND(D225*D345,2)</ns0:f>
      </ns0:c>
      <ns0:c r="E25" s="14" t="n">
        <ns0:f>ROUND(E225*E345,2)</ns0:f>
      </ns0:c>
      <ns0:c r="F25" s="14" t="n">
        <ns0:f>ROUND(F225*F345,2)</ns0:f>
      </ns0:c>
      <ns0:c r="G25" s="14" t="n">
        <ns0:f>ROUND(G225*G345,2)</ns0:f>
      </ns0:c>
      <ns0:c r="H25" s="14" t="n">
        <ns0:f>ROUND(H225*H345,2)</ns0:f>
      </ns0:c>
      <ns0:c r="I25" s="14" t="n">
        <ns0:f>ROUND(I225*I345,2)</ns0:f>
      </ns0:c>
      <ns0:c r="J25" s="14" t="n">
        <ns0:f>ROUND(J225*J345,2)</ns0:f>
      </ns0:c>
      <ns0:c r="K25" s="14" t="n">
        <ns0:f>ROUND(K225*K345,2)</ns0:f>
      </ns0:c>
      <ns0:c r="L25" s="14" t="n">
        <ns0:f>ROUND(L225*L345,2)</ns0:f>
      </ns0:c>
      <ns0:c r="M25" s="14" t="n">
        <ns0:f>ROUND(M225*M345,2)</ns0:f>
      </ns0:c>
      <ns0:c r="N25" s="14" t="n">
        <ns0:f>ROUND(N225*N345,2)</ns0:f>
      </ns0:c>
      <ns0:c r="O25" s="14" t="n">
        <ns0:f>SUM(C25:N25)</ns0:f>
      </ns0:c>
      <ns0:c r="P25" s="10" t="str">
        <ns0:v>EXP3.025</ns0:v>
      </ns0:c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ROUND(C226*C346,2)</ns0:f>
      </ns0:c>
      <ns0:c r="D26" s="14" t="n">
        <ns0:f>ROUND(D226*D346,2)</ns0:f>
      </ns0:c>
      <ns0:c r="E26" s="14" t="n">
        <ns0:f>ROUND(E226*E346,2)</ns0:f>
      </ns0:c>
      <ns0:c r="F26" s="14" t="n">
        <ns0:f>ROUND(F226*F346,2)</ns0:f>
      </ns0:c>
      <ns0:c r="G26" s="14" t="n">
        <ns0:f>ROUND(G226*G346,2)</ns0:f>
      </ns0:c>
      <ns0:c r="H26" s="14" t="n">
        <ns0:f>ROUND(H226*H346,2)</ns0:f>
      </ns0:c>
      <ns0:c r="I26" s="14" t="n">
        <ns0:f>ROUND(I226*I346,2)</ns0:f>
      </ns0:c>
      <ns0:c r="J26" s="14" t="n">
        <ns0:f>ROUND(J226*J346,2)</ns0:f>
      </ns0:c>
      <ns0:c r="K26" s="14" t="n">
        <ns0:f>ROUND(K226*K346,2)</ns0:f>
      </ns0:c>
      <ns0:c r="L26" s="14" t="n">
        <ns0:f>ROUND(L226*L346,2)</ns0:f>
      </ns0:c>
      <ns0:c r="M26" s="14" t="n">
        <ns0:f>ROUND(M226*M346,2)</ns0:f>
      </ns0:c>
      <ns0:c r="N26" s="14" t="n">
        <ns0:f>ROUND(N226*N346,2)</ns0:f>
      </ns0:c>
      <ns0:c r="O26" s="14" t="n">
        <ns0:f>SUM(C26:N26)</ns0:f>
      </ns0:c>
      <ns0:c r="P26" s="10" t="str">
        <ns0:v>EXP3.026</ns0:v>
      </ns0:c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ROUND(C227*C347,2)</ns0:f>
      </ns0:c>
      <ns0:c r="D27" s="14" t="n">
        <ns0:f>ROUND(D227*D347,2)</ns0:f>
      </ns0:c>
      <ns0:c r="E27" s="14" t="n">
        <ns0:f>ROUND(E227*E347,2)</ns0:f>
      </ns0:c>
      <ns0:c r="F27" s="14" t="n">
        <ns0:f>ROUND(F227*F347,2)</ns0:f>
      </ns0:c>
      <ns0:c r="G27" s="14" t="n">
        <ns0:f>ROUND(G227*G347,2)</ns0:f>
      </ns0:c>
      <ns0:c r="H27" s="14" t="n">
        <ns0:f>ROUND(H227*H347,2)</ns0:f>
      </ns0:c>
      <ns0:c r="I27" s="14" t="n">
        <ns0:f>ROUND(I227*I347,2)</ns0:f>
      </ns0:c>
      <ns0:c r="J27" s="14" t="n">
        <ns0:f>ROUND(J227*J347,2)</ns0:f>
      </ns0:c>
      <ns0:c r="K27" s="14" t="n">
        <ns0:f>ROUND(K227*K347,2)</ns0:f>
      </ns0:c>
      <ns0:c r="L27" s="14" t="n">
        <ns0:f>ROUND(L227*L347,2)</ns0:f>
      </ns0:c>
      <ns0:c r="M27" s="14" t="n">
        <ns0:f>ROUND(M227*M347,2)</ns0:f>
      </ns0:c>
      <ns0:c r="N27" s="14" t="n">
        <ns0:f>ROUND(N227*N347,2)</ns0:f>
      </ns0:c>
      <ns0:c r="O27" s="14" t="n">
        <ns0:f>SUM(C27:N27)</ns0:f>
      </ns0:c>
      <ns0:c r="P27" s="10" t="str">
        <ns0:v>EXP3.027</ns0:v>
      </ns0:c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ROUND(C228*C348,2)</ns0:f>
      </ns0:c>
      <ns0:c r="D28" s="14" t="n">
        <ns0:f>ROUND(D228*D348,2)</ns0:f>
      </ns0:c>
      <ns0:c r="E28" s="14" t="n">
        <ns0:f>ROUND(E228*E348,2)</ns0:f>
      </ns0:c>
      <ns0:c r="F28" s="14" t="n">
        <ns0:f>ROUND(F228*F348,2)</ns0:f>
      </ns0:c>
      <ns0:c r="G28" s="14" t="n">
        <ns0:f>ROUND(G228*G348,2)</ns0:f>
      </ns0:c>
      <ns0:c r="H28" s="14" t="n">
        <ns0:f>ROUND(H228*H348,2)</ns0:f>
      </ns0:c>
      <ns0:c r="I28" s="14" t="n">
        <ns0:f>ROUND(I228*I348,2)</ns0:f>
      </ns0:c>
      <ns0:c r="J28" s="14" t="n">
        <ns0:f>ROUND(J228*J348,2)</ns0:f>
      </ns0:c>
      <ns0:c r="K28" s="14" t="n">
        <ns0:f>ROUND(K228*K348,2)</ns0:f>
      </ns0:c>
      <ns0:c r="L28" s="14" t="n">
        <ns0:f>ROUND(L228*L348,2)</ns0:f>
      </ns0:c>
      <ns0:c r="M28" s="14" t="n">
        <ns0:f>ROUND(M228*M348,2)</ns0:f>
      </ns0:c>
      <ns0:c r="N28" s="14" t="n">
        <ns0:f>ROUND(N228*N348,2)</ns0:f>
      </ns0:c>
      <ns0:c r="O28" s="14" t="n">
        <ns0:f>SUM(C28:N28)</ns0:f>
      </ns0:c>
      <ns0:c r="P28" s="10" t="str">
        <ns0:v>EXP3.028</ns0:v>
      </ns0:c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0</ns0:f>
      </ns0:c>
      <ns0:c r="D29" s="14" t="n">
        <ns0:f>0</ns0:f>
      </ns0:c>
      <ns0:c r="E29" s="14" t="n">
        <ns0:f>0</ns0:f>
      </ns0:c>
      <ns0:c r="F29" s="14" t="n">
        <ns0:f>0</ns0:f>
      </ns0:c>
      <ns0:c r="G29" s="14" t="n">
        <ns0:f>0</ns0:f>
      </ns0:c>
      <ns0:c r="H29" s="14" t="n">
        <ns0:f>0</ns0:f>
      </ns0:c>
      <ns0:c r="I29" s="14" t="n">
        <ns0:f>0</ns0:f>
      </ns0:c>
      <ns0:c r="J29" s="14" t="n">
        <ns0:f>0</ns0:f>
      </ns0:c>
      <ns0:c r="K29" s="14" t="n">
        <ns0:f>0</ns0:f>
      </ns0:c>
      <ns0:c r="L29" s="14" t="n">
        <ns0:f>0</ns0:f>
      </ns0:c>
      <ns0:c r="M29" s="14" t="n">
        <ns0:f>0</ns0:f>
      </ns0:c>
      <ns0:c r="N29" s="14" t="n">
        <ns0:f>0</ns0:f>
      </ns0:c>
      <ns0:c r="O29" s="14" t="n">
        <ns0:f>SUM(C29:N29)</ns0:f>
      </ns0:c>
      <ns0:c r="P29" s="10" t="str">
        <ns0:v>EXP3.029</ns0:v>
      </ns0:c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ROUND(C230*C350,2)</ns0:f>
      </ns0:c>
      <ns0:c r="D30" s="14" t="n">
        <ns0:f>ROUND(D230*D350,2)</ns0:f>
      </ns0:c>
      <ns0:c r="E30" s="14" t="n">
        <ns0:f>ROUND(E230*E350,2)</ns0:f>
      </ns0:c>
      <ns0:c r="F30" s="14" t="n">
        <ns0:f>ROUND(F230*F350,2)</ns0:f>
      </ns0:c>
      <ns0:c r="G30" s="14" t="n">
        <ns0:f>ROUND(G230*G350,2)</ns0:f>
      </ns0:c>
      <ns0:c r="H30" s="14" t="n">
        <ns0:f>ROUND(H230*H350,2)</ns0:f>
      </ns0:c>
      <ns0:c r="I30" s="14" t="n">
        <ns0:f>ROUND(I230*I350,2)</ns0:f>
      </ns0:c>
      <ns0:c r="J30" s="14" t="n">
        <ns0:f>ROUND(J230*J350,2)</ns0:f>
      </ns0:c>
      <ns0:c r="K30" s="14" t="n">
        <ns0:f>ROUND(K230*K350,2)</ns0:f>
      </ns0:c>
      <ns0:c r="L30" s="14" t="n">
        <ns0:f>ROUND(L230*L350,2)</ns0:f>
      </ns0:c>
      <ns0:c r="M30" s="14" t="n">
        <ns0:f>ROUND(M230*M350,2)</ns0:f>
      </ns0:c>
      <ns0:c r="N30" s="14" t="n">
        <ns0:f>ROUND(N230*N350,2)</ns0:f>
      </ns0:c>
      <ns0:c r="O30" s="14" t="n">
        <ns0:f>SUM(C30:N30)</ns0:f>
      </ns0:c>
      <ns0:c r="P30" s="10" t="str">
        <ns0:v>EXP3.030</ns0:v>
      </ns0:c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ROUND(C231*C351,2)</ns0:f>
      </ns0:c>
      <ns0:c r="D31" s="14" t="n">
        <ns0:f>ROUND(D231*D351,2)</ns0:f>
      </ns0:c>
      <ns0:c r="E31" s="14" t="n">
        <ns0:f>ROUND(E231*E351,2)</ns0:f>
      </ns0:c>
      <ns0:c r="F31" s="14" t="n">
        <ns0:f>ROUND(F231*F351,2)</ns0:f>
      </ns0:c>
      <ns0:c r="G31" s="14" t="n">
        <ns0:f>ROUND(G231*G351,2)</ns0:f>
      </ns0:c>
      <ns0:c r="H31" s="14" t="n">
        <ns0:f>ROUND(H231*H351,2)</ns0:f>
      </ns0:c>
      <ns0:c r="I31" s="14" t="n">
        <ns0:f>ROUND(I231*I351,2)</ns0:f>
      </ns0:c>
      <ns0:c r="J31" s="14" t="n">
        <ns0:f>ROUND(J231*J351,2)</ns0:f>
      </ns0:c>
      <ns0:c r="K31" s="14" t="n">
        <ns0:f>ROUND(K231*K351,2)</ns0:f>
      </ns0:c>
      <ns0:c r="L31" s="14" t="n">
        <ns0:f>ROUND(L231*L351,2)</ns0:f>
      </ns0:c>
      <ns0:c r="M31" s="14" t="n">
        <ns0:f>ROUND(M231*M351,2)</ns0:f>
      </ns0:c>
      <ns0:c r="N31" s="14" t="n">
        <ns0:f>ROUND(N231*N351,2)</ns0:f>
      </ns0:c>
      <ns0:c r="O31" s="14" t="n">
        <ns0:f>SUM(C31:N31)</ns0:f>
      </ns0:c>
      <ns0:c r="P31" s="10" t="str">
        <ns0:v>EXP3.031</ns0:v>
      </ns0:c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ROUND(C232*C352,2)</ns0:f>
      </ns0:c>
      <ns0:c r="D32" s="14" t="n">
        <ns0:f>ROUND(D232*D352,2)</ns0:f>
      </ns0:c>
      <ns0:c r="E32" s="14" t="n">
        <ns0:f>ROUND(E232*E352,2)</ns0:f>
      </ns0:c>
      <ns0:c r="F32" s="14" t="n">
        <ns0:f>ROUND(F232*F352,2)</ns0:f>
      </ns0:c>
      <ns0:c r="G32" s="14" t="n">
        <ns0:f>ROUND(G232*G352,2)</ns0:f>
      </ns0:c>
      <ns0:c r="H32" s="14" t="n">
        <ns0:f>ROUND(H232*H352,2)</ns0:f>
      </ns0:c>
      <ns0:c r="I32" s="14" t="n">
        <ns0:f>ROUND(I232*I352,2)</ns0:f>
      </ns0:c>
      <ns0:c r="J32" s="14" t="n">
        <ns0:f>ROUND(J232*J352,2)</ns0:f>
      </ns0:c>
      <ns0:c r="K32" s="14" t="n">
        <ns0:f>ROUND(K232*K352,2)</ns0:f>
      </ns0:c>
      <ns0:c r="L32" s="14" t="n">
        <ns0:f>ROUND(L232*L352,2)</ns0:f>
      </ns0:c>
      <ns0:c r="M32" s="14" t="n">
        <ns0:f>ROUND(M232*M352,2)</ns0:f>
      </ns0:c>
      <ns0:c r="N32" s="14" t="n">
        <ns0:f>ROUND(N232*N352,2)</ns0:f>
      </ns0:c>
      <ns0:c r="O32" s="14" t="n">
        <ns0:f>SUM(C32:N32)</ns0:f>
      </ns0:c>
      <ns0:c r="P32" s="10" t="str">
        <ns0:v>EXP3.032</ns0:v>
      </ns0:c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ROUND(C233*C353,2)</ns0:f>
      </ns0:c>
      <ns0:c r="D33" s="14" t="n">
        <ns0:f>ROUND(D233*D353,2)</ns0:f>
      </ns0:c>
      <ns0:c r="E33" s="14" t="n">
        <ns0:f>ROUND(E233*E353,2)</ns0:f>
      </ns0:c>
      <ns0:c r="F33" s="14" t="n">
        <ns0:f>ROUND(F233*F353,2)</ns0:f>
      </ns0:c>
      <ns0:c r="G33" s="14" t="n">
        <ns0:f>ROUND(G233*G353,2)</ns0:f>
      </ns0:c>
      <ns0:c r="H33" s="14" t="n">
        <ns0:f>ROUND(H233*H353,2)</ns0:f>
      </ns0:c>
      <ns0:c r="I33" s="14" t="n">
        <ns0:f>ROUND(I233*I353,2)</ns0:f>
      </ns0:c>
      <ns0:c r="J33" s="14" t="n">
        <ns0:f>ROUND(J233*J353,2)</ns0:f>
      </ns0:c>
      <ns0:c r="K33" s="14" t="n">
        <ns0:f>ROUND(K233*K353,2)</ns0:f>
      </ns0:c>
      <ns0:c r="L33" s="14" t="n">
        <ns0:f>ROUND(L233*L353,2)</ns0:f>
      </ns0:c>
      <ns0:c r="M33" s="14" t="n">
        <ns0:f>ROUND(M233*M353,2)</ns0:f>
      </ns0:c>
      <ns0:c r="N33" s="14" t="n">
        <ns0:f>ROUND(N233*N353,2)</ns0:f>
      </ns0:c>
      <ns0:c r="O33" s="14" t="n">
        <ns0:f>SUM(C33:N33)</ns0:f>
      </ns0:c>
      <ns0:c r="P33" s="10" t="str">
        <ns0:v>EXP3.033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 t="n">
        <ns0:f>SUM(C34:N34)</ns0:f>
      </ns0:c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 t="str">
        <ns0:v>工资单价</ns0:v>
      </ns0:c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 t="str">
        <ns0:v>十三薪单价</ns0:v>
      </ns0:c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 t="str">
        <ns0:v>离职补偿金单价</ns0:v>
      </ns0:c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 t="str">
        <ns0:v>五险一金单价</ns0:v>
      </ns0:c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 t="str">
        <ns0:v>福利费单价</ns0:v>
      </ns0:c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 t="str">
        <ns0:v>招聘费单价</ns0:v>
      </ns0:c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 t="str">
        <ns0:v>培训费单价</ns0:v>
      </ns0:c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 t="str">
        <ns0:v>房租单价</ns0:v>
      </ns0:c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 t="str">
        <ns0:v>物业管理费单价</ns0:v>
      </ns0:c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 t="str">
        <ns0:v>汽车费用单价</ns0:v>
      </ns0:c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 t="str">
        <ns0:v>办公费单价</ns0:v>
      </ns0:c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 t="str">
        <ns0:v>办公用品单价</ns0:v>
      </ns0:c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 t="str">
        <ns0:v>水电煤单价</ns0:v>
      </ns0:c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 t="str">
        <ns0:v>咨询服务费单价</ns0:v>
      </ns0:c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 t="str">
        <ns0:v>电话费单价</ns0:v>
      </ns0:c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 t="str">
        <ns0:v>快递费单价</ns0:v>
      </ns0:c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 t="str">
        <ns0:v>折旧及摊销单价</ns0:v>
      </ns0:c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 t="str">
        <ns0:v>机票火车票单价</ns0:v>
      </ns0:c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 t="str">
        <ns0:v>住宿费单价</ns0:v>
      </ns0:c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 t="str">
        <ns0:v>交通费单价</ns0:v>
      </ns0:c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 t="str">
        <ns0:v>差旅补贴单价</ns0:v>
      </ns0:c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 t="str">
        <ns0:v>业务招待费单价</ns0:v>
      </ns0:c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 t="str">
        <ns0:v>市内交通费单价</ns0:v>
      </ns0:c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 t="str">
        <ns0:v>调研费用单价</ns0:v>
      </ns0:c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 t="str">
        <ns0:v>手续费单价</ns0:v>
      </ns0:c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 t="str">
        <ns0:v>利息收入单价</ns0:v>
      </ns0:c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 t="str">
        <ns0:v>利息支出单价</ns0:v>
      </ns0:c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 t="str">
        <ns0:v>车船税单价</ns0:v>
      </ns0:c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 t="str">
        <ns0:v>印花税单价</ns0:v>
      </ns0:c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 t="str">
        <ns0:v>其他单价</ns0:v>
      </ns0:c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 t="str">
        <ns0:v>工资数量</ns0:v>
      </ns0:c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 t="str">
        <ns0:v>十三薪数量</ns0:v>
      </ns0:c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 t="str">
        <ns0:v>离职补偿金数量</ns0:v>
      </ns0:c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 t="str">
        <ns0:v>五险一金数量</ns0:v>
      </ns0:c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 t="str">
        <ns0:v>福利费数量</ns0:v>
      </ns0:c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 t="str">
        <ns0:v>招聘费数量</ns0:v>
      </ns0:c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 t="str">
        <ns0:v>培训费数量</ns0:v>
      </ns0:c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 t="str">
        <ns0:v>房租数量</ns0:v>
      </ns0:c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 t="str">
        <ns0:v>物业管理费数量</ns0:v>
      </ns0:c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 t="str">
        <ns0:v>汽车费用数量</ns0:v>
      </ns0:c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 t="str">
        <ns0:v>办公费数量</ns0:v>
      </ns0:c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 t="str">
        <ns0:v>办公用品数量</ns0:v>
      </ns0:c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 t="str">
        <ns0:v>水电煤数量</ns0:v>
      </ns0:c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 t="str">
        <ns0:v>咨询服务费数量</ns0:v>
      </ns0:c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 t="str">
        <ns0:v>电话费数量</ns0:v>
      </ns0:c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 t="str">
        <ns0:v>快递费数量</ns0:v>
      </ns0:c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 t="str">
        <ns0:v>折旧及摊销数量</ns0:v>
      </ns0:c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 t="str">
        <ns0:v>机票火车票数量</ns0:v>
      </ns0:c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 t="str">
        <ns0:v>住宿费数量</ns0:v>
      </ns0:c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 t="str">
        <ns0:v>交通费数量</ns0:v>
      </ns0:c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 t="str">
        <ns0:v>差旅补贴数量</ns0:v>
      </ns0:c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 t="str">
        <ns0:v>业务招待费数量</ns0:v>
      </ns0:c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 t="str">
        <ns0:v>市内交通费数量</ns0:v>
      </ns0:c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 t="str">
        <ns0:v>调研费用数量</ns0:v>
      </ns0:c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 t="str">
        <ns0:v>手续费数量</ns0:v>
      </ns0:c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 t="str">
        <ns0:v>利息收入数量</ns0:v>
      </ns0:c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 t="str">
        <ns0:v>利息支出数量</ns0:v>
      </ns0:c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 t="str">
        <ns0:v>车船税数量</ns0:v>
      </ns0:c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 t="str">
        <ns0:v>印花税数量</ns0:v>
      </ns0:c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 t="str">
        <ns0:v>其他数量</ns0:v>
      </ns0:c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3"/>
      <ns0:c r="B1" s="13"/>
      <ns0:c r="C1" s="14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/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 t="str">
        <ns0:v>合计</ns0:v>
      </ns0:c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/>
      <ns0:c r="D3" s="14"/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4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'销售费用'!C4+'管理费用'!C4+'蓝恐龙费用'!C4</ns0:f>
      </ns0:c>
      <ns0:c r="D4" s="14" t="n">
        <ns0:f>'销售费用'!D4+'管理费用'!D4+'蓝恐龙费用'!D4</ns0:f>
      </ns0:c>
      <ns0:c r="E4" s="14" t="n">
        <ns0:f>'销售费用'!E4+'管理费用'!E4+'蓝恐龙费用'!E4</ns0:f>
      </ns0:c>
      <ns0:c r="F4" s="14" t="n">
        <ns0:f>'销售费用'!F4+'管理费用'!F4+'蓝恐龙费用'!F4</ns0:f>
      </ns0:c>
      <ns0:c r="G4" s="14" t="n">
        <ns0:f>'销售费用'!G4+'管理费用'!G4+'蓝恐龙费用'!G4</ns0:f>
      </ns0:c>
      <ns0:c r="H4" s="14" t="n">
        <ns0:f>'销售费用'!H4+'管理费用'!H4+'蓝恐龙费用'!H4</ns0:f>
      </ns0:c>
      <ns0:c r="I4" s="14" t="n">
        <ns0:f>'销售费用'!I4+'管理费用'!I4+'蓝恐龙费用'!I4</ns0:f>
      </ns0:c>
      <ns0:c r="J4" s="14" t="n">
        <ns0:f>'销售费用'!J4+'管理费用'!J4+'蓝恐龙费用'!J4</ns0:f>
      </ns0:c>
      <ns0:c r="K4" s="14" t="n">
        <ns0:f>'销售费用'!K4+'管理费用'!K4+'蓝恐龙费用'!K4</ns0:f>
      </ns0:c>
      <ns0:c r="L4" s="14" t="n">
        <ns0:f>'销售费用'!L4+'管理费用'!L4+'蓝恐龙费用'!L4</ns0:f>
      </ns0:c>
      <ns0:c r="M4" s="14" t="n">
        <ns0:f>'销售费用'!M4+'管理费用'!M4+'蓝恐龙费用'!M4</ns0:f>
      </ns0:c>
      <ns0:c r="N4" s="14" t="n">
        <ns0:f>'销售费用'!N4+'管理费用'!N4+'蓝恐龙费用'!N4</ns0:f>
      </ns0:c>
      <ns0:c r="O4" s="14" t="n">
        <ns0:f>SUM(C4:N4)</ns0:f>
      </ns0:c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4" t="n">
        <ns0:f>'销售费用'!C5+'管理费用'!C5+'蓝恐龙费用'!C5</ns0:f>
      </ns0:c>
      <ns0:c r="D5" s="14" t="n">
        <ns0:f>'销售费用'!D5+'管理费用'!D5+'蓝恐龙费用'!D5</ns0:f>
      </ns0:c>
      <ns0:c r="E5" s="14" t="n">
        <ns0:f>'销售费用'!E5+'管理费用'!E5+'蓝恐龙费用'!E5</ns0:f>
      </ns0:c>
      <ns0:c r="F5" s="14" t="n">
        <ns0:f>'销售费用'!F5+'管理费用'!F5+'蓝恐龙费用'!F5</ns0:f>
      </ns0:c>
      <ns0:c r="G5" s="14" t="n">
        <ns0:f>'销售费用'!G5+'管理费用'!G5+'蓝恐龙费用'!G5</ns0:f>
      </ns0:c>
      <ns0:c r="H5" s="14" t="n">
        <ns0:f>'销售费用'!H5+'管理费用'!H5+'蓝恐龙费用'!H5</ns0:f>
      </ns0:c>
      <ns0:c r="I5" s="14" t="n">
        <ns0:f>'销售费用'!I5+'管理费用'!I5+'蓝恐龙费用'!I5</ns0:f>
      </ns0:c>
      <ns0:c r="J5" s="14" t="n">
        <ns0:f>'销售费用'!J5+'管理费用'!J5+'蓝恐龙费用'!J5</ns0:f>
      </ns0:c>
      <ns0:c r="K5" s="14" t="n">
        <ns0:f>'销售费用'!K5+'管理费用'!K5+'蓝恐龙费用'!K5</ns0:f>
      </ns0:c>
      <ns0:c r="L5" s="14" t="n">
        <ns0:f>'销售费用'!L5+'管理费用'!L5+'蓝恐龙费用'!L5</ns0:f>
      </ns0:c>
      <ns0:c r="M5" s="14" t="n">
        <ns0:f>'销售费用'!M5+'管理费用'!M5+'蓝恐龙费用'!M5</ns0:f>
      </ns0:c>
      <ns0:c r="N5" s="14" t="n">
        <ns0:f>'销售费用'!N5+'管理费用'!N5+'蓝恐龙费用'!N5</ns0:f>
      </ns0:c>
      <ns0:c r="O5" s="14" t="n">
        <ns0:f>SUM(C5:N5)</ns0:f>
      </ns0:c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0" t="str">
        <ns0:v>离职补偿金</ns0:v>
      </ns0:c>
      <ns0:c r="C6" s="14" t="n">
        <ns0:f>'销售费用'!C6+'管理费用'!C6+'蓝恐龙费用'!C6</ns0:f>
      </ns0:c>
      <ns0:c r="D6" s="14" t="n">
        <ns0:f>'销售费用'!D6+'管理费用'!D6+'蓝恐龙费用'!D6</ns0:f>
      </ns0:c>
      <ns0:c r="E6" s="14" t="n">
        <ns0:f>'销售费用'!E6+'管理费用'!E6+'蓝恐龙费用'!E6</ns0:f>
      </ns0:c>
      <ns0:c r="F6" s="14" t="n">
        <ns0:f>'销售费用'!F6+'管理费用'!F6+'蓝恐龙费用'!F6</ns0:f>
      </ns0:c>
      <ns0:c r="G6" s="14" t="n">
        <ns0:f>'销售费用'!G6+'管理费用'!G6+'蓝恐龙费用'!G6</ns0:f>
      </ns0:c>
      <ns0:c r="H6" s="14" t="n">
        <ns0:f>'销售费用'!H6+'管理费用'!H6+'蓝恐龙费用'!H6</ns0:f>
      </ns0:c>
      <ns0:c r="I6" s="14" t="n">
        <ns0:f>'销售费用'!I6+'管理费用'!I6+'蓝恐龙费用'!I6</ns0:f>
      </ns0:c>
      <ns0:c r="J6" s="14" t="n">
        <ns0:f>'销售费用'!J6+'管理费用'!J6+'蓝恐龙费用'!J6</ns0:f>
      </ns0:c>
      <ns0:c r="K6" s="14" t="n">
        <ns0:f>'销售费用'!K6+'管理费用'!K6+'蓝恐龙费用'!K6</ns0:f>
      </ns0:c>
      <ns0:c r="L6" s="14" t="n">
        <ns0:f>'销售费用'!L6+'管理费用'!L6+'蓝恐龙费用'!L6</ns0:f>
      </ns0:c>
      <ns0:c r="M6" s="14" t="n">
        <ns0:f>'销售费用'!M6+'管理费用'!M6+'蓝恐龙费用'!M6</ns0:f>
      </ns0:c>
      <ns0:c r="N6" s="14" t="n">
        <ns0:f>'销售费用'!N6+'管理费用'!N6+'蓝恐龙费用'!N6</ns0:f>
      </ns0:c>
      <ns0:c r="O6" s="14" t="n">
        <ns0:f>SUM(C6:N6)</ns0:f>
      </ns0:c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'销售费用'!C7+'管理费用'!C7+'蓝恐龙费用'!C7</ns0:f>
      </ns0:c>
      <ns0:c r="D7" s="14" t="n">
        <ns0:f>'销售费用'!D7+'管理费用'!D7+'蓝恐龙费用'!D7</ns0:f>
      </ns0:c>
      <ns0:c r="E7" s="14" t="n">
        <ns0:f>'销售费用'!E7+'管理费用'!E7+'蓝恐龙费用'!E7</ns0:f>
      </ns0:c>
      <ns0:c r="F7" s="14" t="n">
        <ns0:f>'销售费用'!F7+'管理费用'!F7+'蓝恐龙费用'!F7</ns0:f>
      </ns0:c>
      <ns0:c r="G7" s="14" t="n">
        <ns0:f>'销售费用'!G7+'管理费用'!G7+'蓝恐龙费用'!G7</ns0:f>
      </ns0:c>
      <ns0:c r="H7" s="14" t="n">
        <ns0:f>'销售费用'!H7+'管理费用'!H7+'蓝恐龙费用'!H7</ns0:f>
      </ns0:c>
      <ns0:c r="I7" s="14" t="n">
        <ns0:f>'销售费用'!I7+'管理费用'!I7+'蓝恐龙费用'!I7</ns0:f>
      </ns0:c>
      <ns0:c r="J7" s="14" t="n">
        <ns0:f>'销售费用'!J7+'管理费用'!J7+'蓝恐龙费用'!J7</ns0:f>
      </ns0:c>
      <ns0:c r="K7" s="14" t="n">
        <ns0:f>'销售费用'!K7+'管理费用'!K7+'蓝恐龙费用'!K7</ns0:f>
      </ns0:c>
      <ns0:c r="L7" s="14" t="n">
        <ns0:f>'销售费用'!L7+'管理费用'!L7+'蓝恐龙费用'!L7</ns0:f>
      </ns0:c>
      <ns0:c r="M7" s="14" t="n">
        <ns0:f>'销售费用'!M7+'管理费用'!M7+'蓝恐龙费用'!M7</ns0:f>
      </ns0:c>
      <ns0:c r="N7" s="14" t="n">
        <ns0:f>'销售费用'!N7+'管理费用'!N7+'蓝恐龙费用'!N7</ns0:f>
      </ns0:c>
      <ns0:c r="O7" s="14" t="n">
        <ns0:f>SUM(C7:N7)</ns0:f>
      </ns0:c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'销售费用'!C8+'管理费用'!C8+'蓝恐龙费用'!C8</ns0:f>
      </ns0:c>
      <ns0:c r="D8" s="14" t="n">
        <ns0:f>'销售费用'!D8+'管理费用'!D8+'蓝恐龙费用'!D8</ns0:f>
      </ns0:c>
      <ns0:c r="E8" s="14" t="n">
        <ns0:f>'销售费用'!E8+'管理费用'!E8+'蓝恐龙费用'!E8</ns0:f>
      </ns0:c>
      <ns0:c r="F8" s="14" t="n">
        <ns0:f>'销售费用'!F8+'管理费用'!F8+'蓝恐龙费用'!F8</ns0:f>
      </ns0:c>
      <ns0:c r="G8" s="14" t="n">
        <ns0:f>'销售费用'!G8+'管理费用'!G8+'蓝恐龙费用'!G8</ns0:f>
      </ns0:c>
      <ns0:c r="H8" s="14" t="n">
        <ns0:f>'销售费用'!H8+'管理费用'!H8+'蓝恐龙费用'!H8</ns0:f>
      </ns0:c>
      <ns0:c r="I8" s="14" t="n">
        <ns0:f>'销售费用'!I8+'管理费用'!I8+'蓝恐龙费用'!I8</ns0:f>
      </ns0:c>
      <ns0:c r="J8" s="14" t="n">
        <ns0:f>'销售费用'!J8+'管理费用'!J8+'蓝恐龙费用'!J8</ns0:f>
      </ns0:c>
      <ns0:c r="K8" s="14" t="n">
        <ns0:f>'销售费用'!K8+'管理费用'!K8+'蓝恐龙费用'!K8</ns0:f>
      </ns0:c>
      <ns0:c r="L8" s="14" t="n">
        <ns0:f>'销售费用'!L8+'管理费用'!L8+'蓝恐龙费用'!L8</ns0:f>
      </ns0:c>
      <ns0:c r="M8" s="14" t="n">
        <ns0:f>'销售费用'!M8+'管理费用'!M8+'蓝恐龙费用'!M8</ns0:f>
      </ns0:c>
      <ns0:c r="N8" s="14" t="n">
        <ns0:f>'销售费用'!N8+'管理费用'!N8+'蓝恐龙费用'!N8</ns0:f>
      </ns0:c>
      <ns0:c r="O8" s="14" t="n">
        <ns0:f>SUM(C8:N8)</ns0:f>
      </ns0:c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4" t="n">
        <ns0:f>'销售费用'!C9+'管理费用'!C9+'蓝恐龙费用'!C9</ns0:f>
      </ns0:c>
      <ns0:c r="D9" s="14" t="n">
        <ns0:f>'销售费用'!D9+'管理费用'!D9+'蓝恐龙费用'!D9</ns0:f>
      </ns0:c>
      <ns0:c r="E9" s="14" t="n">
        <ns0:f>'销售费用'!E9+'管理费用'!E9+'蓝恐龙费用'!E9</ns0:f>
      </ns0:c>
      <ns0:c r="F9" s="14" t="n">
        <ns0:f>'销售费用'!F9+'管理费用'!F9+'蓝恐龙费用'!F9</ns0:f>
      </ns0:c>
      <ns0:c r="G9" s="14" t="n">
        <ns0:f>'销售费用'!G9+'管理费用'!G9+'蓝恐龙费用'!G9</ns0:f>
      </ns0:c>
      <ns0:c r="H9" s="14" t="n">
        <ns0:f>'销售费用'!H9+'管理费用'!H9+'蓝恐龙费用'!H9</ns0:f>
      </ns0:c>
      <ns0:c r="I9" s="14" t="n">
        <ns0:f>'销售费用'!I9+'管理费用'!I9+'蓝恐龙费用'!I9</ns0:f>
      </ns0:c>
      <ns0:c r="J9" s="14" t="n">
        <ns0:f>'销售费用'!J9+'管理费用'!J9+'蓝恐龙费用'!J9</ns0:f>
      </ns0:c>
      <ns0:c r="K9" s="14" t="n">
        <ns0:f>'销售费用'!K9+'管理费用'!K9+'蓝恐龙费用'!K9</ns0:f>
      </ns0:c>
      <ns0:c r="L9" s="14" t="n">
        <ns0:f>'销售费用'!L9+'管理费用'!L9+'蓝恐龙费用'!L9</ns0:f>
      </ns0:c>
      <ns0:c r="M9" s="14" t="n">
        <ns0:f>'销售费用'!M9+'管理费用'!M9+'蓝恐龙费用'!M9</ns0:f>
      </ns0:c>
      <ns0:c r="N9" s="14" t="n">
        <ns0:f>'销售费用'!N9+'管理费用'!N9+'蓝恐龙费用'!N9</ns0:f>
      </ns0:c>
      <ns0:c r="O9" s="14" t="n">
        <ns0:f>SUM(C9:N9)</ns0:f>
      </ns0:c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'销售费用'!C10+'管理费用'!C10+'蓝恐龙费用'!C10</ns0:f>
      </ns0:c>
      <ns0:c r="D10" s="14" t="n">
        <ns0:f>'销售费用'!D10+'管理费用'!D10+'蓝恐龙费用'!D10</ns0:f>
      </ns0:c>
      <ns0:c r="E10" s="14" t="n">
        <ns0:f>'销售费用'!E10+'管理费用'!E10+'蓝恐龙费用'!E10</ns0:f>
      </ns0:c>
      <ns0:c r="F10" s="14" t="n">
        <ns0:f>'销售费用'!F10+'管理费用'!F10+'蓝恐龙费用'!F10</ns0:f>
      </ns0:c>
      <ns0:c r="G10" s="14" t="n">
        <ns0:f>'销售费用'!G10+'管理费用'!G10+'蓝恐龙费用'!G10</ns0:f>
      </ns0:c>
      <ns0:c r="H10" s="14" t="n">
        <ns0:f>'销售费用'!H10+'管理费用'!H10+'蓝恐龙费用'!H10</ns0:f>
      </ns0:c>
      <ns0:c r="I10" s="14" t="n">
        <ns0:f>'销售费用'!I10+'管理费用'!I10+'蓝恐龙费用'!I10</ns0:f>
      </ns0:c>
      <ns0:c r="J10" s="14" t="n">
        <ns0:f>'销售费用'!J10+'管理费用'!J10+'蓝恐龙费用'!J10</ns0:f>
      </ns0:c>
      <ns0:c r="K10" s="14" t="n">
        <ns0:f>'销售费用'!K10+'管理费用'!K10+'蓝恐龙费用'!K10</ns0:f>
      </ns0:c>
      <ns0:c r="L10" s="14" t="n">
        <ns0:f>'销售费用'!L10+'管理费用'!L10+'蓝恐龙费用'!L10</ns0:f>
      </ns0:c>
      <ns0:c r="M10" s="14" t="n">
        <ns0:f>'销售费用'!M10+'管理费用'!M10+'蓝恐龙费用'!M10</ns0:f>
      </ns0:c>
      <ns0:c r="N10" s="14" t="n">
        <ns0:f>'销售费用'!N10+'管理费用'!N10+'蓝恐龙费用'!N10</ns0:f>
      </ns0:c>
      <ns0:c r="O10" s="14" t="n">
        <ns0:f>SUM(C10:N10)</ns0:f>
      </ns0:c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'销售费用'!C11+'管理费用'!C11+'蓝恐龙费用'!C11</ns0:f>
      </ns0:c>
      <ns0:c r="D11" s="14" t="n">
        <ns0:f>'销售费用'!D11+'管理费用'!D11+'蓝恐龙费用'!D11</ns0:f>
      </ns0:c>
      <ns0:c r="E11" s="14" t="n">
        <ns0:f>'销售费用'!E11+'管理费用'!E11+'蓝恐龙费用'!E11</ns0:f>
      </ns0:c>
      <ns0:c r="F11" s="14" t="n">
        <ns0:f>'销售费用'!F11+'管理费用'!F11+'蓝恐龙费用'!F11</ns0:f>
      </ns0:c>
      <ns0:c r="G11" s="14" t="n">
        <ns0:f>'销售费用'!G11+'管理费用'!G11+'蓝恐龙费用'!G11</ns0:f>
      </ns0:c>
      <ns0:c r="H11" s="14" t="n">
        <ns0:f>'销售费用'!H11+'管理费用'!H11+'蓝恐龙费用'!H11</ns0:f>
      </ns0:c>
      <ns0:c r="I11" s="14" t="n">
        <ns0:f>'销售费用'!I11+'管理费用'!I11+'蓝恐龙费用'!I11</ns0:f>
      </ns0:c>
      <ns0:c r="J11" s="14" t="n">
        <ns0:f>'销售费用'!J11+'管理费用'!J11+'蓝恐龙费用'!J11</ns0:f>
      </ns0:c>
      <ns0:c r="K11" s="14" t="n">
        <ns0:f>'销售费用'!K11+'管理费用'!K11+'蓝恐龙费用'!K11</ns0:f>
      </ns0:c>
      <ns0:c r="L11" s="14" t="n">
        <ns0:f>'销售费用'!L11+'管理费用'!L11+'蓝恐龙费用'!L11</ns0:f>
      </ns0:c>
      <ns0:c r="M11" s="14" t="n">
        <ns0:f>'销售费用'!M11+'管理费用'!M11+'蓝恐龙费用'!M11</ns0:f>
      </ns0:c>
      <ns0:c r="N11" s="14" t="n">
        <ns0:f>'销售费用'!N11+'管理费用'!N11+'蓝恐龙费用'!N11</ns0:f>
      </ns0:c>
      <ns0:c r="O11" s="14" t="n">
        <ns0:f>SUM(C11:N11)</ns0:f>
      </ns0:c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'销售费用'!C12+'管理费用'!C12+'蓝恐龙费用'!C12</ns0:f>
      </ns0:c>
      <ns0:c r="D12" s="14" t="n">
        <ns0:f>'销售费用'!D12+'管理费用'!D12+'蓝恐龙费用'!D12</ns0:f>
      </ns0:c>
      <ns0:c r="E12" s="14" t="n">
        <ns0:f>'销售费用'!E12+'管理费用'!E12+'蓝恐龙费用'!E12</ns0:f>
      </ns0:c>
      <ns0:c r="F12" s="14" t="n">
        <ns0:f>'销售费用'!F12+'管理费用'!F12+'蓝恐龙费用'!F12</ns0:f>
      </ns0:c>
      <ns0:c r="G12" s="14" t="n">
        <ns0:f>'销售费用'!G12+'管理费用'!G12+'蓝恐龙费用'!G12</ns0:f>
      </ns0:c>
      <ns0:c r="H12" s="14" t="n">
        <ns0:f>'销售费用'!H12+'管理费用'!H12+'蓝恐龙费用'!H12</ns0:f>
      </ns0:c>
      <ns0:c r="I12" s="14" t="n">
        <ns0:f>'销售费用'!I12+'管理费用'!I12+'蓝恐龙费用'!I12</ns0:f>
      </ns0:c>
      <ns0:c r="J12" s="14" t="n">
        <ns0:f>'销售费用'!J12+'管理费用'!J12+'蓝恐龙费用'!J12</ns0:f>
      </ns0:c>
      <ns0:c r="K12" s="14" t="n">
        <ns0:f>'销售费用'!K12+'管理费用'!K12+'蓝恐龙费用'!K12</ns0:f>
      </ns0:c>
      <ns0:c r="L12" s="14" t="n">
        <ns0:f>'销售费用'!L12+'管理费用'!L12+'蓝恐龙费用'!L12</ns0:f>
      </ns0:c>
      <ns0:c r="M12" s="14" t="n">
        <ns0:f>'销售费用'!M12+'管理费用'!M12+'蓝恐龙费用'!M12</ns0:f>
      </ns0:c>
      <ns0:c r="N12" s="14" t="n">
        <ns0:f>'销售费用'!N12+'管理费用'!N12+'蓝恐龙费用'!N12</ns0:f>
      </ns0:c>
      <ns0:c r="O12" s="14" t="n">
        <ns0:f>SUM(C12:N12)</ns0:f>
      </ns0:c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'销售费用'!C13+'管理费用'!C13+'蓝恐龙费用'!C13</ns0:f>
      </ns0:c>
      <ns0:c r="D13" s="14" t="n">
        <ns0:f>'销售费用'!D13+'管理费用'!D13+'蓝恐龙费用'!D13</ns0:f>
      </ns0:c>
      <ns0:c r="E13" s="14" t="n">
        <ns0:f>'销售费用'!E13+'管理费用'!E13+'蓝恐龙费用'!E13</ns0:f>
      </ns0:c>
      <ns0:c r="F13" s="14" t="n">
        <ns0:f>'销售费用'!F13+'管理费用'!F13+'蓝恐龙费用'!F13</ns0:f>
      </ns0:c>
      <ns0:c r="G13" s="14" t="n">
        <ns0:f>'销售费用'!G13+'管理费用'!G13+'蓝恐龙费用'!G13</ns0:f>
      </ns0:c>
      <ns0:c r="H13" s="14" t="n">
        <ns0:f>'销售费用'!H13+'管理费用'!H13+'蓝恐龙费用'!H13</ns0:f>
      </ns0:c>
      <ns0:c r="I13" s="14" t="n">
        <ns0:f>'销售费用'!I13+'管理费用'!I13+'蓝恐龙费用'!I13</ns0:f>
      </ns0:c>
      <ns0:c r="J13" s="14" t="n">
        <ns0:f>'销售费用'!J13+'管理费用'!J13+'蓝恐龙费用'!J13</ns0:f>
      </ns0:c>
      <ns0:c r="K13" s="14" t="n">
        <ns0:f>'销售费用'!K13+'管理费用'!K13+'蓝恐龙费用'!K13</ns0:f>
      </ns0:c>
      <ns0:c r="L13" s="14" t="n">
        <ns0:f>'销售费用'!L13+'管理费用'!L13+'蓝恐龙费用'!L13</ns0:f>
      </ns0:c>
      <ns0:c r="M13" s="14" t="n">
        <ns0:f>'销售费用'!M13+'管理费用'!M13+'蓝恐龙费用'!M13</ns0:f>
      </ns0:c>
      <ns0:c r="N13" s="14" t="n">
        <ns0:f>'销售费用'!N13+'管理费用'!N13+'蓝恐龙费用'!N13</ns0:f>
      </ns0:c>
      <ns0:c r="O13" s="14" t="n">
        <ns0:f>SUM(C13:N13)</ns0:f>
      </ns0:c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'销售费用'!C14+'管理费用'!C14+'蓝恐龙费用'!C14</ns0:f>
      </ns0:c>
      <ns0:c r="D14" s="14" t="n">
        <ns0:f>'销售费用'!D14+'管理费用'!D14+'蓝恐龙费用'!D14</ns0:f>
      </ns0:c>
      <ns0:c r="E14" s="14" t="n">
        <ns0:f>'销售费用'!E14+'管理费用'!E14+'蓝恐龙费用'!E14</ns0:f>
      </ns0:c>
      <ns0:c r="F14" s="14" t="n">
        <ns0:f>'销售费用'!F14+'管理费用'!F14+'蓝恐龙费用'!F14</ns0:f>
      </ns0:c>
      <ns0:c r="G14" s="14" t="n">
        <ns0:f>'销售费用'!G14+'管理费用'!G14+'蓝恐龙费用'!G14</ns0:f>
      </ns0:c>
      <ns0:c r="H14" s="14" t="n">
        <ns0:f>'销售费用'!H14+'管理费用'!H14+'蓝恐龙费用'!H14</ns0:f>
      </ns0:c>
      <ns0:c r="I14" s="14" t="n">
        <ns0:f>'销售费用'!I14+'管理费用'!I14+'蓝恐龙费用'!I14</ns0:f>
      </ns0:c>
      <ns0:c r="J14" s="14" t="n">
        <ns0:f>'销售费用'!J14+'管理费用'!J14+'蓝恐龙费用'!J14</ns0:f>
      </ns0:c>
      <ns0:c r="K14" s="14" t="n">
        <ns0:f>'销售费用'!K14+'管理费用'!K14+'蓝恐龙费用'!K14</ns0:f>
      </ns0:c>
      <ns0:c r="L14" s="14" t="n">
        <ns0:f>'销售费用'!L14+'管理费用'!L14+'蓝恐龙费用'!L14</ns0:f>
      </ns0:c>
      <ns0:c r="M14" s="14" t="n">
        <ns0:f>'销售费用'!M14+'管理费用'!M14+'蓝恐龙费用'!M14</ns0:f>
      </ns0:c>
      <ns0:c r="N14" s="14" t="n">
        <ns0:f>'销售费用'!N14+'管理费用'!N14+'蓝恐龙费用'!N14</ns0:f>
      </ns0:c>
      <ns0:c r="O14" s="14" t="n">
        <ns0:f>SUM(C14:N14)</ns0:f>
      </ns0:c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'销售费用'!C15+'管理费用'!C15+'蓝恐龙费用'!C15</ns0:f>
      </ns0:c>
      <ns0:c r="D15" s="14" t="n">
        <ns0:f>'销售费用'!D15+'管理费用'!D15+'蓝恐龙费用'!D15</ns0:f>
      </ns0:c>
      <ns0:c r="E15" s="14" t="n">
        <ns0:f>'销售费用'!E15+'管理费用'!E15+'蓝恐龙费用'!E15</ns0:f>
      </ns0:c>
      <ns0:c r="F15" s="14" t="n">
        <ns0:f>'销售费用'!F15+'管理费用'!F15+'蓝恐龙费用'!F15</ns0:f>
      </ns0:c>
      <ns0:c r="G15" s="14" t="n">
        <ns0:f>'销售费用'!G15+'管理费用'!G15+'蓝恐龙费用'!G15</ns0:f>
      </ns0:c>
      <ns0:c r="H15" s="14" t="n">
        <ns0:f>'销售费用'!H15+'管理费用'!H15+'蓝恐龙费用'!H15</ns0:f>
      </ns0:c>
      <ns0:c r="I15" s="14" t="n">
        <ns0:f>'销售费用'!I15+'管理费用'!I15+'蓝恐龙费用'!I15</ns0:f>
      </ns0:c>
      <ns0:c r="J15" s="14" t="n">
        <ns0:f>'销售费用'!J15+'管理费用'!J15+'蓝恐龙费用'!J15</ns0:f>
      </ns0:c>
      <ns0:c r="K15" s="14" t="n">
        <ns0:f>'销售费用'!K15+'管理费用'!K15+'蓝恐龙费用'!K15</ns0:f>
      </ns0:c>
      <ns0:c r="L15" s="14" t="n">
        <ns0:f>'销售费用'!L15+'管理费用'!L15+'蓝恐龙费用'!L15</ns0:f>
      </ns0:c>
      <ns0:c r="M15" s="14" t="n">
        <ns0:f>'销售费用'!M15+'管理费用'!M15+'蓝恐龙费用'!M15</ns0:f>
      </ns0:c>
      <ns0:c r="N15" s="14" t="n">
        <ns0:f>'销售费用'!N15+'管理费用'!N15+'蓝恐龙费用'!N15</ns0:f>
      </ns0:c>
      <ns0:c r="O15" s="14" t="n">
        <ns0:f>SUM(C15:N15)</ns0:f>
      </ns0:c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'销售费用'!C16+'管理费用'!C16+'蓝恐龙费用'!C16</ns0:f>
      </ns0:c>
      <ns0:c r="D16" s="14" t="n">
        <ns0:f>'销售费用'!D16+'管理费用'!D16+'蓝恐龙费用'!D16</ns0:f>
      </ns0:c>
      <ns0:c r="E16" s="14" t="n">
        <ns0:f>'销售费用'!E16+'管理费用'!E16+'蓝恐龙费用'!E16</ns0:f>
      </ns0:c>
      <ns0:c r="F16" s="14" t="n">
        <ns0:f>'销售费用'!F16+'管理费用'!F16+'蓝恐龙费用'!F16</ns0:f>
      </ns0:c>
      <ns0:c r="G16" s="14" t="n">
        <ns0:f>'销售费用'!G16+'管理费用'!G16+'蓝恐龙费用'!G16</ns0:f>
      </ns0:c>
      <ns0:c r="H16" s="14" t="n">
        <ns0:f>'销售费用'!H16+'管理费用'!H16+'蓝恐龙费用'!H16</ns0:f>
      </ns0:c>
      <ns0:c r="I16" s="14" t="n">
        <ns0:f>'销售费用'!I16+'管理费用'!I16+'蓝恐龙费用'!I16</ns0:f>
      </ns0:c>
      <ns0:c r="J16" s="14" t="n">
        <ns0:f>'销售费用'!J16+'管理费用'!J16+'蓝恐龙费用'!J16</ns0:f>
      </ns0:c>
      <ns0:c r="K16" s="14" t="n">
        <ns0:f>'销售费用'!K16+'管理费用'!K16+'蓝恐龙费用'!K16</ns0:f>
      </ns0:c>
      <ns0:c r="L16" s="14" t="n">
        <ns0:f>'销售费用'!L16+'管理费用'!L16+'蓝恐龙费用'!L16</ns0:f>
      </ns0:c>
      <ns0:c r="M16" s="14" t="n">
        <ns0:f>'销售费用'!M16+'管理费用'!M16+'蓝恐龙费用'!M16</ns0:f>
      </ns0:c>
      <ns0:c r="N16" s="14" t="n">
        <ns0:f>'销售费用'!N16+'管理费用'!N16+'蓝恐龙费用'!N16</ns0:f>
      </ns0:c>
      <ns0:c r="O16" s="14" t="n">
        <ns0:f>SUM(C16:N16)</ns0:f>
      </ns0:c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/>
      <ns0:c r="B17" s="13" t="str">
        <ns0:v>咨询服务费</ns0:v>
      </ns0:c>
      <ns0:c r="C17" s="14" t="n">
        <ns0:f>'销售费用'!C17+'管理费用'!C17+'蓝恐龙费用'!C17</ns0:f>
      </ns0:c>
      <ns0:c r="D17" s="14" t="n">
        <ns0:f>'销售费用'!D17+'管理费用'!D17+'蓝恐龙费用'!D17</ns0:f>
      </ns0:c>
      <ns0:c r="E17" s="14" t="n">
        <ns0:f>'销售费用'!E17+'管理费用'!E17+'蓝恐龙费用'!E17</ns0:f>
      </ns0:c>
      <ns0:c r="F17" s="14" t="n">
        <ns0:f>'销售费用'!F17+'管理费用'!F17+'蓝恐龙费用'!F17</ns0:f>
      </ns0:c>
      <ns0:c r="G17" s="14" t="n">
        <ns0:f>'销售费用'!G17+'管理费用'!G17+'蓝恐龙费用'!G17</ns0:f>
      </ns0:c>
      <ns0:c r="H17" s="14" t="n">
        <ns0:f>'销售费用'!H17+'管理费用'!H17+'蓝恐龙费用'!H17</ns0:f>
      </ns0:c>
      <ns0:c r="I17" s="14" t="n">
        <ns0:f>'销售费用'!I17+'管理费用'!I17+'蓝恐龙费用'!I17</ns0:f>
      </ns0:c>
      <ns0:c r="J17" s="14" t="n">
        <ns0:f>'销售费用'!J17+'管理费用'!J17+'蓝恐龙费用'!J17</ns0:f>
      </ns0:c>
      <ns0:c r="K17" s="14" t="n">
        <ns0:f>'销售费用'!K17+'管理费用'!K17+'蓝恐龙费用'!K17</ns0:f>
      </ns0:c>
      <ns0:c r="L17" s="14" t="n">
        <ns0:f>'销售费用'!L17+'管理费用'!L17+'蓝恐龙费用'!L17</ns0:f>
      </ns0:c>
      <ns0:c r="M17" s="14" t="n">
        <ns0:f>'销售费用'!M17+'管理费用'!M17+'蓝恐龙费用'!M17</ns0:f>
      </ns0:c>
      <ns0:c r="N17" s="14" t="n">
        <ns0:f>'销售费用'!N17+'管理费用'!N17+'蓝恐龙费用'!N17</ns0:f>
      </ns0:c>
      <ns0:c r="O17" s="14" t="n">
        <ns0:f>SUM(C17:N17)</ns0:f>
      </ns0:c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'销售费用'!C18+'管理费用'!C18+'蓝恐龙费用'!C18</ns0:f>
      </ns0:c>
      <ns0:c r="D18" s="14" t="n">
        <ns0:f>'销售费用'!D18+'管理费用'!D18+'蓝恐龙费用'!D18</ns0:f>
      </ns0:c>
      <ns0:c r="E18" s="14" t="n">
        <ns0:f>'销售费用'!E18+'管理费用'!E18+'蓝恐龙费用'!E18</ns0:f>
      </ns0:c>
      <ns0:c r="F18" s="14" t="n">
        <ns0:f>'销售费用'!F18+'管理费用'!F18+'蓝恐龙费用'!F18</ns0:f>
      </ns0:c>
      <ns0:c r="G18" s="14" t="n">
        <ns0:f>'销售费用'!G18+'管理费用'!G18+'蓝恐龙费用'!G18</ns0:f>
      </ns0:c>
      <ns0:c r="H18" s="14" t="n">
        <ns0:f>'销售费用'!H18+'管理费用'!H18+'蓝恐龙费用'!H18</ns0:f>
      </ns0:c>
      <ns0:c r="I18" s="14" t="n">
        <ns0:f>'销售费用'!I18+'管理费用'!I18+'蓝恐龙费用'!I18</ns0:f>
      </ns0:c>
      <ns0:c r="J18" s="14" t="n">
        <ns0:f>'销售费用'!J18+'管理费用'!J18+'蓝恐龙费用'!J18</ns0:f>
      </ns0:c>
      <ns0:c r="K18" s="14" t="n">
        <ns0:f>'销售费用'!K18+'管理费用'!K18+'蓝恐龙费用'!K18</ns0:f>
      </ns0:c>
      <ns0:c r="L18" s="14" t="n">
        <ns0:f>'销售费用'!L18+'管理费用'!L18+'蓝恐龙费用'!L18</ns0:f>
      </ns0:c>
      <ns0:c r="M18" s="14" t="n">
        <ns0:f>'销售费用'!M18+'管理费用'!M18+'蓝恐龙费用'!M18</ns0:f>
      </ns0:c>
      <ns0:c r="N18" s="14" t="n">
        <ns0:f>'销售费用'!N18+'管理费用'!N18+'蓝恐龙费用'!N18</ns0:f>
      </ns0:c>
      <ns0:c r="O18" s="14" t="n">
        <ns0:f>SUM(C18:N18)</ns0:f>
      </ns0:c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'销售费用'!C19+'管理费用'!C19+'蓝恐龙费用'!C19</ns0:f>
      </ns0:c>
      <ns0:c r="D19" s="14" t="n">
        <ns0:f>'销售费用'!D19+'管理费用'!D19+'蓝恐龙费用'!D19</ns0:f>
      </ns0:c>
      <ns0:c r="E19" s="14" t="n">
        <ns0:f>'销售费用'!E19+'管理费用'!E19+'蓝恐龙费用'!E19</ns0:f>
      </ns0:c>
      <ns0:c r="F19" s="14" t="n">
        <ns0:f>'销售费用'!F19+'管理费用'!F19+'蓝恐龙费用'!F19</ns0:f>
      </ns0:c>
      <ns0:c r="G19" s="14" t="n">
        <ns0:f>'销售费用'!G19+'管理费用'!G19+'蓝恐龙费用'!G19</ns0:f>
      </ns0:c>
      <ns0:c r="H19" s="14" t="n">
        <ns0:f>'销售费用'!H19+'管理费用'!H19+'蓝恐龙费用'!H19</ns0:f>
      </ns0:c>
      <ns0:c r="I19" s="14" t="n">
        <ns0:f>'销售费用'!I19+'管理费用'!I19+'蓝恐龙费用'!I19</ns0:f>
      </ns0:c>
      <ns0:c r="J19" s="14" t="n">
        <ns0:f>'销售费用'!J19+'管理费用'!J19+'蓝恐龙费用'!J19</ns0:f>
      </ns0:c>
      <ns0:c r="K19" s="14" t="n">
        <ns0:f>'销售费用'!K19+'管理费用'!K19+'蓝恐龙费用'!K19</ns0:f>
      </ns0:c>
      <ns0:c r="L19" s="14" t="n">
        <ns0:f>'销售费用'!L19+'管理费用'!L19+'蓝恐龙费用'!L19</ns0:f>
      </ns0:c>
      <ns0:c r="M19" s="14" t="n">
        <ns0:f>'销售费用'!M19+'管理费用'!M19+'蓝恐龙费用'!M19</ns0:f>
      </ns0:c>
      <ns0:c r="N19" s="14" t="n">
        <ns0:f>'销售费用'!N19+'管理费用'!N19+'蓝恐龙费用'!N19</ns0:f>
      </ns0:c>
      <ns0:c r="O19" s="14" t="n">
        <ns0:f>SUM(C19:N19)</ns0:f>
      </ns0:c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'销售费用'!C20+'管理费用'!C20+'蓝恐龙费用'!C20</ns0:f>
      </ns0:c>
      <ns0:c r="D20" s="14" t="n">
        <ns0:f>'销售费用'!D20+'管理费用'!D20+'蓝恐龙费用'!D20</ns0:f>
      </ns0:c>
      <ns0:c r="E20" s="14" t="n">
        <ns0:f>'销售费用'!E20+'管理费用'!E20+'蓝恐龙费用'!E20</ns0:f>
      </ns0:c>
      <ns0:c r="F20" s="14" t="n">
        <ns0:f>'销售费用'!F20+'管理费用'!F20+'蓝恐龙费用'!F20</ns0:f>
      </ns0:c>
      <ns0:c r="G20" s="14" t="n">
        <ns0:f>'销售费用'!G20+'管理费用'!G20+'蓝恐龙费用'!G20</ns0:f>
      </ns0:c>
      <ns0:c r="H20" s="14" t="n">
        <ns0:f>'销售费用'!H20+'管理费用'!H20+'蓝恐龙费用'!H20</ns0:f>
      </ns0:c>
      <ns0:c r="I20" s="14" t="n">
        <ns0:f>'销售费用'!I20+'管理费用'!I20+'蓝恐龙费用'!I20</ns0:f>
      </ns0:c>
      <ns0:c r="J20" s="14" t="n">
        <ns0:f>'销售费用'!J20+'管理费用'!J20+'蓝恐龙费用'!J20</ns0:f>
      </ns0:c>
      <ns0:c r="K20" s="14" t="n">
        <ns0:f>'销售费用'!K20+'管理费用'!K20+'蓝恐龙费用'!K20</ns0:f>
      </ns0:c>
      <ns0:c r="L20" s="14" t="n">
        <ns0:f>'销售费用'!L20+'管理费用'!L20+'蓝恐龙费用'!L20</ns0:f>
      </ns0:c>
      <ns0:c r="M20" s="14" t="n">
        <ns0:f>'销售费用'!M20+'管理费用'!M20+'蓝恐龙费用'!M20</ns0:f>
      </ns0:c>
      <ns0:c r="N20" s="14" t="n">
        <ns0:f>'销售费用'!N20+'管理费用'!N20+'蓝恐龙费用'!N20</ns0:f>
      </ns0:c>
      <ns0:c r="O20" s="14" t="n">
        <ns0:f>SUM(C20:N20)</ns0:f>
      </ns0:c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'销售费用'!C21+'管理费用'!C21+'蓝恐龙费用'!C21</ns0:f>
      </ns0:c>
      <ns0:c r="D21" s="14" t="n">
        <ns0:f>'销售费用'!D21+'管理费用'!D21+'蓝恐龙费用'!D21</ns0:f>
      </ns0:c>
      <ns0:c r="E21" s="14" t="n">
        <ns0:f>'销售费用'!E21+'管理费用'!E21+'蓝恐龙费用'!E21</ns0:f>
      </ns0:c>
      <ns0:c r="F21" s="14" t="n">
        <ns0:f>'销售费用'!F21+'管理费用'!F21+'蓝恐龙费用'!F21</ns0:f>
      </ns0:c>
      <ns0:c r="G21" s="14" t="n">
        <ns0:f>'销售费用'!G21+'管理费用'!G21+'蓝恐龙费用'!G21</ns0:f>
      </ns0:c>
      <ns0:c r="H21" s="14" t="n">
        <ns0:f>'销售费用'!H21+'管理费用'!H21+'蓝恐龙费用'!H21</ns0:f>
      </ns0:c>
      <ns0:c r="I21" s="14" t="n">
        <ns0:f>'销售费用'!I21+'管理费用'!I21+'蓝恐龙费用'!I21</ns0:f>
      </ns0:c>
      <ns0:c r="J21" s="14" t="n">
        <ns0:f>'销售费用'!J21+'管理费用'!J21+'蓝恐龙费用'!J21</ns0:f>
      </ns0:c>
      <ns0:c r="K21" s="14" t="n">
        <ns0:f>'销售费用'!K21+'管理费用'!K21+'蓝恐龙费用'!K21</ns0:f>
      </ns0:c>
      <ns0:c r="L21" s="14" t="n">
        <ns0:f>'销售费用'!L21+'管理费用'!L21+'蓝恐龙费用'!L21</ns0:f>
      </ns0:c>
      <ns0:c r="M21" s="14" t="n">
        <ns0:f>'销售费用'!M21+'管理费用'!M21+'蓝恐龙费用'!M21</ns0:f>
      </ns0:c>
      <ns0:c r="N21" s="14" t="n">
        <ns0:f>'销售费用'!N21+'管理费用'!N21+'蓝恐龙费用'!N21</ns0:f>
      </ns0:c>
      <ns0:c r="O21" s="14" t="n">
        <ns0:f>SUM(C21:N21)</ns0:f>
      </ns0:c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'销售费用'!C22+'管理费用'!C22+'蓝恐龙费用'!C22</ns0:f>
      </ns0:c>
      <ns0:c r="D22" s="14" t="n">
        <ns0:f>'销售费用'!D22+'管理费用'!D22+'蓝恐龙费用'!D22</ns0:f>
      </ns0:c>
      <ns0:c r="E22" s="14" t="n">
        <ns0:f>'销售费用'!E22+'管理费用'!E22+'蓝恐龙费用'!E22</ns0:f>
      </ns0:c>
      <ns0:c r="F22" s="14" t="n">
        <ns0:f>'销售费用'!F22+'管理费用'!F22+'蓝恐龙费用'!F22</ns0:f>
      </ns0:c>
      <ns0:c r="G22" s="14" t="n">
        <ns0:f>'销售费用'!G22+'管理费用'!G22+'蓝恐龙费用'!G22</ns0:f>
      </ns0:c>
      <ns0:c r="H22" s="14" t="n">
        <ns0:f>'销售费用'!H22+'管理费用'!H22+'蓝恐龙费用'!H22</ns0:f>
      </ns0:c>
      <ns0:c r="I22" s="14" t="n">
        <ns0:f>'销售费用'!I22+'管理费用'!I22+'蓝恐龙费用'!I22</ns0:f>
      </ns0:c>
      <ns0:c r="J22" s="14" t="n">
        <ns0:f>'销售费用'!J22+'管理费用'!J22+'蓝恐龙费用'!J22</ns0:f>
      </ns0:c>
      <ns0:c r="K22" s="14" t="n">
        <ns0:f>'销售费用'!K22+'管理费用'!K22+'蓝恐龙费用'!K22</ns0:f>
      </ns0:c>
      <ns0:c r="L22" s="14" t="n">
        <ns0:f>'销售费用'!L22+'管理费用'!L22+'蓝恐龙费用'!L22</ns0:f>
      </ns0:c>
      <ns0:c r="M22" s="14" t="n">
        <ns0:f>'销售费用'!M22+'管理费用'!M22+'蓝恐龙费用'!M22</ns0:f>
      </ns0:c>
      <ns0:c r="N22" s="14" t="n">
        <ns0:f>'销售费用'!N22+'管理费用'!N22+'蓝恐龙费用'!N22</ns0:f>
      </ns0:c>
      <ns0:c r="O22" s="14" t="n">
        <ns0:f>SUM(C22:N22)</ns0:f>
      </ns0:c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'销售费用'!C23+'管理费用'!C23+'蓝恐龙费用'!C23</ns0:f>
      </ns0:c>
      <ns0:c r="D23" s="14" t="n">
        <ns0:f>'销售费用'!D23+'管理费用'!D23+'蓝恐龙费用'!D23</ns0:f>
      </ns0:c>
      <ns0:c r="E23" s="14" t="n">
        <ns0:f>'销售费用'!E23+'管理费用'!E23+'蓝恐龙费用'!E23</ns0:f>
      </ns0:c>
      <ns0:c r="F23" s="14" t="n">
        <ns0:f>'销售费用'!F23+'管理费用'!F23+'蓝恐龙费用'!F23</ns0:f>
      </ns0:c>
      <ns0:c r="G23" s="14" t="n">
        <ns0:f>'销售费用'!G23+'管理费用'!G23+'蓝恐龙费用'!G23</ns0:f>
      </ns0:c>
      <ns0:c r="H23" s="14" t="n">
        <ns0:f>'销售费用'!H23+'管理费用'!H23+'蓝恐龙费用'!H23</ns0:f>
      </ns0:c>
      <ns0:c r="I23" s="14" t="n">
        <ns0:f>'销售费用'!I23+'管理费用'!I23+'蓝恐龙费用'!I23</ns0:f>
      </ns0:c>
      <ns0:c r="J23" s="14" t="n">
        <ns0:f>'销售费用'!J23+'管理费用'!J23+'蓝恐龙费用'!J23</ns0:f>
      </ns0:c>
      <ns0:c r="K23" s="14" t="n">
        <ns0:f>'销售费用'!K23+'管理费用'!K23+'蓝恐龙费用'!K23</ns0:f>
      </ns0:c>
      <ns0:c r="L23" s="14" t="n">
        <ns0:f>'销售费用'!L23+'管理费用'!L23+'蓝恐龙费用'!L23</ns0:f>
      </ns0:c>
      <ns0:c r="M23" s="14" t="n">
        <ns0:f>'销售费用'!M23+'管理费用'!M23+'蓝恐龙费用'!M23</ns0:f>
      </ns0:c>
      <ns0:c r="N23" s="14" t="n">
        <ns0:f>'销售费用'!N23+'管理费用'!N23+'蓝恐龙费用'!N23</ns0:f>
      </ns0:c>
      <ns0:c r="O23" s="14" t="n">
        <ns0:f>SUM(C23:N23)</ns0:f>
      </ns0:c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'销售费用'!C24+'管理费用'!C24+'蓝恐龙费用'!C24</ns0:f>
      </ns0:c>
      <ns0:c r="D24" s="14" t="n">
        <ns0:f>'销售费用'!D24+'管理费用'!D24+'蓝恐龙费用'!D24</ns0:f>
      </ns0:c>
      <ns0:c r="E24" s="14" t="n">
        <ns0:f>'销售费用'!E24+'管理费用'!E24+'蓝恐龙费用'!E24</ns0:f>
      </ns0:c>
      <ns0:c r="F24" s="14" t="n">
        <ns0:f>'销售费用'!F24+'管理费用'!F24+'蓝恐龙费用'!F24</ns0:f>
      </ns0:c>
      <ns0:c r="G24" s="14" t="n">
        <ns0:f>'销售费用'!G24+'管理费用'!G24+'蓝恐龙费用'!G24</ns0:f>
      </ns0:c>
      <ns0:c r="H24" s="14" t="n">
        <ns0:f>'销售费用'!H24+'管理费用'!H24+'蓝恐龙费用'!H24</ns0:f>
      </ns0:c>
      <ns0:c r="I24" s="14" t="n">
        <ns0:f>'销售费用'!I24+'管理费用'!I24+'蓝恐龙费用'!I24</ns0:f>
      </ns0:c>
      <ns0:c r="J24" s="14" t="n">
        <ns0:f>'销售费用'!J24+'管理费用'!J24+'蓝恐龙费用'!J24</ns0:f>
      </ns0:c>
      <ns0:c r="K24" s="14" t="n">
        <ns0:f>'销售费用'!K24+'管理费用'!K24+'蓝恐龙费用'!K24</ns0:f>
      </ns0:c>
      <ns0:c r="L24" s="14" t="n">
        <ns0:f>'销售费用'!L24+'管理费用'!L24+'蓝恐龙费用'!L24</ns0:f>
      </ns0:c>
      <ns0:c r="M24" s="14" t="n">
        <ns0:f>'销售费用'!M24+'管理费用'!M24+'蓝恐龙费用'!M24</ns0:f>
      </ns0:c>
      <ns0:c r="N24" s="14" t="n">
        <ns0:f>'销售费用'!N24+'管理费用'!N24+'蓝恐龙费用'!N24</ns0:f>
      </ns0:c>
      <ns0:c r="O24" s="14" t="n">
        <ns0:f>SUM(C24:N24)</ns0:f>
      </ns0:c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'销售费用'!C25+'管理费用'!C25+'蓝恐龙费用'!C25</ns0:f>
      </ns0:c>
      <ns0:c r="D25" s="14" t="n">
        <ns0:f>'销售费用'!D25+'管理费用'!D25+'蓝恐龙费用'!D25</ns0:f>
      </ns0:c>
      <ns0:c r="E25" s="14" t="n">
        <ns0:f>'销售费用'!E25+'管理费用'!E25+'蓝恐龙费用'!E25</ns0:f>
      </ns0:c>
      <ns0:c r="F25" s="14" t="n">
        <ns0:f>'销售费用'!F25+'管理费用'!F25+'蓝恐龙费用'!F25</ns0:f>
      </ns0:c>
      <ns0:c r="G25" s="14" t="n">
        <ns0:f>'销售费用'!G25+'管理费用'!G25+'蓝恐龙费用'!G25</ns0:f>
      </ns0:c>
      <ns0:c r="H25" s="14" t="n">
        <ns0:f>'销售费用'!H25+'管理费用'!H25+'蓝恐龙费用'!H25</ns0:f>
      </ns0:c>
      <ns0:c r="I25" s="14" t="n">
        <ns0:f>'销售费用'!I25+'管理费用'!I25+'蓝恐龙费用'!I25</ns0:f>
      </ns0:c>
      <ns0:c r="J25" s="14" t="n">
        <ns0:f>'销售费用'!J25+'管理费用'!J25+'蓝恐龙费用'!J25</ns0:f>
      </ns0:c>
      <ns0:c r="K25" s="14" t="n">
        <ns0:f>'销售费用'!K25+'管理费用'!K25+'蓝恐龙费用'!K25</ns0:f>
      </ns0:c>
      <ns0:c r="L25" s="14" t="n">
        <ns0:f>'销售费用'!L25+'管理费用'!L25+'蓝恐龙费用'!L25</ns0:f>
      </ns0:c>
      <ns0:c r="M25" s="14" t="n">
        <ns0:f>'销售费用'!M25+'管理费用'!M25+'蓝恐龙费用'!M25</ns0:f>
      </ns0:c>
      <ns0:c r="N25" s="14" t="n">
        <ns0:f>'销售费用'!N25+'管理费用'!N25+'蓝恐龙费用'!N25</ns0:f>
      </ns0:c>
      <ns0:c r="O25" s="14" t="n">
        <ns0:f>SUM(C25:N25)</ns0:f>
      </ns0:c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'销售费用'!C26+'管理费用'!C26+'蓝恐龙费用'!C26</ns0:f>
      </ns0:c>
      <ns0:c r="D26" s="14" t="n">
        <ns0:f>'销售费用'!D26+'管理费用'!D26+'蓝恐龙费用'!D26</ns0:f>
      </ns0:c>
      <ns0:c r="E26" s="14" t="n">
        <ns0:f>'销售费用'!E26+'管理费用'!E26+'蓝恐龙费用'!E26</ns0:f>
      </ns0:c>
      <ns0:c r="F26" s="14" t="n">
        <ns0:f>'销售费用'!F26+'管理费用'!F26+'蓝恐龙费用'!F26</ns0:f>
      </ns0:c>
      <ns0:c r="G26" s="14" t="n">
        <ns0:f>'销售费用'!G26+'管理费用'!G26+'蓝恐龙费用'!G26</ns0:f>
      </ns0:c>
      <ns0:c r="H26" s="14" t="n">
        <ns0:f>'销售费用'!H26+'管理费用'!H26+'蓝恐龙费用'!H26</ns0:f>
      </ns0:c>
      <ns0:c r="I26" s="14" t="n">
        <ns0:f>'销售费用'!I26+'管理费用'!I26+'蓝恐龙费用'!I26</ns0:f>
      </ns0:c>
      <ns0:c r="J26" s="14" t="n">
        <ns0:f>'销售费用'!J26+'管理费用'!J26+'蓝恐龙费用'!J26</ns0:f>
      </ns0:c>
      <ns0:c r="K26" s="14" t="n">
        <ns0:f>'销售费用'!K26+'管理费用'!K26+'蓝恐龙费用'!K26</ns0:f>
      </ns0:c>
      <ns0:c r="L26" s="14" t="n">
        <ns0:f>'销售费用'!L26+'管理费用'!L26+'蓝恐龙费用'!L26</ns0:f>
      </ns0:c>
      <ns0:c r="M26" s="14" t="n">
        <ns0:f>'销售费用'!M26+'管理费用'!M26+'蓝恐龙费用'!M26</ns0:f>
      </ns0:c>
      <ns0:c r="N26" s="14" t="n">
        <ns0:f>'销售费用'!N26+'管理费用'!N26+'蓝恐龙费用'!N26</ns0:f>
      </ns0:c>
      <ns0:c r="O26" s="14" t="n">
        <ns0:f>SUM(C26:N26)</ns0:f>
      </ns0:c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'销售费用'!C27+'管理费用'!C27+'蓝恐龙费用'!C27</ns0:f>
      </ns0:c>
      <ns0:c r="D27" s="14" t="n">
        <ns0:f>'销售费用'!D27+'管理费用'!D27+'蓝恐龙费用'!D27</ns0:f>
      </ns0:c>
      <ns0:c r="E27" s="14" t="n">
        <ns0:f>'销售费用'!E27+'管理费用'!E27+'蓝恐龙费用'!E27</ns0:f>
      </ns0:c>
      <ns0:c r="F27" s="14" t="n">
        <ns0:f>'销售费用'!F27+'管理费用'!F27+'蓝恐龙费用'!F27</ns0:f>
      </ns0:c>
      <ns0:c r="G27" s="14" t="n">
        <ns0:f>'销售费用'!G27+'管理费用'!G27+'蓝恐龙费用'!G27</ns0:f>
      </ns0:c>
      <ns0:c r="H27" s="14" t="n">
        <ns0:f>'销售费用'!H27+'管理费用'!H27+'蓝恐龙费用'!H27</ns0:f>
      </ns0:c>
      <ns0:c r="I27" s="14" t="n">
        <ns0:f>'销售费用'!I27+'管理费用'!I27+'蓝恐龙费用'!I27</ns0:f>
      </ns0:c>
      <ns0:c r="J27" s="14" t="n">
        <ns0:f>'销售费用'!J27+'管理费用'!J27+'蓝恐龙费用'!J27</ns0:f>
      </ns0:c>
      <ns0:c r="K27" s="14" t="n">
        <ns0:f>'销售费用'!K27+'管理费用'!K27+'蓝恐龙费用'!K27</ns0:f>
      </ns0:c>
      <ns0:c r="L27" s="14" t="n">
        <ns0:f>'销售费用'!L27+'管理费用'!L27+'蓝恐龙费用'!L27</ns0:f>
      </ns0:c>
      <ns0:c r="M27" s="14" t="n">
        <ns0:f>'销售费用'!M27+'管理费用'!M27+'蓝恐龙费用'!M27</ns0:f>
      </ns0:c>
      <ns0:c r="N27" s="14" t="n">
        <ns0:f>'销售费用'!N27+'管理费用'!N27+'蓝恐龙费用'!N27</ns0:f>
      </ns0:c>
      <ns0:c r="O27" s="14" t="n">
        <ns0:f>SUM(C27:N27)</ns0:f>
      </ns0:c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'销售费用'!C28+'管理费用'!C28+'蓝恐龙费用'!C28</ns0:f>
      </ns0:c>
      <ns0:c r="D28" s="14" t="n">
        <ns0:f>'销售费用'!D28+'管理费用'!D28+'蓝恐龙费用'!D28</ns0:f>
      </ns0:c>
      <ns0:c r="E28" s="14" t="n">
        <ns0:f>'销售费用'!E28+'管理费用'!E28+'蓝恐龙费用'!E28</ns0:f>
      </ns0:c>
      <ns0:c r="F28" s="14" t="n">
        <ns0:f>'销售费用'!F28+'管理费用'!F28+'蓝恐龙费用'!F28</ns0:f>
      </ns0:c>
      <ns0:c r="G28" s="14" t="n">
        <ns0:f>'销售费用'!G28+'管理费用'!G28+'蓝恐龙费用'!G28</ns0:f>
      </ns0:c>
      <ns0:c r="H28" s="14" t="n">
        <ns0:f>'销售费用'!H28+'管理费用'!H28+'蓝恐龙费用'!H28</ns0:f>
      </ns0:c>
      <ns0:c r="I28" s="14" t="n">
        <ns0:f>'销售费用'!I28+'管理费用'!I28+'蓝恐龙费用'!I28</ns0:f>
      </ns0:c>
      <ns0:c r="J28" s="14" t="n">
        <ns0:f>'销售费用'!J28+'管理费用'!J28+'蓝恐龙费用'!J28</ns0:f>
      </ns0:c>
      <ns0:c r="K28" s="14" t="n">
        <ns0:f>'销售费用'!K28+'管理费用'!K28+'蓝恐龙费用'!K28</ns0:f>
      </ns0:c>
      <ns0:c r="L28" s="14" t="n">
        <ns0:f>'销售费用'!L28+'管理费用'!L28+'蓝恐龙费用'!L28</ns0:f>
      </ns0:c>
      <ns0:c r="M28" s="14" t="n">
        <ns0:f>'销售费用'!M28+'管理费用'!M28+'蓝恐龙费用'!M28</ns0:f>
      </ns0:c>
      <ns0:c r="N28" s="14" t="n">
        <ns0:f>'销售费用'!N28+'管理费用'!N28+'蓝恐龙费用'!N28</ns0:f>
      </ns0:c>
      <ns0:c r="O28" s="14" t="n">
        <ns0:f>SUM(C28:N28)</ns0:f>
      </ns0:c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'销售费用'!C29+'管理费用'!C29+'蓝恐龙费用'!C29</ns0:f>
      </ns0:c>
      <ns0:c r="D29" s="14" t="n">
        <ns0:f>'销售费用'!D29+'管理费用'!D29+'蓝恐龙费用'!D29</ns0:f>
      </ns0:c>
      <ns0:c r="E29" s="14" t="n">
        <ns0:f>'销售费用'!E29+'管理费用'!E29+'蓝恐龙费用'!E29</ns0:f>
      </ns0:c>
      <ns0:c r="F29" s="14" t="n">
        <ns0:f>'销售费用'!F29+'管理费用'!F29+'蓝恐龙费用'!F29</ns0:f>
      </ns0:c>
      <ns0:c r="G29" s="14" t="n">
        <ns0:f>'销售费用'!G29+'管理费用'!G29+'蓝恐龙费用'!G29</ns0:f>
      </ns0:c>
      <ns0:c r="H29" s="14" t="n">
        <ns0:f>'销售费用'!H29+'管理费用'!H29+'蓝恐龙费用'!H29</ns0:f>
      </ns0:c>
      <ns0:c r="I29" s="14" t="n">
        <ns0:f>'销售费用'!I29+'管理费用'!I29+'蓝恐龙费用'!I29</ns0:f>
      </ns0:c>
      <ns0:c r="J29" s="14" t="n">
        <ns0:f>'销售费用'!J29+'管理费用'!J29+'蓝恐龙费用'!J29</ns0:f>
      </ns0:c>
      <ns0:c r="K29" s="14" t="n">
        <ns0:f>'销售费用'!K29+'管理费用'!K29+'蓝恐龙费用'!K29</ns0:f>
      </ns0:c>
      <ns0:c r="L29" s="14" t="n">
        <ns0:f>'销售费用'!L29+'管理费用'!L29+'蓝恐龙费用'!L29</ns0:f>
      </ns0:c>
      <ns0:c r="M29" s="14" t="n">
        <ns0:f>'销售费用'!M29+'管理费用'!M29+'蓝恐龙费用'!M29</ns0:f>
      </ns0:c>
      <ns0:c r="N29" s="14" t="n">
        <ns0:f>'销售费用'!N29+'管理费用'!N29+'蓝恐龙费用'!N29</ns0:f>
      </ns0:c>
      <ns0:c r="O29" s="14" t="n">
        <ns0:f>SUM(C29:N29)</ns0:f>
      </ns0:c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'销售费用'!C30+'管理费用'!C30+'蓝恐龙费用'!C30</ns0:f>
      </ns0:c>
      <ns0:c r="D30" s="14" t="n">
        <ns0:f>'销售费用'!D30+'管理费用'!D30+'蓝恐龙费用'!D30</ns0:f>
      </ns0:c>
      <ns0:c r="E30" s="14" t="n">
        <ns0:f>'销售费用'!E30+'管理费用'!E30+'蓝恐龙费用'!E30</ns0:f>
      </ns0:c>
      <ns0:c r="F30" s="14" t="n">
        <ns0:f>'销售费用'!F30+'管理费用'!F30+'蓝恐龙费用'!F30</ns0:f>
      </ns0:c>
      <ns0:c r="G30" s="14" t="n">
        <ns0:f>'销售费用'!G30+'管理费用'!G30+'蓝恐龙费用'!G30</ns0:f>
      </ns0:c>
      <ns0:c r="H30" s="14" t="n">
        <ns0:f>'销售费用'!H30+'管理费用'!H30+'蓝恐龙费用'!H30</ns0:f>
      </ns0:c>
      <ns0:c r="I30" s="14" t="n">
        <ns0:f>'销售费用'!I30+'管理费用'!I30+'蓝恐龙费用'!I30</ns0:f>
      </ns0:c>
      <ns0:c r="J30" s="14" t="n">
        <ns0:f>'销售费用'!J30+'管理费用'!J30+'蓝恐龙费用'!J30</ns0:f>
      </ns0:c>
      <ns0:c r="K30" s="14" t="n">
        <ns0:f>'销售费用'!K30+'管理费用'!K30+'蓝恐龙费用'!K30</ns0:f>
      </ns0:c>
      <ns0:c r="L30" s="14" t="n">
        <ns0:f>'销售费用'!L30+'管理费用'!L30+'蓝恐龙费用'!L30</ns0:f>
      </ns0:c>
      <ns0:c r="M30" s="14" t="n">
        <ns0:f>'销售费用'!M30+'管理费用'!M30+'蓝恐龙费用'!M30</ns0:f>
      </ns0:c>
      <ns0:c r="N30" s="14" t="n">
        <ns0:f>'销售费用'!N30+'管理费用'!N30+'蓝恐龙费用'!N30</ns0:f>
      </ns0:c>
      <ns0:c r="O30" s="14" t="n">
        <ns0:f>SUM(C30:N30)</ns0:f>
      </ns0:c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'销售费用'!C31+'管理费用'!C31+'蓝恐龙费用'!C31</ns0:f>
      </ns0:c>
      <ns0:c r="D31" s="14" t="n">
        <ns0:f>'销售费用'!D31+'管理费用'!D31+'蓝恐龙费用'!D31</ns0:f>
      </ns0:c>
      <ns0:c r="E31" s="14" t="n">
        <ns0:f>'销售费用'!E31+'管理费用'!E31+'蓝恐龙费用'!E31</ns0:f>
      </ns0:c>
      <ns0:c r="F31" s="14" t="n">
        <ns0:f>'销售费用'!F31+'管理费用'!F31+'蓝恐龙费用'!F31</ns0:f>
      </ns0:c>
      <ns0:c r="G31" s="14" t="n">
        <ns0:f>'销售费用'!G31+'管理费用'!G31+'蓝恐龙费用'!G31</ns0:f>
      </ns0:c>
      <ns0:c r="H31" s="14" t="n">
        <ns0:f>'销售费用'!H31+'管理费用'!H31+'蓝恐龙费用'!H31</ns0:f>
      </ns0:c>
      <ns0:c r="I31" s="14" t="n">
        <ns0:f>'销售费用'!I31+'管理费用'!I31+'蓝恐龙费用'!I31</ns0:f>
      </ns0:c>
      <ns0:c r="J31" s="14" t="n">
        <ns0:f>'销售费用'!J31+'管理费用'!J31+'蓝恐龙费用'!J31</ns0:f>
      </ns0:c>
      <ns0:c r="K31" s="14" t="n">
        <ns0:f>'销售费用'!K31+'管理费用'!K31+'蓝恐龙费用'!K31</ns0:f>
      </ns0:c>
      <ns0:c r="L31" s="14" t="n">
        <ns0:f>'销售费用'!L31+'管理费用'!L31+'蓝恐龙费用'!L31</ns0:f>
      </ns0:c>
      <ns0:c r="M31" s="14" t="n">
        <ns0:f>'销售费用'!M31+'管理费用'!M31+'蓝恐龙费用'!M31</ns0:f>
      </ns0:c>
      <ns0:c r="N31" s="14" t="n">
        <ns0:f>'销售费用'!N31+'管理费用'!N31+'蓝恐龙费用'!N31</ns0:f>
      </ns0:c>
      <ns0:c r="O31" s="14" t="n">
        <ns0:f>SUM(C31:N31)</ns0:f>
      </ns0:c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'销售费用'!C32+'管理费用'!C32+'蓝恐龙费用'!C32</ns0:f>
      </ns0:c>
      <ns0:c r="D32" s="14" t="n">
        <ns0:f>'销售费用'!D32+'管理费用'!D32+'蓝恐龙费用'!D32</ns0:f>
      </ns0:c>
      <ns0:c r="E32" s="14" t="n">
        <ns0:f>'销售费用'!E32+'管理费用'!E32+'蓝恐龙费用'!E32</ns0:f>
      </ns0:c>
      <ns0:c r="F32" s="14" t="n">
        <ns0:f>'销售费用'!F32+'管理费用'!F32+'蓝恐龙费用'!F32</ns0:f>
      </ns0:c>
      <ns0:c r="G32" s="14" t="n">
        <ns0:f>'销售费用'!G32+'管理费用'!G32+'蓝恐龙费用'!G32</ns0:f>
      </ns0:c>
      <ns0:c r="H32" s="14" t="n">
        <ns0:f>'销售费用'!H32+'管理费用'!H32+'蓝恐龙费用'!H32</ns0:f>
      </ns0:c>
      <ns0:c r="I32" s="14" t="n">
        <ns0:f>'销售费用'!I32+'管理费用'!I32+'蓝恐龙费用'!I32</ns0:f>
      </ns0:c>
      <ns0:c r="J32" s="14" t="n">
        <ns0:f>'销售费用'!J32+'管理费用'!J32+'蓝恐龙费用'!J32</ns0:f>
      </ns0:c>
      <ns0:c r="K32" s="14" t="n">
        <ns0:f>'销售费用'!K32+'管理费用'!K32+'蓝恐龙费用'!K32</ns0:f>
      </ns0:c>
      <ns0:c r="L32" s="14" t="n">
        <ns0:f>'销售费用'!L32+'管理费用'!L32+'蓝恐龙费用'!L32</ns0:f>
      </ns0:c>
      <ns0:c r="M32" s="14" t="n">
        <ns0:f>'销售费用'!M32+'管理费用'!M32+'蓝恐龙费用'!M32</ns0:f>
      </ns0:c>
      <ns0:c r="N32" s="14" t="n">
        <ns0:f>'销售费用'!N32+'管理费用'!N32+'蓝恐龙费用'!N32</ns0:f>
      </ns0:c>
      <ns0:c r="O32" s="14" t="n">
        <ns0:f>SUM(C32:N32)</ns0:f>
      </ns0:c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'销售费用'!C33+'管理费用'!C33+'蓝恐龙费用'!C33</ns0:f>
      </ns0:c>
      <ns0:c r="D33" s="14" t="n">
        <ns0:f>'销售费用'!D33+'管理费用'!D33+'蓝恐龙费用'!D33</ns0:f>
      </ns0:c>
      <ns0:c r="E33" s="14" t="n">
        <ns0:f>'销售费用'!E33+'管理费用'!E33+'蓝恐龙费用'!E33</ns0:f>
      </ns0:c>
      <ns0:c r="F33" s="14" t="n">
        <ns0:f>'销售费用'!F33+'管理费用'!F33+'蓝恐龙费用'!F33</ns0:f>
      </ns0:c>
      <ns0:c r="G33" s="14" t="n">
        <ns0:f>'销售费用'!G33+'管理费用'!G33+'蓝恐龙费用'!G33</ns0:f>
      </ns0:c>
      <ns0:c r="H33" s="14" t="n">
        <ns0:f>'销售费用'!H33+'管理费用'!H33+'蓝恐龙费用'!H33</ns0:f>
      </ns0:c>
      <ns0:c r="I33" s="14" t="n">
        <ns0:f>'销售费用'!I33+'管理费用'!I33+'蓝恐龙费用'!I33</ns0:f>
      </ns0:c>
      <ns0:c r="J33" s="14" t="n">
        <ns0:f>'销售费用'!J33+'管理费用'!J33+'蓝恐龙费用'!J33</ns0:f>
      </ns0:c>
      <ns0:c r="K33" s="14" t="n">
        <ns0:f>'销售费用'!K33+'管理费用'!K33+'蓝恐龙费用'!K33</ns0:f>
      </ns0:c>
      <ns0:c r="L33" s="14" t="n">
        <ns0:f>'销售费用'!L33+'管理费用'!L33+'蓝恐龙费用'!L33</ns0:f>
      </ns0:c>
      <ns0:c r="M33" s="14" t="n">
        <ns0:f>'销售费用'!M33+'管理费用'!M33+'蓝恐龙费用'!M33</ns0:f>
      </ns0:c>
      <ns0:c r="N33" s="14" t="n">
        <ns0:f>'销售费用'!N33+'管理费用'!N33+'蓝恐龙费用'!N33</ns0:f>
      </ns0:c>
      <ns0:c r="O33" s="14" t="n">
        <ns0:f>SUM(C33:N33)</ns0:f>
      </ns0:c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3"/>
      <ns0:c r="B42" s="13"/>
      <ns0:c r="C42" s="14"/>
      <ns0:c r="D42" s="14"/>
      <ns0:c r="E42" s="14"/>
      <ns0:c r="F42" s="14"/>
      <ns0:c r="G42" s="14"/>
      <ns0:c r="H42" s="14"/>
      <ns0:c r="I42" s="14"/>
      <ns0:c r="J42" s="14"/>
      <ns0:c r="K42" s="14"/>
      <ns0:c r="L42" s="14"/>
      <ns0:c r="M42" s="14"/>
      <ns0:c r="N42" s="14"/>
      <ns0:c r="O42" s="14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3"/>
      <ns0:c r="B43" s="13"/>
      <ns0:c r="C43" s="14"/>
      <ns0:c r="D43" s="14"/>
      <ns0:c r="E43" s="14"/>
      <ns0:c r="F43" s="14"/>
      <ns0:c r="G43" s="14"/>
      <ns0:c r="H43" s="14"/>
      <ns0:c r="I43" s="14"/>
      <ns0:c r="J43" s="14"/>
      <ns0:c r="K43" s="14"/>
      <ns0:c r="L43" s="14"/>
      <ns0:c r="M43" s="14"/>
      <ns0:c r="N43" s="14"/>
      <ns0:c r="O43" s="14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3"/>
      <ns0:c r="B44" s="13"/>
      <ns0:c r="C44" s="14"/>
      <ns0:c r="D44" s="14"/>
      <ns0:c r="E44" s="14"/>
      <ns0:c r="F44" s="14"/>
      <ns0:c r="G44" s="14"/>
      <ns0:c r="H44" s="14"/>
      <ns0:c r="I44" s="14"/>
      <ns0:c r="J44" s="14"/>
      <ns0:c r="K44" s="14"/>
      <ns0:c r="L44" s="14"/>
      <ns0:c r="M44" s="14"/>
      <ns0:c r="N44" s="14"/>
      <ns0:c r="O44" s="14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3"/>
      <ns0:c r="B45" s="13"/>
      <ns0:c r="C45" s="14"/>
      <ns0:c r="D45" s="14"/>
      <ns0:c r="E45" s="14"/>
      <ns0:c r="F45" s="14"/>
      <ns0:c r="G45" s="14"/>
      <ns0:c r="H45" s="14"/>
      <ns0:c r="I45" s="14"/>
      <ns0:c r="J45" s="14"/>
      <ns0:c r="K45" s="14"/>
      <ns0:c r="L45" s="14"/>
      <ns0:c r="M45" s="14"/>
      <ns0:c r="N45" s="14"/>
      <ns0:c r="O45" s="14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 t="str">
        <ns0:v>预算基础月度勾稽</ns0:v>
      </ns0:c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0"/>
      <ns0:c r="B2" s="13" t="str">
        <ns0:v>日期</ns0:v>
      </ns0:c>
      <ns0:c r="C2" s="14"/>
      <ns0:c r="D2" s="14"/>
      <ns0:c r="E2" s="14"/>
      <ns0:c r="F2" s="14"/>
      <ns0:c r="G2" s="14"/>
      <ns0:c r="H2" s="14" t="str">
        <ns0:v>金额</ns0:v>
      </ns0:c>
      <ns0:c r="I2" s="14"/>
      <ns0:c r="J2" s="14"/>
      <ns0:c r="K2" s="14"/>
      <ns0:c r="L2" s="14"/>
      <ns0:c r="M2" s="14"/>
      <ns0:c r="N2" s="14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0"/>
      <ns0:c r="B3" s="13"/>
      <ns0:c r="C3" s="14"/>
      <ns0:c r="D3" s="14"/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0"/>
      <ns0:c r="B4" s="13"/>
      <ns0:c r="C4" s="14"/>
      <ns0:c r="D4" s="14"/>
      <ns0:c r="E4" s="14"/>
      <ns0:c r="F4" s="14"/>
      <ns0:c r="G4" s="14"/>
      <ns0:c r="H4" s="14"/>
      <ns0:c r="I4" s="14"/>
      <ns0:c r="J4" s="14"/>
      <ns0:c r="K4" s="14"/>
      <ns0:c r="L4" s="14"/>
      <ns0:c r="M4" s="14"/>
      <ns0:c r="N4" s="14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0"/>
      <ns0:c r="B5" s="13"/>
      <ns0:c r="C5" s="14"/>
      <ns0:c r="D5" s="14"/>
      <ns0:c r="E5" s="14"/>
      <ns0:c r="F5" s="14"/>
      <ns0:c r="G5" s="14"/>
      <ns0:c r="H5" s="14"/>
      <ns0:c r="I5" s="14"/>
      <ns0:c r="J5" s="14"/>
      <ns0:c r="K5" s="14"/>
      <ns0:c r="L5" s="14"/>
      <ns0:c r="M5" s="14"/>
      <ns0:c r="N5" s="14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0"/>
      <ns0:c r="B6" s="13"/>
      <ns0:c r="C6" s="14"/>
      <ns0:c r="D6" s="14"/>
      <ns0:c r="E6" s="14"/>
      <ns0:c r="F6" s="14"/>
      <ns0:c r="G6" s="14"/>
      <ns0:c r="H6" s="14"/>
      <ns0:c r="I6" s="14"/>
      <ns0:c r="J6" s="14"/>
      <ns0:c r="K6" s="14"/>
      <ns0:c r="L6" s="14"/>
      <ns0:c r="M6" s="14"/>
      <ns0:c r="N6" s="14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3"/>
      <ns0:c r="C7" s="14"/>
      <ns0:c r="D7" s="14"/>
      <ns0:c r="E7" s="14"/>
      <ns0:c r="F7" s="14"/>
      <ns0:c r="G7" s="14"/>
      <ns0:c r="H7" s="14"/>
      <ns0:c r="I7" s="14"/>
      <ns0:c r="J7" s="14"/>
      <ns0:c r="K7" s="14"/>
      <ns0:c r="L7" s="14"/>
      <ns0:c r="M7" s="14"/>
      <ns0:c r="N7" s="14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3"/>
      <ns0:c r="C8" s="14"/>
      <ns0:c r="D8" s="14"/>
      <ns0:c r="E8" s="14"/>
      <ns0:c r="F8" s="14"/>
      <ns0:c r="G8" s="14"/>
      <ns0:c r="H8" s="14"/>
      <ns0:c r="I8" s="14"/>
      <ns0:c r="J8" s="14"/>
      <ns0:c r="K8" s="14"/>
      <ns0:c r="L8" s="14"/>
      <ns0:c r="M8" s="14"/>
      <ns0:c r="N8" s="14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3"/>
      <ns0:c r="C9" s="14"/>
      <ns0:c r="D9" s="14"/>
      <ns0:c r="E9" s="14"/>
      <ns0:c r="F9" s="14"/>
      <ns0:c r="G9" s="14"/>
      <ns0:c r="H9" s="14"/>
      <ns0:c r="I9" s="14"/>
      <ns0:c r="J9" s="14"/>
      <ns0:c r="K9" s="14"/>
      <ns0:c r="L9" s="14"/>
      <ns0:c r="M9" s="14"/>
      <ns0:c r="N9" s="14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3"/>
      <ns0:c r="C10" s="14"/>
      <ns0:c r="D10" s="14"/>
      <ns0:c r="E10" s="14"/>
      <ns0:c r="F10" s="14"/>
      <ns0:c r="G10" s="14"/>
      <ns0:c r="H10" s="14"/>
      <ns0:c r="I10" s="14"/>
      <ns0:c r="J10" s="14"/>
      <ns0:c r="K10" s="14"/>
      <ns0:c r="L10" s="14"/>
      <ns0:c r="M10" s="14"/>
      <ns0:c r="N10" s="14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3"/>
      <ns0:c r="C11" s="14"/>
      <ns0:c r="D11" s="14"/>
      <ns0:c r="E11" s="14"/>
      <ns0:c r="F11" s="14"/>
      <ns0:c r="G11" s="14"/>
      <ns0:c r="H11" s="14"/>
      <ns0:c r="I11" s="14"/>
      <ns0:c r="J11" s="14"/>
      <ns0:c r="K11" s="14"/>
      <ns0:c r="L11" s="14"/>
      <ns0:c r="M11" s="14"/>
      <ns0:c r="N11" s="14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3"/>
      <ns0:c r="C12" s="14"/>
      <ns0:c r="D12" s="14"/>
      <ns0:c r="E12" s="14"/>
      <ns0:c r="F12" s="14"/>
      <ns0:c r="G12" s="14"/>
      <ns0:c r="H12" s="14"/>
      <ns0:c r="I12" s="14"/>
      <ns0:c r="J12" s="14"/>
      <ns0:c r="K12" s="14"/>
      <ns0:c r="L12" s="14"/>
      <ns0:c r="M12" s="14"/>
      <ns0:c r="N12" s="14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3"/>
      <ns0:c r="C13" s="14"/>
      <ns0:c r="D13" s="14"/>
      <ns0:c r="E13" s="14"/>
      <ns0:c r="F13" s="14"/>
      <ns0:c r="G13" s="14"/>
      <ns0:c r="H13" s="14"/>
      <ns0:c r="I13" s="14"/>
      <ns0:c r="J13" s="14"/>
      <ns0:c r="K13" s="14"/>
      <ns0:c r="L13" s="14"/>
      <ns0:c r="M13" s="14"/>
      <ns0:c r="N13" s="14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3"/>
      <ns0:c r="C14" s="14"/>
      <ns0:c r="D14" s="14"/>
      <ns0:c r="E14" s="14"/>
      <ns0:c r="F14" s="14"/>
      <ns0:c r="G14" s="14"/>
      <ns0:c r="H14" s="14"/>
      <ns0:c r="I14" s="14"/>
      <ns0:c r="J14" s="14"/>
      <ns0:c r="K14" s="14"/>
      <ns0:c r="L14" s="14"/>
      <ns0:c r="M14" s="14"/>
      <ns0:c r="N14" s="14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3"/>
      <ns0:c r="C15" s="14"/>
      <ns0:c r="D15" s="14"/>
      <ns0:c r="E15" s="14"/>
      <ns0:c r="F15" s="14"/>
      <ns0:c r="G15" s="14"/>
      <ns0:c r="H15" s="14"/>
      <ns0:c r="I15" s="14"/>
      <ns0:c r="J15" s="14"/>
      <ns0:c r="K15" s="14"/>
      <ns0:c r="L15" s="14"/>
      <ns0:c r="M15" s="14"/>
      <ns0:c r="N15" s="14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3"/>
      <ns0:c r="C16" s="14"/>
      <ns0:c r="D16" s="14"/>
      <ns0:c r="E16" s="14"/>
      <ns0:c r="F16" s="14"/>
      <ns0:c r="G16" s="14"/>
      <ns0:c r="H16" s="14"/>
      <ns0:c r="I16" s="14"/>
      <ns0:c r="J16" s="14"/>
      <ns0:c r="K16" s="14"/>
      <ns0:c r="L16" s="14"/>
      <ns0:c r="M16" s="14"/>
      <ns0:c r="N16" s="14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0"/>
      <ns0:c r="B17" s="13"/>
      <ns0:c r="C17" s="14"/>
      <ns0:c r="D17" s="14"/>
      <ns0:c r="E17" s="14"/>
      <ns0:c r="F17" s="14"/>
      <ns0:c r="G17" s="14"/>
      <ns0:c r="H17" s="14"/>
      <ns0:c r="I17" s="14"/>
      <ns0:c r="J17" s="14"/>
      <ns0:c r="K17" s="14"/>
      <ns0:c r="L17" s="14"/>
      <ns0:c r="M17" s="14"/>
      <ns0:c r="N17" s="14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3" t="str">
        <ns0:v>摘要</ns0:v>
      </ns0:c>
      <ns0:c r="C20" s="14"/>
      <ns0:c r="D20" s="14"/>
      <ns0:c r="E20" s="14"/>
      <ns0:c r="F20" s="14"/>
      <ns0:c r="G20" s="14"/>
      <ns0:c r="H20" s="14"/>
      <ns0:c r="I20" s="14"/>
      <ns0:c r="J20" s="14"/>
      <ns0:c r="K20" s="14"/>
      <ns0:c r="L20" s="14"/>
      <ns0:c r="M20" s="14"/>
      <ns0:c r="N20" s="14"/>
      <ns0:c r="O20" s="14" t="str">
        <ns0:v>合计</ns0:v>
      </ns0:c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3"/>
      <ns0:c r="C21" s="14"/>
      <ns0:c r="D21" s="14"/>
      <ns0:c r="E21" s="14"/>
      <ns0:c r="F21" s="14"/>
      <ns0:c r="G21" s="14"/>
      <ns0:c r="H21" s="14"/>
      <ns0:c r="I21" s="14"/>
      <ns0:c r="J21" s="14"/>
      <ns0:c r="K21" s="14"/>
      <ns0:c r="L21" s="14"/>
      <ns0:c r="M21" s="14"/>
      <ns0:c r="N21" s="14"/>
      <ns0:c r="O21" s="14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3"/>
      <ns0:c r="C22" s="14"/>
      <ns0:c r="D22" s="14"/>
      <ns0:c r="E22" s="14"/>
      <ns0:c r="F22" s="14"/>
      <ns0:c r="G22" s="14"/>
      <ns0:c r="H22" s="14"/>
      <ns0:c r="I22" s="14"/>
      <ns0:c r="J22" s="14"/>
      <ns0:c r="K22" s="14"/>
      <ns0:c r="L22" s="14"/>
      <ns0:c r="M22" s="14"/>
      <ns0:c r="N22" s="14"/>
      <ns0:c r="O22" s="14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3"/>
      <ns0:c r="C23" s="14"/>
      <ns0:c r="D23" s="14"/>
      <ns0:c r="E23" s="14"/>
      <ns0:c r="F23" s="14"/>
      <ns0:c r="G23" s="14"/>
      <ns0:c r="H23" s="14"/>
      <ns0:c r="I23" s="14"/>
      <ns0:c r="J23" s="14"/>
      <ns0:c r="K23" s="14"/>
      <ns0:c r="L23" s="14"/>
      <ns0:c r="M23" s="14"/>
      <ns0:c r="N23" s="14"/>
      <ns0:c r="O23" s="14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3"/>
      <ns0:c r="C24" s="14"/>
      <ns0:c r="D24" s="14"/>
      <ns0:c r="E24" s="14"/>
      <ns0:c r="F24" s="14"/>
      <ns0:c r="G24" s="14"/>
      <ns0:c r="H24" s="14"/>
      <ns0:c r="I24" s="14"/>
      <ns0:c r="J24" s="14"/>
      <ns0:c r="K24" s="14"/>
      <ns0:c r="L24" s="14"/>
      <ns0:c r="M24" s="14"/>
      <ns0:c r="N24" s="14"/>
      <ns0:c r="O24" s="14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3"/>
      <ns0:c r="C25" s="14"/>
      <ns0:c r="D25" s="14"/>
      <ns0:c r="E25" s="14"/>
      <ns0:c r="F25" s="14"/>
      <ns0:c r="G25" s="14"/>
      <ns0:c r="H25" s="14"/>
      <ns0:c r="I25" s="14"/>
      <ns0:c r="J25" s="14"/>
      <ns0:c r="K25" s="14"/>
      <ns0:c r="L25" s="14"/>
      <ns0:c r="M25" s="14"/>
      <ns0:c r="N25" s="14"/>
      <ns0:c r="O25" s="14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3"/>
      <ns0:c r="C26" s="14"/>
      <ns0:c r="D26" s="14"/>
      <ns0:c r="E26" s="14"/>
      <ns0:c r="F26" s="14"/>
      <ns0:c r="G26" s="14"/>
      <ns0:c r="H26" s="14"/>
      <ns0:c r="I26" s="14"/>
      <ns0:c r="J26" s="14"/>
      <ns0:c r="K26" s="14"/>
      <ns0:c r="L26" s="14"/>
      <ns0:c r="M26" s="14"/>
      <ns0:c r="N26" s="14"/>
      <ns0:c r="O26" s="14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3"/>
      <ns0:c r="C27" s="14"/>
      <ns0:c r="D27" s="14"/>
      <ns0:c r="E27" s="14"/>
      <ns0:c r="F27" s="14"/>
      <ns0:c r="G27" s="14"/>
      <ns0:c r="H27" s="14"/>
      <ns0:c r="I27" s="14"/>
      <ns0:c r="J27" s="14"/>
      <ns0:c r="K27" s="14"/>
      <ns0:c r="L27" s="14"/>
      <ns0:c r="M27" s="14"/>
      <ns0:c r="N27" s="14"/>
      <ns0:c r="O27" s="14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3"/>
      <ns0:c r="C28" s="14"/>
      <ns0:c r="D28" s="14"/>
      <ns0:c r="E28" s="14"/>
      <ns0:c r="F28" s="14"/>
      <ns0:c r="G28" s="14"/>
      <ns0:c r="H28" s="14"/>
      <ns0:c r="I28" s="14"/>
      <ns0:c r="J28" s="14"/>
      <ns0:c r="K28" s="14"/>
      <ns0:c r="L28" s="14"/>
      <ns0:c r="M28" s="14"/>
      <ns0:c r="N28" s="14"/>
      <ns0:c r="O28" s="14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3"/>
      <ns0:c r="C29" s="14"/>
      <ns0:c r="D29" s="14"/>
      <ns0:c r="E29" s="14"/>
      <ns0:c r="F29" s="14"/>
      <ns0:c r="G29" s="14"/>
      <ns0:c r="H29" s="14"/>
      <ns0:c r="I29" s="14"/>
      <ns0:c r="J29" s="14"/>
      <ns0:c r="K29" s="14"/>
      <ns0:c r="L29" s="14"/>
      <ns0:c r="M29" s="14"/>
      <ns0:c r="N29" s="14"/>
      <ns0:c r="O29" s="14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预算基础内部底稿</ns0:v>
      </ns0:c>
      <ns0:c r="C30" s="14"/>
      <ns0:c r="D30" s="14"/>
      <ns0:c r="E30" s="14"/>
      <ns0:c r="F30" s="14"/>
      <ns0:c r="G30" s="14"/>
      <ns0:c r="H30" s="14"/>
      <ns0:c r="I30" s="14"/>
      <ns0:c r="J30" s="14"/>
      <ns0:c r="K30" s="14"/>
      <ns0:c r="L30" s="14"/>
      <ns0:c r="M30" s="14"/>
      <ns0:c r="N30" s="14"/>
      <ns0:c r="O30" s="14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摊销资产原值</ns0:v>
      </ns0:c>
      <ns0:c r="C31" s="14"/>
      <ns0:c r="D31" s="14" t="n">
        <ns0:f>$C$31</ns0:f>
      </ns0:c>
      <ns0:c r="E31" s="14" t="n">
        <ns0:f>$C$31</ns0:f>
      </ns0:c>
      <ns0:c r="F31" s="14" t="n">
        <ns0:f>$C$31</ns0:f>
      </ns0:c>
      <ns0:c r="G31" s="14" t="n">
        <ns0:f>$C$31</ns0:f>
      </ns0:c>
      <ns0:c r="H31" s="14" t="n">
        <ns0:f>$C$31</ns0:f>
      </ns0:c>
      <ns0:c r="I31" s="14" t="n">
        <ns0:f>$C$31</ns0:f>
      </ns0:c>
      <ns0:c r="J31" s="14" t="n">
        <ns0:f>$C$31</ns0:f>
      </ns0:c>
      <ns0:c r="K31" s="14" t="n">
        <ns0:f>$C$31</ns0:f>
      </ns0:c>
      <ns0:c r="L31" s="14" t="n">
        <ns0:f>$C$31</ns0:f>
      </ns0:c>
      <ns0:c r="M31" s="14" t="n">
        <ns0:f>$C$31</ns0:f>
      </ns0:c>
      <ns0:c r="N31" s="14" t="n">
        <ns0:f>$C$31</ns0:f>
      </ns0:c>
      <ns0:c r="O31" s="14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摊销月数</ns0:v>
      </ns0:c>
      <ns0:c r="C32" s="14"/>
      <ns0:c r="D32" s="14" t="n">
        <ns0:f>$C$32</ns0:f>
      </ns0:c>
      <ns0:c r="E32" s="14" t="n">
        <ns0:f>$C$32</ns0:f>
      </ns0:c>
      <ns0:c r="F32" s="14" t="n">
        <ns0:f>$C$32</ns0:f>
      </ns0:c>
      <ns0:c r="G32" s="14" t="n">
        <ns0:f>$C$32</ns0:f>
      </ns0:c>
      <ns0:c r="H32" s="14" t="n">
        <ns0:f>$C$32</ns0:f>
      </ns0:c>
      <ns0:c r="I32" s="14" t="n">
        <ns0:f>$C$32</ns0:f>
      </ns0:c>
      <ns0:c r="J32" s="14" t="n">
        <ns0:f>$C$32</ns0:f>
      </ns0:c>
      <ns0:c r="K32" s="14" t="n">
        <ns0:f>$C$32</ns0:f>
      </ns0:c>
      <ns0:c r="L32" s="14" t="n">
        <ns0:f>$C$32</ns0:f>
      </ns0:c>
      <ns0:c r="M32" s="14" t="n">
        <ns0:f>$C$32</ns0:f>
      </ns0:c>
      <ns0:c r="N32" s="14" t="n">
        <ns0:f>$C$32</ns0:f>
      </ns0:c>
      <ns0:c r="O32" s="14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本月摊销</ns0:v>
      </ns0:c>
      <ns0:c r="C33" s="14" t="n">
        <ns0:f>ROUND(C31/MAX(C32,1),2)</ns0:f>
      </ns0:c>
      <ns0:c r="D33" s="14" t="n">
        <ns0:f>ROUND(D31/MAX(D32,1),2)</ns0:f>
      </ns0:c>
      <ns0:c r="E33" s="14" t="n">
        <ns0:f>ROUND(E31/MAX(E32,1),2)</ns0:f>
      </ns0:c>
      <ns0:c r="F33" s="14" t="n">
        <ns0:f>ROUND(F31/MAX(F32,1),2)</ns0:f>
      </ns0:c>
      <ns0:c r="G33" s="14" t="n">
        <ns0:f>ROUND(G31/MAX(G32,1),2)</ns0:f>
      </ns0:c>
      <ns0:c r="H33" s="14" t="n">
        <ns0:f>ROUND(H31/MAX(H32,1),2)</ns0:f>
      </ns0:c>
      <ns0:c r="I33" s="14" t="n">
        <ns0:f>ROUND(I31/MAX(I32,1),2)</ns0:f>
      </ns0:c>
      <ns0:c r="J33" s="14" t="n">
        <ns0:f>ROUND(J31/MAX(J32,1),2)</ns0:f>
      </ns0:c>
      <ns0:c r="K33" s="14" t="n">
        <ns0:f>ROUND(K31/MAX(K32,1),2)</ns0:f>
      </ns0:c>
      <ns0:c r="L33" s="14" t="n">
        <ns0:f>ROUND(L31/MAX(L32,1),2)</ns0:f>
      </ns0:c>
      <ns0:c r="M33" s="14" t="n">
        <ns0:f>ROUND(M31/MAX(M32,1),2)</ns0:f>
      </ns0:c>
      <ns0:c r="N33" s="14" t="n">
        <ns0:f>ROUND(N31/MAX(N32,1),2)</ns0:f>
      </ns0:c>
      <ns0:c r="O33" s="14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3" t="str">
        <ns0:v>累计已摊销</ns0:v>
      </ns0:c>
      <ns0:c r="C34" s="14" t="n">
        <ns0:f>SUM($C33:C33)</ns0:f>
      </ns0:c>
      <ns0:c r="D34" s="14" t="n">
        <ns0:f>SUM($C33:D33)</ns0:f>
      </ns0:c>
      <ns0:c r="E34" s="14" t="n">
        <ns0:f>SUM($C33:E33)</ns0:f>
      </ns0:c>
      <ns0:c r="F34" s="14" t="n">
        <ns0:f>SUM($C33:F33)</ns0:f>
      </ns0:c>
      <ns0:c r="G34" s="14" t="n">
        <ns0:f>SUM($C33:G33)</ns0:f>
      </ns0:c>
      <ns0:c r="H34" s="14" t="n">
        <ns0:f>SUM($C33:H33)</ns0:f>
      </ns0:c>
      <ns0:c r="I34" s="14" t="n">
        <ns0:f>SUM($C33:I33)</ns0:f>
      </ns0:c>
      <ns0:c r="J34" s="14" t="n">
        <ns0:f>SUM($C33:J33)</ns0:f>
      </ns0:c>
      <ns0:c r="K34" s="14" t="n">
        <ns0:f>SUM($C33:K33)</ns0:f>
      </ns0:c>
      <ns0:c r="L34" s="14" t="n">
        <ns0:f>SUM($C33:L33)</ns0:f>
      </ns0:c>
      <ns0:c r="M34" s="14" t="n">
        <ns0:f>SUM($C33:M33)</ns0:f>
      </ns0:c>
      <ns0:c r="N34" s="14" t="n">
        <ns0:f>SUM($C33:N33)</ns0:f>
      </ns0:c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0" t="str">
        <ns0:v>尚未摊销</ns0:v>
      </ns0:c>
      <ns0:c r="C35" s="14" t="n">
        <ns0:f>C31-C34</ns0:f>
      </ns0:c>
      <ns0:c r="D35" s="14" t="n">
        <ns0:f>D31-D34</ns0:f>
      </ns0:c>
      <ns0:c r="E35" s="14" t="n">
        <ns0:f>E31-E34</ns0:f>
      </ns0:c>
      <ns0:c r="F35" s="14" t="n">
        <ns0:f>F31-F34</ns0:f>
      </ns0:c>
      <ns0:c r="G35" s="14" t="n">
        <ns0:f>G31-G34</ns0:f>
      </ns0:c>
      <ns0:c r="H35" s="14" t="n">
        <ns0:f>H31-H34</ns0:f>
      </ns0:c>
      <ns0:c r="I35" s="14" t="n">
        <ns0:f>I31-I34</ns0:f>
      </ns0:c>
      <ns0:c r="J35" s="14" t="n">
        <ns0:f>J31-J34</ns0:f>
      </ns0:c>
      <ns0:c r="K35" s="14" t="n">
        <ns0:f>K31-K34</ns0:f>
      </ns0:c>
      <ns0:c r="L35" s="14" t="n">
        <ns0:f>L31-L34</ns0:f>
      </ns0:c>
      <ns0:c r="M35" s="14" t="n">
        <ns0:f>M31-M34</ns0:f>
      </ns0:c>
      <ns0:c r="N35" s="14" t="n">
        <ns0:f>N31-N34</ns0:f>
      </ns0:c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3" t="str">
        <ns0:v>摊销起始日</ns0:v>
      </ns0:c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摘要</ns0:v>
      </ns0:c>
      <ns0:c r="B1" s="10" t="str">
        <ns0:v>科目</ns0:v>
      </ns0:c>
      <ns0:c r="C1" s="12" t="str">
        <ns0:v>借方</ns0:v>
      </ns0:c>
      <ns0:c r="D1" s="12" t="str">
        <ns0:v>贷方</ns0:v>
      </ns0:c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/>
      <ns0:c r="B2" s="13" t="str">
        <ns0:v>管理费用</ns0:v>
      </ns0:c>
      <ns0:c r="C2" s="14"/>
      <ns0:c r="D2" s="14"/>
      <ns0:c r="E2" s="14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/>
      <ns0:c r="D3" s="14"/>
      <ns0:c r="E3" s="14"/>
      <ns0:c r="F3" s="12"/>
      <ns0:c r="G3" s="12"/>
      <ns0:c r="H3" s="12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/>
      <ns0:c r="B4" s="13"/>
      <ns0:c r="C4" s="14"/>
      <ns0:c r="D4" s="14"/>
      <ns0:c r="E4" s="14"/>
      <ns0:c r="F4" s="12"/>
      <ns0:c r="G4" s="12"/>
      <ns0:c r="H4" s="12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/>
      <ns0:c r="C5" s="14"/>
      <ns0:c r="D5" s="14"/>
      <ns0:c r="E5" s="14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/>
      <ns0:c r="C6" s="14"/>
      <ns0:c r="D6" s="14"/>
      <ns0:c r="E6" s="14"/>
      <ns0:c r="F6" s="12"/>
      <ns0:c r="G6" s="12"/>
      <ns0:c r="H6" s="12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/>
      <ns0:c r="C7" s="14"/>
      <ns0:c r="D7" s="14"/>
      <ns0:c r="E7" s="14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财务费用</ns0:v>
      </ns0:c>
      <ns0:c r="C8" s="14"/>
      <ns0:c r="D8" s="14"/>
      <ns0:c r="E8" s="14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/>
      <ns0:c r="C9" s="14"/>
      <ns0:c r="D9" s="14"/>
      <ns0:c r="E9" s="14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/>
      <ns0:c r="C10" s="14"/>
      <ns0:c r="D10" s="14"/>
      <ns0:c r="E10" s="14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财务费用</ns0:v>
      </ns0:c>
      <ns0:c r="C11" s="14"/>
      <ns0:c r="D11" s="14"/>
      <ns0:c r="E11" s="14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财务费用</ns0:v>
      </ns0:c>
      <ns0:c r="C12" s="14"/>
      <ns0:c r="D12" s="14"/>
      <ns0:c r="E12" s="14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/>
      <ns0:c r="C13" s="14"/>
      <ns0:c r="D13" s="14"/>
      <ns0:c r="E13" s="14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/>
      <ns0:c r="C14" s="14"/>
      <ns0:c r="D14" s="14"/>
      <ns0:c r="E14" s="14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/>
      <ns0:c r="C15" s="14"/>
      <ns0:c r="D15" s="14"/>
      <ns0:c r="E15" s="14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/>
      <ns0:c r="C16" s="14"/>
      <ns0:c r="D16" s="14"/>
      <ns0:c r="E16" s="14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预算基础</ns0:v>
      </ns0:c>
    </ns0:row>
    <ns0:row r="17" ht="20" customHeight="1">
      <ns0:c r="A17" s="13"/>
      <ns0:c r="B17" s="13"/>
      <ns0:c r="C17" s="14"/>
      <ns0:c r="D17" s="14"/>
      <ns0:c r="E17" s="14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蓝色为预算基础输入参数；示例数值为占位；金额单位：元</ns0:v>
      </ns0:c>
    </ns0:row>
    <ns0:row r="18" ht="20" customHeight="1">
      <ns0:c r="A18" s="13"/>
      <ns0:c r="B18" s="13"/>
      <ns0:c r="C18" s="14"/>
      <ns0:c r="D18" s="14"/>
      <ns0:c r="E18" s="14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/>
      <ns0:c r="C19" s="14"/>
      <ns0:c r="D19" s="14"/>
      <ns0:c r="E19" s="14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/>
      <ns0:c r="C20" s="14"/>
      <ns0:c r="D20" s="14"/>
      <ns0:c r="E20" s="14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/>
      <ns0:c r="B21" s="13"/>
      <ns0:c r="C21" s="14"/>
      <ns0:c r="D21" s="14"/>
      <ns0:c r="E21" s="14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/>
      <ns0:c r="C22" s="14"/>
      <ns0:c r="D22" s="14"/>
      <ns0:c r="E22" s="14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/>
      <ns0:c r="C23" s="14"/>
      <ns0:c r="D23" s="14"/>
      <ns0:c r="E23" s="14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/>
      <ns0:c r="C24" s="14"/>
      <ns0:c r="D24" s="14"/>
      <ns0:c r="E24" s="14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/>
      <ns0:c r="B25" s="13"/>
      <ns0:c r="C25" s="14"/>
      <ns0:c r="D25" s="14"/>
      <ns0:c r="E25" s="14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/>
      <ns0:c r="B26" s="13"/>
      <ns0:c r="C26" s="14"/>
      <ns0:c r="D26" s="14"/>
      <ns0:c r="E26" s="14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/>
      <ns0:c r="B27" s="13"/>
      <ns0:c r="C27" s="14"/>
      <ns0:c r="D27" s="14"/>
      <ns0:c r="E27" s="14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/>
      <ns0:c r="B28" s="13"/>
      <ns0:c r="C28" s="14"/>
      <ns0:c r="D28" s="14"/>
      <ns0:c r="E28" s="14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财务费用</ns0:v>
      </ns0:c>
      <ns0:c r="C29" s="14"/>
      <ns0:c r="D29" s="14"/>
      <ns0:c r="E29" s="14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/>
      <ns0:c r="C30" s="14"/>
      <ns0:c r="D30" s="14"/>
      <ns0:c r="E30" s="14"/>
      <ns0:c r="F30" s="12"/>
      <ns0:c r="G30" s="12"/>
      <ns0:c r="H30" s="12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/>
      <ns0:c r="B31" s="13"/>
      <ns0:c r="C31" s="14"/>
      <ns0:c r="D31" s="14"/>
      <ns0:c r="E31" s="14"/>
      <ns0:c r="F31" s="12"/>
      <ns0:c r="G31" s="12"/>
      <ns0:c r="H31" s="12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财务费用</ns0:v>
      </ns0:c>
      <ns0:c r="C32" s="14"/>
      <ns0:c r="D32" s="14"/>
      <ns0:c r="E32" s="14"/>
      <ns0:c r="F32" s="12"/>
      <ns0:c r="G32" s="12"/>
      <ns0:c r="H32" s="12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/>
      <ns0:c r="B33" s="13" t="str">
        <ns0:v>管理费用</ns0:v>
      </ns0:c>
      <ns0:c r="C33" s="14"/>
      <ns0:c r="D33" s="14"/>
      <ns0:c r="E33" s="14"/>
      <ns0:c r="F33" s="12"/>
      <ns0:c r="G33" s="12"/>
      <ns0:c r="H33" s="12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/>
      <ns0:c r="B34" s="13"/>
      <ns0:c r="C34" s="14"/>
      <ns0:c r="D34" s="14"/>
      <ns0:c r="E34" s="14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/>
      <ns0:c r="B35" s="13" t="str">
        <ns0:v>管理费用</ns0:v>
      </ns0:c>
      <ns0:c r="C35" s="14"/>
      <ns0:c r="D35" s="14"/>
      <ns0:c r="E35" s="14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/>
      <ns0:c r="B36" s="13"/>
      <ns0:c r="C36" s="14"/>
      <ns0:c r="D36" s="14"/>
      <ns0:c r="E36" s="14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3"/>
      <ns0:c r="B37" s="13"/>
      <ns0:c r="C37" s="14"/>
      <ns0:c r="D37" s="14"/>
      <ns0:c r="E37" s="14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3"/>
      <ns0:c r="B38" s="13"/>
      <ns0:c r="C38" s="14"/>
      <ns0:c r="D38" s="14"/>
      <ns0:c r="E38" s="14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3"/>
      <ns0:c r="B39" s="13"/>
      <ns0:c r="C39" s="14"/>
      <ns0:c r="D39" s="14"/>
      <ns0:c r="E39" s="14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3"/>
      <ns0:c r="B40" s="13"/>
      <ns0:c r="C40" s="14"/>
      <ns0:c r="D40" s="14"/>
      <ns0:c r="E40" s="14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3"/>
      <ns0:c r="B41" s="13"/>
      <ns0:c r="C41" s="14"/>
      <ns0:c r="D41" s="14"/>
      <ns0:c r="E41" s="14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3"/>
      <ns0:c r="B42" s="13"/>
      <ns0:c r="C42" s="14"/>
      <ns0:c r="D42" s="14"/>
      <ns0:c r="E42" s="14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3"/>
      <ns0:c r="B43" s="13" t="str">
        <ns0:v>管理费用</ns0:v>
      </ns0:c>
      <ns0:c r="C43" s="14"/>
      <ns0:c r="D43" s="14"/>
      <ns0:c r="E43" s="14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3"/>
      <ns0:c r="B44" s="13"/>
      <ns0:c r="C44" s="14"/>
      <ns0:c r="D44" s="14"/>
      <ns0:c r="E44" s="14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3"/>
      <ns0:c r="B45" s="13" t="str">
        <ns0:v>管理费用</ns0:v>
      </ns0:c>
      <ns0:c r="C45" s="14"/>
      <ns0:c r="D45" s="14"/>
      <ns0:c r="E45" s="14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3"/>
      <ns0:c r="B46" s="13"/>
      <ns0:c r="C46" s="14"/>
      <ns0:c r="D46" s="14"/>
      <ns0:c r="E46" s="14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3"/>
      <ns0:c r="B47" s="13" t="str">
        <ns0:v>管理费用</ns0:v>
      </ns0:c>
      <ns0:c r="C47" s="14"/>
      <ns0:c r="D47" s="14"/>
      <ns0:c r="E47" s="14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3"/>
      <ns0:c r="B48" s="13"/>
      <ns0:c r="C48" s="14"/>
      <ns0:c r="D48" s="14"/>
      <ns0:c r="E48" s="14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3"/>
      <ns0:c r="B49" s="13" t="str">
        <ns0:v>管理费用</ns0:v>
      </ns0:c>
      <ns0:c r="C49" s="14"/>
      <ns0:c r="D49" s="14"/>
      <ns0:c r="E49" s="14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3"/>
      <ns0:c r="B50" s="13"/>
      <ns0:c r="C50" s="14"/>
      <ns0:c r="D50" s="14"/>
      <ns0:c r="E50" s="14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3"/>
      <ns0:c r="B51" s="13"/>
      <ns0:c r="C51" s="14"/>
      <ns0:c r="D51" s="14"/>
      <ns0:c r="E51" s="14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3"/>
      <ns0:c r="B52" s="13"/>
      <ns0:c r="C52" s="14"/>
      <ns0:c r="D52" s="14"/>
      <ns0:c r="E52" s="14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3"/>
      <ns0:c r="B53" s="13"/>
      <ns0:c r="C53" s="14"/>
      <ns0:c r="D53" s="14"/>
      <ns0:c r="E53" s="14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3"/>
      <ns0:c r="B54" s="13"/>
      <ns0:c r="C54" s="14"/>
      <ns0:c r="D54" s="14"/>
      <ns0:c r="E54" s="14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3"/>
      <ns0:c r="B55" s="13"/>
      <ns0:c r="C55" s="14"/>
      <ns0:c r="D55" s="14"/>
      <ns0:c r="E55" s="14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3"/>
      <ns0:c r="B56" s="13"/>
      <ns0:c r="C56" s="14"/>
      <ns0:c r="D56" s="14"/>
      <ns0:c r="E56" s="14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3"/>
      <ns0:c r="B57" s="13"/>
      <ns0:c r="C57" s="14"/>
      <ns0:c r="D57" s="14"/>
      <ns0:c r="E57" s="14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3"/>
      <ns0:c r="B58" s="13"/>
      <ns0:c r="C58" s="14"/>
      <ns0:c r="D58" s="14"/>
      <ns0:c r="E58" s="14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3"/>
      <ns0:c r="B59" s="13"/>
      <ns0:c r="C59" s="14"/>
      <ns0:c r="D59" s="14"/>
      <ns0:c r="E59" s="14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3"/>
      <ns0:c r="B60" s="13"/>
      <ns0:c r="C60" s="14"/>
      <ns0:c r="D60" s="14"/>
      <ns0:c r="E60" s="14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3"/>
      <ns0:c r="B61" s="13"/>
      <ns0:c r="C61" s="14"/>
      <ns0:c r="D61" s="14"/>
      <ns0:c r="E61" s="14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3"/>
      <ns0:c r="B62" s="13"/>
      <ns0:c r="C62" s="14"/>
      <ns0:c r="D62" s="14"/>
      <ns0:c r="E62" s="14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3"/>
      <ns0:c r="B63" s="13"/>
      <ns0:c r="C63" s="14"/>
      <ns0:c r="D63" s="14"/>
      <ns0:c r="E63" s="14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3"/>
      <ns0:c r="B64" s="13"/>
      <ns0:c r="C64" s="14"/>
      <ns0:c r="D64" s="14"/>
      <ns0:c r="E64" s="14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3"/>
      <ns0:c r="B65" s="13"/>
      <ns0:c r="C65" s="14"/>
      <ns0:c r="D65" s="14"/>
      <ns0:c r="E65" s="14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3"/>
      <ns0:c r="B66" s="13"/>
      <ns0:c r="C66" s="14"/>
      <ns0:c r="D66" s="14"/>
      <ns0:c r="E66" s="14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3"/>
      <ns0:c r="B67" s="13"/>
      <ns0:c r="C67" s="14"/>
      <ns0:c r="D67" s="14"/>
      <ns0:c r="E67" s="14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3"/>
      <ns0:c r="B68" s="13"/>
      <ns0:c r="C68" s="14"/>
      <ns0:c r="D68" s="14"/>
      <ns0:c r="E68" s="14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3"/>
      <ns0:c r="B69" s="13"/>
      <ns0:c r="C69" s="14"/>
      <ns0:c r="D69" s="14"/>
      <ns0:c r="E69" s="14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3"/>
      <ns0:c r="B70" s="13"/>
      <ns0:c r="C70" s="14"/>
      <ns0:c r="D70" s="14"/>
      <ns0:c r="E70" s="14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3"/>
      <ns0:c r="B71" s="13"/>
      <ns0:c r="C71" s="14"/>
      <ns0:c r="D71" s="14"/>
      <ns0:c r="E71" s="14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3"/>
      <ns0:c r="B72" s="13"/>
      <ns0:c r="C72" s="14"/>
      <ns0:c r="D72" s="14"/>
      <ns0:c r="E72" s="14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3"/>
      <ns0:c r="B73" s="13"/>
      <ns0:c r="C73" s="14"/>
      <ns0:c r="D73" s="14"/>
      <ns0:c r="E73" s="14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3"/>
      <ns0:c r="B74" s="13"/>
      <ns0:c r="C74" s="14"/>
      <ns0:c r="D74" s="14"/>
      <ns0:c r="E74" s="14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3"/>
      <ns0:c r="B75" s="13"/>
      <ns0:c r="C75" s="14"/>
      <ns0:c r="D75" s="14"/>
      <ns0:c r="E75" s="14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3"/>
      <ns0:c r="B76" s="13"/>
      <ns0:c r="C76" s="14"/>
      <ns0:c r="D76" s="14"/>
      <ns0:c r="E76" s="14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3"/>
      <ns0:c r="B77" s="13"/>
      <ns0:c r="C77" s="14"/>
      <ns0:c r="D77" s="14"/>
      <ns0:c r="E77" s="14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3"/>
      <ns0:c r="B78" s="13"/>
      <ns0:c r="C78" s="14"/>
      <ns0:c r="D78" s="14"/>
      <ns0:c r="E78" s="14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3"/>
      <ns0:c r="B79" s="13"/>
      <ns0:c r="C79" s="14"/>
      <ns0:c r="D79" s="14"/>
      <ns0:c r="E79" s="14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3"/>
      <ns0:c r="B80" s="13" t="str">
        <ns0:v>管理费用</ns0:v>
      </ns0:c>
      <ns0:c r="C80" s="14"/>
      <ns0:c r="D80" s="14"/>
      <ns0:c r="E80" s="14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3"/>
      <ns0:c r="B81" s="13"/>
      <ns0:c r="C81" s="14"/>
      <ns0:c r="D81" s="14"/>
      <ns0:c r="E81" s="14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3"/>
      <ns0:c r="B82" s="13"/>
      <ns0:c r="C82" s="14"/>
      <ns0:c r="D82" s="14"/>
      <ns0:c r="E82" s="14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3"/>
      <ns0:c r="B83" s="13"/>
      <ns0:c r="C83" s="14"/>
      <ns0:c r="D83" s="14"/>
      <ns0:c r="E83" s="14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3"/>
      <ns0:c r="B84" s="13"/>
      <ns0:c r="C84" s="14"/>
      <ns0:c r="D84" s="14"/>
      <ns0:c r="E84" s="14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3"/>
      <ns0:c r="B85" s="13"/>
      <ns0:c r="C85" s="14"/>
      <ns0:c r="D85" s="14"/>
      <ns0:c r="E85" s="14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3"/>
      <ns0:c r="B86" s="13"/>
      <ns0:c r="C86" s="14"/>
      <ns0:c r="D86" s="14"/>
      <ns0:c r="E86" s="14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3"/>
      <ns0:c r="B87" s="13"/>
      <ns0:c r="C87" s="14"/>
      <ns0:c r="D87" s="14"/>
      <ns0:c r="E87" s="14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3"/>
      <ns0:c r="B88" s="13"/>
      <ns0:c r="C88" s="14"/>
      <ns0:c r="D88" s="14"/>
      <ns0:c r="E88" s="14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3"/>
      <ns0:c r="B89" s="13"/>
      <ns0:c r="C89" s="14"/>
      <ns0:c r="D89" s="14"/>
      <ns0:c r="E89" s="14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3"/>
      <ns0:c r="B90" s="13"/>
      <ns0:c r="C90" s="14"/>
      <ns0:c r="D90" s="14"/>
      <ns0:c r="E90" s="14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3"/>
      <ns0:c r="B91" s="13"/>
      <ns0:c r="C91" s="14"/>
      <ns0:c r="D91" s="14"/>
      <ns0:c r="E91" s="14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3"/>
      <ns0:c r="B92" s="13"/>
      <ns0:c r="C92" s="14"/>
      <ns0:c r="D92" s="14"/>
      <ns0:c r="E92" s="14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3"/>
      <ns0:c r="B93" s="13"/>
      <ns0:c r="C93" s="14"/>
      <ns0:c r="D93" s="14"/>
      <ns0:c r="E93" s="14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3"/>
      <ns0:c r="B94" s="13"/>
      <ns0:c r="C94" s="14"/>
      <ns0:c r="D94" s="14"/>
      <ns0:c r="E94" s="14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3"/>
      <ns0:c r="B95" s="13"/>
      <ns0:c r="C95" s="14"/>
      <ns0:c r="D95" s="14"/>
      <ns0:c r="E95" s="14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3"/>
      <ns0:c r="B96" s="13"/>
      <ns0:c r="C96" s="14"/>
      <ns0:c r="D96" s="14"/>
      <ns0:c r="E96" s="14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3"/>
      <ns0:c r="B97" s="13"/>
      <ns0:c r="C97" s="14"/>
      <ns0:c r="D97" s="14"/>
      <ns0:c r="E97" s="14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3"/>
      <ns0:c r="B98" s="13"/>
      <ns0:c r="C98" s="14"/>
      <ns0:c r="D98" s="14"/>
      <ns0:c r="E98" s="14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3"/>
      <ns0:c r="B99" s="13"/>
      <ns0:c r="C99" s="14"/>
      <ns0:c r="D99" s="14"/>
      <ns0:c r="E99" s="14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3"/>
      <ns0:c r="B100" s="13"/>
      <ns0:c r="C100" s="14"/>
      <ns0:c r="D100" s="14"/>
      <ns0:c r="E100" s="14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3"/>
      <ns0:c r="B101" s="13"/>
      <ns0:c r="C101" s="14"/>
      <ns0:c r="D101" s="14"/>
      <ns0:c r="E101" s="14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3"/>
      <ns0:c r="B102" s="13"/>
      <ns0:c r="C102" s="14"/>
      <ns0:c r="D102" s="14"/>
      <ns0:c r="E102" s="14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3"/>
      <ns0:c r="B103" s="13"/>
      <ns0:c r="C103" s="14"/>
      <ns0:c r="D103" s="14"/>
      <ns0:c r="E103" s="14"/>
      <ns0:c r="F103" s="12"/>
      <ns0:c r="G103" s="12"/>
      <ns0:c r="H103" s="12"/>
      <ns0:c r="I103" s="12"/>
      <ns0:c r="J103" s="12"/>
      <ns0:c r="K103" s="12"/>
      <ns0:c r="L103" s="12" t="str">
        <ns0:v>利息支出</ns0:v>
      </ns0:c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3"/>
      <ns0:c r="B104" s="13"/>
      <ns0:c r="C104" s="14"/>
      <ns0:c r="D104" s="14"/>
      <ns0:c r="E104" s="14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3"/>
      <ns0:c r="B105" s="13"/>
      <ns0:c r="C105" s="14"/>
      <ns0:c r="D105" s="14"/>
      <ns0:c r="E105" s="14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3"/>
      <ns0:c r="B106" s="13"/>
      <ns0:c r="C106" s="14"/>
      <ns0:c r="D106" s="14"/>
      <ns0:c r="E106" s="14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3"/>
      <ns0:c r="B107" s="13"/>
      <ns0:c r="C107" s="14"/>
      <ns0:c r="D107" s="14"/>
      <ns0:c r="E107" s="14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3"/>
      <ns0:c r="B108" s="13"/>
      <ns0:c r="C108" s="14"/>
      <ns0:c r="D108" s="14"/>
      <ns0:c r="E108" s="14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3"/>
      <ns0:c r="B109" s="13"/>
      <ns0:c r="C109" s="14"/>
      <ns0:c r="D109" s="14"/>
      <ns0:c r="E109" s="14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3"/>
      <ns0:c r="B110" s="13"/>
      <ns0:c r="C110" s="14"/>
      <ns0:c r="D110" s="14"/>
      <ns0:c r="E110" s="14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3"/>
      <ns0:c r="B111" s="13" t="str">
        <ns0:v>财务费用</ns0:v>
      </ns0:c>
      <ns0:c r="C111" s="14"/>
      <ns0:c r="D111" s="14"/>
      <ns0:c r="E111" s="14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3"/>
      <ns0:c r="B112" s="13"/>
      <ns0:c r="C112" s="14"/>
      <ns0:c r="D112" s="14"/>
      <ns0:c r="E112" s="14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3"/>
      <ns0:c r="B113" s="13"/>
      <ns0:c r="C113" s="14"/>
      <ns0:c r="D113" s="14"/>
      <ns0:c r="E113" s="14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3"/>
      <ns0:c r="B114" s="13"/>
      <ns0:c r="C114" s="14"/>
      <ns0:c r="D114" s="14"/>
      <ns0:c r="E114" s="14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3"/>
      <ns0:c r="B115" s="13"/>
      <ns0:c r="C115" s="14"/>
      <ns0:c r="D115" s="14"/>
      <ns0:c r="E115" s="14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3"/>
      <ns0:c r="B116" s="13"/>
      <ns0:c r="C116" s="14"/>
      <ns0:c r="D116" s="14"/>
      <ns0:c r="E116" s="14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3"/>
      <ns0:c r="B117" s="13"/>
      <ns0:c r="C117" s="14"/>
      <ns0:c r="D117" s="14"/>
      <ns0:c r="E117" s="14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3"/>
      <ns0:c r="B118" s="13"/>
      <ns0:c r="C118" s="14"/>
      <ns0:c r="D118" s="14"/>
      <ns0:c r="E118" s="14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3"/>
      <ns0:c r="B119" s="13"/>
      <ns0:c r="C119" s="14"/>
      <ns0:c r="D119" s="14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3"/>
      <ns0:c r="B120" s="13"/>
      <ns0:c r="C120" s="14"/>
      <ns0:c r="D120" s="14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3"/>
      <ns0:c r="B121" s="13"/>
      <ns0:c r="C121" s="14"/>
      <ns0:c r="D121" s="14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3"/>
      <ns0:c r="B122" s="13"/>
      <ns0:c r="C122" s="14"/>
      <ns0:c r="D122" s="14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4"/>
      <ns0:c r="D129" s="14"/>
      <ns0:c r="E129" s="14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4"/>
      <ns0:c r="D130" s="14"/>
      <ns0:c r="E130" s="14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4"/>
      <ns0:c r="D131" s="14"/>
      <ns0:c r="E131" s="14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4"/>
      <ns0:c r="D132" s="14"/>
      <ns0:c r="E132" s="14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4"/>
      <ns0:c r="D133" s="14"/>
      <ns0:c r="E133" s="14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4"/>
      <ns0:c r="D134" s="14"/>
      <ns0:c r="E134" s="14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4"/>
      <ns0:c r="D135" s="14"/>
      <ns0:c r="E135" s="14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4"/>
      <ns0:c r="D136" s="14"/>
      <ns0:c r="E136" s="14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4"/>
      <ns0:c r="D137" s="14"/>
      <ns0:c r="E137" s="14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4"/>
      <ns0:c r="D138" s="14"/>
      <ns0:c r="E138" s="14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4"/>
      <ns0:c r="D139" s="14"/>
      <ns0:c r="E139" s="14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3" t="str">
        <ns0:v>期间</ns0:v>
      </ns0:c>
      <ns0:c r="B150" s="13" t="str">
        <ns0:v>科目</ns0:v>
      </ns0:c>
      <ns0:c r="C150" s="14" t="str">
        <ns0:v>借方</ns0:v>
      </ns0:c>
      <ns0:c r="D150" s="14" t="str">
        <ns0:v>贷方</ns0:v>
      </ns0:c>
      <ns0:c r="E150" s="14" t="str">
        <ns0:v>说明</ns0:v>
      </ns0:c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3" t="str">
        <ns0:v>1月</ns0:v>
      </ns0:c>
      <ns0:c r="B151" s="13" t="str">
        <ns0:v>银行存款</ns0:v>
      </ns0:c>
      <ns0:c r="C151" s="14" t="n">
        <ns0:f>'利润表'!C61</ns0:f>
      </ns0:c>
      <ns0:c r="D151" s="14" t="n">
        <ns0:f>0</ns0:f>
      </ns0:c>
      <ns0:c r="E151" s="14" t="str">
        <ns0:v>占位收入分录，非完整总账</ns0:v>
      </ns0:c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3"/>
      <ns0:c r="B152" s="13" t="str">
        <ns0:v>主营业务收入</ns0:v>
      </ns0:c>
      <ns0:c r="C152" s="14" t="n">
        <ns0:f>0</ns0:f>
      </ns0:c>
      <ns0:c r="D152" s="14" t="n">
        <ns0:f>C151</ns0:f>
      </ns0:c>
      <ns0:c r="E152" s="14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3" t="str">
        <ns0:v>2月</ns0:v>
      </ns0:c>
      <ns0:c r="B153" s="13" t="str">
        <ns0:v>银行存款</ns0:v>
      </ns0:c>
      <ns0:c r="C153" s="14" t="n">
        <ns0:f>'利润表'!D61</ns0:f>
      </ns0:c>
      <ns0:c r="D153" s="14" t="n">
        <ns0:f>0</ns0:f>
      </ns0:c>
      <ns0:c r="E153" s="14" t="str">
        <ns0:v>占位收入分录，非完整总账</ns0:v>
      </ns0:c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3"/>
      <ns0:c r="B154" s="13" t="str">
        <ns0:v>主营业务收入</ns0:v>
      </ns0:c>
      <ns0:c r="C154" s="14" t="n">
        <ns0:f>0</ns0:f>
      </ns0:c>
      <ns0:c r="D154" s="14" t="n">
        <ns0:f>C153</ns0:f>
      </ns0:c>
      <ns0:c r="E154" s="14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3" t="str">
        <ns0:v>3月</ns0:v>
      </ns0:c>
      <ns0:c r="B155" s="13" t="str">
        <ns0:v>银行存款</ns0:v>
      </ns0:c>
      <ns0:c r="C155" s="14" t="n">
        <ns0:f>'利润表'!E61</ns0:f>
      </ns0:c>
      <ns0:c r="D155" s="14" t="n">
        <ns0:f>0</ns0:f>
      </ns0:c>
      <ns0:c r="E155" s="14" t="str">
        <ns0:v>占位收入分录，非完整总账</ns0:v>
      </ns0:c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3"/>
      <ns0:c r="B156" s="13" t="str">
        <ns0:v>主营业务收入</ns0:v>
      </ns0:c>
      <ns0:c r="C156" s="14" t="n">
        <ns0:f>0</ns0:f>
      </ns0:c>
      <ns0:c r="D156" s="14" t="n">
        <ns0:f>C155</ns0:f>
      </ns0:c>
      <ns0:c r="E156" s="14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3" t="str">
        <ns0:v>4月</ns0:v>
      </ns0:c>
      <ns0:c r="B157" s="13" t="str">
        <ns0:v>银行存款</ns0:v>
      </ns0:c>
      <ns0:c r="C157" s="14" t="n">
        <ns0:f>'利润表'!F61</ns0:f>
      </ns0:c>
      <ns0:c r="D157" s="14" t="n">
        <ns0:f>0</ns0:f>
      </ns0:c>
      <ns0:c r="E157" s="14" t="str">
        <ns0:v>占位收入分录，非完整总账</ns0:v>
      </ns0:c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3"/>
      <ns0:c r="B158" s="13" t="str">
        <ns0:v>主营业务收入</ns0:v>
      </ns0:c>
      <ns0:c r="C158" s="14" t="n">
        <ns0:f>0</ns0:f>
      </ns0:c>
      <ns0:c r="D158" s="14" t="n">
        <ns0:f>C157</ns0:f>
      </ns0:c>
      <ns0:c r="E158" s="14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3" t="str">
        <ns0:v>5月</ns0:v>
      </ns0:c>
      <ns0:c r="B159" s="13" t="str">
        <ns0:v>银行存款</ns0:v>
      </ns0:c>
      <ns0:c r="C159" s="14" t="n">
        <ns0:f>'利润表'!G61</ns0:f>
      </ns0:c>
      <ns0:c r="D159" s="14" t="n">
        <ns0:f>0</ns0:f>
      </ns0:c>
      <ns0:c r="E159" s="14" t="str">
        <ns0:v>占位收入分录，非完整总账</ns0:v>
      </ns0:c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3"/>
      <ns0:c r="B160" s="13" t="str">
        <ns0:v>主营业务收入</ns0:v>
      </ns0:c>
      <ns0:c r="C160" s="14" t="n">
        <ns0:f>0</ns0:f>
      </ns0:c>
      <ns0:c r="D160" s="14" t="n">
        <ns0:f>C159</ns0:f>
      </ns0:c>
      <ns0:c r="E160" s="14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3" t="str">
        <ns0:v>6月</ns0:v>
      </ns0:c>
      <ns0:c r="B161" s="13" t="str">
        <ns0:v>银行存款</ns0:v>
      </ns0:c>
      <ns0:c r="C161" s="14" t="n">
        <ns0:f>'利润表'!H61</ns0:f>
      </ns0:c>
      <ns0:c r="D161" s="14" t="n">
        <ns0:f>0</ns0:f>
      </ns0:c>
      <ns0:c r="E161" s="14" t="str">
        <ns0:v>占位收入分录，非完整总账</ns0:v>
      </ns0:c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3"/>
      <ns0:c r="B162" s="13" t="str">
        <ns0:v>主营业务收入</ns0:v>
      </ns0:c>
      <ns0:c r="C162" s="14" t="n">
        <ns0:f>0</ns0:f>
      </ns0:c>
      <ns0:c r="D162" s="14" t="n">
        <ns0:f>C161</ns0:f>
      </ns0:c>
      <ns0:c r="E162" s="14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3" t="str">
        <ns0:v>7月</ns0:v>
      </ns0:c>
      <ns0:c r="B163" s="13" t="str">
        <ns0:v>银行存款</ns0:v>
      </ns0:c>
      <ns0:c r="C163" s="14" t="n">
        <ns0:f>'利润表'!I61</ns0:f>
      </ns0:c>
      <ns0:c r="D163" s="14" t="n">
        <ns0:f>0</ns0:f>
      </ns0:c>
      <ns0:c r="E163" s="14" t="str">
        <ns0:v>占位收入分录，非完整总账</ns0:v>
      </ns0:c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3"/>
      <ns0:c r="B164" s="13" t="str">
        <ns0:v>主营业务收入</ns0:v>
      </ns0:c>
      <ns0:c r="C164" s="14" t="n">
        <ns0:f>0</ns0:f>
      </ns0:c>
      <ns0:c r="D164" s="14" t="n">
        <ns0:f>C163</ns0:f>
      </ns0:c>
      <ns0:c r="E164" s="14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3" t="str">
        <ns0:v>8月</ns0:v>
      </ns0:c>
      <ns0:c r="B165" s="13" t="str">
        <ns0:v>银行存款</ns0:v>
      </ns0:c>
      <ns0:c r="C165" s="14" t="n">
        <ns0:f>'利润表'!J61</ns0:f>
      </ns0:c>
      <ns0:c r="D165" s="14" t="n">
        <ns0:f>0</ns0:f>
      </ns0:c>
      <ns0:c r="E165" s="14" t="str">
        <ns0:v>占位收入分录，非完整总账</ns0:v>
      </ns0:c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3"/>
      <ns0:c r="B166" s="13" t="str">
        <ns0:v>主营业务收入</ns0:v>
      </ns0:c>
      <ns0:c r="C166" s="14" t="n">
        <ns0:f>0</ns0:f>
      </ns0:c>
      <ns0:c r="D166" s="14" t="n">
        <ns0:f>C165</ns0:f>
      </ns0:c>
      <ns0:c r="E166" s="14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3" t="str">
        <ns0:v>9月</ns0:v>
      </ns0:c>
      <ns0:c r="B167" s="13" t="str">
        <ns0:v>银行存款</ns0:v>
      </ns0:c>
      <ns0:c r="C167" s="14" t="n">
        <ns0:f>'利润表'!K61</ns0:f>
      </ns0:c>
      <ns0:c r="D167" s="14" t="n">
        <ns0:f>0</ns0:f>
      </ns0:c>
      <ns0:c r="E167" s="14" t="str">
        <ns0:v>占位收入分录，非完整总账</ns0:v>
      </ns0:c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3"/>
      <ns0:c r="B168" s="13" t="str">
        <ns0:v>主营业务收入</ns0:v>
      </ns0:c>
      <ns0:c r="C168" s="14" t="n">
        <ns0:f>0</ns0:f>
      </ns0:c>
      <ns0:c r="D168" s="14" t="n">
        <ns0:f>C167</ns0:f>
      </ns0:c>
      <ns0:c r="E168" s="14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3" t="str">
        <ns0:v>10月</ns0:v>
      </ns0:c>
      <ns0:c r="B169" s="13" t="str">
        <ns0:v>银行存款</ns0:v>
      </ns0:c>
      <ns0:c r="C169" s="14" t="n">
        <ns0:f>'利润表'!L61</ns0:f>
      </ns0:c>
      <ns0:c r="D169" s="14" t="n">
        <ns0:f>0</ns0:f>
      </ns0:c>
      <ns0:c r="E169" s="14" t="str">
        <ns0:v>占位收入分录，非完整总账</ns0:v>
      </ns0:c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3"/>
      <ns0:c r="B170" s="13" t="str">
        <ns0:v>主营业务收入</ns0:v>
      </ns0:c>
      <ns0:c r="C170" s="14" t="n">
        <ns0:f>0</ns0:f>
      </ns0:c>
      <ns0:c r="D170" s="14" t="n">
        <ns0:f>C169</ns0:f>
      </ns0:c>
      <ns0:c r="E170" s="14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3" t="str">
        <ns0:v>11月</ns0:v>
      </ns0:c>
      <ns0:c r="B171" s="13" t="str">
        <ns0:v>银行存款</ns0:v>
      </ns0:c>
      <ns0:c r="C171" s="14" t="n">
        <ns0:f>'利润表'!M61</ns0:f>
      </ns0:c>
      <ns0:c r="D171" s="14" t="n">
        <ns0:f>0</ns0:f>
      </ns0:c>
      <ns0:c r="E171" s="14" t="str">
        <ns0:v>占位收入分录，非完整总账</ns0:v>
      </ns0:c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3"/>
      <ns0:c r="B172" s="13" t="str">
        <ns0:v>主营业务收入</ns0:v>
      </ns0:c>
      <ns0:c r="C172" s="14" t="n">
        <ns0:f>0</ns0:f>
      </ns0:c>
      <ns0:c r="D172" s="14" t="n">
        <ns0:f>C171</ns0:f>
      </ns0:c>
      <ns0:c r="E172" s="14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3" t="str">
        <ns0:v>12月</ns0:v>
      </ns0:c>
      <ns0:c r="B173" s="13" t="str">
        <ns0:v>银行存款</ns0:v>
      </ns0:c>
      <ns0:c r="C173" s="14" t="n">
        <ns0:f>'利润表'!N61</ns0:f>
      </ns0:c>
      <ns0:c r="D173" s="14" t="n">
        <ns0:f>0</ns0:f>
      </ns0:c>
      <ns0:c r="E173" s="14" t="str">
        <ns0:v>占位收入分录，非完整总账</ns0:v>
      </ns0:c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3"/>
      <ns0:c r="B174" s="13" t="str">
        <ns0:v>主营业务收入</ns0:v>
      </ns0:c>
      <ns0:c r="C174" s="14" t="n">
        <ns0:f>0</ns0:f>
      </ns0:c>
      <ns0:c r="D174" s="14" t="n">
        <ns0:f>C173</ns0:f>
      </ns0:c>
      <ns0:c r="E174" s="14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3"/>
      <ns0:c r="B175" s="13"/>
      <ns0:c r="C175" s="14"/>
      <ns0:c r="D175" s="14"/>
      <ns0:c r="E175" s="14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pageMargins left="0.7" right="0.7" top="0.75" bottom="0.75" header="0.3" footer="0.3"/>
</ns0:worksheet>
</file>