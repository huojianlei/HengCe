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a24bc2bb3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86ac04bbfe2d44a0"/>
    <x:sheet xmlns:r="http://schemas.openxmlformats.org/officeDocument/2006/relationships" name="资产负债表" sheetId="2" r:id="R557fb5b09f074fb9"/>
    <x:sheet xmlns:r="http://schemas.openxmlformats.org/officeDocument/2006/relationships" name="现金流量表" sheetId="3" r:id="Re47f445ed50248d6"/>
    <x:sheet xmlns:r="http://schemas.openxmlformats.org/officeDocument/2006/relationships" name="收入非主控" sheetId="4" r:id="Raf8f270b19e64c7a"/>
    <x:sheet xmlns:r="http://schemas.openxmlformats.org/officeDocument/2006/relationships" name="收入主控" sheetId="5" r:id="R951a5b9cc32c44e1"/>
    <x:sheet xmlns:r="http://schemas.openxmlformats.org/officeDocument/2006/relationships" name="税金及附加" sheetId="6" r:id="R100f205694ea4d77"/>
    <x:sheet xmlns:r="http://schemas.openxmlformats.org/officeDocument/2006/relationships" name="销售费用" sheetId="7" r:id="R5ef33cc9504b4897"/>
    <x:sheet xmlns:r="http://schemas.openxmlformats.org/officeDocument/2006/relationships" name="管理费用" sheetId="8" r:id="Re34eb92468b2415e"/>
    <x:sheet xmlns:r="http://schemas.openxmlformats.org/officeDocument/2006/relationships" name="蓝恐龙费用" sheetId="9" r:id="R26defd99712e4366"/>
    <x:sheet xmlns:r="http://schemas.openxmlformats.org/officeDocument/2006/relationships" name="费用表月度汇总" sheetId="10" r:id="Rd754dae0b3054818"/>
    <x:sheet xmlns:r="http://schemas.openxmlformats.org/officeDocument/2006/relationships" name="摊销明细" sheetId="11" r:id="Rcbd72bafa8184647"/>
    <x:sheet xmlns:r="http://schemas.openxmlformats.org/officeDocument/2006/relationships" name="分录" sheetId="12" r:id="Rfdc5e3340ac5411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ns0:styleSheet xmlns:ns0="http://schemas.openxmlformats.org/spreadsheetml/2006/main">
  <ns0:numFmts count="1">
    <ns0:numFmt numFmtId="200" formatCode="#,##0.00;(#,##0.00);&quot;—&quot;"/>
  </ns0:numFmts>
  <ns0:fonts count="3">
    <ns0:font>
      <ns0:sz val="11"/>
      <ns0:name val="Carlito"/>
    </ns0:font>
    <ns0:font>
      <ns0:sz val="10"/>
      <ns0:name val="Microsoft YaHei"/>
    </ns0:font>
    <ns0:font>
      <ns0:sz val="10"/>
      <ns0:color rgb="FF0000FF"/>
      <ns0:name val="Microsoft YaHei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E5EAF0"/>
      </ns0:patternFill>
    </ns0:fill>
  </ns0:fills>
  <ns0:borders count="1">
    <ns0:border/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</ns0:borders>
  <ns0:cellStyleXfs count="1">
    <ns0:xf numFmtId="0" fontId="0" fillId="0" borderId="0"/>
  </ns0:cellStyleXfs>
  <ns0:cellXfs count="7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200" fontId="2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200" fontId="1" fillId="2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200" fontId="1" fillId="0" borderId="1" xfId="0" applyNumberFormat="1" applyFont="1" applyFill="1" applyBorder="1" applyAlignment="1">
      <ns0:alignment vertical="center"/>
    </ns0:xf>
    <ns0:xf numFmtId="200" fontId="1" fillId="2" borderId="1" xfId="0" applyNumberFormat="1" applyFont="1" applyFill="1" applyBorder="1" applyAlignment="1">
      <ns0:alignment vertical="center"/>
    </ns0:xf>
    <ns0:xf numFmtId="0" fontId="1" fillId="2" borderId="1" xfId="0" applyNumberFormat="1" applyFont="1" applyFill="1" applyBorder="1" applyAlignment="1">
      <ns0:alignment vertical="center"/>
    </ns0:xf>
    <ns0:xf numFmtId="200" fontId="2" fillId="0" borderId="1" xfId="0" applyNumberFormat="1" applyFont="1" applyFill="1" applyBorder="1" applyAlignment="1">
      <ns0:alignment vertical="center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c76f3152a4fb2" /><Relationship Type="http://schemas.openxmlformats.org/officeDocument/2006/relationships/theme" Target="/xl/theme/theme1.xml" Id="R1e87b76cd0424561" /><Relationship Type="http://schemas.openxmlformats.org/officeDocument/2006/relationships/sharedStrings" Target="/xl/sharedStrings.xml" Id="Rb0086af23267444e" /><Relationship Type="http://schemas.openxmlformats.org/officeDocument/2006/relationships/worksheet" Target="/xl/worksheets/sheet1.xml" Id="R86ac04bbfe2d44a0" /><Relationship Type="http://schemas.openxmlformats.org/officeDocument/2006/relationships/worksheet" Target="/xl/worksheets/sheet2.xml" Id="R557fb5b09f074fb9" /><Relationship Type="http://schemas.openxmlformats.org/officeDocument/2006/relationships/worksheet" Target="/xl/worksheets/sheet3.xml" Id="Re47f445ed50248d6" /><Relationship Type="http://schemas.openxmlformats.org/officeDocument/2006/relationships/worksheet" Target="/xl/worksheets/sheet4.xml" Id="Raf8f270b19e64c7a" /><Relationship Type="http://schemas.openxmlformats.org/officeDocument/2006/relationships/worksheet" Target="/xl/worksheets/sheet5.xml" Id="R951a5b9cc32c44e1" /><Relationship Type="http://schemas.openxmlformats.org/officeDocument/2006/relationships/worksheet" Target="/xl/worksheets/sheet6.xml" Id="R100f205694ea4d77" /><Relationship Type="http://schemas.openxmlformats.org/officeDocument/2006/relationships/worksheet" Target="/xl/worksheets/sheet7.xml" Id="R5ef33cc9504b4897" /><Relationship Type="http://schemas.openxmlformats.org/officeDocument/2006/relationships/worksheet" Target="/xl/worksheets/sheet8.xml" Id="Re34eb92468b2415e" /><Relationship Type="http://schemas.openxmlformats.org/officeDocument/2006/relationships/worksheet" Target="/xl/worksheets/sheet9.xml" Id="R26defd99712e4366" /><Relationship Type="http://schemas.openxmlformats.org/officeDocument/2006/relationships/worksheet" Target="/xl/worksheets/sheet10.xml" Id="Rd754dae0b3054818" /><Relationship Type="http://schemas.openxmlformats.org/officeDocument/2006/relationships/worksheet" Target="/xl/worksheets/sheet11.xml" Id="Rcbd72bafa8184647" /><Relationship Type="http://schemas.openxmlformats.org/officeDocument/2006/relationships/worksheet" Target="/xl/worksheets/sheet12.xml" Id="Rfdc5e3340ac541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     目</ns0:t>
        </ns0:is>
      </ns0:c>
      <ns0:c r="B2" s="7" t="inlineStr">
        <ns0:is>
          <ns0:t>行数</ns0:t>
        </ns0:is>
      </ns0:c>
      <ns0:c r="C2" s="8" t="inlineStr">
        <ns0:is>
          <ns0:t>峋瑞精密制造有限公司 / 基础情景</ns0:t>
        </ns0:is>
      </ns0:c>
      <ns0:c r="D2" s="8"/>
      <ns0:c r="E2" s="8"/>
      <ns0:c r="F2" s="8" t="inlineStr">
        <ns0:is>
          <ns0:t>其他主体费用计入管理费用展示</ns0:t>
        </ns0:is>
      </ns0:c>
      <ns0:c r="G2" s="8"/>
      <ns0:c r="H2" s="8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 t="inlineStr">
        <ns0:is>
          <ns0:t>本期金额（6月）</ns0:t>
        </ns0:is>
      </ns0:c>
      <ns0:c r="D3" s="9" t="inlineStr">
        <ns0:is>
          <ns0:t>本年累计</ns0:t>
        </ns0:is>
      </ns0:c>
      <ns0:c r="E3" s="9"/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一、营业收入</ns0:t>
        </ns0:is>
      </ns0:c>
      <ns0:c r="B4" s="7"/>
      <ns0:c r="C4" s="8">
        <ns0:f>H61</ns0:f>
        <ns0:v>419408.74</ns0:v>
      </ns0:c>
      <ns0:c r="D4" s="8">
        <ns0:f>SUM(C61:H61)</ns0:f>
        <ns0:v>2428920.35</ns0:v>
      </ns0:c>
      <ns0:c r="E4" s="8"/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 t="inlineStr">
        <ns0:is>
          <ns0:t>减：营业成本</ns0:t>
        </ns0:is>
      </ns0:c>
      <ns0:c r="B5" s="7"/>
      <ns0:c r="C5" s="8">
        <ns0:f>H62</ns0:f>
        <ns0:v>160235.64</ns0:v>
      </ns0:c>
      <ns0:c r="D5" s="8">
        <ns0:f>SUM(C62:H62)</ns0:f>
        <ns0:v>892036.01</ns0:v>
      </ns0:c>
      <ns0:c r="E5" s="8"/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营业税金及附加</ns0:t>
        </ns0:is>
      </ns0:c>
      <ns0:c r="B6" s="7"/>
      <ns0:c r="C6" s="8">
        <ns0:f>H63</ns0:f>
        <ns0:v>4194.09</ns0:v>
      </ns0:c>
      <ns0:c r="D6" s="8">
        <ns0:f>SUM(C63:H63)</ns0:f>
        <ns0:v>24289.21</ns0:v>
      </ns0:c>
      <ns0:c r="E6" s="8"/>
      <ns0:c r="F6" s="8"/>
      <ns0:c r="G6" s="8"/>
      <ns0:c r="H6" s="8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销售费用</ns0:t>
        </ns0:is>
      </ns0:c>
      <ns0:c r="B7" s="7"/>
      <ns0:c r="C7" s="8">
        <ns0:f>H64-'销售费用'!H28</ns0:f>
        <ns0:v>95465.09</ns0:v>
      </ns0:c>
      <ns0:c r="D7" s="8">
        <ns0:f>SUM(C64:H64)-SUM('销售费用'!O28:O30)</ns0:f>
        <ns0:v>574253.89</ns0:v>
      </ns0:c>
      <ns0:c r="E7" s="8"/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管理费用</ns0:t>
        </ns0:is>
      </ns0:c>
      <ns0:c r="B8" s="7"/>
      <ns0:c r="C8" s="8">
        <ns0:f>H65+H66-'管理费用'!H28-'蓝恐龙费用'!H28</ns0:f>
        <ns0:v>98433.83</ns0:v>
      </ns0:c>
      <ns0:c r="D8" s="8">
        <ns0:f>SUM(C65:H66)-SUM('管理费用'!O28:O30,'蓝恐龙费用'!O28:O30)</ns0:f>
        <ns0:v>589389.52</ns0:v>
      </ns0:c>
      <ns0:c r="E8" s="8"/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财务费用</ns0:t>
        </ns0:is>
      </ns0:c>
      <ns0:c r="B9" s="7"/>
      <ns0:c r="C9" s="8">
        <ns0:f>'销售费用'!H28+'销售费用'!H29+'销售费用'!H30+'管理费用'!H28+'管理费用'!H29+'管理费用'!H30+'蓝恐龙费用'!H28+'蓝恐龙费用'!H29+'蓝恐龙费用'!H30</ns0:f>
        <ns0:v>1005.42</ns0:v>
      </ns0:c>
      <ns0:c r="D9" s="8">
        <ns0:f>SUM('销售费用'!O28:O30,'管理费用'!O28:O30,'蓝恐龙费用'!O28:O30)</ns0:f>
        <ns0:v>5741.22</ns0:v>
      </ns0:c>
      <ns0:c r="E9" s="8"/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资产减值损失</ns0:t>
        </ns0:is>
      </ns0:c>
      <ns0:c r="B10" s="7"/>
      <ns0:c r="C10" s="8">
        <ns0:f>SUM(U128:U128)</ns0:f>
        <ns0:v>0</ns0:v>
      </ns0:c>
      <ns0:c r="D10" s="8">
        <ns0:f>AB128</ns0:f>
        <ns0:v>0</ns0:v>
      </ns0:c>
      <ns0:c r="E10" s="8"/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加：公允价值变动收益（损失以“-”号填列）</ns0:t>
        </ns0:is>
      </ns0:c>
      <ns0:c r="B11" s="7"/>
      <ns0:c r="C11" s="8">
        <ns0:f>SUM(U129:U129)</ns0:f>
        <ns0:v>0</ns0:v>
      </ns0:c>
      <ns0:c r="D11" s="8">
        <ns0:f>AB129</ns0:f>
        <ns0:v>0</ns0:v>
      </ns0:c>
      <ns0:c r="E11" s="8"/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投资收益（损失以“-”号填列）</ns0:t>
        </ns0:is>
      </ns0:c>
      <ns0:c r="B12" s="7"/>
      <ns0:c r="C12" s="8">
        <ns0:f>SUM(U126:U126)</ns0:f>
        <ns0:v>0</ns0:v>
      </ns0:c>
      <ns0:c r="D12" s="8">
        <ns0:f>AB126</ns0:f>
        <ns0:v>0</ns0:v>
      </ns0:c>
      <ns0:c r="E12" s="8"/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其中:对联营企业和合营企业的投资收益</ns0:t>
        </ns0:is>
      </ns0:c>
      <ns0:c r="B13" s="7"/>
      <ns0:c r="C13" s="8">
        <ns0:f>SUM(U127:U127)</ns0:f>
        <ns0:v>0</ns0:v>
      </ns0:c>
      <ns0:c r="D13" s="8">
        <ns0:f>AB127</ns0:f>
        <ns0:v>0</ns0:v>
      </ns0:c>
      <ns0:c r="E13" s="8"/>
      <ns0:c r="F13" s="8"/>
      <ns0:c r="G13" s="8"/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二、营业利润（亏损以“-”号填列）</ns0:t>
        </ns0:is>
      </ns0:c>
      <ns0:c r="B14" s="7"/>
      <ns0:c r="C14" s="8">
        <ns0:f>C4-C5-C6-C7-C8-C9-C10+C11+C12</ns0:f>
        <ns0:v>60074.67</ns0:v>
      </ns0:c>
      <ns0:c r="D14" s="8">
        <ns0:f>D4-D5-D6-D7-D8-D9-D10+D11+D12</ns0:f>
        <ns0:v>343210.50</ns0:v>
      </ns0:c>
      <ns0:c r="E14" s="8"/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加：营业外收入</ns0:t>
        </ns0:is>
      </ns0:c>
      <ns0:c r="B15" s="7"/>
      <ns0:c r="C15" s="8">
        <ns0:f>SUM(U123:U123)</ns0:f>
        <ns0:v>1372.19</ns0:v>
      </ns0:c>
      <ns0:c r="D15" s="8">
        <ns0:f>AB123</ns0:f>
        <ns0:v>7178.63</ns0:v>
      </ns0:c>
      <ns0:c r="E15" s="8"/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减：营业外支出</ns0:t>
        </ns0:is>
      </ns0:c>
      <ns0:c r="B16" s="7"/>
      <ns0:c r="C16" s="8">
        <ns0:f>SUM(U124:U124)</ns0:f>
        <ns0:v>678.64</ns0:v>
      </ns0:c>
      <ns0:c r="D16" s="8">
        <ns0:f>AB124</ns0:f>
        <ns0:v>4163.32</ns0:v>
      </ns0:c>
      <ns0:c r="E16" s="8"/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其中：非流动资产处置损失</ns0:t>
        </ns0:is>
      </ns0:c>
      <ns0:c r="B17" s="7"/>
      <ns0:c r="C17" s="8">
        <ns0:f>SUM(U125:U125)</ns0:f>
        <ns0:v>0</ns0:v>
      </ns0:c>
      <ns0:c r="D17" s="8">
        <ns0:f>AB125</ns0:f>
        <ns0:v>0</ns0:v>
      </ns0:c>
      <ns0:c r="E17" s="8"/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 t="inlineStr">
        <ns0:is>
          <ns0:t>三、利润总额（亏损总额以“-”号填列）</ns0:t>
        </ns0:is>
      </ns0:c>
      <ns0:c r="B18" s="7"/>
      <ns0:c r="C18" s="8">
        <ns0:f>C14+C15-C16</ns0:f>
        <ns0:v>60768.22</ns0:v>
      </ns0:c>
      <ns0:c r="D18" s="8">
        <ns0:f>D14+D15-D16</ns0:f>
        <ns0:v>346225.81</ns0:v>
      </ns0:c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减：所得税费用</ns0:t>
        </ns0:is>
      </ns0:c>
      <ns0:c r="B19" s="7"/>
      <ns0:c r="C19" s="8">
        <ns0:f>H68</ns0:f>
        <ns0:v>15018.67</ns0:v>
      </ns0:c>
      <ns0:c r="D19" s="8">
        <ns0:f>SUM(C68:H68)</ns0:f>
        <ns0:v>85802.64</ns0:v>
      </ns0:c>
      <ns0:c r="E19" s="8"/>
      <ns0:c r="F19" s="8"/>
      <ns0:c r="G19" s="8"/>
      <ns0:c r="H19" s="8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四、净利润（净亏损以“-”号填列）</ns0:t>
        </ns0:is>
      </ns0:c>
      <ns0:c r="B20" s="7"/>
      <ns0:c r="C20" s="8">
        <ns0:f>C18-C19</ns0:f>
        <ns0:v>45749.55</ns0:v>
      </ns0:c>
      <ns0:c r="D20" s="8">
        <ns0:f>D18-D19</ns0:f>
        <ns0:v>260423.17</ns0:v>
      </ns0:c>
      <ns0:c r="E20" s="8"/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五、每股收益：</ns0:t>
        </ns0:is>
      </ns0:c>
      <ns0:c r="B21" s="7"/>
      <ns0:c r="C21" s="8"/>
      <ns0:c r="D21" s="8"/>
      <ns0:c r="E21" s="8"/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（一）基本每股收益</ns0:t>
        </ns0:is>
      </ns0:c>
      <ns0:c r="B22" s="7"/>
      <ns0:c r="C22" s="8">
        <ns0:f>ROUND(C20/P131,4)</ns0:f>
        <ns0:v>0.0457</ns0:v>
      </ns0:c>
      <ns0:c r="D22" s="8">
        <ns0:f>AB132</ns0:f>
        <ns0:v>0.2604</ns0:v>
      </ns0:c>
      <ns0:c r="E22" s="8"/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（二）稀释每股收益</ns0:t>
        </ns0:is>
      </ns0:c>
      <ns0:c r="B23" s="7"/>
      <ns0:c r="C23" s="8">
        <ns0:f>C22</ns0:f>
        <ns0:v>0.0457</ns0:v>
      </ns0:c>
      <ns0:c r="D23" s="8">
        <ns0:f>AB133</ns0:f>
        <ns0:v>0.2604</ns0:v>
      </ns0:c>
      <ns0:c r="E23" s="8"/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营业收入</ns0:t>
        </ns0:is>
      </ns0:c>
      <ns0:c r="C61" s="8">
        <ns0:f>'收入非主控'!C33+'收入主控'!C33</ns0:f>
        <ns0:v>401118.18</ns0:v>
      </ns0:c>
      <ns0:c r="D61" s="8">
        <ns0:f>'收入非主控'!D33+'收入主控'!D33</ns0:f>
        <ns0:v>418145.22</ns0:v>
      </ns0:c>
      <ns0:c r="E61" s="8">
        <ns0:f>'收入非主控'!E33+'收入主控'!E33</ns0:f>
        <ns0:v>391604.69</ns0:v>
      </ns0:c>
      <ns0:c r="F61" s="8">
        <ns0:f>'收入非主控'!F33+'收入主控'!F33</ns0:f>
        <ns0:v>408460.59</ns0:v>
      </ns0:c>
      <ns0:c r="G61" s="8">
        <ns0:f>'收入非主控'!G33+'收入主控'!G33</ns0:f>
        <ns0:v>390182.93</ns0:v>
      </ns0:c>
      <ns0:c r="H61" s="8">
        <ns0:f>'收入非主控'!H33+'收入主控'!H33</ns0:f>
        <ns0:v>419408.74</ns0:v>
      </ns0:c>
      <ns0:c r="I61" s="8">
        <ns0:f>'收入非主控'!I33+'收入主控'!I33</ns0:f>
        <ns0:v>0.00</ns0:v>
      </ns0:c>
      <ns0:c r="J61" s="8">
        <ns0:f>'收入非主控'!J33+'收入主控'!J33</ns0:f>
        <ns0:v>0.00</ns0:v>
      </ns0:c>
      <ns0:c r="K61" s="8">
        <ns0:f>'收入非主控'!K33+'收入主控'!K33</ns0:f>
        <ns0:v>0.00</ns0:v>
      </ns0:c>
      <ns0:c r="L61" s="8">
        <ns0:f>'收入非主控'!L33+'收入主控'!L33</ns0:f>
        <ns0:v>0.00</ns0:v>
      </ns0:c>
      <ns0:c r="M61" s="8">
        <ns0:f>'收入非主控'!M33+'收入主控'!M33</ns0:f>
        <ns0:v>0.00</ns0:v>
      </ns0:c>
      <ns0:c r="N61" s="8">
        <ns0:f>'收入非主控'!N33+'收入主控'!N33</ns0:f>
        <ns0:v>0.00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营业成本</ns0:t>
        </ns0:is>
      </ns0:c>
      <ns0:c r="C62" s="8">
        <ns0:f>'收入非主控'!C36+'收入主控'!C36</ns0:f>
        <ns0:v>139245.78</ns0:v>
      </ns0:c>
      <ns0:c r="D62" s="8">
        <ns0:f>'收入非主控'!D36+'收入主控'!D36</ns0:f>
        <ns0:v>148069.53</ns0:v>
      </ns0:c>
      <ns0:c r="E62" s="8">
        <ns0:f>'收入非主控'!E36+'收入主控'!E36</ns0:f>
        <ns0:v>171950.82</ns0:v>
      </ns0:c>
      <ns0:c r="F62" s="8">
        <ns0:f>'收入非主控'!F36+'收入主控'!F36</ns0:f>
        <ns0:v>130644.85</ns0:v>
      </ns0:c>
      <ns0:c r="G62" s="8">
        <ns0:f>'收入非主控'!G36+'收入主控'!G36</ns0:f>
        <ns0:v>141889.39</ns0:v>
      </ns0:c>
      <ns0:c r="H62" s="8">
        <ns0:f>'收入非主控'!H36+'收入主控'!H36</ns0:f>
        <ns0:v>160235.64</ns0:v>
      </ns0:c>
      <ns0:c r="I62" s="8">
        <ns0:f>'收入非主控'!I36+'收入主控'!I36</ns0:f>
        <ns0:v>0.00</ns0:v>
      </ns0:c>
      <ns0:c r="J62" s="8">
        <ns0:f>'收入非主控'!J36+'收入主控'!J36</ns0:f>
        <ns0:v>0.00</ns0:v>
      </ns0:c>
      <ns0:c r="K62" s="8">
        <ns0:f>'收入非主控'!K36+'收入主控'!K36</ns0:f>
        <ns0:v>0.00</ns0:v>
      </ns0:c>
      <ns0:c r="L62" s="8">
        <ns0:f>'收入非主控'!L36+'收入主控'!L36</ns0:f>
        <ns0:v>0.00</ns0:v>
      </ns0:c>
      <ns0:c r="M62" s="8">
        <ns0:f>'收入非主控'!M36+'收入主控'!M36</ns0:f>
        <ns0:v>0.00</ns0:v>
      </ns0:c>
      <ns0:c r="N62" s="8">
        <ns0:f>'收入非主控'!N36+'收入主控'!N36</ns0:f>
        <ns0:v>0.00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税金及附加</ns0:t>
        </ns0:is>
      </ns0:c>
      <ns0:c r="C63" s="8">
        <ns0:f>'税金及附加'!C33</ns0:f>
        <ns0:v>4011.18</ns0:v>
      </ns0:c>
      <ns0:c r="D63" s="8">
        <ns0:f>'税金及附加'!D33</ns0:f>
        <ns0:v>4181.45</ns0:v>
      </ns0:c>
      <ns0:c r="E63" s="8">
        <ns0:f>'税金及附加'!E33</ns0:f>
        <ns0:v>3916.05</ns0:v>
      </ns0:c>
      <ns0:c r="F63" s="8">
        <ns0:f>'税金及附加'!F33</ns0:f>
        <ns0:v>4084.61</ns0:v>
      </ns0:c>
      <ns0:c r="G63" s="8">
        <ns0:f>'税金及附加'!G33</ns0:f>
        <ns0:v>3901.83</ns0:v>
      </ns0:c>
      <ns0:c r="H63" s="8">
        <ns0:f>'税金及附加'!H33</ns0:f>
        <ns0:v>4194.09</ns0:v>
      </ns0:c>
      <ns0:c r="I63" s="8">
        <ns0:f>'税金及附加'!I33</ns0:f>
        <ns0:v>0.00</ns0:v>
      </ns0:c>
      <ns0:c r="J63" s="8">
        <ns0:f>'税金及附加'!J33</ns0:f>
        <ns0:v>0.00</ns0:v>
      </ns0:c>
      <ns0:c r="K63" s="8">
        <ns0:f>'税金及附加'!K33</ns0:f>
        <ns0:v>0.00</ns0:v>
      </ns0:c>
      <ns0:c r="L63" s="8">
        <ns0:f>'税金及附加'!L33</ns0:f>
        <ns0:v>0.00</ns0:v>
      </ns0:c>
      <ns0:c r="M63" s="8">
        <ns0:f>'税金及附加'!M33</ns0:f>
        <ns0:v>0.00</ns0:v>
      </ns0:c>
      <ns0:c r="N63" s="8">
        <ns0:f>'税金及附加'!N33</ns0:f>
        <ns0:v>0.00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销售费用</ns0:t>
        </ns0:is>
      </ns0:c>
      <ns0:c r="C64" s="8">
        <ns0:f>'销售费用'!C34</ns0:f>
        <ns0:v>96793.75</ns0:v>
      </ns0:c>
      <ns0:c r="D64" s="8">
        <ns0:f>'销售费用'!D34</ns0:f>
        <ns0:v>96259.75</ns0:v>
      </ns0:c>
      <ns0:c r="E64" s="8">
        <ns0:f>'销售费用'!E34</ns0:f>
        <ns0:v>95261.47</ns0:v>
      </ns0:c>
      <ns0:c r="F64" s="8">
        <ns0:f>'销售费用'!F34</ns0:f>
        <ns0:v>96229.08</ns0:v>
      </ns0:c>
      <ns0:c r="G64" s="8">
        <ns0:f>'销售费用'!G34</ns0:f>
        <ns0:v>96549.38</ns0:v>
      </ns0:c>
      <ns0:c r="H64" s="8">
        <ns0:f>'销售费用'!H34</ns0:f>
        <ns0:v>95950.15</ns0:v>
      </ns0:c>
      <ns0:c r="I64" s="8">
        <ns0:f>'销售费用'!I34</ns0:f>
        <ns0:v>700.00</ns0:v>
      </ns0:c>
      <ns0:c r="J64" s="8">
        <ns0:f>'销售费用'!J34</ns0:f>
        <ns0:v>700.00</ns0:v>
      </ns0:c>
      <ns0:c r="K64" s="8">
        <ns0:f>'销售费用'!K34</ns0:f>
        <ns0:v>700.00</ns0:v>
      </ns0:c>
      <ns0:c r="L64" s="8">
        <ns0:f>'销售费用'!L34</ns0:f>
        <ns0:v>700.00</ns0:v>
      </ns0:c>
      <ns0:c r="M64" s="8">
        <ns0:f>'销售费用'!M34</ns0:f>
        <ns0:v>700.00</ns0:v>
      </ns0:c>
      <ns0:c r="N64" s="8">
        <ns0:f>'销售费用'!N34</ns0:f>
        <ns0:v>700.00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管理费用</ns0:t>
        </ns0:is>
      </ns0:c>
      <ns0:c r="C65" s="8">
        <ns0:f>'管理费用'!C34</ns0:f>
        <ns0:v>70617.78</ns0:v>
      </ns0:c>
      <ns0:c r="D65" s="8">
        <ns0:f>'管理费用'!D34</ns0:f>
        <ns0:v>69390.75</ns0:v>
      </ns0:c>
      <ns0:c r="E65" s="8">
        <ns0:f>'管理费用'!E34</ns0:f>
        <ns0:v>68437.96</ns0:v>
      </ns0:c>
      <ns0:c r="F65" s="8">
        <ns0:f>'管理费用'!F34</ns0:f>
        <ns0:v>68123.04</ns0:v>
      </ns0:c>
      <ns0:c r="G65" s="8">
        <ns0:f>'管理费用'!G34</ns0:f>
        <ns0:v>69509.68</ns0:v>
      </ns0:c>
      <ns0:c r="H65" s="8">
        <ns0:f>'管理费用'!H34</ns0:f>
        <ns0:v>69501.67</ns0:v>
      </ns0:c>
      <ns0:c r="I65" s="8">
        <ns0:f>'管理费用'!I34</ns0:f>
        <ns0:v>700.00</ns0:v>
      </ns0:c>
      <ns0:c r="J65" s="8">
        <ns0:f>'管理费用'!J34</ns0:f>
        <ns0:v>700.00</ns0:v>
      </ns0:c>
      <ns0:c r="K65" s="8">
        <ns0:f>'管理费用'!K34</ns0:f>
        <ns0:v>700.00</ns0:v>
      </ns0:c>
      <ns0:c r="L65" s="8">
        <ns0:f>'管理费用'!L34</ns0:f>
        <ns0:v>700.00</ns0:v>
      </ns0:c>
      <ns0:c r="M65" s="8">
        <ns0:f>'管理费用'!M34</ns0:f>
        <ns0:v>700.00</ns0:v>
      </ns0:c>
      <ns0:c r="N65" s="8">
        <ns0:f>'管理费用'!N34</ns0:f>
        <ns0:v>700.00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其他主体费用</ns0:t>
        </ns0:is>
      </ns0:c>
      <ns0:c r="C66" s="8">
        <ns0:f>'蓝恐龙费用'!C34</ns0:f>
        <ns0:v>29310.53</ns0:v>
      </ns0:c>
      <ns0:c r="D66" s="8">
        <ns0:f>'蓝恐龙费用'!D34</ns0:f>
        <ns0:v>29157.56</ns0:v>
      </ns0:c>
      <ns0:c r="E66" s="8">
        <ns0:f>'蓝恐龙费用'!E34</ns0:f>
        <ns0:v>29578.88</ns0:v>
      </ns0:c>
      <ns0:c r="F66" s="8">
        <ns0:f>'蓝恐龙费用'!F34</ns0:f>
        <ns0:v>29515.90</ns0:v>
      </ns0:c>
      <ns0:c r="G66" s="8">
        <ns0:f>'蓝恐龙费用'!G34</ns0:f>
        <ns0:v>29744.78</ns0:v>
      </ns0:c>
      <ns0:c r="H66" s="8">
        <ns0:f>'蓝恐龙费用'!H34</ns0:f>
        <ns0:v>29452.52</ns0:v>
      </ns0:c>
      <ns0:c r="I66" s="8">
        <ns0:f>'蓝恐龙费用'!I34</ns0:f>
        <ns0:v>700.00</ns0:v>
      </ns0:c>
      <ns0:c r="J66" s="8">
        <ns0:f>'蓝恐龙费用'!J34</ns0:f>
        <ns0:v>700.00</ns0:v>
      </ns0:c>
      <ns0:c r="K66" s="8">
        <ns0:f>'蓝恐龙费用'!K34</ns0:f>
        <ns0:v>700.00</ns0:v>
      </ns0:c>
      <ns0:c r="L66" s="8">
        <ns0:f>'蓝恐龙费用'!L34</ns0:f>
        <ns0:v>700.00</ns0:v>
      </ns0:c>
      <ns0:c r="M66" s="8">
        <ns0:f>'蓝恐龙费用'!M34</ns0:f>
        <ns0:v>700.00</ns0:v>
      </ns0:c>
      <ns0:c r="N66" s="8">
        <ns0:f>'蓝恐龙费用'!N34</ns0:f>
        <ns0:v>700.00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税前利润</ns0:t>
        </ns0:is>
      </ns0:c>
      <ns0:c r="C67" s="8">
        <ns0:f>C61-SUM(C62:C66)</ns0:f>
        <ns0:v>61139.16</ns0:v>
      </ns0:c>
      <ns0:c r="D67" s="8">
        <ns0:f>D61-SUM(D62:D66)</ns0:f>
        <ns0:v>71086.18</ns0:v>
      </ns0:c>
      <ns0:c r="E67" s="8">
        <ns0:f>E61-SUM(E62:E66)</ns0:f>
        <ns0:v>22459.51</ns0:v>
      </ns0:c>
      <ns0:c r="F67" s="8">
        <ns0:f>F61-SUM(F62:F66)</ns0:f>
        <ns0:v>79863.11</ns0:v>
      </ns0:c>
      <ns0:c r="G67" s="8">
        <ns0:f>G61-SUM(G62:G66)</ns0:f>
        <ns0:v>48587.87</ns0:v>
      </ns0:c>
      <ns0:c r="H67" s="8">
        <ns0:f>H61-SUM(H62:H66)</ns0:f>
        <ns0:v>60074.67</ns0:v>
      </ns0:c>
      <ns0:c r="I67" s="8">
        <ns0:f>I61-SUM(I62:I66)</ns0:f>
        <ns0:v>-2100.00</ns0:v>
      </ns0:c>
      <ns0:c r="J67" s="8">
        <ns0:f>J61-SUM(J62:J66)</ns0:f>
        <ns0:v>-2100.00</ns0:v>
      </ns0:c>
      <ns0:c r="K67" s="8">
        <ns0:f>K61-SUM(K62:K66)</ns0:f>
        <ns0:v>-2100.00</ns0:v>
      </ns0:c>
      <ns0:c r="L67" s="8">
        <ns0:f>L61-SUM(L62:L66)</ns0:f>
        <ns0:v>-2100.00</ns0:v>
      </ns0:c>
      <ns0:c r="M67" s="8">
        <ns0:f>M61-SUM(M62:M66)</ns0:f>
        <ns0:v>-2100.00</ns0:v>
      </ns0:c>
      <ns0:c r="N67" s="8">
        <ns0:f>N61-SUM(N62:N66)</ns0:f>
        <ns0:v>-2100.00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所得税费用</ns0:t>
        </ns0:is>
      </ns0:c>
      <ns0:c r="C68" s="8">
        <ns0:f>ROUND(MAX(C67,0)*$C$200,2)</ns0:f>
        <ns0:v>15284.79</ns0:v>
      </ns0:c>
      <ns0:c r="D68" s="8">
        <ns0:f>ROUND(MAX(D67,0)*$C$200,2)</ns0:f>
        <ns0:v>17771.55</ns0:v>
      </ns0:c>
      <ns0:c r="E68" s="8">
        <ns0:f>ROUND(MAX(E67,0)*$C$200,2)</ns0:f>
        <ns0:v>5614.88</ns0:v>
      </ns0:c>
      <ns0:c r="F68" s="8">
        <ns0:f>ROUND(MAX(F67,0)*$C$200,2)</ns0:f>
        <ns0:v>19965.78</ns0:v>
      </ns0:c>
      <ns0:c r="G68" s="8">
        <ns0:f>ROUND(MAX(G67,0)*$C$200,2)</ns0:f>
        <ns0:v>12146.97</ns0:v>
      </ns0:c>
      <ns0:c r="H68" s="8">
        <ns0:f>ROUND(MAX(H67,0)*$C$200,2)</ns0:f>
        <ns0:v>15018.67</ns0:v>
      </ns0:c>
      <ns0:c r="I68" s="8">
        <ns0:f>ROUND(MAX(I67,0)*$C$200,2)</ns0:f>
        <ns0:v>0.00</ns0:v>
      </ns0:c>
      <ns0:c r="J68" s="8">
        <ns0:f>ROUND(MAX(J67,0)*$C$200,2)</ns0:f>
        <ns0:v>0.00</ns0:v>
      </ns0:c>
      <ns0:c r="K68" s="8">
        <ns0:f>ROUND(MAX(K67,0)*$C$200,2)</ns0:f>
        <ns0:v>0.00</ns0:v>
      </ns0:c>
      <ns0:c r="L68" s="8">
        <ns0:f>ROUND(MAX(L67,0)*$C$200,2)</ns0:f>
        <ns0:v>0.00</ns0:v>
      </ns0:c>
      <ns0:c r="M68" s="8">
        <ns0:f>ROUND(MAX(M67,0)*$C$200,2)</ns0:f>
        <ns0:v>0.00</ns0:v>
      </ns0:c>
      <ns0:c r="N68" s="8">
        <ns0:f>ROUND(MAX(N67,0)*$C$200,2)</ns0:f>
        <ns0:v>0.00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7" t="inlineStr">
        <ns0:is>
          <ns0:t>净利润</ns0:t>
        </ns0:is>
      </ns0:c>
      <ns0:c r="C69" s="8">
        <ns0:f>C67-C68</ns0:f>
        <ns0:v>45854.37</ns0:v>
      </ns0:c>
      <ns0:c r="D69" s="8">
        <ns0:f>D67-D68</ns0:f>
        <ns0:v>53314.63</ns0:v>
      </ns0:c>
      <ns0:c r="E69" s="8">
        <ns0:f>E67-E68</ns0:f>
        <ns0:v>16844.63</ns0:v>
      </ns0:c>
      <ns0:c r="F69" s="8">
        <ns0:f>F67-F68</ns0:f>
        <ns0:v>59897.33</ns0:v>
      </ns0:c>
      <ns0:c r="G69" s="8">
        <ns0:f>G67-G68</ns0:f>
        <ns0:v>36440.90</ns0:v>
      </ns0:c>
      <ns0:c r="H69" s="8">
        <ns0:f>H67-H68</ns0:f>
        <ns0:v>45056.00</ns0:v>
      </ns0:c>
      <ns0:c r="I69" s="8">
        <ns0:f>I67-I68</ns0:f>
        <ns0:v>-2100.00</ns0:v>
      </ns0:c>
      <ns0:c r="J69" s="8">
        <ns0:f>J67-J68</ns0:f>
        <ns0:v>-2100.00</ns0:v>
      </ns0:c>
      <ns0:c r="K69" s="8">
        <ns0:f>K67-K68</ns0:f>
        <ns0:v>-2100.00</ns0:v>
      </ns0:c>
      <ns0:c r="L69" s="8">
        <ns0:f>L67-L68</ns0:f>
        <ns0:v>-2100.00</ns0:v>
      </ns0:c>
      <ns0:c r="M69" s="8">
        <ns0:f>M67-M68</ns0:f>
        <ns0:v>-2100.00</ns0:v>
      </ns0:c>
      <ns0:c r="N69" s="8">
        <ns0:f>N67-N68</ns0:f>
        <ns0:v>-2100.00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利润表补充披露区（契约v1.2）·营业外与投资收益月度明细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营业外收入</ns0:t>
        </ns0:is>
      </ns0:c>
      <ns0:c r="P123" s="2">
        <ns0:v>1079.75</ns0:v>
      </ns0:c>
      <ns0:c r="Q123" s="2">
        <ns0:v>909.56</ns0:v>
      </ns0:c>
      <ns0:c r="R123" s="2">
        <ns0:v>1305.77</ns0:v>
      </ns0:c>
      <ns0:c r="S123" s="2">
        <ns0:v>1463.10</ns0:v>
      </ns0:c>
      <ns0:c r="T123" s="2">
        <ns0:v>1048.26</ns0:v>
      </ns0:c>
      <ns0:c r="U123" s="2">
        <ns0:v>1372.19</ns0:v>
      </ns0:c>
      <ns0:c r="V123" s="2">
        <ns0:v>0.00</ns0:v>
      </ns0:c>
      <ns0:c r="W123" s="2">
        <ns0:v>0.00</ns0:v>
      </ns0:c>
      <ns0:c r="X123" s="2">
        <ns0:v>0.00</ns0:v>
      </ns0:c>
      <ns0:c r="Y123" s="2">
        <ns0:v>0.00</ns0:v>
      </ns0:c>
      <ns0:c r="Z123" s="2">
        <ns0:v>0.00</ns0:v>
      </ns0:c>
      <ns0:c r="AA123" s="2">
        <ns0:v>0.00</ns0:v>
      </ns0:c>
      <ns0:c r="AB123" s="2">
        <ns0:f>SUM(P123:AA123)</ns0:f>
        <ns0:v>7178.63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营业外支出</ns0:t>
        </ns0:is>
      </ns0:c>
      <ns0:c r="P124" s="2">
        <ns0:v>721.51</ns0:v>
      </ns0:c>
      <ns0:c r="Q124" s="2">
        <ns0:v>562.84</ns0:v>
      </ns0:c>
      <ns0:c r="R124" s="2">
        <ns0:v>779.64</ns0:v>
      </ns0:c>
      <ns0:c r="S124" s="2">
        <ns0:v>580.90</ns0:v>
      </ns0:c>
      <ns0:c r="T124" s="2">
        <ns0:v>839.79</ns0:v>
      </ns0:c>
      <ns0:c r="U124" s="2">
        <ns0:v>678.64</ns0:v>
      </ns0:c>
      <ns0:c r="V124" s="2">
        <ns0:v>0.00</ns0:v>
      </ns0:c>
      <ns0:c r="W124" s="2">
        <ns0:v>0.00</ns0:v>
      </ns0:c>
      <ns0:c r="X124" s="2">
        <ns0:v>0.00</ns0:v>
      </ns0:c>
      <ns0:c r="Y124" s="2">
        <ns0:v>0.00</ns0:v>
      </ns0:c>
      <ns0:c r="Z124" s="2">
        <ns0:v>0.00</ns0:v>
      </ns0:c>
      <ns0:c r="AA124" s="2">
        <ns0:v>0.00</ns0:v>
      </ns0:c>
      <ns0:c r="AB124" s="2">
        <ns0:f>SUM(P124:AA124)</ns0:f>
        <ns0:v>4163.32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非流动资产处置损失（其中项）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投资收益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>
        <ns0:f>SUM(P126:AA126)</ns0:f>
        <ns0:v>0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对联营企业和合营企业的投资收益（其中项）</ns0:t>
        </ns0:is>
      </ns0:c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>
        <ns0:f>SUM(P127:AA127)</ns0:f>
        <ns0:v>0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资产减值损失</ns0:t>
        </ns0:is>
      </ns0:c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>
        <ns0:f>SUM(P128:AA128)</ns0:f>
        <ns0:v>0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公允价值变动收益</ns0:t>
        </ns0:is>
      </ns0:c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>
        <ns0:f>SUM(P129:AA129)</ns0:f>
        <ns0:v>0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加权平均股数（股，全年）</ns0:t>
        </ns0:is>
      </ns0:c>
      <ns0:c r="P131" s="2">
        <ns0:v>1000000.00</ns0:v>
      </ns0:c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基本每股收益（元/股，披露口径）</ns0:t>
        </ns0:is>
      </ns0:c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>
        <ns0:f>ROUND(D20/P131,4)</ns0:f>
        <ns0:v>0.2604</ns0:v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稀释每股收益（元/股，演示口径同基本）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>
        <ns0:f>AB132</ns0:f>
        <ns0:v>0.2604</ns0:v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所得税率（演示假设）</ns0:t>
        </ns0:is>
      </ns0:c>
      <ns0:c r="C200" s="11">
        <ns0:v>0.25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资产</ns0:t>
        </ns0:is>
      </ns0:c>
      <ns0:c r="B2" s="7" t="inlineStr">
        <ns0:is>
          <ns0:t>行次</ns0:t>
        </ns0:is>
      </ns0:c>
      <ns0:c r="C2" s="8" t="inlineStr">
        <ns0:is>
          <ns0:t>期末余额</ns0:t>
        </ns0:is>
      </ns0:c>
      <ns0:c r="D2" s="8" t="inlineStr">
        <ns0:is>
          <ns0:t>年初余额</ns0:t>
        </ns0:is>
      </ns0:c>
      <ns0:c r="E2" s="8" t="inlineStr">
        <ns0:is>
          <ns0:t>负债和所有者权益        (或股东权益)</ns0:t>
        </ns0:is>
      </ns0:c>
      <ns0:c r="F2" s="8" t="inlineStr">
        <ns0:is>
          <ns0:t>行次</ns0:t>
        </ns0:is>
      </ns0:c>
      <ns0:c r="G2" s="8" t="inlineStr">
        <ns0:is>
          <ns0:t>期末余额</ns0:t>
        </ns0:is>
      </ns0:c>
      <ns0:c r="H2" s="8" t="inlineStr">
        <ns0:is>
          <ns0:t>年初余额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 t="inlineStr">
        <ns0:is>
          <ns0:t>流动资产：</ns0:t>
        </ns0:is>
      </ns0:c>
      <ns0:c r="B3" s="7"/>
      <ns0:c r="C3" s="9" t="inlineStr">
        <ns0:is>
          <ns0:t>6月末</ns0:t>
        </ns0:is>
      </ns0:c>
      <ns0:c r="D3" s="9" t="inlineStr">
        <ns0:is>
          <ns0:t>年初</ns0:t>
        </ns0:is>
      </ns0:c>
      <ns0:c r="E3" s="9" t="inlineStr">
        <ns0:is>
          <ns0:t>流动负债：</ns0:t>
        </ns0:is>
      </ns0:c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货币资金</ns0:t>
        </ns0:is>
      </ns0:c>
      <ns0:c r="B4" s="7"/>
      <ns0:c r="C4" s="8">
        <ns0:f>H61</ns0:f>
        <ns0:v>1470007.86</ns0:v>
      </ns0:c>
      <ns0:c r="D4" s="8">
        <ns0:f>$C$200</ns0:f>
        <ns0:v>1200000.00</ns0:v>
      </ns0:c>
      <ns0:c r="E4" s="8" t="inlineStr">
        <ns0:is>
          <ns0:t>短期借款</ns0:t>
        </ns0:is>
      </ns0:c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 t="inlineStr">
        <ns0:is>
          <ns0:t>短期投资</ns0:t>
        </ns0:is>
      </ns0:c>
      <ns0:c r="B5" s="7"/>
      <ns0:c r="C5" s="8"/>
      <ns0:c r="D5" s="8"/>
      <ns0:c r="E5" s="8" t="inlineStr">
        <ns0:is>
          <ns0:t>应付票据</ns0:t>
        </ns0:is>
      </ns0:c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应收票据</ns0:t>
        </ns0:is>
      </ns0:c>
      <ns0:c r="B6" s="7"/>
      <ns0:c r="C6" s="8"/>
      <ns0:c r="D6" s="8"/>
      <ns0:c r="E6" s="8" t="inlineStr">
        <ns0:is>
          <ns0:t>应付账款</ns0:t>
        </ns0:is>
      </ns0:c>
      <ns0:c r="F6" s="8"/>
      <ns0:c r="G6" s="8">
        <ns0:f>$C$203</ns0:f>
        <ns0:v>49557.56</ns0:v>
      </ns0:c>
      <ns0:c r="H6" s="8">
        <ns0:f>$C$203</ns0:f>
        <ns0:v>49557.56</ns0:v>
      </ns0:c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应收股利</ns0:t>
        </ns0:is>
      </ns0:c>
      <ns0:c r="B7" s="7"/>
      <ns0:c r="C7" s="8"/>
      <ns0:c r="D7" s="8"/>
      <ns0:c r="E7" s="8" t="inlineStr">
        <ns0:is>
          <ns0:t>预收账款</ns0:t>
        </ns0:is>
      </ns0:c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应收利息</ns0:t>
        </ns0:is>
      </ns0:c>
      <ns0:c r="B8" s="7"/>
      <ns0:c r="C8" s="8"/>
      <ns0:c r="D8" s="8"/>
      <ns0:c r="E8" s="8" t="inlineStr">
        <ns0:is>
          <ns0:t>应付工资</ns0:t>
        </ns0:is>
      </ns0:c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应收账款</ns0:t>
        </ns0:is>
      </ns0:c>
      <ns0:c r="B9" s="7"/>
      <ns0:c r="C9" s="8">
        <ns0:f>$C$201</ns0:f>
        <ns0:v>303615.04</ns0:v>
      </ns0:c>
      <ns0:c r="D9" s="8">
        <ns0:f>$C$201</ns0:f>
        <ns0:v>303615.04</ns0:v>
      </ns0:c>
      <ns0:c r="E9" s="8" t="inlineStr">
        <ns0:is>
          <ns0:t>应付福利费</ns0:t>
        </ns0:is>
      </ns0:c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其他应收款</ns0:t>
        </ns0:is>
      </ns0:c>
      <ns0:c r="B10" s="7"/>
      <ns0:c r="C10" s="8">
        <ns0:f>MAX('利润表'!AB123-'利润表'!AB124+'利润表'!AB126+'利润表'!AB129-'利润表'!AB128,0)</ns0:f>
        <ns0:v>3015.31</ns0:v>
      </ns0:c>
      <ns0:c r="D10" s="8"/>
      <ns0:c r="E10" s="8" t="inlineStr">
        <ns0:is>
          <ns0:t>应付利息</ns0:t>
        </ns0:is>
      </ns0:c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预付账款</ns0:t>
        </ns0:is>
      </ns0:c>
      <ns0:c r="B11" s="7"/>
      <ns0:c r="C11" s="8"/>
      <ns0:c r="D11" s="8"/>
      <ns0:c r="E11" s="8" t="inlineStr">
        <ns0:is>
          <ns0:t>应交税金</ns0:t>
        </ns0:is>
      </ns0:c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应收补贴款</ns0:t>
        </ns0:is>
      </ns0:c>
      <ns0:c r="B12" s="7"/>
      <ns0:c r="C12" s="8"/>
      <ns0:c r="D12" s="8"/>
      <ns0:c r="E12" s="8" t="inlineStr">
        <ns0:is>
          <ns0:t>其他应交款</ns0:t>
        </ns0:is>
      </ns0:c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存货</ns0:t>
        </ns0:is>
      </ns0:c>
      <ns0:c r="B13" s="7"/>
      <ns0:c r="C13" s="8">
        <ns0:f>$C$202</ns0:f>
        <ns0:v>74336.33</ns0:v>
      </ns0:c>
      <ns0:c r="D13" s="8">
        <ns0:f>$C$202</ns0:f>
        <ns0:v>74336.33</ns0:v>
      </ns0:c>
      <ns0:c r="E13" s="8" t="inlineStr">
        <ns0:is>
          <ns0:t>其他应付款</ns0:t>
        </ns0:is>
      </ns0:c>
      <ns0:c r="F13" s="8"/>
      <ns0:c r="G13" s="8">
        <ns0:f>MAX('利润表'!AB124-'利润表'!AB123-'利润表'!AB126-'利润表'!AB129+'利润表'!AB128,0)</ns0:f>
        <ns0:v>0</ns0:v>
      </ns0:c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待摊费用</ns0:t>
        </ns0:is>
      </ns0:c>
      <ns0:c r="B14" s="7"/>
      <ns0:c r="C14" s="8"/>
      <ns0:c r="D14" s="8"/>
      <ns0:c r="E14" s="8" t="inlineStr">
        <ns0:is>
          <ns0:t>预提费用</ns0:t>
        </ns0:is>
      </ns0:c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一年内到期的长期债券投资</ns0:t>
        </ns0:is>
      </ns0:c>
      <ns0:c r="B15" s="7"/>
      <ns0:c r="C15" s="8"/>
      <ns0:c r="D15" s="8"/>
      <ns0:c r="E15" s="8" t="inlineStr">
        <ns0:is>
          <ns0:t>预计负债</ns0:t>
        </ns0:is>
      </ns0:c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其他流动资产</ns0:t>
        </ns0:is>
      </ns0:c>
      <ns0:c r="B16" s="7"/>
      <ns0:c r="C16" s="8"/>
      <ns0:c r="D16" s="8"/>
      <ns0:c r="E16" s="8" t="inlineStr">
        <ns0:is>
          <ns0:t>一年内到期的长期负债</ns0:t>
        </ns0:is>
      </ns0:c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流动资产合计</ns0:t>
        </ns0:is>
      </ns0:c>
      <ns0:c r="B17" s="7"/>
      <ns0:c r="C17" s="8">
        <ns0:f>C4+C9+C10+C13</ns0:f>
        <ns0:v>1850974.54</ns0:v>
      </ns0:c>
      <ns0:c r="D17" s="8">
        <ns0:f>D4+D9+D13</ns0:f>
        <ns0:v>1577951.37</ns0:v>
      </ns0:c>
      <ns0:c r="E17" s="8" t="inlineStr">
        <ns0:is>
          <ns0:t>其他流动负债</ns0:t>
        </ns0:is>
      </ns0:c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 t="inlineStr">
        <ns0:is>
          <ns0:t>长期资产：</ns0:t>
        </ns0:is>
      </ns0:c>
      <ns0:c r="B18" s="7"/>
      <ns0:c r="C18" s="8"/>
      <ns0:c r="D18" s="8"/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长期股权投资</ns0:t>
        </ns0:is>
      </ns0:c>
      <ns0:c r="B19" s="7"/>
      <ns0:c r="C19" s="8"/>
      <ns0:c r="D19" s="8"/>
      <ns0:c r="E19" s="8" t="inlineStr">
        <ns0:is>
          <ns0:t>流动负债合计</ns0:t>
        </ns0:is>
      </ns0:c>
      <ns0:c r="F19" s="8"/>
      <ns0:c r="G19" s="8">
        <ns0:f>G6+G13</ns0:f>
        <ns0:v>49557.56</ns0:v>
      </ns0:c>
      <ns0:c r="H19" s="8">
        <ns0:f>H6</ns0:f>
        <ns0:v>49557.56</ns0:v>
      </ns0:c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长期债券投资</ns0:t>
        </ns0:is>
      </ns0:c>
      <ns0:c r="B20" s="7"/>
      <ns0:c r="C20" s="8"/>
      <ns0:c r="D20" s="8"/>
      <ns0:c r="E20" s="8" t="inlineStr">
        <ns0:is>
          <ns0:t>长期负债：</ns0:t>
        </ns0:is>
      </ns0:c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长期投资合计</ns0:t>
        </ns0:is>
      </ns0:c>
      <ns0:c r="B21" s="7"/>
      <ns0:c r="C21" s="8"/>
      <ns0:c r="D21" s="8"/>
      <ns0:c r="E21" s="8" t="inlineStr">
        <ns0:is>
          <ns0:t>长期借款</ns0:t>
        </ns0:is>
      </ns0:c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固定资产：</ns0:t>
        </ns0:is>
      </ns0:c>
      <ns0:c r="B22" s="7"/>
      <ns0:c r="C22" s="8"/>
      <ns0:c r="D22" s="8"/>
      <ns0:c r="E22" s="8" t="inlineStr">
        <ns0:is>
          <ns0:t>应付债券</ns0:t>
        </ns0:is>
      </ns0:c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固定资产原价</ns0:t>
        </ns0:is>
      </ns0:c>
      <ns0:c r="B23" s="7"/>
      <ns0:c r="C23" s="8"/>
      <ns0:c r="D23" s="8"/>
      <ns0:c r="E23" s="8" t="inlineStr">
        <ns0:is>
          <ns0:t>长期应付款</ns0:t>
        </ns0:is>
      </ns0:c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减：累计折旧</ns0:t>
        </ns0:is>
      </ns0:c>
      <ns0:c r="B24" s="7"/>
      <ns0:c r="C24" s="8"/>
      <ns0:c r="D24" s="8"/>
      <ns0:c r="E24" s="8" t="inlineStr">
        <ns0:is>
          <ns0:t>专项应付款</ns0:t>
        </ns0:is>
      </ns0:c>
      <ns0:c r="F24" s="8"/>
      <ns0:c r="G24" s="8"/>
      <ns0:c r="H24" s="8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固定资产净值</ns0:t>
        </ns0:is>
      </ns0:c>
      <ns0:c r="B25" s="7"/>
      <ns0:c r="C25" s="8"/>
      <ns0:c r="D25" s="8"/>
      <ns0:c r="E25" s="8" t="inlineStr">
        <ns0:is>
          <ns0:t>其他长期负债</ns0:t>
        </ns0:is>
      </ns0:c>
      <ns0:c r="F25" s="8"/>
      <ns0:c r="G25" s="8"/>
      <ns0:c r="H25" s="8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减：固定资产减值准备</ns0:t>
        </ns0:is>
      </ns0:c>
      <ns0:c r="B26" s="7"/>
      <ns0:c r="C26" s="8"/>
      <ns0:c r="D26" s="8"/>
      <ns0:c r="E26" s="8" t="inlineStr">
        <ns0:is>
          <ns0:t>长期负债合计</ns0:t>
        </ns0:is>
      </ns0:c>
      <ns0:c r="F26" s="8"/>
      <ns0:c r="G26" s="8"/>
      <ns0:c r="H26" s="8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固定资产净额</ns0:t>
        </ns0:is>
      </ns0:c>
      <ns0:c r="B27" s="7"/>
      <ns0:c r="C27" s="8"/>
      <ns0:c r="D27" s="8"/>
      <ns0:c r="E27" s="8" t="inlineStr">
        <ns0:is>
          <ns0:t>递延税项：</ns0:t>
        </ns0:is>
      </ns0:c>
      <ns0:c r="F27" s="8"/>
      <ns0:c r="G27" s="8"/>
      <ns0:c r="H27" s="8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工程物资</ns0:t>
        </ns0:is>
      </ns0:c>
      <ns0:c r="B28" s="7"/>
      <ns0:c r="C28" s="8"/>
      <ns0:c r="D28" s="8"/>
      <ns0:c r="E28" s="8" t="inlineStr">
        <ns0:is>
          <ns0:t>递延税款贷项</ns0:t>
        </ns0:is>
      </ns0:c>
      <ns0:c r="F28" s="8"/>
      <ns0:c r="G28" s="8"/>
      <ns0:c r="H28" s="8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在建工程</ns0:t>
        </ns0:is>
      </ns0:c>
      <ns0:c r="B29" s="7"/>
      <ns0:c r="C29" s="8"/>
      <ns0:c r="D29" s="8"/>
      <ns0:c r="E29" s="8" t="inlineStr">
        <ns0:is>
          <ns0:t>负债合计</ns0:t>
        </ns0:is>
      </ns0:c>
      <ns0:c r="F29" s="8"/>
      <ns0:c r="G29" s="8">
        <ns0:f>G19</ns0:f>
        <ns0:v>49557.56</ns0:v>
      </ns0:c>
      <ns0:c r="H29" s="8">
        <ns0:f>H19</ns0:f>
        <ns0:v>49557.56</ns0:v>
      </ns0:c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固定资产清理</ns0:t>
        </ns0:is>
      </ns0:c>
      <ns0:c r="B30" s="10"/>
      <ns0:c r="C30" s="9"/>
      <ns0:c r="D30" s="9"/>
      <ns0:c r="E30" s="9"/>
      <ns0:c r="F30" s="9"/>
      <ns0:c r="G30" s="9"/>
      <ns0:c r="H30" s="9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固定资产合计</ns0:t>
        </ns0:is>
      </ns0:c>
      <ns0:c r="B31" s="7"/>
      <ns0:c r="C31" s="8"/>
      <ns0:c r="D31" s="8"/>
      <ns0:c r="E31" s="8" t="inlineStr">
        <ns0:is>
          <ns0:t>所有者权益(或股东权益)：</ns0:t>
        </ns0:is>
      </ns0:c>
      <ns0:c r="F31" s="8"/>
      <ns0:c r="G31" s="8"/>
      <ns0:c r="H31" s="8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无形资产及其他资产：</ns0:t>
        </ns0:is>
      </ns0:c>
      <ns0:c r="B32" s="7"/>
      <ns0:c r="C32" s="8"/>
      <ns0:c r="D32" s="8"/>
      <ns0:c r="E32" s="8" t="inlineStr">
        <ns0:is>
          <ns0:t>实收资本(或股本)</ns0:t>
        </ns0:is>
      </ns0:c>
      <ns0:c r="F32" s="8"/>
      <ns0:c r="G32" s="8">
        <ns0:f>H65</ns0:f>
        <ns0:v>1662793.81</ns0:v>
      </ns0:c>
      <ns0:c r="H32" s="8">
        <ns0:f>C65</ns0:f>
        <ns0:v>1662793.81</ns0:v>
      </ns0:c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无形资产</ns0:t>
        </ns0:is>
      </ns0:c>
      <ns0:c r="B33" s="7"/>
      <ns0:c r="C33" s="8"/>
      <ns0:c r="D33" s="8"/>
      <ns0:c r="E33" s="8" t="inlineStr">
        <ns0:is>
          <ns0:t>减：已归还投资</ns0:t>
        </ns0:is>
      </ns0:c>
      <ns0:c r="F33" s="8"/>
      <ns0:c r="G33" s="8"/>
      <ns0:c r="H33" s="8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长期待摊费用</ns0:t>
        </ns0:is>
      </ns0:c>
      <ns0:c r="B34" s="7"/>
      <ns0:c r="C34" s="8">
        <ns0:f>H62-$C$201-$C$202</ns0:f>
        <ns0:v>121800.00</ns0:v>
      </ns0:c>
      <ns0:c r="D34" s="8">
        <ns0:f>'摊销明细'!$C$31</ns0:f>
        <ns0:v>134400.00</ns0:v>
      </ns0:c>
      <ns0:c r="E34" s="8" t="inlineStr">
        <ns0:is>
          <ns0:t>实收资本(或股本)净额</ns0:t>
        </ns0:is>
      </ns0:c>
      <ns0:c r="F34" s="8"/>
      <ns0:c r="G34" s="8">
        <ns0:f>H65</ns0:f>
        <ns0:v>1662793.81</ns0:v>
      </ns0:c>
      <ns0:c r="H34" s="8">
        <ns0:f>C65</ns0:f>
        <ns0:v>1662793.81</ns0:v>
      </ns0:c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其他长期资产</ns0:t>
        </ns0:is>
      </ns0:c>
      <ns0:c r="B35" s="7"/>
      <ns0:c r="C35" s="8"/>
      <ns0:c r="D35" s="8"/>
      <ns0:c r="E35" s="8" t="inlineStr">
        <ns0:is>
          <ns0:t>资本公积</ns0:t>
        </ns0:is>
      </ns0:c>
      <ns0:c r="F35" s="8"/>
      <ns0:c r="G35" s="8"/>
      <ns0:c r="H35" s="8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无形资产及其他资产合计</ns0:t>
        </ns0:is>
      </ns0:c>
      <ns0:c r="B36" s="7"/>
      <ns0:c r="C36" s="8">
        <ns0:f>C34</ns0:f>
        <ns0:v>121800.00</ns0:v>
      </ns0:c>
      <ns0:c r="D36" s="8">
        <ns0:f>D34</ns0:f>
        <ns0:v>134400.00</ns0:v>
      </ns0:c>
      <ns0:c r="E36" s="8" t="inlineStr">
        <ns0:is>
          <ns0:t>盈余公积</ns0:t>
        </ns0:is>
      </ns0:c>
      <ns0:c r="F36" s="8"/>
      <ns0:c r="G36" s="8"/>
      <ns0:c r="H36" s="8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 t="inlineStr">
        <ns0:is>
          <ns0:t>其中：法定公益金</ns0:t>
        </ns0:is>
      </ns0:c>
      <ns0:c r="F37" s="8"/>
      <ns0:c r="G37" s="8"/>
      <ns0:c r="H37" s="8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递延税款：</ns0:t>
        </ns0:is>
      </ns0:c>
      <ns0:c r="B38" s="7"/>
      <ns0:c r="C38" s="8"/>
      <ns0:c r="D38" s="8"/>
      <ns0:c r="E38" s="8" t="inlineStr">
        <ns0:is>
          <ns0:t>未分配利润</ns0:t>
        </ns0:is>
      </ns0:c>
      <ns0:c r="F38" s="8"/>
      <ns0:c r="G38" s="8">
        <ns0:f>H66+'利润表'!AB123-'利润表'!AB124+'利润表'!AB126+'利润表'!AB129-'利润表'!AB128</ns0:f>
        <ns0:v>260423.17</ns0:v>
      </ns0:c>
      <ns0:c r="H38" s="8">
        <ns0:f>0</ns0:f>
        <ns0:v>0</ns0:v>
      </ns0:c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递延税款借项</ns0:t>
        </ns0:is>
      </ns0:c>
      <ns0:c r="B39" s="7"/>
      <ns0:c r="C39" s="8"/>
      <ns0:c r="D39" s="8"/>
      <ns0:c r="E39" s="8" t="inlineStr">
        <ns0:is>
          <ns0:t>所有者权益(或股东权益)合计</ns0:t>
        </ns0:is>
      </ns0:c>
      <ns0:c r="F39" s="8"/>
      <ns0:c r="G39" s="8">
        <ns0:f>G32+G38</ns0:f>
        <ns0:v>1923216.98</ns0:v>
      </ns0:c>
      <ns0:c r="H39" s="8">
        <ns0:f>H32+H38</ns0:f>
        <ns0:v>1662793.81</ns0:v>
      </ns0:c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资产总计</ns0:t>
        </ns0:is>
      </ns0:c>
      <ns0:c r="B40" s="7"/>
      <ns0:c r="C40" s="8">
        <ns0:f>C17+C36</ns0:f>
        <ns0:v>1972774.54</ns0:v>
      </ns0:c>
      <ns0:c r="D40" s="8">
        <ns0:f>D17+D36</ns0:f>
        <ns0:v>1712351.37</ns0:v>
      </ns0:c>
      <ns0:c r="E40" s="8" t="inlineStr">
        <ns0:is>
          <ns0:t>负债和所有者权益(或股东权益)总计</ns0:t>
        </ns0:is>
      </ns0:c>
      <ns0:c r="F40" s="8"/>
      <ns0:c r="G40" s="8">
        <ns0:f>G29+G39</ns0:f>
        <ns0:v>1972774.54</ns0:v>
      </ns0:c>
      <ns0:c r="H40" s="8">
        <ns0:f>H29+H39</ns0:f>
        <ns0:v>1712351.37</ns0:v>
      </ns0:c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货币资金</ns0:t>
        </ns0:is>
      </ns0:c>
      <ns0:c r="C61" s="8">
        <ns0:f>'现金流量表'!C68</ns0:f>
        <ns0:v>1247954.37</ns0:v>
      </ns0:c>
      <ns0:c r="D61" s="8">
        <ns0:f>'现金流量表'!D68</ns0:f>
        <ns0:v>1303369.00</ns0:v>
      </ns0:c>
      <ns0:c r="E61" s="8">
        <ns0:f>'现金流量表'!E68</ns0:f>
        <ns0:v>1322313.63</ns0:v>
      </ns0:c>
      <ns0:c r="F61" s="8">
        <ns0:f>'现金流量表'!F68</ns0:f>
        <ns0:v>1384310.96</ns0:v>
      </ns0:c>
      <ns0:c r="G61" s="8">
        <ns0:f>'现金流量表'!G68</ns0:f>
        <ns0:v>1422851.86</ns0:v>
      </ns0:c>
      <ns0:c r="H61" s="8">
        <ns0:f>'现金流量表'!H68</ns0:f>
        <ns0:v>1470007.86</ns0:v>
      </ns0:c>
      <ns0:c r="I61" s="8">
        <ns0:f>'现金流量表'!I68</ns0:f>
        <ns0:v>1470007.86</ns0:v>
      </ns0:c>
      <ns0:c r="J61" s="8">
        <ns0:f>'现金流量表'!J68</ns0:f>
        <ns0:v>1470007.86</ns0:v>
      </ns0:c>
      <ns0:c r="K61" s="8">
        <ns0:f>'现金流量表'!K68</ns0:f>
        <ns0:v>1470007.86</ns0:v>
      </ns0:c>
      <ns0:c r="L61" s="8">
        <ns0:f>'现金流量表'!L68</ns0:f>
        <ns0:v>1470007.86</ns0:v>
      </ns0:c>
      <ns0:c r="M61" s="8">
        <ns0:f>'现金流量表'!M68</ns0:f>
        <ns0:v>1470007.86</ns0:v>
      </ns0:c>
      <ns0:c r="N61" s="8">
        <ns0:f>'现金流量表'!N68</ns0:f>
        <ns0:v>1470007.86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未摊销资产及营运资金</ns0:t>
        </ns0:is>
      </ns0:c>
      <ns0:c r="C62" s="8">
        <ns0:f>'摊销明细'!$C$31-SUM('现金流量表'!$C62:C62)+$C$201+$C$202</ns0:f>
        <ns0:v>510251.37</ns0:v>
      </ns0:c>
      <ns0:c r="D62" s="8">
        <ns0:f>'摊销明细'!$C$31-SUM('现金流量表'!$C62:D62)+$C$201+$C$202</ns0:f>
        <ns0:v>508151.37</ns0:v>
      </ns0:c>
      <ns0:c r="E62" s="8">
        <ns0:f>'摊销明细'!$C$31-SUM('现金流量表'!$C62:E62)+$C$201+$C$202</ns0:f>
        <ns0:v>506051.37</ns0:v>
      </ns0:c>
      <ns0:c r="F62" s="8">
        <ns0:f>'摊销明细'!$C$31-SUM('现金流量表'!$C62:F62)+$C$201+$C$202</ns0:f>
        <ns0:v>503951.37</ns0:v>
      </ns0:c>
      <ns0:c r="G62" s="8">
        <ns0:f>'摊销明细'!$C$31-SUM('现金流量表'!$C62:G62)+$C$201+$C$202</ns0:f>
        <ns0:v>501851.37</ns0:v>
      </ns0:c>
      <ns0:c r="H62" s="8">
        <ns0:f>'摊销明细'!$C$31-SUM('现金流量表'!$C62:H62)+$C$201+$C$202</ns0:f>
        <ns0:v>499751.37</ns0:v>
      </ns0:c>
      <ns0:c r="I62" s="8">
        <ns0:f>'摊销明细'!$C$31-SUM('现金流量表'!$C62:I62)+$C$201+$C$202</ns0:f>
        <ns0:v>497651.37</ns0:v>
      </ns0:c>
      <ns0:c r="J62" s="8">
        <ns0:f>'摊销明细'!$C$31-SUM('现金流量表'!$C62:J62)+$C$201+$C$202</ns0:f>
        <ns0:v>495551.37</ns0:v>
      </ns0:c>
      <ns0:c r="K62" s="8">
        <ns0:f>'摊销明细'!$C$31-SUM('现金流量表'!$C62:K62)+$C$201+$C$202</ns0:f>
        <ns0:v>493451.37</ns0:v>
      </ns0:c>
      <ns0:c r="L62" s="8">
        <ns0:f>'摊销明细'!$C$31-SUM('现金流量表'!$C62:L62)+$C$201+$C$202</ns0:f>
        <ns0:v>491351.37</ns0:v>
      </ns0:c>
      <ns0:c r="M62" s="8">
        <ns0:f>'摊销明细'!$C$31-SUM('现金流量表'!$C62:M62)+$C$201+$C$202</ns0:f>
        <ns0:v>489251.37</ns0:v>
      </ns0:c>
      <ns0:c r="N62" s="8">
        <ns0:f>'摊销明细'!$C$31-SUM('现金流量表'!$C62:N62)+$C$201+$C$202</ns0:f>
        <ns0:v>487151.37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资产总额</ns0:t>
        </ns0:is>
      </ns0:c>
      <ns0:c r="C63" s="8">
        <ns0:f>SUM(C61:C62)</ns0:f>
        <ns0:v>1758205.74</ns0:v>
      </ns0:c>
      <ns0:c r="D63" s="8">
        <ns0:f>SUM(D61:D62)</ns0:f>
        <ns0:v>1811520.37</ns0:v>
      </ns0:c>
      <ns0:c r="E63" s="8">
        <ns0:f>SUM(E61:E62)</ns0:f>
        <ns0:v>1828365.00</ns0:v>
      </ns0:c>
      <ns0:c r="F63" s="8">
        <ns0:f>SUM(F61:F62)</ns0:f>
        <ns0:v>1888262.33</ns0:v>
      </ns0:c>
      <ns0:c r="G63" s="8">
        <ns0:f>SUM(G61:G62)</ns0:f>
        <ns0:v>1924703.23</ns0:v>
      </ns0:c>
      <ns0:c r="H63" s="8">
        <ns0:f>SUM(H61:H62)</ns0:f>
        <ns0:v>1969759.23</ns0:v>
      </ns0:c>
      <ns0:c r="I63" s="8">
        <ns0:f>SUM(I61:I62)</ns0:f>
        <ns0:v>1967659.23</ns0:v>
      </ns0:c>
      <ns0:c r="J63" s="8">
        <ns0:f>SUM(J61:J62)</ns0:f>
        <ns0:v>1965559.23</ns0:v>
      </ns0:c>
      <ns0:c r="K63" s="8">
        <ns0:f>SUM(K61:K62)</ns0:f>
        <ns0:v>1963459.23</ns0:v>
      </ns0:c>
      <ns0:c r="L63" s="8">
        <ns0:f>SUM(L61:L62)</ns0:f>
        <ns0:v>1961359.23</ns0:v>
      </ns0:c>
      <ns0:c r="M63" s="8">
        <ns0:f>SUM(M61:M62)</ns0:f>
        <ns0:v>1959259.23</ns0:v>
      </ns0:c>
      <ns0:c r="N63" s="8">
        <ns0:f>SUM(N61:N62)</ns0:f>
        <ns0:v>1957159.23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负债总额</ns0:t>
        </ns0:is>
      </ns0:c>
      <ns0:c r="C64" s="8">
        <ns0:f>$C$203</ns0:f>
        <ns0:v>49557.56</ns0:v>
      </ns0:c>
      <ns0:c r="D64" s="8">
        <ns0:f>$C$203</ns0:f>
        <ns0:v>49557.56</ns0:v>
      </ns0:c>
      <ns0:c r="E64" s="8">
        <ns0:f>$C$203</ns0:f>
        <ns0:v>49557.56</ns0:v>
      </ns0:c>
      <ns0:c r="F64" s="8">
        <ns0:f>$C$203</ns0:f>
        <ns0:v>49557.56</ns0:v>
      </ns0:c>
      <ns0:c r="G64" s="8">
        <ns0:f>$C$203</ns0:f>
        <ns0:v>49557.56</ns0:v>
      </ns0:c>
      <ns0:c r="H64" s="8">
        <ns0:f>$C$203</ns0:f>
        <ns0:v>49557.56</ns0:v>
      </ns0:c>
      <ns0:c r="I64" s="8">
        <ns0:f>$C$203</ns0:f>
        <ns0:v>49557.56</ns0:v>
      </ns0:c>
      <ns0:c r="J64" s="8">
        <ns0:f>$C$203</ns0:f>
        <ns0:v>49557.56</ns0:v>
      </ns0:c>
      <ns0:c r="K64" s="8">
        <ns0:f>$C$203</ns0:f>
        <ns0:v>49557.56</ns0:v>
      </ns0:c>
      <ns0:c r="L64" s="8">
        <ns0:f>$C$203</ns0:f>
        <ns0:v>49557.56</ns0:v>
      </ns0:c>
      <ns0:c r="M64" s="8">
        <ns0:f>$C$203</ns0:f>
        <ns0:v>49557.56</ns0:v>
      </ns0:c>
      <ns0:c r="N64" s="8">
        <ns0:f>$C$203</ns0:f>
        <ns0:v>49557.56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实收资本</ns0:t>
        </ns0:is>
      </ns0:c>
      <ns0:c r="C65" s="8">
        <ns0:f>$C$200+'摊销明细'!$C$31+$C$201+$C$202-$C$203</ns0:f>
        <ns0:v>1662793.81</ns0:v>
      </ns0:c>
      <ns0:c r="D65" s="8">
        <ns0:f>$C$200+'摊销明细'!$C$31+$C$201+$C$202-$C$203</ns0:f>
        <ns0:v>1662793.81</ns0:v>
      </ns0:c>
      <ns0:c r="E65" s="8">
        <ns0:f>$C$200+'摊销明细'!$C$31+$C$201+$C$202-$C$203</ns0:f>
        <ns0:v>1662793.81</ns0:v>
      </ns0:c>
      <ns0:c r="F65" s="8">
        <ns0:f>$C$200+'摊销明细'!$C$31+$C$201+$C$202-$C$203</ns0:f>
        <ns0:v>1662793.81</ns0:v>
      </ns0:c>
      <ns0:c r="G65" s="8">
        <ns0:f>$C$200+'摊销明细'!$C$31+$C$201+$C$202-$C$203</ns0:f>
        <ns0:v>1662793.81</ns0:v>
      </ns0:c>
      <ns0:c r="H65" s="8">
        <ns0:f>$C$200+'摊销明细'!$C$31+$C$201+$C$202-$C$203</ns0:f>
        <ns0:v>1662793.81</ns0:v>
      </ns0:c>
      <ns0:c r="I65" s="8">
        <ns0:f>$C$200+'摊销明细'!$C$31+$C$201+$C$202-$C$203</ns0:f>
        <ns0:v>1662793.81</ns0:v>
      </ns0:c>
      <ns0:c r="J65" s="8">
        <ns0:f>$C$200+'摊销明细'!$C$31+$C$201+$C$202-$C$203</ns0:f>
        <ns0:v>1662793.81</ns0:v>
      </ns0:c>
      <ns0:c r="K65" s="8">
        <ns0:f>$C$200+'摊销明细'!$C$31+$C$201+$C$202-$C$203</ns0:f>
        <ns0:v>1662793.81</ns0:v>
      </ns0:c>
      <ns0:c r="L65" s="8">
        <ns0:f>$C$200+'摊销明细'!$C$31+$C$201+$C$202-$C$203</ns0:f>
        <ns0:v>1662793.81</ns0:v>
      </ns0:c>
      <ns0:c r="M65" s="8">
        <ns0:f>$C$200+'摊销明细'!$C$31+$C$201+$C$202-$C$203</ns0:f>
        <ns0:v>1662793.81</ns0:v>
      </ns0:c>
      <ns0:c r="N65" s="8">
        <ns0:f>$C$200+'摊销明细'!$C$31+$C$201+$C$202-$C$203</ns0:f>
        <ns0:v>1662793.81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累计未分配利润</ns0:t>
        </ns0:is>
      </ns0:c>
      <ns0:c r="C66" s="8">
        <ns0:f>SUM('利润表'!$C69:C69)</ns0:f>
        <ns0:v>45854.37</ns0:v>
      </ns0:c>
      <ns0:c r="D66" s="8">
        <ns0:f>SUM('利润表'!$C69:D69)</ns0:f>
        <ns0:v>99169.00</ns0:v>
      </ns0:c>
      <ns0:c r="E66" s="8">
        <ns0:f>SUM('利润表'!$C69:E69)</ns0:f>
        <ns0:v>116013.63</ns0:v>
      </ns0:c>
      <ns0:c r="F66" s="8">
        <ns0:f>SUM('利润表'!$C69:F69)</ns0:f>
        <ns0:v>175910.96</ns0:v>
      </ns0:c>
      <ns0:c r="G66" s="8">
        <ns0:f>SUM('利润表'!$C69:G69)</ns0:f>
        <ns0:v>212351.86</ns0:v>
      </ns0:c>
      <ns0:c r="H66" s="8">
        <ns0:f>SUM('利润表'!$C69:H69)</ns0:f>
        <ns0:v>257407.86</ns0:v>
      </ns0:c>
      <ns0:c r="I66" s="8">
        <ns0:f>SUM('利润表'!$C69:I69)</ns0:f>
        <ns0:v>255307.86</ns0:v>
      </ns0:c>
      <ns0:c r="J66" s="8">
        <ns0:f>SUM('利润表'!$C69:J69)</ns0:f>
        <ns0:v>253207.86</ns0:v>
      </ns0:c>
      <ns0:c r="K66" s="8">
        <ns0:f>SUM('利润表'!$C69:K69)</ns0:f>
        <ns0:v>251107.86</ns0:v>
      </ns0:c>
      <ns0:c r="L66" s="8">
        <ns0:f>SUM('利润表'!$C69:L69)</ns0:f>
        <ns0:v>249007.86</ns0:v>
      </ns0:c>
      <ns0:c r="M66" s="8">
        <ns0:f>SUM('利润表'!$C69:M69)</ns0:f>
        <ns0:v>246907.86</ns0:v>
      </ns0:c>
      <ns0:c r="N66" s="8">
        <ns0:f>SUM('利润表'!$C69:N69)</ns0:f>
        <ns0:v>244807.86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所有者权益</ns0:t>
        </ns0:is>
      </ns0:c>
      <ns0:c r="C67" s="8">
        <ns0:f>SUM(C65:C66)</ns0:f>
        <ns0:v>1708648.18</ns0:v>
      </ns0:c>
      <ns0:c r="D67" s="8">
        <ns0:f>SUM(D65:D66)</ns0:f>
        <ns0:v>1761962.81</ns0:v>
      </ns0:c>
      <ns0:c r="E67" s="8">
        <ns0:f>SUM(E65:E66)</ns0:f>
        <ns0:v>1778807.44</ns0:v>
      </ns0:c>
      <ns0:c r="F67" s="8">
        <ns0:f>SUM(F65:F66)</ns0:f>
        <ns0:v>1838704.77</ns0:v>
      </ns0:c>
      <ns0:c r="G67" s="8">
        <ns0:f>SUM(G65:G66)</ns0:f>
        <ns0:v>1875145.67</ns0:v>
      </ns0:c>
      <ns0:c r="H67" s="8">
        <ns0:f>SUM(H65:H66)</ns0:f>
        <ns0:v>1920201.67</ns0:v>
      </ns0:c>
      <ns0:c r="I67" s="8">
        <ns0:f>SUM(I65:I66)</ns0:f>
        <ns0:v>1918101.67</ns0:v>
      </ns0:c>
      <ns0:c r="J67" s="8">
        <ns0:f>SUM(J65:J66)</ns0:f>
        <ns0:v>1916001.67</ns0:v>
      </ns0:c>
      <ns0:c r="K67" s="8">
        <ns0:f>SUM(K65:K66)</ns0:f>
        <ns0:v>1913901.67</ns0:v>
      </ns0:c>
      <ns0:c r="L67" s="8">
        <ns0:f>SUM(L65:L66)</ns0:f>
        <ns0:v>1911801.67</ns0:v>
      </ns0:c>
      <ns0:c r="M67" s="8">
        <ns0:f>SUM(M65:M66)</ns0:f>
        <ns0:v>1909701.67</ns0:v>
      </ns0:c>
      <ns0:c r="N67" s="8">
        <ns0:f>SUM(N65:N66)</ns0:f>
        <ns0:v>1907601.67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负债及权益合计</ns0:t>
        </ns0:is>
      </ns0:c>
      <ns0:c r="C68" s="8">
        <ns0:f>SUM(C64,C67)</ns0:f>
        <ns0:v>1758205.74</ns0:v>
      </ns0:c>
      <ns0:c r="D68" s="8">
        <ns0:f>SUM(D64,D67)</ns0:f>
        <ns0:v>1811520.37</ns0:v>
      </ns0:c>
      <ns0:c r="E68" s="8">
        <ns0:f>SUM(E64,E67)</ns0:f>
        <ns0:v>1828365.00</ns0:v>
      </ns0:c>
      <ns0:c r="F68" s="8">
        <ns0:f>SUM(F64,F67)</ns0:f>
        <ns0:v>1888262.33</ns0:v>
      </ns0:c>
      <ns0:c r="G68" s="8">
        <ns0:f>SUM(G64,G67)</ns0:f>
        <ns0:v>1924703.23</ns0:v>
      </ns0:c>
      <ns0:c r="H68" s="8">
        <ns0:f>SUM(H64,H67)</ns0:f>
        <ns0:v>1969759.23</ns0:v>
      </ns0:c>
      <ns0:c r="I68" s="8">
        <ns0:f>SUM(I64,I67)</ns0:f>
        <ns0:v>1967659.23</ns0:v>
      </ns0:c>
      <ns0:c r="J68" s="8">
        <ns0:f>SUM(J64,J67)</ns0:f>
        <ns0:v>1965559.23</ns0:v>
      </ns0:c>
      <ns0:c r="K68" s="8">
        <ns0:f>SUM(K64,K67)</ns0:f>
        <ns0:v>1963459.23</ns0:v>
      </ns0:c>
      <ns0:c r="L68" s="8">
        <ns0:f>SUM(L64,L67)</ns0:f>
        <ns0:v>1961359.23</ns0:v>
      </ns0:c>
      <ns0:c r="M68" s="8">
        <ns0:f>SUM(M64,M67)</ns0:f>
        <ns0:v>1959259.23</ns0:v>
      </ns0:c>
      <ns0:c r="N68" s="8">
        <ns0:f>SUM(N64,N67)</ns0:f>
        <ns0:v>1957159.23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期初现金（投入资本）</ns0:t>
        </ns0:is>
      </ns0:c>
      <ns0:c r="C200" s="11">
        <ns0:v>1200000.00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7" t="inlineStr">
        <ns0:is>
          <ns0:t>应收账款</ns0:t>
        </ns0:is>
      </ns0:c>
      <ns0:c r="C201" s="8">
        <ns0:f>ROUND('利润表'!$D$4*45/360,2)</ns0:f>
        <ns0:v>303615.04</ns0:v>
      </ns0:c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7" t="inlineStr">
        <ns0:is>
          <ns0:t>存货</ns0:t>
        </ns0:is>
      </ns0:c>
      <ns0:c r="C202" s="8">
        <ns0:f>ROUND('利润表'!$D$5*30/360,2)</ns0:f>
        <ns0:v>74336.33</ns0:v>
      </ns0:c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7" t="inlineStr">
        <ns0:is>
          <ns0:t>应付账款</ns0:t>
        </ns0:is>
      </ns0:c>
      <ns0:c r="C203" s="8">
        <ns0:f>ROUND('利润表'!$D$5*20/360,2)</ns0:f>
        <ns0:v>49557.56</ns0:v>
      </ns0:c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      目</ns0:t>
        </ns0:is>
      </ns0:c>
      <ns0:c r="B2" s="7" t="inlineStr">
        <ns0:is>
          <ns0:t>行次</ns0:t>
        </ns0:is>
      </ns0:c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 t="inlineStr">
        <ns0:is>
          <ns0:t>一、经营活动产生的现金流量：</ns0:t>
        </ns0:is>
      </ns0:c>
      <ns0:c r="B3" s="7"/>
      <ns0:c r="C3" s="9" t="inlineStr">
        <ns0:is>
          <ns0:t>本期金额（6月）</ns0:t>
        </ns0:is>
      </ns0:c>
      <ns0:c r="D3" s="9" t="inlineStr">
        <ns0:is>
          <ns0:t>本年累计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销售商品、提供劳务收到的现金</ns0:t>
        </ns0:is>
      </ns0:c>
      <ns0:c r="B4" s="7"/>
      <ns0:c r="C4" s="8">
        <ns0:f>SUM(U123:U123)</ns0:f>
        <ns0:v>401464.95</ns0:v>
      </ns0:c>
      <ns0:c r="D4" s="8">
        <ns0:f>AB123</ns0:f>
        <ns0:v>2327095.38</ns0:v>
      </ns0:c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 t="inlineStr">
        <ns0:is>
          <ns0:t>收到的税费返还</ns0:t>
        </ns0:is>
      </ns0:c>
      <ns0:c r="B5" s="7"/>
      <ns0:c r="C5" s="8">
        <ns0:f>SUM(U124:U124)</ns0:f>
        <ns0:v>0</ns0:v>
      </ns0:c>
      <ns0:c r="D5" s="8">
        <ns0:f>AB124</ns0:f>
        <ns0:v>0</ns0:v>
      </ns0:c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收到其他与经营活动有关的现金</ns0:t>
        </ns0:is>
      </ns0:c>
      <ns0:c r="B6" s="7"/>
      <ns0:c r="C6" s="8">
        <ns0:f>SUM(U125:U125)</ns0:f>
        <ns0:v>0</ns0:v>
      </ns0:c>
      <ns0:c r="D6" s="8">
        <ns0:f>AB125</ns0:f>
        <ns0:v>0</ns0:v>
      </ns0:c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经营活动现金流入小计</ns0:t>
        </ns0:is>
      </ns0:c>
      <ns0:c r="B7" s="7"/>
      <ns0:c r="C7" s="8">
        <ns0:f>U126</ns0:f>
        <ns0:v>401464.95</ns0:v>
      </ns0:c>
      <ns0:c r="D7" s="8">
        <ns0:f>AB126</ns0:f>
        <ns0:v>2327095.38</ns0:v>
      </ns0:c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购买商品、接受劳务支付的现金（04）</ns0:t>
        </ns0:is>
      </ns0:c>
      <ns0:c r="B8" s="7"/>
      <ns0:c r="C8" s="8">
        <ns0:f>SUM(U127:U127)</ns0:f>
        <ns0:v>160235.64</ns0:v>
      </ns0:c>
      <ns0:c r="D8" s="8">
        <ns0:f>AB127</ns0:f>
        <ns0:v>892036.01</ns0:v>
      </ns0:c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支付给职工以及为职工支付的现金（05）</ns0:t>
        </ns0:is>
      </ns0:c>
      <ns0:c r="B9" s="7"/>
      <ns0:c r="C9" s="8">
        <ns0:f>SUM(U128:U128)</ns0:f>
        <ns0:v>131036.85</ns0:v>
      </ns0:c>
      <ns0:c r="D9" s="8">
        <ns0:f>AB128</ns0:f>
        <ns0:v>789019.29</ns0:v>
      </ns0:c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支付的各项税费（06）</ns0:t>
        </ns0:is>
      </ns0:c>
      <ns0:c r="B10" s="7"/>
      <ns0:c r="C10" s="8">
        <ns0:f>SUM(U129:U129)</ns0:f>
        <ns0:v>4194.09</ns0:v>
      </ns0:c>
      <ns0:c r="D10" s="8">
        <ns0:f>AB129</ns0:f>
        <ns0:v>24289.21</ns0:v>
      </ns0:c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支付其他与经营活动有关的现金（07）</ns0:t>
        </ns0:is>
      </ns0:c>
      <ns0:c r="B11" s="7"/>
      <ns0:c r="C11" s="8">
        <ns0:f>SUM(U130:U130)</ns0:f>
        <ns0:v>58842.37</ns0:v>
      </ns0:c>
      <ns0:c r="D11" s="8">
        <ns0:f>AB130</ns0:f>
        <ns0:v>351743.01</ns0:v>
      </ns0:c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经营活动现金流出小计</ns0:t>
        </ns0:is>
      </ns0:c>
      <ns0:c r="B12" s="7"/>
      <ns0:c r="C12" s="8">
        <ns0:f>U131</ns0:f>
        <ns0:v>354308.95</ns0:v>
      </ns0:c>
      <ns0:c r="D12" s="8">
        <ns0:f>AB131</ns0:f>
        <ns0:v>2057087.52</ns0:v>
      </ns0:c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经营活动产生的现金流量净额</ns0:t>
        </ns0:is>
      </ns0:c>
      <ns0:c r="B13" s="7"/>
      <ns0:c r="C13" s="8">
        <ns0:f>U132</ns0:f>
        <ns0:v>47156.00</ns0:v>
      </ns0:c>
      <ns0:c r="D13" s="8">
        <ns0:f>AB132</ns0:f>
        <ns0:v>270007.86</ns0:v>
      </ns0:c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二、投资活动产生的现金流量：</ns0:t>
        </ns0:is>
      </ns0:c>
      <ns0:c r="B14" s="7"/>
      <ns0:c r="C14" s="8"/>
      <ns0:c r="D14" s="8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收回投资收到的现金</ns0:t>
        </ns0:is>
      </ns0:c>
      <ns0:c r="B15" s="7"/>
      <ns0:c r="C15" s="8">
        <ns0:f>SUM(U134:U134)</ns0:f>
        <ns0:v>0</ns0:v>
      </ns0:c>
      <ns0:c r="D15" s="8">
        <ns0:f>AB134</ns0:f>
        <ns0:v>0</ns0:v>
      </ns0:c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取得投资收益收到的现金</ns0:t>
        </ns0:is>
      </ns0:c>
      <ns0:c r="B16" s="7"/>
      <ns0:c r="C16" s="8">
        <ns0:f>SUM(U135:U135)</ns0:f>
        <ns0:v>0</ns0:v>
      </ns0:c>
      <ns0:c r="D16" s="8">
        <ns0:f>AB135</ns0:f>
        <ns0:v>0</ns0:v>
      </ns0:c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处置固定资产、无形资产和其他长期资产收回的现金净额</ns0:t>
        </ns0:is>
      </ns0:c>
      <ns0:c r="B17" s="7"/>
      <ns0:c r="C17" s="8">
        <ns0:f>SUM(U136:U136)</ns0:f>
        <ns0:v>0</ns0:v>
      </ns0:c>
      <ns0:c r="D17" s="8">
        <ns0:f>AB136</ns0:f>
        <ns0:v>0</ns0:v>
      </ns0:c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 t="inlineStr">
        <ns0:is>
          <ns0:t>处置子公司及其他营业单位收到的现金净额</ns0:t>
        </ns0:is>
      </ns0:c>
      <ns0:c r="B18" s="7"/>
      <ns0:c r="C18" s="8">
        <ns0:f>SUM(U137:U137)</ns0:f>
        <ns0:v>0</ns0:v>
      </ns0:c>
      <ns0:c r="D18" s="8">
        <ns0:f>AB137</ns0:f>
        <ns0:v>0</ns0:v>
      </ns0:c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收到其他与投资活动有关的现金</ns0:t>
        </ns0:is>
      </ns0:c>
      <ns0:c r="B19" s="7"/>
      <ns0:c r="C19" s="8">
        <ns0:f>SUM(U138:U138)</ns0:f>
        <ns0:v>0</ns0:v>
      </ns0:c>
      <ns0:c r="D19" s="8">
        <ns0:f>AB138</ns0:f>
        <ns0:v>0</ns0:v>
      </ns0:c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投资活动现金流入小计</ns0:t>
        </ns0:is>
      </ns0:c>
      <ns0:c r="B20" s="7"/>
      <ns0:c r="C20" s="8">
        <ns0:f>U139</ns0:f>
        <ns0:v>0</ns0:v>
      </ns0:c>
      <ns0:c r="D20" s="8">
        <ns0:f>AB139</ns0:f>
        <ns0:v>0</ns0:v>
      </ns0:c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购建固定资产、无形资产和其他长期资产支付的现金（13）</ns0:t>
        </ns0:is>
      </ns0:c>
      <ns0:c r="B21" s="7"/>
      <ns0:c r="C21" s="8">
        <ns0:f>SUM(U140:U140)</ns0:f>
        <ns0:v>0</ns0:v>
      </ns0:c>
      <ns0:c r="D21" s="8">
        <ns0:f>AB140</ns0:f>
        <ns0:v>0</ns0:v>
      </ns0:c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投资支付的现金（14）</ns0:t>
        </ns0:is>
      </ns0:c>
      <ns0:c r="B22" s="7"/>
      <ns0:c r="C22" s="8">
        <ns0:f>SUM(U141:U141)</ns0:f>
        <ns0:v>0</ns0:v>
      </ns0:c>
      <ns0:c r="D22" s="8">
        <ns0:f>AB141</ns0:f>
        <ns0:v>0</ns0:v>
      </ns0:c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取得子公司及其他营业单位支付的现金净额</ns0:t>
        </ns0:is>
      </ns0:c>
      <ns0:c r="B23" s="7"/>
      <ns0:c r="C23" s="8">
        <ns0:f>SUM(U142:U142)</ns0:f>
        <ns0:v>0</ns0:v>
      </ns0:c>
      <ns0:c r="D23" s="8">
        <ns0:f>AB142</ns0:f>
        <ns0:v>0</ns0:v>
      </ns0:c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支付其他与投资活动有关的现金</ns0:t>
        </ns0:is>
      </ns0:c>
      <ns0:c r="B24" s="7"/>
      <ns0:c r="C24" s="8">
        <ns0:f>SUM(U143:U143)</ns0:f>
        <ns0:v>0</ns0:v>
      </ns0:c>
      <ns0:c r="D24" s="8">
        <ns0:f>AB143</ns0:f>
        <ns0:v>0</ns0:v>
      </ns0:c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投资活动现金流出小计</ns0:t>
        </ns0:is>
      </ns0:c>
      <ns0:c r="B25" s="7"/>
      <ns0:c r="C25" s="8">
        <ns0:f>U144</ns0:f>
        <ns0:v>0</ns0:v>
      </ns0:c>
      <ns0:c r="D25" s="8">
        <ns0:f>AB144</ns0:f>
        <ns0:v>0</ns0:v>
      </ns0:c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投资活动产生的现金流量净额</ns0:t>
        </ns0:is>
      </ns0:c>
      <ns0:c r="B26" s="7"/>
      <ns0:c r="C26" s="8">
        <ns0:f>U145</ns0:f>
        <ns0:v>0</ns0:v>
      </ns0:c>
      <ns0:c r="D26" s="8">
        <ns0:f>AB145</ns0:f>
        <ns0:v>0</ns0:v>
      </ns0:c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三、筹资活动产生的现金流量：</ns0:t>
        </ns0:is>
      </ns0:c>
      <ns0:c r="B27" s="7"/>
      <ns0:c r="C27" s="8"/>
      <ns0:c r="D27" s="8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吸收投资收到的现金</ns0:t>
        </ns0:is>
      </ns0:c>
      <ns0:c r="B28" s="7"/>
      <ns0:c r="C28" s="8">
        <ns0:f>SUM(U147:U147)</ns0:f>
        <ns0:v>0</ns0:v>
      </ns0:c>
      <ns0:c r="D28" s="8">
        <ns0:f>AB147</ns0:f>
        <ns0:v>0</ns0:v>
      </ns0:c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取得借款收到的现金</ns0:t>
        </ns0:is>
      </ns0:c>
      <ns0:c r="B29" s="7"/>
      <ns0:c r="C29" s="8">
        <ns0:f>SUM(U148:U148)</ns0:f>
        <ns0:v>0</ns0:v>
      </ns0:c>
      <ns0:c r="D29" s="8">
        <ns0:f>AB148</ns0:f>
        <ns0:v>0</ns0:v>
      </ns0:c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收到其他与筹资活动有关的现金</ns0:t>
        </ns0:is>
      </ns0:c>
      <ns0:c r="B30" s="10"/>
      <ns0:c r="C30" s="9">
        <ns0:f>SUM(U149:U149)</ns0:f>
        <ns0:v>0</ns0:v>
      </ns0:c>
      <ns0:c r="D30" s="9">
        <ns0:f>AB149</ns0:f>
        <ns0:v>0</ns0:v>
      </ns0:c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筹资活动现金流入小计</ns0:t>
        </ns0:is>
      </ns0:c>
      <ns0:c r="B31" s="7"/>
      <ns0:c r="C31" s="8">
        <ns0:f>U150</ns0:f>
        <ns0:v>0</ns0:v>
      </ns0:c>
      <ns0:c r="D31" s="8">
        <ns0:f>AB150</ns0:f>
        <ns0:v>0</ns0:v>
      </ns0:c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偿还债务支付的现金</ns0:t>
        </ns0:is>
      </ns0:c>
      <ns0:c r="B32" s="7"/>
      <ns0:c r="C32" s="8">
        <ns0:f>SUM(U151:U151)</ns0:f>
        <ns0:v>0</ns0:v>
      </ns0:c>
      <ns0:c r="D32" s="8">
        <ns0:f>AB151</ns0:f>
        <ns0:v>0</ns0:v>
      </ns0:c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分配股利、利润或偿付利息支付的现金</ns0:t>
        </ns0:is>
      </ns0:c>
      <ns0:c r="B33" s="7"/>
      <ns0:c r="C33" s="8">
        <ns0:f>SUM(U152:U152)</ns0:f>
        <ns0:v>0</ns0:v>
      </ns0:c>
      <ns0:c r="D33" s="8">
        <ns0:f>AB152</ns0:f>
        <ns0:v>0</ns0:v>
      </ns0:c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支付其他与筹资活动有关的现金</ns0:t>
        </ns0:is>
      </ns0:c>
      <ns0:c r="B34" s="7"/>
      <ns0:c r="C34" s="8">
        <ns0:f>SUM(U153:U153)</ns0:f>
        <ns0:v>0</ns0:v>
      </ns0:c>
      <ns0:c r="D34" s="8">
        <ns0:f>AB153</ns0:f>
        <ns0:v>0</ns0:v>
      </ns0:c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筹资活动现金流出小计</ns0:t>
        </ns0:is>
      </ns0:c>
      <ns0:c r="B35" s="7"/>
      <ns0:c r="C35" s="8">
        <ns0:f>U154</ns0:f>
        <ns0:v>0</ns0:v>
      </ns0:c>
      <ns0:c r="D35" s="8">
        <ns0:f>AB154</ns0:f>
        <ns0:v>0</ns0:v>
      </ns0:c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筹资活动产生的现金流量净额</ns0:t>
        </ns0:is>
      </ns0:c>
      <ns0:c r="B36" s="7"/>
      <ns0:c r="C36" s="8">
        <ns0:f>U155</ns0:f>
        <ns0:v>0</ns0:v>
      </ns0:c>
      <ns0:c r="D36" s="8">
        <ns0:f>AB155</ns0:f>
        <ns0:v>0</ns0:v>
      </ns0:c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 t="inlineStr">
        <ns0:is>
          <ns0:t>四、汇率变动对现金及现金等价物的影响</ns0:t>
        </ns0:is>
      </ns0:c>
      <ns0:c r="B37" s="7"/>
      <ns0:c r="C37" s="8">
        <ns0:f>SUM(U156:U156)</ns0:f>
        <ns0:v>0</ns0:v>
      </ns0:c>
      <ns0:c r="D37" s="8">
        <ns0:f>AB156</ns0:f>
        <ns0:v>0</ns0:v>
      </ns0:c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五、现金及现金等价物净增加额</ns0:t>
        </ns0:is>
      </ns0:c>
      <ns0:c r="B38" s="7"/>
      <ns0:c r="C38" s="8">
        <ns0:f>U157</ns0:f>
        <ns0:v>47156.00</ns0:v>
      </ns0:c>
      <ns0:c r="D38" s="8">
        <ns0:f>AB157</ns0:f>
        <ns0:v>270007.86</ns0:v>
      </ns0:c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加：期初现金及现金等价物余额</ns0:t>
        </ns0:is>
      </ns0:c>
      <ns0:c r="B39" s="7"/>
      <ns0:c r="C39" s="8">
        <ns0:f>U158</ns0:f>
        <ns0:v>1422851.86</ns0:v>
      </ns0:c>
      <ns0:c r="D39" s="8">
        <ns0:f>P158</ns0:f>
        <ns0:v>1200000.00</ns0:v>
      </ns0:c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六、期末现金及现金等价物余额</ns0:t>
        </ns0:is>
      </ns0:c>
      <ns0:c r="B40" s="7"/>
      <ns0:c r="C40" s="8">
        <ns0:f>U159</ns0:f>
        <ns0:v>1470007.86</ns0:v>
      </ns0:c>
      <ns0:c r="D40" s="8">
        <ns0:f>AB159</ns0:f>
        <ns0:v>1470007.86</ns0:v>
      </ns0:c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净利润</ns0:t>
        </ns0:is>
      </ns0:c>
      <ns0:c r="C61" s="8">
        <ns0:f>'利润表'!C69</ns0:f>
        <ns0:v>45854.37</ns0:v>
      </ns0:c>
      <ns0:c r="D61" s="8">
        <ns0:f>'利润表'!D69</ns0:f>
        <ns0:v>53314.63</ns0:v>
      </ns0:c>
      <ns0:c r="E61" s="8">
        <ns0:f>'利润表'!E69</ns0:f>
        <ns0:v>16844.63</ns0:v>
      </ns0:c>
      <ns0:c r="F61" s="8">
        <ns0:f>'利润表'!F69</ns0:f>
        <ns0:v>59897.33</ns0:v>
      </ns0:c>
      <ns0:c r="G61" s="8">
        <ns0:f>'利润表'!G69</ns0:f>
        <ns0:v>36440.90</ns0:v>
      </ns0:c>
      <ns0:c r="H61" s="8">
        <ns0:f>'利润表'!H69</ns0:f>
        <ns0:v>45056.00</ns0:v>
      </ns0:c>
      <ns0:c r="I61" s="8">
        <ns0:f>'利润表'!I69</ns0:f>
        <ns0:v>-2100.00</ns0:v>
      </ns0:c>
      <ns0:c r="J61" s="8">
        <ns0:f>'利润表'!J69</ns0:f>
        <ns0:v>-2100.00</ns0:v>
      </ns0:c>
      <ns0:c r="K61" s="8">
        <ns0:f>'利润表'!K69</ns0:f>
        <ns0:v>-2100.00</ns0:v>
      </ns0:c>
      <ns0:c r="L61" s="8">
        <ns0:f>'利润表'!L69</ns0:f>
        <ns0:v>-2100.00</ns0:v>
      </ns0:c>
      <ns0:c r="M61" s="8">
        <ns0:f>'利润表'!M69</ns0:f>
        <ns0:v>-2100.00</ns0:v>
      </ns0:c>
      <ns0:c r="N61" s="8">
        <ns0:f>'利润表'!N69</ns0:f>
        <ns0:v>-2100.00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折旧摊销加回</ns0:t>
        </ns0:is>
      </ns0:c>
      <ns0:c r="C62" s="8">
        <ns0:f>'销售费用'!C20+'管理费用'!C20+'蓝恐龙费用'!C20</ns0:f>
        <ns0:v>2100.00</ns0:v>
      </ns0:c>
      <ns0:c r="D62" s="8">
        <ns0:f>'销售费用'!D20+'管理费用'!D20+'蓝恐龙费用'!D20</ns0:f>
        <ns0:v>2100.00</ns0:v>
      </ns0:c>
      <ns0:c r="E62" s="8">
        <ns0:f>'销售费用'!E20+'管理费用'!E20+'蓝恐龙费用'!E20</ns0:f>
        <ns0:v>2100.00</ns0:v>
      </ns0:c>
      <ns0:c r="F62" s="8">
        <ns0:f>'销售费用'!F20+'管理费用'!F20+'蓝恐龙费用'!F20</ns0:f>
        <ns0:v>2100.00</ns0:v>
      </ns0:c>
      <ns0:c r="G62" s="8">
        <ns0:f>'销售费用'!G20+'管理费用'!G20+'蓝恐龙费用'!G20</ns0:f>
        <ns0:v>2100.00</ns0:v>
      </ns0:c>
      <ns0:c r="H62" s="8">
        <ns0:f>'销售费用'!H20+'管理费用'!H20+'蓝恐龙费用'!H20</ns0:f>
        <ns0:v>2100.00</ns0:v>
      </ns0:c>
      <ns0:c r="I62" s="8">
        <ns0:f>'销售费用'!I20+'管理费用'!I20+'蓝恐龙费用'!I20</ns0:f>
        <ns0:v>2100.00</ns0:v>
      </ns0:c>
      <ns0:c r="J62" s="8">
        <ns0:f>'销售费用'!J20+'管理费用'!J20+'蓝恐龙费用'!J20</ns0:f>
        <ns0:v>2100.00</ns0:v>
      </ns0:c>
      <ns0:c r="K62" s="8">
        <ns0:f>'销售费用'!K20+'管理费用'!K20+'蓝恐龙费用'!K20</ns0:f>
        <ns0:v>2100.00</ns0:v>
      </ns0:c>
      <ns0:c r="L62" s="8">
        <ns0:f>'销售费用'!L20+'管理费用'!L20+'蓝恐龙费用'!L20</ns0:f>
        <ns0:v>2100.00</ns0:v>
      </ns0:c>
      <ns0:c r="M62" s="8">
        <ns0:f>'销售费用'!M20+'管理费用'!M20+'蓝恐龙费用'!M20</ns0:f>
        <ns0:v>2100.00</ns0:v>
      </ns0:c>
      <ns0:c r="N62" s="8">
        <ns0:f>'销售费用'!N20+'管理费用'!N20+'蓝恐龙费用'!N20</ns0:f>
        <ns0:v>2100.00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经营现金净流量</ns0:t>
        </ns0:is>
      </ns0:c>
      <ns0:c r="C63" s="8">
        <ns0:f>SUM(C61:C62)</ns0:f>
        <ns0:v>47954.37</ns0:v>
      </ns0:c>
      <ns0:c r="D63" s="8">
        <ns0:f>SUM(D61:D62)</ns0:f>
        <ns0:v>55414.63</ns0:v>
      </ns0:c>
      <ns0:c r="E63" s="8">
        <ns0:f>SUM(E61:E62)</ns0:f>
        <ns0:v>18944.63</ns0:v>
      </ns0:c>
      <ns0:c r="F63" s="8">
        <ns0:f>SUM(F61:F62)</ns0:f>
        <ns0:v>61997.33</ns0:v>
      </ns0:c>
      <ns0:c r="G63" s="8">
        <ns0:f>SUM(G61:G62)</ns0:f>
        <ns0:v>38540.90</ns0:v>
      </ns0:c>
      <ns0:c r="H63" s="8">
        <ns0:f>SUM(H61:H62)</ns0:f>
        <ns0:v>47156.00</ns0:v>
      </ns0:c>
      <ns0:c r="I63" s="8">
        <ns0:f>SUM(I61:I62)</ns0:f>
        <ns0:v>0.00</ns0:v>
      </ns0:c>
      <ns0:c r="J63" s="8">
        <ns0:f>SUM(J61:J62)</ns0:f>
        <ns0:v>0.00</ns0:v>
      </ns0:c>
      <ns0:c r="K63" s="8">
        <ns0:f>SUM(K61:K62)</ns0:f>
        <ns0:v>0.00</ns0:v>
      </ns0:c>
      <ns0:c r="L63" s="8">
        <ns0:f>SUM(L61:L62)</ns0:f>
        <ns0:v>0.00</ns0:v>
      </ns0:c>
      <ns0:c r="M63" s="8">
        <ns0:f>SUM(M61:M62)</ns0:f>
        <ns0:v>0.00</ns0:v>
      </ns0:c>
      <ns0:c r="N63" s="8">
        <ns0:f>SUM(N61:N62)</ns0:f>
        <ns0:v>0.00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投资现金净流量</ns0:t>
        </ns0:is>
      </ns0:c>
      <ns0:c r="C64" s="8">
        <ns0:f>0</ns0:f>
        <ns0:v>0</ns0:v>
      </ns0:c>
      <ns0:c r="D64" s="8">
        <ns0:f>0</ns0:f>
        <ns0:v>0</ns0:v>
      </ns0:c>
      <ns0:c r="E64" s="8">
        <ns0:f>0</ns0:f>
        <ns0:v>0</ns0:v>
      </ns0:c>
      <ns0:c r="F64" s="8">
        <ns0:f>0</ns0:f>
        <ns0:v>0</ns0:v>
      </ns0:c>
      <ns0:c r="G64" s="8">
        <ns0:f>0</ns0:f>
        <ns0:v>0</ns0:v>
      </ns0:c>
      <ns0:c r="H64" s="8">
        <ns0:f>0</ns0:f>
        <ns0:v>0</ns0:v>
      </ns0:c>
      <ns0:c r="I64" s="8">
        <ns0:f>0</ns0:f>
        <ns0:v>0</ns0:v>
      </ns0:c>
      <ns0:c r="J64" s="8">
        <ns0:f>0</ns0:f>
        <ns0:v>0</ns0:v>
      </ns0:c>
      <ns0:c r="K64" s="8">
        <ns0:f>0</ns0:f>
        <ns0:v>0</ns0:v>
      </ns0:c>
      <ns0:c r="L64" s="8">
        <ns0:f>0</ns0:f>
        <ns0:v>0</ns0:v>
      </ns0:c>
      <ns0:c r="M64" s="8">
        <ns0:f>0</ns0:f>
        <ns0:v>0</ns0:v>
      </ns0:c>
      <ns0:c r="N64" s="8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筹资现金净流量</ns0:t>
        </ns0:is>
      </ns0:c>
      <ns0:c r="C65" s="8">
        <ns0:f>0</ns0:f>
        <ns0:v>0</ns0:v>
      </ns0:c>
      <ns0:c r="D65" s="8">
        <ns0:f>0</ns0:f>
        <ns0:v>0</ns0:v>
      </ns0:c>
      <ns0:c r="E65" s="8">
        <ns0:f>0</ns0:f>
        <ns0:v>0</ns0:v>
      </ns0:c>
      <ns0:c r="F65" s="8">
        <ns0:f>0</ns0:f>
        <ns0:v>0</ns0:v>
      </ns0:c>
      <ns0:c r="G65" s="8">
        <ns0:f>0</ns0:f>
        <ns0:v>0</ns0:v>
      </ns0:c>
      <ns0:c r="H65" s="8">
        <ns0:f>0</ns0:f>
        <ns0:v>0</ns0:v>
      </ns0:c>
      <ns0:c r="I65" s="8">
        <ns0:f>0</ns0:f>
        <ns0:v>0</ns0:v>
      </ns0:c>
      <ns0:c r="J65" s="8">
        <ns0:f>0</ns0:f>
        <ns0:v>0</ns0:v>
      </ns0:c>
      <ns0:c r="K65" s="8">
        <ns0:f>0</ns0:f>
        <ns0:v>0</ns0:v>
      </ns0:c>
      <ns0:c r="L65" s="8">
        <ns0:f>0</ns0:f>
        <ns0:v>0</ns0:v>
      </ns0:c>
      <ns0:c r="M65" s="8">
        <ns0:f>0</ns0:f>
        <ns0:v>0</ns0:v>
      </ns0:c>
      <ns0:c r="N65" s="8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现金净增加</ns0:t>
        </ns0:is>
      </ns0:c>
      <ns0:c r="C66" s="8">
        <ns0:f>SUM(C63:C65)</ns0:f>
        <ns0:v>47954.37</ns0:v>
      </ns0:c>
      <ns0:c r="D66" s="8">
        <ns0:f>SUM(D63:D65)</ns0:f>
        <ns0:v>55414.63</ns0:v>
      </ns0:c>
      <ns0:c r="E66" s="8">
        <ns0:f>SUM(E63:E65)</ns0:f>
        <ns0:v>18944.63</ns0:v>
      </ns0:c>
      <ns0:c r="F66" s="8">
        <ns0:f>SUM(F63:F65)</ns0:f>
        <ns0:v>61997.33</ns0:v>
      </ns0:c>
      <ns0:c r="G66" s="8">
        <ns0:f>SUM(G63:G65)</ns0:f>
        <ns0:v>38540.90</ns0:v>
      </ns0:c>
      <ns0:c r="H66" s="8">
        <ns0:f>SUM(H63:H65)</ns0:f>
        <ns0:v>47156.00</ns0:v>
      </ns0:c>
      <ns0:c r="I66" s="8">
        <ns0:f>SUM(I63:I65)</ns0:f>
        <ns0:v>0.00</ns0:v>
      </ns0:c>
      <ns0:c r="J66" s="8">
        <ns0:f>SUM(J63:J65)</ns0:f>
        <ns0:v>0.00</ns0:v>
      </ns0:c>
      <ns0:c r="K66" s="8">
        <ns0:f>SUM(K63:K65)</ns0:f>
        <ns0:v>0.00</ns0:v>
      </ns0:c>
      <ns0:c r="L66" s="8">
        <ns0:f>SUM(L63:L65)</ns0:f>
        <ns0:v>0.00</ns0:v>
      </ns0:c>
      <ns0:c r="M66" s="8">
        <ns0:f>SUM(M63:M65)</ns0:f>
        <ns0:v>0.00</ns0:v>
      </ns0:c>
      <ns0:c r="N66" s="8">
        <ns0:f>SUM(N63:N65)</ns0:f>
        <ns0:v>0.00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期初现金</ns0:t>
        </ns0:is>
      </ns0:c>
      <ns0:c r="C67" s="8">
        <ns0:f>'资产负债表'!$C$200</ns0:f>
        <ns0:v>1200000.00</ns0:v>
      </ns0:c>
      <ns0:c r="D67" s="8">
        <ns0:f>C68</ns0:f>
        <ns0:v>1247954.37</ns0:v>
      </ns0:c>
      <ns0:c r="E67" s="8">
        <ns0:f>D68</ns0:f>
        <ns0:v>1303369.00</ns0:v>
      </ns0:c>
      <ns0:c r="F67" s="8">
        <ns0:f>E68</ns0:f>
        <ns0:v>1322313.63</ns0:v>
      </ns0:c>
      <ns0:c r="G67" s="8">
        <ns0:f>F68</ns0:f>
        <ns0:v>1384310.96</ns0:v>
      </ns0:c>
      <ns0:c r="H67" s="8">
        <ns0:f>G68</ns0:f>
        <ns0:v>1422851.86</ns0:v>
      </ns0:c>
      <ns0:c r="I67" s="8">
        <ns0:f>H68</ns0:f>
        <ns0:v>1470007.86</ns0:v>
      </ns0:c>
      <ns0:c r="J67" s="8">
        <ns0:f>I68</ns0:f>
        <ns0:v>1470007.86</ns0:v>
      </ns0:c>
      <ns0:c r="K67" s="8">
        <ns0:f>J68</ns0:f>
        <ns0:v>1470007.86</ns0:v>
      </ns0:c>
      <ns0:c r="L67" s="8">
        <ns0:f>K68</ns0:f>
        <ns0:v>1470007.86</ns0:v>
      </ns0:c>
      <ns0:c r="M67" s="8">
        <ns0:f>L68</ns0:f>
        <ns0:v>1470007.86</ns0:v>
      </ns0:c>
      <ns0:c r="N67" s="8">
        <ns0:f>M68</ns0:f>
        <ns0:v>1470007.86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期末现金</ns0:t>
        </ns0:is>
      </ns0:c>
      <ns0:c r="C68" s="8">
        <ns0:f>SUM(C66:C67)</ns0:f>
        <ns0:v>1247954.37</ns0:v>
      </ns0:c>
      <ns0:c r="D68" s="8">
        <ns0:f>SUM(D66:D67)</ns0:f>
        <ns0:v>1303369.00</ns0:v>
      </ns0:c>
      <ns0:c r="E68" s="8">
        <ns0:f>SUM(E66:E67)</ns0:f>
        <ns0:v>1322313.63</ns0:v>
      </ns0:c>
      <ns0:c r="F68" s="8">
        <ns0:f>SUM(F66:F67)</ns0:f>
        <ns0:v>1384310.96</ns0:v>
      </ns0:c>
      <ns0:c r="G68" s="8">
        <ns0:f>SUM(G66:G67)</ns0:f>
        <ns0:v>1422851.86</ns0:v>
      </ns0:c>
      <ns0:c r="H68" s="8">
        <ns0:f>SUM(H66:H67)</ns0:f>
        <ns0:v>1470007.86</ns0:v>
      </ns0:c>
      <ns0:c r="I68" s="8">
        <ns0:f>SUM(I66:I67)</ns0:f>
        <ns0:v>1470007.86</ns0:v>
      </ns0:c>
      <ns0:c r="J68" s="8">
        <ns0:f>SUM(J66:J67)</ns0:f>
        <ns0:v>1470007.86</ns0:v>
      </ns0:c>
      <ns0:c r="K68" s="8">
        <ns0:f>SUM(K66:K67)</ns0:f>
        <ns0:v>1470007.86</ns0:v>
      </ns0:c>
      <ns0:c r="L68" s="8">
        <ns0:f>SUM(L66:L67)</ns0:f>
        <ns0:v>1470007.86</ns0:v>
      </ns0:c>
      <ns0:c r="M68" s="8">
        <ns0:f>SUM(M66:M67)</ns0:f>
        <ns0:v>1470007.86</ns0:v>
      </ns0:c>
      <ns0:c r="N68" s="8">
        <ns0:f>SUM(N66:N67)</ns0:f>
        <ns0:v>1470007.86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现金流量表月度明细区（契约v1.2·直接法，行序与主体区一致）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项目（对应主体区行）</ns0:t>
        </ns0:is>
      </ns0:c>
      <ns0:c r="P122" s="2" t="inlineStr">
        <ns0:is>
          <ns0:t>1月</ns0:t>
        </ns0:is>
      </ns0:c>
      <ns0:c r="Q122" s="2" t="inlineStr">
        <ns0:is>
          <ns0:t>2月</ns0:t>
        </ns0:is>
      </ns0:c>
      <ns0:c r="R122" s="2" t="inlineStr">
        <ns0:is>
          <ns0:t>3月</ns0:t>
        </ns0:is>
      </ns0:c>
      <ns0:c r="S122" s="2" t="inlineStr">
        <ns0:is>
          <ns0:t>4月</ns0:t>
        </ns0:is>
      </ns0:c>
      <ns0:c r="T122" s="2" t="inlineStr">
        <ns0:is>
          <ns0:t>5月</ns0:t>
        </ns0:is>
      </ns0:c>
      <ns0:c r="U122" s="2" t="inlineStr">
        <ns0:is>
          <ns0:t>6月</ns0:t>
        </ns0:is>
      </ns0:c>
      <ns0:c r="V122" s="2" t="inlineStr">
        <ns0:is>
          <ns0:t>7月</ns0:t>
        </ns0:is>
      </ns0:c>
      <ns0:c r="W122" s="2" t="inlineStr">
        <ns0:is>
          <ns0:t>8月</ns0:t>
        </ns0:is>
      </ns0:c>
      <ns0:c r="X122" s="2" t="inlineStr">
        <ns0:is>
          <ns0:t>9月</ns0:t>
        </ns0:is>
      </ns0:c>
      <ns0:c r="Y122" s="2" t="inlineStr">
        <ns0:is>
          <ns0:t>10月</ns0:t>
        </ns0:is>
      </ns0:c>
      <ns0:c r="Z122" s="2" t="inlineStr">
        <ns0:is>
          <ns0:t>11月</ns0:t>
        </ns0:is>
      </ns0:c>
      <ns0:c r="AA122" s="2" t="inlineStr">
        <ns0:is>
          <ns0:t>12月</ns0:t>
        </ns0:is>
      </ns0:c>
      <ns0:c r="AB122" s="2" t="inlineStr">
        <ns0:is>
          <ns0:t>年度合计</ns0:t>
        </ns0:is>
      </ns0:c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销售商品、提供劳务收到的现金</ns0:t>
        </ns0:is>
      </ns0:c>
      <ns0:c r="P123" s="2">
        <ns0:v>383277.73</ns0:v>
      </ns0:c>
      <ns0:c r="Q123" s="2">
        <ns0:v>397580.27</ns0:v>
      </ns0:c>
      <ns0:c r="R123" s="2">
        <ns0:v>383516.52</ns0:v>
      </ns0:c>
      <ns0:c r="S123" s="2">
        <ns0:v>385815.21</ns0:v>
      </ns0:c>
      <ns0:c r="T123" s="2">
        <ns0:v>375440.70</ns0:v>
      </ns0:c>
      <ns0:c r="U123" s="2">
        <ns0:v>401464.95</ns0:v>
      </ns0:c>
      <ns0:c r="V123" s="2"/>
      <ns0:c r="W123" s="2"/>
      <ns0:c r="X123" s="2"/>
      <ns0:c r="Y123" s="2"/>
      <ns0:c r="Z123" s="2"/>
      <ns0:c r="AA123" s="2"/>
      <ns0:c r="AB123" s="2">
        <ns0:f>SUM(P123:AA123)</ns0:f>
        <ns0:v>2327095.38</ns0:v>
      </ns0:c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收到的税费返还</ns0:t>
        </ns0:is>
      </ns0:c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>
        <ns0:f>SUM(P124:AA124)</ns0:f>
        <ns0:v>0</ns0:v>
      </ns0:c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收到其他与经营活动有关的现金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>
        <ns0:f>SUM(P125:AA125)</ns0:f>
        <ns0:v>0</ns0:v>
      </ns0:c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经营活动现金流入小计</ns0:t>
        </ns0:is>
      </ns0:c>
      <ns0:c r="P126" s="2">
        <ns0:f>SUM(P123:P125)</ns0:f>
        <ns0:v>383277.73</ns0:v>
      </ns0:c>
      <ns0:c r="Q126" s="2">
        <ns0:f>SUM(Q123:Q125)</ns0:f>
        <ns0:v>397580.27</ns0:v>
      </ns0:c>
      <ns0:c r="R126" s="2">
        <ns0:f>SUM(R123:R125)</ns0:f>
        <ns0:v>383516.52</ns0:v>
      </ns0:c>
      <ns0:c r="S126" s="2">
        <ns0:f>SUM(S123:S125)</ns0:f>
        <ns0:v>385815.21</ns0:v>
      </ns0:c>
      <ns0:c r="T126" s="2">
        <ns0:f>SUM(T123:T125)</ns0:f>
        <ns0:v>375440.70</ns0:v>
      </ns0:c>
      <ns0:c r="U126" s="2">
        <ns0:f>SUM(U123:U125)</ns0:f>
        <ns0:v>401464.95</ns0:v>
      </ns0:c>
      <ns0:c r="V126" s="2">
        <ns0:f>SUM(V123:V125)</ns0:f>
        <ns0:v>0</ns0:v>
      </ns0:c>
      <ns0:c r="W126" s="2">
        <ns0:f>SUM(W123:W125)</ns0:f>
        <ns0:v>0</ns0:v>
      </ns0:c>
      <ns0:c r="X126" s="2">
        <ns0:f>SUM(X123:X125)</ns0:f>
        <ns0:v>0</ns0:v>
      </ns0:c>
      <ns0:c r="Y126" s="2">
        <ns0:f>SUM(Y123:Y125)</ns0:f>
        <ns0:v>0</ns0:v>
      </ns0:c>
      <ns0:c r="Z126" s="2">
        <ns0:f>SUM(Z123:Z125)</ns0:f>
        <ns0:v>0</ns0:v>
      </ns0:c>
      <ns0:c r="AA126" s="2">
        <ns0:f>SUM(AA123:AA125)</ns0:f>
        <ns0:v>0</ns0:v>
      </ns0:c>
      <ns0:c r="AB126" s="2">
        <ns0:f>SUM(P126:AA126)</ns0:f>
        <ns0:v>2327095.38</ns0:v>
      </ns0:c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购买商品、接受劳务支付的现金（04）</ns0:t>
        </ns0:is>
      </ns0:c>
      <ns0:c r="P127" s="2">
        <ns0:v>139245.78</ns0:v>
      </ns0:c>
      <ns0:c r="Q127" s="2">
        <ns0:v>148069.53</ns0:v>
      </ns0:c>
      <ns0:c r="R127" s="2">
        <ns0:v>171950.82</ns0:v>
      </ns0:c>
      <ns0:c r="S127" s="2">
        <ns0:v>130644.85</ns0:v>
      </ns0:c>
      <ns0:c r="T127" s="2">
        <ns0:v>141889.39</ns0:v>
      </ns0:c>
      <ns0:c r="U127" s="2">
        <ns0:v>160235.64</ns0:v>
      </ns0:c>
      <ns0:c r="V127" s="2"/>
      <ns0:c r="W127" s="2"/>
      <ns0:c r="X127" s="2"/>
      <ns0:c r="Y127" s="2"/>
      <ns0:c r="Z127" s="2"/>
      <ns0:c r="AA127" s="2"/>
      <ns0:c r="AB127" s="2">
        <ns0:f>SUM(P127:AA127)</ns0:f>
        <ns0:v>892036.01</ns0:v>
      </ns0:c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支付给职工以及为职工支付的现金（05）</ns0:t>
        </ns0:is>
      </ns0:c>
      <ns0:c r="P128" s="2">
        <ns0:v>132966.16</ns0:v>
      </ns0:c>
      <ns0:c r="Q128" s="2">
        <ns0:v>131526.91</ns0:v>
      </ns0:c>
      <ns0:c r="R128" s="2">
        <ns0:v>130709.07</ns0:v>
      </ns0:c>
      <ns0:c r="S128" s="2">
        <ns0:v>131144.01</ns0:v>
      </ns0:c>
      <ns0:c r="T128" s="2">
        <ns0:v>131636.29</ns0:v>
      </ns0:c>
      <ns0:c r="U128" s="2">
        <ns0:v>131036.85</ns0:v>
      </ns0:c>
      <ns0:c r="V128" s="2"/>
      <ns0:c r="W128" s="2"/>
      <ns0:c r="X128" s="2"/>
      <ns0:c r="Y128" s="2"/>
      <ns0:c r="Z128" s="2"/>
      <ns0:c r="AA128" s="2"/>
      <ns0:c r="AB128" s="2">
        <ns0:f>SUM(P128:AA128)</ns0:f>
        <ns0:v>789019.29</ns0:v>
      </ns0:c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支付的各项税费（06）</ns0:t>
        </ns0:is>
      </ns0:c>
      <ns0:c r="P129" s="2">
        <ns0:v>4011.18</ns0:v>
      </ns0:c>
      <ns0:c r="Q129" s="2">
        <ns0:v>4181.45</ns0:v>
      </ns0:c>
      <ns0:c r="R129" s="2">
        <ns0:v>3916.05</ns0:v>
      </ns0:c>
      <ns0:c r="S129" s="2">
        <ns0:v>4084.61</ns0:v>
      </ns0:c>
      <ns0:c r="T129" s="2">
        <ns0:v>3901.83</ns0:v>
      </ns0:c>
      <ns0:c r="U129" s="2">
        <ns0:v>4194.09</ns0:v>
      </ns0:c>
      <ns0:c r="V129" s="2"/>
      <ns0:c r="W129" s="2"/>
      <ns0:c r="X129" s="2"/>
      <ns0:c r="Y129" s="2"/>
      <ns0:c r="Z129" s="2"/>
      <ns0:c r="AA129" s="2"/>
      <ns0:c r="AB129" s="2">
        <ns0:f>SUM(P129:AA129)</ns0:f>
        <ns0:v>24289.21</ns0:v>
      </ns0:c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 t="inlineStr">
        <ns0:is>
          <ns0:t>支付其他与经营活动有关的现金（07）</ns0:t>
        </ns0:is>
      </ns0:c>
      <ns0:c r="P130" s="2">
        <ns0:v>59100.24</ns0:v>
      </ns0:c>
      <ns0:c r="Q130" s="2">
        <ns0:v>58387.75</ns0:v>
      </ns0:c>
      <ns0:c r="R130" s="2">
        <ns0:v>57995.95</ns0:v>
      </ns0:c>
      <ns0:c r="S130" s="2">
        <ns0:v>57944.41</ns0:v>
      </ns0:c>
      <ns0:c r="T130" s="2">
        <ns0:v>59472.29</ns0:v>
      </ns0:c>
      <ns0:c r="U130" s="2">
        <ns0:v>58842.37</ns0:v>
      </ns0:c>
      <ns0:c r="V130" s="2"/>
      <ns0:c r="W130" s="2"/>
      <ns0:c r="X130" s="2"/>
      <ns0:c r="Y130" s="2"/>
      <ns0:c r="Z130" s="2"/>
      <ns0:c r="AA130" s="2"/>
      <ns0:c r="AB130" s="2">
        <ns0:f>SUM(P130:AA130)</ns0:f>
        <ns0:v>351743.01</ns0:v>
      </ns0:c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经营活动现金流出小计</ns0:t>
        </ns0:is>
      </ns0:c>
      <ns0:c r="P131" s="2">
        <ns0:f>SUM(P127:P130)</ns0:f>
        <ns0:v>335323.36</ns0:v>
      </ns0:c>
      <ns0:c r="Q131" s="2">
        <ns0:f>SUM(Q127:Q130)</ns0:f>
        <ns0:v>342165.64</ns0:v>
      </ns0:c>
      <ns0:c r="R131" s="2">
        <ns0:f>SUM(R127:R130)</ns0:f>
        <ns0:v>364571.89</ns0:v>
      </ns0:c>
      <ns0:c r="S131" s="2">
        <ns0:f>SUM(S127:S130)</ns0:f>
        <ns0:v>323817.88</ns0:v>
      </ns0:c>
      <ns0:c r="T131" s="2">
        <ns0:f>SUM(T127:T130)</ns0:f>
        <ns0:v>336899.80</ns0:v>
      </ns0:c>
      <ns0:c r="U131" s="2">
        <ns0:f>SUM(U127:U130)</ns0:f>
        <ns0:v>354308.95</ns0:v>
      </ns0:c>
      <ns0:c r="V131" s="2">
        <ns0:f>SUM(V127:V130)</ns0:f>
        <ns0:v>0</ns0:v>
      </ns0:c>
      <ns0:c r="W131" s="2">
        <ns0:f>SUM(W127:W130)</ns0:f>
        <ns0:v>0</ns0:v>
      </ns0:c>
      <ns0:c r="X131" s="2">
        <ns0:f>SUM(X127:X130)</ns0:f>
        <ns0:v>0</ns0:v>
      </ns0:c>
      <ns0:c r="Y131" s="2">
        <ns0:f>SUM(Y127:Y130)</ns0:f>
        <ns0:v>0</ns0:v>
      </ns0:c>
      <ns0:c r="Z131" s="2">
        <ns0:f>SUM(Z127:Z130)</ns0:f>
        <ns0:v>0</ns0:v>
      </ns0:c>
      <ns0:c r="AA131" s="2">
        <ns0:f>SUM(AA127:AA130)</ns0:f>
        <ns0:v>0</ns0:v>
      </ns0:c>
      <ns0:c r="AB131" s="2">
        <ns0:f>SUM(P131:AA131)</ns0:f>
        <ns0:v>2057087.52</ns0:v>
      </ns0:c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经营活动产生的现金流量净额</ns0:t>
        </ns0:is>
      </ns0:c>
      <ns0:c r="P132" s="2">
        <ns0:f>P126-P131</ns0:f>
        <ns0:v>47954.37</ns0:v>
      </ns0:c>
      <ns0:c r="Q132" s="2">
        <ns0:f>Q126-Q131</ns0:f>
        <ns0:v>55414.63</ns0:v>
      </ns0:c>
      <ns0:c r="R132" s="2">
        <ns0:f>R126-R131</ns0:f>
        <ns0:v>18944.63</ns0:v>
      </ns0:c>
      <ns0:c r="S132" s="2">
        <ns0:f>S126-S131</ns0:f>
        <ns0:v>61997.33</ns0:v>
      </ns0:c>
      <ns0:c r="T132" s="2">
        <ns0:f>T126-T131</ns0:f>
        <ns0:v>38540.90</ns0:v>
      </ns0:c>
      <ns0:c r="U132" s="2">
        <ns0:f>U126-U131</ns0:f>
        <ns0:v>47156.00</ns0:v>
      </ns0:c>
      <ns0:c r="V132" s="2">
        <ns0:f>V126-V131</ns0:f>
        <ns0:v>0</ns0:v>
      </ns0:c>
      <ns0:c r="W132" s="2">
        <ns0:f>W126-W131</ns0:f>
        <ns0:v>0</ns0:v>
      </ns0:c>
      <ns0:c r="X132" s="2">
        <ns0:f>X126-X131</ns0:f>
        <ns0:v>0</ns0:v>
      </ns0:c>
      <ns0:c r="Y132" s="2">
        <ns0:f>Y126-Y131</ns0:f>
        <ns0:v>0</ns0:v>
      </ns0:c>
      <ns0:c r="Z132" s="2">
        <ns0:f>Z126-Z131</ns0:f>
        <ns0:v>0</ns0:v>
      </ns0:c>
      <ns0:c r="AA132" s="2">
        <ns0:f>AA126-AA131</ns0:f>
        <ns0:v>0</ns0:v>
      </ns0:c>
      <ns0:c r="AB132" s="2">
        <ns0:f>SUM(P132:AA132)</ns0:f>
        <ns0:v>270007.86</ns0:v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二、投资活动产生的现金流量：</ns0:t>
        </ns0:is>
      </ns0:c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 t="inlineStr">
        <ns0:is>
          <ns0:t>收回投资收到的现金</ns0:t>
        </ns0:is>
      </ns0:c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>
        <ns0:f>SUM(P134:AA134)</ns0:f>
        <ns0:v>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 t="inlineStr">
        <ns0:is>
          <ns0:t>取得投资收益收到的现金</ns0:t>
        </ns0:is>
      </ns0:c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 t="inlineStr">
        <ns0:is>
          <ns0:t>处置固定资产、无形资产和其他长期资产收回的现金净额</ns0:t>
        </ns0:is>
      </ns0:c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 t="inlineStr">
        <ns0:is>
          <ns0:t>处置子公司及其他营业单位收到的现金净额</ns0:t>
        </ns0:is>
      </ns0:c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 t="inlineStr">
        <ns0:is>
          <ns0:t>收到其他与投资活动有关的现金</ns0:t>
        </ns0:is>
      </ns0:c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 t="inlineStr">
        <ns0:is>
          <ns0:t>投资活动现金流入小计</ns0:t>
        </ns0:is>
      </ns0:c>
      <ns0:c r="P139" s="2">
        <ns0:f>SUM(P134:P138)</ns0:f>
        <ns0:v>0</ns0:v>
      </ns0:c>
      <ns0:c r="Q139" s="2">
        <ns0:f>SUM(Q134:Q138)</ns0:f>
        <ns0:v>0</ns0:v>
      </ns0:c>
      <ns0:c r="R139" s="2">
        <ns0:f>SUM(R134:R138)</ns0:f>
        <ns0:v>0</ns0:v>
      </ns0:c>
      <ns0:c r="S139" s="2">
        <ns0:f>SUM(S134:S138)</ns0:f>
        <ns0:v>0</ns0:v>
      </ns0:c>
      <ns0:c r="T139" s="2">
        <ns0:f>SUM(T134:T138)</ns0:f>
        <ns0:v>0</ns0:v>
      </ns0:c>
      <ns0:c r="U139" s="2">
        <ns0:f>SUM(U134:U138)</ns0:f>
        <ns0:v>0</ns0:v>
      </ns0:c>
      <ns0:c r="V139" s="2">
        <ns0:f>SUM(V134:V138)</ns0:f>
        <ns0:v>0</ns0:v>
      </ns0:c>
      <ns0:c r="W139" s="2">
        <ns0:f>SUM(W134:W138)</ns0:f>
        <ns0:v>0</ns0:v>
      </ns0:c>
      <ns0:c r="X139" s="2">
        <ns0:f>SUM(X134:X138)</ns0:f>
        <ns0:v>0</ns0:v>
      </ns0:c>
      <ns0:c r="Y139" s="2">
        <ns0:f>SUM(Y134:Y138)</ns0:f>
        <ns0:v>0</ns0:v>
      </ns0:c>
      <ns0:c r="Z139" s="2">
        <ns0:f>SUM(Z134:Z138)</ns0:f>
        <ns0:v>0</ns0:v>
      </ns0:c>
      <ns0:c r="AA139" s="2">
        <ns0:f>SUM(AA134:AA138)</ns0:f>
        <ns0:v>0</ns0:v>
      </ns0:c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 t="inlineStr">
        <ns0:is>
          <ns0:t>购建固定资产、无形资产和其他长期资产支付的现金（13）</ns0:t>
        </ns0:is>
      </ns0:c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 t="inlineStr">
        <ns0:is>
          <ns0:t>投资支付的现金（14）</ns0:t>
        </ns0:is>
      </ns0:c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>
        <ns0:f>SUM(P141:AA141)</ns0:f>
        <ns0:v>0</ns0:v>
      </ns0:c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取得子公司及其他营业单位支付的现金净额</ns0:t>
        </ns0:is>
      </ns0:c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>
        <ns0:f>SUM(P142:AA142)</ns0:f>
        <ns0:v>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 t="inlineStr">
        <ns0:is>
          <ns0:t>支付其他与投资活动有关的现金</ns0:t>
        </ns0:is>
      </ns0:c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>
        <ns0:f>SUM(P143:AA143)</ns0:f>
        <ns0:v>0</ns0:v>
      </ns0:c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 t="inlineStr">
        <ns0:is>
          <ns0:t>投资活动现金流出小计</ns0:t>
        </ns0:is>
      </ns0:c>
      <ns0:c r="P144" s="2">
        <ns0:f>SUM(P140:P143)</ns0:f>
        <ns0:v>0</ns0:v>
      </ns0:c>
      <ns0:c r="Q144" s="2">
        <ns0:f>SUM(Q140:Q143)</ns0:f>
        <ns0:v>0</ns0:v>
      </ns0:c>
      <ns0:c r="R144" s="2">
        <ns0:f>SUM(R140:R143)</ns0:f>
        <ns0:v>0</ns0:v>
      </ns0:c>
      <ns0:c r="S144" s="2">
        <ns0:f>SUM(S140:S143)</ns0:f>
        <ns0:v>0</ns0:v>
      </ns0:c>
      <ns0:c r="T144" s="2">
        <ns0:f>SUM(T140:T143)</ns0:f>
        <ns0:v>0</ns0:v>
      </ns0:c>
      <ns0:c r="U144" s="2">
        <ns0:f>SUM(U140:U143)</ns0:f>
        <ns0:v>0</ns0:v>
      </ns0:c>
      <ns0:c r="V144" s="2">
        <ns0:f>SUM(V140:V143)</ns0:f>
        <ns0:v>0</ns0:v>
      </ns0:c>
      <ns0:c r="W144" s="2">
        <ns0:f>SUM(W140:W143)</ns0:f>
        <ns0:v>0</ns0:v>
      </ns0:c>
      <ns0:c r="X144" s="2">
        <ns0:f>SUM(X140:X143)</ns0:f>
        <ns0:v>0</ns0:v>
      </ns0:c>
      <ns0:c r="Y144" s="2">
        <ns0:f>SUM(Y140:Y143)</ns0:f>
        <ns0:v>0</ns0:v>
      </ns0:c>
      <ns0:c r="Z144" s="2">
        <ns0:f>SUM(Z140:Z143)</ns0:f>
        <ns0:v>0</ns0:v>
      </ns0:c>
      <ns0:c r="AA144" s="2">
        <ns0:f>SUM(AA140:AA143)</ns0:f>
        <ns0:v>0</ns0:v>
      </ns0:c>
      <ns0:c r="AB144" s="2">
        <ns0:f>SUM(P144:AA144)</ns0:f>
        <ns0:v>0</ns0:v>
      </ns0:c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 t="inlineStr">
        <ns0:is>
          <ns0:t>投资活动产生的现金流量净额</ns0:t>
        </ns0:is>
      </ns0:c>
      <ns0:c r="P145" s="2">
        <ns0:f>P139-P144</ns0:f>
        <ns0:v>0</ns0:v>
      </ns0:c>
      <ns0:c r="Q145" s="2">
        <ns0:f>Q139-Q144</ns0:f>
        <ns0:v>0</ns0:v>
      </ns0:c>
      <ns0:c r="R145" s="2">
        <ns0:f>R139-R144</ns0:f>
        <ns0:v>0</ns0:v>
      </ns0:c>
      <ns0:c r="S145" s="2">
        <ns0:f>S139-S144</ns0:f>
        <ns0:v>0</ns0:v>
      </ns0:c>
      <ns0:c r="T145" s="2">
        <ns0:f>T139-T144</ns0:f>
        <ns0:v>0</ns0:v>
      </ns0:c>
      <ns0:c r="U145" s="2">
        <ns0:f>U139-U144</ns0:f>
        <ns0:v>0</ns0:v>
      </ns0:c>
      <ns0:c r="V145" s="2">
        <ns0:f>V139-V144</ns0:f>
        <ns0:v>0</ns0:v>
      </ns0:c>
      <ns0:c r="W145" s="2">
        <ns0:f>W139-W144</ns0:f>
        <ns0:v>0</ns0:v>
      </ns0:c>
      <ns0:c r="X145" s="2">
        <ns0:f>X139-X144</ns0:f>
        <ns0:v>0</ns0:v>
      </ns0:c>
      <ns0:c r="Y145" s="2">
        <ns0:f>Y139-Y144</ns0:f>
        <ns0:v>0</ns0:v>
      </ns0:c>
      <ns0:c r="Z145" s="2">
        <ns0:f>Z139-Z144</ns0:f>
        <ns0:v>0</ns0:v>
      </ns0:c>
      <ns0:c r="AA145" s="2">
        <ns0:f>AA139-AA144</ns0:f>
        <ns0:v>0</ns0:v>
      </ns0:c>
      <ns0:c r="AB145" s="2">
        <ns0:f>SUM(P145:AA145)</ns0:f>
        <ns0:v>0</ns0:v>
      </ns0:c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 t="inlineStr">
        <ns0:is>
          <ns0:t>三、筹资活动产生的现金流量：</ns0:t>
        </ns0:is>
      </ns0:c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 t="inlineStr">
        <ns0:is>
          <ns0:t>吸收投资收到的现金</ns0:t>
        </ns0:is>
      </ns0:c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>
        <ns0:f>SUM(P147:AA147)</ns0:f>
        <ns0:v>0</ns0:v>
      </ns0:c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 t="inlineStr">
        <ns0:is>
          <ns0:t>取得借款收到的现金</ns0:t>
        </ns0:is>
      </ns0:c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>
        <ns0:f>SUM(P148:AA148)</ns0:f>
        <ns0:v>0</ns0:v>
      </ns0:c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 t="inlineStr">
        <ns0:is>
          <ns0:t>收到其他与筹资活动有关的现金</ns0:t>
        </ns0:is>
      </ns0:c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>
        <ns0:f>SUM(P149:AA149)</ns0:f>
        <ns0:v>0</ns0:v>
      </ns0:c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 t="inlineStr">
        <ns0:is>
          <ns0:t>筹资活动现金流入小计</ns0:t>
        </ns0:is>
      </ns0:c>
      <ns0:c r="P150" s="2">
        <ns0:f>SUM(P147:P149)</ns0:f>
        <ns0:v>0</ns0:v>
      </ns0:c>
      <ns0:c r="Q150" s="2">
        <ns0:f>SUM(Q147:Q149)</ns0:f>
        <ns0:v>0</ns0:v>
      </ns0:c>
      <ns0:c r="R150" s="2">
        <ns0:f>SUM(R147:R149)</ns0:f>
        <ns0:v>0</ns0:v>
      </ns0:c>
      <ns0:c r="S150" s="2">
        <ns0:f>SUM(S147:S149)</ns0:f>
        <ns0:v>0</ns0:v>
      </ns0:c>
      <ns0:c r="T150" s="2">
        <ns0:f>SUM(T147:T149)</ns0:f>
        <ns0:v>0</ns0:v>
      </ns0:c>
      <ns0:c r="U150" s="2">
        <ns0:f>SUM(U147:U149)</ns0:f>
        <ns0:v>0</ns0:v>
      </ns0:c>
      <ns0:c r="V150" s="2">
        <ns0:f>SUM(V147:V149)</ns0:f>
        <ns0:v>0</ns0:v>
      </ns0:c>
      <ns0:c r="W150" s="2">
        <ns0:f>SUM(W147:W149)</ns0:f>
        <ns0:v>0</ns0:v>
      </ns0:c>
      <ns0:c r="X150" s="2">
        <ns0:f>SUM(X147:X149)</ns0:f>
        <ns0:v>0</ns0:v>
      </ns0:c>
      <ns0:c r="Y150" s="2">
        <ns0:f>SUM(Y147:Y149)</ns0:f>
        <ns0:v>0</ns0:v>
      </ns0:c>
      <ns0:c r="Z150" s="2">
        <ns0:f>SUM(Z147:Z149)</ns0:f>
        <ns0:v>0</ns0:v>
      </ns0:c>
      <ns0:c r="AA150" s="2">
        <ns0:f>SUM(AA147:AA149)</ns0:f>
        <ns0:v>0</ns0:v>
      </ns0:c>
      <ns0:c r="AB150" s="2">
        <ns0:f>SUM(P150:AA150)</ns0:f>
        <ns0:v>0</ns0:v>
      </ns0:c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 t="inlineStr">
        <ns0:is>
          <ns0:t>偿还债务支付的现金</ns0:t>
        </ns0:is>
      </ns0:c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>
        <ns0:f>SUM(P151:AA151)</ns0:f>
        <ns0:v>0</ns0:v>
      </ns0:c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 t="inlineStr">
        <ns0:is>
          <ns0:t>分配股利、利润或偿付利息支付的现金</ns0:t>
        </ns0:is>
      </ns0:c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>
        <ns0:f>SUM(P152:AA152)</ns0:f>
        <ns0:v>0</ns0:v>
      </ns0:c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 t="inlineStr">
        <ns0:is>
          <ns0:t>支付其他与筹资活动有关的现金</ns0:t>
        </ns0:is>
      </ns0:c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>
        <ns0:f>SUM(P153:AA153)</ns0:f>
        <ns0:v>0</ns0:v>
      </ns0:c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 t="inlineStr">
        <ns0:is>
          <ns0:t>筹资活动现金流出小计</ns0:t>
        </ns0:is>
      </ns0:c>
      <ns0:c r="P154" s="2">
        <ns0:f>SUM(P151:P153)</ns0:f>
        <ns0:v>0</ns0:v>
      </ns0:c>
      <ns0:c r="Q154" s="2">
        <ns0:f>SUM(Q151:Q153)</ns0:f>
        <ns0:v>0</ns0:v>
      </ns0:c>
      <ns0:c r="R154" s="2">
        <ns0:f>SUM(R151:R153)</ns0:f>
        <ns0:v>0</ns0:v>
      </ns0:c>
      <ns0:c r="S154" s="2">
        <ns0:f>SUM(S151:S153)</ns0:f>
        <ns0:v>0</ns0:v>
      </ns0:c>
      <ns0:c r="T154" s="2">
        <ns0:f>SUM(T151:T153)</ns0:f>
        <ns0:v>0</ns0:v>
      </ns0:c>
      <ns0:c r="U154" s="2">
        <ns0:f>SUM(U151:U153)</ns0:f>
        <ns0:v>0</ns0:v>
      </ns0:c>
      <ns0:c r="V154" s="2">
        <ns0:f>SUM(V151:V153)</ns0:f>
        <ns0:v>0</ns0:v>
      </ns0:c>
      <ns0:c r="W154" s="2">
        <ns0:f>SUM(W151:W153)</ns0:f>
        <ns0:v>0</ns0:v>
      </ns0:c>
      <ns0:c r="X154" s="2">
        <ns0:f>SUM(X151:X153)</ns0:f>
        <ns0:v>0</ns0:v>
      </ns0:c>
      <ns0:c r="Y154" s="2">
        <ns0:f>SUM(Y151:Y153)</ns0:f>
        <ns0:v>0</ns0:v>
      </ns0:c>
      <ns0:c r="Z154" s="2">
        <ns0:f>SUM(Z151:Z153)</ns0:f>
        <ns0:v>0</ns0:v>
      </ns0:c>
      <ns0:c r="AA154" s="2">
        <ns0:f>SUM(AA151:AA153)</ns0:f>
        <ns0:v>0</ns0:v>
      </ns0:c>
      <ns0:c r="AB154" s="2">
        <ns0:f>SUM(P154:AA154)</ns0:f>
        <ns0:v>0</ns0:v>
      </ns0:c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 t="inlineStr">
        <ns0:is>
          <ns0:t>筹资活动产生的现金流量净额</ns0:t>
        </ns0:is>
      </ns0:c>
      <ns0:c r="P155" s="2">
        <ns0:f>P150-P154</ns0:f>
        <ns0:v>0</ns0:v>
      </ns0:c>
      <ns0:c r="Q155" s="2">
        <ns0:f>Q150-Q154</ns0:f>
        <ns0:v>0</ns0:v>
      </ns0:c>
      <ns0:c r="R155" s="2">
        <ns0:f>R150-R154</ns0:f>
        <ns0:v>0</ns0:v>
      </ns0:c>
      <ns0:c r="S155" s="2">
        <ns0:f>S150-S154</ns0:f>
        <ns0:v>0</ns0:v>
      </ns0:c>
      <ns0:c r="T155" s="2">
        <ns0:f>T150-T154</ns0:f>
        <ns0:v>0</ns0:v>
      </ns0:c>
      <ns0:c r="U155" s="2">
        <ns0:f>U150-U154</ns0:f>
        <ns0:v>0</ns0:v>
      </ns0:c>
      <ns0:c r="V155" s="2">
        <ns0:f>V150-V154</ns0:f>
        <ns0:v>0</ns0:v>
      </ns0:c>
      <ns0:c r="W155" s="2">
        <ns0:f>W150-W154</ns0:f>
        <ns0:v>0</ns0:v>
      </ns0:c>
      <ns0:c r="X155" s="2">
        <ns0:f>X150-X154</ns0:f>
        <ns0:v>0</ns0:v>
      </ns0:c>
      <ns0:c r="Y155" s="2">
        <ns0:f>Y150-Y154</ns0:f>
        <ns0:v>0</ns0:v>
      </ns0:c>
      <ns0:c r="Z155" s="2">
        <ns0:f>Z150-Z154</ns0:f>
        <ns0:v>0</ns0:v>
      </ns0:c>
      <ns0:c r="AA155" s="2">
        <ns0:f>AA150-AA154</ns0:f>
        <ns0:v>0</ns0:v>
      </ns0:c>
      <ns0:c r="AB155" s="2">
        <ns0:f>SUM(P155:AA155)</ns0:f>
        <ns0:v>0</ns0:v>
      </ns0:c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 t="inlineStr">
        <ns0:is>
          <ns0:t>四、汇率变动对现金及现金等价物的影响</ns0:t>
        </ns0:is>
      </ns0:c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>
        <ns0:f>SUM(P156:AA156)</ns0:f>
        <ns0:v>0</ns0:v>
      </ns0:c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 t="inlineStr">
        <ns0:is>
          <ns0:t>五、现金及现金等价物净增加额</ns0:t>
        </ns0:is>
      </ns0:c>
      <ns0:c r="P157" s="2">
        <ns0:f>P132+P145+P155+P156</ns0:f>
        <ns0:v>47954.37</ns0:v>
      </ns0:c>
      <ns0:c r="Q157" s="2">
        <ns0:f>Q132+Q145+Q155+Q156</ns0:f>
        <ns0:v>55414.63</ns0:v>
      </ns0:c>
      <ns0:c r="R157" s="2">
        <ns0:f>R132+R145+R155+R156</ns0:f>
        <ns0:v>18944.63</ns0:v>
      </ns0:c>
      <ns0:c r="S157" s="2">
        <ns0:f>S132+S145+S155+S156</ns0:f>
        <ns0:v>61997.33</ns0:v>
      </ns0:c>
      <ns0:c r="T157" s="2">
        <ns0:f>T132+T145+T155+T156</ns0:f>
        <ns0:v>38540.90</ns0:v>
      </ns0:c>
      <ns0:c r="U157" s="2">
        <ns0:f>U132+U145+U155+U156</ns0:f>
        <ns0:v>47156.00</ns0:v>
      </ns0:c>
      <ns0:c r="V157" s="2">
        <ns0:f>V132+V145+V155+V156</ns0:f>
        <ns0:v>0</ns0:v>
      </ns0:c>
      <ns0:c r="W157" s="2">
        <ns0:f>W132+W145+W155+W156</ns0:f>
        <ns0:v>0</ns0:v>
      </ns0:c>
      <ns0:c r="X157" s="2">
        <ns0:f>X132+X145+X155+X156</ns0:f>
        <ns0:v>0</ns0:v>
      </ns0:c>
      <ns0:c r="Y157" s="2">
        <ns0:f>Y132+Y145+Y155+Y156</ns0:f>
        <ns0:v>0</ns0:v>
      </ns0:c>
      <ns0:c r="Z157" s="2">
        <ns0:f>Z132+Z145+Z155+Z156</ns0:f>
        <ns0:v>0</ns0:v>
      </ns0:c>
      <ns0:c r="AA157" s="2">
        <ns0:f>AA132+AA145+AA155+AA156</ns0:f>
        <ns0:v>0</ns0:v>
      </ns0:c>
      <ns0:c r="AB157" s="2">
        <ns0:f>SUM(P157:AA157)</ns0:f>
        <ns0:v>270007.86</ns0:v>
      </ns0:c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 t="inlineStr">
        <ns0:is>
          <ns0:t>加：期初现金及现金等价物余额</ns0:t>
        </ns0:is>
      </ns0:c>
      <ns0:c r="P158" s="2">
        <ns0:f>'资产负债表'!C200</ns0:f>
        <ns0:v>1200000.00</ns0:v>
      </ns0:c>
      <ns0:c r="Q158" s="2">
        <ns0:f>P159</ns0:f>
        <ns0:v>1247954.37</ns0:v>
      </ns0:c>
      <ns0:c r="R158" s="2">
        <ns0:f>Q159</ns0:f>
        <ns0:v>1303369.00</ns0:v>
      </ns0:c>
      <ns0:c r="S158" s="2">
        <ns0:f>R159</ns0:f>
        <ns0:v>1322313.63</ns0:v>
      </ns0:c>
      <ns0:c r="T158" s="2">
        <ns0:f>S159</ns0:f>
        <ns0:v>1384310.96</ns0:v>
      </ns0:c>
      <ns0:c r="U158" s="2">
        <ns0:f>T159</ns0:f>
        <ns0:v>1422851.86</ns0:v>
      </ns0:c>
      <ns0:c r="V158" s="2">
        <ns0:f>U159</ns0:f>
        <ns0:v>1470007.86</ns0:v>
      </ns0:c>
      <ns0:c r="W158" s="2">
        <ns0:f>V159</ns0:f>
        <ns0:v>1470007.86</ns0:v>
      </ns0:c>
      <ns0:c r="X158" s="2">
        <ns0:f>W159</ns0:f>
        <ns0:v>1470007.86</ns0:v>
      </ns0:c>
      <ns0:c r="Y158" s="2">
        <ns0:f>X159</ns0:f>
        <ns0:v>1470007.86</ns0:v>
      </ns0:c>
      <ns0:c r="Z158" s="2">
        <ns0:f>Y159</ns0:f>
        <ns0:v>1470007.86</ns0:v>
      </ns0:c>
      <ns0:c r="AA158" s="2">
        <ns0:f>Z159</ns0:f>
        <ns0:v>1470007.86</ns0:v>
      </ns0:c>
      <ns0:c r="AB158" s="2">
        <ns0:f>AA158</ns0:f>
        <ns0:v>1470007.86</ns0:v>
      </ns0:c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 t="inlineStr">
        <ns0:is>
          <ns0:t>六、期末现金及现金等价物余额</ns0:t>
        </ns0:is>
      </ns0:c>
      <ns0:c r="P159" s="2">
        <ns0:f>P158+P157</ns0:f>
        <ns0:v>1247954.37</ns0:v>
      </ns0:c>
      <ns0:c r="Q159" s="2">
        <ns0:f>Q158+Q157</ns0:f>
        <ns0:v>1303369.00</ns0:v>
      </ns0:c>
      <ns0:c r="R159" s="2">
        <ns0:f>R158+R157</ns0:f>
        <ns0:v>1322313.63</ns0:v>
      </ns0:c>
      <ns0:c r="S159" s="2">
        <ns0:f>S158+S157</ns0:f>
        <ns0:v>1384310.96</ns0:v>
      </ns0:c>
      <ns0:c r="T159" s="2">
        <ns0:f>T158+T157</ns0:f>
        <ns0:v>1422851.86</ns0:v>
      </ns0:c>
      <ns0:c r="U159" s="2">
        <ns0:f>U158+U157</ns0:f>
        <ns0:v>1470007.86</ns0:v>
      </ns0:c>
      <ns0:c r="V159" s="2">
        <ns0:f>V158+V157</ns0:f>
        <ns0:v>1470007.86</ns0:v>
      </ns0:c>
      <ns0:c r="W159" s="2">
        <ns0:f>W158+W157</ns0:f>
        <ns0:v>1470007.86</ns0:v>
      </ns0:c>
      <ns0:c r="X159" s="2">
        <ns0:f>X158+X157</ns0:f>
        <ns0:v>1470007.86</ns0:v>
      </ns0:c>
      <ns0:c r="Y159" s="2">
        <ns0:f>Y158+Y157</ns0:f>
        <ns0:v>1470007.86</ns0:v>
      </ns0:c>
      <ns0:c r="Z159" s="2">
        <ns0:f>Z158+Z157</ns0:f>
        <ns0:v>1470007.86</ns0:v>
      </ns0:c>
      <ns0:c r="AA159" s="2">
        <ns0:f>AA158+AA157</ns0:f>
        <ns0:v>1470007.86</ns0:v>
      </ns0:c>
      <ns0:c r="AB159" s="2">
        <ns0:f>AA159</ns0:f>
        <ns0:v>1470007.86</ns0:v>
      </ns0:c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2"/>
      <ns0:c r="B3" s="2" t="inlineStr">
        <ns0:is>
          <ns0:t>电视剧</ns0:t>
        </ns0:is>
      </ns0:c>
      <ns0:c r="C3" s="9"/>
      <ns0:c r="D3" s="9" t="inlineStr">
        <ns0:is>
          <ns0:t>项目名称</ns0:t>
        </ns0:is>
      </ns0:c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7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2"/>
      <ns0:c r="B4" s="2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7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2"/>
      <ns0:c r="B5" s="2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7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8"/>
      <ns0:c r="D6" s="3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7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8"/>
      <ns0:c r="D7" s="3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8"/>
      <ns0:c r="P7" s="7"/>
      <ns0:c r="Q7" s="7"/>
      <ns0:c r="R7" s="7"/>
      <ns0:c r="S7" s="7"/>
      <ns0:c r="T7" s="7"/>
      <ns0:c r="U7" s="7"/>
      <ns0:c r="V7" s="7"/>
      <ns0:c r="W7" s="7"/>
      <ns0:c r="X7" s="7"/>
      <ns0:c r="Y7" s="7"/>
      <ns0:c r="Z7" s="7"/>
      <ns0:c r="AA7" s="7"/>
      <ns0:c r="AB7" s="7"/>
      <ns0:c r="AC7" s="7"/>
      <ns0:c r="AD7" s="7"/>
      <ns0:c r="AE7" s="7"/>
      <ns0:c r="AF7" s="7"/>
      <ns0:c r="AG7" s="7"/>
      <ns0:c r="AH7" s="7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8"/>
      <ns0:c r="P8" s="7"/>
      <ns0:c r="Q8" s="7"/>
      <ns0:c r="R8" s="7"/>
      <ns0:c r="S8" s="7"/>
      <ns0:c r="T8" s="7"/>
      <ns0:c r="U8" s="7"/>
      <ns0:c r="V8" s="7"/>
      <ns0:c r="W8" s="7"/>
      <ns0:c r="X8" s="7"/>
      <ns0:c r="Y8" s="7"/>
      <ns0:c r="Z8" s="7"/>
      <ns0:c r="AA8" s="7"/>
      <ns0:c r="AB8" s="7"/>
      <ns0:c r="AC8" s="7"/>
      <ns0:c r="AD8" s="7"/>
      <ns0:c r="AE8" s="7"/>
      <ns0:c r="AF8" s="7"/>
      <ns0:c r="AG8" s="7"/>
      <ns0:c r="AH8" s="7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2245.95</ns0:v>
      </ns0:c>
      <ns0:c r="D31" s="11">
        <ns0:v>2136.98</ns0:v>
      </ns0:c>
      <ns0:c r="E31" s="11">
        <ns0:v>1724.44</ns0:v>
      </ns0:c>
      <ns0:c r="F31" s="11">
        <ns0:v>2248.42</ns0:v>
      </ns0:c>
      <ns0:c r="G31" s="11">
        <ns0:v>2249.23</ns0:v>
      </ns0:c>
      <ns0:c r="H31" s="11">
        <ns0:v>2157.93</ns0:v>
      </ns0:c>
      <ns0:c r="I31" s="11">
        <ns0:v>0.00</ns0:v>
      </ns0:c>
      <ns0:c r="J31" s="11">
        <ns0:v>0.00</ns0:v>
      </ns0:c>
      <ns0:c r="K31" s="11">
        <ns0:v>0.00</ns0:v>
      </ns0:c>
      <ns0:c r="L31" s="11">
        <ns0:v>0.00</ns0:v>
      </ns0:c>
      <ns0:c r="M31" s="11">
        <ns0:v>0.00</ns0:v>
      </ns0:c>
      <ns0:c r="N31" s="11">
        <ns0:v>0.00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113.34</ns0:v>
      </ns0:c>
      <ns0:c r="D32" s="11">
        <ns0:v>102.38</ns0:v>
      </ns0:c>
      <ns0:c r="E32" s="11">
        <ns0:v>126.79</ns0:v>
      </ns0:c>
      <ns0:c r="F32" s="11">
        <ns0:v>101.50</ns0:v>
      </ns0:c>
      <ns0:c r="G32" s="11">
        <ns0:v>95.05</ns0:v>
      </ns0:c>
      <ns0:c r="H32" s="11">
        <ns0:v>107.18</ns0:v>
      </ns0:c>
      <ns0:c r="I32" s="11">
        <ns0:v>0.00</ns0:v>
      </ns0:c>
      <ns0:c r="J32" s="11">
        <ns0:v>0.00</ns0:v>
      </ns0:c>
      <ns0:c r="K32" s="11">
        <ns0:v>0.00</ns0:v>
      </ns0:c>
      <ns0:c r="L32" s="11">
        <ns0:v>0.00</ns0:v>
      </ns0:c>
      <ns0:c r="M32" s="11">
        <ns0:v>0.00</ns0:v>
      </ns0:c>
      <ns0:c r="N32" s="11">
        <ns0:v>0.00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254555.97</ns0:v>
      </ns0:c>
      <ns0:c r="D33" s="8">
        <ns0:f>ROUND(D31*D32,2)</ns0:f>
        <ns0:v>218784.01</ns0:v>
      </ns0:c>
      <ns0:c r="E33" s="8">
        <ns0:f>ROUND(E31*E32,2)</ns0:f>
        <ns0:v>218641.75</ns0:v>
      </ns0:c>
      <ns0:c r="F33" s="8">
        <ns0:f>ROUND(F31*F32,2)</ns0:f>
        <ns0:v>228214.63</ns0:v>
      </ns0:c>
      <ns0:c r="G33" s="8">
        <ns0:f>ROUND(G31*G32,2)</ns0:f>
        <ns0:v>213789.31</ns0:v>
      </ns0:c>
      <ns0:c r="H33" s="8">
        <ns0:f>ROUND(H31*H32,2)</ns0:f>
        <ns0:v>231286.94</ns0:v>
      </ns0:c>
      <ns0:c r="I33" s="8">
        <ns0:f>ROUND(I31*I32,2)</ns0:f>
        <ns0:v>0.00</ns0:v>
      </ns0:c>
      <ns0:c r="J33" s="8">
        <ns0:f>ROUND(J31*J32,2)</ns0:f>
        <ns0:v>0.00</ns0:v>
      </ns0:c>
      <ns0:c r="K33" s="8">
        <ns0:f>ROUND(K31*K32,2)</ns0:f>
        <ns0:v>0.00</ns0:v>
      </ns0:c>
      <ns0:c r="L33" s="8">
        <ns0:f>ROUND(L31*L32,2)</ns0:f>
        <ns0:v>0.00</ns0:v>
      </ns0:c>
      <ns0:c r="M33" s="8">
        <ns0:f>ROUND(M31*M32,2)</ns0:f>
        <ns0:v>0.00</ns0:v>
      </ns0:c>
      <ns0:c r="N33" s="8">
        <ns0:f>ROUND(N31*N32,2)</ns0:f>
        <ns0:v>0.00</ns0:v>
      </ns0:c>
      <ns0:c r="O33" s="8">
        <ns0:f>SUM(C33:N33)</ns0:f>
        <ns0:v>1365272.61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692.26</ns0:v>
      </ns0:c>
      <ns0:c r="D34" s="11">
        <ns0:v>789.01</ns0:v>
      </ns0:c>
      <ns0:c r="E34" s="11">
        <ns0:v>717.26</ns0:v>
      </ns0:c>
      <ns0:c r="F34" s="11">
        <ns0:v>674.92</ns0:v>
      </ns0:c>
      <ns0:c r="G34" s="11">
        <ns0:v>755.06</ns0:v>
      </ns0:c>
      <ns0:c r="H34" s="11">
        <ns0:v>783.82</ns0:v>
      </ns0:c>
      <ns0:c r="I34" s="11">
        <ns0:v>0.00</ns0:v>
      </ns0:c>
      <ns0:c r="J34" s="11">
        <ns0:v>0.00</ns0:v>
      </ns0:c>
      <ns0:c r="K34" s="11">
        <ns0:v>0.00</ns0:v>
      </ns0:c>
      <ns0:c r="L34" s="11">
        <ns0:v>0.00</ns0:v>
      </ns0:c>
      <ns0:c r="M34" s="11">
        <ns0:v>0.00</ns0:v>
      </ns0:c>
      <ns0:c r="N34" s="11">
        <ns0:v>0.00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113.34</ns0:v>
      </ns0:c>
      <ns0:c r="D35" s="8">
        <ns0:f>D32</ns0:f>
        <ns0:v>102.38</ns0:v>
      </ns0:c>
      <ns0:c r="E35" s="8">
        <ns0:f>E32</ns0:f>
        <ns0:v>126.79</ns0:v>
      </ns0:c>
      <ns0:c r="F35" s="8">
        <ns0:f>F32</ns0:f>
        <ns0:v>101.50</ns0:v>
      </ns0:c>
      <ns0:c r="G35" s="8">
        <ns0:f>G32</ns0:f>
        <ns0:v>95.05</ns0:v>
      </ns0:c>
      <ns0:c r="H35" s="8">
        <ns0:f>H32</ns0:f>
        <ns0:v>107.18</ns0:v>
      </ns0:c>
      <ns0:c r="I35" s="8">
        <ns0:f>I32</ns0:f>
        <ns0:v>0.00</ns0:v>
      </ns0:c>
      <ns0:c r="J35" s="8">
        <ns0:f>J32</ns0:f>
        <ns0:v>0.00</ns0:v>
      </ns0:c>
      <ns0:c r="K35" s="8">
        <ns0:f>K32</ns0:f>
        <ns0:v>0.00</ns0:v>
      </ns0:c>
      <ns0:c r="L35" s="8">
        <ns0:f>L32</ns0:f>
        <ns0:v>0.00</ns0:v>
      </ns0:c>
      <ns0:c r="M35" s="8">
        <ns0:f>M32</ns0:f>
        <ns0:v>0.00</ns0:v>
      </ns0:c>
      <ns0:c r="N35" s="8">
        <ns0:f>N32</ns0:f>
        <ns0:v>0.00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78460.75</ns0:v>
      </ns0:c>
      <ns0:c r="D36" s="8">
        <ns0:f>ROUND(D34*D35,2)</ns0:f>
        <ns0:v>80778.84</ns0:v>
      </ns0:c>
      <ns0:c r="E36" s="8">
        <ns0:f>ROUND(E34*E35,2)</ns0:f>
        <ns0:v>90941.40</ns0:v>
      </ns0:c>
      <ns0:c r="F36" s="8">
        <ns0:f>ROUND(F34*F35,2)</ns0:f>
        <ns0:v>68504.38</ns0:v>
      </ns0:c>
      <ns0:c r="G36" s="8">
        <ns0:f>ROUND(G34*G35,2)</ns0:f>
        <ns0:v>71768.45</ns0:v>
      </ns0:c>
      <ns0:c r="H36" s="8">
        <ns0:f>ROUND(H34*H35,2)</ns0:f>
        <ns0:v>84009.83</ns0:v>
      </ns0:c>
      <ns0:c r="I36" s="8">
        <ns0:f>ROUND(I34*I35,2)</ns0:f>
        <ns0:v>0.00</ns0:v>
      </ns0:c>
      <ns0:c r="J36" s="8">
        <ns0:f>ROUND(J34*J35,2)</ns0:f>
        <ns0:v>0.00</ns0:v>
      </ns0:c>
      <ns0:c r="K36" s="8">
        <ns0:f>ROUND(K34*K35,2)</ns0:f>
        <ns0:v>0.00</ns0:v>
      </ns0:c>
      <ns0:c r="L36" s="8">
        <ns0:f>ROUND(L34*L35,2)</ns0:f>
        <ns0:v>0.00</ns0:v>
      </ns0:c>
      <ns0:c r="M36" s="8">
        <ns0:f>ROUND(M34*M35,2)</ns0:f>
        <ns0:v>0.00</ns0:v>
      </ns0:c>
      <ns0:c r="N36" s="8">
        <ns0:f>ROUND(N34*N35,2)</ns0:f>
        <ns0:v>0.00</ns0:v>
      </ns0:c>
      <ns0:c r="O36" s="8">
        <ns0:f>SUM(C36:N36)</ns0:f>
        <ns0:v>474463.65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78460.75</ns0:v>
      </ns0:c>
      <ns0:c r="D37" s="8">
        <ns0:f>D36</ns0:f>
        <ns0:v>80778.84</ns0:v>
      </ns0:c>
      <ns0:c r="E37" s="8">
        <ns0:f>E36</ns0:f>
        <ns0:v>90941.40</ns0:v>
      </ns0:c>
      <ns0:c r="F37" s="8">
        <ns0:f>F36</ns0:f>
        <ns0:v>68504.38</ns0:v>
      </ns0:c>
      <ns0:c r="G37" s="8">
        <ns0:f>G36</ns0:f>
        <ns0:v>71768.45</ns0:v>
      </ns0:c>
      <ns0:c r="H37" s="8">
        <ns0:f>H36</ns0:f>
        <ns0:v>84009.83</ns0:v>
      </ns0:c>
      <ns0:c r="I37" s="8">
        <ns0:f>I36</ns0:f>
        <ns0:v>0.00</ns0:v>
      </ns0:c>
      <ns0:c r="J37" s="8">
        <ns0:f>J36</ns0:f>
        <ns0:v>0.00</ns0:v>
      </ns0:c>
      <ns0:c r="K37" s="8">
        <ns0:f>K36</ns0:f>
        <ns0:v>0.00</ns0:v>
      </ns0:c>
      <ns0:c r="L37" s="8">
        <ns0:f>L36</ns0:f>
        <ns0:v>0.00</ns0:v>
      </ns0:c>
      <ns0:c r="M37" s="8">
        <ns0:f>M36</ns0:f>
        <ns0:v>0.00</ns0:v>
      </ns0:c>
      <ns0:c r="N37" s="8">
        <ns0:f>N36</ns0:f>
        <ns0:v>0.00</ns0:v>
      </ns0:c>
      <ns0:c r="O37" s="8">
        <ns0:f>SUM(C37:N37)</ns0:f>
        <ns0:v>474463.65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/>
      <ns0:c r="B2" s="7" t="inlineStr">
        <ns0:is>
          <ns0:t>项目名称</ns0:t>
        </ns0:is>
      </ns0:c>
      <ns0:c r="C2" s="8"/>
      <ns0:c r="D2" s="8" t="inlineStr">
        <ns0:is>
          <ns0:t>投资比例</ns0:t>
        </ns0:is>
      </ns0:c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7"/>
      <ns0:c r="Q2" s="7"/>
      <ns0:c r="R2" s="7"/>
      <ns0:c r="S2" s="7"/>
      <ns0:c r="T2" s="7"/>
      <ns0:c r="U2" s="7"/>
      <ns0:c r="V2" s="7"/>
      <ns0:c r="W2" s="7"/>
      <ns0:c r="X2" s="7"/>
      <ns0:c r="Y2" s="7"/>
      <ns0:c r="Z2" s="7"/>
      <ns0:c r="AA2" s="7" t="inlineStr">
        <ns0:is>
          <ns0:t>成本</ns0:t>
        </ns0:is>
      </ns0:c>
      <ns0:c r="AB2" s="7"/>
      <ns0:c r="AC2" s="7"/>
      <ns0:c r="AD2" s="7"/>
      <ns0:c r="AE2" s="7"/>
      <ns0:c r="AF2" s="7"/>
      <ns0:c r="AG2" s="7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1573.40</ns0:v>
      </ns0:c>
      <ns0:c r="D31" s="11">
        <ns0:v>2014.36</ns0:v>
      </ns0:c>
      <ns0:c r="E31" s="11">
        <ns0:v>1502.98</ns0:v>
      </ns0:c>
      <ns0:c r="F31" s="11">
        <ns0:v>1951.77</ns0:v>
      </ns0:c>
      <ns0:c r="G31" s="11">
        <ns0:v>1790.98</ns0:v>
      </ns0:c>
      <ns0:c r="H31" s="11">
        <ns0:v>1863.33</ns0:v>
      </ns0:c>
      <ns0:c r="I31" s="11">
        <ns0:v>0.00</ns0:v>
      </ns0:c>
      <ns0:c r="J31" s="11">
        <ns0:v>0.00</ns0:v>
      </ns0:c>
      <ns0:c r="K31" s="11">
        <ns0:v>0.00</ns0:v>
      </ns0:c>
      <ns0:c r="L31" s="11">
        <ns0:v>0.00</ns0:v>
      </ns0:c>
      <ns0:c r="M31" s="11">
        <ns0:v>0.00</ns0:v>
      </ns0:c>
      <ns0:c r="N31" s="11">
        <ns0:v>0.00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93.15</ns0:v>
      </ns0:c>
      <ns0:c r="D32" s="11">
        <ns0:v>98.97</ns0:v>
      </ns0:c>
      <ns0:c r="E32" s="11">
        <ns0:v>115.08</ns0:v>
      </ns0:c>
      <ns0:c r="F32" s="11">
        <ns0:v>92.35</ns0:v>
      </ns0:c>
      <ns0:c r="G32" s="11">
        <ns0:v>98.49</ns0:v>
      </ns0:c>
      <ns0:c r="H32" s="11">
        <ns0:v>100.96</ns0:v>
      </ns0:c>
      <ns0:c r="I32" s="11">
        <ns0:v>0.00</ns0:v>
      </ns0:c>
      <ns0:c r="J32" s="11">
        <ns0:v>0.00</ns0:v>
      </ns0:c>
      <ns0:c r="K32" s="11">
        <ns0:v>0.00</ns0:v>
      </ns0:c>
      <ns0:c r="L32" s="11">
        <ns0:v>0.00</ns0:v>
      </ns0:c>
      <ns0:c r="M32" s="11">
        <ns0:v>0.00</ns0:v>
      </ns0:c>
      <ns0:c r="N32" s="11">
        <ns0:v>0.00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146562.21</ns0:v>
      </ns0:c>
      <ns0:c r="D33" s="8">
        <ns0:f>ROUND(D31*D32,2)</ns0:f>
        <ns0:v>199361.21</ns0:v>
      </ns0:c>
      <ns0:c r="E33" s="8">
        <ns0:f>ROUND(E31*E32,2)</ns0:f>
        <ns0:v>172962.94</ns0:v>
      </ns0:c>
      <ns0:c r="F33" s="8">
        <ns0:f>ROUND(F31*F32,2)</ns0:f>
        <ns0:v>180245.96</ns0:v>
      </ns0:c>
      <ns0:c r="G33" s="8">
        <ns0:f>ROUND(G31*G32,2)</ns0:f>
        <ns0:v>176393.62</ns0:v>
      </ns0:c>
      <ns0:c r="H33" s="8">
        <ns0:f>ROUND(H31*H32,2)</ns0:f>
        <ns0:v>188121.80</ns0:v>
      </ns0:c>
      <ns0:c r="I33" s="8">
        <ns0:f>ROUND(I31*I32,2)</ns0:f>
        <ns0:v>0.00</ns0:v>
      </ns0:c>
      <ns0:c r="J33" s="8">
        <ns0:f>ROUND(J31*J32,2)</ns0:f>
        <ns0:v>0.00</ns0:v>
      </ns0:c>
      <ns0:c r="K33" s="8">
        <ns0:f>ROUND(K31*K32,2)</ns0:f>
        <ns0:v>0.00</ns0:v>
      </ns0:c>
      <ns0:c r="L33" s="8">
        <ns0:f>ROUND(L31*L32,2)</ns0:f>
        <ns0:v>0.00</ns0:v>
      </ns0:c>
      <ns0:c r="M33" s="8">
        <ns0:f>ROUND(M31*M32,2)</ns0:f>
        <ns0:v>0.00</ns0:v>
      </ns0:c>
      <ns0:c r="N33" s="8">
        <ns0:f>ROUND(N31*N32,2)</ns0:f>
        <ns0:v>0.00</ns0:v>
      </ns0:c>
      <ns0:c r="O33" s="8">
        <ns0:f>SUM(C33:N33)</ns0:f>
        <ns0:v>1063647.74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652.55</ns0:v>
      </ns0:c>
      <ns0:c r="D34" s="11">
        <ns0:v>679.91</ns0:v>
      </ns0:c>
      <ns0:c r="E34" s="11">
        <ns0:v>703.94</ns0:v>
      </ns0:c>
      <ns0:c r="F34" s="11">
        <ns0:v>672.88</ns0:v>
      </ns0:c>
      <ns0:c r="G34" s="11">
        <ns0:v>711.96</ns0:v>
      </ns0:c>
      <ns0:c r="H34" s="11">
        <ns0:v>755.01</ns0:v>
      </ns0:c>
      <ns0:c r="I34" s="11">
        <ns0:v>0.00</ns0:v>
      </ns0:c>
      <ns0:c r="J34" s="11">
        <ns0:v>0.00</ns0:v>
      </ns0:c>
      <ns0:c r="K34" s="11">
        <ns0:v>0.00</ns0:v>
      </ns0:c>
      <ns0:c r="L34" s="11">
        <ns0:v>0.00</ns0:v>
      </ns0:c>
      <ns0:c r="M34" s="11">
        <ns0:v>0.00</ns0:v>
      </ns0:c>
      <ns0:c r="N34" s="11">
        <ns0:v>0.00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93.15</ns0:v>
      </ns0:c>
      <ns0:c r="D35" s="8">
        <ns0:f>D32</ns0:f>
        <ns0:v>98.97</ns0:v>
      </ns0:c>
      <ns0:c r="E35" s="8">
        <ns0:f>E32</ns0:f>
        <ns0:v>115.08</ns0:v>
      </ns0:c>
      <ns0:c r="F35" s="8">
        <ns0:f>F32</ns0:f>
        <ns0:v>92.35</ns0:v>
      </ns0:c>
      <ns0:c r="G35" s="8">
        <ns0:f>G32</ns0:f>
        <ns0:v>98.49</ns0:v>
      </ns0:c>
      <ns0:c r="H35" s="8">
        <ns0:f>H32</ns0:f>
        <ns0:v>100.96</ns0:v>
      </ns0:c>
      <ns0:c r="I35" s="8">
        <ns0:f>I32</ns0:f>
        <ns0:v>0.00</ns0:v>
      </ns0:c>
      <ns0:c r="J35" s="8">
        <ns0:f>J32</ns0:f>
        <ns0:v>0.00</ns0:v>
      </ns0:c>
      <ns0:c r="K35" s="8">
        <ns0:f>K32</ns0:f>
        <ns0:v>0.00</ns0:v>
      </ns0:c>
      <ns0:c r="L35" s="8">
        <ns0:f>L32</ns0:f>
        <ns0:v>0.00</ns0:v>
      </ns0:c>
      <ns0:c r="M35" s="8">
        <ns0:f>M32</ns0:f>
        <ns0:v>0.00</ns0:v>
      </ns0:c>
      <ns0:c r="N35" s="8">
        <ns0:f>N32</ns0:f>
        <ns0:v>0.00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60785.03</ns0:v>
      </ns0:c>
      <ns0:c r="D36" s="8">
        <ns0:f>ROUND(D34*D35,2)</ns0:f>
        <ns0:v>67290.69</ns0:v>
      </ns0:c>
      <ns0:c r="E36" s="8">
        <ns0:f>ROUND(E34*E35,2)</ns0:f>
        <ns0:v>81009.42</ns0:v>
      </ns0:c>
      <ns0:c r="F36" s="8">
        <ns0:f>ROUND(F34*F35,2)</ns0:f>
        <ns0:v>62140.47</ns0:v>
      </ns0:c>
      <ns0:c r="G36" s="8">
        <ns0:f>ROUND(G34*G35,2)</ns0:f>
        <ns0:v>70120.94</ns0:v>
      </ns0:c>
      <ns0:c r="H36" s="8">
        <ns0:f>ROUND(H34*H35,2)</ns0:f>
        <ns0:v>76225.81</ns0:v>
      </ns0:c>
      <ns0:c r="I36" s="8">
        <ns0:f>ROUND(I34*I35,2)</ns0:f>
        <ns0:v>0.00</ns0:v>
      </ns0:c>
      <ns0:c r="J36" s="8">
        <ns0:f>ROUND(J34*J35,2)</ns0:f>
        <ns0:v>0.00</ns0:v>
      </ns0:c>
      <ns0:c r="K36" s="8">
        <ns0:f>ROUND(K34*K35,2)</ns0:f>
        <ns0:v>0.00</ns0:v>
      </ns0:c>
      <ns0:c r="L36" s="8">
        <ns0:f>ROUND(L34*L35,2)</ns0:f>
        <ns0:v>0.00</ns0:v>
      </ns0:c>
      <ns0:c r="M36" s="8">
        <ns0:f>ROUND(M34*M35,2)</ns0:f>
        <ns0:v>0.00</ns0:v>
      </ns0:c>
      <ns0:c r="N36" s="8">
        <ns0:f>ROUND(N34*N35,2)</ns0:f>
        <ns0:v>0.00</ns0:v>
      </ns0:c>
      <ns0:c r="O36" s="8">
        <ns0:f>SUM(C36:N36)</ns0:f>
        <ns0:v>417572.36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60785.03</ns0:v>
      </ns0:c>
      <ns0:c r="D37" s="8">
        <ns0:f>D36</ns0:f>
        <ns0:v>67290.69</ns0:v>
      </ns0:c>
      <ns0:c r="E37" s="8">
        <ns0:f>E36</ns0:f>
        <ns0:v>81009.42</ns0:v>
      </ns0:c>
      <ns0:c r="F37" s="8">
        <ns0:f>F36</ns0:f>
        <ns0:v>62140.47</ns0:v>
      </ns0:c>
      <ns0:c r="G37" s="8">
        <ns0:f>G36</ns0:f>
        <ns0:v>70120.94</ns0:v>
      </ns0:c>
      <ns0:c r="H37" s="8">
        <ns0:f>H36</ns0:f>
        <ns0:v>76225.81</ns0:v>
      </ns0:c>
      <ns0:c r="I37" s="8">
        <ns0:f>I36</ns0:f>
        <ns0:v>0.00</ns0:v>
      </ns0:c>
      <ns0:c r="J37" s="8">
        <ns0:f>J36</ns0:f>
        <ns0:v>0.00</ns0:v>
      </ns0:c>
      <ns0:c r="K37" s="8">
        <ns0:f>K36</ns0:f>
        <ns0:v>0.00</ns0:v>
      </ns0:c>
      <ns0:c r="L37" s="8">
        <ns0:f>L36</ns0:f>
        <ns0:v>0.00</ns0:v>
      </ns0:c>
      <ns0:c r="M37" s="8">
        <ns0:f>M36</ns0:f>
        <ns0:v>0.00</ns0:v>
      </ns0:c>
      <ns0:c r="N37" s="8">
        <ns0:f>N36</ns0:f>
        <ns0:v>0.00</ns0:v>
      </ns0:c>
      <ns0:c r="O37" s="8">
        <ns0:f>SUM(C37:N37)</ns0:f>
        <ns0:v>417572.36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7"/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2"/>
      <ns0:c r="B3" s="7"/>
      <ns0:c r="C3" s="9"/>
      <ns0:c r="D3" s="9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2"/>
      <ns0:c r="B4" s="7"/>
      <ns0:c r="C4" s="8"/>
      <ns0:c r="D4" s="8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2"/>
      <ns0:c r="B5" s="7"/>
      <ns0:c r="C5" s="8"/>
      <ns0:c r="D5" s="8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 t="inlineStr">
        <ns0:is>
          <ns0:t>税金及附加</ns0:t>
        </ns0:is>
      </ns0:c>
      <ns0:c r="C6" s="8"/>
      <ns0:c r="D6" s="8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综合附加率（演示假设）</ns0:t>
        </ns0:is>
      </ns0:c>
      <ns0:c r="C31" s="11">
        <ns0:v>0.01</ns0:v>
      </ns0:c>
      <ns0:c r="D31" s="8"/>
      <ns0:c r="E31" s="8"/>
      <ns0:c r="F31" s="8"/>
      <ns0:c r="G31" s="8"/>
      <ns0:c r="H31" s="8"/>
      <ns0:c r="I31" s="8"/>
      <ns0:c r="J31" s="8"/>
      <ns0:c r="K31" s="8"/>
      <ns0:c r="L31" s="8"/>
      <ns0:c r="M31" s="8"/>
      <ns0:c r="N31" s="8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计税收入</ns0:t>
        </ns0:is>
      </ns0:c>
      <ns0:c r="C32" s="8">
        <ns0:f>'收入非主控'!C33+'收入主控'!C33</ns0:f>
        <ns0:v>401118.18</ns0:v>
      </ns0:c>
      <ns0:c r="D32" s="8">
        <ns0:f>'收入非主控'!D33+'收入主控'!D33</ns0:f>
        <ns0:v>418145.22</ns0:v>
      </ns0:c>
      <ns0:c r="E32" s="8">
        <ns0:f>'收入非主控'!E33+'收入主控'!E33</ns0:f>
        <ns0:v>391604.69</ns0:v>
      </ns0:c>
      <ns0:c r="F32" s="8">
        <ns0:f>'收入非主控'!F33+'收入主控'!F33</ns0:f>
        <ns0:v>408460.59</ns0:v>
      </ns0:c>
      <ns0:c r="G32" s="8">
        <ns0:f>'收入非主控'!G33+'收入主控'!G33</ns0:f>
        <ns0:v>390182.93</ns0:v>
      </ns0:c>
      <ns0:c r="H32" s="8">
        <ns0:f>'收入非主控'!H33+'收入主控'!H33</ns0:f>
        <ns0:v>419408.74</ns0:v>
      </ns0:c>
      <ns0:c r="I32" s="8">
        <ns0:f>'收入非主控'!I33+'收入主控'!I33</ns0:f>
        <ns0:v>0.00</ns0:v>
      </ns0:c>
      <ns0:c r="J32" s="8">
        <ns0:f>'收入非主控'!J33+'收入主控'!J33</ns0:f>
        <ns0:v>0.00</ns0:v>
      </ns0:c>
      <ns0:c r="K32" s="8">
        <ns0:f>'收入非主控'!K33+'收入主控'!K33</ns0:f>
        <ns0:v>0.00</ns0:v>
      </ns0:c>
      <ns0:c r="L32" s="8">
        <ns0:f>'收入非主控'!L33+'收入主控'!L33</ns0:f>
        <ns0:v>0.00</ns0:v>
      </ns0:c>
      <ns0:c r="M32" s="8">
        <ns0:f>'收入非主控'!M33+'收入主控'!M33</ns0:f>
        <ns0:v>0.00</ns0:v>
      </ns0:c>
      <ns0:c r="N32" s="8">
        <ns0:f>'收入非主控'!N33+'收入主控'!N33</ns0:f>
        <ns0:v>0.00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税金及附加</ns0:t>
        </ns0:is>
      </ns0:c>
      <ns0:c r="C33" s="8">
        <ns0:f>ROUND(C32*$C$31,2)</ns0:f>
        <ns0:v>4011.18</ns0:v>
      </ns0:c>
      <ns0:c r="D33" s="8">
        <ns0:f>ROUND(D32*$C$31,2)</ns0:f>
        <ns0:v>4181.45</ns0:v>
      </ns0:c>
      <ns0:c r="E33" s="8">
        <ns0:f>ROUND(E32*$C$31,2)</ns0:f>
        <ns0:v>3916.05</ns0:v>
      </ns0:c>
      <ns0:c r="F33" s="8">
        <ns0:f>ROUND(F32*$C$31,2)</ns0:f>
        <ns0:v>4084.61</ns0:v>
      </ns0:c>
      <ns0:c r="G33" s="8">
        <ns0:f>ROUND(G32*$C$31,2)</ns0:f>
        <ns0:v>3901.83</ns0:v>
      </ns0:c>
      <ns0:c r="H33" s="8">
        <ns0:f>ROUND(H32*$C$31,2)</ns0:f>
        <ns0:v>4194.09</ns0:v>
      </ns0:c>
      <ns0:c r="I33" s="8">
        <ns0:f>ROUND(I32*$C$31,2)</ns0:f>
        <ns0:v>0.00</ns0:v>
      </ns0:c>
      <ns0:c r="J33" s="8">
        <ns0:f>ROUND(J32*$C$31,2)</ns0:f>
        <ns0:v>0.00</ns0:v>
      </ns0:c>
      <ns0:c r="K33" s="8">
        <ns0:f>ROUND(K32*$C$31,2)</ns0:f>
        <ns0:v>0.00</ns0:v>
      </ns0:c>
      <ns0:c r="L33" s="8">
        <ns0:f>ROUND(L32*$C$31,2)</ns0:f>
        <ns0:v>0.00</ns0:v>
      </ns0:c>
      <ns0:c r="M33" s="8">
        <ns0:f>ROUND(M32*$C$31,2)</ns0:f>
        <ns0:v>0.00</ns0:v>
      </ns0:c>
      <ns0:c r="N33" s="8">
        <ns0:f>ROUND(N32*$C$31,2)</ns0:f>
        <ns0:v>0.00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税种分档区（契约v1.1·增值税附加明细，演示口径）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税种</ns0:t>
        </ns0:is>
      </ns0:c>
      <ns0:c r="P122" s="2" t="inlineStr">
        <ns0:is>
          <ns0:t>分档率（占计税收入）</ns0:t>
        </ns0:is>
      </ns0:c>
      <ns0:c r="Q122" s="2" t="inlineStr">
        <ns0:is>
          <ns0:t>1月</ns0:t>
        </ns0:is>
      </ns0:c>
      <ns0:c r="R122" s="2" t="inlineStr">
        <ns0:is>
          <ns0:t>2月</ns0:t>
        </ns0:is>
      </ns0:c>
      <ns0:c r="S122" s="2" t="inlineStr">
        <ns0:is>
          <ns0:t>3月</ns0:t>
        </ns0:is>
      </ns0:c>
      <ns0:c r="T122" s="2" t="inlineStr">
        <ns0:is>
          <ns0:t>4月</ns0:t>
        </ns0:is>
      </ns0:c>
      <ns0:c r="U122" s="2" t="inlineStr">
        <ns0:is>
          <ns0:t>5月</ns0:t>
        </ns0:is>
      </ns0:c>
      <ns0:c r="V122" s="2" t="inlineStr">
        <ns0:is>
          <ns0:t>6月</ns0:t>
        </ns0:is>
      </ns0:c>
      <ns0:c r="W122" s="2" t="inlineStr">
        <ns0:is>
          <ns0:t>7月</ns0:t>
        </ns0:is>
      </ns0:c>
      <ns0:c r="X122" s="2" t="inlineStr">
        <ns0:is>
          <ns0:t>8月</ns0:t>
        </ns0:is>
      </ns0:c>
      <ns0:c r="Y122" s="2" t="inlineStr">
        <ns0:is>
          <ns0:t>9月</ns0:t>
        </ns0:is>
      </ns0:c>
      <ns0:c r="Z122" s="2" t="inlineStr">
        <ns0:is>
          <ns0:t>10月</ns0:t>
        </ns0:is>
      </ns0:c>
      <ns0:c r="AA122" s="2" t="inlineStr">
        <ns0:is>
          <ns0:t>11月</ns0:t>
        </ns0:is>
      </ns0:c>
      <ns0:c r="AB122" s="2" t="inlineStr">
        <ns0:is>
          <ns0:t>12月</ns0:t>
        </ns0:is>
      </ns0:c>
      <ns0:c r="AC122" s="2" t="inlineStr">
        <ns0:is>
          <ns0:t>年度合计</ns0:t>
        </ns0:is>
      </ns0:c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城市维护建设税</ns0:t>
        </ns0:is>
      </ns0:c>
      <ns0:c r="P123" s="2">
        <ns0:v>0.60</ns0:v>
      </ns0:c>
      <ns0:c r="Q123" s="2">
        <ns0:v>2406.71</ns0:v>
      </ns0:c>
      <ns0:c r="R123" s="2">
        <ns0:v>2508.87</ns0:v>
      </ns0:c>
      <ns0:c r="S123" s="2">
        <ns0:v>2349.63</ns0:v>
      </ns0:c>
      <ns0:c r="T123" s="2">
        <ns0:v>2450.77</ns0:v>
      </ns0:c>
      <ns0:c r="U123" s="2">
        <ns0:v>2341.10</ns0:v>
      </ns0:c>
      <ns0:c r="V123" s="2">
        <ns0:v>2516.45</ns0:v>
      </ns0:c>
      <ns0:c r="W123" s="2"/>
      <ns0:c r="X123" s="2"/>
      <ns0:c r="Y123" s="2"/>
      <ns0:c r="Z123" s="2"/>
      <ns0:c r="AA123" s="2"/>
      <ns0:c r="AB123" s="2"/>
      <ns0:c r="AC123" s="2">
        <ns0:f>SUM(Q123:AB123)</ns0:f>
        <ns0:v>14573.53</ns0:v>
      </ns0:c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教育费附加</ns0:t>
        </ns0:is>
      </ns0:c>
      <ns0:c r="P124" s="2">
        <ns0:v>0.40</ns0:v>
      </ns0:c>
      <ns0:c r="Q124" s="2">
        <ns0:v>1604.47</ns0:v>
      </ns0:c>
      <ns0:c r="R124" s="2">
        <ns0:v>1672.58</ns0:v>
      </ns0:c>
      <ns0:c r="S124" s="2">
        <ns0:v>1566.42</ns0:v>
      </ns0:c>
      <ns0:c r="T124" s="2">
        <ns0:v>1633.84</ns0:v>
      </ns0:c>
      <ns0:c r="U124" s="2">
        <ns0:v>1560.73</ns0:v>
      </ns0:c>
      <ns0:c r="V124" s="2">
        <ns0:v>1677.64</ns0:v>
      </ns0:c>
      <ns0:c r="W124" s="2"/>
      <ns0:c r="X124" s="2"/>
      <ns0:c r="Y124" s="2"/>
      <ns0:c r="Z124" s="2"/>
      <ns0:c r="AA124" s="2"/>
      <ns0:c r="AB124" s="2"/>
      <ns0:c r="AC124" s="2">
        <ns0:f>SUM(Q124:AB124)</ns0:f>
        <ns0:v>9715.68</ns0:v>
      </ns0:c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地方教育附加</ns0:t>
        </ns0:is>
      </ns0:c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>
        <ns0:f>SUM(Q125:AB125)</ns0:f>
        <ns0:v>0</ns0:v>
      </ns0:c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文化事业建设费</ns0:t>
        </ns0:is>
      </ns0:c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>
        <ns0:f>SUM(Q126:AB126)</ns0:f>
        <ns0:v>0</ns0:v>
      </ns0:c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分档合计</ns0:t>
        </ns0:is>
      </ns0:c>
      <ns0:c r="P127" s="2"/>
      <ns0:c r="Q127" s="2">
        <ns0:f>SUM(Q123:Q126)</ns0:f>
        <ns0:v>4011.18</ns0:v>
      </ns0:c>
      <ns0:c r="R127" s="2">
        <ns0:f>SUM(R123:R126)</ns0:f>
        <ns0:v>4181.45</ns0:v>
      </ns0:c>
      <ns0:c r="S127" s="2">
        <ns0:f>SUM(S123:S126)</ns0:f>
        <ns0:v>3916.05</ns0:v>
      </ns0:c>
      <ns0:c r="T127" s="2">
        <ns0:f>SUM(T123:T126)</ns0:f>
        <ns0:v>4084.61</ns0:v>
      </ns0:c>
      <ns0:c r="U127" s="2">
        <ns0:f>SUM(U123:U126)</ns0:f>
        <ns0:v>3901.83</ns0:v>
      </ns0:c>
      <ns0:c r="V127" s="2">
        <ns0:f>SUM(V123:V126)</ns0:f>
        <ns0:v>4194.09</ns0:v>
      </ns0:c>
      <ns0:c r="W127" s="2">
        <ns0:f>SUM(W123:W126)</ns0:f>
        <ns0:v>0</ns0:v>
      </ns0:c>
      <ns0:c r="X127" s="2">
        <ns0:f>SUM(X123:X126)</ns0:f>
        <ns0:v>0</ns0:v>
      </ns0:c>
      <ns0:c r="Y127" s="2">
        <ns0:f>SUM(Y123:Y126)</ns0:f>
        <ns0:v>0</ns0:v>
      </ns0:c>
      <ns0:c r="Z127" s="2">
        <ns0:f>SUM(Z123:Z126)</ns0:f>
        <ns0:v>0</ns0:v>
      </ns0:c>
      <ns0:c r="AA127" s="2">
        <ns0:f>SUM(AA123:AA126)</ns0:f>
        <ns0:v>0</ns0:v>
      </ns0:c>
      <ns0:c r="AB127" s="2">
        <ns0:f>SUM(AB123:AB126)</ns0:f>
        <ns0:v>0</ns0:v>
      </ns0:c>
      <ns0:c r="AC127" s="2">
        <ns0:f>SUM(Q127:AB127)</ns0:f>
        <ns0:v>24289.21</ns0:v>
      </ns0:c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42075.57</ns0:v>
      </ns0:c>
      <ns0:c r="D4" s="8">
        <ns0:f>ROUND(D204*D324,2)</ns0:f>
        <ns0:v>41979.04</ns0:v>
      </ns0:c>
      <ns0:c r="E4" s="8">
        <ns0:f>ROUND(E204*E324,2)</ns0:f>
        <ns0:v>41600.96</ns0:v>
      </ns0:c>
      <ns0:c r="F4" s="8">
        <ns0:f>ROUND(F204*F324,2)</ns0:f>
        <ns0:v>41823.64</ns0:v>
      </ns0:c>
      <ns0:c r="G4" s="8">
        <ns0:f>ROUND(G204*G324,2)</ns0:f>
        <ns0:v>41953.77</ns0:v>
      </ns0:c>
      <ns0:c r="H4" s="8">
        <ns0:f>ROUND(H204*H324,2)</ns0:f>
        <ns0:v>41684.95</ns0:v>
      </ns0:c>
      <ns0:c r="I4" s="8">
        <ns0:f>ROUND(I204*I324,2)</ns0:f>
        <ns0:v>0.00</ns0:v>
      </ns0:c>
      <ns0:c r="J4" s="8">
        <ns0:f>ROUND(J204*J324,2)</ns0:f>
        <ns0:v>0.00</ns0:v>
      </ns0:c>
      <ns0:c r="K4" s="8">
        <ns0:f>ROUND(K204*K324,2)</ns0:f>
        <ns0:v>0.00</ns0:v>
      </ns0:c>
      <ns0:c r="L4" s="8">
        <ns0:f>ROUND(L204*L324,2)</ns0:f>
        <ns0:v>0.00</ns0:v>
      </ns0:c>
      <ns0:c r="M4" s="8">
        <ns0:f>ROUND(M204*M324,2)</ns0:f>
        <ns0:v>0.00</ns0:v>
      </ns0:c>
      <ns0:c r="N4" s="8">
        <ns0:f>ROUND(N204*N324,2)</ns0:f>
        <ns0:v>0.00</ns0:v>
      </ns0:c>
      <ns0:c r="O4" s="8">
        <ns0:f>SUM(C4:N4)</ns0:f>
        <ns0:v>251117.93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3">
        <ns0:f>ROUND(C205*C325,2)</ns0:f>
        <ns0:v>3042.05</ns0:v>
      </ns0:c>
      <ns0:c r="D5" s="8">
        <ns0:f>ROUND(D205*D325,2)</ns0:f>
        <ns0:v>2981.75</ns0:v>
      </ns0:c>
      <ns0:c r="E5" s="8">
        <ns0:f>ROUND(E205*E325,2)</ns0:f>
        <ns0:v>2986.17</ns0:v>
      </ns0:c>
      <ns0:c r="F5" s="8">
        <ns0:f>ROUND(F205*F325,2)</ns0:f>
        <ns0:v>3059.64</ns0:v>
      </ns0:c>
      <ns0:c r="G5" s="8">
        <ns0:f>ROUND(G205*G325,2)</ns0:f>
        <ns0:v>2968.55</ns0:v>
      </ns0:c>
      <ns0:c r="H5" s="8">
        <ns0:f>ROUND(H205*H325,2)</ns0:f>
        <ns0:v>3028.80</ns0:v>
      </ns0:c>
      <ns0:c r="I5" s="8">
        <ns0:f>ROUND(I205*I325,2)</ns0:f>
        <ns0:v>0.00</ns0:v>
      </ns0:c>
      <ns0:c r="J5" s="8">
        <ns0:f>ROUND(J205*J325,2)</ns0:f>
        <ns0:v>0.00</ns0:v>
      </ns0:c>
      <ns0:c r="K5" s="8">
        <ns0:f>ROUND(K205*K325,2)</ns0:f>
        <ns0:v>0.00</ns0:v>
      </ns0:c>
      <ns0:c r="L5" s="8">
        <ns0:f>ROUND(L205*L325,2)</ns0:f>
        <ns0:v>0.00</ns0:v>
      </ns0:c>
      <ns0:c r="M5" s="8">
        <ns0:f>ROUND(M205*M325,2)</ns0:f>
        <ns0:v>0.00</ns0:v>
      </ns0:c>
      <ns0:c r="N5" s="8">
        <ns0:f>ROUND(N205*N325,2)</ns0:f>
        <ns0:v>0.00</ns0:v>
      </ns0:c>
      <ns0:c r="O5" s="8">
        <ns0:f>SUM(C5:N5)</ns0:f>
        <ns0:v>18066.96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1316.02</ns0:v>
      </ns0:c>
      <ns0:c r="D6" s="8">
        <ns0:f>ROUND(D206*D326,2)</ns0:f>
        <ns0:v>1241.78</ns0:v>
      </ns0:c>
      <ns0:c r="E6" s="8">
        <ns0:f>ROUND(E206*E326,2)</ns0:f>
        <ns0:v>1186.33</ns0:v>
      </ns0:c>
      <ns0:c r="F6" s="8">
        <ns0:f>ROUND(F206*F326,2)</ns0:f>
        <ns0:v>1142.90</ns0:v>
      </ns0:c>
      <ns0:c r="G6" s="8">
        <ns0:f>ROUND(G206*G326,2)</ns0:f>
        <ns0:v>1083.90</ns0:v>
      </ns0:c>
      <ns0:c r="H6" s="8">
        <ns0:f>ROUND(H206*H326,2)</ns0:f>
        <ns0:v>1157.71</ns0:v>
      </ns0:c>
      <ns0:c r="I6" s="8">
        <ns0:f>ROUND(I206*I326,2)</ns0:f>
        <ns0:v>0.00</ns0:v>
      </ns0:c>
      <ns0:c r="J6" s="8">
        <ns0:f>ROUND(J206*J326,2)</ns0:f>
        <ns0:v>0.00</ns0:v>
      </ns0:c>
      <ns0:c r="K6" s="8">
        <ns0:f>ROUND(K206*K326,2)</ns0:f>
        <ns0:v>0.00</ns0:v>
      </ns0:c>
      <ns0:c r="L6" s="8">
        <ns0:f>ROUND(L206*L326,2)</ns0:f>
        <ns0:v>0.00</ns0:v>
      </ns0:c>
      <ns0:c r="M6" s="8">
        <ns0:f>ROUND(M206*M326,2)</ns0:f>
        <ns0:v>0.00</ns0:v>
      </ns0:c>
      <ns0:c r="N6" s="8">
        <ns0:f>ROUND(N206*N326,2)</ns0:f>
        <ns0:v>0.00</ns0:v>
      </ns0:c>
      <ns0:c r="O6" s="8">
        <ns0:f>SUM(C6:N6)</ns0:f>
        <ns0:v>7128.64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13920.17</ns0:v>
      </ns0:c>
      <ns0:c r="D7" s="8">
        <ns0:f>ROUND(D207*D327,2)</ns0:f>
        <ns0:v>14055.95</ns0:v>
      </ns0:c>
      <ns0:c r="E7" s="8">
        <ns0:f>ROUND(E207*E327,2)</ns0:f>
        <ns0:v>13756.44</ns0:v>
      </ns0:c>
      <ns0:c r="F7" s="8">
        <ns0:f>ROUND(F207*F327,2)</ns0:f>
        <ns0:v>14016.76</ns0:v>
      </ns0:c>
      <ns0:c r="G7" s="8">
        <ns0:f>ROUND(G207*G327,2)</ns0:f>
        <ns0:v>13795.55</ns0:v>
      </ns0:c>
      <ns0:c r="H7" s="8">
        <ns0:f>ROUND(H207*H327,2)</ns0:f>
        <ns0:v>13939.76</ns0:v>
      </ns0:c>
      <ns0:c r="I7" s="8">
        <ns0:f>ROUND(I207*I327,2)</ns0:f>
        <ns0:v>0.00</ns0:v>
      </ns0:c>
      <ns0:c r="J7" s="8">
        <ns0:f>ROUND(J207*J327,2)</ns0:f>
        <ns0:v>0.00</ns0:v>
      </ns0:c>
      <ns0:c r="K7" s="8">
        <ns0:f>ROUND(K207*K327,2)</ns0:f>
        <ns0:v>0.00</ns0:v>
      </ns0:c>
      <ns0:c r="L7" s="8">
        <ns0:f>ROUND(L207*L327,2)</ns0:f>
        <ns0:v>0.00</ns0:v>
      </ns0:c>
      <ns0:c r="M7" s="8">
        <ns0:f>ROUND(M207*M327,2)</ns0:f>
        <ns0:v>0.00</ns0:v>
      </ns0:c>
      <ns0:c r="N7" s="8">
        <ns0:f>ROUND(N207*N327,2)</ns0:f>
        <ns0:v>0.00</ns0:v>
      </ns0:c>
      <ns0:c r="O7" s="8">
        <ns0:f>SUM(C7:N7)</ns0:f>
        <ns0:v>83484.63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3063.79</ns0:v>
      </ns0:c>
      <ns0:c r="D8" s="8">
        <ns0:f>ROUND(D208*D328,2)</ns0:f>
        <ns0:v>2633.06</ns0:v>
      </ns0:c>
      <ns0:c r="E8" s="8">
        <ns0:f>ROUND(E208*E328,2)</ns0:f>
        <ns0:v>2764.45</ns0:v>
      </ns0:c>
      <ns0:c r="F8" s="8">
        <ns0:f>ROUND(F208*F328,2)</ns0:f>
        <ns0:v>3116.15</ns0:v>
      </ns0:c>
      <ns0:c r="G8" s="8">
        <ns0:f>ROUND(G208*G328,2)</ns0:f>
        <ns0:v>2990.08</ns0:v>
      </ns0:c>
      <ns0:c r="H8" s="8">
        <ns0:f>ROUND(H208*H328,2)</ns0:f>
        <ns0:v>2558.69</ns0:v>
      </ns0:c>
      <ns0:c r="I8" s="8">
        <ns0:f>ROUND(I208*I328,2)</ns0:f>
        <ns0:v>0.00</ns0:v>
      </ns0:c>
      <ns0:c r="J8" s="8">
        <ns0:f>ROUND(J208*J328,2)</ns0:f>
        <ns0:v>0.00</ns0:v>
      </ns0:c>
      <ns0:c r="K8" s="8">
        <ns0:f>ROUND(K208*K328,2)</ns0:f>
        <ns0:v>0.00</ns0:v>
      </ns0:c>
      <ns0:c r="L8" s="8">
        <ns0:f>ROUND(L208*L328,2)</ns0:f>
        <ns0:v>0.00</ns0:v>
      </ns0:c>
      <ns0:c r="M8" s="8">
        <ns0:f>ROUND(M208*M328,2)</ns0:f>
        <ns0:v>0.00</ns0:v>
      </ns0:c>
      <ns0:c r="N8" s="8">
        <ns0:f>ROUND(N208*N328,2)</ns0:f>
        <ns0:v>0.00</ns0:v>
      </ns0:c>
      <ns0:c r="O8" s="8">
        <ns0:f>SUM(C8:N8)</ns0:f>
        <ns0:v>17126.22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1477.94</ns0:v>
      </ns0:c>
      <ns0:c r="D9" s="8">
        <ns0:f>ROUND(D209*D329,2)</ns0:f>
        <ns0:v>1607.25</ns0:v>
      </ns0:c>
      <ns0:c r="E9" s="8">
        <ns0:f>ROUND(E209*E329,2)</ns0:f>
        <ns0:v>1415.55</ns0:v>
      </ns0:c>
      <ns0:c r="F9" s="8">
        <ns0:f>ROUND(F209*F329,2)</ns0:f>
        <ns0:v>1477.64</ns0:v>
      </ns0:c>
      <ns0:c r="G9" s="8">
        <ns0:f>ROUND(G209*G329,2)</ns0:f>
        <ns0:v>1337.85</ns0:v>
      </ns0:c>
      <ns0:c r="H9" s="8">
        <ns0:f>ROUND(H209*H329,2)</ns0:f>
        <ns0:v>1630.35</ns0:v>
      </ns0:c>
      <ns0:c r="I9" s="8">
        <ns0:f>ROUND(I209*I329,2)</ns0:f>
        <ns0:v>0.00</ns0:v>
      </ns0:c>
      <ns0:c r="J9" s="8">
        <ns0:f>ROUND(J209*J329,2)</ns0:f>
        <ns0:v>0.00</ns0:v>
      </ns0:c>
      <ns0:c r="K9" s="8">
        <ns0:f>ROUND(K209*K329,2)</ns0:f>
        <ns0:v>0.00</ns0:v>
      </ns0:c>
      <ns0:c r="L9" s="8">
        <ns0:f>ROUND(L209*L329,2)</ns0:f>
        <ns0:v>0.00</ns0:v>
      </ns0:c>
      <ns0:c r="M9" s="8">
        <ns0:f>ROUND(M209*M329,2)</ns0:f>
        <ns0:v>0.00</ns0:v>
      </ns0:c>
      <ns0:c r="N9" s="8">
        <ns0:f>ROUND(N209*N329,2)</ns0:f>
        <ns0:v>0.00</ns0:v>
      </ns0:c>
      <ns0:c r="O9" s="8">
        <ns0:f>SUM(C9:N9)</ns0:f>
        <ns0:v>8946.58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1074.20</ns0:v>
      </ns0:c>
      <ns0:c r="D10" s="8">
        <ns0:f>ROUND(D210*D330,2)</ns0:f>
        <ns0:v>1006.38</ns0:v>
      </ns0:c>
      <ns0:c r="E10" s="8">
        <ns0:f>ROUND(E210*E330,2)</ns0:f>
        <ns0:v>1116.30</ns0:v>
      </ns0:c>
      <ns0:c r="F10" s="8">
        <ns0:f>ROUND(F210*F330,2)</ns0:f>
        <ns0:v>1102.60</ns0:v>
      </ns0:c>
      <ns0:c r="G10" s="8">
        <ns0:f>ROUND(G210*G330,2)</ns0:f>
        <ns0:v>968.51</ns0:v>
      </ns0:c>
      <ns0:c r="H10" s="8">
        <ns0:f>ROUND(H210*H330,2)</ns0:f>
        <ns0:v>1084.39</ns0:v>
      </ns0:c>
      <ns0:c r="I10" s="8">
        <ns0:f>ROUND(I210*I330,2)</ns0:f>
        <ns0:v>0.00</ns0:v>
      </ns0:c>
      <ns0:c r="J10" s="8">
        <ns0:f>ROUND(J210*J330,2)</ns0:f>
        <ns0:v>0.00</ns0:v>
      </ns0:c>
      <ns0:c r="K10" s="8">
        <ns0:f>ROUND(K210*K330,2)</ns0:f>
        <ns0:v>0.00</ns0:v>
      </ns0:c>
      <ns0:c r="L10" s="8">
        <ns0:f>ROUND(L210*L330,2)</ns0:f>
        <ns0:v>0.00</ns0:v>
      </ns0:c>
      <ns0:c r="M10" s="8">
        <ns0:f>ROUND(M210*M330,2)</ns0:f>
        <ns0:v>0.00</ns0:v>
      </ns0:c>
      <ns0:c r="N10" s="8">
        <ns0:f>ROUND(N210*N330,2)</ns0:f>
        <ns0:v>0.00</ns0:v>
      </ns0:c>
      <ns0:c r="O10" s="8">
        <ns0:f>SUM(C10:N10)</ns0:f>
        <ns0:v>6352.38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6043.20</ns0:v>
      </ns0:c>
      <ns0:c r="D11" s="8">
        <ns0:f>ROUND(D211*D331,2)</ns0:f>
        <ns0:v>6082.19</ns0:v>
      </ns0:c>
      <ns0:c r="E11" s="8">
        <ns0:f>ROUND(E211*E331,2)</ns0:f>
        <ns0:v>5711.38</ns0:v>
      </ns0:c>
      <ns0:c r="F11" s="8">
        <ns0:f>ROUND(F211*F331,2)</ns0:f>
        <ns0:v>5661.57</ns0:v>
      </ns0:c>
      <ns0:c r="G11" s="8">
        <ns0:f>ROUND(G211*G331,2)</ns0:f>
        <ns0:v>6177.58</ns0:v>
      </ns0:c>
      <ns0:c r="H11" s="8">
        <ns0:f>ROUND(H211*H331,2)</ns0:f>
        <ns0:v>5961.00</ns0:v>
      </ns0:c>
      <ns0:c r="I11" s="8">
        <ns0:f>ROUND(I211*I331,2)</ns0:f>
        <ns0:v>0.00</ns0:v>
      </ns0:c>
      <ns0:c r="J11" s="8">
        <ns0:f>ROUND(J211*J331,2)</ns0:f>
        <ns0:v>0.00</ns0:v>
      </ns0:c>
      <ns0:c r="K11" s="8">
        <ns0:f>ROUND(K211*K331,2)</ns0:f>
        <ns0:v>0.00</ns0:v>
      </ns0:c>
      <ns0:c r="L11" s="8">
        <ns0:f>ROUND(L211*L331,2)</ns0:f>
        <ns0:v>0.00</ns0:v>
      </ns0:c>
      <ns0:c r="M11" s="8">
        <ns0:f>ROUND(M211*M331,2)</ns0:f>
        <ns0:v>0.00</ns0:v>
      </ns0:c>
      <ns0:c r="N11" s="8">
        <ns0:f>ROUND(N211*N331,2)</ns0:f>
        <ns0:v>0.00</ns0:v>
      </ns0:c>
      <ns0:c r="O11" s="8">
        <ns0:f>SUM(C11:N11)</ns0:f>
        <ns0:v>35636.92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1410.01</ns0:v>
      </ns0:c>
      <ns0:c r="D12" s="8">
        <ns0:f>ROUND(D212*D332,2)</ns0:f>
        <ns0:v>1382.67</ns0:v>
      </ns0:c>
      <ns0:c r="E12" s="8">
        <ns0:f>ROUND(E212*E332,2)</ns0:f>
        <ns0:v>1365.92</ns0:v>
      </ns0:c>
      <ns0:c r="F12" s="8">
        <ns0:f>ROUND(F212*F332,2)</ns0:f>
        <ns0:v>1487.84</ns0:v>
      </ns0:c>
      <ns0:c r="G12" s="8">
        <ns0:f>ROUND(G212*G332,2)</ns0:f>
        <ns0:v>1650.93</ns0:v>
      </ns0:c>
      <ns0:c r="H12" s="8">
        <ns0:f>ROUND(H212*H332,2)</ns0:f>
        <ns0:v>1540.80</ns0:v>
      </ns0:c>
      <ns0:c r="I12" s="8">
        <ns0:f>ROUND(I212*I332,2)</ns0:f>
        <ns0:v>0.00</ns0:v>
      </ns0:c>
      <ns0:c r="J12" s="8">
        <ns0:f>ROUND(J212*J332,2)</ns0:f>
        <ns0:v>0.00</ns0:v>
      </ns0:c>
      <ns0:c r="K12" s="8">
        <ns0:f>ROUND(K212*K332,2)</ns0:f>
        <ns0:v>0.00</ns0:v>
      </ns0:c>
      <ns0:c r="L12" s="8">
        <ns0:f>ROUND(L212*L332,2)</ns0:f>
        <ns0:v>0.00</ns0:v>
      </ns0:c>
      <ns0:c r="M12" s="8">
        <ns0:f>ROUND(M212*M332,2)</ns0:f>
        <ns0:v>0.00</ns0:v>
      </ns0:c>
      <ns0:c r="N12" s="8">
        <ns0:f>ROUND(N212*N332,2)</ns0:f>
        <ns0:v>0.00</ns0:v>
      </ns0:c>
      <ns0:c r="O12" s="8">
        <ns0:f>SUM(C12:N12)</ns0:f>
        <ns0:v>8838.17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1893.60</ns0:v>
      </ns0:c>
      <ns0:c r="D13" s="8">
        <ns0:f>ROUND(D213*D333,2)</ns0:f>
        <ns0:v>1869.47</ns0:v>
      </ns0:c>
      <ns0:c r="E13" s="8">
        <ns0:f>ROUND(E213*E333,2)</ns0:f>
        <ns0:v>1990.97</ns0:v>
      </ns0:c>
      <ns0:c r="F13" s="8">
        <ns0:f>ROUND(F213*F333,2)</ns0:f>
        <ns0:v>1610.11</ns0:v>
      </ns0:c>
      <ns0:c r="G13" s="8">
        <ns0:f>ROUND(G213*G333,2)</ns0:f>
        <ns0:v>1998.89</ns0:v>
      </ns0:c>
      <ns0:c r="H13" s="8">
        <ns0:f>ROUND(H213*H333,2)</ns0:f>
        <ns0:v>1774.26</ns0:v>
      </ns0:c>
      <ns0:c r="I13" s="8">
        <ns0:f>ROUND(I213*I333,2)</ns0:f>
        <ns0:v>0.00</ns0:v>
      </ns0:c>
      <ns0:c r="J13" s="8">
        <ns0:f>ROUND(J213*J333,2)</ns0:f>
        <ns0:v>0.00</ns0:v>
      </ns0:c>
      <ns0:c r="K13" s="8">
        <ns0:f>ROUND(K213*K333,2)</ns0:f>
        <ns0:v>0.00</ns0:v>
      </ns0:c>
      <ns0:c r="L13" s="8">
        <ns0:f>ROUND(L213*L333,2)</ns0:f>
        <ns0:v>0.00</ns0:v>
      </ns0:c>
      <ns0:c r="M13" s="8">
        <ns0:f>ROUND(M213*M333,2)</ns0:f>
        <ns0:v>0.00</ns0:v>
      </ns0:c>
      <ns0:c r="N13" s="8">
        <ns0:f>ROUND(N213*N333,2)</ns0:f>
        <ns0:v>0.00</ns0:v>
      </ns0:c>
      <ns0:c r="O13" s="8">
        <ns0:f>SUM(C13:N13)</ns0:f>
        <ns0:v>11137.30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2267.79</ns0:v>
      </ns0:c>
      <ns0:c r="D14" s="8">
        <ns0:f>ROUND(D214*D334,2)</ns0:f>
        <ns0:v>2166.36</ns0:v>
      </ns0:c>
      <ns0:c r="E14" s="8">
        <ns0:f>ROUND(E214*E334,2)</ns0:f>
        <ns0:v>2038.30</ns0:v>
      </ns0:c>
      <ns0:c r="F14" s="8">
        <ns0:f>ROUND(F214*F334,2)</ns0:f>
        <ns0:v>2427.00</ns0:v>
      </ns0:c>
      <ns0:c r="G14" s="8">
        <ns0:f>ROUND(G214*G334,2)</ns0:f>
        <ns0:v>2008.41</ns0:v>
      </ns0:c>
      <ns0:c r="H14" s="8">
        <ns0:f>ROUND(H214*H334,2)</ns0:f>
        <ns0:v>2422.60</ns0:v>
      </ns0:c>
      <ns0:c r="I14" s="8">
        <ns0:f>ROUND(I214*I334,2)</ns0:f>
        <ns0:v>0.00</ns0:v>
      </ns0:c>
      <ns0:c r="J14" s="8">
        <ns0:f>ROUND(J214*J334,2)</ns0:f>
        <ns0:v>0.00</ns0:v>
      </ns0:c>
      <ns0:c r="K14" s="8">
        <ns0:f>ROUND(K214*K334,2)</ns0:f>
        <ns0:v>0.00</ns0:v>
      </ns0:c>
      <ns0:c r="L14" s="8">
        <ns0:f>ROUND(L214*L334,2)</ns0:f>
        <ns0:v>0.00</ns0:v>
      </ns0:c>
      <ns0:c r="M14" s="8">
        <ns0:f>ROUND(M214*M334,2)</ns0:f>
        <ns0:v>0.00</ns0:v>
      </ns0:c>
      <ns0:c r="N14" s="8">
        <ns0:f>ROUND(N214*N334,2)</ns0:f>
        <ns0:v>0.00</ns0:v>
      </ns0:c>
      <ns0:c r="O14" s="8">
        <ns0:f>SUM(C14:N14)</ns0:f>
        <ns0:v>13330.46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1307.38</ns0:v>
      </ns0:c>
      <ns0:c r="D15" s="8">
        <ns0:f>ROUND(D215*D335,2)</ns0:f>
        <ns0:v>1218.97</ns0:v>
      </ns0:c>
      <ns0:c r="E15" s="8">
        <ns0:f>ROUND(E215*E335,2)</ns0:f>
        <ns0:v>1056.95</ns0:v>
      </ns0:c>
      <ns0:c r="F15" s="8">
        <ns0:f>ROUND(F215*F335,2)</ns0:f>
        <ns0:v>1201.82</ns0:v>
      </ns0:c>
      <ns0:c r="G15" s="8">
        <ns0:f>ROUND(G215*G335,2)</ns0:f>
        <ns0:v>1290.10</ns0:v>
      </ns0:c>
      <ns0:c r="H15" s="8">
        <ns0:f>ROUND(H215*H335,2)</ns0:f>
        <ns0:v>1072.21</ns0:v>
      </ns0:c>
      <ns0:c r="I15" s="8">
        <ns0:f>ROUND(I215*I335,2)</ns0:f>
        <ns0:v>0.00</ns0:v>
      </ns0:c>
      <ns0:c r="J15" s="8">
        <ns0:f>ROUND(J215*J335,2)</ns0:f>
        <ns0:v>0.00</ns0:v>
      </ns0:c>
      <ns0:c r="K15" s="8">
        <ns0:f>ROUND(K215*K335,2)</ns0:f>
        <ns0:v>0.00</ns0:v>
      </ns0:c>
      <ns0:c r="L15" s="8">
        <ns0:f>ROUND(L215*L335,2)</ns0:f>
        <ns0:v>0.00</ns0:v>
      </ns0:c>
      <ns0:c r="M15" s="8">
        <ns0:f>ROUND(M215*M335,2)</ns0:f>
        <ns0:v>0.00</ns0:v>
      </ns0:c>
      <ns0:c r="N15" s="8">
        <ns0:f>ROUND(N215*N335,2)</ns0:f>
        <ns0:v>0.00</ns0:v>
      </ns0:c>
      <ns0:c r="O15" s="8">
        <ns0:f>SUM(C15:N15)</ns0:f>
        <ns0:v>7147.43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2357.25</ns0:v>
      </ns0:c>
      <ns0:c r="D16" s="8">
        <ns0:f>ROUND(D216*D336,2)</ns0:f>
        <ns0:v>2313.74</ns0:v>
      </ns0:c>
      <ns0:c r="E16" s="8">
        <ns0:f>ROUND(E216*E336,2)</ns0:f>
        <ns0:v>2375.23</ns0:v>
      </ns0:c>
      <ns0:c r="F16" s="8">
        <ns0:f>ROUND(F216*F336,2)</ns0:f>
        <ns0:v>2699.51</ns0:v>
      </ns0:c>
      <ns0:c r="G16" s="8">
        <ns0:f>ROUND(G216*G336,2)</ns0:f>
        <ns0:v>2680.49</ns0:v>
      </ns0:c>
      <ns0:c r="H16" s="8">
        <ns0:f>ROUND(H216*H336,2)</ns0:f>
        <ns0:v>2359.01</ns0:v>
      </ns0:c>
      <ns0:c r="I16" s="8">
        <ns0:f>ROUND(I216*I336,2)</ns0:f>
        <ns0:v>0.00</ns0:v>
      </ns0:c>
      <ns0:c r="J16" s="8">
        <ns0:f>ROUND(J216*J336,2)</ns0:f>
        <ns0:v>0.00</ns0:v>
      </ns0:c>
      <ns0:c r="K16" s="8">
        <ns0:f>ROUND(K216*K336,2)</ns0:f>
        <ns0:v>0.00</ns0:v>
      </ns0:c>
      <ns0:c r="L16" s="8">
        <ns0:f>ROUND(L216*L336,2)</ns0:f>
        <ns0:v>0.00</ns0:v>
      </ns0:c>
      <ns0:c r="M16" s="8">
        <ns0:f>ROUND(M216*M336,2)</ns0:f>
        <ns0:v>0.00</ns0:v>
      </ns0:c>
      <ns0:c r="N16" s="8">
        <ns0:f>ROUND(N216*N336,2)</ns0:f>
        <ns0:v>0.00</ns0:v>
      </ns0:c>
      <ns0:c r="O16" s="8">
        <ns0:f>SUM(C16:N16)</ns0:f>
        <ns0:v>14785.23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1995.41</ns0:v>
      </ns0:c>
      <ns0:c r="D17" s="8">
        <ns0:f>ROUND(D217*D337,2)</ns0:f>
        <ns0:v>1773.80</ns0:v>
      </ns0:c>
      <ns0:c r="E17" s="8">
        <ns0:f>ROUND(E217*E337,2)</ns0:f>
        <ns0:v>2092.60</ns0:v>
      </ns0:c>
      <ns0:c r="F17" s="8">
        <ns0:f>ROUND(F217*F337,2)</ns0:f>
        <ns0:v>1792.21</ns0:v>
      </ns0:c>
      <ns0:c r="G17" s="8">
        <ns0:f>ROUND(G217*G337,2)</ns0:f>
        <ns0:v>2057.99</ns0:v>
      </ns0:c>
      <ns0:c r="H17" s="8">
        <ns0:f>ROUND(H217*H337,2)</ns0:f>
        <ns0:v>2068.80</ns0:v>
      </ns0:c>
      <ns0:c r="I17" s="8">
        <ns0:f>ROUND(I217*I337,2)</ns0:f>
        <ns0:v>0.00</ns0:v>
      </ns0:c>
      <ns0:c r="J17" s="8">
        <ns0:f>ROUND(J217*J337,2)</ns0:f>
        <ns0:v>0.00</ns0:v>
      </ns0:c>
      <ns0:c r="K17" s="8">
        <ns0:f>ROUND(K217*K337,2)</ns0:f>
        <ns0:v>0.00</ns0:v>
      </ns0:c>
      <ns0:c r="L17" s="8">
        <ns0:f>ROUND(L217*L337,2)</ns0:f>
        <ns0:v>0.00</ns0:v>
      </ns0:c>
      <ns0:c r="M17" s="8">
        <ns0:f>ROUND(M217*M337,2)</ns0:f>
        <ns0:v>0.00</ns0:v>
      </ns0:c>
      <ns0:c r="N17" s="8">
        <ns0:f>ROUND(N217*N337,2)</ns0:f>
        <ns0:v>0.00</ns0:v>
      </ns0:c>
      <ns0:c r="O17" s="8">
        <ns0:f>SUM(C17:N17)</ns0:f>
        <ns0:v>11780.81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928.74</ns0:v>
      </ns0:c>
      <ns0:c r="D18" s="8">
        <ns0:f>ROUND(D218*D338,2)</ns0:f>
        <ns0:v>812.61</ns0:v>
      </ns0:c>
      <ns0:c r="E18" s="8">
        <ns0:f>ROUND(E218*E338,2)</ns0:f>
        <ns0:v>880.85</ns0:v>
      </ns0:c>
      <ns0:c r="F18" s="8">
        <ns0:f>ROUND(F218*F338,2)</ns0:f>
        <ns0:v>810.16</ns0:v>
      </ns0:c>
      <ns0:c r="G18" s="8">
        <ns0:f>ROUND(G218*G338,2)</ns0:f>
        <ns0:v>955.27</ns0:v>
      </ns0:c>
      <ns0:c r="H18" s="8">
        <ns0:f>ROUND(H218*H338,2)</ns0:f>
        <ns0:v>869.52</ns0:v>
      </ns0:c>
      <ns0:c r="I18" s="8">
        <ns0:f>ROUND(I218*I338,2)</ns0:f>
        <ns0:v>0.00</ns0:v>
      </ns0:c>
      <ns0:c r="J18" s="8">
        <ns0:f>ROUND(J218*J338,2)</ns0:f>
        <ns0:v>0.00</ns0:v>
      </ns0:c>
      <ns0:c r="K18" s="8">
        <ns0:f>ROUND(K218*K338,2)</ns0:f>
        <ns0:v>0.00</ns0:v>
      </ns0:c>
      <ns0:c r="L18" s="8">
        <ns0:f>ROUND(L218*L338,2)</ns0:f>
        <ns0:v>0.00</ns0:v>
      </ns0:c>
      <ns0:c r="M18" s="8">
        <ns0:f>ROUND(M218*M338,2)</ns0:f>
        <ns0:v>0.00</ns0:v>
      </ns0:c>
      <ns0:c r="N18" s="8">
        <ns0:f>ROUND(N218*N338,2)</ns0:f>
        <ns0:v>0.00</ns0:v>
      </ns0:c>
      <ns0:c r="O18" s="8">
        <ns0:f>SUM(C18:N18)</ns0:f>
        <ns0:v>5257.15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486.90</ns0:v>
      </ns0:c>
      <ns0:c r="D19" s="8">
        <ns0:f>ROUND(D219*D339,2)</ns0:f>
        <ns0:v>460.44</ns0:v>
      </ns0:c>
      <ns0:c r="E19" s="8">
        <ns0:f>ROUND(E219*E339,2)</ns0:f>
        <ns0:v>505.15</ns0:v>
      </ns0:c>
      <ns0:c r="F19" s="8">
        <ns0:f>ROUND(F219*F339,2)</ns0:f>
        <ns0:v>543.15</ns0:v>
      </ns0:c>
      <ns0:c r="G19" s="8">
        <ns0:f>ROUND(G219*G339,2)</ns0:f>
        <ns0:v>505.58</ns0:v>
      </ns0:c>
      <ns0:c r="H19" s="8">
        <ns0:f>ROUND(H219*H339,2)</ns0:f>
        <ns0:v>510.55</ns0:v>
      </ns0:c>
      <ns0:c r="I19" s="8">
        <ns0:f>ROUND(I219*I339,2)</ns0:f>
        <ns0:v>0.00</ns0:v>
      </ns0:c>
      <ns0:c r="J19" s="8">
        <ns0:f>ROUND(J219*J339,2)</ns0:f>
        <ns0:v>0.00</ns0:v>
      </ns0:c>
      <ns0:c r="K19" s="8">
        <ns0:f>ROUND(K219*K339,2)</ns0:f>
        <ns0:v>0.00</ns0:v>
      </ns0:c>
      <ns0:c r="L19" s="8">
        <ns0:f>ROUND(L219*L339,2)</ns0:f>
        <ns0:v>0.00</ns0:v>
      </ns0:c>
      <ns0:c r="M19" s="8">
        <ns0:f>ROUND(M219*M339,2)</ns0:f>
        <ns0:v>0.00</ns0:v>
      </ns0:c>
      <ns0:c r="N19" s="8">
        <ns0:f>ROUND(N219*N339,2)</ns0:f>
        <ns0:v>0.00</ns0:v>
      </ns0:c>
      <ns0:c r="O19" s="8">
        <ns0:f>SUM(C19:N19)</ns0:f>
        <ns0:v>3011.77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700.00</ns0:v>
      </ns0:c>
      <ns0:c r="D20" s="8">
        <ns0:f>ROUND('摊销明细'!D33/3,2)</ns0:f>
        <ns0:v>700.00</ns0:v>
      </ns0:c>
      <ns0:c r="E20" s="8">
        <ns0:f>ROUND('摊销明细'!E33/3,2)</ns0:f>
        <ns0:v>700.00</ns0:v>
      </ns0:c>
      <ns0:c r="F20" s="8">
        <ns0:f>ROUND('摊销明细'!F33/3,2)</ns0:f>
        <ns0:v>700.00</ns0:v>
      </ns0:c>
      <ns0:c r="G20" s="8">
        <ns0:f>ROUND('摊销明细'!G33/3,2)</ns0:f>
        <ns0:v>700.00</ns0:v>
      </ns0:c>
      <ns0:c r="H20" s="8">
        <ns0:f>ROUND('摊销明细'!H33/3,2)</ns0:f>
        <ns0:v>700.00</ns0:v>
      </ns0:c>
      <ns0:c r="I20" s="8">
        <ns0:f>ROUND('摊销明细'!I33/3,2)</ns0:f>
        <ns0:v>700.00</ns0:v>
      </ns0:c>
      <ns0:c r="J20" s="8">
        <ns0:f>ROUND('摊销明细'!J33/3,2)</ns0:f>
        <ns0:v>700.00</ns0:v>
      </ns0:c>
      <ns0:c r="K20" s="8">
        <ns0:f>ROUND('摊销明细'!K33/3,2)</ns0:f>
        <ns0:v>700.00</ns0:v>
      </ns0:c>
      <ns0:c r="L20" s="8">
        <ns0:f>ROUND('摊销明细'!L33/3,2)</ns0:f>
        <ns0:v>700.00</ns0:v>
      </ns0:c>
      <ns0:c r="M20" s="8">
        <ns0:f>ROUND('摊销明细'!M33/3,2)</ns0:f>
        <ns0:v>700.00</ns0:v>
      </ns0:c>
      <ns0:c r="N20" s="8">
        <ns0:f>ROUND('摊销明细'!N33/3,2)</ns0:f>
        <ns0:v>700.00</ns0:v>
      </ns0:c>
      <ns0:c r="O20" s="8">
        <ns0:f>SUM(C20:N20)</ns0:f>
        <ns0:v>8400.00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2544.99</ns0:v>
      </ns0:c>
      <ns0:c r="D21" s="8">
        <ns0:f>ROUND(D221*D341,2)</ns0:f>
        <ns0:v>2622.56</ns0:v>
      </ns0:c>
      <ns0:c r="E21" s="8">
        <ns0:f>ROUND(E221*E341,2)</ns0:f>
        <ns0:v>2540.19</ns0:v>
      </ns0:c>
      <ns0:c r="F21" s="8">
        <ns0:f>ROUND(F221*F341,2)</ns0:f>
        <ns0:v>2442.18</ns0:v>
      </ns0:c>
      <ns0:c r="G21" s="8">
        <ns0:f>ROUND(G221*G341,2)</ns0:f>
        <ns0:v>2493.65</ns0:v>
      </ns0:c>
      <ns0:c r="H21" s="8">
        <ns0:f>ROUND(H221*H341,2)</ns0:f>
        <ns0:v>2678.43</ns0:v>
      </ns0:c>
      <ns0:c r="I21" s="8">
        <ns0:f>ROUND(I221*I341,2)</ns0:f>
        <ns0:v>0.00</ns0:v>
      </ns0:c>
      <ns0:c r="J21" s="8">
        <ns0:f>ROUND(J221*J341,2)</ns0:f>
        <ns0:v>0.00</ns0:v>
      </ns0:c>
      <ns0:c r="K21" s="8">
        <ns0:f>ROUND(K221*K341,2)</ns0:f>
        <ns0:v>0.00</ns0:v>
      </ns0:c>
      <ns0:c r="L21" s="8">
        <ns0:f>ROUND(L221*L341,2)</ns0:f>
        <ns0:v>0.00</ns0:v>
      </ns0:c>
      <ns0:c r="M21" s="8">
        <ns0:f>ROUND(M221*M341,2)</ns0:f>
        <ns0:v>0.00</ns0:v>
      </ns0:c>
      <ns0:c r="N21" s="8">
        <ns0:f>ROUND(N221*N341,2)</ns0:f>
        <ns0:v>0.00</ns0:v>
      </ns0:c>
      <ns0:c r="O21" s="8">
        <ns0:f>SUM(C21:N21)</ns0:f>
        <ns0:v>15322.00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1783.86</ns0:v>
      </ns0:c>
      <ns0:c r="D22" s="8">
        <ns0:f>ROUND(D222*D342,2)</ns0:f>
        <ns0:v>1908.29</ns0:v>
      </ns0:c>
      <ns0:c r="E22" s="8">
        <ns0:f>ROUND(E222*E342,2)</ns0:f>
        <ns0:v>1882.41</ns0:v>
      </ns0:c>
      <ns0:c r="F22" s="8">
        <ns0:f>ROUND(F222*F342,2)</ns0:f>
        <ns0:v>1989.70</ns0:v>
      </ns0:c>
      <ns0:c r="G22" s="8">
        <ns0:f>ROUND(G222*G342,2)</ns0:f>
        <ns0:v>1726.12</ns0:v>
      </ns0:c>
      <ns0:c r="H22" s="8">
        <ns0:f>ROUND(H222*H342,2)</ns0:f>
        <ns0:v>1710.82</ns0:v>
      </ns0:c>
      <ns0:c r="I22" s="8">
        <ns0:f>ROUND(I222*I342,2)</ns0:f>
        <ns0:v>0.00</ns0:v>
      </ns0:c>
      <ns0:c r="J22" s="8">
        <ns0:f>ROUND(J222*J342,2)</ns0:f>
        <ns0:v>0.00</ns0:v>
      </ns0:c>
      <ns0:c r="K22" s="8">
        <ns0:f>ROUND(K222*K342,2)</ns0:f>
        <ns0:v>0.00</ns0:v>
      </ns0:c>
      <ns0:c r="L22" s="8">
        <ns0:f>ROUND(L222*L342,2)</ns0:f>
        <ns0:v>0.00</ns0:v>
      </ns0:c>
      <ns0:c r="M22" s="8">
        <ns0:f>ROUND(M222*M342,2)</ns0:f>
        <ns0:v>0.00</ns0:v>
      </ns0:c>
      <ns0:c r="N22" s="8">
        <ns0:f>ROUND(N222*N342,2)</ns0:f>
        <ns0:v>0.00</ns0:v>
      </ns0:c>
      <ns0:c r="O22" s="8">
        <ns0:f>SUM(C22:N22)</ns0:f>
        <ns0:v>11001.20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951.57</ns0:v>
      </ns0:c>
      <ns0:c r="D23" s="8">
        <ns0:f>ROUND(D223*D343,2)</ns0:f>
        <ns0:v>992.96</ns0:v>
      </ns0:c>
      <ns0:c r="E23" s="8">
        <ns0:f>ROUND(E223*E343,2)</ns0:f>
        <ns0:v>993.45</ns0:v>
      </ns0:c>
      <ns0:c r="F23" s="8">
        <ns0:f>ROUND(F223*F343,2)</ns0:f>
        <ns0:v>847.15</ns0:v>
      </ns0:c>
      <ns0:c r="G23" s="8">
        <ns0:f>ROUND(G223*G343,2)</ns0:f>
        <ns0:v>865.20</ns0:v>
      </ns0:c>
      <ns0:c r="H23" s="8">
        <ns0:f>ROUND(H223*H343,2)</ns0:f>
        <ns0:v>826.95</ns0:v>
      </ns0:c>
      <ns0:c r="I23" s="8">
        <ns0:f>ROUND(I223*I343,2)</ns0:f>
        <ns0:v>0.00</ns0:v>
      </ns0:c>
      <ns0:c r="J23" s="8">
        <ns0:f>ROUND(J223*J343,2)</ns0:f>
        <ns0:v>0.00</ns0:v>
      </ns0:c>
      <ns0:c r="K23" s="8">
        <ns0:f>ROUND(K223*K343,2)</ns0:f>
        <ns0:v>0.00</ns0:v>
      </ns0:c>
      <ns0:c r="L23" s="8">
        <ns0:f>ROUND(L223*L343,2)</ns0:f>
        <ns0:v>0.00</ns0:v>
      </ns0:c>
      <ns0:c r="M23" s="8">
        <ns0:f>ROUND(M223*M343,2)</ns0:f>
        <ns0:v>0.00</ns0:v>
      </ns0:c>
      <ns0:c r="N23" s="8">
        <ns0:f>ROUND(N223*N343,2)</ns0:f>
        <ns0:v>0.00</ns0:v>
      </ns0:c>
      <ns0:c r="O23" s="8">
        <ns0:f>SUM(C23:N23)</ns0:f>
        <ns0:v>5477.28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657.64</ns0:v>
      </ns0:c>
      <ns0:c r="D24" s="8">
        <ns0:f>ROUND(D224*D344,2)</ns0:f>
        <ns0:v>666.20</ns0:v>
      </ns0:c>
      <ns0:c r="E24" s="8">
        <ns0:f>ROUND(E224*E344,2)</ns0:f>
        <ns0:v>748.85</ns0:v>
      </ns0:c>
      <ns0:c r="F24" s="8">
        <ns0:f>ROUND(F224*F344,2)</ns0:f>
        <ns0:v>769.51</ns0:v>
      </ns0:c>
      <ns0:c r="G24" s="8">
        <ns0:f>ROUND(G224*G344,2)</ns0:f>
        <ns0:v>653.34</ns0:v>
      </ns0:c>
      <ns0:c r="H24" s="8">
        <ns0:f>ROUND(H224*H344,2)</ns0:f>
        <ns0:v>718.62</ns0:v>
      </ns0:c>
      <ns0:c r="I24" s="8">
        <ns0:f>ROUND(I224*I344,2)</ns0:f>
        <ns0:v>0.00</ns0:v>
      </ns0:c>
      <ns0:c r="J24" s="8">
        <ns0:f>ROUND(J224*J344,2)</ns0:f>
        <ns0:v>0.00</ns0:v>
      </ns0:c>
      <ns0:c r="K24" s="8">
        <ns0:f>ROUND(K224*K344,2)</ns0:f>
        <ns0:v>0.00</ns0:v>
      </ns0:c>
      <ns0:c r="L24" s="8">
        <ns0:f>ROUND(L224*L344,2)</ns0:f>
        <ns0:v>0.00</ns0:v>
      </ns0:c>
      <ns0:c r="M24" s="8">
        <ns0:f>ROUND(M224*M344,2)</ns0:f>
        <ns0:v>0.00</ns0:v>
      </ns0:c>
      <ns0:c r="N24" s="8">
        <ns0:f>ROUND(N224*N344,2)</ns0:f>
        <ns0:v>0.00</ns0:v>
      </ns0:c>
      <ns0:c r="O24" s="8">
        <ns0:f>SUM(C24:N24)</ns0:f>
        <ns0:v>4214.16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1482.71</ns0:v>
      </ns0:c>
      <ns0:c r="D25" s="8">
        <ns0:f>ROUND(D225*D345,2)</ns0:f>
        <ns0:v>1738.12</ns0:v>
      </ns0:c>
      <ns0:c r="E25" s="8">
        <ns0:f>ROUND(E225*E345,2)</ns0:f>
        <ns0:v>1676.18</ns0:v>
      </ns0:c>
      <ns0:c r="F25" s="8">
        <ns0:f>ROUND(F225*F345,2)</ns0:f>
        <ns0:v>1548.66</ns0:v>
      </ns0:c>
      <ns0:c r="G25" s="8">
        <ns0:f>ROUND(G225*G345,2)</ns0:f>
        <ns0:v>1622.36</ns0:v>
      </ns0:c>
      <ns0:c r="H25" s="8">
        <ns0:f>ROUND(H225*H345,2)</ns0:f>
        <ns0:v>1642.37</ns0:v>
      </ns0:c>
      <ns0:c r="I25" s="8">
        <ns0:f>ROUND(I225*I345,2)</ns0:f>
        <ns0:v>0.00</ns0:v>
      </ns0:c>
      <ns0:c r="J25" s="8">
        <ns0:f>ROUND(J225*J345,2)</ns0:f>
        <ns0:v>0.00</ns0:v>
      </ns0:c>
      <ns0:c r="K25" s="8">
        <ns0:f>ROUND(K225*K345,2)</ns0:f>
        <ns0:v>0.00</ns0:v>
      </ns0:c>
      <ns0:c r="L25" s="8">
        <ns0:f>ROUND(L225*L345,2)</ns0:f>
        <ns0:v>0.00</ns0:v>
      </ns0:c>
      <ns0:c r="M25" s="8">
        <ns0:f>ROUND(M225*M345,2)</ns0:f>
        <ns0:v>0.00</ns0:v>
      </ns0:c>
      <ns0:c r="N25" s="8">
        <ns0:f>ROUND(N225*N345,2)</ns0:f>
        <ns0:v>0.00</ns0:v>
      </ns0:c>
      <ns0:c r="O25" s="8">
        <ns0:f>SUM(C25:N25)</ns0:f>
        <ns0:v>9710.40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1118.34</ns0:v>
      </ns0:c>
      <ns0:c r="D26" s="8">
        <ns0:f>ROUND(D226*D346,2)</ns0:f>
        <ns0:v>1152.08</ns0:v>
      </ns0:c>
      <ns0:c r="E26" s="8">
        <ns0:f>ROUND(E226*E346,2)</ns0:f>
        <ns0:v>1167.25</ns0:v>
      </ns0:c>
      <ns0:c r="F26" s="8">
        <ns0:f>ROUND(F226*F346,2)</ns0:f>
        <ns0:v>1181.84</ns0:v>
      </ns0:c>
      <ns0:c r="G26" s="8">
        <ns0:f>ROUND(G226*G346,2)</ns0:f>
        <ns0:v>1171.66</ns0:v>
      </ns0:c>
      <ns0:c r="H26" s="8">
        <ns0:f>ROUND(H226*H346,2)</ns0:f>
        <ns0:v>1195.07</ns0:v>
      </ns0:c>
      <ns0:c r="I26" s="8">
        <ns0:f>ROUND(I226*I346,2)</ns0:f>
        <ns0:v>0.00</ns0:v>
      </ns0:c>
      <ns0:c r="J26" s="8">
        <ns0:f>ROUND(J226*J346,2)</ns0:f>
        <ns0:v>0.00</ns0:v>
      </ns0:c>
      <ns0:c r="K26" s="8">
        <ns0:f>ROUND(K226*K346,2)</ns0:f>
        <ns0:v>0.00</ns0:v>
      </ns0:c>
      <ns0:c r="L26" s="8">
        <ns0:f>ROUND(L226*L346,2)</ns0:f>
        <ns0:v>0.00</ns0:v>
      </ns0:c>
      <ns0:c r="M26" s="8">
        <ns0:f>ROUND(M226*M346,2)</ns0:f>
        <ns0:v>0.00</ns0:v>
      </ns0:c>
      <ns0:c r="N26" s="8">
        <ns0:f>ROUND(N226*N346,2)</ns0:f>
        <ns0:v>0.00</ns0:v>
      </ns0:c>
      <ns0:c r="O26" s="8">
        <ns0:f>SUM(C26:N26)</ns0:f>
        <ns0:v>6986.24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1357.74</ns0:v>
      </ns0:c>
      <ns0:c r="D27" s="8">
        <ns0:f>ROUND(D227*D347,2)</ns0:f>
        <ns0:v>1313.64</ns0:v>
      </ns0:c>
      <ns0:c r="E27" s="8">
        <ns0:f>ROUND(E227*E347,2)</ns0:f>
        <ns0:v>1151.55</ns0:v>
      </ns0:c>
      <ns0:c r="F27" s="8">
        <ns0:f>ROUND(F227*F347,2)</ns0:f>
        <ns0:v>1293.76</ns0:v>
      </ns0:c>
      <ns0:c r="G27" s="8">
        <ns0:f>ROUND(G227*G347,2)</ns0:f>
        <ns0:v>1368.65</ns0:v>
      </ns0:c>
      <ns0:c r="H27" s="8">
        <ns0:f>ROUND(H227*H347,2)</ns0:f>
        <ns0:v>1288.44</ns0:v>
      </ns0:c>
      <ns0:c r="I27" s="8">
        <ns0:f>ROUND(I227*I347,2)</ns0:f>
        <ns0:v>0.00</ns0:v>
      </ns0:c>
      <ns0:c r="J27" s="8">
        <ns0:f>ROUND(J227*J347,2)</ns0:f>
        <ns0:v>0.00</ns0:v>
      </ns0:c>
      <ns0:c r="K27" s="8">
        <ns0:f>ROUND(K227*K347,2)</ns0:f>
        <ns0:v>0.00</ns0:v>
      </ns0:c>
      <ns0:c r="L27" s="8">
        <ns0:f>ROUND(L227*L347,2)</ns0:f>
        <ns0:v>0.00</ns0:v>
      </ns0:c>
      <ns0:c r="M27" s="8">
        <ns0:f>ROUND(M227*M347,2)</ns0:f>
        <ns0:v>0.00</ns0:v>
      </ns0:c>
      <ns0:c r="N27" s="8">
        <ns0:f>ROUND(N227*N347,2)</ns0:f>
        <ns0:v>0.00</ns0:v>
      </ns0:c>
      <ns0:c r="O27" s="8">
        <ns0:f>SUM(C27:N27)</ns0:f>
        <ns0:v>7773.78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404.21</ns0:v>
      </ns0:c>
      <ns0:c r="D28" s="8">
        <ns0:f>ROUND(D228*D348,2)</ns0:f>
        <ns0:v>501.24</ns0:v>
      </ns0:c>
      <ns0:c r="E28" s="8">
        <ns0:f>ROUND(E228*E348,2)</ns0:f>
        <ns0:v>492.87</ns0:v>
      </ns0:c>
      <ns0:c r="F28" s="8">
        <ns0:f>ROUND(F228*F348,2)</ns0:f>
        <ns0:v>497.68</ns0:v>
      </ns0:c>
      <ns0:c r="G28" s="8">
        <ns0:f>ROUND(G228*G348,2)</ns0:f>
        <ns0:v>408.63</ns0:v>
      </ns0:c>
      <ns0:c r="H28" s="8">
        <ns0:f>ROUND(H228*H348,2)</ns0:f>
        <ns0:v>485.06</ns0:v>
      </ns0:c>
      <ns0:c r="I28" s="8">
        <ns0:f>ROUND(I228*I348,2)</ns0:f>
        <ns0:v>0.00</ns0:v>
      </ns0:c>
      <ns0:c r="J28" s="8">
        <ns0:f>ROUND(J228*J348,2)</ns0:f>
        <ns0:v>0.00</ns0:v>
      </ns0:c>
      <ns0:c r="K28" s="8">
        <ns0:f>ROUND(K228*K348,2)</ns0:f>
        <ns0:v>0.00</ns0:v>
      </ns0:c>
      <ns0:c r="L28" s="8">
        <ns0:f>ROUND(L228*L348,2)</ns0:f>
        <ns0:v>0.00</ns0:v>
      </ns0:c>
      <ns0:c r="M28" s="8">
        <ns0:f>ROUND(M228*M348,2)</ns0:f>
        <ns0:v>0.00</ns0:v>
      </ns0:c>
      <ns0:c r="N28" s="8">
        <ns0:f>ROUND(N228*N348,2)</ns0:f>
        <ns0:v>0.00</ns0:v>
      </ns0:c>
      <ns0:c r="O28" s="8">
        <ns0:f>SUM(C28:N28)</ns0:f>
        <ns0:v>2789.69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0.00</ns0:v>
      </ns0:c>
      <ns0:c r="D30" s="9">
        <ns0:f>ROUND(D230*D350,2)</ns0:f>
        <ns0:v>0.00</ns0:v>
      </ns0:c>
      <ns0:c r="E30" s="9">
        <ns0:f>ROUND(E230*E350,2)</ns0:f>
        <ns0:v>0.00</ns0:v>
      </ns0:c>
      <ns0:c r="F30" s="9">
        <ns0:f>ROUND(F230*F350,2)</ns0:f>
        <ns0:v>0.00</ns0:v>
      </ns0:c>
      <ns0:c r="G30" s="9">
        <ns0:f>ROUND(G230*G350,2)</ns0:f>
        <ns0:v>0.00</ns0:v>
      </ns0:c>
      <ns0:c r="H30" s="9">
        <ns0:f>ROUND(H230*H350,2)</ns0:f>
        <ns0:v>0.00</ns0:v>
      </ns0:c>
      <ns0:c r="I30" s="9">
        <ns0:f>ROUND(I230*I350,2)</ns0:f>
        <ns0:v>0.00</ns0:v>
      </ns0:c>
      <ns0:c r="J30" s="9">
        <ns0:f>ROUND(J230*J350,2)</ns0:f>
        <ns0:v>0.00</ns0:v>
      </ns0:c>
      <ns0:c r="K30" s="9">
        <ns0:f>ROUND(K230*K350,2)</ns0:f>
        <ns0:v>0.00</ns0:v>
      </ns0:c>
      <ns0:c r="L30" s="9">
        <ns0:f>ROUND(L230*L350,2)</ns0:f>
        <ns0:v>0.00</ns0:v>
      </ns0:c>
      <ns0:c r="M30" s="9">
        <ns0:f>ROUND(M230*M350,2)</ns0:f>
        <ns0:v>0.00</ns0:v>
      </ns0:c>
      <ns0:c r="N30" s="9">
        <ns0:f>ROUND(N230*N350,2)</ns0:f>
        <ns0:v>0.00</ns0:v>
      </ns0:c>
      <ns0:c r="O30" s="9">
        <ns0:f>SUM(C30:N30)</ns0:f>
        <ns0:v>0.00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162.60</ns0:v>
      </ns0:c>
      <ns0:c r="D31" s="8">
        <ns0:f>ROUND(D231*D351,2)</ns0:f>
        <ns0:v>132.16</ns0:v>
      </ns0:c>
      <ns0:c r="E31" s="8">
        <ns0:f>ROUND(E231*E351,2)</ns0:f>
        <ns0:v>163.28</ns0:v>
      </ns0:c>
      <ns0:c r="F31" s="8">
        <ns0:f>ROUND(F231*F351,2)</ns0:f>
        <ns0:v>135.21</ns0:v>
      </ns0:c>
      <ns0:c r="G31" s="8">
        <ns0:f>ROUND(G231*G351,2)</ns0:f>
        <ns0:v>162.38</ns0:v>
      </ns0:c>
      <ns0:c r="H31" s="8">
        <ns0:f>ROUND(H231*H351,2)</ns0:f>
        <ns0:v>162.02</ns0:v>
      </ns0:c>
      <ns0:c r="I31" s="8">
        <ns0:f>ROUND(I231*I351,2)</ns0:f>
        <ns0:v>0.00</ns0:v>
      </ns0:c>
      <ns0:c r="J31" s="8">
        <ns0:f>ROUND(J231*J351,2)</ns0:f>
        <ns0:v>0.00</ns0:v>
      </ns0:c>
      <ns0:c r="K31" s="8">
        <ns0:f>ROUND(K231*K351,2)</ns0:f>
        <ns0:v>0.00</ns0:v>
      </ns0:c>
      <ns0:c r="L31" s="8">
        <ns0:f>ROUND(L231*L351,2)</ns0:f>
        <ns0:v>0.00</ns0:v>
      </ns0:c>
      <ns0:c r="M31" s="8">
        <ns0:f>ROUND(M231*M351,2)</ns0:f>
        <ns0:v>0.00</ns0:v>
      </ns0:c>
      <ns0:c r="N31" s="8">
        <ns0:f>ROUND(N231*N351,2)</ns0:f>
        <ns0:v>0.00</ns0:v>
      </ns0:c>
      <ns0:c r="O31" s="8">
        <ns0:f>SUM(C31:N31)</ns0:f>
        <ns0:v>917.65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299.20</ns0:v>
      </ns0:c>
      <ns0:c r="D32" s="8">
        <ns0:f>ROUND(D232*D352,2)</ns0:f>
        <ns0:v>310.01</ns0:v>
      </ns0:c>
      <ns0:c r="E32" s="8">
        <ns0:f>ROUND(E232*E352,2)</ns0:f>
        <ns0:v>301.42</ns0:v>
      </ns0:c>
      <ns0:c r="F32" s="8">
        <ns0:f>ROUND(F232*F352,2)</ns0:f>
        <ns0:v>291.68</ns0:v>
      </ns0:c>
      <ns0:c r="G32" s="8">
        <ns0:f>ROUND(G232*G352,2)</ns0:f>
        <ns0:v>304.13</ns0:v>
      </ns0:c>
      <ns0:c r="H32" s="8">
        <ns0:f>ROUND(H232*H352,2)</ns0:f>
        <ns0:v>265.27</ns0:v>
      </ns0:c>
      <ns0:c r="I32" s="8">
        <ns0:f>ROUND(I232*I352,2)</ns0:f>
        <ns0:v>0.00</ns0:v>
      </ns0:c>
      <ns0:c r="J32" s="8">
        <ns0:f>ROUND(J232*J352,2)</ns0:f>
        <ns0:v>0.00</ns0:v>
      </ns0:c>
      <ns0:c r="K32" s="8">
        <ns0:f>ROUND(K232*K352,2)</ns0:f>
        <ns0:v>0.00</ns0:v>
      </ns0:c>
      <ns0:c r="L32" s="8">
        <ns0:f>ROUND(L232*L352,2)</ns0:f>
        <ns0:v>0.00</ns0:v>
      </ns0:c>
      <ns0:c r="M32" s="8">
        <ns0:f>ROUND(M232*M352,2)</ns0:f>
        <ns0:v>0.00</ns0:v>
      </ns0:c>
      <ns0:c r="N32" s="8">
        <ns0:f>ROUND(N232*N352,2)</ns0:f>
        <ns0:v>0.00</ns0:v>
      </ns0:c>
      <ns0:c r="O32" s="8">
        <ns0:f>SUM(C32:N32)</ns0:f>
        <ns0:v>1771.71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670.87</ns0:v>
      </ns0:c>
      <ns0:c r="D33" s="8">
        <ns0:f>ROUND(D233*D353,2)</ns0:f>
        <ns0:v>637.03</ns0:v>
      </ns0:c>
      <ns0:c r="E33" s="8">
        <ns0:f>ROUND(E233*E353,2)</ns0:f>
        <ns0:v>600.47</ns0:v>
      </ns0:c>
      <ns0:c r="F33" s="8">
        <ns0:f>ROUND(F233*F353,2)</ns0:f>
        <ns0:v>559.01</ns0:v>
      </ns0:c>
      <ns0:c r="G33" s="8">
        <ns0:f>ROUND(G233*G353,2)</ns0:f>
        <ns0:v>649.81</ns0:v>
      </ns0:c>
      <ns0:c r="H33" s="8">
        <ns0:f>ROUND(H233*H353,2)</ns0:f>
        <ns0:v>613.70</ns0:v>
      </ns0:c>
      <ns0:c r="I33" s="8">
        <ns0:f>ROUND(I233*I353,2)</ns0:f>
        <ns0:v>0.00</ns0:v>
      </ns0:c>
      <ns0:c r="J33" s="8">
        <ns0:f>ROUND(J233*J353,2)</ns0:f>
        <ns0:v>0.00</ns0:v>
      </ns0:c>
      <ns0:c r="K33" s="8">
        <ns0:f>ROUND(K233*K353,2)</ns0:f>
        <ns0:v>0.00</ns0:v>
      </ns0:c>
      <ns0:c r="L33" s="8">
        <ns0:f>ROUND(L233*L353,2)</ns0:f>
        <ns0:v>0.00</ns0:v>
      </ns0:c>
      <ns0:c r="M33" s="8">
        <ns0:f>ROUND(M233*M353,2)</ns0:f>
        <ns0:v>0.00</ns0:v>
      </ns0:c>
      <ns0:c r="N33" s="8">
        <ns0:f>ROUND(N233*N353,2)</ns0:f>
        <ns0:v>0.00</ns0:v>
      </ns0:c>
      <ns0:c r="O33" s="8">
        <ns0:f>SUM(C33:N33)</ns0:f>
        <ns0:v>3730.89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96793.75</ns0:v>
      </ns0:c>
      <ns0:c r="D34" s="8">
        <ns0:f>SUM(D4:D33)</ns0:f>
        <ns0:v>96259.75</ns0:v>
      </ns0:c>
      <ns0:c r="E34" s="8">
        <ns0:f>SUM(E4:E33)</ns0:f>
        <ns0:v>95261.47</ns0:v>
      </ns0:c>
      <ns0:c r="F34" s="8">
        <ns0:f>SUM(F4:F33)</ns0:f>
        <ns0:v>96229.08</ns0:v>
      </ns0:c>
      <ns0:c r="G34" s="8">
        <ns0:f>SUM(G4:G33)</ns0:f>
        <ns0:v>96549.38</ns0:v>
      </ns0:c>
      <ns0:c r="H34" s="8">
        <ns0:f>SUM(H4:H33)</ns0:f>
        <ns0:v>95950.15</ns0:v>
      </ns0:c>
      <ns0:c r="I34" s="8">
        <ns0:f>SUM(I4:I33)</ns0:f>
        <ns0:v>700.00</ns0:v>
      </ns0:c>
      <ns0:c r="J34" s="8">
        <ns0:f>SUM(J4:J33)</ns0:f>
        <ns0:v>700.00</ns0:v>
      </ns0:c>
      <ns0:c r="K34" s="8">
        <ns0:f>SUM(K4:K33)</ns0:f>
        <ns0:v>700.00</ns0:v>
      </ns0:c>
      <ns0:c r="L34" s="8">
        <ns0:f>SUM(L4:L33)</ns0:f>
        <ns0:v>700.00</ns0:v>
      </ns0:c>
      <ns0:c r="M34" s="8">
        <ns0:f>SUM(M4:M33)</ns0:f>
        <ns0:v>700.00</ns0:v>
      </ns0:c>
      <ns0:c r="N34" s="8">
        <ns0:f>SUM(N4:N33)</ns0:f>
        <ns0:v>700.00</ns0:v>
      </ns0:c>
      <ns0:c r="O34" s="8">
        <ns0:f>SUM(C34:N34)</ns0:f>
        <ns0:v>581243.58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4011.18</ns0:v>
      </ns0:c>
      <ns0:c r="D35" s="8">
        <ns0:f>'税金及附加'!D33</ns0:f>
        <ns0:v>4181.45</ns0:v>
      </ns0:c>
      <ns0:c r="E35" s="8">
        <ns0:f>'税金及附加'!E33</ns0:f>
        <ns0:v>3916.05</ns0:v>
      </ns0:c>
      <ns0:c r="F35" s="8">
        <ns0:f>'税金及附加'!F33</ns0:f>
        <ns0:v>4084.61</ns0:v>
      </ns0:c>
      <ns0:c r="G35" s="8">
        <ns0:f>'税金及附加'!G33</ns0:f>
        <ns0:v>3901.83</ns0:v>
      </ns0:c>
      <ns0:c r="H35" s="8">
        <ns0:f>'税金及附加'!H33</ns0:f>
        <ns0:v>4194.09</ns0:v>
      </ns0:c>
      <ns0:c r="I35" s="8">
        <ns0:f>'税金及附加'!I33</ns0:f>
        <ns0:v>0.00</ns0:v>
      </ns0:c>
      <ns0:c r="J35" s="8">
        <ns0:f>'税金及附加'!J33</ns0:f>
        <ns0:v>0.00</ns0:v>
      </ns0:c>
      <ns0:c r="K35" s="8">
        <ns0:f>'税金及附加'!K33</ns0:f>
        <ns0:v>0.00</ns0:v>
      </ns0:c>
      <ns0:c r="L35" s="8">
        <ns0:f>'税金及附加'!L33</ns0:f>
        <ns0:v>0.00</ns0:v>
      </ns0:c>
      <ns0:c r="M35" s="8">
        <ns0:f>'税金及附加'!M33</ns0:f>
        <ns0:v>0.00</ns0:v>
      </ns0:c>
      <ns0:c r="N35" s="8">
        <ns0:f>'税金及附加'!N33</ns0:f>
        <ns0:v>0.00</ns0:v>
      </ns0:c>
      <ns0:c r="O35" s="8">
        <ns0:f>SUM(C35:N35)</ns0:f>
        <ns0:v>24289.21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100804.93</ns0:v>
      </ns0:c>
      <ns0:c r="D36" s="8">
        <ns0:f>D34+D35</ns0:f>
        <ns0:v>100441.20</ns0:v>
      </ns0:c>
      <ns0:c r="E36" s="8">
        <ns0:f>E34+E35</ns0:f>
        <ns0:v>99177.52</ns0:v>
      </ns0:c>
      <ns0:c r="F36" s="8">
        <ns0:f>F34+F35</ns0:f>
        <ns0:v>100313.69</ns0:v>
      </ns0:c>
      <ns0:c r="G36" s="8">
        <ns0:f>G34+G35</ns0:f>
        <ns0:v>100451.21</ns0:v>
      </ns0:c>
      <ns0:c r="H36" s="8">
        <ns0:f>H34+H35</ns0:f>
        <ns0:v>100144.24</ns0:v>
      </ns0:c>
      <ns0:c r="I36" s="8">
        <ns0:f>I34+I35</ns0:f>
        <ns0:v>700.00</ns0:v>
      </ns0:c>
      <ns0:c r="J36" s="8">
        <ns0:f>J34+J35</ns0:f>
        <ns0:v>700.00</ns0:v>
      </ns0:c>
      <ns0:c r="K36" s="8">
        <ns0:f>K34+K35</ns0:f>
        <ns0:v>700.00</ns0:v>
      </ns0:c>
      <ns0:c r="L36" s="8">
        <ns0:f>L34+L35</ns0:f>
        <ns0:v>700.00</ns0:v>
      </ns0:c>
      <ns0:c r="M36" s="8">
        <ns0:f>M34+M35</ns0:f>
        <ns0:v>700.00</ns0:v>
      </ns0:c>
      <ns0:c r="N36" s="8">
        <ns0:f>N34+N35</ns0:f>
        <ns0:v>700.00</ns0:v>
      </ns0:c>
      <ns0:c r="O36" s="8">
        <ns0:f>SUM(C36:N36)</ns0:f>
        <ns0:v>605532.79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3401.42</ns0:v>
      </ns0:c>
      <ns0:c r="D204" s="4">
        <ns0:v>3527.65</ns0:v>
      </ns0:c>
      <ns0:c r="E204" s="4">
        <ns0:v>3549.57</ns0:v>
      </ns0:c>
      <ns0:c r="F204" s="4">
        <ns0:v>3488.21</ns0:v>
      </ns0:c>
      <ns0:c r="G204" s="4">
        <ns0:v>3361.68</ns0:v>
      </ns0:c>
      <ns0:c r="H204" s="4">
        <ns0:v>3593.53</ns0:v>
      </ns0:c>
      <ns0:c r="I204" s="4">
        <ns0:v>0.00</ns0:v>
      </ns0:c>
      <ns0:c r="J204" s="4">
        <ns0:v>0.00</ns0:v>
      </ns0:c>
      <ns0:c r="K204" s="4">
        <ns0:v>0.00</ns0:v>
      </ns0:c>
      <ns0:c r="L204" s="4">
        <ns0:v>0.00</ns0:v>
      </ns0:c>
      <ns0:c r="M204" s="4">
        <ns0:v>0.00</ns0:v>
      </ns0:c>
      <ns0:c r="N204" s="4">
        <ns0:v>0.00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261.12</ns0:v>
      </ns0:c>
      <ns0:c r="D205" s="4">
        <ns0:v>258.16</ns0:v>
      </ns0:c>
      <ns0:c r="E205" s="4">
        <ns0:v>252.21</ns0:v>
      </ns0:c>
      <ns0:c r="F205" s="4">
        <ns0:v>245.36</ns0:v>
      </ns0:c>
      <ns0:c r="G205" s="4">
        <ns0:v>255.03</ns0:v>
      </ns0:c>
      <ns0:c r="H205" s="4">
        <ns0:v>260.43</ns0:v>
      </ns0:c>
      <ns0:c r="I205" s="4">
        <ns0:v>0.00</ns0:v>
      </ns0:c>
      <ns0:c r="J205" s="4">
        <ns0:v>0.00</ns0:v>
      </ns0:c>
      <ns0:c r="K205" s="4">
        <ns0:v>0.00</ns0:v>
      </ns0:c>
      <ns0:c r="L205" s="4">
        <ns0:v>0.00</ns0:v>
      </ns0:c>
      <ns0:c r="M205" s="4">
        <ns0:v>0.00</ns0:v>
      </ns0:c>
      <ns0:c r="N205" s="4">
        <ns0:v>0.00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113.45</ns0:v>
      </ns0:c>
      <ns0:c r="D206" s="4">
        <ns0:v>107.70</ns0:v>
      </ns0:c>
      <ns0:c r="E206" s="4">
        <ns0:v>102.27</ns0:v>
      </ns0:c>
      <ns0:c r="F206" s="4">
        <ns0:v>95.56</ns0:v>
      </ns0:c>
      <ns0:c r="G206" s="4">
        <ns0:v>89.95</ns0:v>
      </ns0:c>
      <ns0:c r="H206" s="4">
        <ns0:v>93.97</ns0:v>
      </ns0:c>
      <ns0:c r="I206" s="4">
        <ns0:v>0.00</ns0:v>
      </ns0:c>
      <ns0:c r="J206" s="4">
        <ns0:v>0.00</ns0:v>
      </ns0:c>
      <ns0:c r="K206" s="4">
        <ns0:v>0.00</ns0:v>
      </ns0:c>
      <ns0:c r="L206" s="4">
        <ns0:v>0.00</ns0:v>
      </ns0:c>
      <ns0:c r="M206" s="4">
        <ns0:v>0.00</ns0:v>
      </ns0:c>
      <ns0:c r="N206" s="4">
        <ns0:v>0.00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1168.78</ns0:v>
      </ns0:c>
      <ns0:c r="D207" s="4">
        <ns0:v>1162.61</ns0:v>
      </ns0:c>
      <ns0:c r="E207" s="4">
        <ns0:v>1180.81</ns0:v>
      </ns0:c>
      <ns0:c r="F207" s="4">
        <ns0:v>1134.96</ns0:v>
      </ns0:c>
      <ns0:c r="G207" s="4">
        <ns0:v>1178.10</ns0:v>
      </ns0:c>
      <ns0:c r="H207" s="4">
        <ns0:v>1135.16</ns0:v>
      </ns0:c>
      <ns0:c r="I207" s="4">
        <ns0:v>0.00</ns0:v>
      </ns0:c>
      <ns0:c r="J207" s="4">
        <ns0:v>0.00</ns0:v>
      </ns0:c>
      <ns0:c r="K207" s="4">
        <ns0:v>0.00</ns0:v>
      </ns0:c>
      <ns0:c r="L207" s="4">
        <ns0:v>0.00</ns0:v>
      </ns0:c>
      <ns0:c r="M207" s="4">
        <ns0:v>0.00</ns0:v>
      </ns0:c>
      <ns0:c r="N207" s="4">
        <ns0:v>0.00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258.33</ns0:v>
      </ns0:c>
      <ns0:c r="D208" s="4">
        <ns0:v>218.33</ns0:v>
      </ns0:c>
      <ns0:c r="E208" s="4">
        <ns0:v>239.97</ns0:v>
      </ns0:c>
      <ns0:c r="F208" s="4">
        <ns0:v>270.03</ns0:v>
      </ns0:c>
      <ns0:c r="G208" s="4">
        <ns0:v>246.91</ns0:v>
      </ns0:c>
      <ns0:c r="H208" s="4">
        <ns0:v>221.34</ns0:v>
      </ns0:c>
      <ns0:c r="I208" s="4">
        <ns0:v>0.00</ns0:v>
      </ns0:c>
      <ns0:c r="J208" s="4">
        <ns0:v>0.00</ns0:v>
      </ns0:c>
      <ns0:c r="K208" s="4">
        <ns0:v>0.00</ns0:v>
      </ns0:c>
      <ns0:c r="L208" s="4">
        <ns0:v>0.00</ns0:v>
      </ns0:c>
      <ns0:c r="M208" s="4">
        <ns0:v>0.00</ns0:v>
      </ns0:c>
      <ns0:c r="N208" s="4">
        <ns0:v>0.00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491.01</ns0:v>
      </ns0:c>
      <ns0:c r="D209" s="4">
        <ns0:v>548.55</ns0:v>
      </ns0:c>
      <ns0:c r="E209" s="4">
        <ns0:v>489.81</ns0:v>
      </ns0:c>
      <ns0:c r="F209" s="4">
        <ns0:v>506.04</ns0:v>
      </ns0:c>
      <ns0:c r="G209" s="4">
        <ns0:v>455.05</ns0:v>
      </ns0:c>
      <ns0:c r="H209" s="4">
        <ns0:v>554.54</ns0:v>
      </ns0:c>
      <ns0:c r="I209" s="4">
        <ns0:v>0.00</ns0:v>
      </ns0:c>
      <ns0:c r="J209" s="4">
        <ns0:v>0.00</ns0:v>
      </ns0:c>
      <ns0:c r="K209" s="4">
        <ns0:v>0.00</ns0:v>
      </ns0:c>
      <ns0:c r="L209" s="4">
        <ns0:v>0.00</ns0:v>
      </ns0:c>
      <ns0:c r="M209" s="4">
        <ns0:v>0.00</ns0:v>
      </ns0:c>
      <ns0:c r="N209" s="4">
        <ns0:v>0.00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278.29</ns0:v>
      </ns0:c>
      <ns0:c r="D210" s="4">
        <ns0:v>256.73</ns0:v>
      </ns0:c>
      <ns0:c r="E210" s="4">
        <ns0:v>270.29</ns0:v>
      </ns0:c>
      <ns0:c r="F210" s="4">
        <ns0:v>276.34</ns0:v>
      </ns0:c>
      <ns0:c r="G210" s="4">
        <ns0:v>246.44</ns0:v>
      </ns0:c>
      <ns0:c r="H210" s="4">
        <ns0:v>267.09</ns0:v>
      </ns0:c>
      <ns0:c r="I210" s="4">
        <ns0:v>0.00</ns0:v>
      </ns0:c>
      <ns0:c r="J210" s="4">
        <ns0:v>0.00</ns0:v>
      </ns0:c>
      <ns0:c r="K210" s="4">
        <ns0:v>0.00</ns0:v>
      </ns0:c>
      <ns0:c r="L210" s="4">
        <ns0:v>0.00</ns0:v>
      </ns0:c>
      <ns0:c r="M210" s="4">
        <ns0:v>0.00</ns0:v>
      </ns0:c>
      <ns0:c r="N210" s="4">
        <ns0:v>0.00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1038.35</ns0:v>
      </ns0:c>
      <ns0:c r="D211" s="4">
        <ns0:v>1030.88</ns0:v>
      </ns0:c>
      <ns0:c r="E211" s="4">
        <ns0:v>934.76</ns0:v>
      </ns0:c>
      <ns0:c r="F211" s="4">
        <ns0:v>908.76</ns0:v>
      </ns0:c>
      <ns0:c r="G211" s="4">
        <ns0:v>1041.75</ns0:v>
      </ns0:c>
      <ns0:c r="H211" s="4">
        <ns0:v>1020.72</ns0:v>
      </ns0:c>
      <ns0:c r="I211" s="4">
        <ns0:v>0.00</ns0:v>
      </ns0:c>
      <ns0:c r="J211" s="4">
        <ns0:v>0.00</ns0:v>
      </ns0:c>
      <ns0:c r="K211" s="4">
        <ns0:v>0.00</ns0:v>
      </ns0:c>
      <ns0:c r="L211" s="4">
        <ns0:v>0.00</ns0:v>
      </ns0:c>
      <ns0:c r="M211" s="4">
        <ns0:v>0.00</ns0:v>
      </ns0:c>
      <ns0:c r="N211" s="4">
        <ns0:v>0.00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233.06</ns0:v>
      </ns0:c>
      <ns0:c r="D212" s="4">
        <ns0:v>217.06</ns0:v>
      </ns0:c>
      <ns0:c r="E212" s="4">
        <ns0:v>230.34</ns0:v>
      </ns0:c>
      <ns0:c r="F212" s="4">
        <ns0:v>244.71</ns0:v>
      </ns0:c>
      <ns0:c r="G212" s="4">
        <ns0:v>272.43</ns0:v>
      </ns0:c>
      <ns0:c r="H212" s="4">
        <ns0:v>250.13</ns0:v>
      </ns0:c>
      <ns0:c r="I212" s="4">
        <ns0:v>0.00</ns0:v>
      </ns0:c>
      <ns0:c r="J212" s="4">
        <ns0:v>0.00</ns0:v>
      </ns0:c>
      <ns0:c r="K212" s="4">
        <ns0:v>0.00</ns0:v>
      </ns0:c>
      <ns0:c r="L212" s="4">
        <ns0:v>0.00</ns0:v>
      </ns0:c>
      <ns0:c r="M212" s="4">
        <ns0:v>0.00</ns0:v>
      </ns0:c>
      <ns0:c r="N212" s="4">
        <ns0:v>0.00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657.50</ns0:v>
      </ns0:c>
      <ns0:c r="D213" s="4">
        <ns0:v>642.43</ns0:v>
      </ns0:c>
      <ns0:c r="E213" s="4">
        <ns0:v>638.13</ns0:v>
      </ns0:c>
      <ns0:c r="F213" s="4">
        <ns0:v>517.72</ns0:v>
      </ns0:c>
      <ns0:c r="G213" s="4">
        <ns0:v>648.99</ns0:v>
      </ns0:c>
      <ns0:c r="H213" s="4">
        <ns0:v>576.06</ns0:v>
      </ns0:c>
      <ns0:c r="I213" s="4">
        <ns0:v>0.00</ns0:v>
      </ns0:c>
      <ns0:c r="J213" s="4">
        <ns0:v>0.00</ns0:v>
      </ns0:c>
      <ns0:c r="K213" s="4">
        <ns0:v>0.00</ns0:v>
      </ns0:c>
      <ns0:c r="L213" s="4">
        <ns0:v>0.00</ns0:v>
      </ns0:c>
      <ns0:c r="M213" s="4">
        <ns0:v>0.00</ns0:v>
      </ns0:c>
      <ns0:c r="N213" s="4">
        <ns0:v>0.00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201.94</ns0:v>
      </ns0:c>
      <ns0:c r="D214" s="4">
        <ns0:v>193.08</ns0:v>
      </ns0:c>
      <ns0:c r="E214" s="4">
        <ns0:v>183.30</ns0:v>
      </ns0:c>
      <ns0:c r="F214" s="4">
        <ns0:v>224.10</ns0:v>
      </ns0:c>
      <ns0:c r="G214" s="4">
        <ns0:v>188.76</ns0:v>
      </ns0:c>
      <ns0:c r="H214" s="4">
        <ns0:v>221.85</ns0:v>
      </ns0:c>
      <ns0:c r="I214" s="4">
        <ns0:v>0.00</ns0:v>
      </ns0:c>
      <ns0:c r="J214" s="4">
        <ns0:v>0.00</ns0:v>
      </ns0:c>
      <ns0:c r="K214" s="4">
        <ns0:v>0.00</ns0:v>
      </ns0:c>
      <ns0:c r="L214" s="4">
        <ns0:v>0.00</ns0:v>
      </ns0:c>
      <ns0:c r="M214" s="4">
        <ns0:v>0.00</ns0:v>
      </ns0:c>
      <ns0:c r="N214" s="4">
        <ns0:v>0.00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218.26</ns0:v>
      </ns0:c>
      <ns0:c r="D215" s="4">
        <ns0:v>211.26</ns0:v>
      </ns0:c>
      <ns0:c r="E215" s="4">
        <ns0:v>177.34</ns0:v>
      </ns0:c>
      <ns0:c r="F215" s="4">
        <ns0:v>199.97</ns0:v>
      </ns0:c>
      <ns0:c r="G215" s="4">
        <ns0:v>216.46</ns0:v>
      </ns0:c>
      <ns0:c r="H215" s="4">
        <ns0:v>179.00</ns0:v>
      </ns0:c>
      <ns0:c r="I215" s="4">
        <ns0:v>0.00</ns0:v>
      </ns0:c>
      <ns0:c r="J215" s="4">
        <ns0:v>0.00</ns0:v>
      </ns0:c>
      <ns0:c r="K215" s="4">
        <ns0:v>0.00</ns0:v>
      </ns0:c>
      <ns0:c r="L215" s="4">
        <ns0:v>0.00</ns0:v>
      </ns0:c>
      <ns0:c r="M215" s="4">
        <ns0:v>0.00</ns0:v>
      </ns0:c>
      <ns0:c r="N215" s="4">
        <ns0:v>0.00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486.03</ns0:v>
      </ns0:c>
      <ns0:c r="D216" s="4">
        <ns0:v>448.40</ns0:v>
      </ns0:c>
      <ns0:c r="E216" s="4">
        <ns0:v>461.21</ns0:v>
      </ns0:c>
      <ns0:c r="F216" s="4">
        <ns0:v>531.40</ns0:v>
      </ns0:c>
      <ns0:c r="G216" s="4">
        <ns0:v>532.90</ns0:v>
      </ns0:c>
      <ns0:c r="H216" s="4">
        <ns0:v>474.65</ns0:v>
      </ns0:c>
      <ns0:c r="I216" s="4">
        <ns0:v>0.00</ns0:v>
      </ns0:c>
      <ns0:c r="J216" s="4">
        <ns0:v>0.00</ns0:v>
      </ns0:c>
      <ns0:c r="K216" s="4">
        <ns0:v>0.00</ns0:v>
      </ns0:c>
      <ns0:c r="L216" s="4">
        <ns0:v>0.00</ns0:v>
      </ns0:c>
      <ns0:c r="M216" s="4">
        <ns0:v>0.00</ns0:v>
      </ns0:c>
      <ns0:c r="N216" s="4">
        <ns0:v>0.00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992.74</ns0:v>
      </ns0:c>
      <ns0:c r="D217" s="4">
        <ns0:v>914.33</ns0:v>
      </ns0:c>
      <ns0:c r="E217" s="4">
        <ns0:v>1073.13</ns0:v>
      </ns0:c>
      <ns0:c r="F217" s="4">
        <ns0:v>909.75</ns0:v>
      </ns0:c>
      <ns0:c r="G217" s="4">
        <ns0:v>1013.79</ns0:v>
      </ns0:c>
      <ns0:c r="H217" s="4">
        <ns0:v>1044.85</ns0:v>
      </ns0:c>
      <ns0:c r="I217" s="4">
        <ns0:v>0.00</ns0:v>
      </ns0:c>
      <ns0:c r="J217" s="4">
        <ns0:v>0.00</ns0:v>
      </ns0:c>
      <ns0:c r="K217" s="4">
        <ns0:v>0.00</ns0:v>
      </ns0:c>
      <ns0:c r="L217" s="4">
        <ns0:v>0.00</ns0:v>
      </ns0:c>
      <ns0:c r="M217" s="4">
        <ns0:v>0.00</ns0:v>
      </ns0:c>
      <ns0:c r="N217" s="4">
        <ns0:v>0.00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101.06</ns0:v>
      </ns0:c>
      <ns0:c r="D218" s="4">
        <ns0:v>89.20</ns0:v>
      </ns0:c>
      <ns0:c r="E218" s="4">
        <ns0:v>100.21</ns0:v>
      </ns0:c>
      <ns0:c r="F218" s="4">
        <ns0:v>91.44</ns0:v>
      </ns0:c>
      <ns0:c r="G218" s="4">
        <ns0:v>104.63</ns0:v>
      </ns0:c>
      <ns0:c r="H218" s="4">
        <ns0:v>97.48</ns0:v>
      </ns0:c>
      <ns0:c r="I218" s="4">
        <ns0:v>0.00</ns0:v>
      </ns0:c>
      <ns0:c r="J218" s="4">
        <ns0:v>0.00</ns0:v>
      </ns0:c>
      <ns0:c r="K218" s="4">
        <ns0:v>0.00</ns0:v>
      </ns0:c>
      <ns0:c r="L218" s="4">
        <ns0:v>0.00</ns0:v>
      </ns0:c>
      <ns0:c r="M218" s="4">
        <ns0:v>0.00</ns0:v>
      </ns0:c>
      <ns0:c r="N218" s="4">
        <ns0:v>0.00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94.36</ns0:v>
      </ns0:c>
      <ns0:c r="D219" s="4">
        <ns0:v>90.46</ns0:v>
      </ns0:c>
      <ns0:c r="E219" s="4">
        <ns0:v>98.47</ns0:v>
      </ns0:c>
      <ns0:c r="F219" s="4">
        <ns0:v>107.13</ns0:v>
      </ns0:c>
      <ns0:c r="G219" s="4">
        <ns0:v>103.39</ns0:v>
      </ns0:c>
      <ns0:c r="H219" s="4">
        <ns0:v>101.50</ns0:v>
      </ns0:c>
      <ns0:c r="I219" s="4">
        <ns0:v>0.00</ns0:v>
      </ns0:c>
      <ns0:c r="J219" s="4">
        <ns0:v>0.00</ns0:v>
      </ns0:c>
      <ns0:c r="K219" s="4">
        <ns0:v>0.00</ns0:v>
      </ns0:c>
      <ns0:c r="L219" s="4">
        <ns0:v>0.00</ns0:v>
      </ns0:c>
      <ns0:c r="M219" s="4">
        <ns0:v>0.00</ns0:v>
      </ns0:c>
      <ns0:c r="N219" s="4">
        <ns0:v>0.00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94.75</ns0:v>
      </ns0:c>
      <ns0:c r="D221" s="4">
        <ns0:v>104.07</ns0:v>
      </ns0:c>
      <ns0:c r="E221" s="4">
        <ns0:v>95.82</ns0:v>
      </ns0:c>
      <ns0:c r="F221" s="4">
        <ns0:v>93.93</ns0:v>
      </ns0:c>
      <ns0:c r="G221" s="4">
        <ns0:v>96.28</ns0:v>
      </ns0:c>
      <ns0:c r="H221" s="4">
        <ns0:v>102.74</ns0:v>
      </ns0:c>
      <ns0:c r="I221" s="4">
        <ns0:v>0.00</ns0:v>
      </ns0:c>
      <ns0:c r="J221" s="4">
        <ns0:v>0.00</ns0:v>
      </ns0:c>
      <ns0:c r="K221" s="4">
        <ns0:v>0.00</ns0:v>
      </ns0:c>
      <ns0:c r="L221" s="4">
        <ns0:v>0.00</ns0:v>
      </ns0:c>
      <ns0:c r="M221" s="4">
        <ns0:v>0.00</ns0:v>
      </ns0:c>
      <ns0:c r="N221" s="4">
        <ns0:v>0.00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97.16</ns0:v>
      </ns0:c>
      <ns0:c r="D222" s="4">
        <ns0:v>105.14</ns0:v>
      </ns0:c>
      <ns0:c r="E222" s="4">
        <ns0:v>105.28</ns0:v>
      </ns0:c>
      <ns0:c r="F222" s="4">
        <ns0:v>110.05</ns0:v>
      </ns0:c>
      <ns0:c r="G222" s="4">
        <ns0:v>95.63</ns0:v>
      </ns0:c>
      <ns0:c r="H222" s="4">
        <ns0:v>98.72</ns0:v>
      </ns0:c>
      <ns0:c r="I222" s="4">
        <ns0:v>0.00</ns0:v>
      </ns0:c>
      <ns0:c r="J222" s="4">
        <ns0:v>0.00</ns0:v>
      </ns0:c>
      <ns0:c r="K222" s="4">
        <ns0:v>0.00</ns0:v>
      </ns0:c>
      <ns0:c r="L222" s="4">
        <ns0:v>0.00</ns0:v>
      </ns0:c>
      <ns0:c r="M222" s="4">
        <ns0:v>0.00</ns0:v>
      </ns0:c>
      <ns0:c r="N222" s="4">
        <ns0:v>0.00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101.99</ns0:v>
      </ns0:c>
      <ns0:c r="D223" s="4">
        <ns0:v>114.66</ns0:v>
      </ns0:c>
      <ns0:c r="E223" s="4">
        <ns0:v>107.40</ns0:v>
      </ns0:c>
      <ns0:c r="F223" s="4">
        <ns0:v>97.15</ns0:v>
      </ns0:c>
      <ns0:c r="G223" s="4">
        <ns0:v>98.88</ns0:v>
      </ns0:c>
      <ns0:c r="H223" s="4">
        <ns0:v>93.23</ns0:v>
      </ns0:c>
      <ns0:c r="I223" s="4">
        <ns0:v>0.00</ns0:v>
      </ns0:c>
      <ns0:c r="J223" s="4">
        <ns0:v>0.00</ns0:v>
      </ns0:c>
      <ns0:c r="K223" s="4">
        <ns0:v>0.00</ns0:v>
      </ns0:c>
      <ns0:c r="L223" s="4">
        <ns0:v>0.00</ns0:v>
      </ns0:c>
      <ns0:c r="M223" s="4">
        <ns0:v>0.00</ns0:v>
      </ns0:c>
      <ns0:c r="N223" s="4">
        <ns0:v>0.00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96.57</ns0:v>
      </ns0:c>
      <ns0:c r="D224" s="4">
        <ns0:v>92.40</ns0:v>
      </ns0:c>
      <ns0:c r="E224" s="4">
        <ns0:v>105.92</ns0:v>
      </ns0:c>
      <ns0:c r="F224" s="4">
        <ns0:v>113.33</ns0:v>
      </ns0:c>
      <ns0:c r="G224" s="4">
        <ns0:v>92.02</ns0:v>
      </ns0:c>
      <ns0:c r="H224" s="4">
        <ns0:v>105.68</ns0:v>
      </ns0:c>
      <ns0:c r="I224" s="4">
        <ns0:v>0.00</ns0:v>
      </ns0:c>
      <ns0:c r="J224" s="4">
        <ns0:v>0.00</ns0:v>
      </ns0:c>
      <ns0:c r="K224" s="4">
        <ns0:v>0.00</ns0:v>
      </ns0:c>
      <ns0:c r="L224" s="4">
        <ns0:v>0.00</ns0:v>
      </ns0:c>
      <ns0:c r="M224" s="4">
        <ns0:v>0.00</ns0:v>
      </ns0:c>
      <ns0:c r="N224" s="4">
        <ns0:v>0.00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182.60</ns0:v>
      </ns0:c>
      <ns0:c r="D225" s="4">
        <ns0:v>211.45</ns0:v>
      </ns0:c>
      <ns0:c r="E225" s="4">
        <ns0:v>208.48</ns0:v>
      </ns0:c>
      <ns0:c r="F225" s="4">
        <ns0:v>192.62</ns0:v>
      </ns0:c>
      <ns0:c r="G225" s="4">
        <ns0:v>195.23</ns0:v>
      </ns0:c>
      <ns0:c r="H225" s="4">
        <ns0:v>205.04</ns0:v>
      </ns0:c>
      <ns0:c r="I225" s="4">
        <ns0:v>0.00</ns0:v>
      </ns0:c>
      <ns0:c r="J225" s="4">
        <ns0:v>0.00</ns0:v>
      </ns0:c>
      <ns0:c r="K225" s="4">
        <ns0:v>0.00</ns0:v>
      </ns0:c>
      <ns0:c r="L225" s="4">
        <ns0:v>0.00</ns0:v>
      </ns0:c>
      <ns0:c r="M225" s="4">
        <ns0:v>0.00</ns0:v>
      </ns0:c>
      <ns0:c r="N225" s="4">
        <ns0:v>0.00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100.39</ns0:v>
      </ns0:c>
      <ns0:c r="D226" s="4">
        <ns0:v>107.27</ns0:v>
      </ns0:c>
      <ns0:c r="E226" s="4">
        <ns0:v>104.78</ns0:v>
      </ns0:c>
      <ns0:c r="F226" s="4">
        <ns0:v>106.09</ns0:v>
      </ns0:c>
      <ns0:c r="G226" s="4">
        <ns0:v>103.23</ns0:v>
      </ns0:c>
      <ns0:c r="H226" s="4">
        <ns0:v>108.94</ns0:v>
      </ns0:c>
      <ns0:c r="I226" s="4">
        <ns0:v>0.00</ns0:v>
      </ns0:c>
      <ns0:c r="J226" s="4">
        <ns0:v>0.00</ns0:v>
      </ns0:c>
      <ns0:c r="K226" s="4">
        <ns0:v>0.00</ns0:v>
      </ns0:c>
      <ns0:c r="L226" s="4">
        <ns0:v>0.00</ns0:v>
      </ns0:c>
      <ns0:c r="M226" s="4">
        <ns0:v>0.00</ns0:v>
      </ns0:c>
      <ns0:c r="N226" s="4">
        <ns0:v>0.00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345.48</ns0:v>
      </ns0:c>
      <ns0:c r="D227" s="4">
        <ns0:v>315.78</ns0:v>
      </ns0:c>
      <ns0:c r="E227" s="4">
        <ns0:v>295.27</ns0:v>
      </ns0:c>
      <ns0:c r="F227" s="4">
        <ns0:v>311.75</ns0:v>
      </ns0:c>
      <ns0:c r="G227" s="4">
        <ns0:v>343.02</ns0:v>
      </ns0:c>
      <ns0:c r="H227" s="4">
        <ns0:v>316.57</ns0:v>
      </ns0:c>
      <ns0:c r="I227" s="4">
        <ns0:v>0.00</ns0:v>
      </ns0:c>
      <ns0:c r="J227" s="4">
        <ns0:v>0.00</ns0:v>
      </ns0:c>
      <ns0:c r="K227" s="4">
        <ns0:v>0.00</ns0:v>
      </ns0:c>
      <ns0:c r="L227" s="4">
        <ns0:v>0.00</ns0:v>
      </ns0:c>
      <ns0:c r="M227" s="4">
        <ns0:v>0.00</ns0:v>
      </ns0:c>
      <ns0:c r="N227" s="4">
        <ns0:v>0.00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27.33</ns0:v>
      </ns0:c>
      <ns0:c r="D228" s="4">
        <ns0:v>34.64</ns0:v>
      </ns0:c>
      <ns0:c r="E228" s="4">
        <ns0:v>33.46</ns0:v>
      </ns0:c>
      <ns0:c r="F228" s="4">
        <ns0:v>34.37</ns0:v>
      </ns0:c>
      <ns0:c r="G228" s="4">
        <ns0:v>27.26</ns0:v>
      </ns0:c>
      <ns0:c r="H228" s="4">
        <ns0:v>31.87</ns0:v>
      </ns0:c>
      <ns0:c r="I228" s="4">
        <ns0:v>0.00</ns0:v>
      </ns0:c>
      <ns0:c r="J228" s="4">
        <ns0:v>0.00</ns0:v>
      </ns0:c>
      <ns0:c r="K228" s="4">
        <ns0:v>0.00</ns0:v>
      </ns0:c>
      <ns0:c r="L228" s="4">
        <ns0:v>0.00</ns0:v>
      </ns0:c>
      <ns0:c r="M228" s="4">
        <ns0:v>0.00</ns0:v>
      </ns0:c>
      <ns0:c r="N228" s="4">
        <ns0:v>0.00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0.00</ns0:v>
      </ns0:c>
      <ns0:c r="D230" s="4">
        <ns0:v>0.00</ns0:v>
      </ns0:c>
      <ns0:c r="E230" s="4">
        <ns0:v>0.00</ns0:v>
      </ns0:c>
      <ns0:c r="F230" s="4">
        <ns0:v>0.00</ns0:v>
      </ns0:c>
      <ns0:c r="G230" s="4">
        <ns0:v>0.00</ns0:v>
      </ns0:c>
      <ns0:c r="H230" s="4">
        <ns0:v>0.00</ns0:v>
      </ns0:c>
      <ns0:c r="I230" s="4">
        <ns0:v>0.00</ns0:v>
      </ns0:c>
      <ns0:c r="J230" s="4">
        <ns0:v>0.00</ns0:v>
      </ns0:c>
      <ns0:c r="K230" s="4">
        <ns0:v>0.00</ns0:v>
      </ns0:c>
      <ns0:c r="L230" s="4">
        <ns0:v>0.00</ns0:v>
      </ns0:c>
      <ns0:c r="M230" s="4">
        <ns0:v>0.00</ns0:v>
      </ns0:c>
      <ns0:c r="N230" s="4">
        <ns0:v>0.00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56.46</ns0:v>
      </ns0:c>
      <ns0:c r="D231" s="4">
        <ns0:v>45.73</ns0:v>
      </ns0:c>
      <ns0:c r="E231" s="4">
        <ns0:v>56.11</ns0:v>
      </ns0:c>
      <ns0:c r="F231" s="4">
        <ns0:v>45.68</ns0:v>
      </ns0:c>
      <ns0:c r="G231" s="4">
        <ns0:v>52.38</ns0:v>
      </ns0:c>
      <ns0:c r="H231" s="4">
        <ns0:v>55.87</ns0:v>
      </ns0:c>
      <ns0:c r="I231" s="4">
        <ns0:v>0.00</ns0:v>
      </ns0:c>
      <ns0:c r="J231" s="4">
        <ns0:v>0.00</ns0:v>
      </ns0:c>
      <ns0:c r="K231" s="4">
        <ns0:v>0.00</ns0:v>
      </ns0:c>
      <ns0:c r="L231" s="4">
        <ns0:v>0.00</ns0:v>
      </ns0:c>
      <ns0:c r="M231" s="4">
        <ns0:v>0.00</ns0:v>
      </ns0:c>
      <ns0:c r="N231" s="4">
        <ns0:v>0.00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57.65</ns0:v>
      </ns0:c>
      <ns0:c r="D232" s="4">
        <ns0:v>60.08</ns0:v>
      </ns0:c>
      <ns0:c r="E232" s="4">
        <ns0:v>61.64</ns0:v>
      </ns0:c>
      <ns0:c r="F232" s="4">
        <ns0:v>60.39</ns0:v>
      </ns0:c>
      <ns0:c r="G232" s="4">
        <ns0:v>59.75</ns0:v>
      </ns0:c>
      <ns0:c r="H232" s="4">
        <ns0:v>53.16</ns0:v>
      </ns0:c>
      <ns0:c r="I232" s="4">
        <ns0:v>0.00</ns0:v>
      </ns0:c>
      <ns0:c r="J232" s="4">
        <ns0:v>0.00</ns0:v>
      </ns0:c>
      <ns0:c r="K232" s="4">
        <ns0:v>0.00</ns0:v>
      </ns0:c>
      <ns0:c r="L232" s="4">
        <ns0:v>0.00</ns0:v>
      </ns0:c>
      <ns0:c r="M232" s="4">
        <ns0:v>0.00</ns0:v>
      </ns0:c>
      <ns0:c r="N232" s="4">
        <ns0:v>0.00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109.62</ns0:v>
      </ns0:c>
      <ns0:c r="D233" s="4">
        <ns0:v>109.08</ns0:v>
      </ns0:c>
      <ns0:c r="E233" s="4">
        <ns0:v>98.60</ns0:v>
      </ns0:c>
      <ns0:c r="F233" s="4">
        <ns0:v>93.48</ns0:v>
      </ns0:c>
      <ns0:c r="G233" s="4">
        <ns0:v>111.46</ns0:v>
      </ns0:c>
      <ns0:c r="H233" s="4">
        <ns0:v>104.37</ns0:v>
      </ns0:c>
      <ns0:c r="I233" s="4">
        <ns0:v>0.00</ns0:v>
      </ns0:c>
      <ns0:c r="J233" s="4">
        <ns0:v>0.00</ns0:v>
      </ns0:c>
      <ns0:c r="K233" s="4">
        <ns0:v>0.00</ns0:v>
      </ns0:c>
      <ns0:c r="L233" s="4">
        <ns0:v>0.00</ns0:v>
      </ns0:c>
      <ns0:c r="M233" s="4">
        <ns0:v>0.00</ns0:v>
      </ns0:c>
      <ns0:c r="N233" s="4">
        <ns0:v>0.00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12.37</ns0:v>
      </ns0:c>
      <ns0:c r="D324" s="4">
        <ns0:v>11.90</ns0:v>
      </ns0:c>
      <ns0:c r="E324" s="4">
        <ns0:v>11.72</ns0:v>
      </ns0:c>
      <ns0:c r="F324" s="4">
        <ns0:v>11.99</ns0:v>
      </ns0:c>
      <ns0:c r="G324" s="4">
        <ns0:v>12.48</ns0:v>
      </ns0:c>
      <ns0:c r="H324" s="4">
        <ns0:v>11.60</ns0:v>
      </ns0:c>
      <ns0:c r="I324" s="4">
        <ns0:v>0.00</ns0:v>
      </ns0:c>
      <ns0:c r="J324" s="4">
        <ns0:v>0.00</ns0:v>
      </ns0:c>
      <ns0:c r="K324" s="4">
        <ns0:v>0.00</ns0:v>
      </ns0:c>
      <ns0:c r="L324" s="4">
        <ns0:v>0.00</ns0:v>
      </ns0:c>
      <ns0:c r="M324" s="4">
        <ns0:v>0.00</ns0:v>
      </ns0:c>
      <ns0:c r="N324" s="4">
        <ns0:v>0.00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11.65</ns0:v>
      </ns0:c>
      <ns0:c r="D325" s="4">
        <ns0:v>11.55</ns0:v>
      </ns0:c>
      <ns0:c r="E325" s="4">
        <ns0:v>11.84</ns0:v>
      </ns0:c>
      <ns0:c r="F325" s="4">
        <ns0:v>12.47</ns0:v>
      </ns0:c>
      <ns0:c r="G325" s="4">
        <ns0:v>11.64</ns0:v>
      </ns0:c>
      <ns0:c r="H325" s="4">
        <ns0:v>11.63</ns0:v>
      </ns0:c>
      <ns0:c r="I325" s="4">
        <ns0:v>0.00</ns0:v>
      </ns0:c>
      <ns0:c r="J325" s="4">
        <ns0:v>0.00</ns0:v>
      </ns0:c>
      <ns0:c r="K325" s="4">
        <ns0:v>0.00</ns0:v>
      </ns0:c>
      <ns0:c r="L325" s="4">
        <ns0:v>0.00</ns0:v>
      </ns0:c>
      <ns0:c r="M325" s="4">
        <ns0:v>0.00</ns0:v>
      </ns0:c>
      <ns0:c r="N325" s="4">
        <ns0:v>0.00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11.60</ns0:v>
      </ns0:c>
      <ns0:c r="D326" s="4">
        <ns0:v>11.53</ns0:v>
      </ns0:c>
      <ns0:c r="E326" s="4">
        <ns0:v>11.60</ns0:v>
      </ns0:c>
      <ns0:c r="F326" s="4">
        <ns0:v>11.96</ns0:v>
      </ns0:c>
      <ns0:c r="G326" s="4">
        <ns0:v>12.05</ns0:v>
      </ns0:c>
      <ns0:c r="H326" s="4">
        <ns0:v>12.32</ns0:v>
      </ns0:c>
      <ns0:c r="I326" s="4">
        <ns0:v>0.00</ns0:v>
      </ns0:c>
      <ns0:c r="J326" s="4">
        <ns0:v>0.00</ns0:v>
      </ns0:c>
      <ns0:c r="K326" s="4">
        <ns0:v>0.00</ns0:v>
      </ns0:c>
      <ns0:c r="L326" s="4">
        <ns0:v>0.00</ns0:v>
      </ns0:c>
      <ns0:c r="M326" s="4">
        <ns0:v>0.00</ns0:v>
      </ns0:c>
      <ns0:c r="N326" s="4">
        <ns0:v>0.00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11.91</ns0:v>
      </ns0:c>
      <ns0:c r="D327" s="4">
        <ns0:v>12.09</ns0:v>
      </ns0:c>
      <ns0:c r="E327" s="4">
        <ns0:v>11.65</ns0:v>
      </ns0:c>
      <ns0:c r="F327" s="4">
        <ns0:v>12.35</ns0:v>
      </ns0:c>
      <ns0:c r="G327" s="4">
        <ns0:v>11.71</ns0:v>
      </ns0:c>
      <ns0:c r="H327" s="4">
        <ns0:v>12.28</ns0:v>
      </ns0:c>
      <ns0:c r="I327" s="4">
        <ns0:v>0.00</ns0:v>
      </ns0:c>
      <ns0:c r="J327" s="4">
        <ns0:v>0.00</ns0:v>
      </ns0:c>
      <ns0:c r="K327" s="4">
        <ns0:v>0.00</ns0:v>
      </ns0:c>
      <ns0:c r="L327" s="4">
        <ns0:v>0.00</ns0:v>
      </ns0:c>
      <ns0:c r="M327" s="4">
        <ns0:v>0.00</ns0:v>
      </ns0:c>
      <ns0:c r="N327" s="4">
        <ns0:v>0.00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11.86</ns0:v>
      </ns0:c>
      <ns0:c r="D328" s="4">
        <ns0:v>12.06</ns0:v>
      </ns0:c>
      <ns0:c r="E328" s="4">
        <ns0:v>11.52</ns0:v>
      </ns0:c>
      <ns0:c r="F328" s="4">
        <ns0:v>11.54</ns0:v>
      </ns0:c>
      <ns0:c r="G328" s="4">
        <ns0:v>12.11</ns0:v>
      </ns0:c>
      <ns0:c r="H328" s="4">
        <ns0:v>11.56</ns0:v>
      </ns0:c>
      <ns0:c r="I328" s="4">
        <ns0:v>0.00</ns0:v>
      </ns0:c>
      <ns0:c r="J328" s="4">
        <ns0:v>0.00</ns0:v>
      </ns0:c>
      <ns0:c r="K328" s="4">
        <ns0:v>0.00</ns0:v>
      </ns0:c>
      <ns0:c r="L328" s="4">
        <ns0:v>0.00</ns0:v>
      </ns0:c>
      <ns0:c r="M328" s="4">
        <ns0:v>0.00</ns0:v>
      </ns0:c>
      <ns0:c r="N328" s="4">
        <ns0:v>0.00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3.01</ns0:v>
      </ns0:c>
      <ns0:c r="D329" s="4">
        <ns0:v>2.93</ns0:v>
      </ns0:c>
      <ns0:c r="E329" s="4">
        <ns0:v>2.89</ns0:v>
      </ns0:c>
      <ns0:c r="F329" s="4">
        <ns0:v>2.92</ns0:v>
      </ns0:c>
      <ns0:c r="G329" s="4">
        <ns0:v>2.94</ns0:v>
      </ns0:c>
      <ns0:c r="H329" s="4">
        <ns0:v>2.94</ns0:v>
      </ns0:c>
      <ns0:c r="I329" s="4">
        <ns0:v>0.00</ns0:v>
      </ns0:c>
      <ns0:c r="J329" s="4">
        <ns0:v>0.00</ns0:v>
      </ns0:c>
      <ns0:c r="K329" s="4">
        <ns0:v>0.00</ns0:v>
      </ns0:c>
      <ns0:c r="L329" s="4">
        <ns0:v>0.00</ns0:v>
      </ns0:c>
      <ns0:c r="M329" s="4">
        <ns0:v>0.00</ns0:v>
      </ns0:c>
      <ns0:c r="N329" s="4">
        <ns0:v>0.00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3.86</ns0:v>
      </ns0:c>
      <ns0:c r="D330" s="4">
        <ns0:v>3.92</ns0:v>
      </ns0:c>
      <ns0:c r="E330" s="4">
        <ns0:v>4.13</ns0:v>
      </ns0:c>
      <ns0:c r="F330" s="4">
        <ns0:v>3.99</ns0:v>
      </ns0:c>
      <ns0:c r="G330" s="4">
        <ns0:v>3.93</ns0:v>
      </ns0:c>
      <ns0:c r="H330" s="4">
        <ns0:v>4.06</ns0:v>
      </ns0:c>
      <ns0:c r="I330" s="4">
        <ns0:v>0.00</ns0:v>
      </ns0:c>
      <ns0:c r="J330" s="4">
        <ns0:v>0.00</ns0:v>
      </ns0:c>
      <ns0:c r="K330" s="4">
        <ns0:v>0.00</ns0:v>
      </ns0:c>
      <ns0:c r="L330" s="4">
        <ns0:v>0.00</ns0:v>
      </ns0:c>
      <ns0:c r="M330" s="4">
        <ns0:v>0.00</ns0:v>
      </ns0:c>
      <ns0:c r="N330" s="4">
        <ns0:v>0.00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5.82</ns0:v>
      </ns0:c>
      <ns0:c r="D331" s="4">
        <ns0:v>5.90</ns0:v>
      </ns0:c>
      <ns0:c r="E331" s="4">
        <ns0:v>6.11</ns0:v>
      </ns0:c>
      <ns0:c r="F331" s="4">
        <ns0:v>6.23</ns0:v>
      </ns0:c>
      <ns0:c r="G331" s="4">
        <ns0:v>5.93</ns0:v>
      </ns0:c>
      <ns0:c r="H331" s="4">
        <ns0:v>5.84</ns0:v>
      </ns0:c>
      <ns0:c r="I331" s="4">
        <ns0:v>0.00</ns0:v>
      </ns0:c>
      <ns0:c r="J331" s="4">
        <ns0:v>0.00</ns0:v>
      </ns0:c>
      <ns0:c r="K331" s="4">
        <ns0:v>0.00</ns0:v>
      </ns0:c>
      <ns0:c r="L331" s="4">
        <ns0:v>0.00</ns0:v>
      </ns0:c>
      <ns0:c r="M331" s="4">
        <ns0:v>0.00</ns0:v>
      </ns0:c>
      <ns0:c r="N331" s="4">
        <ns0:v>0.00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6.05</ns0:v>
      </ns0:c>
      <ns0:c r="D332" s="4">
        <ns0:v>6.37</ns0:v>
      </ns0:c>
      <ns0:c r="E332" s="4">
        <ns0:v>5.93</ns0:v>
      </ns0:c>
      <ns0:c r="F332" s="4">
        <ns0:v>6.08</ns0:v>
      </ns0:c>
      <ns0:c r="G332" s="4">
        <ns0:v>6.06</ns0:v>
      </ns0:c>
      <ns0:c r="H332" s="4">
        <ns0:v>6.16</ns0:v>
      </ns0:c>
      <ns0:c r="I332" s="4">
        <ns0:v>0.00</ns0:v>
      </ns0:c>
      <ns0:c r="J332" s="4">
        <ns0:v>0.00</ns0:v>
      </ns0:c>
      <ns0:c r="K332" s="4">
        <ns0:v>0.00</ns0:v>
      </ns0:c>
      <ns0:c r="L332" s="4">
        <ns0:v>0.00</ns0:v>
      </ns0:c>
      <ns0:c r="M332" s="4">
        <ns0:v>0.00</ns0:v>
      </ns0:c>
      <ns0:c r="N332" s="4">
        <ns0:v>0.00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2.88</ns0:v>
      </ns0:c>
      <ns0:c r="D333" s="4">
        <ns0:v>2.91</ns0:v>
      </ns0:c>
      <ns0:c r="E333" s="4">
        <ns0:v>3.12</ns0:v>
      </ns0:c>
      <ns0:c r="F333" s="4">
        <ns0:v>3.11</ns0:v>
      </ns0:c>
      <ns0:c r="G333" s="4">
        <ns0:v>3.08</ns0:v>
      </ns0:c>
      <ns0:c r="H333" s="4">
        <ns0:v>3.08</ns0:v>
      </ns0:c>
      <ns0:c r="I333" s="4">
        <ns0:v>0.00</ns0:v>
      </ns0:c>
      <ns0:c r="J333" s="4">
        <ns0:v>0.00</ns0:v>
      </ns0:c>
      <ns0:c r="K333" s="4">
        <ns0:v>0.00</ns0:v>
      </ns0:c>
      <ns0:c r="L333" s="4">
        <ns0:v>0.00</ns0:v>
      </ns0:c>
      <ns0:c r="M333" s="4">
        <ns0:v>0.00</ns0:v>
      </ns0:c>
      <ns0:c r="N333" s="4">
        <ns0:v>0.00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11.23</ns0:v>
      </ns0:c>
      <ns0:c r="D334" s="4">
        <ns0:v>11.22</ns0:v>
      </ns0:c>
      <ns0:c r="E334" s="4">
        <ns0:v>11.12</ns0:v>
      </ns0:c>
      <ns0:c r="F334" s="4">
        <ns0:v>10.83</ns0:v>
      </ns0:c>
      <ns0:c r="G334" s="4">
        <ns0:v>10.64</ns0:v>
      </ns0:c>
      <ns0:c r="H334" s="4">
        <ns0:v>10.92</ns0:v>
      </ns0:c>
      <ns0:c r="I334" s="4">
        <ns0:v>0.00</ns0:v>
      </ns0:c>
      <ns0:c r="J334" s="4">
        <ns0:v>0.00</ns0:v>
      </ns0:c>
      <ns0:c r="K334" s="4">
        <ns0:v>0.00</ns0:v>
      </ns0:c>
      <ns0:c r="L334" s="4">
        <ns0:v>0.00</ns0:v>
      </ns0:c>
      <ns0:c r="M334" s="4">
        <ns0:v>0.00</ns0:v>
      </ns0:c>
      <ns0:c r="N334" s="4">
        <ns0:v>0.00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5.99</ns0:v>
      </ns0:c>
      <ns0:c r="D335" s="4">
        <ns0:v>5.77</ns0:v>
      </ns0:c>
      <ns0:c r="E335" s="4">
        <ns0:v>5.96</ns0:v>
      </ns0:c>
      <ns0:c r="F335" s="4">
        <ns0:v>6.01</ns0:v>
      </ns0:c>
      <ns0:c r="G335" s="4">
        <ns0:v>5.96</ns0:v>
      </ns0:c>
      <ns0:c r="H335" s="4">
        <ns0:v>5.99</ns0:v>
      </ns0:c>
      <ns0:c r="I335" s="4">
        <ns0:v>0.00</ns0:v>
      </ns0:c>
      <ns0:c r="J335" s="4">
        <ns0:v>0.00</ns0:v>
      </ns0:c>
      <ns0:c r="K335" s="4">
        <ns0:v>0.00</ns0:v>
      </ns0:c>
      <ns0:c r="L335" s="4">
        <ns0:v>0.00</ns0:v>
      </ns0:c>
      <ns0:c r="M335" s="4">
        <ns0:v>0.00</ns0:v>
      </ns0:c>
      <ns0:c r="N335" s="4">
        <ns0:v>0.00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4.85</ns0:v>
      </ns0:c>
      <ns0:c r="D336" s="4">
        <ns0:v>5.16</ns0:v>
      </ns0:c>
      <ns0:c r="E336" s="4">
        <ns0:v>5.15</ns0:v>
      </ns0:c>
      <ns0:c r="F336" s="4">
        <ns0:v>5.08</ns0:v>
      </ns0:c>
      <ns0:c r="G336" s="4">
        <ns0:v>5.03</ns0:v>
      </ns0:c>
      <ns0:c r="H336" s="4">
        <ns0:v>4.97</ns0:v>
      </ns0:c>
      <ns0:c r="I336" s="4">
        <ns0:v>0.00</ns0:v>
      </ns0:c>
      <ns0:c r="J336" s="4">
        <ns0:v>0.00</ns0:v>
      </ns0:c>
      <ns0:c r="K336" s="4">
        <ns0:v>0.00</ns0:v>
      </ns0:c>
      <ns0:c r="L336" s="4">
        <ns0:v>0.00</ns0:v>
      </ns0:c>
      <ns0:c r="M336" s="4">
        <ns0:v>0.00</ns0:v>
      </ns0:c>
      <ns0:c r="N336" s="4">
        <ns0:v>0.00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2.01</ns0:v>
      </ns0:c>
      <ns0:c r="D337" s="4">
        <ns0:v>1.94</ns0:v>
      </ns0:c>
      <ns0:c r="E337" s="4">
        <ns0:v>1.95</ns0:v>
      </ns0:c>
      <ns0:c r="F337" s="4">
        <ns0:v>1.97</ns0:v>
      </ns0:c>
      <ns0:c r="G337" s="4">
        <ns0:v>2.03</ns0:v>
      </ns0:c>
      <ns0:c r="H337" s="4">
        <ns0:v>1.98</ns0:v>
      </ns0:c>
      <ns0:c r="I337" s="4">
        <ns0:v>0.00</ns0:v>
      </ns0:c>
      <ns0:c r="J337" s="4">
        <ns0:v>0.00</ns0:v>
      </ns0:c>
      <ns0:c r="K337" s="4">
        <ns0:v>0.00</ns0:v>
      </ns0:c>
      <ns0:c r="L337" s="4">
        <ns0:v>0.00</ns0:v>
      </ns0:c>
      <ns0:c r="M337" s="4">
        <ns0:v>0.00</ns0:v>
      </ns0:c>
      <ns0:c r="N337" s="4">
        <ns0:v>0.00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9.19</ns0:v>
      </ns0:c>
      <ns0:c r="D338" s="4">
        <ns0:v>9.11</ns0:v>
      </ns0:c>
      <ns0:c r="E338" s="4">
        <ns0:v>8.79</ns0:v>
      </ns0:c>
      <ns0:c r="F338" s="4">
        <ns0:v>8.86</ns0:v>
      </ns0:c>
      <ns0:c r="G338" s="4">
        <ns0:v>9.13</ns0:v>
      </ns0:c>
      <ns0:c r="H338" s="4">
        <ns0:v>8.92</ns0:v>
      </ns0:c>
      <ns0:c r="I338" s="4">
        <ns0:v>0.00</ns0:v>
      </ns0:c>
      <ns0:c r="J338" s="4">
        <ns0:v>0.00</ns0:v>
      </ns0:c>
      <ns0:c r="K338" s="4">
        <ns0:v>0.00</ns0:v>
      </ns0:c>
      <ns0:c r="L338" s="4">
        <ns0:v>0.00</ns0:v>
      </ns0:c>
      <ns0:c r="M338" s="4">
        <ns0:v>0.00</ns0:v>
      </ns0:c>
      <ns0:c r="N338" s="4">
        <ns0:v>0.00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5.16</ns0:v>
      </ns0:c>
      <ns0:c r="D339" s="4">
        <ns0:v>5.09</ns0:v>
      </ns0:c>
      <ns0:c r="E339" s="4">
        <ns0:v>5.13</ns0:v>
      </ns0:c>
      <ns0:c r="F339" s="4">
        <ns0:v>5.07</ns0:v>
      </ns0:c>
      <ns0:c r="G339" s="4">
        <ns0:v>4.89</ns0:v>
      </ns0:c>
      <ns0:c r="H339" s="4">
        <ns0:v>5.03</ns0:v>
      </ns0:c>
      <ns0:c r="I339" s="4">
        <ns0:v>0.00</ns0:v>
      </ns0:c>
      <ns0:c r="J339" s="4">
        <ns0:v>0.00</ns0:v>
      </ns0:c>
      <ns0:c r="K339" s="4">
        <ns0:v>0.00</ns0:v>
      </ns0:c>
      <ns0:c r="L339" s="4">
        <ns0:v>0.00</ns0:v>
      </ns0:c>
      <ns0:c r="M339" s="4">
        <ns0:v>0.00</ns0:v>
      </ns0:c>
      <ns0:c r="N339" s="4">
        <ns0:v>0.00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26.86</ns0:v>
      </ns0:c>
      <ns0:c r="D341" s="4">
        <ns0:v>25.20</ns0:v>
      </ns0:c>
      <ns0:c r="E341" s="4">
        <ns0:v>26.51</ns0:v>
      </ns0:c>
      <ns0:c r="F341" s="4">
        <ns0:v>26.00</ns0:v>
      </ns0:c>
      <ns0:c r="G341" s="4">
        <ns0:v>25.90</ns0:v>
      </ns0:c>
      <ns0:c r="H341" s="4">
        <ns0:v>26.07</ns0:v>
      </ns0:c>
      <ns0:c r="I341" s="4">
        <ns0:v>0.00</ns0:v>
      </ns0:c>
      <ns0:c r="J341" s="4">
        <ns0:v>0.00</ns0:v>
      </ns0:c>
      <ns0:c r="K341" s="4">
        <ns0:v>0.00</ns0:v>
      </ns0:c>
      <ns0:c r="L341" s="4">
        <ns0:v>0.00</ns0:v>
      </ns0:c>
      <ns0:c r="M341" s="4">
        <ns0:v>0.00</ns0:v>
      </ns0:c>
      <ns0:c r="N341" s="4">
        <ns0:v>0.00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18.36</ns0:v>
      </ns0:c>
      <ns0:c r="D342" s="4">
        <ns0:v>18.15</ns0:v>
      </ns0:c>
      <ns0:c r="E342" s="4">
        <ns0:v>17.88</ns0:v>
      </ns0:c>
      <ns0:c r="F342" s="4">
        <ns0:v>18.08</ns0:v>
      </ns0:c>
      <ns0:c r="G342" s="4">
        <ns0:v>18.05</ns0:v>
      </ns0:c>
      <ns0:c r="H342" s="4">
        <ns0:v>17.33</ns0:v>
      </ns0:c>
      <ns0:c r="I342" s="4">
        <ns0:v>0.00</ns0:v>
      </ns0:c>
      <ns0:c r="J342" s="4">
        <ns0:v>0.00</ns0:v>
      </ns0:c>
      <ns0:c r="K342" s="4">
        <ns0:v>0.00</ns0:v>
      </ns0:c>
      <ns0:c r="L342" s="4">
        <ns0:v>0.00</ns0:v>
      </ns0:c>
      <ns0:c r="M342" s="4">
        <ns0:v>0.00</ns0:v>
      </ns0:c>
      <ns0:c r="N342" s="4">
        <ns0:v>0.00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9.33</ns0:v>
      </ns0:c>
      <ns0:c r="D343" s="4">
        <ns0:v>8.66</ns0:v>
      </ns0:c>
      <ns0:c r="E343" s="4">
        <ns0:v>9.25</ns0:v>
      </ns0:c>
      <ns0:c r="F343" s="4">
        <ns0:v>8.72</ns0:v>
      </ns0:c>
      <ns0:c r="G343" s="4">
        <ns0:v>8.75</ns0:v>
      </ns0:c>
      <ns0:c r="H343" s="4">
        <ns0:v>8.87</ns0:v>
      </ns0:c>
      <ns0:c r="I343" s="4">
        <ns0:v>0.00</ns0:v>
      </ns0:c>
      <ns0:c r="J343" s="4">
        <ns0:v>0.00</ns0:v>
      </ns0:c>
      <ns0:c r="K343" s="4">
        <ns0:v>0.00</ns0:v>
      </ns0:c>
      <ns0:c r="L343" s="4">
        <ns0:v>0.00</ns0:v>
      </ns0:c>
      <ns0:c r="M343" s="4">
        <ns0:v>0.00</ns0:v>
      </ns0:c>
      <ns0:c r="N343" s="4">
        <ns0:v>0.00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6.81</ns0:v>
      </ns0:c>
      <ns0:c r="D344" s="4">
        <ns0:v>7.21</ns0:v>
      </ns0:c>
      <ns0:c r="E344" s="4">
        <ns0:v>7.07</ns0:v>
      </ns0:c>
      <ns0:c r="F344" s="4">
        <ns0:v>6.79</ns0:v>
      </ns0:c>
      <ns0:c r="G344" s="4">
        <ns0:v>7.10</ns0:v>
      </ns0:c>
      <ns0:c r="H344" s="4">
        <ns0:v>6.80</ns0:v>
      </ns0:c>
      <ns0:c r="I344" s="4">
        <ns0:v>0.00</ns0:v>
      </ns0:c>
      <ns0:c r="J344" s="4">
        <ns0:v>0.00</ns0:v>
      </ns0:c>
      <ns0:c r="K344" s="4">
        <ns0:v>0.00</ns0:v>
      </ns0:c>
      <ns0:c r="L344" s="4">
        <ns0:v>0.00</ns0:v>
      </ns0:c>
      <ns0:c r="M344" s="4">
        <ns0:v>0.00</ns0:v>
      </ns0:c>
      <ns0:c r="N344" s="4">
        <ns0:v>0.00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8.12</ns0:v>
      </ns0:c>
      <ns0:c r="D345" s="4">
        <ns0:v>8.22</ns0:v>
      </ns0:c>
      <ns0:c r="E345" s="4">
        <ns0:v>8.04</ns0:v>
      </ns0:c>
      <ns0:c r="F345" s="4">
        <ns0:v>8.04</ns0:v>
      </ns0:c>
      <ns0:c r="G345" s="4">
        <ns0:v>8.31</ns0:v>
      </ns0:c>
      <ns0:c r="H345" s="4">
        <ns0:v>8.01</ns0:v>
      </ns0:c>
      <ns0:c r="I345" s="4">
        <ns0:v>0.00</ns0:v>
      </ns0:c>
      <ns0:c r="J345" s="4">
        <ns0:v>0.00</ns0:v>
      </ns0:c>
      <ns0:c r="K345" s="4">
        <ns0:v>0.00</ns0:v>
      </ns0:c>
      <ns0:c r="L345" s="4">
        <ns0:v>0.00</ns0:v>
      </ns0:c>
      <ns0:c r="M345" s="4">
        <ns0:v>0.00</ns0:v>
      </ns0:c>
      <ns0:c r="N345" s="4">
        <ns0:v>0.00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11.14</ns0:v>
      </ns0:c>
      <ns0:c r="D346" s="4">
        <ns0:v>10.74</ns0:v>
      </ns0:c>
      <ns0:c r="E346" s="4">
        <ns0:v>11.14</ns0:v>
      </ns0:c>
      <ns0:c r="F346" s="4">
        <ns0:v>11.14</ns0:v>
      </ns0:c>
      <ns0:c r="G346" s="4">
        <ns0:v>11.35</ns0:v>
      </ns0:c>
      <ns0:c r="H346" s="4">
        <ns0:v>10.97</ns0:v>
      </ns0:c>
      <ns0:c r="I346" s="4">
        <ns0:v>0.00</ns0:v>
      </ns0:c>
      <ns0:c r="J346" s="4">
        <ns0:v>0.00</ns0:v>
      </ns0:c>
      <ns0:c r="K346" s="4">
        <ns0:v>0.00</ns0:v>
      </ns0:c>
      <ns0:c r="L346" s="4">
        <ns0:v>0.00</ns0:v>
      </ns0:c>
      <ns0:c r="M346" s="4">
        <ns0:v>0.00</ns0:v>
      </ns0:c>
      <ns0:c r="N346" s="4">
        <ns0:v>0.00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3.93</ns0:v>
      </ns0:c>
      <ns0:c r="D347" s="4">
        <ns0:v>4.16</ns0:v>
      </ns0:c>
      <ns0:c r="E347" s="4">
        <ns0:v>3.90</ns0:v>
      </ns0:c>
      <ns0:c r="F347" s="4">
        <ns0:v>4.15</ns0:v>
      </ns0:c>
      <ns0:c r="G347" s="4">
        <ns0:v>3.99</ns0:v>
      </ns0:c>
      <ns0:c r="H347" s="4">
        <ns0:v>4.07</ns0:v>
      </ns0:c>
      <ns0:c r="I347" s="4">
        <ns0:v>0.00</ns0:v>
      </ns0:c>
      <ns0:c r="J347" s="4">
        <ns0:v>0.00</ns0:v>
      </ns0:c>
      <ns0:c r="K347" s="4">
        <ns0:v>0.00</ns0:v>
      </ns0:c>
      <ns0:c r="L347" s="4">
        <ns0:v>0.00</ns0:v>
      </ns0:c>
      <ns0:c r="M347" s="4">
        <ns0:v>0.00</ns0:v>
      </ns0:c>
      <ns0:c r="N347" s="4">
        <ns0:v>0.00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14.79</ns0:v>
      </ns0:c>
      <ns0:c r="D348" s="4">
        <ns0:v>14.47</ns0:v>
      </ns0:c>
      <ns0:c r="E348" s="4">
        <ns0:v>14.73</ns0:v>
      </ns0:c>
      <ns0:c r="F348" s="4">
        <ns0:v>14.48</ns0:v>
      </ns0:c>
      <ns0:c r="G348" s="4">
        <ns0:v>14.99</ns0:v>
      </ns0:c>
      <ns0:c r="H348" s="4">
        <ns0:v>15.22</ns0:v>
      </ns0:c>
      <ns0:c r="I348" s="4">
        <ns0:v>0.00</ns0:v>
      </ns0:c>
      <ns0:c r="J348" s="4">
        <ns0:v>0.00</ns0:v>
      </ns0:c>
      <ns0:c r="K348" s="4">
        <ns0:v>0.00</ns0:v>
      </ns0:c>
      <ns0:c r="L348" s="4">
        <ns0:v>0.00</ns0:v>
      </ns0:c>
      <ns0:c r="M348" s="4">
        <ns0:v>0.00</ns0:v>
      </ns0:c>
      <ns0:c r="N348" s="4">
        <ns0:v>0.00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1.19</ns0:v>
      </ns0:c>
      <ns0:c r="D350" s="4">
        <ns0:v>1.19</ns0:v>
      </ns0:c>
      <ns0:c r="E350" s="4">
        <ns0:v>1.19</ns0:v>
      </ns0:c>
      <ns0:c r="F350" s="4">
        <ns0:v>1.19</ns0:v>
      </ns0:c>
      <ns0:c r="G350" s="4">
        <ns0:v>1.19</ns0:v>
      </ns0:c>
      <ns0:c r="H350" s="4">
        <ns0:v>1.19</ns0:v>
      </ns0:c>
      <ns0:c r="I350" s="4">
        <ns0:v>0.00</ns0:v>
      </ns0:c>
      <ns0:c r="J350" s="4">
        <ns0:v>0.00</ns0:v>
      </ns0:c>
      <ns0:c r="K350" s="4">
        <ns0:v>0.00</ns0:v>
      </ns0:c>
      <ns0:c r="L350" s="4">
        <ns0:v>0.00</ns0:v>
      </ns0:c>
      <ns0:c r="M350" s="4">
        <ns0:v>0.00</ns0:v>
      </ns0:c>
      <ns0:c r="N350" s="4">
        <ns0:v>0.00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2.88</ns0:v>
      </ns0:c>
      <ns0:c r="D351" s="4">
        <ns0:v>2.89</ns0:v>
      </ns0:c>
      <ns0:c r="E351" s="4">
        <ns0:v>2.91</ns0:v>
      </ns0:c>
      <ns0:c r="F351" s="4">
        <ns0:v>2.96</ns0:v>
      </ns0:c>
      <ns0:c r="G351" s="4">
        <ns0:v>3.10</ns0:v>
      </ns0:c>
      <ns0:c r="H351" s="4">
        <ns0:v>2.90</ns0:v>
      </ns0:c>
      <ns0:c r="I351" s="4">
        <ns0:v>0.00</ns0:v>
      </ns0:c>
      <ns0:c r="J351" s="4">
        <ns0:v>0.00</ns0:v>
      </ns0:c>
      <ns0:c r="K351" s="4">
        <ns0:v>0.00</ns0:v>
      </ns0:c>
      <ns0:c r="L351" s="4">
        <ns0:v>0.00</ns0:v>
      </ns0:c>
      <ns0:c r="M351" s="4">
        <ns0:v>0.00</ns0:v>
      </ns0:c>
      <ns0:c r="N351" s="4">
        <ns0:v>0.00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5.19</ns0:v>
      </ns0:c>
      <ns0:c r="D352" s="4">
        <ns0:v>5.16</ns0:v>
      </ns0:c>
      <ns0:c r="E352" s="4">
        <ns0:v>4.89</ns0:v>
      </ns0:c>
      <ns0:c r="F352" s="4">
        <ns0:v>4.83</ns0:v>
      </ns0:c>
      <ns0:c r="G352" s="4">
        <ns0:v>5.09</ns0:v>
      </ns0:c>
      <ns0:c r="H352" s="4">
        <ns0:v>4.99</ns0:v>
      </ns0:c>
      <ns0:c r="I352" s="4">
        <ns0:v>0.00</ns0:v>
      </ns0:c>
      <ns0:c r="J352" s="4">
        <ns0:v>0.00</ns0:v>
      </ns0:c>
      <ns0:c r="K352" s="4">
        <ns0:v>0.00</ns0:v>
      </ns0:c>
      <ns0:c r="L352" s="4">
        <ns0:v>0.00</ns0:v>
      </ns0:c>
      <ns0:c r="M352" s="4">
        <ns0:v>0.00</ns0:v>
      </ns0:c>
      <ns0:c r="N352" s="4">
        <ns0:v>0.00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6.12</ns0:v>
      </ns0:c>
      <ns0:c r="D353" s="4">
        <ns0:v>5.84</ns0:v>
      </ns0:c>
      <ns0:c r="E353" s="4">
        <ns0:v>6.09</ns0:v>
      </ns0:c>
      <ns0:c r="F353" s="4">
        <ns0:v>5.98</ns0:v>
      </ns0:c>
      <ns0:c r="G353" s="4">
        <ns0:v>5.83</ns0:v>
      </ns0:c>
      <ns0:c r="H353" s="4">
        <ns0:v>5.88</ns0:v>
      </ns0:c>
      <ns0:c r="I353" s="4">
        <ns0:v>0.00</ns0:v>
      </ns0:c>
      <ns0:c r="J353" s="4">
        <ns0:v>0.00</ns0:v>
      </ns0:c>
      <ns0:c r="K353" s="4">
        <ns0:v>0.00</ns0:v>
      </ns0:c>
      <ns0:c r="L353" s="4">
        <ns0:v>0.00</ns0:v>
      </ns0:c>
      <ns0:c r="M353" s="4">
        <ns0:v>0.00</ns0:v>
      </ns0:c>
      <ns0:c r="N353" s="4">
        <ns0:v>0.00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32569.56</ns0:v>
      </ns0:c>
      <ns0:c r="D4" s="8">
        <ns0:f>ROUND(D204*D324,2)</ns0:f>
        <ns0:v>32204.81</ns0:v>
      </ns0:c>
      <ns0:c r="E4" s="8">
        <ns0:f>ROUND(E204*E324,2)</ns0:f>
        <ns0:v>31699.24</ns0:v>
      </ns0:c>
      <ns0:c r="F4" s="8">
        <ns0:f>ROUND(F204*F324,2)</ns0:f>
        <ns0:v>31590.41</ns0:v>
      </ns0:c>
      <ns0:c r="G4" s="8">
        <ns0:f>ROUND(G204*G324,2)</ns0:f>
        <ns0:v>32022.36</ns0:v>
      </ns0:c>
      <ns0:c r="H4" s="8">
        <ns0:f>ROUND(H204*H324,2)</ns0:f>
        <ns0:v>32137.61</ns0:v>
      </ns0:c>
      <ns0:c r="I4" s="8">
        <ns0:f>ROUND(I204*I324,2)</ns0:f>
        <ns0:v>0.00</ns0:v>
      </ns0:c>
      <ns0:c r="J4" s="8">
        <ns0:f>ROUND(J204*J324,2)</ns0:f>
        <ns0:v>0.00</ns0:v>
      </ns0:c>
      <ns0:c r="K4" s="8">
        <ns0:f>ROUND(K204*K324,2)</ns0:f>
        <ns0:v>0.00</ns0:v>
      </ns0:c>
      <ns0:c r="L4" s="8">
        <ns0:f>ROUND(L204*L324,2)</ns0:f>
        <ns0:v>0.00</ns0:v>
      </ns0:c>
      <ns0:c r="M4" s="8">
        <ns0:f>ROUND(M204*M324,2)</ns0:f>
        <ns0:v>0.00</ns0:v>
      </ns0:c>
      <ns0:c r="N4" s="8">
        <ns0:f>ROUND(N204*N324,2)</ns0:f>
        <ns0:v>0.00</ns0:v>
      </ns0:c>
      <ns0:c r="O4" s="8">
        <ns0:f>SUM(C4:N4)</ns0:f>
        <ns0:v>192223.99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2406.03</ns0:v>
      </ns0:c>
      <ns0:c r="D5" s="8">
        <ns0:f>ROUND(D205*D325,2)</ns0:f>
        <ns0:v>2437.68</ns0:v>
      </ns0:c>
      <ns0:c r="E5" s="8">
        <ns0:f>ROUND(E205*E325,2)</ns0:f>
        <ns0:v>2353.22</ns0:v>
      </ns0:c>
      <ns0:c r="F5" s="8">
        <ns0:f>ROUND(F205*F325,2)</ns0:f>
        <ns0:v>2390.41</ns0:v>
      </ns0:c>
      <ns0:c r="G5" s="8">
        <ns0:f>ROUND(G205*G325,2)</ns0:f>
        <ns0:v>2439.08</ns0:v>
      </ns0:c>
      <ns0:c r="H5" s="8">
        <ns0:f>ROUND(H205*H325,2)</ns0:f>
        <ns0:v>2358.51</ns0:v>
      </ns0:c>
      <ns0:c r="I5" s="8">
        <ns0:f>ROUND(I205*I325,2)</ns0:f>
        <ns0:v>0.00</ns0:v>
      </ns0:c>
      <ns0:c r="J5" s="8">
        <ns0:f>ROUND(J205*J325,2)</ns0:f>
        <ns0:v>0.00</ns0:v>
      </ns0:c>
      <ns0:c r="K5" s="8">
        <ns0:f>ROUND(K205*K325,2)</ns0:f>
        <ns0:v>0.00</ns0:v>
      </ns0:c>
      <ns0:c r="L5" s="8">
        <ns0:f>ROUND(L205*L325,2)</ns0:f>
        <ns0:v>0.00</ns0:v>
      </ns0:c>
      <ns0:c r="M5" s="8">
        <ns0:f>ROUND(M205*M325,2)</ns0:f>
        <ns0:v>0.00</ns0:v>
      </ns0:c>
      <ns0:c r="N5" s="8">
        <ns0:f>ROUND(N205*N325,2)</ns0:f>
        <ns0:v>0.00</ns0:v>
      </ns0:c>
      <ns0:c r="O5" s="8">
        <ns0:f>SUM(C5:N5)</ns0:f>
        <ns0:v>14384.93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1002.83</ns0:v>
      </ns0:c>
      <ns0:c r="D6" s="8">
        <ns0:f>ROUND(D206*D326,2)</ns0:f>
        <ns0:v>866.29</ns0:v>
      </ns0:c>
      <ns0:c r="E6" s="8">
        <ns0:f>ROUND(E206*E326,2)</ns0:f>
        <ns0:v>946.16</ns0:v>
      </ns0:c>
      <ns0:c r="F6" s="8">
        <ns0:f>ROUND(F206*F326,2)</ns0:f>
        <ns0:v>813.21</ns0:v>
      </ns0:c>
      <ns0:c r="G6" s="8">
        <ns0:f>ROUND(G206*G326,2)</ns0:f>
        <ns0:v>920.21</ns0:v>
      </ns0:c>
      <ns0:c r="H6" s="8">
        <ns0:f>ROUND(H206*H326,2)</ns0:f>
        <ns0:v>874.52</ns0:v>
      </ns0:c>
      <ns0:c r="I6" s="8">
        <ns0:f>ROUND(I206*I326,2)</ns0:f>
        <ns0:v>0.00</ns0:v>
      </ns0:c>
      <ns0:c r="J6" s="8">
        <ns0:f>ROUND(J206*J326,2)</ns0:f>
        <ns0:v>0.00</ns0:v>
      </ns0:c>
      <ns0:c r="K6" s="8">
        <ns0:f>ROUND(K206*K326,2)</ns0:f>
        <ns0:v>0.00</ns0:v>
      </ns0:c>
      <ns0:c r="L6" s="8">
        <ns0:f>ROUND(L206*L326,2)</ns0:f>
        <ns0:v>0.00</ns0:v>
      </ns0:c>
      <ns0:c r="M6" s="8">
        <ns0:f>ROUND(M206*M326,2)</ns0:f>
        <ns0:v>0.00</ns0:v>
      </ns0:c>
      <ns0:c r="N6" s="8">
        <ns0:f>ROUND(N206*N326,2)</ns0:f>
        <ns0:v>0.00</ns0:v>
      </ns0:c>
      <ns0:c r="O6" s="8">
        <ns0:f>SUM(C6:N6)</ns0:f>
        <ns0:v>5423.22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10611.32</ns0:v>
      </ns0:c>
      <ns0:c r="D7" s="8">
        <ns0:f>ROUND(D207*D327,2)</ns0:f>
        <ns0:v>10413.92</ns0:v>
      </ns0:c>
      <ns0:c r="E7" s="8">
        <ns0:f>ROUND(E207*E327,2)</ns0:f>
        <ns0:v>10517.86</ns0:v>
      </ns0:c>
      <ns0:c r="F7" s="8">
        <ns0:f>ROUND(F207*F327,2)</ns0:f>
        <ns0:v>10346.70</ns0:v>
      </ns0:c>
      <ns0:c r="G7" s="8">
        <ns0:f>ROUND(G207*G327,2)</ns0:f>
        <ns0:v>10325.66</ns0:v>
      </ns0:c>
      <ns0:c r="H7" s="3">
        <ns0:f>ROUND(H207*H327,2)</ns0:f>
        <ns0:v>10347.78</ns0:v>
      </ns0:c>
      <ns0:c r="I7" s="3">
        <ns0:f>ROUND(I207*I327,2)</ns0:f>
        <ns0:v>0.00</ns0:v>
      </ns0:c>
      <ns0:c r="J7" s="3">
        <ns0:f>ROUND(J207*J327,2)</ns0:f>
        <ns0:v>0.00</ns0:v>
      </ns0:c>
      <ns0:c r="K7" s="3">
        <ns0:f>ROUND(K207*K327,2)</ns0:f>
        <ns0:v>0.00</ns0:v>
      </ns0:c>
      <ns0:c r="L7" s="3">
        <ns0:f>ROUND(L207*L327,2)</ns0:f>
        <ns0:v>0.00</ns0:v>
      </ns0:c>
      <ns0:c r="M7" s="3">
        <ns0:f>ROUND(M207*M327,2)</ns0:f>
        <ns0:v>0.00</ns0:v>
      </ns0:c>
      <ns0:c r="N7" s="3">
        <ns0:f>ROUND(N207*N327,2)</ns0:f>
        <ns0:v>0.00</ns0:v>
      </ns0:c>
      <ns0:c r="O7" s="8">
        <ns0:f>SUM(C7:N7)</ns0:f>
        <ns0:v>62563.24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2233.14</ns0:v>
      </ns0:c>
      <ns0:c r="D8" s="8">
        <ns0:f>ROUND(D208*D328,2)</ns0:f>
        <ns0:v>2055.87</ns0:v>
      </ns0:c>
      <ns0:c r="E8" s="8">
        <ns0:f>ROUND(E208*E328,2)</ns0:f>
        <ns0:v>2149.36</ns0:v>
      </ns0:c>
      <ns0:c r="F8" s="8">
        <ns0:f>ROUND(F208*F328,2)</ns0:f>
        <ns0:v>1962.66</ns0:v>
      </ns0:c>
      <ns0:c r="G8" s="8">
        <ns0:f>ROUND(G208*G328,2)</ns0:f>
        <ns0:v>2203.77</ns0:v>
      </ns0:c>
      <ns0:c r="H8" s="8">
        <ns0:f>ROUND(H208*H328,2)</ns0:f>
        <ns0:v>2103.96</ns0:v>
      </ns0:c>
      <ns0:c r="I8" s="8">
        <ns0:f>ROUND(I208*I328,2)</ns0:f>
        <ns0:v>0.00</ns0:v>
      </ns0:c>
      <ns0:c r="J8" s="8">
        <ns0:f>ROUND(J208*J328,2)</ns0:f>
        <ns0:v>0.00</ns0:v>
      </ns0:c>
      <ns0:c r="K8" s="8">
        <ns0:f>ROUND(K208*K328,2)</ns0:f>
        <ns0:v>0.00</ns0:v>
      </ns0:c>
      <ns0:c r="L8" s="8">
        <ns0:f>ROUND(L208*L328,2)</ns0:f>
        <ns0:v>0.00</ns0:v>
      </ns0:c>
      <ns0:c r="M8" s="8">
        <ns0:f>ROUND(M208*M328,2)</ns0:f>
        <ns0:v>0.00</ns0:v>
      </ns0:c>
      <ns0:c r="N8" s="8">
        <ns0:f>ROUND(N208*N328,2)</ns0:f>
        <ns0:v>0.00</ns0:v>
      </ns0:c>
      <ns0:c r="O8" s="8">
        <ns0:f>SUM(C8:N8)</ns0:f>
        <ns0:v>12708.76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3">
        <ns0:f>ROUND(C209*C329,2)</ns0:f>
        <ns0:v>803.88</ns0:v>
      </ns0:c>
      <ns0:c r="D9" s="3">
        <ns0:f>ROUND(D209*D329,2)</ns0:f>
        <ns0:v>886.60</ns0:v>
      </ns0:c>
      <ns0:c r="E9" s="8">
        <ns0:f>ROUND(E209*E329,2)</ns0:f>
        <ns0:v>793.08</ns0:v>
      </ns0:c>
      <ns0:c r="F9" s="8">
        <ns0:f>ROUND(F209*F329,2)</ns0:f>
        <ns0:v>885.87</ns0:v>
      </ns0:c>
      <ns0:c r="G9" s="8">
        <ns0:f>ROUND(G209*G329,2)</ns0:f>
        <ns0:v>936.35</ns0:v>
      </ns0:c>
      <ns0:c r="H9" s="8">
        <ns0:f>ROUND(H209*H329,2)</ns0:f>
        <ns0:v>998.01</ns0:v>
      </ns0:c>
      <ns0:c r="I9" s="8">
        <ns0:f>ROUND(I209*I329,2)</ns0:f>
        <ns0:v>0.00</ns0:v>
      </ns0:c>
      <ns0:c r="J9" s="8">
        <ns0:f>ROUND(J209*J329,2)</ns0:f>
        <ns0:v>0.00</ns0:v>
      </ns0:c>
      <ns0:c r="K9" s="8">
        <ns0:f>ROUND(K209*K329,2)</ns0:f>
        <ns0:v>0.00</ns0:v>
      </ns0:c>
      <ns0:c r="L9" s="8">
        <ns0:f>ROUND(L209*L329,2)</ns0:f>
        <ns0:v>0.00</ns0:v>
      </ns0:c>
      <ns0:c r="M9" s="8">
        <ns0:f>ROUND(M209*M329,2)</ns0:f>
        <ns0:v>0.00</ns0:v>
      </ns0:c>
      <ns0:c r="N9" s="8">
        <ns0:f>ROUND(N209*N329,2)</ns0:f>
        <ns0:v>0.00</ns0:v>
      </ns0:c>
      <ns0:c r="O9" s="8">
        <ns0:f>SUM(C9:N9)</ns0:f>
        <ns0:v>5303.79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883.59</ns0:v>
      </ns0:c>
      <ns0:c r="D10" s="8">
        <ns0:f>ROUND(D210*D330,2)</ns0:f>
        <ns0:v>878.81</ns0:v>
      </ns0:c>
      <ns0:c r="E10" s="8">
        <ns0:f>ROUND(E210*E330,2)</ns0:f>
        <ns0:v>788.25</ns0:v>
      </ns0:c>
      <ns0:c r="F10" s="8">
        <ns0:f>ROUND(F210*F330,2)</ns0:f>
        <ns0:v>803.21</ns0:v>
      </ns0:c>
      <ns0:c r="G10" s="8">
        <ns0:f>ROUND(G210*G330,2)</ns0:f>
        <ns0:v>892.07</ns0:v>
      </ns0:c>
      <ns0:c r="H10" s="8">
        <ns0:f>ROUND(H210*H330,2)</ns0:f>
        <ns0:v>861.59</ns0:v>
      </ns0:c>
      <ns0:c r="I10" s="8">
        <ns0:f>ROUND(I210*I330,2)</ns0:f>
        <ns0:v>0.00</ns0:v>
      </ns0:c>
      <ns0:c r="J10" s="8">
        <ns0:f>ROUND(J210*J330,2)</ns0:f>
        <ns0:v>0.00</ns0:v>
      </ns0:c>
      <ns0:c r="K10" s="8">
        <ns0:f>ROUND(K210*K330,2)</ns0:f>
        <ns0:v>0.00</ns0:v>
      </ns0:c>
      <ns0:c r="L10" s="8">
        <ns0:f>ROUND(L210*L330,2)</ns0:f>
        <ns0:v>0.00</ns0:v>
      </ns0:c>
      <ns0:c r="M10" s="8">
        <ns0:f>ROUND(M210*M330,2)</ns0:f>
        <ns0:v>0.00</ns0:v>
      </ns0:c>
      <ns0:c r="N10" s="8">
        <ns0:f>ROUND(N210*N330,2)</ns0:f>
        <ns0:v>0.00</ns0:v>
      </ns0:c>
      <ns0:c r="O10" s="8">
        <ns0:f>SUM(C10:N10)</ns0:f>
        <ns0:v>5107.52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4517.09</ns0:v>
      </ns0:c>
      <ns0:c r="D11" s="8">
        <ns0:f>ROUND(D211*D331,2)</ns0:f>
        <ns0:v>4044.16</ns0:v>
      </ns0:c>
      <ns0:c r="E11" s="8">
        <ns0:f>ROUND(E211*E331,2)</ns0:f>
        <ns0:v>4172.40</ns0:v>
      </ns0:c>
      <ns0:c r="F11" s="8">
        <ns0:f>ROUND(F211*F331,2)</ns0:f>
        <ns0:v>4480.66</ns0:v>
      </ns0:c>
      <ns0:c r="G11" s="8">
        <ns0:f>ROUND(G211*G331,2)</ns0:f>
        <ns0:v>4407.29</ns0:v>
      </ns0:c>
      <ns0:c r="H11" s="8">
        <ns0:f>ROUND(H211*H331,2)</ns0:f>
        <ns0:v>4593.59</ns0:v>
      </ns0:c>
      <ns0:c r="I11" s="8">
        <ns0:f>ROUND(I211*I331,2)</ns0:f>
        <ns0:v>0.00</ns0:v>
      </ns0:c>
      <ns0:c r="J11" s="8">
        <ns0:f>ROUND(J211*J331,2)</ns0:f>
        <ns0:v>0.00</ns0:v>
      </ns0:c>
      <ns0:c r="K11" s="8">
        <ns0:f>ROUND(K211*K331,2)</ns0:f>
        <ns0:v>0.00</ns0:v>
      </ns0:c>
      <ns0:c r="L11" s="8">
        <ns0:f>ROUND(L211*L331,2)</ns0:f>
        <ns0:v>0.00</ns0:v>
      </ns0:c>
      <ns0:c r="M11" s="8">
        <ns0:f>ROUND(M211*M331,2)</ns0:f>
        <ns0:v>0.00</ns0:v>
      </ns0:c>
      <ns0:c r="N11" s="8">
        <ns0:f>ROUND(N211*N331,2)</ns0:f>
        <ns0:v>0.00</ns0:v>
      </ns0:c>
      <ns0:c r="O11" s="8">
        <ns0:f>SUM(C11:N11)</ns0:f>
        <ns0:v>26215.19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1019.93</ns0:v>
      </ns0:c>
      <ns0:c r="D12" s="8">
        <ns0:f>ROUND(D212*D332,2)</ns0:f>
        <ns0:v>1017.17</ns0:v>
      </ns0:c>
      <ns0:c r="E12" s="8">
        <ns0:f>ROUND(E212*E332,2)</ns0:f>
        <ns0:v>976.16</ns0:v>
      </ns0:c>
      <ns0:c r="F12" s="8">
        <ns0:f>ROUND(F212*F332,2)</ns0:f>
        <ns0:v>969.65</ns0:v>
      </ns0:c>
      <ns0:c r="G12" s="8">
        <ns0:f>ROUND(G212*G332,2)</ns0:f>
        <ns0:v>1004.09</ns0:v>
      </ns0:c>
      <ns0:c r="H12" s="8">
        <ns0:f>ROUND(H212*H332,2)</ns0:f>
        <ns0:v>1130.48</ns0:v>
      </ns0:c>
      <ns0:c r="I12" s="8">
        <ns0:f>ROUND(I212*I332,2)</ns0:f>
        <ns0:v>0.00</ns0:v>
      </ns0:c>
      <ns0:c r="J12" s="8">
        <ns0:f>ROUND(J212*J332,2)</ns0:f>
        <ns0:v>0.00</ns0:v>
      </ns0:c>
      <ns0:c r="K12" s="8">
        <ns0:f>ROUND(K212*K332,2)</ns0:f>
        <ns0:v>0.00</ns0:v>
      </ns0:c>
      <ns0:c r="L12" s="8">
        <ns0:f>ROUND(L212*L332,2)</ns0:f>
        <ns0:v>0.00</ns0:v>
      </ns0:c>
      <ns0:c r="M12" s="8">
        <ns0:f>ROUND(M212*M332,2)</ns0:f>
        <ns0:v>0.00</ns0:v>
      </ns0:c>
      <ns0:c r="N12" s="8">
        <ns0:f>ROUND(N212*N332,2)</ns0:f>
        <ns0:v>0.00</ns0:v>
      </ns0:c>
      <ns0:c r="O12" s="8">
        <ns0:f>SUM(C12:N12)</ns0:f>
        <ns0:v>6117.48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1253.99</ns0:v>
      </ns0:c>
      <ns0:c r="D13" s="8">
        <ns0:f>ROUND(D213*D333,2)</ns0:f>
        <ns0:v>1379.03</ns0:v>
      </ns0:c>
      <ns0:c r="E13" s="8">
        <ns0:f>ROUND(E213*E333,2)</ns0:f>
        <ns0:v>1367.87</ns0:v>
      </ns0:c>
      <ns0:c r="F13" s="8">
        <ns0:f>ROUND(F213*F333,2)</ns0:f>
        <ns0:v>1454.44</ns0:v>
      </ns0:c>
      <ns0:c r="G13" s="8">
        <ns0:f>ROUND(G213*G333,2)</ns0:f>
        <ns0:v>1177.27</ns0:v>
      </ns0:c>
      <ns0:c r="H13" s="8">
        <ns0:f>ROUND(H213*H333,2)</ns0:f>
        <ns0:v>1314.30</ns0:v>
      </ns0:c>
      <ns0:c r="I13" s="8">
        <ns0:f>ROUND(I213*I333,2)</ns0:f>
        <ns0:v>0.00</ns0:v>
      </ns0:c>
      <ns0:c r="J13" s="8">
        <ns0:f>ROUND(J213*J333,2)</ns0:f>
        <ns0:v>0.00</ns0:v>
      </ns0:c>
      <ns0:c r="K13" s="8">
        <ns0:f>ROUND(K213*K333,2)</ns0:f>
        <ns0:v>0.00</ns0:v>
      </ns0:c>
      <ns0:c r="L13" s="8">
        <ns0:f>ROUND(L213*L333,2)</ns0:f>
        <ns0:v>0.00</ns0:v>
      </ns0:c>
      <ns0:c r="M13" s="8">
        <ns0:f>ROUND(M213*M333,2)</ns0:f>
        <ns0:v>0.00</ns0:v>
      </ns0:c>
      <ns0:c r="N13" s="8">
        <ns0:f>ROUND(N213*N333,2)</ns0:f>
        <ns0:v>0.00</ns0:v>
      </ns0:c>
      <ns0:c r="O13" s="8">
        <ns0:f>SUM(C13:N13)</ns0:f>
        <ns0:v>7946.90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1590.05</ns0:v>
      </ns0:c>
      <ns0:c r="D14" s="8">
        <ns0:f>ROUND(D214*D334,2)</ns0:f>
        <ns0:v>1737.89</ns0:v>
      </ns0:c>
      <ns0:c r="E14" s="8">
        <ns0:f>ROUND(E214*E334,2)</ns0:f>
        <ns0:v>1452.45</ns0:v>
      </ns0:c>
      <ns0:c r="F14" s="8">
        <ns0:f>ROUND(F214*F334,2)</ns0:f>
        <ns0:v>1439.49</ns0:v>
      </ns0:c>
      <ns0:c r="G14" s="8">
        <ns0:f>ROUND(G214*G334,2)</ns0:f>
        <ns0:v>1773.42</ns0:v>
      </ns0:c>
      <ns0:c r="H14" s="8">
        <ns0:f>ROUND(H214*H334,2)</ns0:f>
        <ns0:v>1477.80</ns0:v>
      </ns0:c>
      <ns0:c r="I14" s="8">
        <ns0:f>ROUND(I214*I334,2)</ns0:f>
        <ns0:v>0.00</ns0:v>
      </ns0:c>
      <ns0:c r="J14" s="8">
        <ns0:f>ROUND(J214*J334,2)</ns0:f>
        <ns0:v>0.00</ns0:v>
      </ns0:c>
      <ns0:c r="K14" s="8">
        <ns0:f>ROUND(K214*K334,2)</ns0:f>
        <ns0:v>0.00</ns0:v>
      </ns0:c>
      <ns0:c r="L14" s="8">
        <ns0:f>ROUND(L214*L334,2)</ns0:f>
        <ns0:v>0.00</ns0:v>
      </ns0:c>
      <ns0:c r="M14" s="8">
        <ns0:f>ROUND(M214*M334,2)</ns0:f>
        <ns0:v>0.00</ns0:v>
      </ns0:c>
      <ns0:c r="N14" s="8">
        <ns0:f>ROUND(N214*N334,2)</ns0:f>
        <ns0:v>0.00</ns0:v>
      </ns0:c>
      <ns0:c r="O14" s="8">
        <ns0:f>SUM(C14:N14)</ns0:f>
        <ns0:v>9471.10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938.96</ns0:v>
      </ns0:c>
      <ns0:c r="D15" s="8">
        <ns0:f>ROUND(D215*D335,2)</ns0:f>
        <ns0:v>804.77</ns0:v>
      </ns0:c>
      <ns0:c r="E15" s="8">
        <ns0:f>ROUND(E215*E335,2)</ns0:f>
        <ns0:v>1004.57</ns0:v>
      </ns0:c>
      <ns0:c r="F15" s="8">
        <ns0:f>ROUND(F215*F335,2)</ns0:f>
        <ns0:v>822.08</ns0:v>
      </ns0:c>
      <ns0:c r="G15" s="8">
        <ns0:f>ROUND(G215*G335,2)</ns0:f>
        <ns0:v>835.31</ns0:v>
      </ns0:c>
      <ns0:c r="H15" s="8">
        <ns0:f>ROUND(H215*H335,2)</ns0:f>
        <ns0:v>977.77</ns0:v>
      </ns0:c>
      <ns0:c r="I15" s="8">
        <ns0:f>ROUND(I215*I335,2)</ns0:f>
        <ns0:v>0.00</ns0:v>
      </ns0:c>
      <ns0:c r="J15" s="8">
        <ns0:f>ROUND(J215*J335,2)</ns0:f>
        <ns0:v>0.00</ns0:v>
      </ns0:c>
      <ns0:c r="K15" s="8">
        <ns0:f>ROUND(K215*K335,2)</ns0:f>
        <ns0:v>0.00</ns0:v>
      </ns0:c>
      <ns0:c r="L15" s="8">
        <ns0:f>ROUND(L215*L335,2)</ns0:f>
        <ns0:v>0.00</ns0:v>
      </ns0:c>
      <ns0:c r="M15" s="8">
        <ns0:f>ROUND(M215*M335,2)</ns0:f>
        <ns0:v>0.00</ns0:v>
      </ns0:c>
      <ns0:c r="N15" s="8">
        <ns0:f>ROUND(N215*N335,2)</ns0:f>
        <ns0:v>0.00</ns0:v>
      </ns0:c>
      <ns0:c r="O15" s="8">
        <ns0:f>SUM(C15:N15)</ns0:f>
        <ns0:v>5383.46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1997.11</ns0:v>
      </ns0:c>
      <ns0:c r="D16" s="8">
        <ns0:f>ROUND(D216*D336,2)</ns0:f>
        <ns0:v>1647.38</ns0:v>
      </ns0:c>
      <ns0:c r="E16" s="8">
        <ns0:f>ROUND(E216*E336,2)</ns0:f>
        <ns0:v>1789.56</ns0:v>
      </ns0:c>
      <ns0:c r="F16" s="8">
        <ns0:f>ROUND(F216*F336,2)</ns0:f>
        <ns0:v>1675.99</ns0:v>
      </ns0:c>
      <ns0:c r="G16" s="8">
        <ns0:f>ROUND(G216*G336,2)</ns0:f>
        <ns0:v>1931.02</ns0:v>
      </ns0:c>
      <ns0:c r="H16" s="8">
        <ns0:f>ROUND(H216*H336,2)</ns0:f>
        <ns0:v>1878.29</ns0:v>
      </ns0:c>
      <ns0:c r="I16" s="8">
        <ns0:f>ROUND(I216*I336,2)</ns0:f>
        <ns0:v>0.00</ns0:v>
      </ns0:c>
      <ns0:c r="J16" s="8">
        <ns0:f>ROUND(J216*J336,2)</ns0:f>
        <ns0:v>0.00</ns0:v>
      </ns0:c>
      <ns0:c r="K16" s="8">
        <ns0:f>ROUND(K216*K336,2)</ns0:f>
        <ns0:v>0.00</ns0:v>
      </ns0:c>
      <ns0:c r="L16" s="8">
        <ns0:f>ROUND(L216*L336,2)</ns0:f>
        <ns0:v>0.00</ns0:v>
      </ns0:c>
      <ns0:c r="M16" s="8">
        <ns0:f>ROUND(M216*M336,2)</ns0:f>
        <ns0:v>0.00</ns0:v>
      </ns0:c>
      <ns0:c r="N16" s="8">
        <ns0:f>ROUND(N216*N336,2)</ns0:f>
        <ns0:v>0.00</ns0:v>
      </ns0:c>
      <ns0:c r="O16" s="8">
        <ns0:f>SUM(C16:N16)</ns0:f>
        <ns0:v>10919.35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1866.97</ns0:v>
      </ns0:c>
      <ns0:c r="D17" s="8">
        <ns0:f>ROUND(D217*D337,2)</ns0:f>
        <ns0:v>1993.50</ns0:v>
      </ns0:c>
      <ns0:c r="E17" s="8">
        <ns0:f>ROUND(E217*E337,2)</ns0:f>
        <ns0:v>1619.46</ns0:v>
      </ns0:c>
      <ns0:c r="F17" s="8">
        <ns0:f>ROUND(F217*F337,2)</ns0:f>
        <ns0:v>1589.04</ns0:v>
      </ns0:c>
      <ns0:c r="G17" s="8">
        <ns0:f>ROUND(G217*G337,2)</ns0:f>
        <ns0:v>1640.15</ns0:v>
      </ns0:c>
      <ns0:c r="H17" s="8">
        <ns0:f>ROUND(H217*H337,2)</ns0:f>
        <ns0:v>1618.57</ns0:v>
      </ns0:c>
      <ns0:c r="I17" s="8">
        <ns0:f>ROUND(I217*I337,2)</ns0:f>
        <ns0:v>0.00</ns0:v>
      </ns0:c>
      <ns0:c r="J17" s="8">
        <ns0:f>ROUND(J217*J337,2)</ns0:f>
        <ns0:v>0.00</ns0:v>
      </ns0:c>
      <ns0:c r="K17" s="8">
        <ns0:f>ROUND(K217*K337,2)</ns0:f>
        <ns0:v>0.00</ns0:v>
      </ns0:c>
      <ns0:c r="L17" s="8">
        <ns0:f>ROUND(L217*L337,2)</ns0:f>
        <ns0:v>0.00</ns0:v>
      </ns0:c>
      <ns0:c r="M17" s="8">
        <ns0:f>ROUND(M217*M337,2)</ns0:f>
        <ns0:v>0.00</ns0:v>
      </ns0:c>
      <ns0:c r="N17" s="8">
        <ns0:f>ROUND(N217*N337,2)</ns0:f>
        <ns0:v>0.00</ns0:v>
      </ns0:c>
      <ns0:c r="O17" s="8">
        <ns0:f>SUM(C17:N17)</ns0:f>
        <ns0:v>10327.69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775.42</ns0:v>
      </ns0:c>
      <ns0:c r="D18" s="8">
        <ns0:f>ROUND(D218*D338,2)</ns0:f>
        <ns0:v>756.86</ns0:v>
      </ns0:c>
      <ns0:c r="E18" s="8">
        <ns0:f>ROUND(E218*E338,2)</ns0:f>
        <ns0:v>657.30</ns0:v>
      </ns0:c>
      <ns0:c r="F18" s="8">
        <ns0:f>ROUND(F218*F338,2)</ns0:f>
        <ns0:v>697.96</ns0:v>
      </ns0:c>
      <ns0:c r="G18" s="8">
        <ns0:f>ROUND(G218*G338,2)</ns0:f>
        <ns0:v>728.32</ns0:v>
      </ns0:c>
      <ns0:c r="H18" s="8">
        <ns0:f>ROUND(H218*H338,2)</ns0:f>
        <ns0:v>757.72</ns0:v>
      </ns0:c>
      <ns0:c r="I18" s="8">
        <ns0:f>ROUND(I218*I338,2)</ns0:f>
        <ns0:v>0.00</ns0:v>
      </ns0:c>
      <ns0:c r="J18" s="8">
        <ns0:f>ROUND(J218*J338,2)</ns0:f>
        <ns0:v>0.00</ns0:v>
      </ns0:c>
      <ns0:c r="K18" s="8">
        <ns0:f>ROUND(K218*K338,2)</ns0:f>
        <ns0:v>0.00</ns0:v>
      </ns0:c>
      <ns0:c r="L18" s="8">
        <ns0:f>ROUND(L218*L338,2)</ns0:f>
        <ns0:v>0.00</ns0:v>
      </ns0:c>
      <ns0:c r="M18" s="8">
        <ns0:f>ROUND(M218*M338,2)</ns0:f>
        <ns0:v>0.00</ns0:v>
      </ns0:c>
      <ns0:c r="N18" s="8">
        <ns0:f>ROUND(N218*N338,2)</ns0:f>
        <ns0:v>0.00</ns0:v>
      </ns0:c>
      <ns0:c r="O18" s="8">
        <ns0:f>SUM(C18:N18)</ns0:f>
        <ns0:v>4373.58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362.47</ns0:v>
      </ns0:c>
      <ns0:c r="D19" s="8">
        <ns0:f>ROUND(D219*D339,2)</ns0:f>
        <ns0:v>390.10</ns0:v>
      </ns0:c>
      <ns0:c r="E19" s="8">
        <ns0:f>ROUND(E219*E339,2)</ns0:f>
        <ns0:v>371.46</ns0:v>
      </ns0:c>
      <ns0:c r="F19" s="8">
        <ns0:f>ROUND(F219*F339,2)</ns0:f>
        <ns0:v>369.77</ns0:v>
      </ns0:c>
      <ns0:c r="G19" s="8">
        <ns0:f>ROUND(G219*G339,2)</ns0:f>
        <ns0:v>405.46</ns0:v>
      </ns0:c>
      <ns0:c r="H19" s="8">
        <ns0:f>ROUND(H219*H339,2)</ns0:f>
        <ns0:v>353.50</ns0:v>
      </ns0:c>
      <ns0:c r="I19" s="8">
        <ns0:f>ROUND(I219*I339,2)</ns0:f>
        <ns0:v>0.00</ns0:v>
      </ns0:c>
      <ns0:c r="J19" s="8">
        <ns0:f>ROUND(J219*J339,2)</ns0:f>
        <ns0:v>0.00</ns0:v>
      </ns0:c>
      <ns0:c r="K19" s="8">
        <ns0:f>ROUND(K219*K339,2)</ns0:f>
        <ns0:v>0.00</ns0:v>
      </ns0:c>
      <ns0:c r="L19" s="8">
        <ns0:f>ROUND(L219*L339,2)</ns0:f>
        <ns0:v>0.00</ns0:v>
      </ns0:c>
      <ns0:c r="M19" s="8">
        <ns0:f>ROUND(M219*M339,2)</ns0:f>
        <ns0:v>0.00</ns0:v>
      </ns0:c>
      <ns0:c r="N19" s="8">
        <ns0:f>ROUND(N219*N339,2)</ns0:f>
        <ns0:v>0.00</ns0:v>
      </ns0:c>
      <ns0:c r="O19" s="8">
        <ns0:f>SUM(C19:N19)</ns0:f>
        <ns0:v>2252.76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700.00</ns0:v>
      </ns0:c>
      <ns0:c r="D20" s="8">
        <ns0:f>ROUND('摊销明细'!D33/3,2)</ns0:f>
        <ns0:v>700.00</ns0:v>
      </ns0:c>
      <ns0:c r="E20" s="8">
        <ns0:f>ROUND('摊销明细'!E33/3,2)</ns0:f>
        <ns0:v>700.00</ns0:v>
      </ns0:c>
      <ns0:c r="F20" s="8">
        <ns0:f>ROUND('摊销明细'!F33/3,2)</ns0:f>
        <ns0:v>700.00</ns0:v>
      </ns0:c>
      <ns0:c r="G20" s="8">
        <ns0:f>ROUND('摊销明细'!G33/3,2)</ns0:f>
        <ns0:v>700.00</ns0:v>
      </ns0:c>
      <ns0:c r="H20" s="8">
        <ns0:f>ROUND('摊销明细'!H33/3,2)</ns0:f>
        <ns0:v>700.00</ns0:v>
      </ns0:c>
      <ns0:c r="I20" s="8">
        <ns0:f>ROUND('摊销明细'!I33/3,2)</ns0:f>
        <ns0:v>700.00</ns0:v>
      </ns0:c>
      <ns0:c r="J20" s="8">
        <ns0:f>ROUND('摊销明细'!J33/3,2)</ns0:f>
        <ns0:v>700.00</ns0:v>
      </ns0:c>
      <ns0:c r="K20" s="8">
        <ns0:f>ROUND('摊销明细'!K33/3,2)</ns0:f>
        <ns0:v>700.00</ns0:v>
      </ns0:c>
      <ns0:c r="L20" s="8">
        <ns0:f>ROUND('摊销明细'!L33/3,2)</ns0:f>
        <ns0:v>700.00</ns0:v>
      </ns0:c>
      <ns0:c r="M20" s="8">
        <ns0:f>ROUND('摊销明细'!M33/3,2)</ns0:f>
        <ns0:v>700.00</ns0:v>
      </ns0:c>
      <ns0:c r="N20" s="8">
        <ns0:f>ROUND('摊销明细'!N33/3,2)</ns0:f>
        <ns0:v>700.00</ns0:v>
      </ns0:c>
      <ns0:c r="O20" s="8">
        <ns0:f>SUM(C20:N20)</ns0:f>
        <ns0:v>8400.00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885.63</ns0:v>
      </ns0:c>
      <ns0:c r="D21" s="8">
        <ns0:f>ROUND(D221*D341,2)</ns0:f>
        <ns0:v>884.07</ns0:v>
      </ns0:c>
      <ns0:c r="E21" s="8">
        <ns0:f>ROUND(E221*E341,2)</ns0:f>
        <ns0:v>883.17</ns0:v>
      </ns0:c>
      <ns0:c r="F21" s="8">
        <ns0:f>ROUND(F221*F341,2)</ns0:f>
        <ns0:v>866.71</ns0:v>
      </ns0:c>
      <ns0:c r="G21" s="8">
        <ns0:f>ROUND(G221*G341,2)</ns0:f>
        <ns0:v>773.18</ns0:v>
      </ns0:c>
      <ns0:c r="H21" s="8">
        <ns0:f>ROUND(H221*H341,2)</ns0:f>
        <ns0:v>745.25</ns0:v>
      </ns0:c>
      <ns0:c r="I21" s="8">
        <ns0:f>ROUND(I221*I341,2)</ns0:f>
        <ns0:v>0.00</ns0:v>
      </ns0:c>
      <ns0:c r="J21" s="8">
        <ns0:f>ROUND(J221*J341,2)</ns0:f>
        <ns0:v>0.00</ns0:v>
      </ns0:c>
      <ns0:c r="K21" s="8">
        <ns0:f>ROUND(K221*K341,2)</ns0:f>
        <ns0:v>0.00</ns0:v>
      </ns0:c>
      <ns0:c r="L21" s="8">
        <ns0:f>ROUND(L221*L341,2)</ns0:f>
        <ns0:v>0.00</ns0:v>
      </ns0:c>
      <ns0:c r="M21" s="8">
        <ns0:f>ROUND(M221*M341,2)</ns0:f>
        <ns0:v>0.00</ns0:v>
      </ns0:c>
      <ns0:c r="N21" s="8">
        <ns0:f>ROUND(N221*N341,2)</ns0:f>
        <ns0:v>0.00</ns0:v>
      </ns0:c>
      <ns0:c r="O21" s="8">
        <ns0:f>SUM(C21:N21)</ns0:f>
        <ns0:v>5038.01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579.01</ns0:v>
      </ns0:c>
      <ns0:c r="D22" s="8">
        <ns0:f>ROUND(D222*D342,2)</ns0:f>
        <ns0:v>662.94</ns0:v>
      </ns0:c>
      <ns0:c r="E22" s="8">
        <ns0:f>ROUND(E222*E342,2)</ns0:f>
        <ns0:v>599.76</ns0:v>
      </ns0:c>
      <ns0:c r="F22" s="8">
        <ns0:f>ROUND(F222*F342,2)</ns0:f>
        <ns0:v>539.58</ns0:v>
      </ns0:c>
      <ns0:c r="G22" s="8">
        <ns0:f>ROUND(G222*G342,2)</ns0:f>
        <ns0:v>611.51</ns0:v>
      </ns0:c>
      <ns0:c r="H22" s="8">
        <ns0:f>ROUND(H222*H342,2)</ns0:f>
        <ns0:v>637.45</ns0:v>
      </ns0:c>
      <ns0:c r="I22" s="8">
        <ns0:f>ROUND(I222*I342,2)</ns0:f>
        <ns0:v>0.00</ns0:v>
      </ns0:c>
      <ns0:c r="J22" s="8">
        <ns0:f>ROUND(J222*J342,2)</ns0:f>
        <ns0:v>0.00</ns0:v>
      </ns0:c>
      <ns0:c r="K22" s="8">
        <ns0:f>ROUND(K222*K342,2)</ns0:f>
        <ns0:v>0.00</ns0:v>
      </ns0:c>
      <ns0:c r="L22" s="8">
        <ns0:f>ROUND(L222*L342,2)</ns0:f>
        <ns0:v>0.00</ns0:v>
      </ns0:c>
      <ns0:c r="M22" s="8">
        <ns0:f>ROUND(M222*M342,2)</ns0:f>
        <ns0:v>0.00</ns0:v>
      </ns0:c>
      <ns0:c r="N22" s="8">
        <ns0:f>ROUND(N222*N342,2)</ns0:f>
        <ns0:v>0.00</ns0:v>
      </ns0:c>
      <ns0:c r="O22" s="8">
        <ns0:f>SUM(C22:N22)</ns0:f>
        <ns0:v>3630.25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366.28</ns0:v>
      </ns0:c>
      <ns0:c r="D23" s="8">
        <ns0:f>ROUND(D223*D343,2)</ns0:f>
        <ns0:v>372.68</ns0:v>
      </ns0:c>
      <ns0:c r="E23" s="8">
        <ns0:f>ROUND(E223*E343,2)</ns0:f>
        <ns0:v>417.75</ns0:v>
      </ns0:c>
      <ns0:c r="F23" s="8">
        <ns0:f>ROUND(F223*F343,2)</ns0:f>
        <ns0:v>356.17</ns0:v>
      </ns0:c>
      <ns0:c r="G23" s="8">
        <ns0:f>ROUND(G223*G343,2)</ns0:f>
        <ns0:v>409.53</ns0:v>
      </ns0:c>
      <ns0:c r="H23" s="8">
        <ns0:f>ROUND(H223*H343,2)</ns0:f>
        <ns0:v>366.70</ns0:v>
      </ns0:c>
      <ns0:c r="I23" s="8">
        <ns0:f>ROUND(I223*I343,2)</ns0:f>
        <ns0:v>0.00</ns0:v>
      </ns0:c>
      <ns0:c r="J23" s="8">
        <ns0:f>ROUND(J223*J343,2)</ns0:f>
        <ns0:v>0.00</ns0:v>
      </ns0:c>
      <ns0:c r="K23" s="8">
        <ns0:f>ROUND(K223*K343,2)</ns0:f>
        <ns0:v>0.00</ns0:v>
      </ns0:c>
      <ns0:c r="L23" s="8">
        <ns0:f>ROUND(L223*L343,2)</ns0:f>
        <ns0:v>0.00</ns0:v>
      </ns0:c>
      <ns0:c r="M23" s="8">
        <ns0:f>ROUND(M223*M343,2)</ns0:f>
        <ns0:v>0.00</ns0:v>
      </ns0:c>
      <ns0:c r="N23" s="8">
        <ns0:f>ROUND(N223*N343,2)</ns0:f>
        <ns0:v>0.00</ns0:v>
      </ns0:c>
      <ns0:c r="O23" s="8">
        <ns0:f>SUM(C23:N23)</ns0:f>
        <ns0:v>2289.11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295.14</ns0:v>
      </ns0:c>
      <ns0:c r="D24" s="8">
        <ns0:f>ROUND(D224*D344,2)</ns0:f>
        <ns0:v>318.54</ns0:v>
      </ns0:c>
      <ns0:c r="E24" s="8">
        <ns0:f>ROUND(E224*E344,2)</ns0:f>
        <ns0:v>307.64</ns0:v>
      </ns0:c>
      <ns0:c r="F24" s="8">
        <ns0:f>ROUND(F224*F344,2)</ns0:f>
        <ns0:v>321.08</ns0:v>
      </ns0:c>
      <ns0:c r="G24" s="8">
        <ns0:f>ROUND(G224*G344,2)</ns0:f>
        <ns0:v>281.23</ns0:v>
      </ns0:c>
      <ns0:c r="H24" s="8">
        <ns0:f>ROUND(H224*H344,2)</ns0:f>
        <ns0:v>265.80</ns0:v>
      </ns0:c>
      <ns0:c r="I24" s="8">
        <ns0:f>ROUND(I224*I344,2)</ns0:f>
        <ns0:v>0.00</ns0:v>
      </ns0:c>
      <ns0:c r="J24" s="8">
        <ns0:f>ROUND(J224*J344,2)</ns0:f>
        <ns0:v>0.00</ns0:v>
      </ns0:c>
      <ns0:c r="K24" s="8">
        <ns0:f>ROUND(K224*K344,2)</ns0:f>
        <ns0:v>0.00</ns0:v>
      </ns0:c>
      <ns0:c r="L24" s="8">
        <ns0:f>ROUND(L224*L344,2)</ns0:f>
        <ns0:v>0.00</ns0:v>
      </ns0:c>
      <ns0:c r="M24" s="8">
        <ns0:f>ROUND(M224*M344,2)</ns0:f>
        <ns0:v>0.00</ns0:v>
      </ns0:c>
      <ns0:c r="N24" s="8">
        <ns0:f>ROUND(N224*N344,2)</ns0:f>
        <ns0:v>0.00</ns0:v>
      </ns0:c>
      <ns0:c r="O24" s="8">
        <ns0:f>SUM(C24:N24)</ns0:f>
        <ns0:v>1789.43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703.63</ns0:v>
      </ns0:c>
      <ns0:c r="D25" s="8">
        <ns0:f>ROUND(D225*D345,2)</ns0:f>
        <ns0:v>752.86</ns0:v>
      </ns0:c>
      <ns0:c r="E25" s="8">
        <ns0:f>ROUND(E225*E345,2)</ns0:f>
        <ns0:v>754.52</ns0:v>
      </ns0:c>
      <ns0:c r="F25" s="8">
        <ns0:f>ROUND(F225*F345,2)</ns0:f>
        <ns0:v>765.74</ns0:v>
      </ns0:c>
      <ns0:c r="G25" s="8">
        <ns0:f>ROUND(G225*G345,2)</ns0:f>
        <ns0:v>761.52</ns0:v>
      </ns0:c>
      <ns0:c r="H25" s="8">
        <ns0:f>ROUND(H225*H345,2)</ns0:f>
        <ns0:v>706.85</ns0:v>
      </ns0:c>
      <ns0:c r="I25" s="8">
        <ns0:f>ROUND(I225*I345,2)</ns0:f>
        <ns0:v>0.00</ns0:v>
      </ns0:c>
      <ns0:c r="J25" s="8">
        <ns0:f>ROUND(J225*J345,2)</ns0:f>
        <ns0:v>0.00</ns0:v>
      </ns0:c>
      <ns0:c r="K25" s="8">
        <ns0:f>ROUND(K225*K345,2)</ns0:f>
        <ns0:v>0.00</ns0:v>
      </ns0:c>
      <ns0:c r="L25" s="8">
        <ns0:f>ROUND(L225*L345,2)</ns0:f>
        <ns0:v>0.00</ns0:v>
      </ns0:c>
      <ns0:c r="M25" s="8">
        <ns0:f>ROUND(M225*M345,2)</ns0:f>
        <ns0:v>0.00</ns0:v>
      </ns0:c>
      <ns0:c r="N25" s="8">
        <ns0:f>ROUND(N225*N345,2)</ns0:f>
        <ns0:v>0.00</ns0:v>
      </ns0:c>
      <ns0:c r="O25" s="8">
        <ns0:f>SUM(C25:N25)</ns0:f>
        <ns0:v>4445.12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498.53</ns0:v>
      </ns0:c>
      <ns0:c r="D26" s="8">
        <ns0:f>ROUND(D226*D346,2)</ns0:f>
        <ns0:v>482.55</ns0:v>
      </ns0:c>
      <ns0:c r="E26" s="8">
        <ns0:f>ROUND(E226*E346,2)</ns0:f>
        <ns0:v>500.46</ns0:v>
      </ns0:c>
      <ns0:c r="F26" s="8">
        <ns0:f>ROUND(F226*F346,2)</ns0:f>
        <ns0:v>534.44</ns0:v>
      </ns0:c>
      <ns0:c r="G26" s="8">
        <ns0:f>ROUND(G226*G346,2)</ns0:f>
        <ns0:v>556.41</ns0:v>
      </ns0:c>
      <ns0:c r="H26" s="8">
        <ns0:f>ROUND(H226*H346,2)</ns0:f>
        <ns0:v>559.78</ns0:v>
      </ns0:c>
      <ns0:c r="I26" s="8">
        <ns0:f>ROUND(I226*I346,2)</ns0:f>
        <ns0:v>0.00</ns0:v>
      </ns0:c>
      <ns0:c r="J26" s="8">
        <ns0:f>ROUND(J226*J346,2)</ns0:f>
        <ns0:v>0.00</ns0:v>
      </ns0:c>
      <ns0:c r="K26" s="8">
        <ns0:f>ROUND(K226*K346,2)</ns0:f>
        <ns0:v>0.00</ns0:v>
      </ns0:c>
      <ns0:c r="L26" s="8">
        <ns0:f>ROUND(L226*L346,2)</ns0:f>
        <ns0:v>0.00</ns0:v>
      </ns0:c>
      <ns0:c r="M26" s="8">
        <ns0:f>ROUND(M226*M346,2)</ns0:f>
        <ns0:v>0.00</ns0:v>
      </ns0:c>
      <ns0:c r="N26" s="8">
        <ns0:f>ROUND(N226*N346,2)</ns0:f>
        <ns0:v>0.00</ns0:v>
      </ns0:c>
      <ns0:c r="O26" s="8">
        <ns0:f>SUM(C26:N26)</ns0:f>
        <ns0:v>3132.17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662.52</ns0:v>
      </ns0:c>
      <ns0:c r="D27" s="8">
        <ns0:f>ROUND(D227*D347,2)</ns0:f>
        <ns0:v>611.57</ns0:v>
      </ns0:c>
      <ns0:c r="E27" s="8">
        <ns0:f>ROUND(E227*E347,2)</ns0:f>
        <ns0:v>558.55</ns0:v>
      </ns0:c>
      <ns0:c r="F27" s="8">
        <ns0:f>ROUND(F227*F347,2)</ns0:f>
        <ns0:v>618.67</ns0:v>
      </ns0:c>
      <ns0:c r="G27" s="8">
        <ns0:f>ROUND(G227*G347,2)</ns0:f>
        <ns0:v>642.43</ns0:v>
      </ns0:c>
      <ns0:c r="H27" s="8">
        <ns0:f>ROUND(H227*H347,2)</ns0:f>
        <ns0:v>548.22</ns0:v>
      </ns0:c>
      <ns0:c r="I27" s="8">
        <ns0:f>ROUND(I227*I347,2)</ns0:f>
        <ns0:v>0.00</ns0:v>
      </ns0:c>
      <ns0:c r="J27" s="8">
        <ns0:f>ROUND(J227*J347,2)</ns0:f>
        <ns0:v>0.00</ns0:v>
      </ns0:c>
      <ns0:c r="K27" s="8">
        <ns0:f>ROUND(K227*K347,2)</ns0:f>
        <ns0:v>0.00</ns0:v>
      </ns0:c>
      <ns0:c r="L27" s="8">
        <ns0:f>ROUND(L227*L347,2)</ns0:f>
        <ns0:v>0.00</ns0:v>
      </ns0:c>
      <ns0:c r="M27" s="8">
        <ns0:f>ROUND(M227*M347,2)</ns0:f>
        <ns0:v>0.00</ns0:v>
      </ns0:c>
      <ns0:c r="N27" s="8">
        <ns0:f>ROUND(N227*N347,2)</ns0:f>
        <ns0:v>0.00</ns0:v>
      </ns0:c>
      <ns0:c r="O27" s="8">
        <ns0:f>SUM(C27:N27)</ns0:f>
        <ns0:v>3641.96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360.36</ns0:v>
      </ns0:c>
      <ns0:c r="D28" s="8">
        <ns0:f>ROUND(D228*D348,2)</ns0:f>
        <ns0:v>315.76</ns0:v>
      </ns0:c>
      <ns0:c r="E28" s="8">
        <ns0:f>ROUND(E228*E348,2)</ns0:f>
        <ns0:v>331.51</ns0:v>
      </ns0:c>
      <ns0:c r="F28" s="8">
        <ns0:f>ROUND(F228*F348,2)</ns0:f>
        <ns0:v>365.88</ns0:v>
      </ns0:c>
      <ns0:c r="G28" s="8">
        <ns0:f>ROUND(G228*G348,2)</ns0:f>
        <ns0:v>334.28</ns0:v>
      </ns0:c>
      <ns0:c r="H28" s="8">
        <ns0:f>ROUND(H228*H348,2)</ns0:f>
        <ns0:v>364.67</ns0:v>
      </ns0:c>
      <ns0:c r="I28" s="8">
        <ns0:f>ROUND(I228*I348,2)</ns0:f>
        <ns0:v>0.00</ns0:v>
      </ns0:c>
      <ns0:c r="J28" s="8">
        <ns0:f>ROUND(J228*J348,2)</ns0:f>
        <ns0:v>0.00</ns0:v>
      </ns0:c>
      <ns0:c r="K28" s="8">
        <ns0:f>ROUND(K228*K348,2)</ns0:f>
        <ns0:v>0.00</ns0:v>
      </ns0:c>
      <ns0:c r="L28" s="8">
        <ns0:f>ROUND(L228*L348,2)</ns0:f>
        <ns0:v>0.00</ns0:v>
      </ns0:c>
      <ns0:c r="M28" s="8">
        <ns0:f>ROUND(M228*M348,2)</ns0:f>
        <ns0:v>0.00</ns0:v>
      </ns0:c>
      <ns0:c r="N28" s="8">
        <ns0:f>ROUND(N228*N348,2)</ns0:f>
        <ns0:v>0.00</ns0:v>
      </ns0:c>
      <ns0:c r="O28" s="8">
        <ns0:f>SUM(C28:N28)</ns0:f>
        <ns0:v>2072.46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0.00</ns0:v>
      </ns0:c>
      <ns0:c r="D30" s="9">
        <ns0:f>ROUND(D230*D350,2)</ns0:f>
        <ns0:v>0.00</ns0:v>
      </ns0:c>
      <ns0:c r="E30" s="9">
        <ns0:f>ROUND(E230*E350,2)</ns0:f>
        <ns0:v>0.00</ns0:v>
      </ns0:c>
      <ns0:c r="F30" s="9">
        <ns0:f>ROUND(F230*F350,2)</ns0:f>
        <ns0:v>0.00</ns0:v>
      </ns0:c>
      <ns0:c r="G30" s="9">
        <ns0:f>ROUND(G230*G350,2)</ns0:f>
        <ns0:v>0.00</ns0:v>
      </ns0:c>
      <ns0:c r="H30" s="9">
        <ns0:f>ROUND(H230*H350,2)</ns0:f>
        <ns0:v>0.00</ns0:v>
      </ns0:c>
      <ns0:c r="I30" s="9">
        <ns0:f>ROUND(I230*I350,2)</ns0:f>
        <ns0:v>0.00</ns0:v>
      </ns0:c>
      <ns0:c r="J30" s="9">
        <ns0:f>ROUND(J230*J350,2)</ns0:f>
        <ns0:v>0.00</ns0:v>
      </ns0:c>
      <ns0:c r="K30" s="9">
        <ns0:f>ROUND(K230*K350,2)</ns0:f>
        <ns0:v>0.00</ns0:v>
      </ns0:c>
      <ns0:c r="L30" s="9">
        <ns0:f>ROUND(L230*L350,2)</ns0:f>
        <ns0:v>0.00</ns0:v>
      </ns0:c>
      <ns0:c r="M30" s="9">
        <ns0:f>ROUND(M230*M350,2)</ns0:f>
        <ns0:v>0.00</ns0:v>
      </ns0:c>
      <ns0:c r="N30" s="9">
        <ns0:f>ROUND(N230*N350,2)</ns0:f>
        <ns0:v>0.00</ns0:v>
      </ns0:c>
      <ns0:c r="O30" s="9">
        <ns0:f>SUM(C30:N30)</ns0:f>
        <ns0:v>0.00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107.00</ns0:v>
      </ns0:c>
      <ns0:c r="D31" s="8">
        <ns0:f>ROUND(D231*D351,2)</ns0:f>
        <ns0:v>109.18</ns0:v>
      </ns0:c>
      <ns0:c r="E31" s="8">
        <ns0:f>ROUND(E231*E351,2)</ns0:f>
        <ns0:v>110.62</ns0:v>
      </ns0:c>
      <ns0:c r="F31" s="8">
        <ns0:f>ROUND(F231*F351,2)</ns0:f>
        <ns0:v>132.64</ns0:v>
      </ns0:c>
      <ns0:c r="G31" s="8">
        <ns0:f>ROUND(G231*G351,2)</ns0:f>
        <ns0:v>131.45</ns0:v>
      </ns0:c>
      <ns0:c r="H31" s="8">
        <ns0:f>ROUND(H231*H351,2)</ns0:f>
        <ns0:v>120.15</ns0:v>
      </ns0:c>
      <ns0:c r="I31" s="8">
        <ns0:f>ROUND(I231*I351,2)</ns0:f>
        <ns0:v>0.00</ns0:v>
      </ns0:c>
      <ns0:c r="J31" s="8">
        <ns0:f>ROUND(J231*J351,2)</ns0:f>
        <ns0:v>0.00</ns0:v>
      </ns0:c>
      <ns0:c r="K31" s="8">
        <ns0:f>ROUND(K231*K351,2)</ns0:f>
        <ns0:v>0.00</ns0:v>
      </ns0:c>
      <ns0:c r="L31" s="8">
        <ns0:f>ROUND(L231*L351,2)</ns0:f>
        <ns0:v>0.00</ns0:v>
      </ns0:c>
      <ns0:c r="M31" s="8">
        <ns0:f>ROUND(M231*M351,2)</ns0:f>
        <ns0:v>0.00</ns0:v>
      </ns0:c>
      <ns0:c r="N31" s="8">
        <ns0:f>ROUND(N231*N351,2)</ns0:f>
        <ns0:v>0.00</ns0:v>
      </ns0:c>
      <ns0:c r="O31" s="8">
        <ns0:f>SUM(C31:N31)</ns0:f>
        <ns0:v>711.04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219.51</ns0:v>
      </ns0:c>
      <ns0:c r="D32" s="8">
        <ns0:f>ROUND(D232*D352,2)</ns0:f>
        <ns0:v>197.86</ns0:v>
      </ns0:c>
      <ns0:c r="E32" s="8">
        <ns0:f>ROUND(E232*E352,2)</ns0:f>
        <ns0:v>182.02</ns0:v>
      </ns0:c>
      <ns0:c r="F32" s="8">
        <ns0:f>ROUND(F232*F352,2)</ns0:f>
        <ns0:v>194.67</ns0:v>
      </ns0:c>
      <ns0:c r="G32" s="8">
        <ns0:f>ROUND(G232*G352,2)</ns0:f>
        <ns0:v>220.07</ns0:v>
      </ns0:c>
      <ns0:c r="H32" s="8">
        <ns0:f>ROUND(H232*H352,2)</ns0:f>
        <ns0:v>213.19</ns0:v>
      </ns0:c>
      <ns0:c r="I32" s="8">
        <ns0:f>ROUND(I232*I352,2)</ns0:f>
        <ns0:v>0.00</ns0:v>
      </ns0:c>
      <ns0:c r="J32" s="8">
        <ns0:f>ROUND(J232*J352,2)</ns0:f>
        <ns0:v>0.00</ns0:v>
      </ns0:c>
      <ns0:c r="K32" s="8">
        <ns0:f>ROUND(K232*K352,2)</ns0:f>
        <ns0:v>0.00</ns0:v>
      </ns0:c>
      <ns0:c r="L32" s="8">
        <ns0:f>ROUND(L232*L352,2)</ns0:f>
        <ns0:v>0.00</ns0:v>
      </ns0:c>
      <ns0:c r="M32" s="8">
        <ns0:f>ROUND(M232*M352,2)</ns0:f>
        <ns0:v>0.00</ns0:v>
      </ns0:c>
      <ns0:c r="N32" s="8">
        <ns0:f>ROUND(N232*N352,2)</ns0:f>
        <ns0:v>0.00</ns0:v>
      </ns0:c>
      <ns0:c r="O32" s="8">
        <ns0:f>SUM(C32:N32)</ns0:f>
        <ns0:v>1227.32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407.83</ns0:v>
      </ns0:c>
      <ns0:c r="D33" s="8">
        <ns0:f>ROUND(D233*D353,2)</ns0:f>
        <ns0:v>467.90</ns0:v>
      </ns0:c>
      <ns0:c r="E33" s="8">
        <ns0:f>ROUND(E233*E353,2)</ns0:f>
        <ns0:v>433.56</ns0:v>
      </ns0:c>
      <ns0:c r="F33" s="8">
        <ns0:f>ROUND(F233*F353,2)</ns0:f>
        <ns0:v>435.91</ns0:v>
      </ns0:c>
      <ns0:c r="G33" s="8">
        <ns0:f>ROUND(G233*G353,2)</ns0:f>
        <ns0:v>446.24</ns0:v>
      </ns0:c>
      <ns0:c r="H33" s="8">
        <ns0:f>ROUND(H233*H353,2)</ns0:f>
        <ns0:v>489.61</ns0:v>
      </ns0:c>
      <ns0:c r="I33" s="8">
        <ns0:f>ROUND(I233*I353,2)</ns0:f>
        <ns0:v>0.00</ns0:v>
      </ns0:c>
      <ns0:c r="J33" s="8">
        <ns0:f>ROUND(J233*J353,2)</ns0:f>
        <ns0:v>0.00</ns0:v>
      </ns0:c>
      <ns0:c r="K33" s="8">
        <ns0:f>ROUND(K233*K353,2)</ns0:f>
        <ns0:v>0.00</ns0:v>
      </ns0:c>
      <ns0:c r="L33" s="8">
        <ns0:f>ROUND(L233*L353,2)</ns0:f>
        <ns0:v>0.00</ns0:v>
      </ns0:c>
      <ns0:c r="M33" s="8">
        <ns0:f>ROUND(M233*M353,2)</ns0:f>
        <ns0:v>0.00</ns0:v>
      </ns0:c>
      <ns0:c r="N33" s="8">
        <ns0:f>ROUND(N233*N353,2)</ns0:f>
        <ns0:v>0.00</ns0:v>
      </ns0:c>
      <ns0:c r="O33" s="8">
        <ns0:f>SUM(C33:N33)</ns0:f>
        <ns0:v>2681.05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70617.78</ns0:v>
      </ns0:c>
      <ns0:c r="D34" s="8">
        <ns0:f>SUM(D4:D33)</ns0:f>
        <ns0:v>69390.75</ns0:v>
      </ns0:c>
      <ns0:c r="E34" s="8">
        <ns0:f>SUM(E4:E33)</ns0:f>
        <ns0:v>68437.96</ns0:v>
      </ns0:c>
      <ns0:c r="F34" s="8">
        <ns0:f>SUM(F4:F33)</ns0:f>
        <ns0:v>68123.04</ns0:v>
      </ns0:c>
      <ns0:c r="G34" s="8">
        <ns0:f>SUM(G4:G33)</ns0:f>
        <ns0:v>69509.68</ns0:v>
      </ns0:c>
      <ns0:c r="H34" s="8">
        <ns0:f>SUM(H4:H33)</ns0:f>
        <ns0:v>69501.67</ns0:v>
      </ns0:c>
      <ns0:c r="I34" s="8">
        <ns0:f>SUM(I4:I33)</ns0:f>
        <ns0:v>700.00</ns0:v>
      </ns0:c>
      <ns0:c r="J34" s="8">
        <ns0:f>SUM(J4:J33)</ns0:f>
        <ns0:v>700.00</ns0:v>
      </ns0:c>
      <ns0:c r="K34" s="8">
        <ns0:f>SUM(K4:K33)</ns0:f>
        <ns0:v>700.00</ns0:v>
      </ns0:c>
      <ns0:c r="L34" s="8">
        <ns0:f>SUM(L4:L33)</ns0:f>
        <ns0:v>700.00</ns0:v>
      </ns0:c>
      <ns0:c r="M34" s="8">
        <ns0:f>SUM(M4:M33)</ns0:f>
        <ns0:v>700.00</ns0:v>
      </ns0:c>
      <ns0:c r="N34" s="8">
        <ns0:f>SUM(N4:N33)</ns0:f>
        <ns0:v>700.00</ns0:v>
      </ns0:c>
      <ns0:c r="O34" s="8">
        <ns0:f>SUM(C34:N34)</ns0:f>
        <ns0:v>419780.88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4011.18</ns0:v>
      </ns0:c>
      <ns0:c r="D35" s="8">
        <ns0:f>'税金及附加'!D33</ns0:f>
        <ns0:v>4181.45</ns0:v>
      </ns0:c>
      <ns0:c r="E35" s="8">
        <ns0:f>'税金及附加'!E33</ns0:f>
        <ns0:v>3916.05</ns0:v>
      </ns0:c>
      <ns0:c r="F35" s="8">
        <ns0:f>'税金及附加'!F33</ns0:f>
        <ns0:v>4084.61</ns0:v>
      </ns0:c>
      <ns0:c r="G35" s="8">
        <ns0:f>'税金及附加'!G33</ns0:f>
        <ns0:v>3901.83</ns0:v>
      </ns0:c>
      <ns0:c r="H35" s="8">
        <ns0:f>'税金及附加'!H33</ns0:f>
        <ns0:v>4194.09</ns0:v>
      </ns0:c>
      <ns0:c r="I35" s="8">
        <ns0:f>'税金及附加'!I33</ns0:f>
        <ns0:v>0.00</ns0:v>
      </ns0:c>
      <ns0:c r="J35" s="8">
        <ns0:f>'税金及附加'!J33</ns0:f>
        <ns0:v>0.00</ns0:v>
      </ns0:c>
      <ns0:c r="K35" s="8">
        <ns0:f>'税金及附加'!K33</ns0:f>
        <ns0:v>0.00</ns0:v>
      </ns0:c>
      <ns0:c r="L35" s="8">
        <ns0:f>'税金及附加'!L33</ns0:f>
        <ns0:v>0.00</ns0:v>
      </ns0:c>
      <ns0:c r="M35" s="8">
        <ns0:f>'税金及附加'!M33</ns0:f>
        <ns0:v>0.00</ns0:v>
      </ns0:c>
      <ns0:c r="N35" s="8">
        <ns0:f>'税金及附加'!N33</ns0:f>
        <ns0:v>0.00</ns0:v>
      </ns0:c>
      <ns0:c r="O35" s="8">
        <ns0:f>SUM(C35:N35)</ns0:f>
        <ns0:v>24289.21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74628.96</ns0:v>
      </ns0:c>
      <ns0:c r="D36" s="8">
        <ns0:f>D34+D35</ns0:f>
        <ns0:v>73572.20</ns0:v>
      </ns0:c>
      <ns0:c r="E36" s="8">
        <ns0:f>E34+E35</ns0:f>
        <ns0:v>72354.01</ns0:v>
      </ns0:c>
      <ns0:c r="F36" s="8">
        <ns0:f>F34+F35</ns0:f>
        <ns0:v>72207.65</ns0:v>
      </ns0:c>
      <ns0:c r="G36" s="8">
        <ns0:f>G34+G35</ns0:f>
        <ns0:v>73411.51</ns0:v>
      </ns0:c>
      <ns0:c r="H36" s="8">
        <ns0:f>H34+H35</ns0:f>
        <ns0:v>73695.76</ns0:v>
      </ns0:c>
      <ns0:c r="I36" s="8">
        <ns0:f>I34+I35</ns0:f>
        <ns0:v>700.00</ns0:v>
      </ns0:c>
      <ns0:c r="J36" s="8">
        <ns0:f>J34+J35</ns0:f>
        <ns0:v>700.00</ns0:v>
      </ns0:c>
      <ns0:c r="K36" s="8">
        <ns0:f>K34+K35</ns0:f>
        <ns0:v>700.00</ns0:v>
      </ns0:c>
      <ns0:c r="L36" s="8">
        <ns0:f>L34+L35</ns0:f>
        <ns0:v>700.00</ns0:v>
      </ns0:c>
      <ns0:c r="M36" s="8">
        <ns0:f>M34+M35</ns0:f>
        <ns0:v>700.00</ns0:v>
      </ns0:c>
      <ns0:c r="N36" s="8">
        <ns0:f>N34+N35</ns0:f>
        <ns0:v>700.00</ns0:v>
      </ns0:c>
      <ns0:c r="O36" s="8">
        <ns0:f>SUM(C36:N36)</ns0:f>
        <ns0:v>444070.09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3583.01</ns0:v>
      </ns0:c>
      <ns0:c r="D204" s="4">
        <ns0:v>3492.93</ns0:v>
      </ns0:c>
      <ns0:c r="E204" s="4">
        <ns0:v>3445.57</ns0:v>
      </ns0:c>
      <ns0:c r="F204" s="4">
        <ns0:v>3635.26</ns0:v>
      </ns0:c>
      <ns0:c r="G204" s="4">
        <ns0:v>3569.94</ns0:v>
      </ns0:c>
      <ns0:c r="H204" s="4">
        <ns0:v>3623.18</ns0:v>
      </ns0:c>
      <ns0:c r="I204" s="4">
        <ns0:v>0.00</ns0:v>
      </ns0:c>
      <ns0:c r="J204" s="4">
        <ns0:v>0.00</ns0:v>
      </ns0:c>
      <ns0:c r="K204" s="4">
        <ns0:v>0.00</ns0:v>
      </ns0:c>
      <ns0:c r="L204" s="4">
        <ns0:v>0.00</ns0:v>
      </ns0:c>
      <ns0:c r="M204" s="4">
        <ns0:v>0.00</ns0:v>
      </ns0:c>
      <ns0:c r="N204" s="4">
        <ns0:v>0.00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267.04</ns0:v>
      </ns0:c>
      <ns0:c r="D205" s="4">
        <ns0:v>267.29</ns0:v>
      </ns0:c>
      <ns0:c r="E205" s="4">
        <ns0:v>262.93</ns0:v>
      </ns0:c>
      <ns0:c r="F205" s="4">
        <ns0:v>257.31</ns0:v>
      </ns0:c>
      <ns0:c r="G205" s="4">
        <ns0:v>264.83</ns0:v>
      </ns0:c>
      <ns0:c r="H205" s="4">
        <ns0:v>255.25</ns0:v>
      </ns0:c>
      <ns0:c r="I205" s="4">
        <ns0:v>0.00</ns0:v>
      </ns0:c>
      <ns0:c r="J205" s="4">
        <ns0:v>0.00</ns0:v>
      </ns0:c>
      <ns0:c r="K205" s="4">
        <ns0:v>0.00</ns0:v>
      </ns0:c>
      <ns0:c r="L205" s="4">
        <ns0:v>0.00</ns0:v>
      </ns0:c>
      <ns0:c r="M205" s="4">
        <ns0:v>0.00</ns0:v>
      </ns0:c>
      <ns0:c r="N205" s="4">
        <ns0:v>0.00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111.55</ns0:v>
      </ns0:c>
      <ns0:c r="D206" s="4">
        <ns0:v>94.06</ns0:v>
      </ns0:c>
      <ns0:c r="E206" s="4">
        <ns0:v>109.13</ns0:v>
      </ns0:c>
      <ns0:c r="F206" s="4">
        <ns0:v>87.63</ns0:v>
      </ns0:c>
      <ns0:c r="G206" s="4">
        <ns0:v>100.35</ns0:v>
      </ns0:c>
      <ns0:c r="H206" s="4">
        <ns0:v>95.16</ns0:v>
      </ns0:c>
      <ns0:c r="I206" s="4">
        <ns0:v>0.00</ns0:v>
      </ns0:c>
      <ns0:c r="J206" s="4">
        <ns0:v>0.00</ns0:v>
      </ns0:c>
      <ns0:c r="K206" s="4">
        <ns0:v>0.00</ns0:v>
      </ns0:c>
      <ns0:c r="L206" s="4">
        <ns0:v>0.00</ns0:v>
      </ns0:c>
      <ns0:c r="M206" s="4">
        <ns0:v>0.00</ns0:v>
      </ns0:c>
      <ns0:c r="N206" s="4">
        <ns0:v>0.00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1215.50</ns0:v>
      </ns0:c>
      <ns0:c r="D207" s="4">
        <ns0:v>1168.79</ns0:v>
      </ns0:c>
      <ns0:c r="E207" s="4">
        <ns0:v>1139.53</ns0:v>
      </ns0:c>
      <ns0:c r="F207" s="4">
        <ns0:v>1196.15</ns0:v>
      </ns0:c>
      <ns0:c r="G207" s="4">
        <ns0:v>1124.80</ns0:v>
      </ns0:c>
      <ns0:c r="H207" s="4">
        <ns0:v>1129.67</ns0:v>
      </ns0:c>
      <ns0:c r="I207" s="4">
        <ns0:v>0.00</ns0:v>
      </ns0:c>
      <ns0:c r="J207" s="4">
        <ns0:v>0.00</ns0:v>
      </ns0:c>
      <ns0:c r="K207" s="4">
        <ns0:v>0.00</ns0:v>
      </ns0:c>
      <ns0:c r="L207" s="4">
        <ns0:v>0.00</ns0:v>
      </ns0:c>
      <ns0:c r="M207" s="4">
        <ns0:v>0.00</ns0:v>
      </ns0:c>
      <ns0:c r="N207" s="4">
        <ns0:v>0.00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240.64</ns0:v>
      </ns0:c>
      <ns0:c r="D208" s="4">
        <ns0:v>225.92</ns0:v>
      </ns0:c>
      <ns0:c r="E208" s="4">
        <ns0:v>240.69</ns0:v>
      </ns0:c>
      <ns0:c r="F208" s="4">
        <ns0:v>211.95</ns0:v>
      </ns0:c>
      <ns0:c r="G208" s="4">
        <ns0:v>243.78</ns0:v>
      </ns0:c>
      <ns0:c r="H208" s="4">
        <ns0:v>235.87</ns0:v>
      </ns0:c>
      <ns0:c r="I208" s="4">
        <ns0:v>0.00</ns0:v>
      </ns0:c>
      <ns0:c r="J208" s="4">
        <ns0:v>0.00</ns0:v>
      </ns0:c>
      <ns0:c r="K208" s="4">
        <ns0:v>0.00</ns0:v>
      </ns0:c>
      <ns0:c r="L208" s="4">
        <ns0:v>0.00</ns0:v>
      </ns0:c>
      <ns0:c r="M208" s="4">
        <ns0:v>0.00</ns0:v>
      </ns0:c>
      <ns0:c r="N208" s="4">
        <ns0:v>0.00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397.96</ns0:v>
      </ns0:c>
      <ns0:c r="D209" s="4">
        <ns0:v>457.01</ns0:v>
      </ns0:c>
      <ns0:c r="E209" s="4">
        <ns0:v>383.13</ns0:v>
      </ns0:c>
      <ns0:c r="F209" s="4">
        <ns0:v>432.13</ns0:v>
      </ns0:c>
      <ns0:c r="G209" s="4">
        <ns0:v>480.18</ns0:v>
      </ns0:c>
      <ns0:c r="H209" s="4">
        <ns0:v>482.13</ns0:v>
      </ns0:c>
      <ns0:c r="I209" s="4">
        <ns0:v>0.00</ns0:v>
      </ns0:c>
      <ns0:c r="J209" s="4">
        <ns0:v>0.00</ns0:v>
      </ns0:c>
      <ns0:c r="K209" s="4">
        <ns0:v>0.00</ns0:v>
      </ns0:c>
      <ns0:c r="L209" s="4">
        <ns0:v>0.00</ns0:v>
      </ns0:c>
      <ns0:c r="M209" s="4">
        <ns0:v>0.00</ns0:v>
      </ns0:c>
      <ns0:c r="N209" s="4">
        <ns0:v>0.00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303.64</ns0:v>
      </ns0:c>
      <ns0:c r="D210" s="4">
        <ns0:v>281.67</ns0:v>
      </ns0:c>
      <ns0:c r="E210" s="4">
        <ns0:v>256.76</ns0:v>
      </ns0:c>
      <ns0:c r="F210" s="4">
        <ns0:v>259.94</ns0:v>
      </ns0:c>
      <ns0:c r="G210" s="4">
        <ns0:v>298.35</ns0:v>
      </ns0:c>
      <ns0:c r="H210" s="4">
        <ns0:v>276.15</ns0:v>
      </ns0:c>
      <ns0:c r="I210" s="4">
        <ns0:v>0.00</ns0:v>
      </ns0:c>
      <ns0:c r="J210" s="4">
        <ns0:v>0.00</ns0:v>
      </ns0:c>
      <ns0:c r="K210" s="4">
        <ns0:v>0.00</ns0:v>
      </ns0:c>
      <ns0:c r="L210" s="4">
        <ns0:v>0.00</ns0:v>
      </ns0:c>
      <ns0:c r="M210" s="4">
        <ns0:v>0.00</ns0:v>
      </ns0:c>
      <ns0:c r="N210" s="4">
        <ns0:v>0.00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1085.84</ns0:v>
      </ns0:c>
      <ns0:c r="D211" s="4">
        <ns0:v>1016.12</ns0:v>
      </ns0:c>
      <ns0:c r="E211" s="4">
        <ns0:v>1078.14</ns0:v>
      </ns0:c>
      <ns0:c r="F211" s="4">
        <ns0:v>1128.63</ns0:v>
      </ns0:c>
      <ns0:c r="G211" s="4">
        <ns0:v>1088.22</ns0:v>
      </ns0:c>
      <ns0:c r="H211" s="4">
        <ns0:v>1125.88</ns0:v>
      </ns0:c>
      <ns0:c r="I211" s="4">
        <ns0:v>0.00</ns0:v>
      </ns0:c>
      <ns0:c r="J211" s="4">
        <ns0:v>0.00</ns0:v>
      </ns0:c>
      <ns0:c r="K211" s="4">
        <ns0:v>0.00</ns0:v>
      </ns0:c>
      <ns0:c r="L211" s="4">
        <ns0:v>0.00</ns0:v>
      </ns0:c>
      <ns0:c r="M211" s="4">
        <ns0:v>0.00</ns0:v>
      </ns0:c>
      <ns0:c r="N211" s="4">
        <ns0:v>0.00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261.52</ns0:v>
      </ns0:c>
      <ns0:c r="D212" s="4">
        <ns0:v>254.93</ns0:v>
      </ns0:c>
      <ns0:c r="E212" s="4">
        <ns0:v>252.89</ns0:v>
      </ns0:c>
      <ns0:c r="F212" s="4">
        <ns0:v>243.02</ns0:v>
      </ns0:c>
      <ns0:c r="G212" s="4">
        <ns0:v>243.71</ns0:v>
      </ns0:c>
      <ns0:c r="H212" s="4">
        <ns0:v>284.04</ns0:v>
      </ns0:c>
      <ns0:c r="I212" s="4">
        <ns0:v>0.00</ns0:v>
      </ns0:c>
      <ns0:c r="J212" s="4">
        <ns0:v>0.00</ns0:v>
      </ns0:c>
      <ns0:c r="K212" s="4">
        <ns0:v>0.00</ns0:v>
      </ns0:c>
      <ns0:c r="L212" s="4">
        <ns0:v>0.00</ns0:v>
      </ns0:c>
      <ns0:c r="M212" s="4">
        <ns0:v>0.00</ns0:v>
      </ns0:c>
      <ns0:c r="N212" s="4">
        <ns0:v>0.00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605.79</ns0:v>
      </ns0:c>
      <ns0:c r="D213" s="4">
        <ns0:v>692.98</ns0:v>
      </ns0:c>
      <ns0:c r="E213" s="4">
        <ns0:v>708.74</ns0:v>
      </ns0:c>
      <ns0:c r="F213" s="4">
        <ns0:v>757.52</ns0:v>
      </ns0:c>
      <ns0:c r="G213" s="4">
        <ns0:v>574.28</ns0:v>
      </ns0:c>
      <ns0:c r="H213" s="4">
        <ns0:v>674.00</ns0:v>
      </ns0:c>
      <ns0:c r="I213" s="4">
        <ns0:v>0.00</ns0:v>
      </ns0:c>
      <ns0:c r="J213" s="4">
        <ns0:v>0.00</ns0:v>
      </ns0:c>
      <ns0:c r="K213" s="4">
        <ns0:v>0.00</ns0:v>
      </ns0:c>
      <ns0:c r="L213" s="4">
        <ns0:v>0.00</ns0:v>
      </ns0:c>
      <ns0:c r="M213" s="4">
        <ns0:v>0.00</ns0:v>
      </ns0:c>
      <ns0:c r="N213" s="4">
        <ns0:v>0.00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189.97</ns0:v>
      </ns0:c>
      <ns0:c r="D214" s="4">
        <ns0:v>213.50</ns0:v>
      </ns0:c>
      <ns0:c r="E214" s="4">
        <ns0:v>186.45</ns0:v>
      </ns0:c>
      <ns0:c r="F214" s="4">
        <ns0:v>185.98</ns0:v>
      </ns0:c>
      <ns0:c r="G214" s="4">
        <ns0:v>226.49</ns0:v>
      </ns0:c>
      <ns0:c r="H214" s="4">
        <ns0:v>190.93</ns0:v>
      </ns0:c>
      <ns0:c r="I214" s="4">
        <ns0:v>0.00</ns0:v>
      </ns0:c>
      <ns0:c r="J214" s="4">
        <ns0:v>0.00</ns0:v>
      </ns0:c>
      <ns0:c r="K214" s="4">
        <ns0:v>0.00</ns0:v>
      </ns0:c>
      <ns0:c r="L214" s="4">
        <ns0:v>0.00</ns0:v>
      </ns0:c>
      <ns0:c r="M214" s="4">
        <ns0:v>0.00</ns0:v>
      </ns0:c>
      <ns0:c r="N214" s="4">
        <ns0:v>0.00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239.53</ns0:v>
      </ns0:c>
      <ns0:c r="D215" s="4">
        <ns0:v>198.22</ns0:v>
      </ns0:c>
      <ns0:c r="E215" s="4">
        <ns0:v>258.91</ns0:v>
      </ns0:c>
      <ns0:c r="F215" s="4">
        <ns0:v>209.18</ns0:v>
      </ns0:c>
      <ns0:c r="G215" s="4">
        <ns0:v>209.35</ns0:v>
      </ns0:c>
      <ns0:c r="H215" s="4">
        <ns0:v>238.48</ns0:v>
      </ns0:c>
      <ns0:c r="I215" s="4">
        <ns0:v>0.00</ns0:v>
      </ns0:c>
      <ns0:c r="J215" s="4">
        <ns0:v>0.00</ns0:v>
      </ns0:c>
      <ns0:c r="K215" s="4">
        <ns0:v>0.00</ns0:v>
      </ns0:c>
      <ns0:c r="L215" s="4">
        <ns0:v>0.00</ns0:v>
      </ns0:c>
      <ns0:c r="M215" s="4">
        <ns0:v>0.00</ns0:v>
      </ns0:c>
      <ns0:c r="N215" s="4">
        <ns0:v>0.00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495.56</ns0:v>
      </ns0:c>
      <ns0:c r="D216" s="4">
        <ns0:v>419.18</ns0:v>
      </ns0:c>
      <ns0:c r="E216" s="4">
        <ns0:v>451.91</ns0:v>
      </ns0:c>
      <ns0:c r="F216" s="4">
        <ns0:v>424.30</ns0:v>
      </ns0:c>
      <ns0:c r="G216" s="4">
        <ns0:v>467.56</ns0:v>
      </ns0:c>
      <ns0:c r="H216" s="4">
        <ns0:v>452.60</ns0:v>
      </ns0:c>
      <ns0:c r="I216" s="4">
        <ns0:v>0.00</ns0:v>
      </ns0:c>
      <ns0:c r="J216" s="4">
        <ns0:v>0.00</ns0:v>
      </ns0:c>
      <ns0:c r="K216" s="4">
        <ns0:v>0.00</ns0:v>
      </ns0:c>
      <ns0:c r="L216" s="4">
        <ns0:v>0.00</ns0:v>
      </ns0:c>
      <ns0:c r="M216" s="4">
        <ns0:v>0.00</ns0:v>
      </ns0:c>
      <ns0:c r="N216" s="4">
        <ns0:v>0.00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897.58</ns0:v>
      </ns0:c>
      <ns0:c r="D217" s="4">
        <ns0:v>986.88</ns0:v>
      </ns0:c>
      <ns0:c r="E217" s="4">
        <ns0:v>817.91</ns0:v>
      </ns0:c>
      <ns0:c r="F217" s="4">
        <ns0:v>814.89</ns0:v>
      </ns0:c>
      <ns0:c r="G217" s="4">
        <ns0:v>849.82</ns0:v>
      </ns0:c>
      <ns0:c r="H217" s="4">
        <ns0:v>825.80</ns0:v>
      </ns0:c>
      <ns0:c r="I217" s="4">
        <ns0:v>0.00</ns0:v>
      </ns0:c>
      <ns0:c r="J217" s="4">
        <ns0:v>0.00</ns0:v>
      </ns0:c>
      <ns0:c r="K217" s="4">
        <ns0:v>0.00</ns0:v>
      </ns0:c>
      <ns0:c r="L217" s="4">
        <ns0:v>0.00</ns0:v>
      </ns0:c>
      <ns0:c r="M217" s="4">
        <ns0:v>0.00</ns0:v>
      </ns0:c>
      <ns0:c r="N217" s="4">
        <ns0:v>0.00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114.20</ns0:v>
      </ns0:c>
      <ns0:c r="D218" s="4">
        <ns0:v>108.90</ns0:v>
      </ns0:c>
      <ns0:c r="E218" s="4">
        <ns0:v>97.09</ns0:v>
      </ns0:c>
      <ns0:c r="F218" s="4">
        <ns0:v>96.67</ns0:v>
      </ns0:c>
      <ns0:c r="G218" s="4">
        <ns0:v>101.72</ns0:v>
      </ns0:c>
      <ns0:c r="H218" s="4">
        <ns0:v>107.63</ns0:v>
      </ns0:c>
      <ns0:c r="I218" s="4">
        <ns0:v>0.00</ns0:v>
      </ns0:c>
      <ns0:c r="J218" s="4">
        <ns0:v>0.00</ns0:v>
      </ns0:c>
      <ns0:c r="K218" s="4">
        <ns0:v>0.00</ns0:v>
      </ns0:c>
      <ns0:c r="L218" s="4">
        <ns0:v>0.00</ns0:v>
      </ns0:c>
      <ns0:c r="M218" s="4">
        <ns0:v>0.00</ns0:v>
      </ns0:c>
      <ns0:c r="N218" s="4">
        <ns0:v>0.00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92.94</ns0:v>
      </ns0:c>
      <ns0:c r="D219" s="4">
        <ns0:v>96.80</ns0:v>
      </ns0:c>
      <ns0:c r="E219" s="4">
        <ns0:v>94.04</ns0:v>
      </ns0:c>
      <ns0:c r="F219" s="4">
        <ns0:v>93.85</ns0:v>
      </ns0:c>
      <ns0:c r="G219" s="4">
        <ns0:v>100.86</ns0:v>
      </ns0:c>
      <ns0:c r="H219" s="4">
        <ns0:v>91.58</ns0:v>
      </ns0:c>
      <ns0:c r="I219" s="4">
        <ns0:v>0.00</ns0:v>
      </ns0:c>
      <ns0:c r="J219" s="4">
        <ns0:v>0.00</ns0:v>
      </ns0:c>
      <ns0:c r="K219" s="4">
        <ns0:v>0.00</ns0:v>
      </ns0:c>
      <ns0:c r="L219" s="4">
        <ns0:v>0.00</ns0:v>
      </ns0:c>
      <ns0:c r="M219" s="4">
        <ns0:v>0.00</ns0:v>
      </ns0:c>
      <ns0:c r="N219" s="4">
        <ns0:v>0.00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109.88</ns0:v>
      </ns0:c>
      <ns0:c r="D221" s="4">
        <ns0:v>107.42</ns0:v>
      </ns0:c>
      <ns0:c r="E221" s="4">
        <ns0:v>111.09</ns0:v>
      </ns0:c>
      <ns0:c r="F221" s="4">
        <ns0:v>110.55</ns0:v>
      </ns0:c>
      <ns0:c r="G221" s="4">
        <ns0:v>95.69</ns0:v>
      </ns0:c>
      <ns0:c r="H221" s="4">
        <ns0:v>91.78</ns0:v>
      </ns0:c>
      <ns0:c r="I221" s="4">
        <ns0:v>0.00</ns0:v>
      </ns0:c>
      <ns0:c r="J221" s="4">
        <ns0:v>0.00</ns0:v>
      </ns0:c>
      <ns0:c r="K221" s="4">
        <ns0:v>0.00</ns0:v>
      </ns0:c>
      <ns0:c r="L221" s="4">
        <ns0:v>0.00</ns0:v>
      </ns0:c>
      <ns0:c r="M221" s="4">
        <ns0:v>0.00</ns0:v>
      </ns0:c>
      <ns0:c r="N221" s="4">
        <ns0:v>0.00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94.61</ns0:v>
      </ns0:c>
      <ns0:c r="D222" s="4">
        <ns0:v>108.50</ns0:v>
      </ns0:c>
      <ns0:c r="E222" s="4">
        <ns0:v>101.31</ns0:v>
      </ns0:c>
      <ns0:c r="F222" s="4">
        <ns0:v>87.88</ns0:v>
      </ns0:c>
      <ns0:c r="G222" s="4">
        <ns0:v>98.79</ns0:v>
      </ns0:c>
      <ns0:c r="H222" s="4">
        <ns0:v>102.98</ns0:v>
      </ns0:c>
      <ns0:c r="I222" s="4">
        <ns0:v>0.00</ns0:v>
      </ns0:c>
      <ns0:c r="J222" s="4">
        <ns0:v>0.00</ns0:v>
      </ns0:c>
      <ns0:c r="K222" s="4">
        <ns0:v>0.00</ns0:v>
      </ns0:c>
      <ns0:c r="L222" s="4">
        <ns0:v>0.00</ns0:v>
      </ns0:c>
      <ns0:c r="M222" s="4">
        <ns0:v>0.00</ns0:v>
      </ns0:c>
      <ns0:c r="N222" s="4">
        <ns0:v>0.00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94.16</ns0:v>
      </ns0:c>
      <ns0:c r="D223" s="4">
        <ns0:v>96.80</ns0:v>
      </ns0:c>
      <ns0:c r="E223" s="4">
        <ns0:v>105.76</ns0:v>
      </ns0:c>
      <ns0:c r="F223" s="4">
        <ns0:v>87.51</ns0:v>
      </ns0:c>
      <ns0:c r="G223" s="4">
        <ns0:v>99.40</ns0:v>
      </ns0:c>
      <ns0:c r="H223" s="4">
        <ns0:v>88.15</ns0:v>
      </ns0:c>
      <ns0:c r="I223" s="4">
        <ns0:v>0.00</ns0:v>
      </ns0:c>
      <ns0:c r="J223" s="4">
        <ns0:v>0.00</ns0:v>
      </ns0:c>
      <ns0:c r="K223" s="4">
        <ns0:v>0.00</ns0:v>
      </ns0:c>
      <ns0:c r="L223" s="4">
        <ns0:v>0.00</ns0:v>
      </ns0:c>
      <ns0:c r="M223" s="4">
        <ns0:v>0.00</ns0:v>
      </ns0:c>
      <ns0:c r="N223" s="4">
        <ns0:v>0.00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102.48</ns0:v>
      </ns0:c>
      <ns0:c r="D224" s="4">
        <ns0:v>110.22</ns0:v>
      </ns0:c>
      <ns0:c r="E224" s="4">
        <ns0:v>104.64</ns0:v>
      </ns0:c>
      <ns0:c r="F224" s="4">
        <ns0:v>103.24</ns0:v>
      </ns0:c>
      <ns0:c r="G224" s="4">
        <ns0:v>91.31</ns0:v>
      </ns0:c>
      <ns0:c r="H224" s="4">
        <ns0:v>90.10</ns0:v>
      </ns0:c>
      <ns0:c r="I224" s="4">
        <ns0:v>0.00</ns0:v>
      </ns0:c>
      <ns0:c r="J224" s="4">
        <ns0:v>0.00</ns0:v>
      </ns0:c>
      <ns0:c r="K224" s="4">
        <ns0:v>0.00</ns0:v>
      </ns0:c>
      <ns0:c r="L224" s="4">
        <ns0:v>0.00</ns0:v>
      </ns0:c>
      <ns0:c r="M224" s="4">
        <ns0:v>0.00</ns0:v>
      </ns0:c>
      <ns0:c r="N224" s="4">
        <ns0:v>0.00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228.45</ns0:v>
      </ns0:c>
      <ns0:c r="D225" s="4">
        <ns0:v>246.84</ns0:v>
      </ns0:c>
      <ns0:c r="E225" s="4">
        <ns0:v>260.18</ns0:v>
      </ns0:c>
      <ns0:c r="F225" s="4">
        <ns0:v>246.22</ns0:v>
      </ns0:c>
      <ns0:c r="G225" s="4">
        <ns0:v>245.65</ns0:v>
      </ns0:c>
      <ns0:c r="H225" s="4">
        <ns0:v>243.74</ns0:v>
      </ns0:c>
      <ns0:c r="I225" s="4">
        <ns0:v>0.00</ns0:v>
      </ns0:c>
      <ns0:c r="J225" s="4">
        <ns0:v>0.00</ns0:v>
      </ns0:c>
      <ns0:c r="K225" s="4">
        <ns0:v>0.00</ns0:v>
      </ns0:c>
      <ns0:c r="L225" s="4">
        <ns0:v>0.00</ns0:v>
      </ns0:c>
      <ns0:c r="M225" s="4">
        <ns0:v>0.00</ns0:v>
      </ns0:c>
      <ns0:c r="N225" s="4">
        <ns0:v>0.00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100.51</ns0:v>
      </ns0:c>
      <ns0:c r="D226" s="4">
        <ns0:v>98.28</ns0:v>
      </ns0:c>
      <ns0:c r="E226" s="4">
        <ns0:v>103.83</ns0:v>
      </ns0:c>
      <ns0:c r="F226" s="4">
        <ns0:v>104.18</ns0:v>
      </ns0:c>
      <ns0:c r="G226" s="4">
        <ns0:v>112.18</ns0:v>
      </ns0:c>
      <ns0:c r="H226" s="4">
        <ns0:v>109.76</ns0:v>
      </ns0:c>
      <ns0:c r="I226" s="4">
        <ns0:v>0.00</ns0:v>
      </ns0:c>
      <ns0:c r="J226" s="4">
        <ns0:v>0.00</ns0:v>
      </ns0:c>
      <ns0:c r="K226" s="4">
        <ns0:v>0.00</ns0:v>
      </ns0:c>
      <ns0:c r="L226" s="4">
        <ns0:v>0.00</ns0:v>
      </ns0:c>
      <ns0:c r="M226" s="4">
        <ns0:v>0.00</ns0:v>
      </ns0:c>
      <ns0:c r="N226" s="4">
        <ns0:v>0.00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327.98</ns0:v>
      </ns0:c>
      <ns0:c r="D227" s="4">
        <ns0:v>296.88</ns0:v>
      </ns0:c>
      <ns0:c r="E227" s="4">
        <ns0:v>269.83</ns0:v>
      </ns0:c>
      <ns0:c r="F227" s="4">
        <ns0:v>318.90</ns0:v>
      </ns0:c>
      <ns0:c r="G227" s="4">
        <ns0:v>313.38</ns0:v>
      </ns0:c>
      <ns0:c r="H227" s="4">
        <ns0:v>264.84</ns0:v>
      </ns0:c>
      <ns0:c r="I227" s="4">
        <ns0:v>0.00</ns0:v>
      </ns0:c>
      <ns0:c r="J227" s="4">
        <ns0:v>0.00</ns0:v>
      </ns0:c>
      <ns0:c r="K227" s="4">
        <ns0:v>0.00</ns0:v>
      </ns0:c>
      <ns0:c r="L227" s="4">
        <ns0:v>0.00</ns0:v>
      </ns0:c>
      <ns0:c r="M227" s="4">
        <ns0:v>0.00</ns0:v>
      </ns0:c>
      <ns0:c r="N227" s="4">
        <ns0:v>0.00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32.91</ns0:v>
      </ns0:c>
      <ns0:c r="D228" s="4">
        <ns0:v>28.81</ns0:v>
      </ns0:c>
      <ns0:c r="E228" s="4">
        <ns0:v>29.52</ns0:v>
      </ns0:c>
      <ns0:c r="F228" s="4">
        <ns0:v>32.61</ns0:v>
      </ns0:c>
      <ns0:c r="G228" s="4">
        <ns0:v>29.74</ns0:v>
      </ns0:c>
      <ns0:c r="H228" s="4">
        <ns0:v>32.56</ns0:v>
      </ns0:c>
      <ns0:c r="I228" s="4">
        <ns0:v>0.00</ns0:v>
      </ns0:c>
      <ns0:c r="J228" s="4">
        <ns0:v>0.00</ns0:v>
      </ns0:c>
      <ns0:c r="K228" s="4">
        <ns0:v>0.00</ns0:v>
      </ns0:c>
      <ns0:c r="L228" s="4">
        <ns0:v>0.00</ns0:v>
      </ns0:c>
      <ns0:c r="M228" s="4">
        <ns0:v>0.00</ns0:v>
      </ns0:c>
      <ns0:c r="N228" s="4">
        <ns0:v>0.00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0.00</ns0:v>
      </ns0:c>
      <ns0:c r="D230" s="4">
        <ns0:v>0.00</ns0:v>
      </ns0:c>
      <ns0:c r="E230" s="4">
        <ns0:v>0.00</ns0:v>
      </ns0:c>
      <ns0:c r="F230" s="4">
        <ns0:v>0.00</ns0:v>
      </ns0:c>
      <ns0:c r="G230" s="4">
        <ns0:v>0.00</ns0:v>
      </ns0:c>
      <ns0:c r="H230" s="4">
        <ns0:v>0.00</ns0:v>
      </ns0:c>
      <ns0:c r="I230" s="4">
        <ns0:v>0.00</ns0:v>
      </ns0:c>
      <ns0:c r="J230" s="4">
        <ns0:v>0.00</ns0:v>
      </ns0:c>
      <ns0:c r="K230" s="4">
        <ns0:v>0.00</ns0:v>
      </ns0:c>
      <ns0:c r="L230" s="4">
        <ns0:v>0.00</ns0:v>
      </ns0:c>
      <ns0:c r="M230" s="4">
        <ns0:v>0.00</ns0:v>
      </ns0:c>
      <ns0:c r="N230" s="4">
        <ns0:v>0.00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52.97</ns0:v>
      </ns0:c>
      <ns0:c r="D231" s="4">
        <ns0:v>54.32</ns0:v>
      </ns0:c>
      <ns0:c r="E231" s="4">
        <ns0:v>57.02</ns0:v>
      </ns0:c>
      <ns0:c r="F231" s="4">
        <ns0:v>65.34</ns0:v>
      </ns0:c>
      <ns0:c r="G231" s="4">
        <ns0:v>66.39</ns0:v>
      </ns0:c>
      <ns0:c r="H231" s="4">
        <ns0:v>60.68</ns0:v>
      </ns0:c>
      <ns0:c r="I231" s="4">
        <ns0:v>0.00</ns0:v>
      </ns0:c>
      <ns0:c r="J231" s="4">
        <ns0:v>0.00</ns0:v>
      </ns0:c>
      <ns0:c r="K231" s="4">
        <ns0:v>0.00</ns0:v>
      </ns0:c>
      <ns0:c r="L231" s="4">
        <ns0:v>0.00</ns0:v>
      </ns0:c>
      <ns0:c r="M231" s="4">
        <ns0:v>0.00</ns0:v>
      </ns0:c>
      <ns0:c r="N231" s="4">
        <ns0:v>0.00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71.97</ns0:v>
      </ns0:c>
      <ns0:c r="D232" s="4">
        <ns0:v>65.30</ns0:v>
      </ns0:c>
      <ns0:c r="E232" s="4">
        <ns0:v>59.68</ns0:v>
      </ns0:c>
      <ns0:c r="F232" s="4">
        <ns0:v>67.36</ns0:v>
      </ns0:c>
      <ns0:c r="G232" s="4">
        <ns0:v>74.60</ns0:v>
      </ns0:c>
      <ns0:c r="H232" s="4">
        <ns0:v>72.76</ns0:v>
      </ns0:c>
      <ns0:c r="I232" s="4">
        <ns0:v>0.00</ns0:v>
      </ns0:c>
      <ns0:c r="J232" s="4">
        <ns0:v>0.00</ns0:v>
      </ns0:c>
      <ns0:c r="K232" s="4">
        <ns0:v>0.00</ns0:v>
      </ns0:c>
      <ns0:c r="L232" s="4">
        <ns0:v>0.00</ns0:v>
      </ns0:c>
      <ns0:c r="M232" s="4">
        <ns0:v>0.00</ns0:v>
      </ns0:c>
      <ns0:c r="N232" s="4">
        <ns0:v>0.00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104.84</ns0:v>
      </ns0:c>
      <ns0:c r="D233" s="4">
        <ns0:v>107.07</ns0:v>
      </ns0:c>
      <ns0:c r="E233" s="4">
        <ns0:v>107.85</ns0:v>
      </ns0:c>
      <ns0:c r="F233" s="4">
        <ns0:v>99.75</ns0:v>
      </ns0:c>
      <ns0:c r="G233" s="4">
        <ns0:v>114.42</ns0:v>
      </ns0:c>
      <ns0:c r="H233" s="4">
        <ns0:v>122.71</ns0:v>
      </ns0:c>
      <ns0:c r="I233" s="4">
        <ns0:v>0.00</ns0:v>
      </ns0:c>
      <ns0:c r="J233" s="4">
        <ns0:v>0.00</ns0:v>
      </ns0:c>
      <ns0:c r="K233" s="4">
        <ns0:v>0.00</ns0:v>
      </ns0:c>
      <ns0:c r="L233" s="4">
        <ns0:v>0.00</ns0:v>
      </ns0:c>
      <ns0:c r="M233" s="4">
        <ns0:v>0.00</ns0:v>
      </ns0:c>
      <ns0:c r="N233" s="4">
        <ns0:v>0.00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9.09</ns0:v>
      </ns0:c>
      <ns0:c r="D324" s="4">
        <ns0:v>9.22</ns0:v>
      </ns0:c>
      <ns0:c r="E324" s="4">
        <ns0:v>9.20</ns0:v>
      </ns0:c>
      <ns0:c r="F324" s="4">
        <ns0:v>8.69</ns0:v>
      </ns0:c>
      <ns0:c r="G324" s="4">
        <ns0:v>8.97</ns0:v>
      </ns0:c>
      <ns0:c r="H324" s="4">
        <ns0:v>8.87</ns0:v>
      </ns0:c>
      <ns0:c r="I324" s="4">
        <ns0:v>0.00</ns0:v>
      </ns0:c>
      <ns0:c r="J324" s="4">
        <ns0:v>0.00</ns0:v>
      </ns0:c>
      <ns0:c r="K324" s="4">
        <ns0:v>0.00</ns0:v>
      </ns0:c>
      <ns0:c r="L324" s="4">
        <ns0:v>0.00</ns0:v>
      </ns0:c>
      <ns0:c r="M324" s="4">
        <ns0:v>0.00</ns0:v>
      </ns0:c>
      <ns0:c r="N324" s="4">
        <ns0:v>0.00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9.01</ns0:v>
      </ns0:c>
      <ns0:c r="D325" s="4">
        <ns0:v>9.12</ns0:v>
      </ns0:c>
      <ns0:c r="E325" s="4">
        <ns0:v>8.95</ns0:v>
      </ns0:c>
      <ns0:c r="F325" s="4">
        <ns0:v>9.29</ns0:v>
      </ns0:c>
      <ns0:c r="G325" s="4">
        <ns0:v>9.21</ns0:v>
      </ns0:c>
      <ns0:c r="H325" s="4">
        <ns0:v>9.24</ns0:v>
      </ns0:c>
      <ns0:c r="I325" s="4">
        <ns0:v>0.00</ns0:v>
      </ns0:c>
      <ns0:c r="J325" s="4">
        <ns0:v>0.00</ns0:v>
      </ns0:c>
      <ns0:c r="K325" s="4">
        <ns0:v>0.00</ns0:v>
      </ns0:c>
      <ns0:c r="L325" s="4">
        <ns0:v>0.00</ns0:v>
      </ns0:c>
      <ns0:c r="M325" s="4">
        <ns0:v>0.00</ns0:v>
      </ns0:c>
      <ns0:c r="N325" s="4">
        <ns0:v>0.00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8.99</ns0:v>
      </ns0:c>
      <ns0:c r="D326" s="4">
        <ns0:v>9.21</ns0:v>
      </ns0:c>
      <ns0:c r="E326" s="4">
        <ns0:v>8.67</ns0:v>
      </ns0:c>
      <ns0:c r="F326" s="4">
        <ns0:v>9.28</ns0:v>
      </ns0:c>
      <ns0:c r="G326" s="4">
        <ns0:v>9.17</ns0:v>
      </ns0:c>
      <ns0:c r="H326" s="4">
        <ns0:v>9.19</ns0:v>
      </ns0:c>
      <ns0:c r="I326" s="4">
        <ns0:v>0.00</ns0:v>
      </ns0:c>
      <ns0:c r="J326" s="4">
        <ns0:v>0.00</ns0:v>
      </ns0:c>
      <ns0:c r="K326" s="4">
        <ns0:v>0.00</ns0:v>
      </ns0:c>
      <ns0:c r="L326" s="4">
        <ns0:v>0.00</ns0:v>
      </ns0:c>
      <ns0:c r="M326" s="4">
        <ns0:v>0.00</ns0:v>
      </ns0:c>
      <ns0:c r="N326" s="4">
        <ns0:v>0.00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8.73</ns0:v>
      </ns0:c>
      <ns0:c r="D327" s="4">
        <ns0:v>8.91</ns0:v>
      </ns0:c>
      <ns0:c r="E327" s="4">
        <ns0:v>9.23</ns0:v>
      </ns0:c>
      <ns0:c r="F327" s="4">
        <ns0:v>8.65</ns0:v>
      </ns0:c>
      <ns0:c r="G327" s="4">
        <ns0:v>9.18</ns0:v>
      </ns0:c>
      <ns0:c r="H327" s="4">
        <ns0:v>9.16</ns0:v>
      </ns0:c>
      <ns0:c r="I327" s="4">
        <ns0:v>0.00</ns0:v>
      </ns0:c>
      <ns0:c r="J327" s="4">
        <ns0:v>0.00</ns0:v>
      </ns0:c>
      <ns0:c r="K327" s="4">
        <ns0:v>0.00</ns0:v>
      </ns0:c>
      <ns0:c r="L327" s="4">
        <ns0:v>0.00</ns0:v>
      </ns0:c>
      <ns0:c r="M327" s="4">
        <ns0:v>0.00</ns0:v>
      </ns0:c>
      <ns0:c r="N327" s="4">
        <ns0:v>0.00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9.28</ns0:v>
      </ns0:c>
      <ns0:c r="D328" s="4">
        <ns0:v>9.10</ns0:v>
      </ns0:c>
      <ns0:c r="E328" s="4">
        <ns0:v>8.93</ns0:v>
      </ns0:c>
      <ns0:c r="F328" s="4">
        <ns0:v>9.26</ns0:v>
      </ns0:c>
      <ns0:c r="G328" s="4">
        <ns0:v>9.04</ns0:v>
      </ns0:c>
      <ns0:c r="H328" s="4">
        <ns0:v>8.92</ns0:v>
      </ns0:c>
      <ns0:c r="I328" s="4">
        <ns0:v>0.00</ns0:v>
      </ns0:c>
      <ns0:c r="J328" s="4">
        <ns0:v>0.00</ns0:v>
      </ns0:c>
      <ns0:c r="K328" s="4">
        <ns0:v>0.00</ns0:v>
      </ns0:c>
      <ns0:c r="L328" s="4">
        <ns0:v>0.00</ns0:v>
      </ns0:c>
      <ns0:c r="M328" s="4">
        <ns0:v>0.00</ns0:v>
      </ns0:c>
      <ns0:c r="N328" s="4">
        <ns0:v>0.00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2.02</ns0:v>
      </ns0:c>
      <ns0:c r="D329" s="4">
        <ns0:v>1.94</ns0:v>
      </ns0:c>
      <ns0:c r="E329" s="4">
        <ns0:v>2.07</ns0:v>
      </ns0:c>
      <ns0:c r="F329" s="4">
        <ns0:v>2.05</ns0:v>
      </ns0:c>
      <ns0:c r="G329" s="4">
        <ns0:v>1.95</ns0:v>
      </ns0:c>
      <ns0:c r="H329" s="4">
        <ns0:v>2.07</ns0:v>
      </ns0:c>
      <ns0:c r="I329" s="4">
        <ns0:v>0.00</ns0:v>
      </ns0:c>
      <ns0:c r="J329" s="4">
        <ns0:v>0.00</ns0:v>
      </ns0:c>
      <ns0:c r="K329" s="4">
        <ns0:v>0.00</ns0:v>
      </ns0:c>
      <ns0:c r="L329" s="4">
        <ns0:v>0.00</ns0:v>
      </ns0:c>
      <ns0:c r="M329" s="4">
        <ns0:v>0.00</ns0:v>
      </ns0:c>
      <ns0:c r="N329" s="4">
        <ns0:v>0.00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2.91</ns0:v>
      </ns0:c>
      <ns0:c r="D330" s="4">
        <ns0:v>3.12</ns0:v>
      </ns0:c>
      <ns0:c r="E330" s="4">
        <ns0:v>3.07</ns0:v>
      </ns0:c>
      <ns0:c r="F330" s="4">
        <ns0:v>3.09</ns0:v>
      </ns0:c>
      <ns0:c r="G330" s="4">
        <ns0:v>2.99</ns0:v>
      </ns0:c>
      <ns0:c r="H330" s="4">
        <ns0:v>3.12</ns0:v>
      </ns0:c>
      <ns0:c r="I330" s="4">
        <ns0:v>0.00</ns0:v>
      </ns0:c>
      <ns0:c r="J330" s="4">
        <ns0:v>0.00</ns0:v>
      </ns0:c>
      <ns0:c r="K330" s="4">
        <ns0:v>0.00</ns0:v>
      </ns0:c>
      <ns0:c r="L330" s="4">
        <ns0:v>0.00</ns0:v>
      </ns0:c>
      <ns0:c r="M330" s="4">
        <ns0:v>0.00</ns0:v>
      </ns0:c>
      <ns0:c r="N330" s="4">
        <ns0:v>0.00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4.16</ns0:v>
      </ns0:c>
      <ns0:c r="D331" s="4">
        <ns0:v>3.98</ns0:v>
      </ns0:c>
      <ns0:c r="E331" s="4">
        <ns0:v>3.87</ns0:v>
      </ns0:c>
      <ns0:c r="F331" s="4">
        <ns0:v>3.97</ns0:v>
      </ns0:c>
      <ns0:c r="G331" s="4">
        <ns0:v>4.05</ns0:v>
      </ns0:c>
      <ns0:c r="H331" s="4">
        <ns0:v>4.08</ns0:v>
      </ns0:c>
      <ns0:c r="I331" s="4">
        <ns0:v>0.00</ns0:v>
      </ns0:c>
      <ns0:c r="J331" s="4">
        <ns0:v>0.00</ns0:v>
      </ns0:c>
      <ns0:c r="K331" s="4">
        <ns0:v>0.00</ns0:v>
      </ns0:c>
      <ns0:c r="L331" s="4">
        <ns0:v>0.00</ns0:v>
      </ns0:c>
      <ns0:c r="M331" s="4">
        <ns0:v>0.00</ns0:v>
      </ns0:c>
      <ns0:c r="N331" s="4">
        <ns0:v>0.00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3.90</ns0:v>
      </ns0:c>
      <ns0:c r="D332" s="4">
        <ns0:v>3.99</ns0:v>
      </ns0:c>
      <ns0:c r="E332" s="4">
        <ns0:v>3.86</ns0:v>
      </ns0:c>
      <ns0:c r="F332" s="4">
        <ns0:v>3.99</ns0:v>
      </ns0:c>
      <ns0:c r="G332" s="4">
        <ns0:v>4.12</ns0:v>
      </ns0:c>
      <ns0:c r="H332" s="4">
        <ns0:v>3.98</ns0:v>
      </ns0:c>
      <ns0:c r="I332" s="4">
        <ns0:v>0.00</ns0:v>
      </ns0:c>
      <ns0:c r="J332" s="4">
        <ns0:v>0.00</ns0:v>
      </ns0:c>
      <ns0:c r="K332" s="4">
        <ns0:v>0.00</ns0:v>
      </ns0:c>
      <ns0:c r="L332" s="4">
        <ns0:v>0.00</ns0:v>
      </ns0:c>
      <ns0:c r="M332" s="4">
        <ns0:v>0.00</ns0:v>
      </ns0:c>
      <ns0:c r="N332" s="4">
        <ns0:v>0.00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2.07</ns0:v>
      </ns0:c>
      <ns0:c r="D333" s="4">
        <ns0:v>1.99</ns0:v>
      </ns0:c>
      <ns0:c r="E333" s="4">
        <ns0:v>1.93</ns0:v>
      </ns0:c>
      <ns0:c r="F333" s="4">
        <ns0:v>1.92</ns0:v>
      </ns0:c>
      <ns0:c r="G333" s="4">
        <ns0:v>2.05</ns0:v>
      </ns0:c>
      <ns0:c r="H333" s="4">
        <ns0:v>1.95</ns0:v>
      </ns0:c>
      <ns0:c r="I333" s="4">
        <ns0:v>0.00</ns0:v>
      </ns0:c>
      <ns0:c r="J333" s="4">
        <ns0:v>0.00</ns0:v>
      </ns0:c>
      <ns0:c r="K333" s="4">
        <ns0:v>0.00</ns0:v>
      </ns0:c>
      <ns0:c r="L333" s="4">
        <ns0:v>0.00</ns0:v>
      </ns0:c>
      <ns0:c r="M333" s="4">
        <ns0:v>0.00</ns0:v>
      </ns0:c>
      <ns0:c r="N333" s="4">
        <ns0:v>0.00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8.37</ns0:v>
      </ns0:c>
      <ns0:c r="D334" s="4">
        <ns0:v>8.14</ns0:v>
      </ns0:c>
      <ns0:c r="E334" s="4">
        <ns0:v>7.79</ns0:v>
      </ns0:c>
      <ns0:c r="F334" s="4">
        <ns0:v>7.74</ns0:v>
      </ns0:c>
      <ns0:c r="G334" s="4">
        <ns0:v>7.83</ns0:v>
      </ns0:c>
      <ns0:c r="H334" s="4">
        <ns0:v>7.74</ns0:v>
      </ns0:c>
      <ns0:c r="I334" s="4">
        <ns0:v>0.00</ns0:v>
      </ns0:c>
      <ns0:c r="J334" s="4">
        <ns0:v>0.00</ns0:v>
      </ns0:c>
      <ns0:c r="K334" s="4">
        <ns0:v>0.00</ns0:v>
      </ns0:c>
      <ns0:c r="L334" s="4">
        <ns0:v>0.00</ns0:v>
      </ns0:c>
      <ns0:c r="M334" s="4">
        <ns0:v>0.00</ns0:v>
      </ns0:c>
      <ns0:c r="N334" s="4">
        <ns0:v>0.00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3.92</ns0:v>
      </ns0:c>
      <ns0:c r="D335" s="4">
        <ns0:v>4.06</ns0:v>
      </ns0:c>
      <ns0:c r="E335" s="4">
        <ns0:v>3.88</ns0:v>
      </ns0:c>
      <ns0:c r="F335" s="4">
        <ns0:v>3.93</ns0:v>
      </ns0:c>
      <ns0:c r="G335" s="4">
        <ns0:v>3.99</ns0:v>
      </ns0:c>
      <ns0:c r="H335" s="4">
        <ns0:v>4.10</ns0:v>
      </ns0:c>
      <ns0:c r="I335" s="4">
        <ns0:v>0.00</ns0:v>
      </ns0:c>
      <ns0:c r="J335" s="4">
        <ns0:v>0.00</ns0:v>
      </ns0:c>
      <ns0:c r="K335" s="4">
        <ns0:v>0.00</ns0:v>
      </ns0:c>
      <ns0:c r="L335" s="4">
        <ns0:v>0.00</ns0:v>
      </ns0:c>
      <ns0:c r="M335" s="4">
        <ns0:v>0.00</ns0:v>
      </ns0:c>
      <ns0:c r="N335" s="4">
        <ns0:v>0.00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4.03</ns0:v>
      </ns0:c>
      <ns0:c r="D336" s="4">
        <ns0:v>3.93</ns0:v>
      </ns0:c>
      <ns0:c r="E336" s="4">
        <ns0:v>3.96</ns0:v>
      </ns0:c>
      <ns0:c r="F336" s="4">
        <ns0:v>3.95</ns0:v>
      </ns0:c>
      <ns0:c r="G336" s="4">
        <ns0:v>4.13</ns0:v>
      </ns0:c>
      <ns0:c r="H336" s="4">
        <ns0:v>4.15</ns0:v>
      </ns0:c>
      <ns0:c r="I336" s="4">
        <ns0:v>0.00</ns0:v>
      </ns0:c>
      <ns0:c r="J336" s="4">
        <ns0:v>0.00</ns0:v>
      </ns0:c>
      <ns0:c r="K336" s="4">
        <ns0:v>0.00</ns0:v>
      </ns0:c>
      <ns0:c r="L336" s="4">
        <ns0:v>0.00</ns0:v>
      </ns0:c>
      <ns0:c r="M336" s="4">
        <ns0:v>0.00</ns0:v>
      </ns0:c>
      <ns0:c r="N336" s="4">
        <ns0:v>0.00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2.08</ns0:v>
      </ns0:c>
      <ns0:c r="D337" s="4">
        <ns0:v>2.02</ns0:v>
      </ns0:c>
      <ns0:c r="E337" s="4">
        <ns0:v>1.98</ns0:v>
      </ns0:c>
      <ns0:c r="F337" s="4">
        <ns0:v>1.95</ns0:v>
      </ns0:c>
      <ns0:c r="G337" s="4">
        <ns0:v>1.93</ns0:v>
      </ns0:c>
      <ns0:c r="H337" s="4">
        <ns0:v>1.96</ns0:v>
      </ns0:c>
      <ns0:c r="I337" s="4">
        <ns0:v>0.00</ns0:v>
      </ns0:c>
      <ns0:c r="J337" s="4">
        <ns0:v>0.00</ns0:v>
      </ns0:c>
      <ns0:c r="K337" s="4">
        <ns0:v>0.00</ns0:v>
      </ns0:c>
      <ns0:c r="L337" s="4">
        <ns0:v>0.00</ns0:v>
      </ns0:c>
      <ns0:c r="M337" s="4">
        <ns0:v>0.00</ns0:v>
      </ns0:c>
      <ns0:c r="N337" s="4">
        <ns0:v>0.00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6.79</ns0:v>
      </ns0:c>
      <ns0:c r="D338" s="4">
        <ns0:v>6.95</ns0:v>
      </ns0:c>
      <ns0:c r="E338" s="4">
        <ns0:v>6.77</ns0:v>
      </ns0:c>
      <ns0:c r="F338" s="4">
        <ns0:v>7.22</ns0:v>
      </ns0:c>
      <ns0:c r="G338" s="4">
        <ns0:v>7.16</ns0:v>
      </ns0:c>
      <ns0:c r="H338" s="4">
        <ns0:v>7.04</ns0:v>
      </ns0:c>
      <ns0:c r="I338" s="4">
        <ns0:v>0.00</ns0:v>
      </ns0:c>
      <ns0:c r="J338" s="4">
        <ns0:v>0.00</ns0:v>
      </ns0:c>
      <ns0:c r="K338" s="4">
        <ns0:v>0.00</ns0:v>
      </ns0:c>
      <ns0:c r="L338" s="4">
        <ns0:v>0.00</ns0:v>
      </ns0:c>
      <ns0:c r="M338" s="4">
        <ns0:v>0.00</ns0:v>
      </ns0:c>
      <ns0:c r="N338" s="4">
        <ns0:v>0.00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3.90</ns0:v>
      </ns0:c>
      <ns0:c r="D339" s="4">
        <ns0:v>4.03</ns0:v>
      </ns0:c>
      <ns0:c r="E339" s="4">
        <ns0:v>3.95</ns0:v>
      </ns0:c>
      <ns0:c r="F339" s="4">
        <ns0:v>3.94</ns0:v>
      </ns0:c>
      <ns0:c r="G339" s="4">
        <ns0:v>4.02</ns0:v>
      </ns0:c>
      <ns0:c r="H339" s="4">
        <ns0:v>3.86</ns0:v>
      </ns0:c>
      <ns0:c r="I339" s="4">
        <ns0:v>0.00</ns0:v>
      </ns0:c>
      <ns0:c r="J339" s="4">
        <ns0:v>0.00</ns0:v>
      </ns0:c>
      <ns0:c r="K339" s="4">
        <ns0:v>0.00</ns0:v>
      </ns0:c>
      <ns0:c r="L339" s="4">
        <ns0:v>0.00</ns0:v>
      </ns0:c>
      <ns0:c r="M339" s="4">
        <ns0:v>0.00</ns0:v>
      </ns0:c>
      <ns0:c r="N339" s="4">
        <ns0:v>0.00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8.06</ns0:v>
      </ns0:c>
      <ns0:c r="D341" s="4">
        <ns0:v>8.23</ns0:v>
      </ns0:c>
      <ns0:c r="E341" s="4">
        <ns0:v>7.95</ns0:v>
      </ns0:c>
      <ns0:c r="F341" s="4">
        <ns0:v>7.84</ns0:v>
      </ns0:c>
      <ns0:c r="G341" s="4">
        <ns0:v>8.08</ns0:v>
      </ns0:c>
      <ns0:c r="H341" s="4">
        <ns0:v>8.12</ns0:v>
      </ns0:c>
      <ns0:c r="I341" s="4">
        <ns0:v>0.00</ns0:v>
      </ns0:c>
      <ns0:c r="J341" s="4">
        <ns0:v>0.00</ns0:v>
      </ns0:c>
      <ns0:c r="K341" s="4">
        <ns0:v>0.00</ns0:v>
      </ns0:c>
      <ns0:c r="L341" s="4">
        <ns0:v>0.00</ns0:v>
      </ns0:c>
      <ns0:c r="M341" s="4">
        <ns0:v>0.00</ns0:v>
      </ns0:c>
      <ns0:c r="N341" s="4">
        <ns0:v>0.00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6.12</ns0:v>
      </ns0:c>
      <ns0:c r="D342" s="4">
        <ns0:v>6.11</ns0:v>
      </ns0:c>
      <ns0:c r="E342" s="4">
        <ns0:v>5.92</ns0:v>
      </ns0:c>
      <ns0:c r="F342" s="4">
        <ns0:v>6.14</ns0:v>
      </ns0:c>
      <ns0:c r="G342" s="4">
        <ns0:v>6.19</ns0:v>
      </ns0:c>
      <ns0:c r="H342" s="4">
        <ns0:v>6.19</ns0:v>
      </ns0:c>
      <ns0:c r="I342" s="4">
        <ns0:v>0.00</ns0:v>
      </ns0:c>
      <ns0:c r="J342" s="4">
        <ns0:v>0.00</ns0:v>
      </ns0:c>
      <ns0:c r="K342" s="4">
        <ns0:v>0.00</ns0:v>
      </ns0:c>
      <ns0:c r="L342" s="4">
        <ns0:v>0.00</ns0:v>
      </ns0:c>
      <ns0:c r="M342" s="4">
        <ns0:v>0.00</ns0:v>
      </ns0:c>
      <ns0:c r="N342" s="4">
        <ns0:v>0.00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3.89</ns0:v>
      </ns0:c>
      <ns0:c r="D343" s="4">
        <ns0:v>3.85</ns0:v>
      </ns0:c>
      <ns0:c r="E343" s="4">
        <ns0:v>3.95</ns0:v>
      </ns0:c>
      <ns0:c r="F343" s="4">
        <ns0:v>4.07</ns0:v>
      </ns0:c>
      <ns0:c r="G343" s="4">
        <ns0:v>4.12</ns0:v>
      </ns0:c>
      <ns0:c r="H343" s="4">
        <ns0:v>4.16</ns0:v>
      </ns0:c>
      <ns0:c r="I343" s="4">
        <ns0:v>0.00</ns0:v>
      </ns0:c>
      <ns0:c r="J343" s="4">
        <ns0:v>0.00</ns0:v>
      </ns0:c>
      <ns0:c r="K343" s="4">
        <ns0:v>0.00</ns0:v>
      </ns0:c>
      <ns0:c r="L343" s="4">
        <ns0:v>0.00</ns0:v>
      </ns0:c>
      <ns0:c r="M343" s="4">
        <ns0:v>0.00</ns0:v>
      </ns0:c>
      <ns0:c r="N343" s="4">
        <ns0:v>0.00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2.88</ns0:v>
      </ns0:c>
      <ns0:c r="D344" s="4">
        <ns0:v>2.89</ns0:v>
      </ns0:c>
      <ns0:c r="E344" s="4">
        <ns0:v>2.94</ns0:v>
      </ns0:c>
      <ns0:c r="F344" s="4">
        <ns0:v>3.11</ns0:v>
      </ns0:c>
      <ns0:c r="G344" s="4">
        <ns0:v>3.08</ns0:v>
      </ns0:c>
      <ns0:c r="H344" s="4">
        <ns0:v>2.95</ns0:v>
      </ns0:c>
      <ns0:c r="I344" s="4">
        <ns0:v>0.00</ns0:v>
      </ns0:c>
      <ns0:c r="J344" s="4">
        <ns0:v>0.00</ns0:v>
      </ns0:c>
      <ns0:c r="K344" s="4">
        <ns0:v>0.00</ns0:v>
      </ns0:c>
      <ns0:c r="L344" s="4">
        <ns0:v>0.00</ns0:v>
      </ns0:c>
      <ns0:c r="M344" s="4">
        <ns0:v>0.00</ns0:v>
      </ns0:c>
      <ns0:c r="N344" s="4">
        <ns0:v>0.00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3.08</ns0:v>
      </ns0:c>
      <ns0:c r="D345" s="4">
        <ns0:v>3.05</ns0:v>
      </ns0:c>
      <ns0:c r="E345" s="4">
        <ns0:v>2.90</ns0:v>
      </ns0:c>
      <ns0:c r="F345" s="4">
        <ns0:v>3.11</ns0:v>
      </ns0:c>
      <ns0:c r="G345" s="4">
        <ns0:v>3.10</ns0:v>
      </ns0:c>
      <ns0:c r="H345" s="4">
        <ns0:v>2.90</ns0:v>
      </ns0:c>
      <ns0:c r="I345" s="4">
        <ns0:v>0.00</ns0:v>
      </ns0:c>
      <ns0:c r="J345" s="4">
        <ns0:v>0.00</ns0:v>
      </ns0:c>
      <ns0:c r="K345" s="4">
        <ns0:v>0.00</ns0:v>
      </ns0:c>
      <ns0:c r="L345" s="4">
        <ns0:v>0.00</ns0:v>
      </ns0:c>
      <ns0:c r="M345" s="4">
        <ns0:v>0.00</ns0:v>
      </ns0:c>
      <ns0:c r="N345" s="4">
        <ns0:v>0.00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4.96</ns0:v>
      </ns0:c>
      <ns0:c r="D346" s="4">
        <ns0:v>4.91</ns0:v>
      </ns0:c>
      <ns0:c r="E346" s="4">
        <ns0:v>4.82</ns0:v>
      </ns0:c>
      <ns0:c r="F346" s="4">
        <ns0:v>5.13</ns0:v>
      </ns0:c>
      <ns0:c r="G346" s="4">
        <ns0:v>4.96</ns0:v>
      </ns0:c>
      <ns0:c r="H346" s="4">
        <ns0:v>5.10</ns0:v>
      </ns0:c>
      <ns0:c r="I346" s="4">
        <ns0:v>0.00</ns0:v>
      </ns0:c>
      <ns0:c r="J346" s="4">
        <ns0:v>0.00</ns0:v>
      </ns0:c>
      <ns0:c r="K346" s="4">
        <ns0:v>0.00</ns0:v>
      </ns0:c>
      <ns0:c r="L346" s="4">
        <ns0:v>0.00</ns0:v>
      </ns0:c>
      <ns0:c r="M346" s="4">
        <ns0:v>0.00</ns0:v>
      </ns0:c>
      <ns0:c r="N346" s="4">
        <ns0:v>0.00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2.02</ns0:v>
      </ns0:c>
      <ns0:c r="D347" s="4">
        <ns0:v>2.06</ns0:v>
      </ns0:c>
      <ns0:c r="E347" s="4">
        <ns0:v>2.07</ns0:v>
      </ns0:c>
      <ns0:c r="F347" s="4">
        <ns0:v>1.94</ns0:v>
      </ns0:c>
      <ns0:c r="G347" s="4">
        <ns0:v>2.05</ns0:v>
      </ns0:c>
      <ns0:c r="H347" s="4">
        <ns0:v>2.07</ns0:v>
      </ns0:c>
      <ns0:c r="I347" s="4">
        <ns0:v>0.00</ns0:v>
      </ns0:c>
      <ns0:c r="J347" s="4">
        <ns0:v>0.00</ns0:v>
      </ns0:c>
      <ns0:c r="K347" s="4">
        <ns0:v>0.00</ns0:v>
      </ns0:c>
      <ns0:c r="L347" s="4">
        <ns0:v>0.00</ns0:v>
      </ns0:c>
      <ns0:c r="M347" s="4">
        <ns0:v>0.00</ns0:v>
      </ns0:c>
      <ns0:c r="N347" s="4">
        <ns0:v>0.00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10.95</ns0:v>
      </ns0:c>
      <ns0:c r="D348" s="4">
        <ns0:v>10.96</ns0:v>
      </ns0:c>
      <ns0:c r="E348" s="4">
        <ns0:v>11.23</ns0:v>
      </ns0:c>
      <ns0:c r="F348" s="4">
        <ns0:v>11.22</ns0:v>
      </ns0:c>
      <ns0:c r="G348" s="4">
        <ns0:v>11.24</ns0:v>
      </ns0:c>
      <ns0:c r="H348" s="4">
        <ns0:v>11.20</ns0:v>
      </ns0:c>
      <ns0:c r="I348" s="4">
        <ns0:v>0.00</ns0:v>
      </ns0:c>
      <ns0:c r="J348" s="4">
        <ns0:v>0.00</ns0:v>
      </ns0:c>
      <ns0:c r="K348" s="4">
        <ns0:v>0.00</ns0:v>
      </ns0:c>
      <ns0:c r="L348" s="4">
        <ns0:v>0.00</ns0:v>
      </ns0:c>
      <ns0:c r="M348" s="4">
        <ns0:v>0.00</ns0:v>
      </ns0:c>
      <ns0:c r="N348" s="4">
        <ns0:v>0.00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1.19</ns0:v>
      </ns0:c>
      <ns0:c r="D350" s="4">
        <ns0:v>1.19</ns0:v>
      </ns0:c>
      <ns0:c r="E350" s="4">
        <ns0:v>1.19</ns0:v>
      </ns0:c>
      <ns0:c r="F350" s="4">
        <ns0:v>1.19</ns0:v>
      </ns0:c>
      <ns0:c r="G350" s="4">
        <ns0:v>1.19</ns0:v>
      </ns0:c>
      <ns0:c r="H350" s="4">
        <ns0:v>1.19</ns0:v>
      </ns0:c>
      <ns0:c r="I350" s="4">
        <ns0:v>0.00</ns0:v>
      </ns0:c>
      <ns0:c r="J350" s="4">
        <ns0:v>0.00</ns0:v>
      </ns0:c>
      <ns0:c r="K350" s="4">
        <ns0:v>0.00</ns0:v>
      </ns0:c>
      <ns0:c r="L350" s="4">
        <ns0:v>0.00</ns0:v>
      </ns0:c>
      <ns0:c r="M350" s="4">
        <ns0:v>0.00</ns0:v>
      </ns0:c>
      <ns0:c r="N350" s="4">
        <ns0:v>0.00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2.02</ns0:v>
      </ns0:c>
      <ns0:c r="D351" s="4">
        <ns0:v>2.01</ns0:v>
      </ns0:c>
      <ns0:c r="E351" s="4">
        <ns0:v>1.94</ns0:v>
      </ns0:c>
      <ns0:c r="F351" s="4">
        <ns0:v>2.03</ns0:v>
      </ns0:c>
      <ns0:c r="G351" s="4">
        <ns0:v>1.98</ns0:v>
      </ns0:c>
      <ns0:c r="H351" s="4">
        <ns0:v>1.98</ns0:v>
      </ns0:c>
      <ns0:c r="I351" s="4">
        <ns0:v>0.00</ns0:v>
      </ns0:c>
      <ns0:c r="J351" s="4">
        <ns0:v>0.00</ns0:v>
      </ns0:c>
      <ns0:c r="K351" s="4">
        <ns0:v>0.00</ns0:v>
      </ns0:c>
      <ns0:c r="L351" s="4">
        <ns0:v>0.00</ns0:v>
      </ns0:c>
      <ns0:c r="M351" s="4">
        <ns0:v>0.00</ns0:v>
      </ns0:c>
      <ns0:c r="N351" s="4">
        <ns0:v>0.00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3.05</ns0:v>
      </ns0:c>
      <ns0:c r="D352" s="4">
        <ns0:v>3.03</ns0:v>
      </ns0:c>
      <ns0:c r="E352" s="4">
        <ns0:v>3.05</ns0:v>
      </ns0:c>
      <ns0:c r="F352" s="4">
        <ns0:v>2.89</ns0:v>
      </ns0:c>
      <ns0:c r="G352" s="4">
        <ns0:v>2.95</ns0:v>
      </ns0:c>
      <ns0:c r="H352" s="4">
        <ns0:v>2.93</ns0:v>
      </ns0:c>
      <ns0:c r="I352" s="4">
        <ns0:v>0.00</ns0:v>
      </ns0:c>
      <ns0:c r="J352" s="4">
        <ns0:v>0.00</ns0:v>
      </ns0:c>
      <ns0:c r="K352" s="4">
        <ns0:v>0.00</ns0:v>
      </ns0:c>
      <ns0:c r="L352" s="4">
        <ns0:v>0.00</ns0:v>
      </ns0:c>
      <ns0:c r="M352" s="4">
        <ns0:v>0.00</ns0:v>
      </ns0:c>
      <ns0:c r="N352" s="4">
        <ns0:v>0.00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3.89</ns0:v>
      </ns0:c>
      <ns0:c r="D353" s="4">
        <ns0:v>4.37</ns0:v>
      </ns0:c>
      <ns0:c r="E353" s="4">
        <ns0:v>4.02</ns0:v>
      </ns0:c>
      <ns0:c r="F353" s="4">
        <ns0:v>4.37</ns0:v>
      </ns0:c>
      <ns0:c r="G353" s="4">
        <ns0:v>3.90</ns0:v>
      </ns0:c>
      <ns0:c r="H353" s="4">
        <ns0:v>3.99</ns0:v>
      </ns0:c>
      <ns0:c r="I353" s="4">
        <ns0:v>0.00</ns0:v>
      </ns0:c>
      <ns0:c r="J353" s="4">
        <ns0:v>0.00</ns0:v>
      </ns0:c>
      <ns0:c r="K353" s="4">
        <ns0:v>0.00</ns0:v>
      </ns0:c>
      <ns0:c r="L353" s="4">
        <ns0:v>0.00</ns0:v>
      </ns0:c>
      <ns0:c r="M353" s="4">
        <ns0:v>0.00</ns0:v>
      </ns0:c>
      <ns0:c r="N353" s="4">
        <ns0:v>0.00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13907.61</ns0:v>
      </ns0:c>
      <ns0:c r="D4" s="8">
        <ns0:f>ROUND(D204*D324,2)</ns0:f>
        <ns0:v>13857.19</ns0:v>
      </ns0:c>
      <ns0:c r="E4" s="8">
        <ns0:f>ROUND(E204*E324,2)</ns0:f>
        <ns0:v>13924.41</ns0:v>
      </ns0:c>
      <ns0:c r="F4" s="8">
        <ns0:f>ROUND(F204*F324,2)</ns0:f>
        <ns0:v>14104.98</ns0:v>
      </ns0:c>
      <ns0:c r="G4" s="8">
        <ns0:f>ROUND(G204*G324,2)</ns0:f>
        <ns0:v>14214.22</ns0:v>
      </ns0:c>
      <ns0:c r="H4" s="8">
        <ns0:f>ROUND(H204*H324,2)</ns0:f>
        <ns0:v>13937.02</ns0:v>
      </ns0:c>
      <ns0:c r="I4" s="8">
        <ns0:f>ROUND(I204*I324,2)</ns0:f>
        <ns0:v>0.00</ns0:v>
      </ns0:c>
      <ns0:c r="J4" s="8">
        <ns0:f>ROUND(J204*J324,2)</ns0:f>
        <ns0:v>0.00</ns0:v>
      </ns0:c>
      <ns0:c r="K4" s="8">
        <ns0:f>ROUND(K204*K324,2)</ns0:f>
        <ns0:v>0.00</ns0:v>
      </ns0:c>
      <ns0:c r="L4" s="8">
        <ns0:f>ROUND(L204*L324,2)</ns0:f>
        <ns0:v>0.00</ns0:v>
      </ns0:c>
      <ns0:c r="M4" s="8">
        <ns0:f>ROUND(M204*M324,2)</ns0:f>
        <ns0:v>0.00</ns0:v>
      </ns0:c>
      <ns0:c r="N4" s="8">
        <ns0:f>ROUND(N204*N324,2)</ns0:f>
        <ns0:v>0.00</ns0:v>
      </ns0:c>
      <ns0:c r="O4" s="8">
        <ns0:f>SUM(C4:N4)</ns0:f>
        <ns0:v>83945.43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990.82</ns0:v>
      </ns0:c>
      <ns0:c r="D5" s="8">
        <ns0:f>ROUND(D205*D325,2)</ns0:f>
        <ns0:v>984.21</ns0:v>
      </ns0:c>
      <ns0:c r="E5" s="8">
        <ns0:f>ROUND(E205*E325,2)</ns0:f>
        <ns0:v>1016.41</ns0:v>
      </ns0:c>
      <ns0:c r="F5" s="8">
        <ns0:f>ROUND(F205*F325,2)</ns0:f>
        <ns0:v>991.09</ns0:v>
      </ns0:c>
      <ns0:c r="G5" s="8">
        <ns0:f>ROUND(G205*G325,2)</ns0:f>
        <ns0:v>1001.01</ns0:v>
      </ns0:c>
      <ns0:c r="H5" s="8">
        <ns0:f>ROUND(H205*H325,2)</ns0:f>
        <ns0:v>1017.01</ns0:v>
      </ns0:c>
      <ns0:c r="I5" s="8">
        <ns0:f>ROUND(I205*I325,2)</ns0:f>
        <ns0:v>0.00</ns0:v>
      </ns0:c>
      <ns0:c r="J5" s="8">
        <ns0:f>ROUND(J205*J325,2)</ns0:f>
        <ns0:v>0.00</ns0:v>
      </ns0:c>
      <ns0:c r="K5" s="8">
        <ns0:f>ROUND(K205*K325,2)</ns0:f>
        <ns0:v>0.00</ns0:v>
      </ns0:c>
      <ns0:c r="L5" s="8">
        <ns0:f>ROUND(L205*L325,2)</ns0:f>
        <ns0:v>0.00</ns0:v>
      </ns0:c>
      <ns0:c r="M5" s="8">
        <ns0:f>ROUND(M205*M325,2)</ns0:f>
        <ns0:v>0.00</ns0:v>
      </ns0:c>
      <ns0:c r="N5" s="8">
        <ns0:f>ROUND(N205*N325,2)</ns0:f>
        <ns0:v>0.00</ns0:v>
      </ns0:c>
      <ns0:c r="O5" s="8">
        <ns0:f>SUM(C5:N5)</ns0:f>
        <ns0:v>6000.55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373.61</ns0:v>
      </ns0:c>
      <ns0:c r="D6" s="8">
        <ns0:f>ROUND(D206*D326,2)</ns0:f>
        <ns0:v>388.81</ns0:v>
      </ns0:c>
      <ns0:c r="E6" s="8">
        <ns0:f>ROUND(E206*E326,2)</ns0:f>
        <ns0:v>360.62</ns0:v>
      </ns0:c>
      <ns0:c r="F6" s="8">
        <ns0:f>ROUND(F206*F326,2)</ns0:f>
        <ns0:v>414.83</ns0:v>
      </ns0:c>
      <ns0:c r="G6" s="8">
        <ns0:f>ROUND(G206*G326,2)</ns0:f>
        <ns0:v>380.69</ns0:v>
      </ns0:c>
      <ns0:c r="H6" s="8">
        <ns0:f>ROUND(H206*H326,2)</ns0:f>
        <ns0:v>405.35</ns0:v>
      </ns0:c>
      <ns0:c r="I6" s="8">
        <ns0:f>ROUND(I206*I326,2)</ns0:f>
        <ns0:v>0.00</ns0:v>
      </ns0:c>
      <ns0:c r="J6" s="8">
        <ns0:f>ROUND(J206*J326,2)</ns0:f>
        <ns0:v>0.00</ns0:v>
      </ns0:c>
      <ns0:c r="K6" s="8">
        <ns0:f>ROUND(K206*K326,2)</ns0:f>
        <ns0:v>0.00</ns0:v>
      </ns0:c>
      <ns0:c r="L6" s="8">
        <ns0:f>ROUND(L206*L326,2)</ns0:f>
        <ns0:v>0.00</ns0:v>
      </ns0:c>
      <ns0:c r="M6" s="8">
        <ns0:f>ROUND(M206*M326,2)</ns0:f>
        <ns0:v>0.00</ns0:v>
      </ns0:c>
      <ns0:c r="N6" s="8">
        <ns0:f>ROUND(N206*N326,2)</ns0:f>
        <ns0:v>0.00</ns0:v>
      </ns0:c>
      <ns0:c r="O6" s="8">
        <ns0:f>SUM(C6:N6)</ns0:f>
        <ns0:v>2323.91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4561.19</ns0:v>
      </ns0:c>
      <ns0:c r="D7" s="8">
        <ns0:f>ROUND(D207*D327,2)</ns0:f>
        <ns0:v>4518.02</ns0:v>
      </ns0:c>
      <ns0:c r="E7" s="8">
        <ns0:f>ROUND(E207*E327,2)</ns0:f>
        <ns0:v>4587.77</ns0:v>
      </ns0:c>
      <ns0:c r="F7" s="8">
        <ns0:f>ROUND(F207*F327,2)</ns0:f>
        <ns0:v>4574.69</ns0:v>
      </ns0:c>
      <ns0:c r="G7" s="8">
        <ns0:f>ROUND(G207*G327,2)</ns0:f>
        <ns0:v>4473.89</ns0:v>
      </ns0:c>
      <ns0:c r="H7" s="8">
        <ns0:f>ROUND(H207*H327,2)</ns0:f>
        <ns0:v>4583.27</ns0:v>
      </ns0:c>
      <ns0:c r="I7" s="8">
        <ns0:f>ROUND(I207*I327,2)</ns0:f>
        <ns0:v>0.00</ns0:v>
      </ns0:c>
      <ns0:c r="J7" s="8">
        <ns0:f>ROUND(J207*J327,2)</ns0:f>
        <ns0:v>0.00</ns0:v>
      </ns0:c>
      <ns0:c r="K7" s="8">
        <ns0:f>ROUND(K207*K327,2)</ns0:f>
        <ns0:v>0.00</ns0:v>
      </ns0:c>
      <ns0:c r="L7" s="8">
        <ns0:f>ROUND(L207*L327,2)</ns0:f>
        <ns0:v>0.00</ns0:v>
      </ns0:c>
      <ns0:c r="M7" s="8">
        <ns0:f>ROUND(M207*M327,2)</ns0:f>
        <ns0:v>0.00</ns0:v>
      </ns0:c>
      <ns0:c r="N7" s="8">
        <ns0:f>ROUND(N207*N327,2)</ns0:f>
        <ns0:v>0.00</ns0:v>
      </ns0:c>
      <ns0:c r="O7" s="8">
        <ns0:f>SUM(C7:N7)</ns0:f>
        <ns0:v>27298.83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892.45</ns0:v>
      </ns0:c>
      <ns0:c r="D8" s="8">
        <ns0:f>ROUND(D208*D328,2)</ns0:f>
        <ns0:v>908.53</ns0:v>
      </ns0:c>
      <ns0:c r="E8" s="8">
        <ns0:f>ROUND(E208*E328,2)</ns0:f>
        <ns0:v>859.67</ns0:v>
      </ns0:c>
      <ns0:c r="F8" s="8">
        <ns0:f>ROUND(F208*F328,2)</ns0:f>
        <ns0:v>795.94</ns0:v>
      </ns0:c>
      <ns0:c r="G8" s="8">
        <ns0:f>ROUND(G208*G328,2)</ns0:f>
        <ns0:v>863.55</ns0:v>
      </ns0:c>
      <ns0:c r="H8" s="8">
        <ns0:f>ROUND(H208*H328,2)</ns0:f>
        <ns0:v>901.91</ns0:v>
      </ns0:c>
      <ns0:c r="I8" s="8">
        <ns0:f>ROUND(I208*I328,2)</ns0:f>
        <ns0:v>0.00</ns0:v>
      </ns0:c>
      <ns0:c r="J8" s="8">
        <ns0:f>ROUND(J208*J328,2)</ns0:f>
        <ns0:v>0.00</ns0:v>
      </ns0:c>
      <ns0:c r="K8" s="8">
        <ns0:f>ROUND(K208*K328,2)</ns0:f>
        <ns0:v>0.00</ns0:v>
      </ns0:c>
      <ns0:c r="L8" s="8">
        <ns0:f>ROUND(L208*L328,2)</ns0:f>
        <ns0:v>0.00</ns0:v>
      </ns0:c>
      <ns0:c r="M8" s="8">
        <ns0:f>ROUND(M208*M328,2)</ns0:f>
        <ns0:v>0.00</ns0:v>
      </ns0:c>
      <ns0:c r="N8" s="8">
        <ns0:f>ROUND(N208*N328,2)</ns0:f>
        <ns0:v>0.00</ns0:v>
      </ns0:c>
      <ns0:c r="O8" s="8">
        <ns0:f>SUM(C8:N8)</ns0:f>
        <ns0:v>5222.05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273.84</ns0:v>
      </ns0:c>
      <ns0:c r="D9" s="8">
        <ns0:f>ROUND(D209*D329,2)</ns0:f>
        <ns0:v>299.55</ns0:v>
      </ns0:c>
      <ns0:c r="E9" s="8">
        <ns0:f>ROUND(E209*E329,2)</ns0:f>
        <ns0:v>264.66</ns0:v>
      </ns0:c>
      <ns0:c r="F9" s="8">
        <ns0:f>ROUND(F209*F329,2)</ns0:f>
        <ns0:v>316.09</ns0:v>
      </ns0:c>
      <ns0:c r="G9" s="8">
        <ns0:f>ROUND(G209*G329,2)</ns0:f>
        <ns0:v>321.06</ns0:v>
      </ns0:c>
      <ns0:c r="H9" s="8">
        <ns0:f>ROUND(H209*H329,2)</ns0:f>
        <ns0:v>296.76</ns0:v>
      </ns0:c>
      <ns0:c r="I9" s="8">
        <ns0:f>ROUND(I209*I329,2)</ns0:f>
        <ns0:v>0.00</ns0:v>
      </ns0:c>
      <ns0:c r="J9" s="8">
        <ns0:f>ROUND(J209*J329,2)</ns0:f>
        <ns0:v>0.00</ns0:v>
      </ns0:c>
      <ns0:c r="K9" s="8">
        <ns0:f>ROUND(K209*K329,2)</ns0:f>
        <ns0:v>0.00</ns0:v>
      </ns0:c>
      <ns0:c r="L9" s="8">
        <ns0:f>ROUND(L209*L329,2)</ns0:f>
        <ns0:v>0.00</ns0:v>
      </ns0:c>
      <ns0:c r="M9" s="8">
        <ns0:f>ROUND(M209*M329,2)</ns0:f>
        <ns0:v>0.00</ns0:v>
      </ns0:c>
      <ns0:c r="N9" s="8">
        <ns0:f>ROUND(N209*N329,2)</ns0:f>
        <ns0:v>0.00</ns0:v>
      </ns0:c>
      <ns0:c r="O9" s="8">
        <ns0:f>SUM(C9:N9)</ns0:f>
        <ns0:v>1771.96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267.18</ns0:v>
      </ns0:c>
      <ns0:c r="D10" s="8">
        <ns0:f>ROUND(D210*D330,2)</ns0:f>
        <ns0:v>275.37</ns0:v>
      </ns0:c>
      <ns0:c r="E10" s="8">
        <ns0:f>ROUND(E210*E330,2)</ns0:f>
        <ns0:v>321.48</ns0:v>
      </ns0:c>
      <ns0:c r="F10" s="8">
        <ns0:f>ROUND(F210*F330,2)</ns0:f>
        <ns0:v>303.75</ns0:v>
      </ns0:c>
      <ns0:c r="G10" s="8">
        <ns0:f>ROUND(G210*G330,2)</ns0:f>
        <ns0:v>313.26</ns0:v>
      </ns0:c>
      <ns0:c r="H10" s="8">
        <ns0:f>ROUND(H210*H330,2)</ns0:f>
        <ns0:v>329.55</ns0:v>
      </ns0:c>
      <ns0:c r="I10" s="8">
        <ns0:f>ROUND(I210*I330,2)</ns0:f>
        <ns0:v>0.00</ns0:v>
      </ns0:c>
      <ns0:c r="J10" s="8">
        <ns0:f>ROUND(J210*J330,2)</ns0:f>
        <ns0:v>0.00</ns0:v>
      </ns0:c>
      <ns0:c r="K10" s="8">
        <ns0:f>ROUND(K210*K330,2)</ns0:f>
        <ns0:v>0.00</ns0:v>
      </ns0:c>
      <ns0:c r="L10" s="8">
        <ns0:f>ROUND(L210*L330,2)</ns0:f>
        <ns0:v>0.00</ns0:v>
      </ns0:c>
      <ns0:c r="M10" s="8">
        <ns0:f>ROUND(M210*M330,2)</ns0:f>
        <ns0:v>0.00</ns0:v>
      </ns0:c>
      <ns0:c r="N10" s="8">
        <ns0:f>ROUND(N210*N330,2)</ns0:f>
        <ns0:v>0.00</ns0:v>
      </ns0:c>
      <ns0:c r="O10" s="8">
        <ns0:f>SUM(C10:N10)</ns0:f>
        <ns0:v>1810.59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1523.11</ns0:v>
      </ns0:c>
      <ns0:c r="D11" s="8">
        <ns0:f>ROUND(D211*D331,2)</ns0:f>
        <ns0:v>1541.71</ns0:v>
      </ns0:c>
      <ns0:c r="E11" s="8">
        <ns0:f>ROUND(E211*E331,2)</ns0:f>
        <ns0:v>1666.80</ns0:v>
      </ns0:c>
      <ns0:c r="F11" s="8">
        <ns0:f>ROUND(F211*F331,2)</ns0:f>
        <ns0:v>1436.84</ns0:v>
      </ns0:c>
      <ns0:c r="G11" s="8">
        <ns0:f>ROUND(G211*G331,2)</ns0:f>
        <ns0:v>1669.94</ns0:v>
      </ns0:c>
      <ns0:c r="H11" s="8">
        <ns0:f>ROUND(H211*H331,2)</ns0:f>
        <ns0:v>1391.40</ns0:v>
      </ns0:c>
      <ns0:c r="I11" s="8">
        <ns0:f>ROUND(I211*I331,2)</ns0:f>
        <ns0:v>0.00</ns0:v>
      </ns0:c>
      <ns0:c r="J11" s="8">
        <ns0:f>ROUND(J211*J331,2)</ns0:f>
        <ns0:v>0.00</ns0:v>
      </ns0:c>
      <ns0:c r="K11" s="8">
        <ns0:f>ROUND(K211*K331,2)</ns0:f>
        <ns0:v>0.00</ns0:v>
      </ns0:c>
      <ns0:c r="L11" s="8">
        <ns0:f>ROUND(L211*L331,2)</ns0:f>
        <ns0:v>0.00</ns0:v>
      </ns0:c>
      <ns0:c r="M11" s="8">
        <ns0:f>ROUND(M211*M331,2)</ns0:f>
        <ns0:v>0.00</ns0:v>
      </ns0:c>
      <ns0:c r="N11" s="8">
        <ns0:f>ROUND(N211*N331,2)</ns0:f>
        <ns0:v>0.00</ns0:v>
      </ns0:c>
      <ns0:c r="O11" s="8">
        <ns0:f>SUM(C11:N11)</ns0:f>
        <ns0:v>9229.80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421.44</ns0:v>
      </ns0:c>
      <ns0:c r="D12" s="8">
        <ns0:f>ROUND(D212*D332,2)</ns0:f>
        <ns0:v>438.88</ns0:v>
      </ns0:c>
      <ns0:c r="E12" s="8">
        <ns0:f>ROUND(E212*E332,2)</ns0:f>
        <ns0:v>397.68</ns0:v>
      </ns0:c>
      <ns0:c r="F12" s="8">
        <ns0:f>ROUND(F212*F332,2)</ns0:f>
        <ns0:v>377.21</ns0:v>
      </ns0:c>
      <ns0:c r="G12" s="8">
        <ns0:f>ROUND(G212*G332,2)</ns0:f>
        <ns0:v>388.61</ns0:v>
      </ns0:c>
      <ns0:c r="H12" s="8">
        <ns0:f>ROUND(H212*H332,2)</ns0:f>
        <ns0:v>393.93</ns0:v>
      </ns0:c>
      <ns0:c r="I12" s="8">
        <ns0:f>ROUND(I212*I332,2)</ns0:f>
        <ns0:v>0.00</ns0:v>
      </ns0:c>
      <ns0:c r="J12" s="8">
        <ns0:f>ROUND(J212*J332,2)</ns0:f>
        <ns0:v>0.00</ns0:v>
      </ns0:c>
      <ns0:c r="K12" s="8">
        <ns0:f>ROUND(K212*K332,2)</ns0:f>
        <ns0:v>0.00</ns0:v>
      </ns0:c>
      <ns0:c r="L12" s="8">
        <ns0:f>ROUND(L212*L332,2)</ns0:f>
        <ns0:v>0.00</ns0:v>
      </ns0:c>
      <ns0:c r="M12" s="8">
        <ns0:f>ROUND(M212*M332,2)</ns0:f>
        <ns0:v>0.00</ns0:v>
      </ns0:c>
      <ns0:c r="N12" s="8">
        <ns0:f>ROUND(N212*N332,2)</ns0:f>
        <ns0:v>0.00</ns0:v>
      </ns0:c>
      <ns0:c r="O12" s="8">
        <ns0:f>SUM(C12:N12)</ns0:f>
        <ns0:v>2417.75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541.80</ns0:v>
      </ns0:c>
      <ns0:c r="D13" s="8">
        <ns0:f>ROUND(D213*D333,2)</ns0:f>
        <ns0:v>445.85</ns0:v>
      </ns0:c>
      <ns0:c r="E13" s="8">
        <ns0:f>ROUND(E213*E333,2)</ns0:f>
        <ns0:v>548.70</ns0:v>
      </ns0:c>
      <ns0:c r="F13" s="8">
        <ns0:f>ROUND(F213*F333,2)</ns0:f>
        <ns0:v>559.20</ns0:v>
      </ns0:c>
      <ns0:c r="G13" s="8">
        <ns0:f>ROUND(G213*G333,2)</ns0:f>
        <ns0:v>548.10</ns0:v>
      </ns0:c>
      <ns0:c r="H13" s="8">
        <ns0:f>ROUND(H213*H333,2)</ns0:f>
        <ns0:v>539.15</ns0:v>
      </ns0:c>
      <ns0:c r="I13" s="8">
        <ns0:f>ROUND(I213*I333,2)</ns0:f>
        <ns0:v>0.00</ns0:v>
      </ns0:c>
      <ns0:c r="J13" s="8">
        <ns0:f>ROUND(J213*J333,2)</ns0:f>
        <ns0:v>0.00</ns0:v>
      </ns0:c>
      <ns0:c r="K13" s="8">
        <ns0:f>ROUND(K213*K333,2)</ns0:f>
        <ns0:v>0.00</ns0:v>
      </ns0:c>
      <ns0:c r="L13" s="8">
        <ns0:f>ROUND(L213*L333,2)</ns0:f>
        <ns0:v>0.00</ns0:v>
      </ns0:c>
      <ns0:c r="M13" s="8">
        <ns0:f>ROUND(M213*M333,2)</ns0:f>
        <ns0:v>0.00</ns0:v>
      </ns0:c>
      <ns0:c r="N13" s="8">
        <ns0:f>ROUND(N213*N333,2)</ns0:f>
        <ns0:v>0.00</ns0:v>
      </ns0:c>
      <ns0:c r="O13" s="8">
        <ns0:f>SUM(C13:N13)</ns0:f>
        <ns0:v>3182.80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708.19</ns0:v>
      </ns0:c>
      <ns0:c r="D14" s="8">
        <ns0:f>ROUND(D214*D334,2)</ns0:f>
        <ns0:v>638.89</ns0:v>
      </ns0:c>
      <ns0:c r="E14" s="8">
        <ns0:f>ROUND(E214*E334,2)</ns0:f>
        <ns0:v>715.27</ns0:v>
      </ns0:c>
      <ns0:c r="F14" s="8">
        <ns0:f>ROUND(F214*F334,2)</ns0:f>
        <ns0:v>716.87</ns0:v>
      </ns0:c>
      <ns0:c r="G14" s="8">
        <ns0:f>ROUND(G214*G334,2)</ns0:f>
        <ns0:v>686.13</ns0:v>
      </ns0:c>
      <ns0:c r="H14" s="8">
        <ns0:f>ROUND(H214*H334,2)</ns0:f>
        <ns0:v>619.93</ns0:v>
      </ns0:c>
      <ns0:c r="I14" s="8">
        <ns0:f>ROUND(I214*I334,2)</ns0:f>
        <ns0:v>0.00</ns0:v>
      </ns0:c>
      <ns0:c r="J14" s="8">
        <ns0:f>ROUND(J214*J334,2)</ns0:f>
        <ns0:v>0.00</ns0:v>
      </ns0:c>
      <ns0:c r="K14" s="8">
        <ns0:f>ROUND(K214*K334,2)</ns0:f>
        <ns0:v>0.00</ns0:v>
      </ns0:c>
      <ns0:c r="L14" s="8">
        <ns0:f>ROUND(L214*L334,2)</ns0:f>
        <ns0:v>0.00</ns0:v>
      </ns0:c>
      <ns0:c r="M14" s="8">
        <ns0:f>ROUND(M214*M334,2)</ns0:f>
        <ns0:v>0.00</ns0:v>
      </ns0:c>
      <ns0:c r="N14" s="8">
        <ns0:f>ROUND(N214*N334,2)</ns0:f>
        <ns0:v>0.00</ns0:v>
      </ns0:c>
      <ns0:c r="O14" s="8">
        <ns0:f>SUM(C14:N14)</ns0:f>
        <ns0:v>4085.28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406.73</ns0:v>
      </ns0:c>
      <ns0:c r="D15" s="8">
        <ns0:f>ROUND(D215*D335,2)</ns0:f>
        <ns0:v>388.41</ns0:v>
      </ns0:c>
      <ns0:c r="E15" s="8">
        <ns0:f>ROUND(E215*E335,2)</ns0:f>
        <ns0:v>447.28</ns0:v>
      </ns0:c>
      <ns0:c r="F15" s="8">
        <ns0:f>ROUND(F215*F335,2)</ns0:f>
        <ns0:v>353.88</ns0:v>
      </ns0:c>
      <ns0:c r="G15" s="8">
        <ns0:f>ROUND(G215*G335,2)</ns0:f>
        <ns0:v>387.49</ns0:v>
      </ns0:c>
      <ns0:c r="H15" s="8">
        <ns0:f>ROUND(H215*H335,2)</ns0:f>
        <ns0:v>429.75</ns0:v>
      </ns0:c>
      <ns0:c r="I15" s="8">
        <ns0:f>ROUND(I215*I335,2)</ns0:f>
        <ns0:v>0.00</ns0:v>
      </ns0:c>
      <ns0:c r="J15" s="8">
        <ns0:f>ROUND(J215*J335,2)</ns0:f>
        <ns0:v>0.00</ns0:v>
      </ns0:c>
      <ns0:c r="K15" s="8">
        <ns0:f>ROUND(K215*K335,2)</ns0:f>
        <ns0:v>0.00</ns0:v>
      </ns0:c>
      <ns0:c r="L15" s="8">
        <ns0:f>ROUND(L215*L335,2)</ns0:f>
        <ns0:v>0.00</ns0:v>
      </ns0:c>
      <ns0:c r="M15" s="8">
        <ns0:f>ROUND(M215*M335,2)</ns0:f>
        <ns0:v>0.00</ns0:v>
      </ns0:c>
      <ns0:c r="N15" s="8">
        <ns0:f>ROUND(N215*N335,2)</ns0:f>
        <ns0:v>0.00</ns0:v>
      </ns0:c>
      <ns0:c r="O15" s="8">
        <ns0:f>SUM(C15:N15)</ns0:f>
        <ns0:v>2413.54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782.79</ns0:v>
      </ns0:c>
      <ns0:c r="D16" s="8">
        <ns0:f>ROUND(D216*D336,2)</ns0:f>
        <ns0:v>753.52</ns0:v>
      </ns0:c>
      <ns0:c r="E16" s="8">
        <ns0:f>ROUND(E216*E336,2)</ns0:f>
        <ns0:v>814.56</ns0:v>
      </ns0:c>
      <ns0:c r="F16" s="8">
        <ns0:f>ROUND(F216*F336,2)</ns0:f>
        <ns0:v>888.64</ns0:v>
      </ns0:c>
      <ns0:c r="G16" s="8">
        <ns0:f>ROUND(G216*G336,2)</ns0:f>
        <ns0:v>858.17</ns0:v>
      </ns0:c>
      <ns0:c r="H16" s="8">
        <ns0:f>ROUND(H216*H336,2)</ns0:f>
        <ns0:v>888.17</ns0:v>
      </ns0:c>
      <ns0:c r="I16" s="8">
        <ns0:f>ROUND(I216*I336,2)</ns0:f>
        <ns0:v>0.00</ns0:v>
      </ns0:c>
      <ns0:c r="J16" s="8">
        <ns0:f>ROUND(J216*J336,2)</ns0:f>
        <ns0:v>0.00</ns0:v>
      </ns0:c>
      <ns0:c r="K16" s="8">
        <ns0:f>ROUND(K216*K336,2)</ns0:f>
        <ns0:v>0.00</ns0:v>
      </ns0:c>
      <ns0:c r="L16" s="8">
        <ns0:f>ROUND(L216*L336,2)</ns0:f>
        <ns0:v>0.00</ns0:v>
      </ns0:c>
      <ns0:c r="M16" s="8">
        <ns0:f>ROUND(M216*M336,2)</ns0:f>
        <ns0:v>0.00</ns0:v>
      </ns0:c>
      <ns0:c r="N16" s="8">
        <ns0:f>ROUND(N216*N336,2)</ns0:f>
        <ns0:v>0.00</ns0:v>
      </ns0:c>
      <ns0:c r="O16" s="8">
        <ns0:f>SUM(C16:N16)</ns0:f>
        <ns0:v>4985.85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631.62</ns0:v>
      </ns0:c>
      <ns0:c r="D17" s="8">
        <ns0:f>ROUND(D217*D337,2)</ns0:f>
        <ns0:v>579.24</ns0:v>
      </ns0:c>
      <ns0:c r="E17" s="8">
        <ns0:f>ROUND(E217*E337,2)</ns0:f>
        <ns0:v>645.60</ns0:v>
      </ns0:c>
      <ns0:c r="F17" s="8">
        <ns0:f>ROUND(F217*F337,2)</ns0:f>
        <ns0:v>562.62</ns0:v>
      </ns0:c>
      <ns0:c r="G17" s="8">
        <ns0:f>ROUND(G217*G337,2)</ns0:f>
        <ns0:v>571.20</ns0:v>
      </ns0:c>
      <ns0:c r="H17" s="8">
        <ns0:f>ROUND(H217*H337,2)</ns0:f>
        <ns0:v>534.00</ns0:v>
      </ns0:c>
      <ns0:c r="I17" s="8">
        <ns0:f>ROUND(I217*I337,2)</ns0:f>
        <ns0:v>0.00</ns0:v>
      </ns0:c>
      <ns0:c r="J17" s="8">
        <ns0:f>ROUND(J217*J337,2)</ns0:f>
        <ns0:v>0.00</ns0:v>
      </ns0:c>
      <ns0:c r="K17" s="8">
        <ns0:f>ROUND(K217*K337,2)</ns0:f>
        <ns0:v>0.00</ns0:v>
      </ns0:c>
      <ns0:c r="L17" s="8">
        <ns0:f>ROUND(L217*L337,2)</ns0:f>
        <ns0:v>0.00</ns0:v>
      </ns0:c>
      <ns0:c r="M17" s="8">
        <ns0:f>ROUND(M217*M337,2)</ns0:f>
        <ns0:v>0.00</ns0:v>
      </ns0:c>
      <ns0:c r="N17" s="8">
        <ns0:f>ROUND(N217*N337,2)</ns0:f>
        <ns0:v>0.00</ns0:v>
      </ns0:c>
      <ns0:c r="O17" s="8">
        <ns0:f>SUM(C17:N17)</ns0:f>
        <ns0:v>3524.28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291.56</ns0:v>
      </ns0:c>
      <ns0:c r="D18" s="8">
        <ns0:f>ROUND(D218*D338,2)</ns0:f>
        <ns0:v>335.57</ns0:v>
      </ns0:c>
      <ns0:c r="E18" s="8">
        <ns0:f>ROUND(E218*E338,2)</ns0:f>
        <ns0:v>266.57</ns0:v>
      </ns0:c>
      <ns0:c r="F18" s="8">
        <ns0:f>ROUND(F218*F338,2)</ns0:f>
        <ns0:v>316.89</ns0:v>
      </ns0:c>
      <ns0:c r="G18" s="8">
        <ns0:f>ROUND(G218*G338,2)</ns0:f>
        <ns0:v>267.57</ns0:v>
      </ns0:c>
      <ns0:c r="H18" s="8">
        <ns0:f>ROUND(H218*H338,2)</ns0:f>
        <ns0:v>292.22</ns0:v>
      </ns0:c>
      <ns0:c r="I18" s="8">
        <ns0:f>ROUND(I218*I338,2)</ns0:f>
        <ns0:v>0.00</ns0:v>
      </ns0:c>
      <ns0:c r="J18" s="8">
        <ns0:f>ROUND(J218*J338,2)</ns0:f>
        <ns0:v>0.00</ns0:v>
      </ns0:c>
      <ns0:c r="K18" s="8">
        <ns0:f>ROUND(K218*K338,2)</ns0:f>
        <ns0:v>0.00</ns0:v>
      </ns0:c>
      <ns0:c r="L18" s="8">
        <ns0:f>ROUND(L218*L338,2)</ns0:f>
        <ns0:v>0.00</ns0:v>
      </ns0:c>
      <ns0:c r="M18" s="8">
        <ns0:f>ROUND(M218*M338,2)</ns0:f>
        <ns0:v>0.00</ns0:v>
      </ns0:c>
      <ns0:c r="N18" s="8">
        <ns0:f>ROUND(N218*N338,2)</ns0:f>
        <ns0:v>0.00</ns0:v>
      </ns0:c>
      <ns0:c r="O18" s="8">
        <ns0:f>SUM(C18:N18)</ns0:f>
        <ns0:v>1770.38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135.03</ns0:v>
      </ns0:c>
      <ns0:c r="D19" s="8">
        <ns0:f>ROUND(D219*D339,2)</ns0:f>
        <ns0:v>146.72</ns0:v>
      </ns0:c>
      <ns0:c r="E19" s="8">
        <ns0:f>ROUND(E219*E339,2)</ns0:f>
        <ns0:v>153.21</ns0:v>
      </ns0:c>
      <ns0:c r="F19" s="8">
        <ns0:f>ROUND(F219*F339,2)</ns0:f>
        <ns0:v>151.91</ns0:v>
      </ns0:c>
      <ns0:c r="G19" s="8">
        <ns0:f>ROUND(G219*G339,2)</ns0:f>
        <ns0:v>156.27</ns0:v>
      </ns0:c>
      <ns0:c r="H19" s="8">
        <ns0:f>ROUND(H219*H339,2)</ns0:f>
        <ns0:v>154.41</ns0:v>
      </ns0:c>
      <ns0:c r="I19" s="8">
        <ns0:f>ROUND(I219*I339,2)</ns0:f>
        <ns0:v>0.00</ns0:v>
      </ns0:c>
      <ns0:c r="J19" s="8">
        <ns0:f>ROUND(J219*J339,2)</ns0:f>
        <ns0:v>0.00</ns0:v>
      </ns0:c>
      <ns0:c r="K19" s="8">
        <ns0:f>ROUND(K219*K339,2)</ns0:f>
        <ns0:v>0.00</ns0:v>
      </ns0:c>
      <ns0:c r="L19" s="8">
        <ns0:f>ROUND(L219*L339,2)</ns0:f>
        <ns0:v>0.00</ns0:v>
      </ns0:c>
      <ns0:c r="M19" s="8">
        <ns0:f>ROUND(M219*M339,2)</ns0:f>
        <ns0:v>0.00</ns0:v>
      </ns0:c>
      <ns0:c r="N19" s="8">
        <ns0:f>ROUND(N219*N339,2)</ns0:f>
        <ns0:v>0.00</ns0:v>
      </ns0:c>
      <ns0:c r="O19" s="8">
        <ns0:f>SUM(C19:N19)</ns0:f>
        <ns0:v>897.55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700.00</ns0:v>
      </ns0:c>
      <ns0:c r="D20" s="8">
        <ns0:f>ROUND('摊销明细'!D33/3,2)</ns0:f>
        <ns0:v>700.00</ns0:v>
      </ns0:c>
      <ns0:c r="E20" s="8">
        <ns0:f>ROUND('摊销明细'!E33/3,2)</ns0:f>
        <ns0:v>700.00</ns0:v>
      </ns0:c>
      <ns0:c r="F20" s="8">
        <ns0:f>ROUND('摊销明细'!F33/3,2)</ns0:f>
        <ns0:v>700.00</ns0:v>
      </ns0:c>
      <ns0:c r="G20" s="8">
        <ns0:f>ROUND('摊销明细'!G33/3,2)</ns0:f>
        <ns0:v>700.00</ns0:v>
      </ns0:c>
      <ns0:c r="H20" s="8">
        <ns0:f>ROUND('摊销明细'!H33/3,2)</ns0:f>
        <ns0:v>700.00</ns0:v>
      </ns0:c>
      <ns0:c r="I20" s="8">
        <ns0:f>ROUND('摊销明细'!I33/3,2)</ns0:f>
        <ns0:v>700.00</ns0:v>
      </ns0:c>
      <ns0:c r="J20" s="8">
        <ns0:f>ROUND('摊销明细'!J33/3,2)</ns0:f>
        <ns0:v>700.00</ns0:v>
      </ns0:c>
      <ns0:c r="K20" s="8">
        <ns0:f>ROUND('摊销明细'!K33/3,2)</ns0:f>
        <ns0:v>700.00</ns0:v>
      </ns0:c>
      <ns0:c r="L20" s="8">
        <ns0:f>ROUND('摊销明细'!L33/3,2)</ns0:f>
        <ns0:v>700.00</ns0:v>
      </ns0:c>
      <ns0:c r="M20" s="8">
        <ns0:f>ROUND('摊销明细'!M33/3,2)</ns0:f>
        <ns0:v>700.00</ns0:v>
      </ns0:c>
      <ns0:c r="N20" s="8">
        <ns0:f>ROUND('摊销明细'!N33/3,2)</ns0:f>
        <ns0:v>700.00</ns0:v>
      </ns0:c>
      <ns0:c r="O20" s="8">
        <ns0:f>SUM(C20:N20)</ns0:f>
        <ns0:v>8400.00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287.90</ns0:v>
      </ns0:c>
      <ns0:c r="D21" s="8">
        <ns0:f>ROUND(D221*D341,2)</ns0:f>
        <ns0:v>325.77</ns0:v>
      </ns0:c>
      <ns0:c r="E21" s="8">
        <ns0:f>ROUND(E221*E341,2)</ns0:f>
        <ns0:v>290.38</ns0:v>
      </ns0:c>
      <ns0:c r="F21" s="8">
        <ns0:f>ROUND(F221*F341,2)</ns0:f>
        <ns0:v>277.74</ns0:v>
      </ns0:c>
      <ns0:c r="G21" s="8">
        <ns0:f>ROUND(G221*G341,2)</ns0:f>
        <ns0:v>264.09</ns0:v>
      </ns0:c>
      <ns0:c r="H21" s="8">
        <ns0:f>ROUND(H221*H341,2)</ns0:f>
        <ns0:v>324.76</ns0:v>
      </ns0:c>
      <ns0:c r="I21" s="8">
        <ns0:f>ROUND(I221*I341,2)</ns0:f>
        <ns0:v>0.00</ns0:v>
      </ns0:c>
      <ns0:c r="J21" s="8">
        <ns0:f>ROUND(J221*J341,2)</ns0:f>
        <ns0:v>0.00</ns0:v>
      </ns0:c>
      <ns0:c r="K21" s="8">
        <ns0:f>ROUND(K221*K341,2)</ns0:f>
        <ns0:v>0.00</ns0:v>
      </ns0:c>
      <ns0:c r="L21" s="8">
        <ns0:f>ROUND(L221*L341,2)</ns0:f>
        <ns0:v>0.00</ns0:v>
      </ns0:c>
      <ns0:c r="M21" s="8">
        <ns0:f>ROUND(M221*M341,2)</ns0:f>
        <ns0:v>0.00</ns0:v>
      </ns0:c>
      <ns0:c r="N21" s="8">
        <ns0:f>ROUND(N221*N341,2)</ns0:f>
        <ns0:v>0.00</ns0:v>
      </ns0:c>
      <ns0:c r="O21" s="8">
        <ns0:f>SUM(C21:N21)</ns0:f>
        <ns0:v>1770.64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253.72</ns0:v>
      </ns0:c>
      <ns0:c r="D22" s="8">
        <ns0:f>ROUND(D222*D342,2)</ns0:f>
        <ns0:v>246.50</ns0:v>
      </ns0:c>
      <ns0:c r="E22" s="8">
        <ns0:f>ROUND(E222*E342,2)</ns0:f>
        <ns0:v>224.68</ns0:v>
      </ns0:c>
      <ns0:c r="F22" s="8">
        <ns0:f>ROUND(F222*F342,2)</ns0:f>
        <ns0:v>272.52</ns0:v>
      </ns0:c>
      <ns0:c r="G22" s="8">
        <ns0:f>ROUND(G222*G342,2)</ns0:f>
        <ns0:v>269.25</ns0:v>
      </ns0:c>
      <ns0:c r="H22" s="8">
        <ns0:f>ROUND(H222*H342,2)</ns0:f>
        <ns0:v>279.79</ns0:v>
      </ns0:c>
      <ns0:c r="I22" s="8">
        <ns0:f>ROUND(I222*I342,2)</ns0:f>
        <ns0:v>0.00</ns0:v>
      </ns0:c>
      <ns0:c r="J22" s="8">
        <ns0:f>ROUND(J222*J342,2)</ns0:f>
        <ns0:v>0.00</ns0:v>
      </ns0:c>
      <ns0:c r="K22" s="8">
        <ns0:f>ROUND(K222*K342,2)</ns0:f>
        <ns0:v>0.00</ns0:v>
      </ns0:c>
      <ns0:c r="L22" s="8">
        <ns0:f>ROUND(L222*L342,2)</ns0:f>
        <ns0:v>0.00</ns0:v>
      </ns0:c>
      <ns0:c r="M22" s="8">
        <ns0:f>ROUND(M222*M342,2)</ns0:f>
        <ns0:v>0.00</ns0:v>
      </ns0:c>
      <ns0:c r="N22" s="8">
        <ns0:f>ROUND(N222*N342,2)</ns0:f>
        <ns0:v>0.00</ns0:v>
      </ns0:c>
      <ns0:c r="O22" s="8">
        <ns0:f>SUM(C22:N22)</ns0:f>
        <ns0:v>1546.46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132.25</ns0:v>
      </ns0:c>
      <ns0:c r="D23" s="8">
        <ns0:f>ROUND(D223*D343,2)</ns0:f>
        <ns0:v>164.42</ns0:v>
      </ns0:c>
      <ns0:c r="E23" s="8">
        <ns0:f>ROUND(E223*E343,2)</ns0:f>
        <ns0:v>132.35</ns0:v>
      </ns0:c>
      <ns0:c r="F23" s="8">
        <ns0:f>ROUND(F223*F343,2)</ns0:f>
        <ns0:v>132.93</ns0:v>
      </ns0:c>
      <ns0:c r="G23" s="8">
        <ns0:f>ROUND(G223*G343,2)</ns0:f>
        <ns0:v>158.21</ns0:v>
      </ns0:c>
      <ns0:c r="H23" s="8">
        <ns0:f>ROUND(H223*H343,2)</ns0:f>
        <ns0:v>167.55</ns0:v>
      </ns0:c>
      <ns0:c r="I23" s="8">
        <ns0:f>ROUND(I223*I343,2)</ns0:f>
        <ns0:v>0.00</ns0:v>
      </ns0:c>
      <ns0:c r="J23" s="8">
        <ns0:f>ROUND(J223*J343,2)</ns0:f>
        <ns0:v>0.00</ns0:v>
      </ns0:c>
      <ns0:c r="K23" s="8">
        <ns0:f>ROUND(K223*K343,2)</ns0:f>
        <ns0:v>0.00</ns0:v>
      </ns0:c>
      <ns0:c r="L23" s="8">
        <ns0:f>ROUND(L223*L343,2)</ns0:f>
        <ns0:v>0.00</ns0:v>
      </ns0:c>
      <ns0:c r="M23" s="8">
        <ns0:f>ROUND(M223*M343,2)</ns0:f>
        <ns0:v>0.00</ns0:v>
      </ns0:c>
      <ns0:c r="N23" s="8">
        <ns0:f>ROUND(N223*N343,2)</ns0:f>
        <ns0:v>0.00</ns0:v>
      </ns0:c>
      <ns0:c r="O23" s="8">
        <ns0:f>SUM(C23:N23)</ns0:f>
        <ns0:v>887.71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123.80</ns0:v>
      </ns0:c>
      <ns0:c r="D24" s="8">
        <ns0:f>ROUND(D224*D344,2)</ns0:f>
        <ns0:v>122.68</ns0:v>
      </ns0:c>
      <ns0:c r="E24" s="8">
        <ns0:f>ROUND(E224*E344,2)</ns0:f>
        <ns0:v>131.92</ns0:v>
      </ns0:c>
      <ns0:c r="F24" s="8">
        <ns0:f>ROUND(F224*F344,2)</ns0:f>
        <ns0:v>125.68</ns0:v>
      </ns0:c>
      <ns0:c r="G24" s="8">
        <ns0:f>ROUND(G224*G344,2)</ns0:f>
        <ns0:v>129.41</ns0:v>
      </ns0:c>
      <ns0:c r="H24" s="8">
        <ns0:f>ROUND(H224*H344,2)</ns0:f>
        <ns0:v>131.65</ns0:v>
      </ns0:c>
      <ns0:c r="I24" s="8">
        <ns0:f>ROUND(I224*I344,2)</ns0:f>
        <ns0:v>0.00</ns0:v>
      </ns0:c>
      <ns0:c r="J24" s="8">
        <ns0:f>ROUND(J224*J344,2)</ns0:f>
        <ns0:v>0.00</ns0:v>
      </ns0:c>
      <ns0:c r="K24" s="8">
        <ns0:f>ROUND(K224*K344,2)</ns0:f>
        <ns0:v>0.00</ns0:v>
      </ns0:c>
      <ns0:c r="L24" s="8">
        <ns0:f>ROUND(L224*L344,2)</ns0:f>
        <ns0:v>0.00</ns0:v>
      </ns0:c>
      <ns0:c r="M24" s="8">
        <ns0:f>ROUND(M224*M344,2)</ns0:f>
        <ns0:v>0.00</ns0:v>
      </ns0:c>
      <ns0:c r="N24" s="8">
        <ns0:f>ROUND(N224*N344,2)</ns0:f>
        <ns0:v>0.00</ns0:v>
      </ns0:c>
      <ns0:c r="O24" s="8">
        <ns0:f>SUM(C24:N24)</ns0:f>
        <ns0:v>765.14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274.58</ns0:v>
      </ns0:c>
      <ns0:c r="D25" s="8">
        <ns0:f>ROUND(D225*D345,2)</ns0:f>
        <ns0:v>268.10</ns0:v>
      </ns0:c>
      <ns0:c r="E25" s="8">
        <ns0:f>ROUND(E225*E345,2)</ns0:f>
        <ns0:v>260.77</ns0:v>
      </ns0:c>
      <ns0:c r="F25" s="8">
        <ns0:f>ROUND(F225*F345,2)</ns0:f>
        <ns0:v>273.21</ns0:v>
      </ns0:c>
      <ns0:c r="G25" s="8">
        <ns0:f>ROUND(G225*G345,2)</ns0:f>
        <ns0:v>232.75</ns0:v>
      </ns0:c>
      <ns0:c r="H25" s="8">
        <ns0:f>ROUND(H225*H345,2)</ns0:f>
        <ns0:v>247.43</ns0:v>
      </ns0:c>
      <ns0:c r="I25" s="8">
        <ns0:f>ROUND(I225*I345,2)</ns0:f>
        <ns0:v>0.00</ns0:v>
      </ns0:c>
      <ns0:c r="J25" s="8">
        <ns0:f>ROUND(J225*J345,2)</ns0:f>
        <ns0:v>0.00</ns0:v>
      </ns0:c>
      <ns0:c r="K25" s="8">
        <ns0:f>ROUND(K225*K345,2)</ns0:f>
        <ns0:v>0.00</ns0:v>
      </ns0:c>
      <ns0:c r="L25" s="8">
        <ns0:f>ROUND(L225*L345,2)</ns0:f>
        <ns0:v>0.00</ns0:v>
      </ns0:c>
      <ns0:c r="M25" s="8">
        <ns0:f>ROUND(M225*M345,2)</ns0:f>
        <ns0:v>0.00</ns0:v>
      </ns0:c>
      <ns0:c r="N25" s="8">
        <ns0:f>ROUND(N225*N345,2)</ns0:f>
        <ns0:v>0.00</ns0:v>
      </ns0:c>
      <ns0:c r="O25" s="8">
        <ns0:f>SUM(C25:N25)</ns0:f>
        <ns0:v>1556.84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183.86</ns0:v>
      </ns0:c>
      <ns0:c r="D26" s="8">
        <ns0:f>ROUND(D226*D346,2)</ns0:f>
        <ns0:v>187.63</ns0:v>
      </ns0:c>
      <ns0:c r="E26" s="8">
        <ns0:f>ROUND(E226*E346,2)</ns0:f>
        <ns0:v>202.35</ns0:v>
      </ns0:c>
      <ns0:c r="F26" s="8">
        <ns0:f>ROUND(F226*F346,2)</ns0:f>
        <ns0:v>212.53</ns0:v>
      </ns0:c>
      <ns0:c r="G26" s="8">
        <ns0:f>ROUND(G226*G346,2)</ns0:f>
        <ns0:v>203.50</ns0:v>
      </ns0:c>
      <ns0:c r="H26" s="8">
        <ns0:f>ROUND(H226*H346,2)</ns0:f>
        <ns0:v>202.69</ns0:v>
      </ns0:c>
      <ns0:c r="I26" s="8">
        <ns0:f>ROUND(I226*I346,2)</ns0:f>
        <ns0:v>0.00</ns0:v>
      </ns0:c>
      <ns0:c r="J26" s="8">
        <ns0:f>ROUND(J226*J346,2)</ns0:f>
        <ns0:v>0.00</ns0:v>
      </ns0:c>
      <ns0:c r="K26" s="8">
        <ns0:f>ROUND(K226*K346,2)</ns0:f>
        <ns0:v>0.00</ns0:v>
      </ns0:c>
      <ns0:c r="L26" s="8">
        <ns0:f>ROUND(L226*L346,2)</ns0:f>
        <ns0:v>0.00</ns0:v>
      </ns0:c>
      <ns0:c r="M26" s="8">
        <ns0:f>ROUND(M226*M346,2)</ns0:f>
        <ns0:v>0.00</ns0:v>
      </ns0:c>
      <ns0:c r="N26" s="8">
        <ns0:f>ROUND(N226*N346,2)</ns0:f>
        <ns0:v>0.00</ns0:v>
      </ns0:c>
      <ns0:c r="O26" s="8">
        <ns0:f>SUM(C26:N26)</ns0:f>
        <ns0:v>1192.56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178.34</ns0:v>
      </ns0:c>
      <ns0:c r="D27" s="8">
        <ns0:f>ROUND(D227*D347,2)</ns0:f>
        <ns0:v>177.46</ns0:v>
      </ns0:c>
      <ns0:c r="E27" s="8">
        <ns0:f>ROUND(E227*E347,2)</ns0:f>
        <ns0:v>180.16</ns0:v>
      </ns0:c>
      <ns0:c r="F27" s="8">
        <ns0:f>ROUND(F227*F347,2)</ns0:f>
        <ns0:v>204.66</ns0:v>
      </ns0:c>
      <ns0:c r="G27" s="8">
        <ns0:f>ROUND(G227*G347,2)</ns0:f>
        <ns0:v>197.76</ns0:v>
      </ns0:c>
      <ns0:c r="H27" s="8">
        <ns0:f>ROUND(H227*H347,2)</ns0:f>
        <ns0:v>200.82</ns0:v>
      </ns0:c>
      <ns0:c r="I27" s="8">
        <ns0:f>ROUND(I227*I347,2)</ns0:f>
        <ns0:v>0.00</ns0:v>
      </ns0:c>
      <ns0:c r="J27" s="8">
        <ns0:f>ROUND(J227*J347,2)</ns0:f>
        <ns0:v>0.00</ns0:v>
      </ns0:c>
      <ns0:c r="K27" s="8">
        <ns0:f>ROUND(K227*K347,2)</ns0:f>
        <ns0:v>0.00</ns0:v>
      </ns0:c>
      <ns0:c r="L27" s="8">
        <ns0:f>ROUND(L227*L347,2)</ns0:f>
        <ns0:v>0.00</ns0:v>
      </ns0:c>
      <ns0:c r="M27" s="8">
        <ns0:f>ROUND(M227*M347,2)</ns0:f>
        <ns0:v>0.00</ns0:v>
      </ns0:c>
      <ns0:c r="N27" s="8">
        <ns0:f>ROUND(N227*N347,2)</ns0:f>
        <ns0:v>0.00</ns0:v>
      </ns0:c>
      <ns0:c r="O27" s="8">
        <ns0:f>SUM(C27:N27)</ns0:f>
        <ns0:v>1139.20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155.24</ns0:v>
      </ns0:c>
      <ns0:c r="D28" s="8">
        <ns0:f>ROUND(D228*D348,2)</ns0:f>
        <ns0:v>141.23</ns0:v>
      </ns0:c>
      <ns0:c r="E28" s="8">
        <ns0:f>ROUND(E228*E348,2)</ns0:f>
        <ns0:v>144.99</ns0:v>
      </ns0:c>
      <ns0:c r="F28" s="8">
        <ns0:f>ROUND(F228*F348,2)</ns0:f>
        <ns0:v>138.08</ns0:v>
      </ns0:c>
      <ns0:c r="G28" s="8">
        <ns0:f>ROUND(G228*G348,2)</ns0:f>
        <ns0:v>143.84</ns0:v>
      </ns0:c>
      <ns0:c r="H28" s="8">
        <ns0:f>ROUND(H228*H348,2)</ns0:f>
        <ns0:v>155.69</ns0:v>
      </ns0:c>
      <ns0:c r="I28" s="8">
        <ns0:f>ROUND(I228*I348,2)</ns0:f>
        <ns0:v>0.00</ns0:v>
      </ns0:c>
      <ns0:c r="J28" s="8">
        <ns0:f>ROUND(J228*J348,2)</ns0:f>
        <ns0:v>0.00</ns0:v>
      </ns0:c>
      <ns0:c r="K28" s="8">
        <ns0:f>ROUND(K228*K348,2)</ns0:f>
        <ns0:v>0.00</ns0:v>
      </ns0:c>
      <ns0:c r="L28" s="8">
        <ns0:f>ROUND(L228*L348,2)</ns0:f>
        <ns0:v>0.00</ns0:v>
      </ns0:c>
      <ns0:c r="M28" s="8">
        <ns0:f>ROUND(M228*M348,2)</ns0:f>
        <ns0:v>0.00</ns0:v>
      </ns0:c>
      <ns0:c r="N28" s="8">
        <ns0:f>ROUND(N228*N348,2)</ns0:f>
        <ns0:v>0.00</ns0:v>
      </ns0:c>
      <ns0:c r="O28" s="8">
        <ns0:f>SUM(C28:N28)</ns0:f>
        <ns0:v>879.07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0.00</ns0:v>
      </ns0:c>
      <ns0:c r="D30" s="9">
        <ns0:f>ROUND(D230*D350,2)</ns0:f>
        <ns0:v>0.00</ns0:v>
      </ns0:c>
      <ns0:c r="E30" s="9">
        <ns0:f>ROUND(E230*E350,2)</ns0:f>
        <ns0:v>0.00</ns0:v>
      </ns0:c>
      <ns0:c r="F30" s="9">
        <ns0:f>ROUND(F230*F350,2)</ns0:f>
        <ns0:v>0.00</ns0:v>
      </ns0:c>
      <ns0:c r="G30" s="9">
        <ns0:f>ROUND(G230*G350,2)</ns0:f>
        <ns0:v>0.00</ns0:v>
      </ns0:c>
      <ns0:c r="H30" s="9">
        <ns0:f>ROUND(H230*H350,2)</ns0:f>
        <ns0:v>0.00</ns0:v>
      </ns0:c>
      <ns0:c r="I30" s="9">
        <ns0:f>ROUND(I230*I350,2)</ns0:f>
        <ns0:v>0.00</ns0:v>
      </ns0:c>
      <ns0:c r="J30" s="9">
        <ns0:f>ROUND(J230*J350,2)</ns0:f>
        <ns0:v>0.00</ns0:v>
      </ns0:c>
      <ns0:c r="K30" s="9">
        <ns0:f>ROUND(K230*K350,2)</ns0:f>
        <ns0:v>0.00</ns0:v>
      </ns0:c>
      <ns0:c r="L30" s="9">
        <ns0:f>ROUND(L230*L350,2)</ns0:f>
        <ns0:v>0.00</ns0:v>
      </ns0:c>
      <ns0:c r="M30" s="9">
        <ns0:f>ROUND(M230*M350,2)</ns0:f>
        <ns0:v>0.00</ns0:v>
      </ns0:c>
      <ns0:c r="N30" s="9">
        <ns0:f>ROUND(N230*N350,2)</ns0:f>
        <ns0:v>0.00</ns0:v>
      </ns0:c>
      <ns0:c r="O30" s="9">
        <ns0:f>SUM(C30:N30)</ns0:f>
        <ns0:v>0.00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55.38</ns0:v>
      </ns0:c>
      <ns0:c r="D31" s="8">
        <ns0:f>ROUND(D231*D351,2)</ns0:f>
        <ns0:v>55.85</ns0:v>
      </ns0:c>
      <ns0:c r="E31" s="8">
        <ns0:f>ROUND(E231*E351,2)</ns0:f>
        <ns0:v>55.43</ns0:v>
      </ns0:c>
      <ns0:c r="F31" s="8">
        <ns0:f>ROUND(F231*F351,2)</ns0:f>
        <ns0:v>56.86</ns0:v>
      </ns0:c>
      <ns0:c r="G31" s="8">
        <ns0:f>ROUND(G231*G351,2)</ns0:f>
        <ns0:v>58.79</ns0:v>
      </ns0:c>
      <ns0:c r="H31" s="8">
        <ns0:f>ROUND(H231*H351,2)</ns0:f>
        <ns0:v>66.27</ns0:v>
      </ns0:c>
      <ns0:c r="I31" s="8">
        <ns0:f>ROUND(I231*I351,2)</ns0:f>
        <ns0:v>0.00</ns0:v>
      </ns0:c>
      <ns0:c r="J31" s="8">
        <ns0:f>ROUND(J231*J351,2)</ns0:f>
        <ns0:v>0.00</ns0:v>
      </ns0:c>
      <ns0:c r="K31" s="8">
        <ns0:f>ROUND(K231*K351,2)</ns0:f>
        <ns0:v>0.00</ns0:v>
      </ns0:c>
      <ns0:c r="L31" s="8">
        <ns0:f>ROUND(L231*L351,2)</ns0:f>
        <ns0:v>0.00</ns0:v>
      </ns0:c>
      <ns0:c r="M31" s="8">
        <ns0:f>ROUND(M231*M351,2)</ns0:f>
        <ns0:v>0.00</ns0:v>
      </ns0:c>
      <ns0:c r="N31" s="8">
        <ns0:f>ROUND(N231*N351,2)</ns0:f>
        <ns0:v>0.00</ns0:v>
      </ns0:c>
      <ns0:c r="O31" s="8">
        <ns0:f>SUM(C31:N31)</ns0:f>
        <ns0:v>348.58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80.55</ns0:v>
      </ns0:c>
      <ns0:c r="D32" s="8">
        <ns0:f>ROUND(D232*D352,2)</ns0:f>
        <ns0:v>93.63</ns0:v>
      </ns0:c>
      <ns0:c r="E32" s="8">
        <ns0:f>ROUND(E232*E352,2)</ns0:f>
        <ns0:v>90.46</ns0:v>
      </ns0:c>
      <ns0:c r="F32" s="8">
        <ns0:f>ROUND(F232*F352,2)</ns0:f>
        <ns0:v>88.20</ns0:v>
      </ns0:c>
      <ns0:c r="G32" s="8">
        <ns0:f>ROUND(G232*G352,2)</ns0:f>
        <ns0:v>100.70</ns0:v>
      </ns0:c>
      <ns0:c r="H32" s="8">
        <ns0:f>ROUND(H232*H352,2)</ns0:f>
        <ns0:v>94.23</ns0:v>
      </ns0:c>
      <ns0:c r="I32" s="8">
        <ns0:f>ROUND(I232*I352,2)</ns0:f>
        <ns0:v>0.00</ns0:v>
      </ns0:c>
      <ns0:c r="J32" s="8">
        <ns0:f>ROUND(J232*J352,2)</ns0:f>
        <ns0:v>0.00</ns0:v>
      </ns0:c>
      <ns0:c r="K32" s="8">
        <ns0:f>ROUND(K232*K352,2)</ns0:f>
        <ns0:v>0.00</ns0:v>
      </ns0:c>
      <ns0:c r="L32" s="8">
        <ns0:f>ROUND(L232*L352,2)</ns0:f>
        <ns0:v>0.00</ns0:v>
      </ns0:c>
      <ns0:c r="M32" s="8">
        <ns0:f>ROUND(M232*M352,2)</ns0:f>
        <ns0:v>0.00</ns0:v>
      </ns0:c>
      <ns0:c r="N32" s="8">
        <ns0:f>ROUND(N232*N352,2)</ns0:f>
        <ns0:v>0.00</ns0:v>
      </ns0:c>
      <ns0:c r="O32" s="8">
        <ns0:f>SUM(C32:N32)</ns0:f>
        <ns0:v>547.77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175.94</ns0:v>
      </ns0:c>
      <ns0:c r="D33" s="8">
        <ns0:f>ROUND(D233*D353,2)</ns0:f>
        <ns0:v>173.82</ns0:v>
      </ns0:c>
      <ns0:c r="E33" s="8">
        <ns0:f>ROUND(E233*E353,2)</ns0:f>
        <ns0:v>174.70</ns0:v>
      </ns0:c>
      <ns0:c r="F33" s="8">
        <ns0:f>ROUND(F233*F353,2)</ns0:f>
        <ns0:v>168.06</ns0:v>
      </ns0:c>
      <ns0:c r="G33" s="8">
        <ns0:f>ROUND(G233*G353,2)</ns0:f>
        <ns0:v>185.32</ns0:v>
      </ns0:c>
      <ns0:c r="H33" s="8">
        <ns0:f>ROUND(H233*H353,2)</ns0:f>
        <ns0:v>167.81</ns0:v>
      </ns0:c>
      <ns0:c r="I33" s="8">
        <ns0:f>ROUND(I233*I353,2)</ns0:f>
        <ns0:v>0.00</ns0:v>
      </ns0:c>
      <ns0:c r="J33" s="8">
        <ns0:f>ROUND(J233*J353,2)</ns0:f>
        <ns0:v>0.00</ns0:v>
      </ns0:c>
      <ns0:c r="K33" s="8">
        <ns0:f>ROUND(K233*K353,2)</ns0:f>
        <ns0:v>0.00</ns0:v>
      </ns0:c>
      <ns0:c r="L33" s="8">
        <ns0:f>ROUND(L233*L353,2)</ns0:f>
        <ns0:v>0.00</ns0:v>
      </ns0:c>
      <ns0:c r="M33" s="8">
        <ns0:f>ROUND(M233*M353,2)</ns0:f>
        <ns0:v>0.00</ns0:v>
      </ns0:c>
      <ns0:c r="N33" s="8">
        <ns0:f>ROUND(N233*N353,2)</ns0:f>
        <ns0:v>0.00</ns0:v>
      </ns0:c>
      <ns0:c r="O33" s="8">
        <ns0:f>SUM(C33:N33)</ns0:f>
        <ns0:v>1045.65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29310.53</ns0:v>
      </ns0:c>
      <ns0:c r="D34" s="8">
        <ns0:f>SUM(D4:D33)</ns0:f>
        <ns0:v>29157.56</ns0:v>
      </ns0:c>
      <ns0:c r="E34" s="8">
        <ns0:f>SUM(E4:E33)</ns0:f>
        <ns0:v>29578.88</ns0:v>
      </ns0:c>
      <ns0:c r="F34" s="8">
        <ns0:f>SUM(F4:F33)</ns0:f>
        <ns0:v>29515.90</ns0:v>
      </ns0:c>
      <ns0:c r="G34" s="8">
        <ns0:f>SUM(G4:G33)</ns0:f>
        <ns0:v>29744.78</ns0:v>
      </ns0:c>
      <ns0:c r="H34" s="8">
        <ns0:f>SUM(H4:H33)</ns0:f>
        <ns0:v>29452.52</ns0:v>
      </ns0:c>
      <ns0:c r="I34" s="8">
        <ns0:f>SUM(I4:I33)</ns0:f>
        <ns0:v>700.00</ns0:v>
      </ns0:c>
      <ns0:c r="J34" s="8">
        <ns0:f>SUM(J4:J33)</ns0:f>
        <ns0:v>700.00</ns0:v>
      </ns0:c>
      <ns0:c r="K34" s="8">
        <ns0:f>SUM(K4:K33)</ns0:f>
        <ns0:v>700.00</ns0:v>
      </ns0:c>
      <ns0:c r="L34" s="8">
        <ns0:f>SUM(L4:L33)</ns0:f>
        <ns0:v>700.00</ns0:v>
      </ns0:c>
      <ns0:c r="M34" s="8">
        <ns0:f>SUM(M4:M33)</ns0:f>
        <ns0:v>700.00</ns0:v>
      </ns0:c>
      <ns0:c r="N34" s="8">
        <ns0:f>SUM(N4:N33)</ns0:f>
        <ns0:v>700.00</ns0:v>
      </ns0:c>
      <ns0:c r="O34" s="8">
        <ns0:f>SUM(C34:N34)</ns0:f>
        <ns0:v>180960.17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'税金及附加'!C33</ns0:f>
        <ns0:v>4011.18</ns0:v>
      </ns0:c>
      <ns0:c r="D35" s="8">
        <ns0:f>'税金及附加'!D33</ns0:f>
        <ns0:v>4181.45</ns0:v>
      </ns0:c>
      <ns0:c r="E35" s="8">
        <ns0:f>'税金及附加'!E33</ns0:f>
        <ns0:v>3916.05</ns0:v>
      </ns0:c>
      <ns0:c r="F35" s="8">
        <ns0:f>'税金及附加'!F33</ns0:f>
        <ns0:v>4084.61</ns0:v>
      </ns0:c>
      <ns0:c r="G35" s="8">
        <ns0:f>'税金及附加'!G33</ns0:f>
        <ns0:v>3901.83</ns0:v>
      </ns0:c>
      <ns0:c r="H35" s="8">
        <ns0:f>'税金及附加'!H33</ns0:f>
        <ns0:v>4194.09</ns0:v>
      </ns0:c>
      <ns0:c r="I35" s="8">
        <ns0:f>'税金及附加'!I33</ns0:f>
        <ns0:v>0.00</ns0:v>
      </ns0:c>
      <ns0:c r="J35" s="8">
        <ns0:f>'税金及附加'!J33</ns0:f>
        <ns0:v>0.00</ns0:v>
      </ns0:c>
      <ns0:c r="K35" s="8">
        <ns0:f>'税金及附加'!K33</ns0:f>
        <ns0:v>0.00</ns0:v>
      </ns0:c>
      <ns0:c r="L35" s="8">
        <ns0:f>'税金及附加'!L33</ns0:f>
        <ns0:v>0.00</ns0:v>
      </ns0:c>
      <ns0:c r="M35" s="8">
        <ns0:f>'税金及附加'!M33</ns0:f>
        <ns0:v>0.00</ns0:v>
      </ns0:c>
      <ns0:c r="N35" s="8">
        <ns0:f>'税金及附加'!N33</ns0:f>
        <ns0:v>0.00</ns0:v>
      </ns0:c>
      <ns0:c r="O35" s="8">
        <ns0:f>SUM(C35:N35)</ns0:f>
        <ns0:v>24289.21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33321.71</ns0:v>
      </ns0:c>
      <ns0:c r="D36" s="8">
        <ns0:f>D34+D35</ns0:f>
        <ns0:v>33339.01</ns0:v>
      </ns0:c>
      <ns0:c r="E36" s="8">
        <ns0:f>E34+E35</ns0:f>
        <ns0:v>33494.93</ns0:v>
      </ns0:c>
      <ns0:c r="F36" s="8">
        <ns0:f>F34+F35</ns0:f>
        <ns0:v>33600.51</ns0:v>
      </ns0:c>
      <ns0:c r="G36" s="8">
        <ns0:f>G34+G35</ns0:f>
        <ns0:v>33646.61</ns0:v>
      </ns0:c>
      <ns0:c r="H36" s="8">
        <ns0:f>H34+H35</ns0:f>
        <ns0:v>33646.61</ns0:v>
      </ns0:c>
      <ns0:c r="I36" s="8">
        <ns0:f>I34+I35</ns0:f>
        <ns0:v>700.00</ns0:v>
      </ns0:c>
      <ns0:c r="J36" s="8">
        <ns0:f>J34+J35</ns0:f>
        <ns0:v>700.00</ns0:v>
      </ns0:c>
      <ns0:c r="K36" s="8">
        <ns0:f>K34+K35</ns0:f>
        <ns0:v>700.00</ns0:v>
      </ns0:c>
      <ns0:c r="L36" s="8">
        <ns0:f>L34+L35</ns0:f>
        <ns0:v>700.00</ns0:v>
      </ns0:c>
      <ns0:c r="M36" s="8">
        <ns0:f>M34+M35</ns0:f>
        <ns0:v>700.00</ns0:v>
      </ns0:c>
      <ns0:c r="N36" s="8">
        <ns0:f>N34+N35</ns0:f>
        <ns0:v>700.00</ns0:v>
      </ns0:c>
      <ns0:c r="O36" s="8">
        <ns0:f>SUM(C36:N36)</ns0:f>
        <ns0:v>205249.38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3367.46</ns0:v>
      </ns0:c>
      <ns0:c r="D204" s="4">
        <ns0:v>3413.10</ns0:v>
      </ns0:c>
      <ns0:c r="E204" s="4">
        <ns0:v>3379.71</ns0:v>
      </ns0:c>
      <ns0:c r="F204" s="4">
        <ns0:v>3415.25</ns0:v>
      </ns0:c>
      <ns0:c r="G204" s="4">
        <ns0:v>3654.04</ns0:v>
      </ns0:c>
      <ns0:c r="H204" s="4">
        <ns0:v>3366.43</ns0:v>
      </ns0:c>
      <ns0:c r="I204" s="4">
        <ns0:v>0.00</ns0:v>
      </ns0:c>
      <ns0:c r="J204" s="4">
        <ns0:v>0.00</ns0:v>
      </ns0:c>
      <ns0:c r="K204" s="4">
        <ns0:v>0.00</ns0:v>
      </ns0:c>
      <ns0:c r="L204" s="4">
        <ns0:v>0.00</ns0:v>
      </ns0:c>
      <ns0:c r="M204" s="4">
        <ns0:v>0.00</ns0:v>
      </ns0:c>
      <ns0:c r="N204" s="4">
        <ns0:v>0.00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250.84</ns0:v>
      </ns0:c>
      <ns0:c r="D205" s="4">
        <ns0:v>237.16</ns0:v>
      </ns0:c>
      <ns0:c r="E205" s="4">
        <ns0:v>252.21</ns0:v>
      </ns0:c>
      <ns0:c r="F205" s="4">
        <ns0:v>241.14</ns0:v>
      </ns0:c>
      <ns0:c r="G205" s="4">
        <ns0:v>253.42</ns0:v>
      </ns0:c>
      <ns0:c r="H205" s="4">
        <ns0:v>257.47</ns0:v>
      </ns0:c>
      <ns0:c r="I205" s="4">
        <ns0:v>0.00</ns0:v>
      </ns0:c>
      <ns0:c r="J205" s="4">
        <ns0:v>0.00</ns0:v>
      </ns0:c>
      <ns0:c r="K205" s="4">
        <ns0:v>0.00</ns0:v>
      </ns0:c>
      <ns0:c r="L205" s="4">
        <ns0:v>0.00</ns0:v>
      </ns0:c>
      <ns0:c r="M205" s="4">
        <ns0:v>0.00</ns0:v>
      </ns0:c>
      <ns0:c r="N205" s="4">
        <ns0:v>0.00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93.17</ns0:v>
      </ns0:c>
      <ns0:c r="D206" s="4">
        <ns0:v>99.44</ns0:v>
      </ns0:c>
      <ns0:c r="E206" s="4">
        <ns0:v>92.23</ns0:v>
      </ns0:c>
      <ns0:c r="F206" s="4">
        <ns0:v>105.02</ns0:v>
      </ns0:c>
      <ns0:c r="G206" s="4">
        <ns0:v>95.41</ns0:v>
      </ns0:c>
      <ns0:c r="H206" s="4">
        <ns0:v>102.36</ns0:v>
      </ns0:c>
      <ns0:c r="I206" s="4">
        <ns0:v>0.00</ns0:v>
      </ns0:c>
      <ns0:c r="J206" s="4">
        <ns0:v>0.00</ns0:v>
      </ns0:c>
      <ns0:c r="K206" s="4">
        <ns0:v>0.00</ns0:v>
      </ns0:c>
      <ns0:c r="L206" s="4">
        <ns0:v>0.00</ns0:v>
      </ns0:c>
      <ns0:c r="M206" s="4">
        <ns0:v>0.00</ns0:v>
      </ns0:c>
      <ns0:c r="N206" s="4">
        <ns0:v>0.00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1131.81</ns0:v>
      </ns0:c>
      <ns0:c r="D207" s="4">
        <ns0:v>1115.56</ns0:v>
      </ns0:c>
      <ns0:c r="E207" s="4">
        <ns0:v>1161.46</ns0:v>
      </ns0:c>
      <ns0:c r="F207" s="4">
        <ns0:v>1140.82</ns0:v>
      </ns0:c>
      <ns0:c r="G207" s="4">
        <ns0:v>1150.10</ns0:v>
      </ns0:c>
      <ns0:c r="H207" s="4">
        <ns0:v>1123.35</ns0:v>
      </ns0:c>
      <ns0:c r="I207" s="4">
        <ns0:v>0.00</ns0:v>
      </ns0:c>
      <ns0:c r="J207" s="4">
        <ns0:v>0.00</ns0:v>
      </ns0:c>
      <ns0:c r="K207" s="4">
        <ns0:v>0.00</ns0:v>
      </ns0:c>
      <ns0:c r="L207" s="4">
        <ns0:v>0.00</ns0:v>
      </ns0:c>
      <ns0:c r="M207" s="4">
        <ns0:v>0.00</ns0:v>
      </ns0:c>
      <ns0:c r="N207" s="4">
        <ns0:v>0.00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217.67</ns0:v>
      </ns0:c>
      <ns0:c r="D208" s="4">
        <ns0:v>228.85</ns0:v>
      </ns0:c>
      <ns0:c r="E208" s="4">
        <ns0:v>212.79</ns0:v>
      </ns0:c>
      <ns0:c r="F208" s="4">
        <ns0:v>205.14</ns0:v>
      </ns0:c>
      <ns0:c r="G208" s="4">
        <ns0:v>215.35</ns0:v>
      </ns0:c>
      <ns0:c r="H208" s="4">
        <ns0:v>228.91</ns0:v>
      </ns0:c>
      <ns0:c r="I208" s="4">
        <ns0:v>0.00</ns0:v>
      </ns0:c>
      <ns0:c r="J208" s="4">
        <ns0:v>0.00</ns0:v>
      </ns0:c>
      <ns0:c r="K208" s="4">
        <ns0:v>0.00</ns0:v>
      </ns0:c>
      <ns0:c r="L208" s="4">
        <ns0:v>0.00</ns0:v>
      </ns0:c>
      <ns0:c r="M208" s="4">
        <ns0:v>0.00</ns0:v>
      </ns0:c>
      <ns0:c r="N208" s="4">
        <ns0:v>0.00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276.61</ns0:v>
      </ns0:c>
      <ns0:c r="D209" s="4">
        <ns0:v>218.65</ns0:v>
      </ns0:c>
      <ns0:c r="E209" s="4">
        <ns0:v>256.95</ns0:v>
      </ns0:c>
      <ns0:c r="F209" s="4">
        <ns0:v>230.72</ns0:v>
      </ns0:c>
      <ns0:c r="G209" s="4">
        <ns0:v>324.30</ns0:v>
      </ns0:c>
      <ns0:c r="H209" s="4">
        <ns0:v>293.82</ns0:v>
      </ns0:c>
      <ns0:c r="I209" s="4">
        <ns0:v>0.00</ns0:v>
      </ns0:c>
      <ns0:c r="J209" s="4">
        <ns0:v>0.00</ns0:v>
      </ns0:c>
      <ns0:c r="K209" s="4">
        <ns0:v>0.00</ns0:v>
      </ns0:c>
      <ns0:c r="L209" s="4">
        <ns0:v>0.00</ns0:v>
      </ns0:c>
      <ns0:c r="M209" s="4">
        <ns0:v>0.00</ns0:v>
      </ns0:c>
      <ns0:c r="N209" s="4">
        <ns0:v>0.00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195.02</ns0:v>
      </ns0:c>
      <ns0:c r="D210" s="4">
        <ns0:v>278.15</ns0:v>
      </ns0:c>
      <ns0:c r="E210" s="4">
        <ns0:v>309.12</ns0:v>
      </ns0:c>
      <ns0:c r="F210" s="4">
        <ns0:v>292.07</ns0:v>
      </ns0:c>
      <ns0:c r="G210" s="4">
        <ns0:v>307.12</ns0:v>
      </ns0:c>
      <ns0:c r="H210" s="4">
        <ns0:v>240.55</ns0:v>
      </ns0:c>
      <ns0:c r="I210" s="4">
        <ns0:v>0.00</ns0:v>
      </ns0:c>
      <ns0:c r="J210" s="4">
        <ns0:v>0.00</ns0:v>
      </ns0:c>
      <ns0:c r="K210" s="4">
        <ns0:v>0.00</ns0:v>
      </ns0:c>
      <ns0:c r="L210" s="4">
        <ns0:v>0.00</ns0:v>
      </ns0:c>
      <ns0:c r="M210" s="4">
        <ns0:v>0.00</ns0:v>
      </ns0:c>
      <ns0:c r="N210" s="4">
        <ns0:v>0.00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765.38</ns0:v>
      </ns0:c>
      <ns0:c r="D211" s="4">
        <ns0:v>778.64</ns0:v>
      </ns0:c>
      <ns0:c r="E211" s="4">
        <ns0:v>846.09</ns0:v>
      </ns0:c>
      <ns0:c r="F211" s="4">
        <ns0:v>690.79</ns0:v>
      </ns0:c>
      <ns0:c r="G211" s="4">
        <ns0:v>818.60</ns0:v>
      </ns0:c>
      <ns0:c r="H211" s="4">
        <ns0:v>682.06</ns0:v>
      </ns0:c>
      <ns0:c r="I211" s="4">
        <ns0:v>0.00</ns0:v>
      </ns0:c>
      <ns0:c r="J211" s="4">
        <ns0:v>0.00</ns0:v>
      </ns0:c>
      <ns0:c r="K211" s="4">
        <ns0:v>0.00</ns0:v>
      </ns0:c>
      <ns0:c r="L211" s="4">
        <ns0:v>0.00</ns0:v>
      </ns0:c>
      <ns0:c r="M211" s="4">
        <ns0:v>0.00</ns0:v>
      </ns0:c>
      <ns0:c r="N211" s="4">
        <ns0:v>0.00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213.93</ns0:v>
      </ns0:c>
      <ns0:c r="D212" s="4">
        <ns0:v>185.18</ns0:v>
      </ns0:c>
      <ns0:c r="E212" s="4">
        <ns0:v>200.85</ns0:v>
      </ns0:c>
      <ns0:c r="F212" s="4">
        <ns0:v>183.11</ns0:v>
      </ns0:c>
      <ns0:c r="G212" s="4">
        <ns0:v>201.35</ns0:v>
      </ns0:c>
      <ns0:c r="H212" s="4">
        <ns0:v>205.17</ns0:v>
      </ns0:c>
      <ns0:c r="I212" s="4">
        <ns0:v>0.00</ns0:v>
      </ns0:c>
      <ns0:c r="J212" s="4">
        <ns0:v>0.00</ns0:v>
      </ns0:c>
      <ns0:c r="K212" s="4">
        <ns0:v>0.00</ns0:v>
      </ns0:c>
      <ns0:c r="L212" s="4">
        <ns0:v>0.00</ns0:v>
      </ns0:c>
      <ns0:c r="M212" s="4">
        <ns0:v>0.00</ns0:v>
      </ns0:c>
      <ns0:c r="N212" s="4">
        <ns0:v>0.00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526.02</ns0:v>
      </ns0:c>
      <ns0:c r="D213" s="4">
        <ns0:v>437.11</ns0:v>
      </ns0:c>
      <ns0:c r="E213" s="4">
        <ns0:v>559.90</ns0:v>
      </ns0:c>
      <ns0:c r="F213" s="4">
        <ns0:v>570.61</ns0:v>
      </ns0:c>
      <ns0:c r="G213" s="4">
        <ns0:v>537.35</ns0:v>
      </ns0:c>
      <ns0:c r="H213" s="4">
        <ns0:v>533.81</ns0:v>
      </ns0:c>
      <ns0:c r="I213" s="4">
        <ns0:v>0.00</ns0:v>
      </ns0:c>
      <ns0:c r="J213" s="4">
        <ns0:v>0.00</ns0:v>
      </ns0:c>
      <ns0:c r="K213" s="4">
        <ns0:v>0.00</ns0:v>
      </ns0:c>
      <ns0:c r="L213" s="4">
        <ns0:v>0.00</ns0:v>
      </ns0:c>
      <ns0:c r="M213" s="4">
        <ns0:v>0.00</ns0:v>
      </ns0:c>
      <ns0:c r="N213" s="4">
        <ns0:v>0.00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235.28</ns0:v>
      </ns0:c>
      <ns0:c r="D214" s="4">
        <ns0:v>219.55</ns0:v>
      </ns0:c>
      <ns0:c r="E214" s="4">
        <ns0:v>231.48</ns0:v>
      </ns0:c>
      <ns0:c r="F214" s="4">
        <ns0:v>235.04</ns0:v>
      </ns0:c>
      <ns0:c r="G214" s="4">
        <ns0:v>225.70</ns0:v>
      </ns0:c>
      <ns0:c r="H214" s="4">
        <ns0:v>208.03</ns0:v>
      </ns0:c>
      <ns0:c r="I214" s="4">
        <ns0:v>0.00</ns0:v>
      </ns0:c>
      <ns0:c r="J214" s="4">
        <ns0:v>0.00</ns0:v>
      </ns0:c>
      <ns0:c r="K214" s="4">
        <ns0:v>0.00</ns0:v>
      </ns0:c>
      <ns0:c r="L214" s="4">
        <ns0:v>0.00</ns0:v>
      </ns0:c>
      <ns0:c r="M214" s="4">
        <ns0:v>0.00</ns0:v>
      </ns0:c>
      <ns0:c r="N214" s="4">
        <ns0:v>0.00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201.35</ns0:v>
      </ns0:c>
      <ns0:c r="D215" s="4">
        <ns0:v>195.18</ns0:v>
      </ns0:c>
      <ns0:c r="E215" s="4">
        <ns0:v>225.90</ns0:v>
      </ns0:c>
      <ns0:c r="F215" s="4">
        <ns0:v>176.06</ns0:v>
      </ns0:c>
      <ns0:c r="G215" s="4">
        <ns0:v>192.78</ns0:v>
      </ns0:c>
      <ns0:c r="H215" s="4">
        <ns0:v>181.33</ns0:v>
      </ns0:c>
      <ns0:c r="I215" s="4">
        <ns0:v>0.00</ns0:v>
      </ns0:c>
      <ns0:c r="J215" s="4">
        <ns0:v>0.00</ns0:v>
      </ns0:c>
      <ns0:c r="K215" s="4">
        <ns0:v>0.00</ns0:v>
      </ns0:c>
      <ns0:c r="L215" s="4">
        <ns0:v>0.00</ns0:v>
      </ns0:c>
      <ns0:c r="M215" s="4">
        <ns0:v>0.00</ns0:v>
      </ns0:c>
      <ns0:c r="N215" s="4">
        <ns0:v>0.00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389.45</ns0:v>
      </ns0:c>
      <ns0:c r="D216" s="4">
        <ns0:v>392.46</ns0:v>
      </ns0:c>
      <ns0:c r="E216" s="4">
        <ns0:v>401.26</ns0:v>
      </ns0:c>
      <ns0:c r="F216" s="4">
        <ns0:v>442.11</ns0:v>
      </ns0:c>
      <ns0:c r="G216" s="4">
        <ns0:v>412.58</ns0:v>
      </ns0:c>
      <ns0:c r="H216" s="4">
        <ns0:v>448.57</ns0:v>
      </ns0:c>
      <ns0:c r="I216" s="4">
        <ns0:v>0.00</ns0:v>
      </ns0:c>
      <ns0:c r="J216" s="4">
        <ns0:v>0.00</ns0:v>
      </ns0:c>
      <ns0:c r="K216" s="4">
        <ns0:v>0.00</ns0:v>
      </ns0:c>
      <ns0:c r="L216" s="4">
        <ns0:v>0.00</ns0:v>
      </ns0:c>
      <ns0:c r="M216" s="4">
        <ns0:v>0.00</ns0:v>
      </ns0:c>
      <ns0:c r="N216" s="4">
        <ns0:v>0.00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461.04</ns0:v>
      </ns0:c>
      <ns0:c r="D217" s="4">
        <ns0:v>422.80</ns0:v>
      </ns0:c>
      <ns0:c r="E217" s="4">
        <ns0:v>672.50</ns0:v>
      </ns0:c>
      <ns0:c r="F217" s="4">
        <ns0:v>410.67</ns0:v>
      </ns0:c>
      <ns0:c r="G217" s="4">
        <ns0:v>554.56</ns0:v>
      </ns0:c>
      <ns0:c r="H217" s="4">
        <ns0:v>518.45</ns0:v>
      </ns0:c>
      <ns0:c r="I217" s="4">
        <ns0:v>0.00</ns0:v>
      </ns0:c>
      <ns0:c r="J217" s="4">
        <ns0:v>0.00</ns0:v>
      </ns0:c>
      <ns0:c r="K217" s="4">
        <ns0:v>0.00</ns0:v>
      </ns0:c>
      <ns0:c r="L217" s="4">
        <ns0:v>0.00</ns0:v>
      </ns0:c>
      <ns0:c r="M217" s="4">
        <ns0:v>0.00</ns0:v>
      </ns0:c>
      <ns0:c r="N217" s="4">
        <ns0:v>0.00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99.17</ns0:v>
      </ns0:c>
      <ns0:c r="D218" s="4">
        <ns0:v>110.75</ns0:v>
      </ns0:c>
      <ns0:c r="E218" s="4">
        <ns0:v>90.98</ns0:v>
      </ns0:c>
      <ns0:c r="F218" s="4">
        <ns0:v>106.34</ns0:v>
      </ns0:c>
      <ns0:c r="G218" s="4">
        <ns0:v>87.44</ns0:v>
      </ns0:c>
      <ns0:c r="H218" s="4">
        <ns0:v>100.42</ns0:v>
      </ns0:c>
      <ns0:c r="I218" s="4">
        <ns0:v>0.00</ns0:v>
      </ns0:c>
      <ns0:c r="J218" s="4">
        <ns0:v>0.00</ns0:v>
      </ns0:c>
      <ns0:c r="K218" s="4">
        <ns0:v>0.00</ns0:v>
      </ns0:c>
      <ns0:c r="L218" s="4">
        <ns0:v>0.00</ns0:v>
      </ns0:c>
      <ns0:c r="M218" s="4">
        <ns0:v>0.00</ns0:v>
      </ns0:c>
      <ns0:c r="N218" s="4">
        <ns0:v>0.00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140.66</ns0:v>
      </ns0:c>
      <ns0:c r="D219" s="4">
        <ns0:v>143.84</ns0:v>
      </ns0:c>
      <ns0:c r="E219" s="4">
        <ns0:v>154.76</ns0:v>
      </ns0:c>
      <ns0:c r="F219" s="4">
        <ns0:v>155.01</ns0:v>
      </ns0:c>
      <ns0:c r="G219" s="4">
        <ns0:v>150.26</ns0:v>
      </ns0:c>
      <ns0:c r="H219" s="4">
        <ns0:v>157.56</ns0:v>
      </ns0:c>
      <ns0:c r="I219" s="4">
        <ns0:v>0.00</ns0:v>
      </ns0:c>
      <ns0:c r="J219" s="4">
        <ns0:v>0.00</ns0:v>
      </ns0:c>
      <ns0:c r="K219" s="4">
        <ns0:v>0.00</ns0:v>
      </ns0:c>
      <ns0:c r="L219" s="4">
        <ns0:v>0.00</ns0:v>
      </ns0:c>
      <ns0:c r="M219" s="4">
        <ns0:v>0.00</ns0:v>
      </ns0:c>
      <ns0:c r="N219" s="4">
        <ns0:v>0.00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85.43</ns0:v>
      </ns0:c>
      <ns0:c r="D221" s="4">
        <ns0:v>106.46</ns0:v>
      </ns0:c>
      <ns0:c r="E221" s="4">
        <ns0:v>93.37</ns0:v>
      </ns0:c>
      <ns0:c r="F221" s="4">
        <ns0:v>94.15</ns0:v>
      </ns0:c>
      <ns0:c r="G221" s="4">
        <ns0:v>88.62</ns0:v>
      </ns0:c>
      <ns0:c r="H221" s="4">
        <ns0:v>106.83</ns0:v>
      </ns0:c>
      <ns0:c r="I221" s="4">
        <ns0:v>0.00</ns0:v>
      </ns0:c>
      <ns0:c r="J221" s="4">
        <ns0:v>0.00</ns0:v>
      </ns0:c>
      <ns0:c r="K221" s="4">
        <ns0:v>0.00</ns0:v>
      </ns0:c>
      <ns0:c r="L221" s="4">
        <ns0:v>0.00</ns0:v>
      </ns0:c>
      <ns0:c r="M221" s="4">
        <ns0:v>0.00</ns0:v>
      </ns0:c>
      <ns0:c r="N221" s="4">
        <ns0:v>0.00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128.79</ns0:v>
      </ns0:c>
      <ns0:c r="D222" s="4">
        <ns0:v>121.43</ns0:v>
      </ns0:c>
      <ns0:c r="E222" s="4">
        <ns0:v>94.80</ns0:v>
      </ns0:c>
      <ns0:c r="F222" s="4">
        <ns0:v>141.20</ns0:v>
      </ns0:c>
      <ns0:c r="G222" s="4">
        <ns0:v>137.37</ns0:v>
      </ns0:c>
      <ns0:c r="H222" s="4">
        <ns0:v>140.60</ns0:v>
      </ns0:c>
      <ns0:c r="I222" s="4">
        <ns0:v>0.00</ns0:v>
      </ns0:c>
      <ns0:c r="J222" s="4">
        <ns0:v>0.00</ns0:v>
      </ns0:c>
      <ns0:c r="K222" s="4">
        <ns0:v>0.00</ns0:v>
      </ns0:c>
      <ns0:c r="L222" s="4">
        <ns0:v>0.00</ns0:v>
      </ns0:c>
      <ns0:c r="M222" s="4">
        <ns0:v>0.00</ns0:v>
      </ns0:c>
      <ns0:c r="N222" s="4">
        <ns0:v>0.00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96.53</ns0:v>
      </ns0:c>
      <ns0:c r="D223" s="4">
        <ns0:v>159.63</ns0:v>
      </ns0:c>
      <ns0:c r="E223" s="4">
        <ns0:v>129.75</ns0:v>
      </ns0:c>
      <ns0:c r="F223" s="4">
        <ns0:v>131.61</ns0:v>
      </ns0:c>
      <ns0:c r="G223" s="4">
        <ns0:v>115.48</ns0:v>
      </ns0:c>
      <ns0:c r="H223" s="4">
        <ns0:v>170.97</ns0:v>
      </ns0:c>
      <ns0:c r="I223" s="4">
        <ns0:v>0.00</ns0:v>
      </ns0:c>
      <ns0:c r="J223" s="4">
        <ns0:v>0.00</ns0:v>
      </ns0:c>
      <ns0:c r="K223" s="4">
        <ns0:v>0.00</ns0:v>
      </ns0:c>
      <ns0:c r="L223" s="4">
        <ns0:v>0.00</ns0:v>
      </ns0:c>
      <ns0:c r="M223" s="4">
        <ns0:v>0.00</ns0:v>
      </ns0:c>
      <ns0:c r="N223" s="4">
        <ns0:v>0.00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120.19</ns0:v>
      </ns0:c>
      <ns0:c r="D224" s="4">
        <ns0:v>89.55</ns0:v>
      </ns0:c>
      <ns0:c r="E224" s="4">
        <ns0:v>96.29</ns0:v>
      </ns0:c>
      <ns0:c r="F224" s="4">
        <ns0:v>120.85</ns0:v>
      </ns0:c>
      <ns0:c r="G224" s="4">
        <ns0:v>130.72</ns0:v>
      </ns0:c>
      <ns0:c r="H224" s="4">
        <ns0:v>130.35</ns0:v>
      </ns0:c>
      <ns0:c r="I224" s="4">
        <ns0:v>0.00</ns0:v>
      </ns0:c>
      <ns0:c r="J224" s="4">
        <ns0:v>0.00</ns0:v>
      </ns0:c>
      <ns0:c r="K224" s="4">
        <ns0:v>0.00</ns0:v>
      </ns0:c>
      <ns0:c r="L224" s="4">
        <ns0:v>0.00</ns0:v>
      </ns0:c>
      <ns0:c r="M224" s="4">
        <ns0:v>0.00</ns0:v>
      </ns0:c>
      <ns0:c r="N224" s="4">
        <ns0:v>0.00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286.02</ns0:v>
      </ns0:c>
      <ns0:c r="D225" s="4">
        <ns0:v>260.29</ns0:v>
      </ns0:c>
      <ns0:c r="E225" s="4">
        <ns0:v>271.64</ns0:v>
      </ns0:c>
      <ns0:c r="F225" s="4">
        <ns0:v>270.50</ns0:v>
      </ns0:c>
      <ns0:c r="G225" s="4">
        <ns0:v>235.10</ns0:v>
      </ns0:c>
      <ns0:c r="H225" s="4">
        <ns0:v>244.98</ns0:v>
      </ns0:c>
      <ns0:c r="I225" s="4">
        <ns0:v>0.00</ns0:v>
      </ns0:c>
      <ns0:c r="J225" s="4">
        <ns0:v>0.00</ns0:v>
      </ns0:c>
      <ns0:c r="K225" s="4">
        <ns0:v>0.00</ns0:v>
      </ns0:c>
      <ns0:c r="L225" s="4">
        <ns0:v>0.00</ns0:v>
      </ns0:c>
      <ns0:c r="M225" s="4">
        <ns0:v>0.00</ns0:v>
      </ns0:c>
      <ns0:c r="N225" s="4">
        <ns0:v>0.00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77.58</ns0:v>
      </ns0:c>
      <ns0:c r="D226" s="4">
        <ns0:v>93.35</ns0:v>
      </ns0:c>
      <ns0:c r="E226" s="4">
        <ns0:v>100.67</ns0:v>
      </ns0:c>
      <ns0:c r="F226" s="4">
        <ns0:v>107.34</ns0:v>
      </ns0:c>
      <ns0:c r="G226" s="4">
        <ns0:v>102.78</ns0:v>
      </ns0:c>
      <ns0:c r="H226" s="4">
        <ns0:v>99.36</ns0:v>
      </ns0:c>
      <ns0:c r="I226" s="4">
        <ns0:v>0.00</ns0:v>
      </ns0:c>
      <ns0:c r="J226" s="4">
        <ns0:v>0.00</ns0:v>
      </ns0:c>
      <ns0:c r="K226" s="4">
        <ns0:v>0.00</ns0:v>
      </ns0:c>
      <ns0:c r="L226" s="4">
        <ns0:v>0.00</ns0:v>
      </ns0:c>
      <ns0:c r="M226" s="4">
        <ns0:v>0.00</ns0:v>
      </ns0:c>
      <ns0:c r="N226" s="4">
        <ns0:v>0.00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176.57</ns0:v>
      </ns0:c>
      <ns0:c r="D227" s="4">
        <ns0:v>181.08</ns0:v>
      </ns0:c>
      <ns0:c r="E227" s="4">
        <ns0:v>176.63</ns0:v>
      </ns0:c>
      <ns0:c r="F227" s="4">
        <ns0:v>202.63</ns0:v>
      </ns0:c>
      <ns0:c r="G227" s="4">
        <ns0:v>192.00</ns0:v>
      </ns0:c>
      <ns0:c r="H227" s="4">
        <ns0:v>198.83</ns0:v>
      </ns0:c>
      <ns0:c r="I227" s="4">
        <ns0:v>0.00</ns0:v>
      </ns0:c>
      <ns0:c r="J227" s="4">
        <ns0:v>0.00</ns0:v>
      </ns0:c>
      <ns0:c r="K227" s="4">
        <ns0:v>0.00</ns0:v>
      </ns0:c>
      <ns0:c r="L227" s="4">
        <ns0:v>0.00</ns0:v>
      </ns0:c>
      <ns0:c r="M227" s="4">
        <ns0:v>0.00</ns0:v>
      </ns0:c>
      <ns0:c r="N227" s="4">
        <ns0:v>0.00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30.68</ns0:v>
      </ns0:c>
      <ns0:c r="D228" s="4">
        <ns0:v>27.37</ns0:v>
      </ns0:c>
      <ns0:c r="E228" s="4">
        <ns0:v>29.53</ns0:v>
      </ns0:c>
      <ns0:c r="F228" s="4">
        <ns0:v>26.76</ns0:v>
      </ns0:c>
      <ns0:c r="G228" s="4">
        <ns0:v>29.78</ns0:v>
      </ns0:c>
      <ns0:c r="H228" s="4">
        <ns0:v>30.89</ns0:v>
      </ns0:c>
      <ns0:c r="I228" s="4">
        <ns0:v>0.00</ns0:v>
      </ns0:c>
      <ns0:c r="J228" s="4">
        <ns0:v>0.00</ns0:v>
      </ns0:c>
      <ns0:c r="K228" s="4">
        <ns0:v>0.00</ns0:v>
      </ns0:c>
      <ns0:c r="L228" s="4">
        <ns0:v>0.00</ns0:v>
      </ns0:c>
      <ns0:c r="M228" s="4">
        <ns0:v>0.00</ns0:v>
      </ns0:c>
      <ns0:c r="N228" s="4">
        <ns0:v>0.00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0.00</ns0:v>
      </ns0:c>
      <ns0:c r="D230" s="4">
        <ns0:v>0.00</ns0:v>
      </ns0:c>
      <ns0:c r="E230" s="4">
        <ns0:v>0.00</ns0:v>
      </ns0:c>
      <ns0:c r="F230" s="4">
        <ns0:v>0.00</ns0:v>
      </ns0:c>
      <ns0:c r="G230" s="4">
        <ns0:v>0.00</ns0:v>
      </ns0:c>
      <ns0:c r="H230" s="4">
        <ns0:v>0.00</ns0:v>
      </ns0:c>
      <ns0:c r="I230" s="4">
        <ns0:v>0.00</ns0:v>
      </ns0:c>
      <ns0:c r="J230" s="4">
        <ns0:v>0.00</ns0:v>
      </ns0:c>
      <ns0:c r="K230" s="4">
        <ns0:v>0.00</ns0:v>
      </ns0:c>
      <ns0:c r="L230" s="4">
        <ns0:v>0.00</ns0:v>
      </ns0:c>
      <ns0:c r="M230" s="4">
        <ns0:v>0.00</ns0:v>
      </ns0:c>
      <ns0:c r="N230" s="4">
        <ns0:v>0.00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53.77</ns0:v>
      </ns0:c>
      <ns0:c r="D231" s="4">
        <ns0:v>56.41</ns0:v>
      </ns0:c>
      <ns0:c r="E231" s="4">
        <ns0:v>55.99</ns0:v>
      </ns0:c>
      <ns0:c r="F231" s="4">
        <ns0:v>59.23</ns0:v>
      </ns0:c>
      <ns0:c r="G231" s="4">
        <ns0:v>58.21</ns0:v>
      </ns0:c>
      <ns0:c r="H231" s="4">
        <ns0:v>65.61</ns0:v>
      </ns0:c>
      <ns0:c r="I231" s="4">
        <ns0:v>0.00</ns0:v>
      </ns0:c>
      <ns0:c r="J231" s="4">
        <ns0:v>0.00</ns0:v>
      </ns0:c>
      <ns0:c r="K231" s="4">
        <ns0:v>0.00</ns0:v>
      </ns0:c>
      <ns0:c r="L231" s="4">
        <ns0:v>0.00</ns0:v>
      </ns0:c>
      <ns0:c r="M231" s="4">
        <ns0:v>0.00</ns0:v>
      </ns0:c>
      <ns0:c r="N231" s="4">
        <ns0:v>0.00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79.75</ns0:v>
      </ns0:c>
      <ns0:c r="D232" s="4">
        <ns0:v>97.53</ns0:v>
      </ns0:c>
      <ns0:c r="E232" s="4">
        <ns0:v>88.69</ns0:v>
      </ns0:c>
      <ns0:c r="F232" s="4">
        <ns0:v>91.88</ns0:v>
      </ns0:c>
      <ns0:c r="G232" s="4">
        <ns0:v>103.81</ns0:v>
      </ns0:c>
      <ns0:c r="H232" s="4">
        <ns0:v>93.30</ns0:v>
      </ns0:c>
      <ns0:c r="I232" s="4">
        <ns0:v>0.00</ns0:v>
      </ns0:c>
      <ns0:c r="J232" s="4">
        <ns0:v>0.00</ns0:v>
      </ns0:c>
      <ns0:c r="K232" s="4">
        <ns0:v>0.00</ns0:v>
      </ns0:c>
      <ns0:c r="L232" s="4">
        <ns0:v>0.00</ns0:v>
      </ns0:c>
      <ns0:c r="M232" s="4">
        <ns0:v>0.00</ns0:v>
      </ns0:c>
      <ns0:c r="N232" s="4">
        <ns0:v>0.00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90.69</ns0:v>
      </ns0:c>
      <ns0:c r="D233" s="4">
        <ns0:v>90.53</ns0:v>
      </ns0:c>
      <ns0:c r="E233" s="4">
        <ns0:v>85.22</ns0:v>
      </ns0:c>
      <ns0:c r="F233" s="4">
        <ns0:v>85.31</ns0:v>
      </ns0:c>
      <ns0:c r="G233" s="4">
        <ns0:v>90.40</ns0:v>
      </ns0:c>
      <ns0:c r="H233" s="4">
        <ns0:v>81.07</ns0:v>
      </ns0:c>
      <ns0:c r="I233" s="4">
        <ns0:v>0.00</ns0:v>
      </ns0:c>
      <ns0:c r="J233" s="4">
        <ns0:v>0.00</ns0:v>
      </ns0:c>
      <ns0:c r="K233" s="4">
        <ns0:v>0.00</ns0:v>
      </ns0:c>
      <ns0:c r="L233" s="4">
        <ns0:v>0.00</ns0:v>
      </ns0:c>
      <ns0:c r="M233" s="4">
        <ns0:v>0.00</ns0:v>
      </ns0:c>
      <ns0:c r="N233" s="4">
        <ns0:v>0.00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4.13</ns0:v>
      </ns0:c>
      <ns0:c r="D324" s="4">
        <ns0:v>4.06</ns0:v>
      </ns0:c>
      <ns0:c r="E324" s="4">
        <ns0:v>4.12</ns0:v>
      </ns0:c>
      <ns0:c r="F324" s="4">
        <ns0:v>4.13</ns0:v>
      </ns0:c>
      <ns0:c r="G324" s="4">
        <ns0:v>3.89</ns0:v>
      </ns0:c>
      <ns0:c r="H324" s="4">
        <ns0:v>4.14</ns0:v>
      </ns0:c>
      <ns0:c r="I324" s="4">
        <ns0:v>0.00</ns0:v>
      </ns0:c>
      <ns0:c r="J324" s="4">
        <ns0:v>0.00</ns0:v>
      </ns0:c>
      <ns0:c r="K324" s="4">
        <ns0:v>0.00</ns0:v>
      </ns0:c>
      <ns0:c r="L324" s="4">
        <ns0:v>0.00</ns0:v>
      </ns0:c>
      <ns0:c r="M324" s="4">
        <ns0:v>0.00</ns0:v>
      </ns0:c>
      <ns0:c r="N324" s="4">
        <ns0:v>0.00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3.95</ns0:v>
      </ns0:c>
      <ns0:c r="D325" s="4">
        <ns0:v>4.15</ns0:v>
      </ns0:c>
      <ns0:c r="E325" s="4">
        <ns0:v>4.03</ns0:v>
      </ns0:c>
      <ns0:c r="F325" s="4">
        <ns0:v>4.11</ns0:v>
      </ns0:c>
      <ns0:c r="G325" s="4">
        <ns0:v>3.95</ns0:v>
      </ns0:c>
      <ns0:c r="H325" s="4">
        <ns0:v>3.95</ns0:v>
      </ns0:c>
      <ns0:c r="I325" s="4">
        <ns0:v>0.00</ns0:v>
      </ns0:c>
      <ns0:c r="J325" s="4">
        <ns0:v>0.00</ns0:v>
      </ns0:c>
      <ns0:c r="K325" s="4">
        <ns0:v>0.00</ns0:v>
      </ns0:c>
      <ns0:c r="L325" s="4">
        <ns0:v>0.00</ns0:v>
      </ns0:c>
      <ns0:c r="M325" s="4">
        <ns0:v>0.00</ns0:v>
      </ns0:c>
      <ns0:c r="N325" s="4">
        <ns0:v>0.00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4.01</ns0:v>
      </ns0:c>
      <ns0:c r="D326" s="4">
        <ns0:v>3.91</ns0:v>
      </ns0:c>
      <ns0:c r="E326" s="4">
        <ns0:v>3.91</ns0:v>
      </ns0:c>
      <ns0:c r="F326" s="4">
        <ns0:v>3.95</ns0:v>
      </ns0:c>
      <ns0:c r="G326" s="4">
        <ns0:v>3.99</ns0:v>
      </ns0:c>
      <ns0:c r="H326" s="4">
        <ns0:v>3.96</ns0:v>
      </ns0:c>
      <ns0:c r="I326" s="4">
        <ns0:v>0.00</ns0:v>
      </ns0:c>
      <ns0:c r="J326" s="4">
        <ns0:v>0.00</ns0:v>
      </ns0:c>
      <ns0:c r="K326" s="4">
        <ns0:v>0.00</ns0:v>
      </ns0:c>
      <ns0:c r="L326" s="4">
        <ns0:v>0.00</ns0:v>
      </ns0:c>
      <ns0:c r="M326" s="4">
        <ns0:v>0.00</ns0:v>
      </ns0:c>
      <ns0:c r="N326" s="4">
        <ns0:v>0.00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4.03</ns0:v>
      </ns0:c>
      <ns0:c r="D327" s="4">
        <ns0:v>4.05</ns0:v>
      </ns0:c>
      <ns0:c r="E327" s="4">
        <ns0:v>3.95</ns0:v>
      </ns0:c>
      <ns0:c r="F327" s="4">
        <ns0:v>4.01</ns0:v>
      </ns0:c>
      <ns0:c r="G327" s="4">
        <ns0:v>3.89</ns0:v>
      </ns0:c>
      <ns0:c r="H327" s="4">
        <ns0:v>4.08</ns0:v>
      </ns0:c>
      <ns0:c r="I327" s="4">
        <ns0:v>0.00</ns0:v>
      </ns0:c>
      <ns0:c r="J327" s="4">
        <ns0:v>0.00</ns0:v>
      </ns0:c>
      <ns0:c r="K327" s="4">
        <ns0:v>0.00</ns0:v>
      </ns0:c>
      <ns0:c r="L327" s="4">
        <ns0:v>0.00</ns0:v>
      </ns0:c>
      <ns0:c r="M327" s="4">
        <ns0:v>0.00</ns0:v>
      </ns0:c>
      <ns0:c r="N327" s="4">
        <ns0:v>0.00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4.10</ns0:v>
      </ns0:c>
      <ns0:c r="D328" s="4">
        <ns0:v>3.97</ns0:v>
      </ns0:c>
      <ns0:c r="E328" s="4">
        <ns0:v>4.04</ns0:v>
      </ns0:c>
      <ns0:c r="F328" s="4">
        <ns0:v>3.88</ns0:v>
      </ns0:c>
      <ns0:c r="G328" s="4">
        <ns0:v>4.01</ns0:v>
      </ns0:c>
      <ns0:c r="H328" s="4">
        <ns0:v>3.94</ns0:v>
      </ns0:c>
      <ns0:c r="I328" s="4">
        <ns0:v>0.00</ns0:v>
      </ns0:c>
      <ns0:c r="J328" s="4">
        <ns0:v>0.00</ns0:v>
      </ns0:c>
      <ns0:c r="K328" s="4">
        <ns0:v>0.00</ns0:v>
      </ns0:c>
      <ns0:c r="L328" s="4">
        <ns0:v>0.00</ns0:v>
      </ns0:c>
      <ns0:c r="M328" s="4">
        <ns0:v>0.00</ns0:v>
      </ns0:c>
      <ns0:c r="N328" s="4">
        <ns0:v>0.00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0.99</ns0:v>
      </ns0:c>
      <ns0:c r="D329" s="4">
        <ns0:v>1.37</ns0:v>
      </ns0:c>
      <ns0:c r="E329" s="4">
        <ns0:v>1.03</ns0:v>
      </ns0:c>
      <ns0:c r="F329" s="4">
        <ns0:v>1.37</ns0:v>
      </ns0:c>
      <ns0:c r="G329" s="4">
        <ns0:v>0.99</ns0:v>
      </ns0:c>
      <ns0:c r="H329" s="4">
        <ns0:v>1.01</ns0:v>
      </ns0:c>
      <ns0:c r="I329" s="4">
        <ns0:v>0.00</ns0:v>
      </ns0:c>
      <ns0:c r="J329" s="4">
        <ns0:v>0.00</ns0:v>
      </ns0:c>
      <ns0:c r="K329" s="4">
        <ns0:v>0.00</ns0:v>
      </ns0:c>
      <ns0:c r="L329" s="4">
        <ns0:v>0.00</ns0:v>
      </ns0:c>
      <ns0:c r="M329" s="4">
        <ns0:v>0.00</ns0:v>
      </ns0:c>
      <ns0:c r="N329" s="4">
        <ns0:v>0.00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1.37</ns0:v>
      </ns0:c>
      <ns0:c r="D330" s="4">
        <ns0:v>0.99</ns0:v>
      </ns0:c>
      <ns0:c r="E330" s="4">
        <ns0:v>1.04</ns0:v>
      </ns0:c>
      <ns0:c r="F330" s="4">
        <ns0:v>1.04</ns0:v>
      </ns0:c>
      <ns0:c r="G330" s="4">
        <ns0:v>1.02</ns0:v>
      </ns0:c>
      <ns0:c r="H330" s="4">
        <ns0:v>1.37</ns0:v>
      </ns0:c>
      <ns0:c r="I330" s="4">
        <ns0:v>0.00</ns0:v>
      </ns0:c>
      <ns0:c r="J330" s="4">
        <ns0:v>0.00</ns0:v>
      </ns0:c>
      <ns0:c r="K330" s="4">
        <ns0:v>0.00</ns0:v>
      </ns0:c>
      <ns0:c r="L330" s="4">
        <ns0:v>0.00</ns0:v>
      </ns0:c>
      <ns0:c r="M330" s="4">
        <ns0:v>0.00</ns0:v>
      </ns0:c>
      <ns0:c r="N330" s="4">
        <ns0:v>0.00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1.99</ns0:v>
      </ns0:c>
      <ns0:c r="D331" s="4">
        <ns0:v>1.98</ns0:v>
      </ns0:c>
      <ns0:c r="E331" s="4">
        <ns0:v>1.97</ns0:v>
      </ns0:c>
      <ns0:c r="F331" s="4">
        <ns0:v>2.08</ns0:v>
      </ns0:c>
      <ns0:c r="G331" s="4">
        <ns0:v>2.04</ns0:v>
      </ns0:c>
      <ns0:c r="H331" s="4">
        <ns0:v>2.04</ns0:v>
      </ns0:c>
      <ns0:c r="I331" s="4">
        <ns0:v>0.00</ns0:v>
      </ns0:c>
      <ns0:c r="J331" s="4">
        <ns0:v>0.00</ns0:v>
      </ns0:c>
      <ns0:c r="K331" s="4">
        <ns0:v>0.00</ns0:v>
      </ns0:c>
      <ns0:c r="L331" s="4">
        <ns0:v>0.00</ns0:v>
      </ns0:c>
      <ns0:c r="M331" s="4">
        <ns0:v>0.00</ns0:v>
      </ns0:c>
      <ns0:c r="N331" s="4">
        <ns0:v>0.00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1.97</ns0:v>
      </ns0:c>
      <ns0:c r="D332" s="4">
        <ns0:v>2.37</ns0:v>
      </ns0:c>
      <ns0:c r="E332" s="4">
        <ns0:v>1.98</ns0:v>
      </ns0:c>
      <ns0:c r="F332" s="4">
        <ns0:v>2.06</ns0:v>
      </ns0:c>
      <ns0:c r="G332" s="4">
        <ns0:v>1.93</ns0:v>
      </ns0:c>
      <ns0:c r="H332" s="4">
        <ns0:v>1.92</ns0:v>
      </ns0:c>
      <ns0:c r="I332" s="4">
        <ns0:v>0.00</ns0:v>
      </ns0:c>
      <ns0:c r="J332" s="4">
        <ns0:v>0.00</ns0:v>
      </ns0:c>
      <ns0:c r="K332" s="4">
        <ns0:v>0.00</ns0:v>
      </ns0:c>
      <ns0:c r="L332" s="4">
        <ns0:v>0.00</ns0:v>
      </ns0:c>
      <ns0:c r="M332" s="4">
        <ns0:v>0.00</ns0:v>
      </ns0:c>
      <ns0:c r="N332" s="4">
        <ns0:v>0.00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1.03</ns0:v>
      </ns0:c>
      <ns0:c r="D333" s="4">
        <ns0:v>1.02</ns0:v>
      </ns0:c>
      <ns0:c r="E333" s="4">
        <ns0:v>0.98</ns0:v>
      </ns0:c>
      <ns0:c r="F333" s="4">
        <ns0:v>0.98</ns0:v>
      </ns0:c>
      <ns0:c r="G333" s="4">
        <ns0:v>1.02</ns0:v>
      </ns0:c>
      <ns0:c r="H333" s="4">
        <ns0:v>1.01</ns0:v>
      </ns0:c>
      <ns0:c r="I333" s="4">
        <ns0:v>0.00</ns0:v>
      </ns0:c>
      <ns0:c r="J333" s="4">
        <ns0:v>0.00</ns0:v>
      </ns0:c>
      <ns0:c r="K333" s="4">
        <ns0:v>0.00</ns0:v>
      </ns0:c>
      <ns0:c r="L333" s="4">
        <ns0:v>0.00</ns0:v>
      </ns0:c>
      <ns0:c r="M333" s="4">
        <ns0:v>0.00</ns0:v>
      </ns0:c>
      <ns0:c r="N333" s="4">
        <ns0:v>0.00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3.01</ns0:v>
      </ns0:c>
      <ns0:c r="D334" s="4">
        <ns0:v>2.91</ns0:v>
      </ns0:c>
      <ns0:c r="E334" s="4">
        <ns0:v>3.09</ns0:v>
      </ns0:c>
      <ns0:c r="F334" s="4">
        <ns0:v>3.05</ns0:v>
      </ns0:c>
      <ns0:c r="G334" s="4">
        <ns0:v>3.04</ns0:v>
      </ns0:c>
      <ns0:c r="H334" s="4">
        <ns0:v>2.98</ns0:v>
      </ns0:c>
      <ns0:c r="I334" s="4">
        <ns0:v>0.00</ns0:v>
      </ns0:c>
      <ns0:c r="J334" s="4">
        <ns0:v>0.00</ns0:v>
      </ns0:c>
      <ns0:c r="K334" s="4">
        <ns0:v>0.00</ns0:v>
      </ns0:c>
      <ns0:c r="L334" s="4">
        <ns0:v>0.00</ns0:v>
      </ns0:c>
      <ns0:c r="M334" s="4">
        <ns0:v>0.00</ns0:v>
      </ns0:c>
      <ns0:c r="N334" s="4">
        <ns0:v>0.00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2.02</ns0:v>
      </ns0:c>
      <ns0:c r="D335" s="4">
        <ns0:v>1.99</ns0:v>
      </ns0:c>
      <ns0:c r="E335" s="4">
        <ns0:v>1.98</ns0:v>
      </ns0:c>
      <ns0:c r="F335" s="4">
        <ns0:v>2.01</ns0:v>
      </ns0:c>
      <ns0:c r="G335" s="4">
        <ns0:v>2.01</ns0:v>
      </ns0:c>
      <ns0:c r="H335" s="4">
        <ns0:v>2.37</ns0:v>
      </ns0:c>
      <ns0:c r="I335" s="4">
        <ns0:v>0.00</ns0:v>
      </ns0:c>
      <ns0:c r="J335" s="4">
        <ns0:v>0.00</ns0:v>
      </ns0:c>
      <ns0:c r="K335" s="4">
        <ns0:v>0.00</ns0:v>
      </ns0:c>
      <ns0:c r="L335" s="4">
        <ns0:v>0.00</ns0:v>
      </ns0:c>
      <ns0:c r="M335" s="4">
        <ns0:v>0.00</ns0:v>
      </ns0:c>
      <ns0:c r="N335" s="4">
        <ns0:v>0.00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2.01</ns0:v>
      </ns0:c>
      <ns0:c r="D336" s="4">
        <ns0:v>1.92</ns0:v>
      </ns0:c>
      <ns0:c r="E336" s="4">
        <ns0:v>2.03</ns0:v>
      </ns0:c>
      <ns0:c r="F336" s="4">
        <ns0:v>2.01</ns0:v>
      </ns0:c>
      <ns0:c r="G336" s="4">
        <ns0:v>2.08</ns0:v>
      </ns0:c>
      <ns0:c r="H336" s="4">
        <ns0:v>1.98</ns0:v>
      </ns0:c>
      <ns0:c r="I336" s="4">
        <ns0:v>0.00</ns0:v>
      </ns0:c>
      <ns0:c r="J336" s="4">
        <ns0:v>0.00</ns0:v>
      </ns0:c>
      <ns0:c r="K336" s="4">
        <ns0:v>0.00</ns0:v>
      </ns0:c>
      <ns0:c r="L336" s="4">
        <ns0:v>0.00</ns0:v>
      </ns0:c>
      <ns0:c r="M336" s="4">
        <ns0:v>0.00</ns0:v>
      </ns0:c>
      <ns0:c r="N336" s="4">
        <ns0:v>0.00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1.37</ns0:v>
      </ns0:c>
      <ns0:c r="D337" s="4">
        <ns0:v>1.37</ns0:v>
      </ns0:c>
      <ns0:c r="E337" s="4">
        <ns0:v>0.96</ns0:v>
      </ns0:c>
      <ns0:c r="F337" s="4">
        <ns0:v>1.37</ns0:v>
      </ns0:c>
      <ns0:c r="G337" s="4">
        <ns0:v>1.03</ns0:v>
      </ns0:c>
      <ns0:c r="H337" s="4">
        <ns0:v>1.03</ns0:v>
      </ns0:c>
      <ns0:c r="I337" s="4">
        <ns0:v>0.00</ns0:v>
      </ns0:c>
      <ns0:c r="J337" s="4">
        <ns0:v>0.00</ns0:v>
      </ns0:c>
      <ns0:c r="K337" s="4">
        <ns0:v>0.00</ns0:v>
      </ns0:c>
      <ns0:c r="L337" s="4">
        <ns0:v>0.00</ns0:v>
      </ns0:c>
      <ns0:c r="M337" s="4">
        <ns0:v>0.00</ns0:v>
      </ns0:c>
      <ns0:c r="N337" s="4">
        <ns0:v>0.00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2.94</ns0:v>
      </ns0:c>
      <ns0:c r="D338" s="4">
        <ns0:v>3.03</ns0:v>
      </ns0:c>
      <ns0:c r="E338" s="4">
        <ns0:v>2.93</ns0:v>
      </ns0:c>
      <ns0:c r="F338" s="4">
        <ns0:v>2.98</ns0:v>
      </ns0:c>
      <ns0:c r="G338" s="4">
        <ns0:v>3.06</ns0:v>
      </ns0:c>
      <ns0:c r="H338" s="4">
        <ns0:v>2.91</ns0:v>
      </ns0:c>
      <ns0:c r="I338" s="4">
        <ns0:v>0.00</ns0:v>
      </ns0:c>
      <ns0:c r="J338" s="4">
        <ns0:v>0.00</ns0:v>
      </ns0:c>
      <ns0:c r="K338" s="4">
        <ns0:v>0.00</ns0:v>
      </ns0:c>
      <ns0:c r="L338" s="4">
        <ns0:v>0.00</ns0:v>
      </ns0:c>
      <ns0:c r="M338" s="4">
        <ns0:v>0.00</ns0:v>
      </ns0:c>
      <ns0:c r="N338" s="4">
        <ns0:v>0.00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0.96</ns0:v>
      </ns0:c>
      <ns0:c r="D339" s="4">
        <ns0:v>1.02</ns0:v>
      </ns0:c>
      <ns0:c r="E339" s="4">
        <ns0:v>0.99</ns0:v>
      </ns0:c>
      <ns0:c r="F339" s="4">
        <ns0:v>0.98</ns0:v>
      </ns0:c>
      <ns0:c r="G339" s="4">
        <ns0:v>1.04</ns0:v>
      </ns0:c>
      <ns0:c r="H339" s="4">
        <ns0:v>0.98</ns0:v>
      </ns0:c>
      <ns0:c r="I339" s="4">
        <ns0:v>0.00</ns0:v>
      </ns0:c>
      <ns0:c r="J339" s="4">
        <ns0:v>0.00</ns0:v>
      </ns0:c>
      <ns0:c r="K339" s="4">
        <ns0:v>0.00</ns0:v>
      </ns0:c>
      <ns0:c r="L339" s="4">
        <ns0:v>0.00</ns0:v>
      </ns0:c>
      <ns0:c r="M339" s="4">
        <ns0:v>0.00</ns0:v>
      </ns0:c>
      <ns0:c r="N339" s="4">
        <ns0:v>0.00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3.37</ns0:v>
      </ns0:c>
      <ns0:c r="D341" s="4">
        <ns0:v>3.06</ns0:v>
      </ns0:c>
      <ns0:c r="E341" s="4">
        <ns0:v>3.11</ns0:v>
      </ns0:c>
      <ns0:c r="F341" s="4">
        <ns0:v>2.95</ns0:v>
      </ns0:c>
      <ns0:c r="G341" s="4">
        <ns0:v>2.98</ns0:v>
      </ns0:c>
      <ns0:c r="H341" s="4">
        <ns0:v>3.04</ns0:v>
      </ns0:c>
      <ns0:c r="I341" s="4">
        <ns0:v>0.00</ns0:v>
      </ns0:c>
      <ns0:c r="J341" s="4">
        <ns0:v>0.00</ns0:v>
      </ns0:c>
      <ns0:c r="K341" s="4">
        <ns0:v>0.00</ns0:v>
      </ns0:c>
      <ns0:c r="L341" s="4">
        <ns0:v>0.00</ns0:v>
      </ns0:c>
      <ns0:c r="M341" s="4">
        <ns0:v>0.00</ns0:v>
      </ns0:c>
      <ns0:c r="N341" s="4">
        <ns0:v>0.00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1.97</ns0:v>
      </ns0:c>
      <ns0:c r="D342" s="4">
        <ns0:v>2.03</ns0:v>
      </ns0:c>
      <ns0:c r="E342" s="4">
        <ns0:v>2.37</ns0:v>
      </ns0:c>
      <ns0:c r="F342" s="4">
        <ns0:v>1.93</ns0:v>
      </ns0:c>
      <ns0:c r="G342" s="4">
        <ns0:v>1.96</ns0:v>
      </ns0:c>
      <ns0:c r="H342" s="4">
        <ns0:v>1.99</ns0:v>
      </ns0:c>
      <ns0:c r="I342" s="4">
        <ns0:v>0.00</ns0:v>
      </ns0:c>
      <ns0:c r="J342" s="4">
        <ns0:v>0.00</ns0:v>
      </ns0:c>
      <ns0:c r="K342" s="4">
        <ns0:v>0.00</ns0:v>
      </ns0:c>
      <ns0:c r="L342" s="4">
        <ns0:v>0.00</ns0:v>
      </ns0:c>
      <ns0:c r="M342" s="4">
        <ns0:v>0.00</ns0:v>
      </ns0:c>
      <ns0:c r="N342" s="4">
        <ns0:v>0.00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1.37</ns0:v>
      </ns0:c>
      <ns0:c r="D343" s="4">
        <ns0:v>1.03</ns0:v>
      </ns0:c>
      <ns0:c r="E343" s="4">
        <ns0:v>1.02</ns0:v>
      </ns0:c>
      <ns0:c r="F343" s="4">
        <ns0:v>1.01</ns0:v>
      </ns0:c>
      <ns0:c r="G343" s="4">
        <ns0:v>1.37</ns0:v>
      </ns0:c>
      <ns0:c r="H343" s="4">
        <ns0:v>0.98</ns0:v>
      </ns0:c>
      <ns0:c r="I343" s="4">
        <ns0:v>0.00</ns0:v>
      </ns0:c>
      <ns0:c r="J343" s="4">
        <ns0:v>0.00</ns0:v>
      </ns0:c>
      <ns0:c r="K343" s="4">
        <ns0:v>0.00</ns0:v>
      </ns0:c>
      <ns0:c r="L343" s="4">
        <ns0:v>0.00</ns0:v>
      </ns0:c>
      <ns0:c r="M343" s="4">
        <ns0:v>0.00</ns0:v>
      </ns0:c>
      <ns0:c r="N343" s="4">
        <ns0:v>0.00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1.03</ns0:v>
      </ns0:c>
      <ns0:c r="D344" s="4">
        <ns0:v>1.37</ns0:v>
      </ns0:c>
      <ns0:c r="E344" s="4">
        <ns0:v>1.37</ns0:v>
      </ns0:c>
      <ns0:c r="F344" s="4">
        <ns0:v>1.04</ns0:v>
      </ns0:c>
      <ns0:c r="G344" s="4">
        <ns0:v>0.99</ns0:v>
      </ns0:c>
      <ns0:c r="H344" s="4">
        <ns0:v>1.01</ns0:v>
      </ns0:c>
      <ns0:c r="I344" s="4">
        <ns0:v>0.00</ns0:v>
      </ns0:c>
      <ns0:c r="J344" s="4">
        <ns0:v>0.00</ns0:v>
      </ns0:c>
      <ns0:c r="K344" s="4">
        <ns0:v>0.00</ns0:v>
      </ns0:c>
      <ns0:c r="L344" s="4">
        <ns0:v>0.00</ns0:v>
      </ns0:c>
      <ns0:c r="M344" s="4">
        <ns0:v>0.00</ns0:v>
      </ns0:c>
      <ns0:c r="N344" s="4">
        <ns0:v>0.00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0.96</ns0:v>
      </ns0:c>
      <ns0:c r="D345" s="4">
        <ns0:v>1.03</ns0:v>
      </ns0:c>
      <ns0:c r="E345" s="4">
        <ns0:v>0.96</ns0:v>
      </ns0:c>
      <ns0:c r="F345" s="4">
        <ns0:v>1.01</ns0:v>
      </ns0:c>
      <ns0:c r="G345" s="4">
        <ns0:v>0.99</ns0:v>
      </ns0:c>
      <ns0:c r="H345" s="4">
        <ns0:v>1.01</ns0:v>
      </ns0:c>
      <ns0:c r="I345" s="4">
        <ns0:v>0.00</ns0:v>
      </ns0:c>
      <ns0:c r="J345" s="4">
        <ns0:v>0.00</ns0:v>
      </ns0:c>
      <ns0:c r="K345" s="4">
        <ns0:v>0.00</ns0:v>
      </ns0:c>
      <ns0:c r="L345" s="4">
        <ns0:v>0.00</ns0:v>
      </ns0:c>
      <ns0:c r="M345" s="4">
        <ns0:v>0.00</ns0:v>
      </ns0:c>
      <ns0:c r="N345" s="4">
        <ns0:v>0.00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2.37</ns0:v>
      </ns0:c>
      <ns0:c r="D346" s="4">
        <ns0:v>2.01</ns0:v>
      </ns0:c>
      <ns0:c r="E346" s="4">
        <ns0:v>2.01</ns0:v>
      </ns0:c>
      <ns0:c r="F346" s="4">
        <ns0:v>1.98</ns0:v>
      </ns0:c>
      <ns0:c r="G346" s="4">
        <ns0:v>1.98</ns0:v>
      </ns0:c>
      <ns0:c r="H346" s="4">
        <ns0:v>2.04</ns0:v>
      </ns0:c>
      <ns0:c r="I346" s="4">
        <ns0:v>0.00</ns0:v>
      </ns0:c>
      <ns0:c r="J346" s="4">
        <ns0:v>0.00</ns0:v>
      </ns0:c>
      <ns0:c r="K346" s="4">
        <ns0:v>0.00</ns0:v>
      </ns0:c>
      <ns0:c r="L346" s="4">
        <ns0:v>0.00</ns0:v>
      </ns0:c>
      <ns0:c r="M346" s="4">
        <ns0:v>0.00</ns0:v>
      </ns0:c>
      <ns0:c r="N346" s="4">
        <ns0:v>0.00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1.01</ns0:v>
      </ns0:c>
      <ns0:c r="D347" s="4">
        <ns0:v>0.98</ns0:v>
      </ns0:c>
      <ns0:c r="E347" s="4">
        <ns0:v>1.02</ns0:v>
      </ns0:c>
      <ns0:c r="F347" s="4">
        <ns0:v>1.01</ns0:v>
      </ns0:c>
      <ns0:c r="G347" s="4">
        <ns0:v>1.03</ns0:v>
      </ns0:c>
      <ns0:c r="H347" s="4">
        <ns0:v>1.01</ns0:v>
      </ns0:c>
      <ns0:c r="I347" s="4">
        <ns0:v>0.00</ns0:v>
      </ns0:c>
      <ns0:c r="J347" s="4">
        <ns0:v>0.00</ns0:v>
      </ns0:c>
      <ns0:c r="K347" s="4">
        <ns0:v>0.00</ns0:v>
      </ns0:c>
      <ns0:c r="L347" s="4">
        <ns0:v>0.00</ns0:v>
      </ns0:c>
      <ns0:c r="M347" s="4">
        <ns0:v>0.00</ns0:v>
      </ns0:c>
      <ns0:c r="N347" s="4">
        <ns0:v>0.00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5.06</ns0:v>
      </ns0:c>
      <ns0:c r="D348" s="4">
        <ns0:v>5.16</ns0:v>
      </ns0:c>
      <ns0:c r="E348" s="4">
        <ns0:v>4.91</ns0:v>
      </ns0:c>
      <ns0:c r="F348" s="4">
        <ns0:v>5.16</ns0:v>
      </ns0:c>
      <ns0:c r="G348" s="4">
        <ns0:v>4.83</ns0:v>
      </ns0:c>
      <ns0:c r="H348" s="4">
        <ns0:v>5.04</ns0:v>
      </ns0:c>
      <ns0:c r="I348" s="4">
        <ns0:v>0.00</ns0:v>
      </ns0:c>
      <ns0:c r="J348" s="4">
        <ns0:v>0.00</ns0:v>
      </ns0:c>
      <ns0:c r="K348" s="4">
        <ns0:v>0.00</ns0:v>
      </ns0:c>
      <ns0:c r="L348" s="4">
        <ns0:v>0.00</ns0:v>
      </ns0:c>
      <ns0:c r="M348" s="4">
        <ns0:v>0.00</ns0:v>
      </ns0:c>
      <ns0:c r="N348" s="4">
        <ns0:v>0.00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1.19</ns0:v>
      </ns0:c>
      <ns0:c r="D350" s="4">
        <ns0:v>1.19</ns0:v>
      </ns0:c>
      <ns0:c r="E350" s="4">
        <ns0:v>1.19</ns0:v>
      </ns0:c>
      <ns0:c r="F350" s="4">
        <ns0:v>1.19</ns0:v>
      </ns0:c>
      <ns0:c r="G350" s="4">
        <ns0:v>1.19</ns0:v>
      </ns0:c>
      <ns0:c r="H350" s="4">
        <ns0:v>1.19</ns0:v>
      </ns0:c>
      <ns0:c r="I350" s="4">
        <ns0:v>0.00</ns0:v>
      </ns0:c>
      <ns0:c r="J350" s="4">
        <ns0:v>0.00</ns0:v>
      </ns0:c>
      <ns0:c r="K350" s="4">
        <ns0:v>0.00</ns0:v>
      </ns0:c>
      <ns0:c r="L350" s="4">
        <ns0:v>0.00</ns0:v>
      </ns0:c>
      <ns0:c r="M350" s="4">
        <ns0:v>0.00</ns0:v>
      </ns0:c>
      <ns0:c r="N350" s="4">
        <ns0:v>0.00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1.03</ns0:v>
      </ns0:c>
      <ns0:c r="D351" s="4">
        <ns0:v>0.99</ns0:v>
      </ns0:c>
      <ns0:c r="E351" s="4">
        <ns0:v>0.99</ns0:v>
      </ns0:c>
      <ns0:c r="F351" s="4">
        <ns0:v>0.96</ns0:v>
      </ns0:c>
      <ns0:c r="G351" s="4">
        <ns0:v>1.01</ns0:v>
      </ns0:c>
      <ns0:c r="H351" s="4">
        <ns0:v>1.01</ns0:v>
      </ns0:c>
      <ns0:c r="I351" s="4">
        <ns0:v>0.00</ns0:v>
      </ns0:c>
      <ns0:c r="J351" s="4">
        <ns0:v>0.00</ns0:v>
      </ns0:c>
      <ns0:c r="K351" s="4">
        <ns0:v>0.00</ns0:v>
      </ns0:c>
      <ns0:c r="L351" s="4">
        <ns0:v>0.00</ns0:v>
      </ns0:c>
      <ns0:c r="M351" s="4">
        <ns0:v>0.00</ns0:v>
      </ns0:c>
      <ns0:c r="N351" s="4">
        <ns0:v>0.00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1.01</ns0:v>
      </ns0:c>
      <ns0:c r="D352" s="4">
        <ns0:v>0.96</ns0:v>
      </ns0:c>
      <ns0:c r="E352" s="4">
        <ns0:v>1.02</ns0:v>
      </ns0:c>
      <ns0:c r="F352" s="4">
        <ns0:v>0.96</ns0:v>
      </ns0:c>
      <ns0:c r="G352" s="4">
        <ns0:v>0.97</ns0:v>
      </ns0:c>
      <ns0:c r="H352" s="4">
        <ns0:v>1.01</ns0:v>
      </ns0:c>
      <ns0:c r="I352" s="4">
        <ns0:v>0.00</ns0:v>
      </ns0:c>
      <ns0:c r="J352" s="4">
        <ns0:v>0.00</ns0:v>
      </ns0:c>
      <ns0:c r="K352" s="4">
        <ns0:v>0.00</ns0:v>
      </ns0:c>
      <ns0:c r="L352" s="4">
        <ns0:v>0.00</ns0:v>
      </ns0:c>
      <ns0:c r="M352" s="4">
        <ns0:v>0.00</ns0:v>
      </ns0:c>
      <ns0:c r="N352" s="4">
        <ns0:v>0.00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1.94</ns0:v>
      </ns0:c>
      <ns0:c r="D353" s="4">
        <ns0:v>1.92</ns0:v>
      </ns0:c>
      <ns0:c r="E353" s="4">
        <ns0:v>2.05</ns0:v>
      </ns0:c>
      <ns0:c r="F353" s="4">
        <ns0:v>1.97</ns0:v>
      </ns0:c>
      <ns0:c r="G353" s="4">
        <ns0:v>2.05</ns0:v>
      </ns0:c>
      <ns0:c r="H353" s="4">
        <ns0:v>2.07</ns0:v>
      </ns0:c>
      <ns0:c r="I353" s="4">
        <ns0:v>0.00</ns0:v>
      </ns0:c>
      <ns0:c r="J353" s="4">
        <ns0:v>0.00</ns0:v>
      </ns0:c>
      <ns0:c r="K353" s="4">
        <ns0:v>0.00</ns0:v>
      </ns0:c>
      <ns0:c r="L353" s="4">
        <ns0:v>0.00</ns0:v>
      </ns0:c>
      <ns0:c r="M353" s="4">
        <ns0:v>0.00</ns0:v>
      </ns0:c>
      <ns0:c r="N353" s="4">
        <ns0:v>0.00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7"/>
      <ns0:c r="B1" s="7"/>
      <ns0:c r="C1" s="8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/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'销售费用'!C4+'管理费用'!C4+'蓝恐龙费用'!C4</ns0:f>
        <ns0:v>88552.74</ns0:v>
      </ns0:c>
      <ns0:c r="D4" s="8">
        <ns0:f>'销售费用'!D4+'管理费用'!D4+'蓝恐龙费用'!D4</ns0:f>
        <ns0:v>88041.04</ns0:v>
      </ns0:c>
      <ns0:c r="E4" s="8">
        <ns0:f>'销售费用'!E4+'管理费用'!E4+'蓝恐龙费用'!E4</ns0:f>
        <ns0:v>87224.61</ns0:v>
      </ns0:c>
      <ns0:c r="F4" s="8">
        <ns0:f>'销售费用'!F4+'管理费用'!F4+'蓝恐龙费用'!F4</ns0:f>
        <ns0:v>87519.03</ns0:v>
      </ns0:c>
      <ns0:c r="G4" s="8">
        <ns0:f>'销售费用'!G4+'管理费用'!G4+'蓝恐龙费用'!G4</ns0:f>
        <ns0:v>88190.35</ns0:v>
      </ns0:c>
      <ns0:c r="H4" s="8">
        <ns0:f>'销售费用'!H4+'管理费用'!H4+'蓝恐龙费用'!H4</ns0:f>
        <ns0:v>87759.58</ns0:v>
      </ns0:c>
      <ns0:c r="I4" s="8">
        <ns0:f>'销售费用'!I4+'管理费用'!I4+'蓝恐龙费用'!I4</ns0:f>
        <ns0:v>0.00</ns0:v>
      </ns0:c>
      <ns0:c r="J4" s="8">
        <ns0:f>'销售费用'!J4+'管理费用'!J4+'蓝恐龙费用'!J4</ns0:f>
        <ns0:v>0.00</ns0:v>
      </ns0:c>
      <ns0:c r="K4" s="8">
        <ns0:f>'销售费用'!K4+'管理费用'!K4+'蓝恐龙费用'!K4</ns0:f>
        <ns0:v>0.00</ns0:v>
      </ns0:c>
      <ns0:c r="L4" s="8">
        <ns0:f>'销售费用'!L4+'管理费用'!L4+'蓝恐龙费用'!L4</ns0:f>
        <ns0:v>0.00</ns0:v>
      </ns0:c>
      <ns0:c r="M4" s="8">
        <ns0:f>'销售费用'!M4+'管理费用'!M4+'蓝恐龙费用'!M4</ns0:f>
        <ns0:v>0.00</ns0:v>
      </ns0:c>
      <ns0:c r="N4" s="8">
        <ns0:f>'销售费用'!N4+'管理费用'!N4+'蓝恐龙费用'!N4</ns0:f>
        <ns0:v>0.00</ns0:v>
      </ns0:c>
      <ns0:c r="O4" s="8">
        <ns0:f>SUM(C4:N4)</ns0:f>
        <ns0:v>527287.35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'销售费用'!C5+'管理费用'!C5+'蓝恐龙费用'!C5</ns0:f>
        <ns0:v>6438.90</ns0:v>
      </ns0:c>
      <ns0:c r="D5" s="8">
        <ns0:f>'销售费用'!D5+'管理费用'!D5+'蓝恐龙费用'!D5</ns0:f>
        <ns0:v>6403.64</ns0:v>
      </ns0:c>
      <ns0:c r="E5" s="8">
        <ns0:f>'销售费用'!E5+'管理费用'!E5+'蓝恐龙费用'!E5</ns0:f>
        <ns0:v>6355.80</ns0:v>
      </ns0:c>
      <ns0:c r="F5" s="8">
        <ns0:f>'销售费用'!F5+'管理费用'!F5+'蓝恐龙费用'!F5</ns0:f>
        <ns0:v>6441.14</ns0:v>
      </ns0:c>
      <ns0:c r="G5" s="8">
        <ns0:f>'销售费用'!G5+'管理费用'!G5+'蓝恐龙费用'!G5</ns0:f>
        <ns0:v>6408.64</ns0:v>
      </ns0:c>
      <ns0:c r="H5" s="8">
        <ns0:f>'销售费用'!H5+'管理费用'!H5+'蓝恐龙费用'!H5</ns0:f>
        <ns0:v>6404.32</ns0:v>
      </ns0:c>
      <ns0:c r="I5" s="8">
        <ns0:f>'销售费用'!I5+'管理费用'!I5+'蓝恐龙费用'!I5</ns0:f>
        <ns0:v>0.00</ns0:v>
      </ns0:c>
      <ns0:c r="J5" s="8">
        <ns0:f>'销售费用'!J5+'管理费用'!J5+'蓝恐龙费用'!J5</ns0:f>
        <ns0:v>0.00</ns0:v>
      </ns0:c>
      <ns0:c r="K5" s="8">
        <ns0:f>'销售费用'!K5+'管理费用'!K5+'蓝恐龙费用'!K5</ns0:f>
        <ns0:v>0.00</ns0:v>
      </ns0:c>
      <ns0:c r="L5" s="8">
        <ns0:f>'销售费用'!L5+'管理费用'!L5+'蓝恐龙费用'!L5</ns0:f>
        <ns0:v>0.00</ns0:v>
      </ns0:c>
      <ns0:c r="M5" s="8">
        <ns0:f>'销售费用'!M5+'管理费用'!M5+'蓝恐龙费用'!M5</ns0:f>
        <ns0:v>0.00</ns0:v>
      </ns0:c>
      <ns0:c r="N5" s="8">
        <ns0:f>'销售费用'!N5+'管理费用'!N5+'蓝恐龙费用'!N5</ns0:f>
        <ns0:v>0.00</ns0:v>
      </ns0:c>
      <ns0:c r="O5" s="8">
        <ns0:f>SUM(C5:N5)</ns0:f>
        <ns0:v>38452.44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2" t="inlineStr">
        <ns0:is>
          <ns0:t>离职补偿金</ns0:t>
        </ns0:is>
      </ns0:c>
      <ns0:c r="C6" s="8">
        <ns0:f>'销售费用'!C6+'管理费用'!C6+'蓝恐龙费用'!C6</ns0:f>
        <ns0:v>2692.46</ns0:v>
      </ns0:c>
      <ns0:c r="D6" s="8">
        <ns0:f>'销售费用'!D6+'管理费用'!D6+'蓝恐龙费用'!D6</ns0:f>
        <ns0:v>2496.88</ns0:v>
      </ns0:c>
      <ns0:c r="E6" s="8">
        <ns0:f>'销售费用'!E6+'管理费用'!E6+'蓝恐龙费用'!E6</ns0:f>
        <ns0:v>2493.11</ns0:v>
      </ns0:c>
      <ns0:c r="F6" s="8">
        <ns0:f>'销售费用'!F6+'管理费用'!F6+'蓝恐龙费用'!F6</ns0:f>
        <ns0:v>2370.94</ns0:v>
      </ns0:c>
      <ns0:c r="G6" s="8">
        <ns0:f>'销售费用'!G6+'管理费用'!G6+'蓝恐龙费用'!G6</ns0:f>
        <ns0:v>2384.80</ns0:v>
      </ns0:c>
      <ns0:c r="H6" s="8">
        <ns0:f>'销售费用'!H6+'管理费用'!H6+'蓝恐龙费用'!H6</ns0:f>
        <ns0:v>2437.58</ns0:v>
      </ns0:c>
      <ns0:c r="I6" s="8">
        <ns0:f>'销售费用'!I6+'管理费用'!I6+'蓝恐龙费用'!I6</ns0:f>
        <ns0:v>0.00</ns0:v>
      </ns0:c>
      <ns0:c r="J6" s="8">
        <ns0:f>'销售费用'!J6+'管理费用'!J6+'蓝恐龙费用'!J6</ns0:f>
        <ns0:v>0.00</ns0:v>
      </ns0:c>
      <ns0:c r="K6" s="8">
        <ns0:f>'销售费用'!K6+'管理费用'!K6+'蓝恐龙费用'!K6</ns0:f>
        <ns0:v>0.00</ns0:v>
      </ns0:c>
      <ns0:c r="L6" s="8">
        <ns0:f>'销售费用'!L6+'管理费用'!L6+'蓝恐龙费用'!L6</ns0:f>
        <ns0:v>0.00</ns0:v>
      </ns0:c>
      <ns0:c r="M6" s="8">
        <ns0:f>'销售费用'!M6+'管理费用'!M6+'蓝恐龙费用'!M6</ns0:f>
        <ns0:v>0.00</ns0:v>
      </ns0:c>
      <ns0:c r="N6" s="8">
        <ns0:f>'销售费用'!N6+'管理费用'!N6+'蓝恐龙费用'!N6</ns0:f>
        <ns0:v>0.00</ns0:v>
      </ns0:c>
      <ns0:c r="O6" s="8">
        <ns0:f>SUM(C6:N6)</ns0:f>
        <ns0:v>14875.77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'销售费用'!C7+'管理费用'!C7+'蓝恐龙费用'!C7</ns0:f>
        <ns0:v>29092.68</ns0:v>
      </ns0:c>
      <ns0:c r="D7" s="8">
        <ns0:f>'销售费用'!D7+'管理费用'!D7+'蓝恐龙费用'!D7</ns0:f>
        <ns0:v>28987.89</ns0:v>
      </ns0:c>
      <ns0:c r="E7" s="8">
        <ns0:f>'销售费用'!E7+'管理费用'!E7+'蓝恐龙费用'!E7</ns0:f>
        <ns0:v>28862.07</ns0:v>
      </ns0:c>
      <ns0:c r="F7" s="8">
        <ns0:f>'销售费用'!F7+'管理费用'!F7+'蓝恐龙费用'!F7</ns0:f>
        <ns0:v>28938.15</ns0:v>
      </ns0:c>
      <ns0:c r="G7" s="8">
        <ns0:f>'销售费用'!G7+'管理费用'!G7+'蓝恐龙费用'!G7</ns0:f>
        <ns0:v>28595.10</ns0:v>
      </ns0:c>
      <ns0:c r="H7" s="8">
        <ns0:f>'销售费用'!H7+'管理费用'!H7+'蓝恐龙费用'!H7</ns0:f>
        <ns0:v>28870.81</ns0:v>
      </ns0:c>
      <ns0:c r="I7" s="8">
        <ns0:f>'销售费用'!I7+'管理费用'!I7+'蓝恐龙费用'!I7</ns0:f>
        <ns0:v>0.00</ns0:v>
      </ns0:c>
      <ns0:c r="J7" s="8">
        <ns0:f>'销售费用'!J7+'管理费用'!J7+'蓝恐龙费用'!J7</ns0:f>
        <ns0:v>0.00</ns0:v>
      </ns0:c>
      <ns0:c r="K7" s="8">
        <ns0:f>'销售费用'!K7+'管理费用'!K7+'蓝恐龙费用'!K7</ns0:f>
        <ns0:v>0.00</ns0:v>
      </ns0:c>
      <ns0:c r="L7" s="8">
        <ns0:f>'销售费用'!L7+'管理费用'!L7+'蓝恐龙费用'!L7</ns0:f>
        <ns0:v>0.00</ns0:v>
      </ns0:c>
      <ns0:c r="M7" s="8">
        <ns0:f>'销售费用'!M7+'管理费用'!M7+'蓝恐龙费用'!M7</ns0:f>
        <ns0:v>0.00</ns0:v>
      </ns0:c>
      <ns0:c r="N7" s="8">
        <ns0:f>'销售费用'!N7+'管理费用'!N7+'蓝恐龙费用'!N7</ns0:f>
        <ns0:v>0.00</ns0:v>
      </ns0:c>
      <ns0:c r="O7" s="8">
        <ns0:f>SUM(C7:N7)</ns0:f>
        <ns0:v>173346.70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'销售费用'!C8+'管理费用'!C8+'蓝恐龙费用'!C8</ns0:f>
        <ns0:v>6189.38</ns0:v>
      </ns0:c>
      <ns0:c r="D8" s="8">
        <ns0:f>'销售费用'!D8+'管理费用'!D8+'蓝恐龙费用'!D8</ns0:f>
        <ns0:v>5597.46</ns0:v>
      </ns0:c>
      <ns0:c r="E8" s="8">
        <ns0:f>'销售费用'!E8+'管理费用'!E8+'蓝恐龙费用'!E8</ns0:f>
        <ns0:v>5773.48</ns0:v>
      </ns0:c>
      <ns0:c r="F8" s="8">
        <ns0:f>'销售费用'!F8+'管理费用'!F8+'蓝恐龙费用'!F8</ns0:f>
        <ns0:v>5874.75</ns0:v>
      </ns0:c>
      <ns0:c r="G8" s="8">
        <ns0:f>'销售费用'!G8+'管理费用'!G8+'蓝恐龙费用'!G8</ns0:f>
        <ns0:v>6057.40</ns0:v>
      </ns0:c>
      <ns0:c r="H8" s="8">
        <ns0:f>'销售费用'!H8+'管理费用'!H8+'蓝恐龙费用'!H8</ns0:f>
        <ns0:v>5564.56</ns0:v>
      </ns0:c>
      <ns0:c r="I8" s="8">
        <ns0:f>'销售费用'!I8+'管理费用'!I8+'蓝恐龙费用'!I8</ns0:f>
        <ns0:v>0.00</ns0:v>
      </ns0:c>
      <ns0:c r="J8" s="8">
        <ns0:f>'销售费用'!J8+'管理费用'!J8+'蓝恐龙费用'!J8</ns0:f>
        <ns0:v>0.00</ns0:v>
      </ns0:c>
      <ns0:c r="K8" s="8">
        <ns0:f>'销售费用'!K8+'管理费用'!K8+'蓝恐龙费用'!K8</ns0:f>
        <ns0:v>0.00</ns0:v>
      </ns0:c>
      <ns0:c r="L8" s="8">
        <ns0:f>'销售费用'!L8+'管理费用'!L8+'蓝恐龙费用'!L8</ns0:f>
        <ns0:v>0.00</ns0:v>
      </ns0:c>
      <ns0:c r="M8" s="8">
        <ns0:f>'销售费用'!M8+'管理费用'!M8+'蓝恐龙费用'!M8</ns0:f>
        <ns0:v>0.00</ns0:v>
      </ns0:c>
      <ns0:c r="N8" s="8">
        <ns0:f>'销售费用'!N8+'管理费用'!N8+'蓝恐龙费用'!N8</ns0:f>
        <ns0:v>0.00</ns0:v>
      </ns0:c>
      <ns0:c r="O8" s="8">
        <ns0:f>SUM(C8:N8)</ns0:f>
        <ns0:v>35057.03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'销售费用'!C9+'管理费用'!C9+'蓝恐龙费用'!C9</ns0:f>
        <ns0:v>2555.66</ns0:v>
      </ns0:c>
      <ns0:c r="D9" s="8">
        <ns0:f>'销售费用'!D9+'管理费用'!D9+'蓝恐龙费用'!D9</ns0:f>
        <ns0:v>2793.40</ns0:v>
      </ns0:c>
      <ns0:c r="E9" s="8">
        <ns0:f>'销售费用'!E9+'管理费用'!E9+'蓝恐龙费用'!E9</ns0:f>
        <ns0:v>2473.29</ns0:v>
      </ns0:c>
      <ns0:c r="F9" s="8">
        <ns0:f>'销售费用'!F9+'管理费用'!F9+'蓝恐龙费用'!F9</ns0:f>
        <ns0:v>2679.60</ns0:v>
      </ns0:c>
      <ns0:c r="G9" s="8">
        <ns0:f>'销售费用'!G9+'管理费用'!G9+'蓝恐龙费用'!G9</ns0:f>
        <ns0:v>2595.26</ns0:v>
      </ns0:c>
      <ns0:c r="H9" s="8">
        <ns0:f>'销售费用'!H9+'管理费用'!H9+'蓝恐龙费用'!H9</ns0:f>
        <ns0:v>2925.12</ns0:v>
      </ns0:c>
      <ns0:c r="I9" s="8">
        <ns0:f>'销售费用'!I9+'管理费用'!I9+'蓝恐龙费用'!I9</ns0:f>
        <ns0:v>0.00</ns0:v>
      </ns0:c>
      <ns0:c r="J9" s="8">
        <ns0:f>'销售费用'!J9+'管理费用'!J9+'蓝恐龙费用'!J9</ns0:f>
        <ns0:v>0.00</ns0:v>
      </ns0:c>
      <ns0:c r="K9" s="8">
        <ns0:f>'销售费用'!K9+'管理费用'!K9+'蓝恐龙费用'!K9</ns0:f>
        <ns0:v>0.00</ns0:v>
      </ns0:c>
      <ns0:c r="L9" s="8">
        <ns0:f>'销售费用'!L9+'管理费用'!L9+'蓝恐龙费用'!L9</ns0:f>
        <ns0:v>0.00</ns0:v>
      </ns0:c>
      <ns0:c r="M9" s="8">
        <ns0:f>'销售费用'!M9+'管理费用'!M9+'蓝恐龙费用'!M9</ns0:f>
        <ns0:v>0.00</ns0:v>
      </ns0:c>
      <ns0:c r="N9" s="8">
        <ns0:f>'销售费用'!N9+'管理费用'!N9+'蓝恐龙费用'!N9</ns0:f>
        <ns0:v>0.00</ns0:v>
      </ns0:c>
      <ns0:c r="O9" s="8">
        <ns0:f>SUM(C9:N9)</ns0:f>
        <ns0:v>16022.33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'销售费用'!C10+'管理费用'!C10+'蓝恐龙费用'!C10</ns0:f>
        <ns0:v>2224.97</ns0:v>
      </ns0:c>
      <ns0:c r="D10" s="8">
        <ns0:f>'销售费用'!D10+'管理费用'!D10+'蓝恐龙费用'!D10</ns0:f>
        <ns0:v>2160.56</ns0:v>
      </ns0:c>
      <ns0:c r="E10" s="8">
        <ns0:f>'销售费用'!E10+'管理费用'!E10+'蓝恐龙费用'!E10</ns0:f>
        <ns0:v>2226.03</ns0:v>
      </ns0:c>
      <ns0:c r="F10" s="8">
        <ns0:f>'销售费用'!F10+'管理费用'!F10+'蓝恐龙费用'!F10</ns0:f>
        <ns0:v>2209.56</ns0:v>
      </ns0:c>
      <ns0:c r="G10" s="8">
        <ns0:f>'销售费用'!G10+'管理费用'!G10+'蓝恐龙费用'!G10</ns0:f>
        <ns0:v>2173.84</ns0:v>
      </ns0:c>
      <ns0:c r="H10" s="8">
        <ns0:f>'销售费用'!H10+'管理费用'!H10+'蓝恐龙费用'!H10</ns0:f>
        <ns0:v>2275.53</ns0:v>
      </ns0:c>
      <ns0:c r="I10" s="8">
        <ns0:f>'销售费用'!I10+'管理费用'!I10+'蓝恐龙费用'!I10</ns0:f>
        <ns0:v>0.00</ns0:v>
      </ns0:c>
      <ns0:c r="J10" s="8">
        <ns0:f>'销售费用'!J10+'管理费用'!J10+'蓝恐龙费用'!J10</ns0:f>
        <ns0:v>0.00</ns0:v>
      </ns0:c>
      <ns0:c r="K10" s="8">
        <ns0:f>'销售费用'!K10+'管理费用'!K10+'蓝恐龙费用'!K10</ns0:f>
        <ns0:v>0.00</ns0:v>
      </ns0:c>
      <ns0:c r="L10" s="8">
        <ns0:f>'销售费用'!L10+'管理费用'!L10+'蓝恐龙费用'!L10</ns0:f>
        <ns0:v>0.00</ns0:v>
      </ns0:c>
      <ns0:c r="M10" s="8">
        <ns0:f>'销售费用'!M10+'管理费用'!M10+'蓝恐龙费用'!M10</ns0:f>
        <ns0:v>0.00</ns0:v>
      </ns0:c>
      <ns0:c r="N10" s="8">
        <ns0:f>'销售费用'!N10+'管理费用'!N10+'蓝恐龙费用'!N10</ns0:f>
        <ns0:v>0.00</ns0:v>
      </ns0:c>
      <ns0:c r="O10" s="8">
        <ns0:f>SUM(C10:N10)</ns0:f>
        <ns0:v>13270.49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'销售费用'!C11+'管理费用'!C11+'蓝恐龙费用'!C11</ns0:f>
        <ns0:v>12083.40</ns0:v>
      </ns0:c>
      <ns0:c r="D11" s="8">
        <ns0:f>'销售费用'!D11+'管理费用'!D11+'蓝恐龙费用'!D11</ns0:f>
        <ns0:v>11668.06</ns0:v>
      </ns0:c>
      <ns0:c r="E11" s="8">
        <ns0:f>'销售费用'!E11+'管理费用'!E11+'蓝恐龙费用'!E11</ns0:f>
        <ns0:v>11550.58</ns0:v>
      </ns0:c>
      <ns0:c r="F11" s="8">
        <ns0:f>'销售费用'!F11+'管理费用'!F11+'蓝恐龙费用'!F11</ns0:f>
        <ns0:v>11579.07</ns0:v>
      </ns0:c>
      <ns0:c r="G11" s="8">
        <ns0:f>'销售费用'!G11+'管理费用'!G11+'蓝恐龙费用'!G11</ns0:f>
        <ns0:v>12254.81</ns0:v>
      </ns0:c>
      <ns0:c r="H11" s="8">
        <ns0:f>'销售费用'!H11+'管理费用'!H11+'蓝恐龙费用'!H11</ns0:f>
        <ns0:v>11945.99</ns0:v>
      </ns0:c>
      <ns0:c r="I11" s="8">
        <ns0:f>'销售费用'!I11+'管理费用'!I11+'蓝恐龙费用'!I11</ns0:f>
        <ns0:v>0.00</ns0:v>
      </ns0:c>
      <ns0:c r="J11" s="8">
        <ns0:f>'销售费用'!J11+'管理费用'!J11+'蓝恐龙费用'!J11</ns0:f>
        <ns0:v>0.00</ns0:v>
      </ns0:c>
      <ns0:c r="K11" s="8">
        <ns0:f>'销售费用'!K11+'管理费用'!K11+'蓝恐龙费用'!K11</ns0:f>
        <ns0:v>0.00</ns0:v>
      </ns0:c>
      <ns0:c r="L11" s="8">
        <ns0:f>'销售费用'!L11+'管理费用'!L11+'蓝恐龙费用'!L11</ns0:f>
        <ns0:v>0.00</ns0:v>
      </ns0:c>
      <ns0:c r="M11" s="8">
        <ns0:f>'销售费用'!M11+'管理费用'!M11+'蓝恐龙费用'!M11</ns0:f>
        <ns0:v>0.00</ns0:v>
      </ns0:c>
      <ns0:c r="N11" s="8">
        <ns0:f>'销售费用'!N11+'管理费用'!N11+'蓝恐龙费用'!N11</ns0:f>
        <ns0:v>0.00</ns0:v>
      </ns0:c>
      <ns0:c r="O11" s="8">
        <ns0:f>SUM(C11:N11)</ns0:f>
        <ns0:v>71081.91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'销售费用'!C12+'管理费用'!C12+'蓝恐龙费用'!C12</ns0:f>
        <ns0:v>2851.38</ns0:v>
      </ns0:c>
      <ns0:c r="D12" s="8">
        <ns0:f>'销售费用'!D12+'管理费用'!D12+'蓝恐龙费用'!D12</ns0:f>
        <ns0:v>2838.72</ns0:v>
      </ns0:c>
      <ns0:c r="E12" s="8">
        <ns0:f>'销售费用'!E12+'管理费用'!E12+'蓝恐龙费用'!E12</ns0:f>
        <ns0:v>2739.76</ns0:v>
      </ns0:c>
      <ns0:c r="F12" s="8">
        <ns0:f>'销售费用'!F12+'管理费用'!F12+'蓝恐龙费用'!F12</ns0:f>
        <ns0:v>2834.70</ns0:v>
      </ns0:c>
      <ns0:c r="G12" s="8">
        <ns0:f>'销售费用'!G12+'管理费用'!G12+'蓝恐龙费用'!G12</ns0:f>
        <ns0:v>3043.63</ns0:v>
      </ns0:c>
      <ns0:c r="H12" s="8">
        <ns0:f>'销售费用'!H12+'管理费用'!H12+'蓝恐龙费用'!H12</ns0:f>
        <ns0:v>3065.21</ns0:v>
      </ns0:c>
      <ns0:c r="I12" s="8">
        <ns0:f>'销售费用'!I12+'管理费用'!I12+'蓝恐龙费用'!I12</ns0:f>
        <ns0:v>0.00</ns0:v>
      </ns0:c>
      <ns0:c r="J12" s="8">
        <ns0:f>'销售费用'!J12+'管理费用'!J12+'蓝恐龙费用'!J12</ns0:f>
        <ns0:v>0.00</ns0:v>
      </ns0:c>
      <ns0:c r="K12" s="8">
        <ns0:f>'销售费用'!K12+'管理费用'!K12+'蓝恐龙费用'!K12</ns0:f>
        <ns0:v>0.00</ns0:v>
      </ns0:c>
      <ns0:c r="L12" s="8">
        <ns0:f>'销售费用'!L12+'管理费用'!L12+'蓝恐龙费用'!L12</ns0:f>
        <ns0:v>0.00</ns0:v>
      </ns0:c>
      <ns0:c r="M12" s="8">
        <ns0:f>'销售费用'!M12+'管理费用'!M12+'蓝恐龙费用'!M12</ns0:f>
        <ns0:v>0.00</ns0:v>
      </ns0:c>
      <ns0:c r="N12" s="8">
        <ns0:f>'销售费用'!N12+'管理费用'!N12+'蓝恐龙费用'!N12</ns0:f>
        <ns0:v>0.00</ns0:v>
      </ns0:c>
      <ns0:c r="O12" s="8">
        <ns0:f>SUM(C12:N12)</ns0:f>
        <ns0:v>17373.40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'销售费用'!C13+'管理费用'!C13+'蓝恐龙费用'!C13</ns0:f>
        <ns0:v>3689.39</ns0:v>
      </ns0:c>
      <ns0:c r="D13" s="8">
        <ns0:f>'销售费用'!D13+'管理费用'!D13+'蓝恐龙费用'!D13</ns0:f>
        <ns0:v>3694.35</ns0:v>
      </ns0:c>
      <ns0:c r="E13" s="8">
        <ns0:f>'销售费用'!E13+'管理费用'!E13+'蓝恐龙费用'!E13</ns0:f>
        <ns0:v>3907.54</ns0:v>
      </ns0:c>
      <ns0:c r="F13" s="8">
        <ns0:f>'销售费用'!F13+'管理费用'!F13+'蓝恐龙费用'!F13</ns0:f>
        <ns0:v>3623.75</ns0:v>
      </ns0:c>
      <ns0:c r="G13" s="8">
        <ns0:f>'销售费用'!G13+'管理费用'!G13+'蓝恐龙费用'!G13</ns0:f>
        <ns0:v>3724.26</ns0:v>
      </ns0:c>
      <ns0:c r="H13" s="8">
        <ns0:f>'销售费用'!H13+'管理费用'!H13+'蓝恐龙费用'!H13</ns0:f>
        <ns0:v>3627.71</ns0:v>
      </ns0:c>
      <ns0:c r="I13" s="8">
        <ns0:f>'销售费用'!I13+'管理费用'!I13+'蓝恐龙费用'!I13</ns0:f>
        <ns0:v>0.00</ns0:v>
      </ns0:c>
      <ns0:c r="J13" s="8">
        <ns0:f>'销售费用'!J13+'管理费用'!J13+'蓝恐龙费用'!J13</ns0:f>
        <ns0:v>0.00</ns0:v>
      </ns0:c>
      <ns0:c r="K13" s="8">
        <ns0:f>'销售费用'!K13+'管理费用'!K13+'蓝恐龙费用'!K13</ns0:f>
        <ns0:v>0.00</ns0:v>
      </ns0:c>
      <ns0:c r="L13" s="8">
        <ns0:f>'销售费用'!L13+'管理费用'!L13+'蓝恐龙费用'!L13</ns0:f>
        <ns0:v>0.00</ns0:v>
      </ns0:c>
      <ns0:c r="M13" s="8">
        <ns0:f>'销售费用'!M13+'管理费用'!M13+'蓝恐龙费用'!M13</ns0:f>
        <ns0:v>0.00</ns0:v>
      </ns0:c>
      <ns0:c r="N13" s="8">
        <ns0:f>'销售费用'!N13+'管理费用'!N13+'蓝恐龙费用'!N13</ns0:f>
        <ns0:v>0.00</ns0:v>
      </ns0:c>
      <ns0:c r="O13" s="8">
        <ns0:f>SUM(C13:N13)</ns0:f>
        <ns0:v>22267.00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'销售费用'!C14+'管理费用'!C14+'蓝恐龙费用'!C14</ns0:f>
        <ns0:v>4566.03</ns0:v>
      </ns0:c>
      <ns0:c r="D14" s="8">
        <ns0:f>'销售费用'!D14+'管理费用'!D14+'蓝恐龙费用'!D14</ns0:f>
        <ns0:v>4543.14</ns0:v>
      </ns0:c>
      <ns0:c r="E14" s="8">
        <ns0:f>'销售费用'!E14+'管理费用'!E14+'蓝恐龙费用'!E14</ns0:f>
        <ns0:v>4206.02</ns0:v>
      </ns0:c>
      <ns0:c r="F14" s="8">
        <ns0:f>'销售费用'!F14+'管理费用'!F14+'蓝恐龙费用'!F14</ns0:f>
        <ns0:v>4583.36</ns0:v>
      </ns0:c>
      <ns0:c r="G14" s="8">
        <ns0:f>'销售费用'!G14+'管理费用'!G14+'蓝恐龙费用'!G14</ns0:f>
        <ns0:v>4467.96</ns0:v>
      </ns0:c>
      <ns0:c r="H14" s="8">
        <ns0:f>'销售费用'!H14+'管理费用'!H14+'蓝恐龙费用'!H14</ns0:f>
        <ns0:v>4520.33</ns0:v>
      </ns0:c>
      <ns0:c r="I14" s="8">
        <ns0:f>'销售费用'!I14+'管理费用'!I14+'蓝恐龙费用'!I14</ns0:f>
        <ns0:v>0.00</ns0:v>
      </ns0:c>
      <ns0:c r="J14" s="8">
        <ns0:f>'销售费用'!J14+'管理费用'!J14+'蓝恐龙费用'!J14</ns0:f>
        <ns0:v>0.00</ns0:v>
      </ns0:c>
      <ns0:c r="K14" s="8">
        <ns0:f>'销售费用'!K14+'管理费用'!K14+'蓝恐龙费用'!K14</ns0:f>
        <ns0:v>0.00</ns0:v>
      </ns0:c>
      <ns0:c r="L14" s="8">
        <ns0:f>'销售费用'!L14+'管理费用'!L14+'蓝恐龙费用'!L14</ns0:f>
        <ns0:v>0.00</ns0:v>
      </ns0:c>
      <ns0:c r="M14" s="8">
        <ns0:f>'销售费用'!M14+'管理费用'!M14+'蓝恐龙费用'!M14</ns0:f>
        <ns0:v>0.00</ns0:v>
      </ns0:c>
      <ns0:c r="N14" s="8">
        <ns0:f>'销售费用'!N14+'管理费用'!N14+'蓝恐龙费用'!N14</ns0:f>
        <ns0:v>0.00</ns0:v>
      </ns0:c>
      <ns0:c r="O14" s="8">
        <ns0:f>SUM(C14:N14)</ns0:f>
        <ns0:v>26886.84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'销售费用'!C15+'管理费用'!C15+'蓝恐龙费用'!C15</ns0:f>
        <ns0:v>2653.07</ns0:v>
      </ns0:c>
      <ns0:c r="D15" s="8">
        <ns0:f>'销售费用'!D15+'管理费用'!D15+'蓝恐龙费用'!D15</ns0:f>
        <ns0:v>2412.15</ns0:v>
      </ns0:c>
      <ns0:c r="E15" s="8">
        <ns0:f>'销售费用'!E15+'管理费用'!E15+'蓝恐龙费用'!E15</ns0:f>
        <ns0:v>2508.80</ns0:v>
      </ns0:c>
      <ns0:c r="F15" s="8">
        <ns0:f>'销售费用'!F15+'管理费用'!F15+'蓝恐龙费用'!F15</ns0:f>
        <ns0:v>2377.78</ns0:v>
      </ns0:c>
      <ns0:c r="G15" s="8">
        <ns0:f>'销售费用'!G15+'管理费用'!G15+'蓝恐龙费用'!G15</ns0:f>
        <ns0:v>2512.90</ns0:v>
      </ns0:c>
      <ns0:c r="H15" s="8">
        <ns0:f>'销售费用'!H15+'管理费用'!H15+'蓝恐龙费用'!H15</ns0:f>
        <ns0:v>2479.73</ns0:v>
      </ns0:c>
      <ns0:c r="I15" s="8">
        <ns0:f>'销售费用'!I15+'管理费用'!I15+'蓝恐龙费用'!I15</ns0:f>
        <ns0:v>0.00</ns0:v>
      </ns0:c>
      <ns0:c r="J15" s="8">
        <ns0:f>'销售费用'!J15+'管理费用'!J15+'蓝恐龙费用'!J15</ns0:f>
        <ns0:v>0.00</ns0:v>
      </ns0:c>
      <ns0:c r="K15" s="8">
        <ns0:f>'销售费用'!K15+'管理费用'!K15+'蓝恐龙费用'!K15</ns0:f>
        <ns0:v>0.00</ns0:v>
      </ns0:c>
      <ns0:c r="L15" s="8">
        <ns0:f>'销售费用'!L15+'管理费用'!L15+'蓝恐龙费用'!L15</ns0:f>
        <ns0:v>0.00</ns0:v>
      </ns0:c>
      <ns0:c r="M15" s="8">
        <ns0:f>'销售费用'!M15+'管理费用'!M15+'蓝恐龙费用'!M15</ns0:f>
        <ns0:v>0.00</ns0:v>
      </ns0:c>
      <ns0:c r="N15" s="8">
        <ns0:f>'销售费用'!N15+'管理费用'!N15+'蓝恐龙费用'!N15</ns0:f>
        <ns0:v>0.00</ns0:v>
      </ns0:c>
      <ns0:c r="O15" s="8">
        <ns0:f>SUM(C15:N15)</ns0:f>
        <ns0:v>14944.43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'销售费用'!C16+'管理费用'!C16+'蓝恐龙费用'!C16</ns0:f>
        <ns0:v>5137.15</ns0:v>
      </ns0:c>
      <ns0:c r="D16" s="8">
        <ns0:f>'销售费用'!D16+'管理费用'!D16+'蓝恐龙费用'!D16</ns0:f>
        <ns0:v>4714.64</ns0:v>
      </ns0:c>
      <ns0:c r="E16" s="8">
        <ns0:f>'销售费用'!E16+'管理费用'!E16+'蓝恐龙费用'!E16</ns0:f>
        <ns0:v>4979.35</ns0:v>
      </ns0:c>
      <ns0:c r="F16" s="8">
        <ns0:f>'销售费用'!F16+'管理费用'!F16+'蓝恐龙费用'!F16</ns0:f>
        <ns0:v>5264.14</ns0:v>
      </ns0:c>
      <ns0:c r="G16" s="8">
        <ns0:f>'销售费用'!G16+'管理费用'!G16+'蓝恐龙费用'!G16</ns0:f>
        <ns0:v>5469.68</ns0:v>
      </ns0:c>
      <ns0:c r="H16" s="8">
        <ns0:f>'销售费用'!H16+'管理费用'!H16+'蓝恐龙费用'!H16</ns0:f>
        <ns0:v>5125.47</ns0:v>
      </ns0:c>
      <ns0:c r="I16" s="8">
        <ns0:f>'销售费用'!I16+'管理费用'!I16+'蓝恐龙费用'!I16</ns0:f>
        <ns0:v>0.00</ns0:v>
      </ns0:c>
      <ns0:c r="J16" s="8">
        <ns0:f>'销售费用'!J16+'管理费用'!J16+'蓝恐龙费用'!J16</ns0:f>
        <ns0:v>0.00</ns0:v>
      </ns0:c>
      <ns0:c r="K16" s="8">
        <ns0:f>'销售费用'!K16+'管理费用'!K16+'蓝恐龙费用'!K16</ns0:f>
        <ns0:v>0.00</ns0:v>
      </ns0:c>
      <ns0:c r="L16" s="8">
        <ns0:f>'销售费用'!L16+'管理费用'!L16+'蓝恐龙费用'!L16</ns0:f>
        <ns0:v>0.00</ns0:v>
      </ns0:c>
      <ns0:c r="M16" s="8">
        <ns0:f>'销售费用'!M16+'管理费用'!M16+'蓝恐龙费用'!M16</ns0:f>
        <ns0:v>0.00</ns0:v>
      </ns0:c>
      <ns0:c r="N16" s="8">
        <ns0:f>'销售费用'!N16+'管理费用'!N16+'蓝恐龙费用'!N16</ns0:f>
        <ns0:v>0.00</ns0:v>
      </ns0:c>
      <ns0:c r="O16" s="8">
        <ns0:f>SUM(C16:N16)</ns0:f>
        <ns0:v>30690.43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'销售费用'!C17+'管理费用'!C17+'蓝恐龙费用'!C17</ns0:f>
        <ns0:v>4494.00</ns0:v>
      </ns0:c>
      <ns0:c r="D17" s="8">
        <ns0:f>'销售费用'!D17+'管理费用'!D17+'蓝恐龙费用'!D17</ns0:f>
        <ns0:v>4346.54</ns0:v>
      </ns0:c>
      <ns0:c r="E17" s="8">
        <ns0:f>'销售费用'!E17+'管理费用'!E17+'蓝恐龙费用'!E17</ns0:f>
        <ns0:v>4357.66</ns0:v>
      </ns0:c>
      <ns0:c r="F17" s="8">
        <ns0:f>'销售费用'!F17+'管理费用'!F17+'蓝恐龙费用'!F17</ns0:f>
        <ns0:v>3943.87</ns0:v>
      </ns0:c>
      <ns0:c r="G17" s="8">
        <ns0:f>'销售费用'!G17+'管理费用'!G17+'蓝恐龙费用'!G17</ns0:f>
        <ns0:v>4269.34</ns0:v>
      </ns0:c>
      <ns0:c r="H17" s="8">
        <ns0:f>'销售费用'!H17+'管理费用'!H17+'蓝恐龙费用'!H17</ns0:f>
        <ns0:v>4221.37</ns0:v>
      </ns0:c>
      <ns0:c r="I17" s="8">
        <ns0:f>'销售费用'!I17+'管理费用'!I17+'蓝恐龙费用'!I17</ns0:f>
        <ns0:v>0.00</ns0:v>
      </ns0:c>
      <ns0:c r="J17" s="8">
        <ns0:f>'销售费用'!J17+'管理费用'!J17+'蓝恐龙费用'!J17</ns0:f>
        <ns0:v>0.00</ns0:v>
      </ns0:c>
      <ns0:c r="K17" s="8">
        <ns0:f>'销售费用'!K17+'管理费用'!K17+'蓝恐龙费用'!K17</ns0:f>
        <ns0:v>0.00</ns0:v>
      </ns0:c>
      <ns0:c r="L17" s="8">
        <ns0:f>'销售费用'!L17+'管理费用'!L17+'蓝恐龙费用'!L17</ns0:f>
        <ns0:v>0.00</ns0:v>
      </ns0:c>
      <ns0:c r="M17" s="8">
        <ns0:f>'销售费用'!M17+'管理费用'!M17+'蓝恐龙费用'!M17</ns0:f>
        <ns0:v>0.00</ns0:v>
      </ns0:c>
      <ns0:c r="N17" s="8">
        <ns0:f>'销售费用'!N17+'管理费用'!N17+'蓝恐龙费用'!N17</ns0:f>
        <ns0:v>0.00</ns0:v>
      </ns0:c>
      <ns0:c r="O17" s="8">
        <ns0:f>SUM(C17:N17)</ns0:f>
        <ns0:v>25632.78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'销售费用'!C18+'管理费用'!C18+'蓝恐龙费用'!C18</ns0:f>
        <ns0:v>1995.72</ns0:v>
      </ns0:c>
      <ns0:c r="D18" s="8">
        <ns0:f>'销售费用'!D18+'管理费用'!D18+'蓝恐龙费用'!D18</ns0:f>
        <ns0:v>1905.04</ns0:v>
      </ns0:c>
      <ns0:c r="E18" s="8">
        <ns0:f>'销售费用'!E18+'管理费用'!E18+'蓝恐龙费用'!E18</ns0:f>
        <ns0:v>1804.72</ns0:v>
      </ns0:c>
      <ns0:c r="F18" s="8">
        <ns0:f>'销售费用'!F18+'管理费用'!F18+'蓝恐龙费用'!F18</ns0:f>
        <ns0:v>1825.01</ns0:v>
      </ns0:c>
      <ns0:c r="G18" s="8">
        <ns0:f>'销售费用'!G18+'管理费用'!G18+'蓝恐龙费用'!G18</ns0:f>
        <ns0:v>1951.16</ns0:v>
      </ns0:c>
      <ns0:c r="H18" s="8">
        <ns0:f>'销售费用'!H18+'管理费用'!H18+'蓝恐龙费用'!H18</ns0:f>
        <ns0:v>1919.46</ns0:v>
      </ns0:c>
      <ns0:c r="I18" s="8">
        <ns0:f>'销售费用'!I18+'管理费用'!I18+'蓝恐龙费用'!I18</ns0:f>
        <ns0:v>0.00</ns0:v>
      </ns0:c>
      <ns0:c r="J18" s="8">
        <ns0:f>'销售费用'!J18+'管理费用'!J18+'蓝恐龙费用'!J18</ns0:f>
        <ns0:v>0.00</ns0:v>
      </ns0:c>
      <ns0:c r="K18" s="8">
        <ns0:f>'销售费用'!K18+'管理费用'!K18+'蓝恐龙费用'!K18</ns0:f>
        <ns0:v>0.00</ns0:v>
      </ns0:c>
      <ns0:c r="L18" s="8">
        <ns0:f>'销售费用'!L18+'管理费用'!L18+'蓝恐龙费用'!L18</ns0:f>
        <ns0:v>0.00</ns0:v>
      </ns0:c>
      <ns0:c r="M18" s="8">
        <ns0:f>'销售费用'!M18+'管理费用'!M18+'蓝恐龙费用'!M18</ns0:f>
        <ns0:v>0.00</ns0:v>
      </ns0:c>
      <ns0:c r="N18" s="8">
        <ns0:f>'销售费用'!N18+'管理费用'!N18+'蓝恐龙费用'!N18</ns0:f>
        <ns0:v>0.00</ns0:v>
      </ns0:c>
      <ns0:c r="O18" s="8">
        <ns0:f>SUM(C18:N18)</ns0:f>
        <ns0:v>11401.11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'销售费用'!C19+'管理费用'!C19+'蓝恐龙费用'!C19</ns0:f>
        <ns0:v>984.40</ns0:v>
      </ns0:c>
      <ns0:c r="D19" s="8">
        <ns0:f>'销售费用'!D19+'管理费用'!D19+'蓝恐龙费用'!D19</ns0:f>
        <ns0:v>997.26</ns0:v>
      </ns0:c>
      <ns0:c r="E19" s="8">
        <ns0:f>'销售费用'!E19+'管理费用'!E19+'蓝恐龙费用'!E19</ns0:f>
        <ns0:v>1029.82</ns0:v>
      </ns0:c>
      <ns0:c r="F19" s="8">
        <ns0:f>'销售费用'!F19+'管理费用'!F19+'蓝恐龙费用'!F19</ns0:f>
        <ns0:v>1064.83</ns0:v>
      </ns0:c>
      <ns0:c r="G19" s="8">
        <ns0:f>'销售费用'!G19+'管理费用'!G19+'蓝恐龙费用'!G19</ns0:f>
        <ns0:v>1067.31</ns0:v>
      </ns0:c>
      <ns0:c r="H19" s="8">
        <ns0:f>'销售费用'!H19+'管理费用'!H19+'蓝恐龙费用'!H19</ns0:f>
        <ns0:v>1018.46</ns0:v>
      </ns0:c>
      <ns0:c r="I19" s="8">
        <ns0:f>'销售费用'!I19+'管理费用'!I19+'蓝恐龙费用'!I19</ns0:f>
        <ns0:v>0.00</ns0:v>
      </ns0:c>
      <ns0:c r="J19" s="8">
        <ns0:f>'销售费用'!J19+'管理费用'!J19+'蓝恐龙费用'!J19</ns0:f>
        <ns0:v>0.00</ns0:v>
      </ns0:c>
      <ns0:c r="K19" s="8">
        <ns0:f>'销售费用'!K19+'管理费用'!K19+'蓝恐龙费用'!K19</ns0:f>
        <ns0:v>0.00</ns0:v>
      </ns0:c>
      <ns0:c r="L19" s="8">
        <ns0:f>'销售费用'!L19+'管理费用'!L19+'蓝恐龙费用'!L19</ns0:f>
        <ns0:v>0.00</ns0:v>
      </ns0:c>
      <ns0:c r="M19" s="8">
        <ns0:f>'销售费用'!M19+'管理费用'!M19+'蓝恐龙费用'!M19</ns0:f>
        <ns0:v>0.00</ns0:v>
      </ns0:c>
      <ns0:c r="N19" s="8">
        <ns0:f>'销售费用'!N19+'管理费用'!N19+'蓝恐龙费用'!N19</ns0:f>
        <ns0:v>0.00</ns0:v>
      </ns0:c>
      <ns0:c r="O19" s="8">
        <ns0:f>SUM(C19:N19)</ns0:f>
        <ns0:v>6162.08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'销售费用'!C20+'管理费用'!C20+'蓝恐龙费用'!C20</ns0:f>
        <ns0:v>2100.00</ns0:v>
      </ns0:c>
      <ns0:c r="D20" s="8">
        <ns0:f>'销售费用'!D20+'管理费用'!D20+'蓝恐龙费用'!D20</ns0:f>
        <ns0:v>2100.00</ns0:v>
      </ns0:c>
      <ns0:c r="E20" s="8">
        <ns0:f>'销售费用'!E20+'管理费用'!E20+'蓝恐龙费用'!E20</ns0:f>
        <ns0:v>2100.00</ns0:v>
      </ns0:c>
      <ns0:c r="F20" s="8">
        <ns0:f>'销售费用'!F20+'管理费用'!F20+'蓝恐龙费用'!F20</ns0:f>
        <ns0:v>2100.00</ns0:v>
      </ns0:c>
      <ns0:c r="G20" s="8">
        <ns0:f>'销售费用'!G20+'管理费用'!G20+'蓝恐龙费用'!G20</ns0:f>
        <ns0:v>2100.00</ns0:v>
      </ns0:c>
      <ns0:c r="H20" s="8">
        <ns0:f>'销售费用'!H20+'管理费用'!H20+'蓝恐龙费用'!H20</ns0:f>
        <ns0:v>2100.00</ns0:v>
      </ns0:c>
      <ns0:c r="I20" s="8">
        <ns0:f>'销售费用'!I20+'管理费用'!I20+'蓝恐龙费用'!I20</ns0:f>
        <ns0:v>2100.00</ns0:v>
      </ns0:c>
      <ns0:c r="J20" s="8">
        <ns0:f>'销售费用'!J20+'管理费用'!J20+'蓝恐龙费用'!J20</ns0:f>
        <ns0:v>2100.00</ns0:v>
      </ns0:c>
      <ns0:c r="K20" s="8">
        <ns0:f>'销售费用'!K20+'管理费用'!K20+'蓝恐龙费用'!K20</ns0:f>
        <ns0:v>2100.00</ns0:v>
      </ns0:c>
      <ns0:c r="L20" s="8">
        <ns0:f>'销售费用'!L20+'管理费用'!L20+'蓝恐龙费用'!L20</ns0:f>
        <ns0:v>2100.00</ns0:v>
      </ns0:c>
      <ns0:c r="M20" s="8">
        <ns0:f>'销售费用'!M20+'管理费用'!M20+'蓝恐龙费用'!M20</ns0:f>
        <ns0:v>2100.00</ns0:v>
      </ns0:c>
      <ns0:c r="N20" s="8">
        <ns0:f>'销售费用'!N20+'管理费用'!N20+'蓝恐龙费用'!N20</ns0:f>
        <ns0:v>2100.00</ns0:v>
      </ns0:c>
      <ns0:c r="O20" s="8">
        <ns0:f>SUM(C20:N20)</ns0:f>
        <ns0:v>25200.00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'销售费用'!C21+'管理费用'!C21+'蓝恐龙费用'!C21</ns0:f>
        <ns0:v>3718.52</ns0:v>
      </ns0:c>
      <ns0:c r="D21" s="8">
        <ns0:f>'销售费用'!D21+'管理费用'!D21+'蓝恐龙费用'!D21</ns0:f>
        <ns0:v>3832.40</ns0:v>
      </ns0:c>
      <ns0:c r="E21" s="8">
        <ns0:f>'销售费用'!E21+'管理费用'!E21+'蓝恐龙费用'!E21</ns0:f>
        <ns0:v>3713.74</ns0:v>
      </ns0:c>
      <ns0:c r="F21" s="8">
        <ns0:f>'销售费用'!F21+'管理费用'!F21+'蓝恐龙费用'!F21</ns0:f>
        <ns0:v>3586.63</ns0:v>
      </ns0:c>
      <ns0:c r="G21" s="8">
        <ns0:f>'销售费用'!G21+'管理费用'!G21+'蓝恐龙费用'!G21</ns0:f>
        <ns0:v>3530.92</ns0:v>
      </ns0:c>
      <ns0:c r="H21" s="8">
        <ns0:f>'销售费用'!H21+'管理费用'!H21+'蓝恐龙费用'!H21</ns0:f>
        <ns0:v>3748.44</ns0:v>
      </ns0:c>
      <ns0:c r="I21" s="8">
        <ns0:f>'销售费用'!I21+'管理费用'!I21+'蓝恐龙费用'!I21</ns0:f>
        <ns0:v>0.00</ns0:v>
      </ns0:c>
      <ns0:c r="J21" s="8">
        <ns0:f>'销售费用'!J21+'管理费用'!J21+'蓝恐龙费用'!J21</ns0:f>
        <ns0:v>0.00</ns0:v>
      </ns0:c>
      <ns0:c r="K21" s="8">
        <ns0:f>'销售费用'!K21+'管理费用'!K21+'蓝恐龙费用'!K21</ns0:f>
        <ns0:v>0.00</ns0:v>
      </ns0:c>
      <ns0:c r="L21" s="8">
        <ns0:f>'销售费用'!L21+'管理费用'!L21+'蓝恐龙费用'!L21</ns0:f>
        <ns0:v>0.00</ns0:v>
      </ns0:c>
      <ns0:c r="M21" s="8">
        <ns0:f>'销售费用'!M21+'管理费用'!M21+'蓝恐龙费用'!M21</ns0:f>
        <ns0:v>0.00</ns0:v>
      </ns0:c>
      <ns0:c r="N21" s="8">
        <ns0:f>'销售费用'!N21+'管理费用'!N21+'蓝恐龙费用'!N21</ns0:f>
        <ns0:v>0.00</ns0:v>
      </ns0:c>
      <ns0:c r="O21" s="8">
        <ns0:f>SUM(C21:N21)</ns0:f>
        <ns0:v>22130.65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'销售费用'!C22+'管理费用'!C22+'蓝恐龙费用'!C22</ns0:f>
        <ns0:v>2616.59</ns0:v>
      </ns0:c>
      <ns0:c r="D22" s="8">
        <ns0:f>'销售费用'!D22+'管理费用'!D22+'蓝恐龙费用'!D22</ns0:f>
        <ns0:v>2817.73</ns0:v>
      </ns0:c>
      <ns0:c r="E22" s="8">
        <ns0:f>'销售费用'!E22+'管理费用'!E22+'蓝恐龙费用'!E22</ns0:f>
        <ns0:v>2706.85</ns0:v>
      </ns0:c>
      <ns0:c r="F22" s="8">
        <ns0:f>'销售费用'!F22+'管理费用'!F22+'蓝恐龙费用'!F22</ns0:f>
        <ns0:v>2801.80</ns0:v>
      </ns0:c>
      <ns0:c r="G22" s="8">
        <ns0:f>'销售费用'!G22+'管理费用'!G22+'蓝恐龙费用'!G22</ns0:f>
        <ns0:v>2606.88</ns0:v>
      </ns0:c>
      <ns0:c r="H22" s="8">
        <ns0:f>'销售费用'!H22+'管理费用'!H22+'蓝恐龙费用'!H22</ns0:f>
        <ns0:v>2628.06</ns0:v>
      </ns0:c>
      <ns0:c r="I22" s="8">
        <ns0:f>'销售费用'!I22+'管理费用'!I22+'蓝恐龙费用'!I22</ns0:f>
        <ns0:v>0.00</ns0:v>
      </ns0:c>
      <ns0:c r="J22" s="8">
        <ns0:f>'销售费用'!J22+'管理费用'!J22+'蓝恐龙费用'!J22</ns0:f>
        <ns0:v>0.00</ns0:v>
      </ns0:c>
      <ns0:c r="K22" s="8">
        <ns0:f>'销售费用'!K22+'管理费用'!K22+'蓝恐龙费用'!K22</ns0:f>
        <ns0:v>0.00</ns0:v>
      </ns0:c>
      <ns0:c r="L22" s="8">
        <ns0:f>'销售费用'!L22+'管理费用'!L22+'蓝恐龙费用'!L22</ns0:f>
        <ns0:v>0.00</ns0:v>
      </ns0:c>
      <ns0:c r="M22" s="8">
        <ns0:f>'销售费用'!M22+'管理费用'!M22+'蓝恐龙费用'!M22</ns0:f>
        <ns0:v>0.00</ns0:v>
      </ns0:c>
      <ns0:c r="N22" s="8">
        <ns0:f>'销售费用'!N22+'管理费用'!N22+'蓝恐龙费用'!N22</ns0:f>
        <ns0:v>0.00</ns0:v>
      </ns0:c>
      <ns0:c r="O22" s="8">
        <ns0:f>SUM(C22:N22)</ns0:f>
        <ns0:v>16177.91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'销售费用'!C23+'管理费用'!C23+'蓝恐龙费用'!C23</ns0:f>
        <ns0:v>1450.10</ns0:v>
      </ns0:c>
      <ns0:c r="D23" s="8">
        <ns0:f>'销售费用'!D23+'管理费用'!D23+'蓝恐龙费用'!D23</ns0:f>
        <ns0:v>1530.06</ns0:v>
      </ns0:c>
      <ns0:c r="E23" s="8">
        <ns0:f>'销售费用'!E23+'管理费用'!E23+'蓝恐龙费用'!E23</ns0:f>
        <ns0:v>1543.55</ns0:v>
      </ns0:c>
      <ns0:c r="F23" s="8">
        <ns0:f>'销售费用'!F23+'管理费用'!F23+'蓝恐龙费用'!F23</ns0:f>
        <ns0:v>1336.25</ns0:v>
      </ns0:c>
      <ns0:c r="G23" s="8">
        <ns0:f>'销售费用'!G23+'管理费用'!G23+'蓝恐龙费用'!G23</ns0:f>
        <ns0:v>1432.94</ns0:v>
      </ns0:c>
      <ns0:c r="H23" s="8">
        <ns0:f>'销售费用'!H23+'管理费用'!H23+'蓝恐龙费用'!H23</ns0:f>
        <ns0:v>1361.20</ns0:v>
      </ns0:c>
      <ns0:c r="I23" s="8">
        <ns0:f>'销售费用'!I23+'管理费用'!I23+'蓝恐龙费用'!I23</ns0:f>
        <ns0:v>0.00</ns0:v>
      </ns0:c>
      <ns0:c r="J23" s="8">
        <ns0:f>'销售费用'!J23+'管理费用'!J23+'蓝恐龙费用'!J23</ns0:f>
        <ns0:v>0.00</ns0:v>
      </ns0:c>
      <ns0:c r="K23" s="8">
        <ns0:f>'销售费用'!K23+'管理费用'!K23+'蓝恐龙费用'!K23</ns0:f>
        <ns0:v>0.00</ns0:v>
      </ns0:c>
      <ns0:c r="L23" s="8">
        <ns0:f>'销售费用'!L23+'管理费用'!L23+'蓝恐龙费用'!L23</ns0:f>
        <ns0:v>0.00</ns0:v>
      </ns0:c>
      <ns0:c r="M23" s="8">
        <ns0:f>'销售费用'!M23+'管理费用'!M23+'蓝恐龙费用'!M23</ns0:f>
        <ns0:v>0.00</ns0:v>
      </ns0:c>
      <ns0:c r="N23" s="8">
        <ns0:f>'销售费用'!N23+'管理费用'!N23+'蓝恐龙费用'!N23</ns0:f>
        <ns0:v>0.00</ns0:v>
      </ns0:c>
      <ns0:c r="O23" s="8">
        <ns0:f>SUM(C23:N23)</ns0:f>
        <ns0:v>8654.10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'销售费用'!C24+'管理费用'!C24+'蓝恐龙费用'!C24</ns0:f>
        <ns0:v>1076.58</ns0:v>
      </ns0:c>
      <ns0:c r="D24" s="8">
        <ns0:f>'销售费用'!D24+'管理费用'!D24+'蓝恐龙费用'!D24</ns0:f>
        <ns0:v>1107.42</ns0:v>
      </ns0:c>
      <ns0:c r="E24" s="8">
        <ns0:f>'销售费用'!E24+'管理费用'!E24+'蓝恐龙费用'!E24</ns0:f>
        <ns0:v>1188.41</ns0:v>
      </ns0:c>
      <ns0:c r="F24" s="8">
        <ns0:f>'销售费用'!F24+'管理费用'!F24+'蓝恐龙费用'!F24</ns0:f>
        <ns0:v>1216.27</ns0:v>
      </ns0:c>
      <ns0:c r="G24" s="8">
        <ns0:f>'销售费用'!G24+'管理费用'!G24+'蓝恐龙费用'!G24</ns0:f>
        <ns0:v>1063.98</ns0:v>
      </ns0:c>
      <ns0:c r="H24" s="8">
        <ns0:f>'销售费用'!H24+'管理费用'!H24+'蓝恐龙费用'!H24</ns0:f>
        <ns0:v>1116.07</ns0:v>
      </ns0:c>
      <ns0:c r="I24" s="8">
        <ns0:f>'销售费用'!I24+'管理费用'!I24+'蓝恐龙费用'!I24</ns0:f>
        <ns0:v>0.00</ns0:v>
      </ns0:c>
      <ns0:c r="J24" s="8">
        <ns0:f>'销售费用'!J24+'管理费用'!J24+'蓝恐龙费用'!J24</ns0:f>
        <ns0:v>0.00</ns0:v>
      </ns0:c>
      <ns0:c r="K24" s="8">
        <ns0:f>'销售费用'!K24+'管理费用'!K24+'蓝恐龙费用'!K24</ns0:f>
        <ns0:v>0.00</ns0:v>
      </ns0:c>
      <ns0:c r="L24" s="8">
        <ns0:f>'销售费用'!L24+'管理费用'!L24+'蓝恐龙费用'!L24</ns0:f>
        <ns0:v>0.00</ns0:v>
      </ns0:c>
      <ns0:c r="M24" s="8">
        <ns0:f>'销售费用'!M24+'管理费用'!M24+'蓝恐龙费用'!M24</ns0:f>
        <ns0:v>0.00</ns0:v>
      </ns0:c>
      <ns0:c r="N24" s="8">
        <ns0:f>'销售费用'!N24+'管理费用'!N24+'蓝恐龙费用'!N24</ns0:f>
        <ns0:v>0.00</ns0:v>
      </ns0:c>
      <ns0:c r="O24" s="8">
        <ns0:f>SUM(C24:N24)</ns0:f>
        <ns0:v>6768.73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'销售费用'!C25+'管理费用'!C25+'蓝恐龙费用'!C25</ns0:f>
        <ns0:v>2460.92</ns0:v>
      </ns0:c>
      <ns0:c r="D25" s="8">
        <ns0:f>'销售费用'!D25+'管理费用'!D25+'蓝恐龙费用'!D25</ns0:f>
        <ns0:v>2759.08</ns0:v>
      </ns0:c>
      <ns0:c r="E25" s="8">
        <ns0:f>'销售费用'!E25+'管理费用'!E25+'蓝恐龙费用'!E25</ns0:f>
        <ns0:v>2691.47</ns0:v>
      </ns0:c>
      <ns0:c r="F25" s="8">
        <ns0:f>'销售费用'!F25+'管理费用'!F25+'蓝恐龙费用'!F25</ns0:f>
        <ns0:v>2587.61</ns0:v>
      </ns0:c>
      <ns0:c r="G25" s="8">
        <ns0:f>'销售费用'!G25+'管理费用'!G25+'蓝恐龙费用'!G25</ns0:f>
        <ns0:v>2616.63</ns0:v>
      </ns0:c>
      <ns0:c r="H25" s="8">
        <ns0:f>'销售费用'!H25+'管理费用'!H25+'蓝恐龙费用'!H25</ns0:f>
        <ns0:v>2596.65</ns0:v>
      </ns0:c>
      <ns0:c r="I25" s="8">
        <ns0:f>'销售费用'!I25+'管理费用'!I25+'蓝恐龙费用'!I25</ns0:f>
        <ns0:v>0.00</ns0:v>
      </ns0:c>
      <ns0:c r="J25" s="8">
        <ns0:f>'销售费用'!J25+'管理费用'!J25+'蓝恐龙费用'!J25</ns0:f>
        <ns0:v>0.00</ns0:v>
      </ns0:c>
      <ns0:c r="K25" s="8">
        <ns0:f>'销售费用'!K25+'管理费用'!K25+'蓝恐龙费用'!K25</ns0:f>
        <ns0:v>0.00</ns0:v>
      </ns0:c>
      <ns0:c r="L25" s="8">
        <ns0:f>'销售费用'!L25+'管理费用'!L25+'蓝恐龙费用'!L25</ns0:f>
        <ns0:v>0.00</ns0:v>
      </ns0:c>
      <ns0:c r="M25" s="8">
        <ns0:f>'销售费用'!M25+'管理费用'!M25+'蓝恐龙费用'!M25</ns0:f>
        <ns0:v>0.00</ns0:v>
      </ns0:c>
      <ns0:c r="N25" s="8">
        <ns0:f>'销售费用'!N25+'管理费用'!N25+'蓝恐龙费用'!N25</ns0:f>
        <ns0:v>0.00</ns0:v>
      </ns0:c>
      <ns0:c r="O25" s="8">
        <ns0:f>SUM(C25:N25)</ns0:f>
        <ns0:v>15712.36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'销售费用'!C26+'管理费用'!C26+'蓝恐龙费用'!C26</ns0:f>
        <ns0:v>1800.73</ns0:v>
      </ns0:c>
      <ns0:c r="D26" s="8">
        <ns0:f>'销售费用'!D26+'管理费用'!D26+'蓝恐龙费用'!D26</ns0:f>
        <ns0:v>1822.26</ns0:v>
      </ns0:c>
      <ns0:c r="E26" s="8">
        <ns0:f>'销售费用'!E26+'管理费用'!E26+'蓝恐龙费用'!E26</ns0:f>
        <ns0:v>1870.06</ns0:v>
      </ns0:c>
      <ns0:c r="F26" s="8">
        <ns0:f>'销售费用'!F26+'管理费用'!F26+'蓝恐龙费用'!F26</ns0:f>
        <ns0:v>1928.81</ns0:v>
      </ns0:c>
      <ns0:c r="G26" s="8">
        <ns0:f>'销售费用'!G26+'管理费用'!G26+'蓝恐龙费用'!G26</ns0:f>
        <ns0:v>1931.57</ns0:v>
      </ns0:c>
      <ns0:c r="H26" s="8">
        <ns0:f>'销售费用'!H26+'管理费用'!H26+'蓝恐龙费用'!H26</ns0:f>
        <ns0:v>1957.54</ns0:v>
      </ns0:c>
      <ns0:c r="I26" s="8">
        <ns0:f>'销售费用'!I26+'管理费用'!I26+'蓝恐龙费用'!I26</ns0:f>
        <ns0:v>0.00</ns0:v>
      </ns0:c>
      <ns0:c r="J26" s="8">
        <ns0:f>'销售费用'!J26+'管理费用'!J26+'蓝恐龙费用'!J26</ns0:f>
        <ns0:v>0.00</ns0:v>
      </ns0:c>
      <ns0:c r="K26" s="8">
        <ns0:f>'销售费用'!K26+'管理费用'!K26+'蓝恐龙费用'!K26</ns0:f>
        <ns0:v>0.00</ns0:v>
      </ns0:c>
      <ns0:c r="L26" s="8">
        <ns0:f>'销售费用'!L26+'管理费用'!L26+'蓝恐龙费用'!L26</ns0:f>
        <ns0:v>0.00</ns0:v>
      </ns0:c>
      <ns0:c r="M26" s="8">
        <ns0:f>'销售费用'!M26+'管理费用'!M26+'蓝恐龙费用'!M26</ns0:f>
        <ns0:v>0.00</ns0:v>
      </ns0:c>
      <ns0:c r="N26" s="8">
        <ns0:f>'销售费用'!N26+'管理费用'!N26+'蓝恐龙费用'!N26</ns0:f>
        <ns0:v>0.00</ns0:v>
      </ns0:c>
      <ns0:c r="O26" s="8">
        <ns0:f>SUM(C26:N26)</ns0:f>
        <ns0:v>11310.97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'销售费用'!C27+'管理费用'!C27+'蓝恐龙费用'!C27</ns0:f>
        <ns0:v>2198.60</ns0:v>
      </ns0:c>
      <ns0:c r="D27" s="8">
        <ns0:f>'销售费用'!D27+'管理费用'!D27+'蓝恐龙费用'!D27</ns0:f>
        <ns0:v>2102.67</ns0:v>
      </ns0:c>
      <ns0:c r="E27" s="8">
        <ns0:f>'销售费用'!E27+'管理费用'!E27+'蓝恐龙费用'!E27</ns0:f>
        <ns0:v>1890.26</ns0:v>
      </ns0:c>
      <ns0:c r="F27" s="8">
        <ns0:f>'销售费用'!F27+'管理费用'!F27+'蓝恐龙费用'!F27</ns0:f>
        <ns0:v>2117.09</ns0:v>
      </ns0:c>
      <ns0:c r="G27" s="8">
        <ns0:f>'销售费用'!G27+'管理费用'!G27+'蓝恐龙费用'!G27</ns0:f>
        <ns0:v>2208.84</ns0:v>
      </ns0:c>
      <ns0:c r="H27" s="8">
        <ns0:f>'销售费用'!H27+'管理费用'!H27+'蓝恐龙费用'!H27</ns0:f>
        <ns0:v>2037.48</ns0:v>
      </ns0:c>
      <ns0:c r="I27" s="8">
        <ns0:f>'销售费用'!I27+'管理费用'!I27+'蓝恐龙费用'!I27</ns0:f>
        <ns0:v>0.00</ns0:v>
      </ns0:c>
      <ns0:c r="J27" s="8">
        <ns0:f>'销售费用'!J27+'管理费用'!J27+'蓝恐龙费用'!J27</ns0:f>
        <ns0:v>0.00</ns0:v>
      </ns0:c>
      <ns0:c r="K27" s="8">
        <ns0:f>'销售费用'!K27+'管理费用'!K27+'蓝恐龙费用'!K27</ns0:f>
        <ns0:v>0.00</ns0:v>
      </ns0:c>
      <ns0:c r="L27" s="8">
        <ns0:f>'销售费用'!L27+'管理费用'!L27+'蓝恐龙费用'!L27</ns0:f>
        <ns0:v>0.00</ns0:v>
      </ns0:c>
      <ns0:c r="M27" s="8">
        <ns0:f>'销售费用'!M27+'管理费用'!M27+'蓝恐龙费用'!M27</ns0:f>
        <ns0:v>0.00</ns0:v>
      </ns0:c>
      <ns0:c r="N27" s="8">
        <ns0:f>'销售费用'!N27+'管理费用'!N27+'蓝恐龙费用'!N27</ns0:f>
        <ns0:v>0.00</ns0:v>
      </ns0:c>
      <ns0:c r="O27" s="8">
        <ns0:f>SUM(C27:N27)</ns0:f>
        <ns0:v>12554.94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'销售费用'!C28+'管理费用'!C28+'蓝恐龙费用'!C28</ns0:f>
        <ns0:v>919.81</ns0:v>
      </ns0:c>
      <ns0:c r="D28" s="8">
        <ns0:f>'销售费用'!D28+'管理费用'!D28+'蓝恐龙费用'!D28</ns0:f>
        <ns0:v>958.23</ns0:v>
      </ns0:c>
      <ns0:c r="E28" s="8">
        <ns0:f>'销售费用'!E28+'管理费用'!E28+'蓝恐龙费用'!E28</ns0:f>
        <ns0:v>969.37</ns0:v>
      </ns0:c>
      <ns0:c r="F28" s="8">
        <ns0:f>'销售费用'!F28+'管理费用'!F28+'蓝恐龙费用'!F28</ns0:f>
        <ns0:v>1001.64</ns0:v>
      </ns0:c>
      <ns0:c r="G28" s="8">
        <ns0:f>'销售费用'!G28+'管理费用'!G28+'蓝恐龙费用'!G28</ns0:f>
        <ns0:v>886.75</ns0:v>
      </ns0:c>
      <ns0:c r="H28" s="8">
        <ns0:f>'销售费用'!H28+'管理费用'!H28+'蓝恐龙费用'!H28</ns0:f>
        <ns0:v>1005.42</ns0:v>
      </ns0:c>
      <ns0:c r="I28" s="8">
        <ns0:f>'销售费用'!I28+'管理费用'!I28+'蓝恐龙费用'!I28</ns0:f>
        <ns0:v>0.00</ns0:v>
      </ns0:c>
      <ns0:c r="J28" s="8">
        <ns0:f>'销售费用'!J28+'管理费用'!J28+'蓝恐龙费用'!J28</ns0:f>
        <ns0:v>0.00</ns0:v>
      </ns0:c>
      <ns0:c r="K28" s="8">
        <ns0:f>'销售费用'!K28+'管理费用'!K28+'蓝恐龙费用'!K28</ns0:f>
        <ns0:v>0.00</ns0:v>
      </ns0:c>
      <ns0:c r="L28" s="8">
        <ns0:f>'销售费用'!L28+'管理费用'!L28+'蓝恐龙费用'!L28</ns0:f>
        <ns0:v>0.00</ns0:v>
      </ns0:c>
      <ns0:c r="M28" s="8">
        <ns0:f>'销售费用'!M28+'管理费用'!M28+'蓝恐龙费用'!M28</ns0:f>
        <ns0:v>0.00</ns0:v>
      </ns0:c>
      <ns0:c r="N28" s="8">
        <ns0:f>'销售费用'!N28+'管理费用'!N28+'蓝恐龙费用'!N28</ns0:f>
        <ns0:v>0.00</ns0:v>
      </ns0:c>
      <ns0:c r="O28" s="8">
        <ns0:f>SUM(C28:N28)</ns0:f>
        <ns0:v>5741.22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'销售费用'!C29+'管理费用'!C29+'蓝恐龙费用'!C29</ns0:f>
        <ns0:v>0</ns0:v>
      </ns0:c>
      <ns0:c r="D29" s="8">
        <ns0:f>'销售费用'!D29+'管理费用'!D29+'蓝恐龙费用'!D29</ns0:f>
        <ns0:v>0</ns0:v>
      </ns0:c>
      <ns0:c r="E29" s="8">
        <ns0:f>'销售费用'!E29+'管理费用'!E29+'蓝恐龙费用'!E29</ns0:f>
        <ns0:v>0</ns0:v>
      </ns0:c>
      <ns0:c r="F29" s="8">
        <ns0:f>'销售费用'!F29+'管理费用'!F29+'蓝恐龙费用'!F29</ns0:f>
        <ns0:v>0</ns0:v>
      </ns0:c>
      <ns0:c r="G29" s="8">
        <ns0:f>'销售费用'!G29+'管理费用'!G29+'蓝恐龙费用'!G29</ns0:f>
        <ns0:v>0</ns0:v>
      </ns0:c>
      <ns0:c r="H29" s="8">
        <ns0:f>'销售费用'!H29+'管理费用'!H29+'蓝恐龙费用'!H29</ns0:f>
        <ns0:v>0</ns0:v>
      </ns0:c>
      <ns0:c r="I29" s="8">
        <ns0:f>'销售费用'!I29+'管理费用'!I29+'蓝恐龙费用'!I29</ns0:f>
        <ns0:v>0</ns0:v>
      </ns0:c>
      <ns0:c r="J29" s="8">
        <ns0:f>'销售费用'!J29+'管理费用'!J29+'蓝恐龙费用'!J29</ns0:f>
        <ns0:v>0</ns0:v>
      </ns0:c>
      <ns0:c r="K29" s="8">
        <ns0:f>'销售费用'!K29+'管理费用'!K29+'蓝恐龙费用'!K29</ns0:f>
        <ns0:v>0</ns0:v>
      </ns0:c>
      <ns0:c r="L29" s="8">
        <ns0:f>'销售费用'!L29+'管理费用'!L29+'蓝恐龙费用'!L29</ns0:f>
        <ns0:v>0</ns0:v>
      </ns0:c>
      <ns0:c r="M29" s="8">
        <ns0:f>'销售费用'!M29+'管理费用'!M29+'蓝恐龙费用'!M29</ns0:f>
        <ns0:v>0</ns0:v>
      </ns0:c>
      <ns0:c r="N29" s="8">
        <ns0:f>'销售费用'!N29+'管理费用'!N29+'蓝恐龙费用'!N29</ns0:f>
        <ns0:v>0</ns0:v>
      </ns0:c>
      <ns0:c r="O29" s="8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'销售费用'!C30+'管理费用'!C30+'蓝恐龙费用'!C30</ns0:f>
        <ns0:v>0.00</ns0:v>
      </ns0:c>
      <ns0:c r="D30" s="9">
        <ns0:f>'销售费用'!D30+'管理费用'!D30+'蓝恐龙费用'!D30</ns0:f>
        <ns0:v>0.00</ns0:v>
      </ns0:c>
      <ns0:c r="E30" s="9">
        <ns0:f>'销售费用'!E30+'管理费用'!E30+'蓝恐龙费用'!E30</ns0:f>
        <ns0:v>0.00</ns0:v>
      </ns0:c>
      <ns0:c r="F30" s="9">
        <ns0:f>'销售费用'!F30+'管理费用'!F30+'蓝恐龙费用'!F30</ns0:f>
        <ns0:v>0.00</ns0:v>
      </ns0:c>
      <ns0:c r="G30" s="9">
        <ns0:f>'销售费用'!G30+'管理费用'!G30+'蓝恐龙费用'!G30</ns0:f>
        <ns0:v>0.00</ns0:v>
      </ns0:c>
      <ns0:c r="H30" s="9">
        <ns0:f>'销售费用'!H30+'管理费用'!H30+'蓝恐龙费用'!H30</ns0:f>
        <ns0:v>0.00</ns0:v>
      </ns0:c>
      <ns0:c r="I30" s="9">
        <ns0:f>'销售费用'!I30+'管理费用'!I30+'蓝恐龙费用'!I30</ns0:f>
        <ns0:v>0.00</ns0:v>
      </ns0:c>
      <ns0:c r="J30" s="9">
        <ns0:f>'销售费用'!J30+'管理费用'!J30+'蓝恐龙费用'!J30</ns0:f>
        <ns0:v>0.00</ns0:v>
      </ns0:c>
      <ns0:c r="K30" s="9">
        <ns0:f>'销售费用'!K30+'管理费用'!K30+'蓝恐龙费用'!K30</ns0:f>
        <ns0:v>0.00</ns0:v>
      </ns0:c>
      <ns0:c r="L30" s="9">
        <ns0:f>'销售费用'!L30+'管理费用'!L30+'蓝恐龙费用'!L30</ns0:f>
        <ns0:v>0.00</ns0:v>
      </ns0:c>
      <ns0:c r="M30" s="9">
        <ns0:f>'销售费用'!M30+'管理费用'!M30+'蓝恐龙费用'!M30</ns0:f>
        <ns0:v>0.00</ns0:v>
      </ns0:c>
      <ns0:c r="N30" s="9">
        <ns0:f>'销售费用'!N30+'管理费用'!N30+'蓝恐龙费用'!N30</ns0:f>
        <ns0:v>0.00</ns0:v>
      </ns0:c>
      <ns0:c r="O30" s="9">
        <ns0:f>SUM(C30:N30)</ns0:f>
        <ns0:v>0.00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'销售费用'!C31+'管理费用'!C31+'蓝恐龙费用'!C31</ns0:f>
        <ns0:v>324.98</ns0:v>
      </ns0:c>
      <ns0:c r="D31" s="8">
        <ns0:f>'销售费用'!D31+'管理费用'!D31+'蓝恐龙费用'!D31</ns0:f>
        <ns0:v>297.19</ns0:v>
      </ns0:c>
      <ns0:c r="E31" s="8">
        <ns0:f>'销售费用'!E31+'管理费用'!E31+'蓝恐龙费用'!E31</ns0:f>
        <ns0:v>329.33</ns0:v>
      </ns0:c>
      <ns0:c r="F31" s="8">
        <ns0:f>'销售费用'!F31+'管理费用'!F31+'蓝恐龙费用'!F31</ns0:f>
        <ns0:v>324.71</ns0:v>
      </ns0:c>
      <ns0:c r="G31" s="8">
        <ns0:f>'销售费用'!G31+'管理费用'!G31+'蓝恐龙费用'!G31</ns0:f>
        <ns0:v>352.62</ns0:v>
      </ns0:c>
      <ns0:c r="H31" s="8">
        <ns0:f>'销售费用'!H31+'管理费用'!H31+'蓝恐龙费用'!H31</ns0:f>
        <ns0:v>348.44</ns0:v>
      </ns0:c>
      <ns0:c r="I31" s="8">
        <ns0:f>'销售费用'!I31+'管理费用'!I31+'蓝恐龙费用'!I31</ns0:f>
        <ns0:v>0.00</ns0:v>
      </ns0:c>
      <ns0:c r="J31" s="8">
        <ns0:f>'销售费用'!J31+'管理费用'!J31+'蓝恐龙费用'!J31</ns0:f>
        <ns0:v>0.00</ns0:v>
      </ns0:c>
      <ns0:c r="K31" s="8">
        <ns0:f>'销售费用'!K31+'管理费用'!K31+'蓝恐龙费用'!K31</ns0:f>
        <ns0:v>0.00</ns0:v>
      </ns0:c>
      <ns0:c r="L31" s="8">
        <ns0:f>'销售费用'!L31+'管理费用'!L31+'蓝恐龙费用'!L31</ns0:f>
        <ns0:v>0.00</ns0:v>
      </ns0:c>
      <ns0:c r="M31" s="8">
        <ns0:f>'销售费用'!M31+'管理费用'!M31+'蓝恐龙费用'!M31</ns0:f>
        <ns0:v>0.00</ns0:v>
      </ns0:c>
      <ns0:c r="N31" s="8">
        <ns0:f>'销售费用'!N31+'管理费用'!N31+'蓝恐龙费用'!N31</ns0:f>
        <ns0:v>0.00</ns0:v>
      </ns0:c>
      <ns0:c r="O31" s="8">
        <ns0:f>SUM(C31:N31)</ns0:f>
        <ns0:v>1977.27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'销售费用'!C32+'管理费用'!C32+'蓝恐龙费用'!C32</ns0:f>
        <ns0:v>599.26</ns0:v>
      </ns0:c>
      <ns0:c r="D32" s="8">
        <ns0:f>'销售费用'!D32+'管理费用'!D32+'蓝恐龙费用'!D32</ns0:f>
        <ns0:v>601.50</ns0:v>
      </ns0:c>
      <ns0:c r="E32" s="8">
        <ns0:f>'销售费用'!E32+'管理费用'!E32+'蓝恐龙费用'!E32</ns0:f>
        <ns0:v>573.90</ns0:v>
      </ns0:c>
      <ns0:c r="F32" s="8">
        <ns0:f>'销售费用'!F32+'管理费用'!F32+'蓝恐龙费用'!F32</ns0:f>
        <ns0:v>574.55</ns0:v>
      </ns0:c>
      <ns0:c r="G32" s="8">
        <ns0:f>'销售费用'!G32+'管理费用'!G32+'蓝恐龙费用'!G32</ns0:f>
        <ns0:v>624.90</ns0:v>
      </ns0:c>
      <ns0:c r="H32" s="8">
        <ns0:f>'销售费用'!H32+'管理费用'!H32+'蓝恐龙费用'!H32</ns0:f>
        <ns0:v>572.69</ns0:v>
      </ns0:c>
      <ns0:c r="I32" s="8">
        <ns0:f>'销售费用'!I32+'管理费用'!I32+'蓝恐龙费用'!I32</ns0:f>
        <ns0:v>0.00</ns0:v>
      </ns0:c>
      <ns0:c r="J32" s="8">
        <ns0:f>'销售费用'!J32+'管理费用'!J32+'蓝恐龙费用'!J32</ns0:f>
        <ns0:v>0.00</ns0:v>
      </ns0:c>
      <ns0:c r="K32" s="8">
        <ns0:f>'销售费用'!K32+'管理费用'!K32+'蓝恐龙费用'!K32</ns0:f>
        <ns0:v>0.00</ns0:v>
      </ns0:c>
      <ns0:c r="L32" s="8">
        <ns0:f>'销售费用'!L32+'管理费用'!L32+'蓝恐龙费用'!L32</ns0:f>
        <ns0:v>0.00</ns0:v>
      </ns0:c>
      <ns0:c r="M32" s="8">
        <ns0:f>'销售费用'!M32+'管理费用'!M32+'蓝恐龙费用'!M32</ns0:f>
        <ns0:v>0.00</ns0:v>
      </ns0:c>
      <ns0:c r="N32" s="8">
        <ns0:f>'销售费用'!N32+'管理费用'!N32+'蓝恐龙费用'!N32</ns0:f>
        <ns0:v>0.00</ns0:v>
      </ns0:c>
      <ns0:c r="O32" s="8">
        <ns0:f>SUM(C32:N32)</ns0:f>
        <ns0:v>3546.80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'销售费用'!C33+'管理费用'!C33+'蓝恐龙费用'!C33</ns0:f>
        <ns0:v>1254.64</ns0:v>
      </ns0:c>
      <ns0:c r="D33" s="8">
        <ns0:f>'销售费用'!D33+'管理费用'!D33+'蓝恐龙费用'!D33</ns0:f>
        <ns0:v>1278.75</ns0:v>
      </ns0:c>
      <ns0:c r="E33" s="8">
        <ns0:f>'销售费用'!E33+'管理费用'!E33+'蓝恐龙费用'!E33</ns0:f>
        <ns0:v>1208.73</ns0:v>
      </ns0:c>
      <ns0:c r="F33" s="8">
        <ns0:f>'销售费用'!F33+'管理费用'!F33+'蓝恐龙费用'!F33</ns0:f>
        <ns0:v>1162.98</ns0:v>
      </ns0:c>
      <ns0:c r="G33" s="8">
        <ns0:f>'销售费用'!G33+'管理费用'!G33+'蓝恐龙费用'!G33</ns0:f>
        <ns0:v>1281.37</ns0:v>
      </ns0:c>
      <ns0:c r="H33" s="8">
        <ns0:f>'销售费用'!H33+'管理费用'!H33+'蓝恐龙费用'!H33</ns0:f>
        <ns0:v>1271.12</ns0:v>
      </ns0:c>
      <ns0:c r="I33" s="8">
        <ns0:f>'销售费用'!I33+'管理费用'!I33+'蓝恐龙费用'!I33</ns0:f>
        <ns0:v>0.00</ns0:v>
      </ns0:c>
      <ns0:c r="J33" s="8">
        <ns0:f>'销售费用'!J33+'管理费用'!J33+'蓝恐龙费用'!J33</ns0:f>
        <ns0:v>0.00</ns0:v>
      </ns0:c>
      <ns0:c r="K33" s="8">
        <ns0:f>'销售费用'!K33+'管理费用'!K33+'蓝恐龙费用'!K33</ns0:f>
        <ns0:v>0.00</ns0:v>
      </ns0:c>
      <ns0:c r="L33" s="8">
        <ns0:f>'销售费用'!L33+'管理费用'!L33+'蓝恐龙费用'!L33</ns0:f>
        <ns0:v>0.00</ns0:v>
      </ns0:c>
      <ns0:c r="M33" s="8">
        <ns0:f>'销售费用'!M33+'管理费用'!M33+'蓝恐龙费用'!M33</ns0:f>
        <ns0:v>0.00</ns0:v>
      </ns0:c>
      <ns0:c r="N33" s="8">
        <ns0:f>'销售费用'!N33+'管理费用'!N33+'蓝恐龙费用'!N33</ns0:f>
        <ns0:v>0.00</ns0:v>
      </ns0:c>
      <ns0:c r="O33" s="8">
        <ns0:f>SUM(C33:N33)</ns0:f>
        <ns0:v>7457.59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196722.06</ns0:v>
      </ns0:c>
      <ns0:c r="D34" s="8">
        <ns0:f>SUM(D4:D33)</ns0:f>
        <ns0:v>194808.06</ns0:v>
      </ns0:c>
      <ns0:c r="E34" s="8">
        <ns0:f>SUM(E4:E33)</ns0:f>
        <ns0:v>193278.31</ns0:v>
      </ns0:c>
      <ns0:c r="F34" s="8">
        <ns0:f>SUM(F4:F33)</ns0:f>
        <ns0:v>193868.02</ns0:v>
      </ns0:c>
      <ns0:c r="G34" s="8">
        <ns0:f>SUM(G4:G33)</ns0:f>
        <ns0:v>195803.84</ns0:v>
      </ns0:c>
      <ns0:c r="H34" s="8">
        <ns0:f>SUM(H4:H33)</ns0:f>
        <ns0:v>194904.34</ns0:v>
      </ns0:c>
      <ns0:c r="I34" s="8">
        <ns0:f>SUM(I4:I33)</ns0:f>
        <ns0:v>2100.00</ns0:v>
      </ns0:c>
      <ns0:c r="J34" s="8">
        <ns0:f>SUM(J4:J33)</ns0:f>
        <ns0:v>2100.00</ns0:v>
      </ns0:c>
      <ns0:c r="K34" s="8">
        <ns0:f>SUM(K4:K33)</ns0:f>
        <ns0:v>2100.00</ns0:v>
      </ns0:c>
      <ns0:c r="L34" s="8">
        <ns0:f>SUM(L4:L33)</ns0:f>
        <ns0:v>2100.00</ns0:v>
      </ns0:c>
      <ns0:c r="M34" s="8">
        <ns0:f>SUM(M4:M33)</ns0:f>
        <ns0:v>2100.00</ns0:v>
      </ns0:c>
      <ns0:c r="N34" s="8">
        <ns0:f>SUM(N4:N33)</ns0:f>
        <ns0:v>2100.00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>
        <ns0:f>'销售费用'!C35+'管理费用'!C35+'蓝恐龙费用'!C35</ns0:f>
        <ns0:v>12033.54</ns0:v>
      </ns0:c>
      <ns0:c r="D35" s="8">
        <ns0:f>'销售费用'!D35+'管理费用'!D35+'蓝恐龙费用'!D35</ns0:f>
        <ns0:v>12544.35</ns0:v>
      </ns0:c>
      <ns0:c r="E35" s="8">
        <ns0:f>'销售费用'!E35+'管理费用'!E35+'蓝恐龙费用'!E35</ns0:f>
        <ns0:v>11748.15</ns0:v>
      </ns0:c>
      <ns0:c r="F35" s="8">
        <ns0:f>'销售费用'!F35+'管理费用'!F35+'蓝恐龙费用'!F35</ns0:f>
        <ns0:v>12253.83</ns0:v>
      </ns0:c>
      <ns0:c r="G35" s="8">
        <ns0:f>'销售费用'!G35+'管理费用'!G35+'蓝恐龙费用'!G35</ns0:f>
        <ns0:v>11705.49</ns0:v>
      </ns0:c>
      <ns0:c r="H35" s="8">
        <ns0:f>'销售费用'!H35+'管理费用'!H35+'蓝恐龙费用'!H35</ns0:f>
        <ns0:v>12582.27</ns0:v>
      </ns0:c>
      <ns0:c r="I35" s="8">
        <ns0:f>'销售费用'!I35+'管理费用'!I35+'蓝恐龙费用'!I35</ns0:f>
        <ns0:v>0.00</ns0:v>
      </ns0:c>
      <ns0:c r="J35" s="8">
        <ns0:f>'销售费用'!J35+'管理费用'!J35+'蓝恐龙费用'!J35</ns0:f>
        <ns0:v>0.00</ns0:v>
      </ns0:c>
      <ns0:c r="K35" s="8">
        <ns0:f>'销售费用'!K35+'管理费用'!K35+'蓝恐龙费用'!K35</ns0:f>
        <ns0:v>0.00</ns0:v>
      </ns0:c>
      <ns0:c r="L35" s="8">
        <ns0:f>'销售费用'!L35+'管理费用'!L35+'蓝恐龙费用'!L35</ns0:f>
        <ns0:v>0.00</ns0:v>
      </ns0:c>
      <ns0:c r="M35" s="8">
        <ns0:f>'销售费用'!M35+'管理费用'!M35+'蓝恐龙费用'!M35</ns0:f>
        <ns0:v>0.00</ns0:v>
      </ns0:c>
      <ns0:c r="N35" s="8">
        <ns0:f>'销售费用'!N35+'管理费用'!N35+'蓝恐龙费用'!N35</ns0:f>
        <ns0:v>0.00</ns0:v>
      </ns0:c>
      <ns0:c r="O35" s="8">
        <ns0:f>SUM(C35:N35)</ns0:f>
        <ns0:v>72867.63</ns0:v>
      </ns0:c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>
        <ns0:f>C34+C35</ns0:f>
        <ns0:v>208755.60</ns0:v>
      </ns0:c>
      <ns0:c r="D36" s="8">
        <ns0:f>D34+D35</ns0:f>
        <ns0:v>207352.41</ns0:v>
      </ns0:c>
      <ns0:c r="E36" s="8">
        <ns0:f>E34+E35</ns0:f>
        <ns0:v>205026.46</ns0:v>
      </ns0:c>
      <ns0:c r="F36" s="8">
        <ns0:f>F34+F35</ns0:f>
        <ns0:v>206121.85</ns0:v>
      </ns0:c>
      <ns0:c r="G36" s="8">
        <ns0:f>G34+G35</ns0:f>
        <ns0:v>207509.33</ns0:v>
      </ns0:c>
      <ns0:c r="H36" s="8">
        <ns0:f>H34+H35</ns0:f>
        <ns0:v>207486.61</ns0:v>
      </ns0:c>
      <ns0:c r="I36" s="8">
        <ns0:f>I34+I35</ns0:f>
        <ns0:v>2100.00</ns0:v>
      </ns0:c>
      <ns0:c r="J36" s="8">
        <ns0:f>J34+J35</ns0:f>
        <ns0:v>2100.00</ns0:v>
      </ns0:c>
      <ns0:c r="K36" s="8">
        <ns0:f>K34+K35</ns0:f>
        <ns0:v>2100.00</ns0:v>
      </ns0:c>
      <ns0:c r="L36" s="8">
        <ns0:f>L34+L35</ns0:f>
        <ns0:v>2100.00</ns0:v>
      </ns0:c>
      <ns0:c r="M36" s="8">
        <ns0:f>M34+M35</ns0:f>
        <ns0:v>2100.00</ns0:v>
      </ns0:c>
      <ns0:c r="N36" s="8">
        <ns0:f>N34+N35</ns0:f>
        <ns0:v>2100.00</ns0:v>
      </ns0:c>
      <ns0:c r="O36" s="8">
        <ns0:f>SUM(C36:N36)</ns0:f>
        <ns0:v>1254852.26</ns0:v>
      </ns0:c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8"/>
      <ns0:c r="G42" s="8"/>
      <ns0:c r="H42" s="8"/>
      <ns0:c r="I42" s="8"/>
      <ns0:c r="J42" s="8"/>
      <ns0:c r="K42" s="8"/>
      <ns0:c r="L42" s="8"/>
      <ns0:c r="M42" s="8"/>
      <ns0:c r="N42" s="8"/>
      <ns0:c r="O42" s="8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/>
      <ns0:c r="C43" s="8"/>
      <ns0:c r="D43" s="8"/>
      <ns0:c r="E43" s="8"/>
      <ns0:c r="F43" s="8"/>
      <ns0:c r="G43" s="8"/>
      <ns0:c r="H43" s="8"/>
      <ns0:c r="I43" s="8"/>
      <ns0:c r="J43" s="8"/>
      <ns0:c r="K43" s="8"/>
      <ns0:c r="L43" s="8"/>
      <ns0:c r="M43" s="8"/>
      <ns0:c r="N43" s="8"/>
      <ns0:c r="O43" s="8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8"/>
      <ns0:c r="G44" s="8"/>
      <ns0:c r="H44" s="8"/>
      <ns0:c r="I44" s="8"/>
      <ns0:c r="J44" s="8"/>
      <ns0:c r="K44" s="8"/>
      <ns0:c r="L44" s="8"/>
      <ns0:c r="M44" s="8"/>
      <ns0:c r="N44" s="8"/>
      <ns0:c r="O44" s="8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/>
      <ns0:c r="C45" s="8"/>
      <ns0:c r="D45" s="8"/>
      <ns0:c r="E45" s="8"/>
      <ns0:c r="F45" s="8"/>
      <ns0:c r="G45" s="8"/>
      <ns0:c r="H45" s="8"/>
      <ns0:c r="I45" s="8"/>
      <ns0:c r="J45" s="8"/>
      <ns0:c r="K45" s="8"/>
      <ns0:c r="L45" s="8"/>
      <ns0:c r="M45" s="8"/>
      <ns0:c r="N45" s="8"/>
      <ns0:c r="O45" s="8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2"/>
      <ns0:c r="B2" s="7" t="inlineStr">
        <ns0:is>
          <ns0:t>日期</ns0:t>
        </ns0:is>
      </ns0:c>
      <ns0:c r="C2" s="8"/>
      <ns0:c r="D2" s="8"/>
      <ns0:c r="E2" s="8"/>
      <ns0:c r="F2" s="8"/>
      <ns0:c r="G2" s="8"/>
      <ns0:c r="H2" s="8" t="inlineStr">
        <ns0:is>
          <ns0:t>金额</ns0:t>
        </ns0:is>
      </ns0:c>
      <ns0:c r="I2" s="8"/>
      <ns0:c r="J2" s="8"/>
      <ns0:c r="K2" s="8"/>
      <ns0:c r="L2" s="8"/>
      <ns0:c r="M2" s="8"/>
      <ns0:c r="N2" s="8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2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2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2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8"/>
      <ns0:c r="F9" s="8"/>
      <ns0:c r="G9" s="8"/>
      <ns0:c r="H9" s="8"/>
      <ns0:c r="I9" s="8"/>
      <ns0:c r="J9" s="8"/>
      <ns0:c r="K9" s="8"/>
      <ns0:c r="L9" s="8"/>
      <ns0:c r="M9" s="8"/>
      <ns0:c r="N9" s="8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8"/>
      <ns0:c r="F10" s="8"/>
      <ns0:c r="G10" s="8"/>
      <ns0:c r="H10" s="8"/>
      <ns0:c r="I10" s="8"/>
      <ns0:c r="J10" s="8"/>
      <ns0:c r="K10" s="8"/>
      <ns0:c r="L10" s="8"/>
      <ns0:c r="M10" s="8"/>
      <ns0:c r="N10" s="8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7"/>
      <ns0:c r="C11" s="8"/>
      <ns0:c r="D11" s="8"/>
      <ns0:c r="E11" s="8"/>
      <ns0:c r="F11" s="8"/>
      <ns0:c r="G11" s="8"/>
      <ns0:c r="H11" s="8"/>
      <ns0:c r="I11" s="8"/>
      <ns0:c r="J11" s="8"/>
      <ns0:c r="K11" s="8"/>
      <ns0:c r="L11" s="8"/>
      <ns0:c r="M11" s="8"/>
      <ns0:c r="N11" s="8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7"/>
      <ns0:c r="C12" s="8"/>
      <ns0:c r="D12" s="8"/>
      <ns0:c r="E12" s="8"/>
      <ns0:c r="F12" s="8"/>
      <ns0:c r="G12" s="8"/>
      <ns0:c r="H12" s="8"/>
      <ns0:c r="I12" s="8"/>
      <ns0:c r="J12" s="8"/>
      <ns0:c r="K12" s="8"/>
      <ns0:c r="L12" s="8"/>
      <ns0:c r="M12" s="8"/>
      <ns0:c r="N12" s="8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7"/>
      <ns0:c r="C13" s="8"/>
      <ns0:c r="D13" s="8"/>
      <ns0:c r="E13" s="8"/>
      <ns0:c r="F13" s="8"/>
      <ns0:c r="G13" s="8"/>
      <ns0:c r="H13" s="8"/>
      <ns0:c r="I13" s="8"/>
      <ns0:c r="J13" s="8"/>
      <ns0:c r="K13" s="8"/>
      <ns0:c r="L13" s="8"/>
      <ns0:c r="M13" s="8"/>
      <ns0:c r="N13" s="8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7"/>
      <ns0:c r="C14" s="8"/>
      <ns0:c r="D14" s="8"/>
      <ns0:c r="E14" s="8"/>
      <ns0:c r="F14" s="8"/>
      <ns0:c r="G14" s="8"/>
      <ns0:c r="H14" s="8"/>
      <ns0:c r="I14" s="8"/>
      <ns0:c r="J14" s="8"/>
      <ns0:c r="K14" s="8"/>
      <ns0:c r="L14" s="8"/>
      <ns0:c r="M14" s="8"/>
      <ns0:c r="N14" s="8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7"/>
      <ns0:c r="C15" s="8"/>
      <ns0:c r="D15" s="8"/>
      <ns0:c r="E15" s="8"/>
      <ns0:c r="F15" s="8"/>
      <ns0:c r="G15" s="8"/>
      <ns0:c r="H15" s="8"/>
      <ns0:c r="I15" s="8"/>
      <ns0:c r="J15" s="8"/>
      <ns0:c r="K15" s="8"/>
      <ns0:c r="L15" s="8"/>
      <ns0:c r="M15" s="8"/>
      <ns0:c r="N15" s="8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7"/>
      <ns0:c r="C16" s="8"/>
      <ns0:c r="D16" s="8"/>
      <ns0:c r="E16" s="8"/>
      <ns0:c r="F16" s="8"/>
      <ns0:c r="G16" s="8"/>
      <ns0:c r="H16" s="8"/>
      <ns0:c r="I16" s="8"/>
      <ns0:c r="J16" s="8"/>
      <ns0:c r="K16" s="8"/>
      <ns0:c r="L16" s="8"/>
      <ns0:c r="M16" s="8"/>
      <ns0:c r="N16" s="8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7"/>
      <ns0:c r="C17" s="8"/>
      <ns0:c r="D17" s="8"/>
      <ns0:c r="E17" s="8"/>
      <ns0:c r="F17" s="8"/>
      <ns0:c r="G17" s="8"/>
      <ns0:c r="H17" s="8"/>
      <ns0:c r="I17" s="8"/>
      <ns0:c r="J17" s="8"/>
      <ns0:c r="K17" s="8"/>
      <ns0:c r="L17" s="8"/>
      <ns0:c r="M17" s="8"/>
      <ns0:c r="N17" s="8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7" t="inlineStr">
        <ns0:is>
          <ns0:t>摘要</ns0:t>
        </ns0:is>
      </ns0:c>
      <ns0:c r="C20" s="8"/>
      <ns0:c r="D20" s="8"/>
      <ns0:c r="E20" s="8"/>
      <ns0:c r="F20" s="8"/>
      <ns0:c r="G20" s="8"/>
      <ns0:c r="H20" s="8"/>
      <ns0:c r="I20" s="8"/>
      <ns0:c r="J20" s="8"/>
      <ns0:c r="K20" s="8"/>
      <ns0:c r="L20" s="8"/>
      <ns0:c r="M20" s="8"/>
      <ns0:c r="N20" s="8"/>
      <ns0:c r="O20" s="8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7"/>
      <ns0:c r="C21" s="8"/>
      <ns0:c r="D21" s="8"/>
      <ns0:c r="E21" s="8"/>
      <ns0:c r="F21" s="8"/>
      <ns0:c r="G21" s="8"/>
      <ns0:c r="H21" s="8"/>
      <ns0:c r="I21" s="8"/>
      <ns0:c r="J21" s="8"/>
      <ns0:c r="K21" s="8"/>
      <ns0:c r="L21" s="8"/>
      <ns0:c r="M21" s="8"/>
      <ns0:c r="N21" s="8"/>
      <ns0:c r="O21" s="8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7"/>
      <ns0:c r="C22" s="8"/>
      <ns0:c r="D22" s="8"/>
      <ns0:c r="E22" s="8"/>
      <ns0:c r="F22" s="8"/>
      <ns0:c r="G22" s="8"/>
      <ns0:c r="H22" s="8"/>
      <ns0:c r="I22" s="8"/>
      <ns0:c r="J22" s="8"/>
      <ns0:c r="K22" s="8"/>
      <ns0:c r="L22" s="8"/>
      <ns0:c r="M22" s="8"/>
      <ns0:c r="N22" s="8"/>
      <ns0:c r="O22" s="8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7"/>
      <ns0:c r="C23" s="8"/>
      <ns0:c r="D23" s="8"/>
      <ns0:c r="E23" s="8"/>
      <ns0:c r="F23" s="8"/>
      <ns0:c r="G23" s="8"/>
      <ns0:c r="H23" s="8"/>
      <ns0:c r="I23" s="8"/>
      <ns0:c r="J23" s="8"/>
      <ns0:c r="K23" s="8"/>
      <ns0:c r="L23" s="8"/>
      <ns0:c r="M23" s="8"/>
      <ns0:c r="N23" s="8"/>
      <ns0:c r="O23" s="8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7"/>
      <ns0:c r="C24" s="8"/>
      <ns0:c r="D24" s="8"/>
      <ns0:c r="E24" s="8"/>
      <ns0:c r="F24" s="8"/>
      <ns0:c r="G24" s="8"/>
      <ns0:c r="H24" s="8"/>
      <ns0:c r="I24" s="8"/>
      <ns0:c r="J24" s="8"/>
      <ns0:c r="K24" s="8"/>
      <ns0:c r="L24" s="8"/>
      <ns0:c r="M24" s="8"/>
      <ns0:c r="N24" s="8"/>
      <ns0:c r="O24" s="8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7"/>
      <ns0:c r="C25" s="8"/>
      <ns0:c r="D25" s="8"/>
      <ns0:c r="E25" s="8"/>
      <ns0:c r="F25" s="8"/>
      <ns0:c r="G25" s="8"/>
      <ns0:c r="H25" s="8"/>
      <ns0:c r="I25" s="8"/>
      <ns0:c r="J25" s="8"/>
      <ns0:c r="K25" s="8"/>
      <ns0:c r="L25" s="8"/>
      <ns0:c r="M25" s="8"/>
      <ns0:c r="N25" s="8"/>
      <ns0:c r="O25" s="8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7"/>
      <ns0:c r="C26" s="8"/>
      <ns0:c r="D26" s="8"/>
      <ns0:c r="E26" s="8"/>
      <ns0:c r="F26" s="8"/>
      <ns0:c r="G26" s="8"/>
      <ns0:c r="H26" s="8"/>
      <ns0:c r="I26" s="8"/>
      <ns0:c r="J26" s="8"/>
      <ns0:c r="K26" s="8"/>
      <ns0:c r="L26" s="8"/>
      <ns0:c r="M26" s="8"/>
      <ns0:c r="N26" s="8"/>
      <ns0:c r="O26" s="8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7"/>
      <ns0:c r="C27" s="8"/>
      <ns0:c r="D27" s="8"/>
      <ns0:c r="E27" s="8"/>
      <ns0:c r="F27" s="8"/>
      <ns0:c r="G27" s="8"/>
      <ns0:c r="H27" s="8"/>
      <ns0:c r="I27" s="8"/>
      <ns0:c r="J27" s="8"/>
      <ns0:c r="K27" s="8"/>
      <ns0:c r="L27" s="8"/>
      <ns0:c r="M27" s="8"/>
      <ns0:c r="N27" s="8"/>
      <ns0:c r="O27" s="8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7"/>
      <ns0:c r="C28" s="8"/>
      <ns0:c r="D28" s="8"/>
      <ns0:c r="E28" s="8"/>
      <ns0:c r="F28" s="8"/>
      <ns0:c r="G28" s="8"/>
      <ns0:c r="H28" s="8"/>
      <ns0:c r="I28" s="8"/>
      <ns0:c r="J28" s="8"/>
      <ns0:c r="K28" s="8"/>
      <ns0:c r="L28" s="8"/>
      <ns0:c r="M28" s="8"/>
      <ns0:c r="N28" s="8"/>
      <ns0:c r="O28" s="8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7"/>
      <ns0:c r="C29" s="8"/>
      <ns0:c r="D29" s="8"/>
      <ns0:c r="E29" s="8"/>
      <ns0:c r="F29" s="8"/>
      <ns0:c r="G29" s="8"/>
      <ns0:c r="H29" s="8"/>
      <ns0:c r="I29" s="8"/>
      <ns0:c r="J29" s="8"/>
      <ns0:c r="K29" s="8"/>
      <ns0:c r="L29" s="8"/>
      <ns0:c r="M29" s="8"/>
      <ns0:c r="N29" s="8"/>
      <ns0:c r="O29" s="8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实时经营内部底稿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摊销资产原值</ns0:t>
        </ns0:is>
      </ns0:c>
      <ns0:c r="C31" s="11">
        <ns0:v>134400.00</ns0:v>
      </ns0:c>
      <ns0:c r="D31" s="8">
        <ns0:f>$C$31</ns0:f>
        <ns0:v>134400.00</ns0:v>
      </ns0:c>
      <ns0:c r="E31" s="8">
        <ns0:f>$C$31</ns0:f>
        <ns0:v>134400.00</ns0:v>
      </ns0:c>
      <ns0:c r="F31" s="8">
        <ns0:f>$C$31</ns0:f>
        <ns0:v>134400.00</ns0:v>
      </ns0:c>
      <ns0:c r="G31" s="8">
        <ns0:f>$C$31</ns0:f>
        <ns0:v>134400.00</ns0:v>
      </ns0:c>
      <ns0:c r="H31" s="8">
        <ns0:f>$C$31</ns0:f>
        <ns0:v>134400.00</ns0:v>
      </ns0:c>
      <ns0:c r="I31" s="8">
        <ns0:f>$C$31</ns0:f>
        <ns0:v>134400.00</ns0:v>
      </ns0:c>
      <ns0:c r="J31" s="8">
        <ns0:f>$C$31</ns0:f>
        <ns0:v>134400.00</ns0:v>
      </ns0:c>
      <ns0:c r="K31" s="8">
        <ns0:f>$C$31</ns0:f>
        <ns0:v>134400.00</ns0:v>
      </ns0:c>
      <ns0:c r="L31" s="8">
        <ns0:f>$C$31</ns0:f>
        <ns0:v>134400.00</ns0:v>
      </ns0:c>
      <ns0:c r="M31" s="8">
        <ns0:f>$C$31</ns0:f>
        <ns0:v>134400.00</ns0:v>
      </ns0:c>
      <ns0:c r="N31" s="8">
        <ns0:f>$C$31</ns0:f>
        <ns0:v>134400.00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摊销月数</ns0:t>
        </ns0:is>
      </ns0:c>
      <ns0:c r="C32" s="11">
        <ns0:v>64</ns0:v>
      </ns0:c>
      <ns0:c r="D32" s="8">
        <ns0:f>$C$32</ns0:f>
        <ns0:v>64</ns0:v>
      </ns0:c>
      <ns0:c r="E32" s="8">
        <ns0:f>$C$32</ns0:f>
        <ns0:v>64</ns0:v>
      </ns0:c>
      <ns0:c r="F32" s="8">
        <ns0:f>$C$32</ns0:f>
        <ns0:v>64</ns0:v>
      </ns0:c>
      <ns0:c r="G32" s="8">
        <ns0:f>$C$32</ns0:f>
        <ns0:v>64</ns0:v>
      </ns0:c>
      <ns0:c r="H32" s="8">
        <ns0:f>$C$32</ns0:f>
        <ns0:v>64</ns0:v>
      </ns0:c>
      <ns0:c r="I32" s="8">
        <ns0:f>$C$32</ns0:f>
        <ns0:v>64</ns0:v>
      </ns0:c>
      <ns0:c r="J32" s="8">
        <ns0:f>$C$32</ns0:f>
        <ns0:v>64</ns0:v>
      </ns0:c>
      <ns0:c r="K32" s="8">
        <ns0:f>$C$32</ns0:f>
        <ns0:v>64</ns0:v>
      </ns0:c>
      <ns0:c r="L32" s="8">
        <ns0:f>$C$32</ns0:f>
        <ns0:v>64</ns0:v>
      </ns0:c>
      <ns0:c r="M32" s="8">
        <ns0:f>$C$32</ns0:f>
        <ns0:v>64</ns0:v>
      </ns0:c>
      <ns0:c r="N32" s="8">
        <ns0:f>$C$32</ns0:f>
        <ns0:v>64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本月摊销</ns0:t>
        </ns0:is>
      </ns0:c>
      <ns0:c r="C33" s="8">
        <ns0:f>ROUND(C31/MAX(C32,1),2)</ns0:f>
        <ns0:v>2100.00</ns0:v>
      </ns0:c>
      <ns0:c r="D33" s="8">
        <ns0:f>ROUND(D31/MAX(D32,1),2)</ns0:f>
        <ns0:v>2100.00</ns0:v>
      </ns0:c>
      <ns0:c r="E33" s="8">
        <ns0:f>ROUND(E31/MAX(E32,1),2)</ns0:f>
        <ns0:v>2100.00</ns0:v>
      </ns0:c>
      <ns0:c r="F33" s="8">
        <ns0:f>ROUND(F31/MAX(F32,1),2)</ns0:f>
        <ns0:v>2100.00</ns0:v>
      </ns0:c>
      <ns0:c r="G33" s="8">
        <ns0:f>ROUND(G31/MAX(G32,1),2)</ns0:f>
        <ns0:v>2100.00</ns0:v>
      </ns0:c>
      <ns0:c r="H33" s="8">
        <ns0:f>ROUND(H31/MAX(H32,1),2)</ns0:f>
        <ns0:v>2100.00</ns0:v>
      </ns0:c>
      <ns0:c r="I33" s="8">
        <ns0:f>ROUND(I31/MAX(I32,1),2)</ns0:f>
        <ns0:v>2100.00</ns0:v>
      </ns0:c>
      <ns0:c r="J33" s="8">
        <ns0:f>ROUND(J31/MAX(J32,1),2)</ns0:f>
        <ns0:v>2100.00</ns0:v>
      </ns0:c>
      <ns0:c r="K33" s="8">
        <ns0:f>ROUND(K31/MAX(K32,1),2)</ns0:f>
        <ns0:v>2100.00</ns0:v>
      </ns0:c>
      <ns0:c r="L33" s="8">
        <ns0:f>ROUND(L31/MAX(L32,1),2)</ns0:f>
        <ns0:v>2100.00</ns0:v>
      </ns0:c>
      <ns0:c r="M33" s="8">
        <ns0:f>ROUND(M31/MAX(M32,1),2)</ns0:f>
        <ns0:v>2100.00</ns0:v>
      </ns0:c>
      <ns0:c r="N33" s="8">
        <ns0:f>ROUND(N31/MAX(N32,1),2)</ns0:f>
        <ns0:v>2100.00</ns0:v>
      </ns0:c>
      <ns0:c r="O33" s="8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累计已摊销</ns0:t>
        </ns0:is>
      </ns0:c>
      <ns0:c r="C34" s="8">
        <ns0:f>SUM($C33:C33)</ns0:f>
        <ns0:v>2100.00</ns0:v>
      </ns0:c>
      <ns0:c r="D34" s="8">
        <ns0:f>SUM($C33:D33)</ns0:f>
        <ns0:v>4200.00</ns0:v>
      </ns0:c>
      <ns0:c r="E34" s="8">
        <ns0:f>SUM($C33:E33)</ns0:f>
        <ns0:v>6300.00</ns0:v>
      </ns0:c>
      <ns0:c r="F34" s="8">
        <ns0:f>SUM($C33:F33)</ns0:f>
        <ns0:v>8400.00</ns0:v>
      </ns0:c>
      <ns0:c r="G34" s="8">
        <ns0:f>SUM($C33:G33)</ns0:f>
        <ns0:v>10500.00</ns0:v>
      </ns0:c>
      <ns0:c r="H34" s="8">
        <ns0:f>SUM($C33:H33)</ns0:f>
        <ns0:v>12600.00</ns0:v>
      </ns0:c>
      <ns0:c r="I34" s="8">
        <ns0:f>SUM($C33:I33)</ns0:f>
        <ns0:v>14700.00</ns0:v>
      </ns0:c>
      <ns0:c r="J34" s="8">
        <ns0:f>SUM($C33:J33)</ns0:f>
        <ns0:v>16800.00</ns0:v>
      </ns0:c>
      <ns0:c r="K34" s="8">
        <ns0:f>SUM($C33:K33)</ns0:f>
        <ns0:v>18900.00</ns0:v>
      </ns0:c>
      <ns0:c r="L34" s="8">
        <ns0:f>SUM($C33:L33)</ns0:f>
        <ns0:v>21000.00</ns0:v>
      </ns0:c>
      <ns0:c r="M34" s="8">
        <ns0:f>SUM($C33:M33)</ns0:f>
        <ns0:v>23100.00</ns0:v>
      </ns0:c>
      <ns0:c r="N34" s="8">
        <ns0:f>SUM($C33:N33)</ns0:f>
        <ns0:v>25200.00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8">
        <ns0:f>C31-C34</ns0:f>
        <ns0:v>132300.00</ns0:v>
      </ns0:c>
      <ns0:c r="D35" s="8">
        <ns0:f>D31-D34</ns0:f>
        <ns0:v>130200.00</ns0:v>
      </ns0:c>
      <ns0:c r="E35" s="8">
        <ns0:f>E31-E34</ns0:f>
        <ns0:v>128100.00</ns0:v>
      </ns0:c>
      <ns0:c r="F35" s="8">
        <ns0:f>F31-F34</ns0:f>
        <ns0:v>126000.00</ns0:v>
      </ns0:c>
      <ns0:c r="G35" s="8">
        <ns0:f>G31-G34</ns0:f>
        <ns0:v>123900.00</ns0:v>
      </ns0:c>
      <ns0:c r="H35" s="8">
        <ns0:f>H31-H34</ns0:f>
        <ns0:v>121800.00</ns0:v>
      </ns0:c>
      <ns0:c r="I35" s="8">
        <ns0:f>I31-I34</ns0:f>
        <ns0:v>119700.00</ns0:v>
      </ns0:c>
      <ns0:c r="J35" s="8">
        <ns0:f>J31-J34</ns0:f>
        <ns0:v>117600.00</ns0:v>
      </ns0:c>
      <ns0:c r="K35" s="8">
        <ns0:f>K31-K34</ns0:f>
        <ns0:v>115500.00</ns0:v>
      </ns0:c>
      <ns0:c r="L35" s="8">
        <ns0:f>L31-L34</ns0:f>
        <ns0:v>113400.00</ns0:v>
      </ns0:c>
      <ns0:c r="M35" s="8">
        <ns0:f>M31-M34</ns0:f>
        <ns0:v>111300.00</ns0:v>
      </ns0:c>
      <ns0:c r="N35" s="8">
        <ns0:f>N31-N34</ns0:f>
        <ns0:v>109200.00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摊销起始日</ns0:t>
        </ns0:is>
      </ns0:c>
      <ns0:c r="C36" s="8" t="inlineStr">
        <ns0:is>
          <ns0:t>2027-01-01</ns0:t>
        </ns0:is>
      </ns0:c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摊销台账区（契约v1.1·多资产台账与月度矩阵）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资产名称</ns0:t>
        </ns0:is>
      </ns0:c>
      <ns0:c r="P122" s="2" t="inlineStr">
        <ns0:is>
          <ns0:t>费用归属表</ns0:t>
        </ns0:is>
      </ns0:c>
      <ns0:c r="Q122" s="2" t="inlineStr">
        <ns0:is>
          <ns0:t>部门</ns0:t>
        </ns0:is>
      </ns0:c>
      <ns0:c r="R122" s="2" t="inlineStr">
        <ns0:is>
          <ns0:t>起始月（YYYY-MM）</ns0:t>
        </ns0:is>
      </ns0:c>
      <ns0:c r="S122" s="2" t="inlineStr">
        <ns0:is>
          <ns0:t>原值</ns0:t>
        </ns0:is>
      </ns0:c>
      <ns0:c r="T122" s="2" t="inlineStr">
        <ns0:is>
          <ns0:t>摊销月数</ns0:t>
        </ns0:is>
      </ns0:c>
      <ns0:c r="U122" s="2" t="inlineStr">
        <ns0:is>
          <ns0:t>月摊销额</ns0:t>
        </ns0:is>
      </ns0:c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 t="inlineStr">
        <ns0:is>
          <ns0:t>演示资产甲</ns0:t>
        </ns0:is>
      </ns0:c>
      <ns0:c r="P123" s="2" t="inlineStr">
        <ns0:is>
          <ns0:t>销售费用</ns0:t>
        </ns0:is>
      </ns0:c>
      <ns0:c r="Q123" s="2" t="inlineStr">
        <ns0:is>
          <ns0:t>业务部</ns0:t>
        </ns0:is>
      </ns0:c>
      <ns0:c r="R123" s="2" t="inlineStr">
        <ns0:is>
          <ns0:t>2027-01</ns0:t>
        </ns0:is>
      </ns0:c>
      <ns0:c r="S123" s="2">
        <ns0:v>96000.00</ns0:v>
      </ns0:c>
      <ns0:c r="T123" s="2">
        <ns0:v>64</ns0:v>
      </ns0:c>
      <ns0:c r="U123" s="2">
        <ns0:f>ROUND(S123/MAX(T123,1),2)</ns0:f>
        <ns0:v>1500.00</ns0:v>
      </ns0:c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演示资产乙</ns0:t>
        </ns0:is>
      </ns0:c>
      <ns0:c r="P124" s="2" t="inlineStr">
        <ns0:is>
          <ns0:t>管理费用</ns0:t>
        </ns0:is>
      </ns0:c>
      <ns0:c r="Q124" s="2" t="inlineStr">
        <ns0:is>
          <ns0:t>行政部</ns0:t>
        </ns0:is>
      </ns0:c>
      <ns0:c r="R124" s="2" t="inlineStr">
        <ns0:is>
          <ns0:t>2027-01</ns0:t>
        </ns0:is>
      </ns0:c>
      <ns0:c r="S124" s="2">
        <ns0:v>38400.00</ns0:v>
      </ns0:c>
      <ns0:c r="T124" s="2">
        <ns0:v>64</ns0:v>
      </ns0:c>
      <ns0:c r="U124" s="2">
        <ns0:f>ROUND(S124/MAX(T124,1),2)</ns0:f>
        <ns0:v>600.00</ns0:v>
      </ns0:c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>
        <ns0:f>ROUND(S125/MAX(T125,1),2)</ns0:f>
        <ns0:v>0.00</ns0:v>
      </ns0:c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>
        <ns0:f>ROUND(S126/MAX(T126,1),2)</ns0:f>
        <ns0:v>0.00</ns0:v>
      </ns0:c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>
        <ns0:f>ROUND(S127/MAX(T127,1),2)</ns0:f>
        <ns0:v>0.00</ns0:v>
      </ns0:c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>
        <ns0:f>ROUND(S128/MAX(T128,1),2)</ns0:f>
        <ns0:v>0.00</ns0:v>
      </ns0:c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>
        <ns0:f>ROUND(S129/MAX(T129,1),2)</ns0:f>
        <ns0:v>0.00</ns0:v>
      </ns0:c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>
        <ns0:f>ROUND(S130/MAX(T130,1),2)</ns0:f>
        <ns0:v>0.00</ns0:v>
      </ns0:c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资产＼月份</ns0:t>
        </ns0:is>
      </ns0:c>
      <ns0:c r="P132" s="2" t="inlineStr">
        <ns0:is>
          <ns0:t>1月</ns0:t>
        </ns0:is>
      </ns0:c>
      <ns0:c r="Q132" s="2" t="inlineStr">
        <ns0:is>
          <ns0:t>2月</ns0:t>
        </ns0:is>
      </ns0:c>
      <ns0:c r="R132" s="2" t="inlineStr">
        <ns0:is>
          <ns0:t>3月</ns0:t>
        </ns0:is>
      </ns0:c>
      <ns0:c r="S132" s="2" t="inlineStr">
        <ns0:is>
          <ns0:t>4月</ns0:t>
        </ns0:is>
      </ns0:c>
      <ns0:c r="T132" s="2" t="inlineStr">
        <ns0:is>
          <ns0:t>5月</ns0:t>
        </ns0:is>
      </ns0:c>
      <ns0:c r="U132" s="2" t="inlineStr">
        <ns0:is>
          <ns0:t>6月</ns0:t>
        </ns0:is>
      </ns0:c>
      <ns0:c r="V132" s="2" t="inlineStr">
        <ns0:is>
          <ns0:t>7月</ns0:t>
        </ns0:is>
      </ns0:c>
      <ns0:c r="W132" s="2" t="inlineStr">
        <ns0:is>
          <ns0:t>8月</ns0:t>
        </ns0:is>
      </ns0:c>
      <ns0:c r="X132" s="2" t="inlineStr">
        <ns0:is>
          <ns0:t>9月</ns0:t>
        </ns0:is>
      </ns0:c>
      <ns0:c r="Y132" s="2" t="inlineStr">
        <ns0:is>
          <ns0:t>10月</ns0:t>
        </ns0:is>
      </ns0:c>
      <ns0:c r="Z132" s="2" t="inlineStr">
        <ns0:is>
          <ns0:t>11月</ns0:t>
        </ns0:is>
      </ns0:c>
      <ns0:c r="AA132" s="2" t="inlineStr">
        <ns0:is>
          <ns0:t>12月</ns0:t>
        </ns0:is>
      </ns0:c>
      <ns0:c r="AB132" s="2" t="inlineStr">
        <ns0:is>
          <ns0:t>年合计</ns0:t>
        </ns0:is>
      </ns0:c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演示资产甲</ns0:t>
        </ns0:is>
      </ns0:c>
      <ns0:c r="P133" s="2">
        <ns0:v>1500.00</ns0:v>
      </ns0:c>
      <ns0:c r="Q133" s="2">
        <ns0:v>1500.00</ns0:v>
      </ns0:c>
      <ns0:c r="R133" s="2">
        <ns0:v>1500.00</ns0:v>
      </ns0:c>
      <ns0:c r="S133" s="2">
        <ns0:v>1500.00</ns0:v>
      </ns0:c>
      <ns0:c r="T133" s="2">
        <ns0:v>1500.00</ns0:v>
      </ns0:c>
      <ns0:c r="U133" s="2">
        <ns0:v>1500.00</ns0:v>
      </ns0:c>
      <ns0:c r="V133" s="2">
        <ns0:v>1500.00</ns0:v>
      </ns0:c>
      <ns0:c r="W133" s="2">
        <ns0:v>1500.00</ns0:v>
      </ns0:c>
      <ns0:c r="X133" s="2">
        <ns0:v>1500.00</ns0:v>
      </ns0:c>
      <ns0:c r="Y133" s="2">
        <ns0:v>1500.00</ns0:v>
      </ns0:c>
      <ns0:c r="Z133" s="2">
        <ns0:v>1500.00</ns0:v>
      </ns0:c>
      <ns0:c r="AA133" s="2">
        <ns0:v>1500.00</ns0:v>
      </ns0:c>
      <ns0:c r="AB133" s="2">
        <ns0:f>SUM(P133:AA133)</ns0:f>
        <ns0:v>18000.00</ns0:v>
      </ns0:c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 t="inlineStr">
        <ns0:is>
          <ns0:t>演示资产乙</ns0:t>
        </ns0:is>
      </ns0:c>
      <ns0:c r="P134" s="2">
        <ns0:v>600.00</ns0:v>
      </ns0:c>
      <ns0:c r="Q134" s="2">
        <ns0:v>600.00</ns0:v>
      </ns0:c>
      <ns0:c r="R134" s="2">
        <ns0:v>600.00</ns0:v>
      </ns0:c>
      <ns0:c r="S134" s="2">
        <ns0:v>600.00</ns0:v>
      </ns0:c>
      <ns0:c r="T134" s="2">
        <ns0:v>600.00</ns0:v>
      </ns0:c>
      <ns0:c r="U134" s="2">
        <ns0:v>600.00</ns0:v>
      </ns0:c>
      <ns0:c r="V134" s="2">
        <ns0:v>600.00</ns0:v>
      </ns0:c>
      <ns0:c r="W134" s="2">
        <ns0:v>600.00</ns0:v>
      </ns0:c>
      <ns0:c r="X134" s="2">
        <ns0:v>600.00</ns0:v>
      </ns0:c>
      <ns0:c r="Y134" s="2">
        <ns0:v>600.00</ns0:v>
      </ns0:c>
      <ns0:c r="Z134" s="2">
        <ns0:v>600.00</ns0:v>
      </ns0:c>
      <ns0:c r="AA134" s="2">
        <ns0:v>600.00</ns0:v>
      </ns0:c>
      <ns0:c r="AB134" s="2">
        <ns0:f>SUM(P134:AA134)</ns0:f>
        <ns0:v>7200.00</ns0:v>
      </ns0:c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>
        <ns0:f>SUM(P135:AA135)</ns0:f>
        <ns0:v>0</ns0:v>
      </ns0:c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>
        <ns0:f>SUM(P136:AA136)</ns0:f>
        <ns0:v>0</ns0:v>
      </ns0:c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>
        <ns0:f>SUM(P137:AA137)</ns0:f>
        <ns0:v>0</ns0:v>
      </ns0:c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>
        <ns0:f>SUM(P138:AA138)</ns0:f>
        <ns0:v>0</ns0:v>
      </ns0:c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>
        <ns0:f>SUM(P139:AA139)</ns0:f>
        <ns0:v>0</ns0:v>
      </ns0:c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>
        <ns0:f>SUM(P140:AA140)</ns0:f>
        <ns0:v>0</ns0:v>
      </ns0:c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合计</ns0:t>
        </ns0:is>
      </ns0:c>
      <ns0:c r="P142" s="2">
        <ns0:f>SUM(P133:P140)</ns0:f>
        <ns0:v>2100.00</ns0:v>
      </ns0:c>
      <ns0:c r="Q142" s="2">
        <ns0:f>SUM(Q133:Q140)</ns0:f>
        <ns0:v>2100.00</ns0:v>
      </ns0:c>
      <ns0:c r="R142" s="2">
        <ns0:f>SUM(R133:R140)</ns0:f>
        <ns0:v>2100.00</ns0:v>
      </ns0:c>
      <ns0:c r="S142" s="2">
        <ns0:f>SUM(S133:S140)</ns0:f>
        <ns0:v>2100.00</ns0:v>
      </ns0:c>
      <ns0:c r="T142" s="2">
        <ns0:f>SUM(T133:T140)</ns0:f>
        <ns0:v>2100.00</ns0:v>
      </ns0:c>
      <ns0:c r="U142" s="2">
        <ns0:f>SUM(U133:U140)</ns0:f>
        <ns0:v>2100.00</ns0:v>
      </ns0:c>
      <ns0:c r="V142" s="2">
        <ns0:f>SUM(V133:V140)</ns0:f>
        <ns0:v>2100.00</ns0:v>
      </ns0:c>
      <ns0:c r="W142" s="2">
        <ns0:f>SUM(W133:W140)</ns0:f>
        <ns0:v>2100.00</ns0:v>
      </ns0:c>
      <ns0:c r="X142" s="2">
        <ns0:f>SUM(X133:X140)</ns0:f>
        <ns0:v>2100.00</ns0:v>
      </ns0:c>
      <ns0:c r="Y142" s="2">
        <ns0:f>SUM(Y133:Y140)</ns0:f>
        <ns0:v>2100.00</ns0:v>
      </ns0:c>
      <ns0:c r="Z142" s="2">
        <ns0:f>SUM(Z133:Z140)</ns0:f>
        <ns0:v>2100.00</ns0:v>
      </ns0:c>
      <ns0:c r="AA142" s="2">
        <ns0:f>SUM(AA133:AA140)</ns0:f>
        <ns0:v>2100.00</ns0:v>
      </ns0:c>
      <ns0:c r="AB142" s="2">
        <ns0:f>SUM(P142:AA142)</ns0:f>
        <ns0:v>25200.00</ns0:v>
      </ns0:c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标准输入模板/1.0.5</ns0:t>
        </ns0:is>
      </ns0:c>
    </ns0:row>
    <ns0:row r="2" ht="20" customHeight="1">
      <ns0:c r="A2" s="7"/>
      <ns0:c r="B2" s="7" t="inlineStr">
        <ns0:is>
          <ns0:t>管理费用</ns0:t>
        </ns0:is>
      </ns0:c>
      <ns0:c r="C2" s="8"/>
      <ns0:c r="D2" s="8"/>
      <ns0:c r="E2" s="8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ENT-2027</ns0:t>
        </ns0:is>
      </ns0:c>
    </ns0:row>
    <ns0:row r="3" ht="20" customHeight="1">
      <ns0:c r="A3" s="7"/>
      <ns0:c r="B3" s="7"/>
      <ns0:c r="C3" s="9"/>
      <ns0:c r="D3" s="9"/>
      <ns0:c r="E3" s="9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峋瑞精密制造有限公司</ns0:t>
        </ns0:is>
      </ns0:c>
    </ns0:row>
    <ns0:row r="4" ht="20" customHeight="1">
      <ns0:c r="A4" s="7"/>
      <ns0:c r="B4" s="7"/>
      <ns0:c r="C4" s="8"/>
      <ns0:c r="D4" s="8"/>
      <ns0:c r="E4" s="8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S-BASE</ns0:t>
        </ns0:is>
      </ns0:c>
    </ns0:row>
    <ns0:row r="5" ht="20" customHeight="1">
      <ns0:c r="A5" s="7"/>
      <ns0:c r="B5" s="7"/>
      <ns0:c r="C5" s="8"/>
      <ns0:c r="D5" s="8"/>
      <ns0:c r="E5" s="8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/>
      <ns0:c r="C7" s="8"/>
      <ns0:c r="D7" s="8"/>
      <ns0:c r="E7" s="8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财务费用</ns0:t>
        </ns0:is>
      </ns0:c>
      <ns0:c r="C8" s="8"/>
      <ns0:c r="D8" s="8"/>
      <ns0:c r="E8" s="8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/>
      <ns0:c r="C9" s="8"/>
      <ns0:c r="D9" s="8"/>
      <ns0:c r="E9" s="8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/>
      <ns0:c r="C10" s="8"/>
      <ns0:c r="D10" s="8"/>
      <ns0:c r="E10" s="8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财务费用</ns0:t>
        </ns0:is>
      </ns0:c>
      <ns0:c r="C11" s="8"/>
      <ns0:c r="D11" s="8"/>
      <ns0:c r="E11" s="8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财务费用</ns0:t>
        </ns0:is>
      </ns0:c>
      <ns0:c r="C12" s="8"/>
      <ns0:c r="D12" s="8"/>
      <ns0:c r="E12" s="8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/>
      <ns0:c r="C13" s="8"/>
      <ns0:c r="D13" s="8"/>
      <ns0:c r="E13" s="8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/>
      <ns0:c r="C14" s="8"/>
      <ns0:c r="D14" s="8"/>
      <ns0:c r="E14" s="8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/>
      <ns0:c r="C15" s="8"/>
      <ns0:c r="D15" s="8"/>
      <ns0:c r="E15" s="8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/>
      <ns0:c r="C16" s="8"/>
      <ns0:c r="D16" s="8"/>
      <ns0:c r="E16" s="8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/>
      <ns0:c r="C17" s="8"/>
      <ns0:c r="D17" s="8"/>
      <ns0:c r="E17" s="8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防撞名声明：主体名称由固定种子从演示字号池与行业词随机组合生成，仅用于演示，与任何现实企业或组织无关；如有雷同纯属巧合。</ns0:t>
        </ns0:is>
      </ns0:c>
    </ns0:row>
    <ns0:row r="18" ht="20" customHeight="1">
      <ns0:c r="A18" s="7"/>
      <ns0:c r="B18" s="7"/>
      <ns0:c r="C18" s="8"/>
      <ns0:c r="D18" s="8"/>
      <ns0:c r="E18" s="8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/>
      <ns0:c r="C19" s="8"/>
      <ns0:c r="D19" s="8"/>
      <ns0:c r="E19" s="8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/>
      <ns0:c r="C20" s="8"/>
      <ns0:c r="D20" s="8"/>
      <ns0:c r="E20" s="8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/>
      <ns0:c r="B21" s="7"/>
      <ns0:c r="C21" s="8"/>
      <ns0:c r="D21" s="8"/>
      <ns0:c r="E21" s="8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/>
      <ns0:c r="C22" s="8"/>
      <ns0:c r="D22" s="8"/>
      <ns0:c r="E22" s="8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/>
      <ns0:c r="C23" s="8"/>
      <ns0:c r="D23" s="8"/>
      <ns0:c r="E23" s="8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/>
      <ns0:c r="C24" s="8"/>
      <ns0:c r="D24" s="8"/>
      <ns0:c r="E24" s="8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/>
      <ns0:c r="B25" s="7"/>
      <ns0:c r="C25" s="8"/>
      <ns0:c r="D25" s="8"/>
      <ns0:c r="E25" s="8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/>
      <ns0:c r="B26" s="7"/>
      <ns0:c r="C26" s="8"/>
      <ns0:c r="D26" s="8"/>
      <ns0:c r="E26" s="8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/>
      <ns0:c r="B27" s="7"/>
      <ns0:c r="C27" s="8"/>
      <ns0:c r="D27" s="8"/>
      <ns0:c r="E27" s="8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/>
      <ns0:c r="B28" s="7"/>
      <ns0:c r="C28" s="8"/>
      <ns0:c r="D28" s="8"/>
      <ns0:c r="E28" s="8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财务费用</ns0:t>
        </ns0:is>
      </ns0:c>
      <ns0:c r="C29" s="8"/>
      <ns0:c r="D29" s="8"/>
      <ns0:c r="E29" s="8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/>
      <ns0:c r="C30" s="9"/>
      <ns0:c r="D30" s="9"/>
      <ns0:c r="E30" s="9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/>
      <ns0:c r="B31" s="7"/>
      <ns0:c r="C31" s="8"/>
      <ns0:c r="D31" s="8"/>
      <ns0:c r="E31" s="8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财务费用</ns0:t>
        </ns0:is>
      </ns0:c>
      <ns0:c r="C32" s="8"/>
      <ns0:c r="D32" s="8"/>
      <ns0:c r="E32" s="8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/>
      <ns0:c r="B33" s="7" t="inlineStr">
        <ns0:is>
          <ns0:t>管理费用</ns0:t>
        </ns0:is>
      </ns0:c>
      <ns0:c r="C33" s="8"/>
      <ns0:c r="D33" s="8"/>
      <ns0:c r="E33" s="8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/>
      <ns0:c r="B34" s="7"/>
      <ns0:c r="C34" s="8"/>
      <ns0:c r="D34" s="8"/>
      <ns0:c r="E34" s="8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/>
      <ns0:c r="B35" s="7" t="inlineStr">
        <ns0:is>
          <ns0:t>管理费用</ns0:t>
        </ns0:is>
      </ns0:c>
      <ns0:c r="C35" s="8"/>
      <ns0:c r="D35" s="8"/>
      <ns0:c r="E35" s="8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/>
      <ns0:c r="B36" s="7"/>
      <ns0:c r="C36" s="8"/>
      <ns0:c r="D36" s="8"/>
      <ns0:c r="E36" s="8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/>
      <ns0:c r="B38" s="7"/>
      <ns0:c r="C38" s="8"/>
      <ns0:c r="D38" s="8"/>
      <ns0:c r="E38" s="8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/>
      <ns0:c r="B39" s="7"/>
      <ns0:c r="C39" s="8"/>
      <ns0:c r="D39" s="8"/>
      <ns0:c r="E39" s="8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/>
      <ns0:c r="B40" s="7"/>
      <ns0:c r="C40" s="8"/>
      <ns0:c r="D40" s="8"/>
      <ns0:c r="E40" s="8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7"/>
      <ns0:c r="B41" s="7"/>
      <ns0:c r="C41" s="8"/>
      <ns0:c r="D41" s="8"/>
      <ns0:c r="E41" s="8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 t="inlineStr">
        <ns0:is>
          <ns0:t>管理费用</ns0:t>
        </ns0:is>
      </ns0:c>
      <ns0:c r="C43" s="8"/>
      <ns0:c r="D43" s="8"/>
      <ns0:c r="E43" s="8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 t="inlineStr">
        <ns0:is>
          <ns0:t>管理费用</ns0:t>
        </ns0:is>
      </ns0:c>
      <ns0:c r="C45" s="8"/>
      <ns0:c r="D45" s="8"/>
      <ns0:c r="E45" s="8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7"/>
      <ns0:c r="B46" s="7"/>
      <ns0:c r="C46" s="8"/>
      <ns0:c r="D46" s="8"/>
      <ns0:c r="E46" s="8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7"/>
      <ns0:c r="B47" s="7" t="inlineStr">
        <ns0:is>
          <ns0:t>管理费用</ns0:t>
        </ns0:is>
      </ns0:c>
      <ns0:c r="C47" s="8"/>
      <ns0:c r="D47" s="8"/>
      <ns0:c r="E47" s="8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7"/>
      <ns0:c r="B48" s="7"/>
      <ns0:c r="C48" s="8"/>
      <ns0:c r="D48" s="8"/>
      <ns0:c r="E48" s="8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7"/>
      <ns0:c r="B49" s="7" t="inlineStr">
        <ns0:is>
          <ns0:t>管理费用</ns0:t>
        </ns0:is>
      </ns0:c>
      <ns0:c r="C49" s="8"/>
      <ns0:c r="D49" s="8"/>
      <ns0:c r="E49" s="8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7"/>
      <ns0:c r="B50" s="7"/>
      <ns0:c r="C50" s="8"/>
      <ns0:c r="D50" s="8"/>
      <ns0:c r="E50" s="8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7"/>
      <ns0:c r="B51" s="7"/>
      <ns0:c r="C51" s="8"/>
      <ns0:c r="D51" s="8"/>
      <ns0:c r="E51" s="8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7"/>
      <ns0:c r="B52" s="7"/>
      <ns0:c r="C52" s="8"/>
      <ns0:c r="D52" s="8"/>
      <ns0:c r="E52" s="8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7"/>
      <ns0:c r="B53" s="7"/>
      <ns0:c r="C53" s="8"/>
      <ns0:c r="D53" s="8"/>
      <ns0:c r="E53" s="8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7"/>
      <ns0:c r="B54" s="7"/>
      <ns0:c r="C54" s="8"/>
      <ns0:c r="D54" s="8"/>
      <ns0:c r="E54" s="8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7"/>
      <ns0:c r="B55" s="7"/>
      <ns0:c r="C55" s="8"/>
      <ns0:c r="D55" s="8"/>
      <ns0:c r="E55" s="8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7"/>
      <ns0:c r="B56" s="7"/>
      <ns0:c r="C56" s="8"/>
      <ns0:c r="D56" s="8"/>
      <ns0:c r="E56" s="8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7"/>
      <ns0:c r="B57" s="7"/>
      <ns0:c r="C57" s="8"/>
      <ns0:c r="D57" s="8"/>
      <ns0:c r="E57" s="8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7"/>
      <ns0:c r="B58" s="7"/>
      <ns0:c r="C58" s="8"/>
      <ns0:c r="D58" s="8"/>
      <ns0:c r="E58" s="8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7"/>
      <ns0:c r="B59" s="7"/>
      <ns0:c r="C59" s="8"/>
      <ns0:c r="D59" s="8"/>
      <ns0:c r="E59" s="8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7"/>
      <ns0:c r="B60" s="10"/>
      <ns0:c r="C60" s="9"/>
      <ns0:c r="D60" s="9"/>
      <ns0:c r="E60" s="9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7"/>
      <ns0:c r="B61" s="7"/>
      <ns0:c r="C61" s="8"/>
      <ns0:c r="D61" s="8"/>
      <ns0:c r="E61" s="8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7"/>
      <ns0:c r="B62" s="7"/>
      <ns0:c r="C62" s="8"/>
      <ns0:c r="D62" s="8"/>
      <ns0:c r="E62" s="8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7"/>
      <ns0:c r="B63" s="7"/>
      <ns0:c r="C63" s="8"/>
      <ns0:c r="D63" s="8"/>
      <ns0:c r="E63" s="8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7"/>
      <ns0:c r="B64" s="7"/>
      <ns0:c r="C64" s="8"/>
      <ns0:c r="D64" s="8"/>
      <ns0:c r="E64" s="8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7"/>
      <ns0:c r="B65" s="7"/>
      <ns0:c r="C65" s="8"/>
      <ns0:c r="D65" s="8"/>
      <ns0:c r="E65" s="8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7"/>
      <ns0:c r="B66" s="7"/>
      <ns0:c r="C66" s="8"/>
      <ns0:c r="D66" s="8"/>
      <ns0:c r="E66" s="8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7"/>
      <ns0:c r="B67" s="7"/>
      <ns0:c r="C67" s="8"/>
      <ns0:c r="D67" s="8"/>
      <ns0:c r="E67" s="8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7"/>
      <ns0:c r="B68" s="7"/>
      <ns0:c r="C68" s="8"/>
      <ns0:c r="D68" s="8"/>
      <ns0:c r="E68" s="8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7"/>
      <ns0:c r="B69" s="7"/>
      <ns0:c r="C69" s="8"/>
      <ns0:c r="D69" s="8"/>
      <ns0:c r="E69" s="8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7"/>
      <ns0:c r="B70" s="7"/>
      <ns0:c r="C70" s="8"/>
      <ns0:c r="D70" s="8"/>
      <ns0:c r="E70" s="8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7"/>
      <ns0:c r="B71" s="7"/>
      <ns0:c r="C71" s="8"/>
      <ns0:c r="D71" s="8"/>
      <ns0:c r="E71" s="8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7"/>
      <ns0:c r="B72" s="7"/>
      <ns0:c r="C72" s="8"/>
      <ns0:c r="D72" s="8"/>
      <ns0:c r="E72" s="8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7"/>
      <ns0:c r="B73" s="7"/>
      <ns0:c r="C73" s="8"/>
      <ns0:c r="D73" s="8"/>
      <ns0:c r="E73" s="8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7"/>
      <ns0:c r="B74" s="7"/>
      <ns0:c r="C74" s="8"/>
      <ns0:c r="D74" s="8"/>
      <ns0:c r="E74" s="8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7"/>
      <ns0:c r="B75" s="7"/>
      <ns0:c r="C75" s="8"/>
      <ns0:c r="D75" s="8"/>
      <ns0:c r="E75" s="8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7"/>
      <ns0:c r="B76" s="7"/>
      <ns0:c r="C76" s="8"/>
      <ns0:c r="D76" s="8"/>
      <ns0:c r="E76" s="8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7"/>
      <ns0:c r="B77" s="7"/>
      <ns0:c r="C77" s="8"/>
      <ns0:c r="D77" s="8"/>
      <ns0:c r="E77" s="8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7"/>
      <ns0:c r="B78" s="7"/>
      <ns0:c r="C78" s="8"/>
      <ns0:c r="D78" s="8"/>
      <ns0:c r="E78" s="8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7"/>
      <ns0:c r="B79" s="7"/>
      <ns0:c r="C79" s="8"/>
      <ns0:c r="D79" s="8"/>
      <ns0:c r="E79" s="8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7"/>
      <ns0:c r="B80" s="7" t="inlineStr">
        <ns0:is>
          <ns0:t>管理费用</ns0:t>
        </ns0:is>
      </ns0:c>
      <ns0:c r="C80" s="8"/>
      <ns0:c r="D80" s="8"/>
      <ns0:c r="E80" s="8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7"/>
      <ns0:c r="B81" s="7"/>
      <ns0:c r="C81" s="8"/>
      <ns0:c r="D81" s="8"/>
      <ns0:c r="E81" s="8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7"/>
      <ns0:c r="B82" s="7"/>
      <ns0:c r="C82" s="8"/>
      <ns0:c r="D82" s="8"/>
      <ns0:c r="E82" s="8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7"/>
      <ns0:c r="B83" s="7"/>
      <ns0:c r="C83" s="8"/>
      <ns0:c r="D83" s="8"/>
      <ns0:c r="E83" s="8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7"/>
      <ns0:c r="B84" s="7"/>
      <ns0:c r="C84" s="8"/>
      <ns0:c r="D84" s="8"/>
      <ns0:c r="E84" s="8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7"/>
      <ns0:c r="B85" s="7"/>
      <ns0:c r="C85" s="8"/>
      <ns0:c r="D85" s="8"/>
      <ns0:c r="E85" s="8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7"/>
      <ns0:c r="B86" s="7"/>
      <ns0:c r="C86" s="8"/>
      <ns0:c r="D86" s="8"/>
      <ns0:c r="E86" s="8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7"/>
      <ns0:c r="B87" s="7"/>
      <ns0:c r="C87" s="8"/>
      <ns0:c r="D87" s="8"/>
      <ns0:c r="E87" s="8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7"/>
      <ns0:c r="B88" s="7"/>
      <ns0:c r="C88" s="8"/>
      <ns0:c r="D88" s="8"/>
      <ns0:c r="E88" s="8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7"/>
      <ns0:c r="B89" s="7"/>
      <ns0:c r="C89" s="8"/>
      <ns0:c r="D89" s="8"/>
      <ns0:c r="E89" s="8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7"/>
      <ns0:c r="B90" s="10"/>
      <ns0:c r="C90" s="9"/>
      <ns0:c r="D90" s="9"/>
      <ns0:c r="E90" s="9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7"/>
      <ns0:c r="B91" s="7"/>
      <ns0:c r="C91" s="8"/>
      <ns0:c r="D91" s="8"/>
      <ns0:c r="E91" s="8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7"/>
      <ns0:c r="B92" s="7"/>
      <ns0:c r="C92" s="8"/>
      <ns0:c r="D92" s="8"/>
      <ns0:c r="E92" s="8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7"/>
      <ns0:c r="B93" s="7"/>
      <ns0:c r="C93" s="8"/>
      <ns0:c r="D93" s="8"/>
      <ns0:c r="E93" s="8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7"/>
      <ns0:c r="B94" s="7"/>
      <ns0:c r="C94" s="8"/>
      <ns0:c r="D94" s="8"/>
      <ns0:c r="E94" s="8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7"/>
      <ns0:c r="B95" s="7"/>
      <ns0:c r="C95" s="8"/>
      <ns0:c r="D95" s="8"/>
      <ns0:c r="E95" s="8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7"/>
      <ns0:c r="B96" s="7"/>
      <ns0:c r="C96" s="8"/>
      <ns0:c r="D96" s="8"/>
      <ns0:c r="E96" s="8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7"/>
      <ns0:c r="B97" s="7"/>
      <ns0:c r="C97" s="8"/>
      <ns0:c r="D97" s="8"/>
      <ns0:c r="E97" s="8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7"/>
      <ns0:c r="B98" s="7"/>
      <ns0:c r="C98" s="8"/>
      <ns0:c r="D98" s="8"/>
      <ns0:c r="E98" s="8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7"/>
      <ns0:c r="B99" s="7"/>
      <ns0:c r="C99" s="8"/>
      <ns0:c r="D99" s="8"/>
      <ns0:c r="E99" s="8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7"/>
      <ns0:c r="B100" s="7"/>
      <ns0:c r="C100" s="8"/>
      <ns0:c r="D100" s="8"/>
      <ns0:c r="E100" s="8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7"/>
      <ns0:c r="B101" s="7"/>
      <ns0:c r="C101" s="8"/>
      <ns0:c r="D101" s="8"/>
      <ns0:c r="E101" s="8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7"/>
      <ns0:c r="B102" s="7"/>
      <ns0:c r="C102" s="8"/>
      <ns0:c r="D102" s="8"/>
      <ns0:c r="E102" s="8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7"/>
      <ns0:c r="B103" s="7"/>
      <ns0:c r="C103" s="8"/>
      <ns0:c r="D103" s="8"/>
      <ns0:c r="E103" s="8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7"/>
      <ns0:c r="B104" s="7"/>
      <ns0:c r="C104" s="8"/>
      <ns0:c r="D104" s="8"/>
      <ns0:c r="E104" s="8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7"/>
      <ns0:c r="B105" s="7"/>
      <ns0:c r="C105" s="8"/>
      <ns0:c r="D105" s="8"/>
      <ns0:c r="E105" s="8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7"/>
      <ns0:c r="B106" s="7"/>
      <ns0:c r="C106" s="8"/>
      <ns0:c r="D106" s="8"/>
      <ns0:c r="E106" s="8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7"/>
      <ns0:c r="B107" s="7"/>
      <ns0:c r="C107" s="8"/>
      <ns0:c r="D107" s="8"/>
      <ns0:c r="E107" s="8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7"/>
      <ns0:c r="B108" s="7"/>
      <ns0:c r="C108" s="8"/>
      <ns0:c r="D108" s="8"/>
      <ns0:c r="E108" s="8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7"/>
      <ns0:c r="B109" s="7"/>
      <ns0:c r="C109" s="8"/>
      <ns0:c r="D109" s="8"/>
      <ns0:c r="E109" s="8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7"/>
      <ns0:c r="B110" s="7"/>
      <ns0:c r="C110" s="8"/>
      <ns0:c r="D110" s="8"/>
      <ns0:c r="E110" s="8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7"/>
      <ns0:c r="B111" s="7" t="inlineStr">
        <ns0:is>
          <ns0:t>财务费用</ns0:t>
        </ns0:is>
      </ns0:c>
      <ns0:c r="C111" s="8"/>
      <ns0:c r="D111" s="8"/>
      <ns0:c r="E111" s="8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7"/>
      <ns0:c r="B112" s="7"/>
      <ns0:c r="C112" s="8"/>
      <ns0:c r="D112" s="8"/>
      <ns0:c r="E112" s="8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7"/>
      <ns0:c r="B113" s="7"/>
      <ns0:c r="C113" s="8"/>
      <ns0:c r="D113" s="8"/>
      <ns0:c r="E113" s="8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7"/>
      <ns0:c r="B114" s="7"/>
      <ns0:c r="C114" s="8"/>
      <ns0:c r="D114" s="8"/>
      <ns0:c r="E114" s="8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7"/>
      <ns0:c r="B115" s="7"/>
      <ns0:c r="C115" s="8"/>
      <ns0:c r="D115" s="8"/>
      <ns0:c r="E115" s="8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7"/>
      <ns0:c r="B116" s="7"/>
      <ns0:c r="C116" s="8"/>
      <ns0:c r="D116" s="8"/>
      <ns0:c r="E116" s="8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7"/>
      <ns0:c r="B117" s="7"/>
      <ns0:c r="C117" s="8"/>
      <ns0:c r="D117" s="8"/>
      <ns0:c r="E117" s="8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7"/>
      <ns0:c r="B118" s="7"/>
      <ns0:c r="C118" s="8"/>
      <ns0:c r="D118" s="8"/>
      <ns0:c r="E118" s="8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7"/>
      <ns0:c r="B119" s="7"/>
      <ns0:c r="C119" s="8"/>
      <ns0:c r="D119" s="8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7"/>
      <ns0:c r="B120" s="10"/>
      <ns0:c r="C120" s="9"/>
      <ns0:c r="D120" s="9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7"/>
      <ns0:c r="B121" s="7"/>
      <ns0:c r="C121" s="8"/>
      <ns0:c r="D121" s="8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 t="inlineStr">
        <ns0:is>
          <ns0:t>分录全账区（契约v1.1·含现金流科目对照列）</ns0:t>
        </ns0:is>
      </ns0:c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7"/>
      <ns0:c r="B122" s="7"/>
      <ns0:c r="C122" s="8"/>
      <ns0:c r="D122" s="8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 t="inlineStr">
        <ns0:is>
          <ns0:t>月份（YYYY-MM）</ns0:t>
        </ns0:is>
      </ns0:c>
      <ns0:c r="P122" s="2" t="inlineStr">
        <ns0:is>
          <ns0:t>摘要</ns0:t>
        </ns0:is>
      </ns0:c>
      <ns0:c r="Q122" s="2" t="inlineStr">
        <ns0:is>
          <ns0:t>借方科目</ns0:t>
        </ns0:is>
      </ns0:c>
      <ns0:c r="R122" s="2" t="inlineStr">
        <ns0:is>
          <ns0:t>贷方科目</ns0:t>
        </ns0:is>
      </ns0:c>
      <ns0:c r="S122" s="2" t="inlineStr">
        <ns0:is>
          <ns0:t>借方金额</ns0:t>
        </ns0:is>
      </ns0:c>
      <ns0:c r="T122" s="2" t="inlineStr">
        <ns0:is>
          <ns0:t>贷方金额</ns0:t>
        </ns0:is>
      </ns0:c>
      <ns0:c r="U122" s="2" t="inlineStr">
        <ns0:is>
          <ns0:t>现金流对照（现金流量表主体区行号）</ns0:t>
        </ns0:is>
      </ns0:c>
      <ns0:c r="V122" s="2" t="inlineStr">
        <ns0:is>
          <ns0:t>分录号</ns0:t>
        </ns0:is>
      </ns0:c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 t="inlineStr">
        <ns0:is>
          <ns0:t>2027-01</ns0:t>
        </ns0:is>
      </ns0:c>
      <ns0:c r="P124" s="2" t="inlineStr">
        <ns0:is>
          <ns0:t>V11-实时经营-01-1 销售收现（演示）</ns0:t>
        </ns0:is>
      </ns0:c>
      <ns0:c r="Q124" s="2" t="inlineStr">
        <ns0:is>
          <ns0:t>银行存款</ns0:t>
        </ns0:is>
      </ns0:c>
      <ns0:c r="R124" s="2" t="inlineStr">
        <ns0:is>
          <ns0:t>主营业务收入</ns0:t>
        </ns0:is>
      </ns0:c>
      <ns0:c r="S124" s="2">
        <ns0:v>383277.73</ns0:v>
      </ns0:c>
      <ns0:c r="T124" s="2">
        <ns0:v>383277.73</ns0:v>
      </ns0:c>
      <ns0:c r="U124" s="2">
        <ns0:v>4</ns0:v>
      </ns0:c>
      <ns0:c r="V124" s="2" t="inlineStr">
        <ns0:is>
          <ns0:t>V11-124</ns0:t>
        </ns0:is>
      </ns0:c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 t="inlineStr">
        <ns0:is>
          <ns0:t>2027-01</ns0:t>
        </ns0:is>
      </ns0:c>
      <ns0:c r="P125" s="2" t="inlineStr">
        <ns0:is>
          <ns0:t>V11-实时经营-01-2 采购付现（演示）</ns0:t>
        </ns0:is>
      </ns0:c>
      <ns0:c r="Q125" s="2" t="inlineStr">
        <ns0:is>
          <ns0:t>主营业务成本</ns0:t>
        </ns0:is>
      </ns0:c>
      <ns0:c r="R125" s="2" t="inlineStr">
        <ns0:is>
          <ns0:t>银行存款</ns0:t>
        </ns0:is>
      </ns0:c>
      <ns0:c r="S125" s="2">
        <ns0:v>139245.78</ns0:v>
      </ns0:c>
      <ns0:c r="T125" s="2">
        <ns0:v>139245.78</ns0:v>
      </ns0:c>
      <ns0:c r="U125" s="2">
        <ns0:v>8</ns0:v>
      </ns0:c>
      <ns0:c r="V125" s="2" t="inlineStr">
        <ns0:is>
          <ns0:t>V11-125</ns0:t>
        </ns0:is>
      </ns0:c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 t="inlineStr">
        <ns0:is>
          <ns0:t>2027-01</ns0:t>
        </ns0:is>
      </ns0:c>
      <ns0:c r="P126" s="2" t="inlineStr">
        <ns0:is>
          <ns0:t>V11-实时经营-01-3 工资社保付现（演示）</ns0:t>
        </ns0:is>
      </ns0:c>
      <ns0:c r="Q126" s="2" t="inlineStr">
        <ns0:is>
          <ns0:t>应付职工薪酬</ns0:t>
        </ns0:is>
      </ns0:c>
      <ns0:c r="R126" s="2" t="inlineStr">
        <ns0:is>
          <ns0:t>银行存款</ns0:t>
        </ns0:is>
      </ns0:c>
      <ns0:c r="S126" s="2">
        <ns0:v>132966.16</ns0:v>
      </ns0:c>
      <ns0:c r="T126" s="2">
        <ns0:v>132966.16</ns0:v>
      </ns0:c>
      <ns0:c r="U126" s="2">
        <ns0:v>9</ns0:v>
      </ns0:c>
      <ns0:c r="V126" s="2" t="inlineStr">
        <ns0:is>
          <ns0:t>V11-126</ns0:t>
        </ns0:is>
      </ns0:c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 t="inlineStr">
        <ns0:is>
          <ns0:t>2027-01</ns0:t>
        </ns0:is>
      </ns0:c>
      <ns0:c r="P127" s="2" t="inlineStr">
        <ns0:is>
          <ns0:t>V11-实时经营-01-4 税费付现（演示）</ns0:t>
        </ns0:is>
      </ns0:c>
      <ns0:c r="Q127" s="2" t="inlineStr">
        <ns0:is>
          <ns0:t>税金及附加</ns0:t>
        </ns0:is>
      </ns0:c>
      <ns0:c r="R127" s="2" t="inlineStr">
        <ns0:is>
          <ns0:t>银行存款</ns0:t>
        </ns0:is>
      </ns0:c>
      <ns0:c r="S127" s="2">
        <ns0:v>4011.18</ns0:v>
      </ns0:c>
      <ns0:c r="T127" s="2">
        <ns0:v>4011.18</ns0:v>
      </ns0:c>
      <ns0:c r="U127" s="2">
        <ns0:v>10</ns0:v>
      </ns0:c>
      <ns0:c r="V127" s="2" t="inlineStr">
        <ns0:is>
          <ns0:t>V11-127</ns0:t>
        </ns0:is>
      </ns0:c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 t="inlineStr">
        <ns0:is>
          <ns0:t>2027-01</ns0:t>
        </ns0:is>
      </ns0:c>
      <ns0:c r="P128" s="2" t="inlineStr">
        <ns0:is>
          <ns0:t>V11-实时经营-01-5 费用付现（演示合并）</ns0:t>
        </ns0:is>
      </ns0:c>
      <ns0:c r="Q128" s="2" t="inlineStr">
        <ns0:is>
          <ns0:t>费用（演示合并）</ns0:t>
        </ns0:is>
      </ns0:c>
      <ns0:c r="R128" s="2" t="inlineStr">
        <ns0:is>
          <ns0:t>银行存款</ns0:t>
        </ns0:is>
      </ns0:c>
      <ns0:c r="S128" s="2">
        <ns0:v>59100.24</ns0:v>
      </ns0:c>
      <ns0:c r="T128" s="2">
        <ns0:v>59100.24</ns0:v>
      </ns0:c>
      <ns0:c r="U128" s="2">
        <ns0:v>11</ns0:v>
      </ns0:c>
      <ns0:c r="V128" s="2" t="inlineStr">
        <ns0:is>
          <ns0:t>V11-128</ns0:t>
        </ns0:is>
      </ns0:c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8"/>
      <ns0:c r="D129" s="8"/>
      <ns0:c r="E129" s="8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 t="inlineStr">
        <ns0:is>
          <ns0:t>2027-01</ns0:t>
        </ns0:is>
      </ns0:c>
      <ns0:c r="P129" s="2" t="inlineStr">
        <ns0:is>
          <ns0:t>V11-实时经营-01-6 计提摊销（非现金）</ns0:t>
        </ns0:is>
      </ns0:c>
      <ns0:c r="Q129" s="2" t="inlineStr">
        <ns0:is>
          <ns0:t>折旧及摊销</ns0:t>
        </ns0:is>
      </ns0:c>
      <ns0:c r="R129" s="2" t="inlineStr">
        <ns0:is>
          <ns0:t>长期待摊费用</ns0:t>
        </ns0:is>
      </ns0:c>
      <ns0:c r="S129" s="2">
        <ns0:v>2100.00</ns0:v>
      </ns0:c>
      <ns0:c r="T129" s="2">
        <ns0:v>2100.00</ns0:v>
      </ns0:c>
      <ns0:c r="U129" s="2"/>
      <ns0:c r="V129" s="2" t="inlineStr">
        <ns0:is>
          <ns0:t>V11-129</ns0:t>
        </ns0:is>
      </ns0:c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8"/>
      <ns0:c r="D130" s="8"/>
      <ns0:c r="E130" s="8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 t="inlineStr">
        <ns0:is>
          <ns0:t>2027-01</ns0:t>
        </ns0:is>
      </ns0:c>
      <ns0:c r="P130" s="2" t="inlineStr">
        <ns0:is>
          <ns0:t>V11-实时经营-01-7 计提所得税（非现金）</ns0:t>
        </ns0:is>
      </ns0:c>
      <ns0:c r="Q130" s="2" t="inlineStr">
        <ns0:is>
          <ns0:t>所得税费用</ns0:t>
        </ns0:is>
      </ns0:c>
      <ns0:c r="R130" s="2" t="inlineStr">
        <ns0:is>
          <ns0:t>应交税费</ns0:t>
        </ns0:is>
      </ns0:c>
      <ns0:c r="S130" s="2">
        <ns0:v>15284.79</ns0:v>
      </ns0:c>
      <ns0:c r="T130" s="2">
        <ns0:v>15284.79</ns0:v>
      </ns0:c>
      <ns0:c r="U130" s="2"/>
      <ns0:c r="V130" s="2" t="inlineStr">
        <ns0:is>
          <ns0:t>V11-130</ns0:t>
        </ns0:is>
      </ns0:c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8"/>
      <ns0:c r="D131" s="8"/>
      <ns0:c r="E131" s="8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 t="inlineStr">
        <ns0:is>
          <ns0:t>2027-01</ns0:t>
        </ns0:is>
      </ns0:c>
      <ns0:c r="P131" s="2" t="inlineStr">
        <ns0:is>
          <ns0:t>V11-实时经营-01-8 收入结转（非现金）</ns0:t>
        </ns0:is>
      </ns0:c>
      <ns0:c r="Q131" s="2" t="inlineStr">
        <ns0:is>
          <ns0:t>主营业务收入</ns0:t>
        </ns0:is>
      </ns0:c>
      <ns0:c r="R131" s="2" t="inlineStr">
        <ns0:is>
          <ns0:t>本年利润</ns0:t>
        </ns0:is>
      </ns0:c>
      <ns0:c r="S131" s="2">
        <ns0:v>401118.18</ns0:v>
      </ns0:c>
      <ns0:c r="T131" s="2">
        <ns0:v>401118.18</ns0:v>
      </ns0:c>
      <ns0:c r="U131" s="2"/>
      <ns0:c r="V131" s="2" t="inlineStr">
        <ns0:is>
          <ns0:t>V11-131</ns0:t>
        </ns0:is>
      </ns0:c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8"/>
      <ns0:c r="D132" s="8"/>
      <ns0:c r="E132" s="8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 t="inlineStr">
        <ns0:is>
          <ns0:t>2027-01</ns0:t>
        </ns0:is>
      </ns0:c>
      <ns0:c r="P132" s="2" t="inlineStr">
        <ns0:is>
          <ns0:t>V11-实时经营-01-9 支出结转（非现金）</ns0:t>
        </ns0:is>
      </ns0:c>
      <ns0:c r="Q132" s="2" t="inlineStr">
        <ns0:is>
          <ns0:t>本年利润</ns0:t>
        </ns0:is>
      </ns0:c>
      <ns0:c r="R132" s="2" t="inlineStr">
        <ns0:is>
          <ns0:t>成本费用（演示合并）</ns0:t>
        </ns0:is>
      </ns0:c>
      <ns0:c r="S132" s="2">
        <ns0:v>337423.36</ns0:v>
      </ns0:c>
      <ns0:c r="T132" s="2">
        <ns0:v>337423.36</ns0:v>
      </ns0:c>
      <ns0:c r="U132" s="2"/>
      <ns0:c r="V132" s="2" t="inlineStr">
        <ns0:is>
          <ns0:t>V11-132</ns0:t>
        </ns0:is>
      </ns0:c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8"/>
      <ns0:c r="D133" s="8"/>
      <ns0:c r="E133" s="8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 t="inlineStr">
        <ns0:is>
          <ns0:t>2027-02</ns0:t>
        </ns0:is>
      </ns0:c>
      <ns0:c r="P133" s="2" t="inlineStr">
        <ns0:is>
          <ns0:t>V11-实时经营-02-1 销售收现（演示）</ns0:t>
        </ns0:is>
      </ns0:c>
      <ns0:c r="Q133" s="2" t="inlineStr">
        <ns0:is>
          <ns0:t>银行存款</ns0:t>
        </ns0:is>
      </ns0:c>
      <ns0:c r="R133" s="2" t="inlineStr">
        <ns0:is>
          <ns0:t>主营业务收入</ns0:t>
        </ns0:is>
      </ns0:c>
      <ns0:c r="S133" s="2">
        <ns0:v>397580.27</ns0:v>
      </ns0:c>
      <ns0:c r="T133" s="2">
        <ns0:v>397580.27</ns0:v>
      </ns0:c>
      <ns0:c r="U133" s="2">
        <ns0:v>4</ns0:v>
      </ns0:c>
      <ns0:c r="V133" s="2" t="inlineStr">
        <ns0:is>
          <ns0:t>V11-133</ns0:t>
        </ns0:is>
      </ns0:c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8"/>
      <ns0:c r="D134" s="8"/>
      <ns0:c r="E134" s="8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 t="inlineStr">
        <ns0:is>
          <ns0:t>2027-02</ns0:t>
        </ns0:is>
      </ns0:c>
      <ns0:c r="P134" s="2" t="inlineStr">
        <ns0:is>
          <ns0:t>V11-实时经营-02-2 采购付现（演示）</ns0:t>
        </ns0:is>
      </ns0:c>
      <ns0:c r="Q134" s="2" t="inlineStr">
        <ns0:is>
          <ns0:t>主营业务成本</ns0:t>
        </ns0:is>
      </ns0:c>
      <ns0:c r="R134" s="2" t="inlineStr">
        <ns0:is>
          <ns0:t>银行存款</ns0:t>
        </ns0:is>
      </ns0:c>
      <ns0:c r="S134" s="2">
        <ns0:v>148069.53</ns0:v>
      </ns0:c>
      <ns0:c r="T134" s="2">
        <ns0:v>148069.53</ns0:v>
      </ns0:c>
      <ns0:c r="U134" s="2">
        <ns0:v>8</ns0:v>
      </ns0:c>
      <ns0:c r="V134" s="2" t="inlineStr">
        <ns0:is>
          <ns0:t>V11-134</ns0:t>
        </ns0:is>
      </ns0:c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8"/>
      <ns0:c r="D135" s="8"/>
      <ns0:c r="E135" s="8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 t="inlineStr">
        <ns0:is>
          <ns0:t>2027-02</ns0:t>
        </ns0:is>
      </ns0:c>
      <ns0:c r="P135" s="2" t="inlineStr">
        <ns0:is>
          <ns0:t>V11-实时经营-02-3 工资社保付现（演示）</ns0:t>
        </ns0:is>
      </ns0:c>
      <ns0:c r="Q135" s="2" t="inlineStr">
        <ns0:is>
          <ns0:t>应付职工薪酬</ns0:t>
        </ns0:is>
      </ns0:c>
      <ns0:c r="R135" s="2" t="inlineStr">
        <ns0:is>
          <ns0:t>银行存款</ns0:t>
        </ns0:is>
      </ns0:c>
      <ns0:c r="S135" s="2">
        <ns0:v>131526.91</ns0:v>
      </ns0:c>
      <ns0:c r="T135" s="2">
        <ns0:v>131526.91</ns0:v>
      </ns0:c>
      <ns0:c r="U135" s="2">
        <ns0:v>9</ns0:v>
      </ns0:c>
      <ns0:c r="V135" s="2" t="inlineStr">
        <ns0:is>
          <ns0:t>V11-135</ns0:t>
        </ns0:is>
      </ns0:c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8"/>
      <ns0:c r="D136" s="8"/>
      <ns0:c r="E136" s="8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 t="inlineStr">
        <ns0:is>
          <ns0:t>2027-02</ns0:t>
        </ns0:is>
      </ns0:c>
      <ns0:c r="P136" s="2" t="inlineStr">
        <ns0:is>
          <ns0:t>V11-实时经营-02-4 税费付现（演示）</ns0:t>
        </ns0:is>
      </ns0:c>
      <ns0:c r="Q136" s="2" t="inlineStr">
        <ns0:is>
          <ns0:t>税金及附加</ns0:t>
        </ns0:is>
      </ns0:c>
      <ns0:c r="R136" s="2" t="inlineStr">
        <ns0:is>
          <ns0:t>银行存款</ns0:t>
        </ns0:is>
      </ns0:c>
      <ns0:c r="S136" s="2">
        <ns0:v>4181.45</ns0:v>
      </ns0:c>
      <ns0:c r="T136" s="2">
        <ns0:v>4181.45</ns0:v>
      </ns0:c>
      <ns0:c r="U136" s="2">
        <ns0:v>10</ns0:v>
      </ns0:c>
      <ns0:c r="V136" s="2" t="inlineStr">
        <ns0:is>
          <ns0:t>V11-136</ns0:t>
        </ns0:is>
      </ns0:c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8"/>
      <ns0:c r="D137" s="8"/>
      <ns0:c r="E137" s="8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 t="inlineStr">
        <ns0:is>
          <ns0:t>2027-02</ns0:t>
        </ns0:is>
      </ns0:c>
      <ns0:c r="P137" s="2" t="inlineStr">
        <ns0:is>
          <ns0:t>V11-实时经营-02-5 费用付现（演示合并）</ns0:t>
        </ns0:is>
      </ns0:c>
      <ns0:c r="Q137" s="2" t="inlineStr">
        <ns0:is>
          <ns0:t>费用（演示合并）</ns0:t>
        </ns0:is>
      </ns0:c>
      <ns0:c r="R137" s="2" t="inlineStr">
        <ns0:is>
          <ns0:t>银行存款</ns0:t>
        </ns0:is>
      </ns0:c>
      <ns0:c r="S137" s="2">
        <ns0:v>58387.75</ns0:v>
      </ns0:c>
      <ns0:c r="T137" s="2">
        <ns0:v>58387.75</ns0:v>
      </ns0:c>
      <ns0:c r="U137" s="2">
        <ns0:v>11</ns0:v>
      </ns0:c>
      <ns0:c r="V137" s="2" t="inlineStr">
        <ns0:is>
          <ns0:t>V11-137</ns0:t>
        </ns0:is>
      </ns0:c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8"/>
      <ns0:c r="D138" s="8"/>
      <ns0:c r="E138" s="8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 t="inlineStr">
        <ns0:is>
          <ns0:t>2027-02</ns0:t>
        </ns0:is>
      </ns0:c>
      <ns0:c r="P138" s="2" t="inlineStr">
        <ns0:is>
          <ns0:t>V11-实时经营-02-6 计提摊销（非现金）</ns0:t>
        </ns0:is>
      </ns0:c>
      <ns0:c r="Q138" s="2" t="inlineStr">
        <ns0:is>
          <ns0:t>折旧及摊销</ns0:t>
        </ns0:is>
      </ns0:c>
      <ns0:c r="R138" s="2" t="inlineStr">
        <ns0:is>
          <ns0:t>长期待摊费用</ns0:t>
        </ns0:is>
      </ns0:c>
      <ns0:c r="S138" s="2">
        <ns0:v>2100.00</ns0:v>
      </ns0:c>
      <ns0:c r="T138" s="2">
        <ns0:v>2100.00</ns0:v>
      </ns0:c>
      <ns0:c r="U138" s="2"/>
      <ns0:c r="V138" s="2" t="inlineStr">
        <ns0:is>
          <ns0:t>V11-138</ns0:t>
        </ns0:is>
      </ns0:c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8"/>
      <ns0:c r="D139" s="8"/>
      <ns0:c r="E139" s="8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 t="inlineStr">
        <ns0:is>
          <ns0:t>2027-02</ns0:t>
        </ns0:is>
      </ns0:c>
      <ns0:c r="P139" s="2" t="inlineStr">
        <ns0:is>
          <ns0:t>V11-实时经营-02-7 计提所得税（非现金）</ns0:t>
        </ns0:is>
      </ns0:c>
      <ns0:c r="Q139" s="2" t="inlineStr">
        <ns0:is>
          <ns0:t>所得税费用</ns0:t>
        </ns0:is>
      </ns0:c>
      <ns0:c r="R139" s="2" t="inlineStr">
        <ns0:is>
          <ns0:t>应交税费</ns0:t>
        </ns0:is>
      </ns0:c>
      <ns0:c r="S139" s="2">
        <ns0:v>17771.55</ns0:v>
      </ns0:c>
      <ns0:c r="T139" s="2">
        <ns0:v>17771.55</ns0:v>
      </ns0:c>
      <ns0:c r="U139" s="2"/>
      <ns0:c r="V139" s="2" t="inlineStr">
        <ns0:is>
          <ns0:t>V11-139</ns0:t>
        </ns0:is>
      </ns0:c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 t="inlineStr">
        <ns0:is>
          <ns0:t>2027-02</ns0:t>
        </ns0:is>
      </ns0:c>
      <ns0:c r="P140" s="2" t="inlineStr">
        <ns0:is>
          <ns0:t>V11-实时经营-02-8 收入结转（非现金）</ns0:t>
        </ns0:is>
      </ns0:c>
      <ns0:c r="Q140" s="2" t="inlineStr">
        <ns0:is>
          <ns0:t>主营业务收入</ns0:t>
        </ns0:is>
      </ns0:c>
      <ns0:c r="R140" s="2" t="inlineStr">
        <ns0:is>
          <ns0:t>本年利润</ns0:t>
        </ns0:is>
      </ns0:c>
      <ns0:c r="S140" s="2">
        <ns0:v>418145.22</ns0:v>
      </ns0:c>
      <ns0:c r="T140" s="2">
        <ns0:v>418145.22</ns0:v>
      </ns0:c>
      <ns0:c r="U140" s="2"/>
      <ns0:c r="V140" s="2" t="inlineStr">
        <ns0:is>
          <ns0:t>V11-140</ns0:t>
        </ns0:is>
      </ns0:c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 t="inlineStr">
        <ns0:is>
          <ns0:t>2027-02</ns0:t>
        </ns0:is>
      </ns0:c>
      <ns0:c r="P141" s="2" t="inlineStr">
        <ns0:is>
          <ns0:t>V11-实时经营-02-9 支出结转（非现金）</ns0:t>
        </ns0:is>
      </ns0:c>
      <ns0:c r="Q141" s="2" t="inlineStr">
        <ns0:is>
          <ns0:t>本年利润</ns0:t>
        </ns0:is>
      </ns0:c>
      <ns0:c r="R141" s="2" t="inlineStr">
        <ns0:is>
          <ns0:t>成本费用（演示合并）</ns0:t>
        </ns0:is>
      </ns0:c>
      <ns0:c r="S141" s="2">
        <ns0:v>344265.64</ns0:v>
      </ns0:c>
      <ns0:c r="T141" s="2">
        <ns0:v>344265.64</ns0:v>
      </ns0:c>
      <ns0:c r="U141" s="2"/>
      <ns0:c r="V141" s="2" t="inlineStr">
        <ns0:is>
          <ns0:t>V11-141</ns0:t>
        </ns0:is>
      </ns0:c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 t="inlineStr">
        <ns0:is>
          <ns0:t>2027-03</ns0:t>
        </ns0:is>
      </ns0:c>
      <ns0:c r="P142" s="2" t="inlineStr">
        <ns0:is>
          <ns0:t>V11-实时经营-03-1 销售收现（演示）</ns0:t>
        </ns0:is>
      </ns0:c>
      <ns0:c r="Q142" s="2" t="inlineStr">
        <ns0:is>
          <ns0:t>银行存款</ns0:t>
        </ns0:is>
      </ns0:c>
      <ns0:c r="R142" s="2" t="inlineStr">
        <ns0:is>
          <ns0:t>主营业务收入</ns0:t>
        </ns0:is>
      </ns0:c>
      <ns0:c r="S142" s="2">
        <ns0:v>383516.52</ns0:v>
      </ns0:c>
      <ns0:c r="T142" s="2">
        <ns0:v>383516.52</ns0:v>
      </ns0:c>
      <ns0:c r="U142" s="2">
        <ns0:v>4</ns0:v>
      </ns0:c>
      <ns0:c r="V142" s="2" t="inlineStr">
        <ns0:is>
          <ns0:t>V11-142</ns0:t>
        </ns0:is>
      </ns0:c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 t="inlineStr">
        <ns0:is>
          <ns0:t>2027-03</ns0:t>
        </ns0:is>
      </ns0:c>
      <ns0:c r="P143" s="2" t="inlineStr">
        <ns0:is>
          <ns0:t>V11-实时经营-03-2 采购付现（演示）</ns0:t>
        </ns0:is>
      </ns0:c>
      <ns0:c r="Q143" s="2" t="inlineStr">
        <ns0:is>
          <ns0:t>主营业务成本</ns0:t>
        </ns0:is>
      </ns0:c>
      <ns0:c r="R143" s="2" t="inlineStr">
        <ns0:is>
          <ns0:t>银行存款</ns0:t>
        </ns0:is>
      </ns0:c>
      <ns0:c r="S143" s="2">
        <ns0:v>171950.82</ns0:v>
      </ns0:c>
      <ns0:c r="T143" s="2">
        <ns0:v>171950.82</ns0:v>
      </ns0:c>
      <ns0:c r="U143" s="2">
        <ns0:v>8</ns0:v>
      </ns0:c>
      <ns0:c r="V143" s="2" t="inlineStr">
        <ns0:is>
          <ns0:t>V11-143</ns0:t>
        </ns0:is>
      </ns0:c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 t="inlineStr">
        <ns0:is>
          <ns0:t>2027-03</ns0:t>
        </ns0:is>
      </ns0:c>
      <ns0:c r="P144" s="2" t="inlineStr">
        <ns0:is>
          <ns0:t>V11-实时经营-03-3 工资社保付现（演示）</ns0:t>
        </ns0:is>
      </ns0:c>
      <ns0:c r="Q144" s="2" t="inlineStr">
        <ns0:is>
          <ns0:t>应付职工薪酬</ns0:t>
        </ns0:is>
      </ns0:c>
      <ns0:c r="R144" s="2" t="inlineStr">
        <ns0:is>
          <ns0:t>银行存款</ns0:t>
        </ns0:is>
      </ns0:c>
      <ns0:c r="S144" s="2">
        <ns0:v>130709.07</ns0:v>
      </ns0:c>
      <ns0:c r="T144" s="2">
        <ns0:v>130709.07</ns0:v>
      </ns0:c>
      <ns0:c r="U144" s="2">
        <ns0:v>9</ns0:v>
      </ns0:c>
      <ns0:c r="V144" s="2" t="inlineStr">
        <ns0:is>
          <ns0:t>V11-144</ns0:t>
        </ns0:is>
      </ns0:c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 t="inlineStr">
        <ns0:is>
          <ns0:t>2027-03</ns0:t>
        </ns0:is>
      </ns0:c>
      <ns0:c r="P145" s="2" t="inlineStr">
        <ns0:is>
          <ns0:t>V11-实时经营-03-4 税费付现（演示）</ns0:t>
        </ns0:is>
      </ns0:c>
      <ns0:c r="Q145" s="2" t="inlineStr">
        <ns0:is>
          <ns0:t>税金及附加</ns0:t>
        </ns0:is>
      </ns0:c>
      <ns0:c r="R145" s="2" t="inlineStr">
        <ns0:is>
          <ns0:t>银行存款</ns0:t>
        </ns0:is>
      </ns0:c>
      <ns0:c r="S145" s="2">
        <ns0:v>3916.05</ns0:v>
      </ns0:c>
      <ns0:c r="T145" s="2">
        <ns0:v>3916.05</ns0:v>
      </ns0:c>
      <ns0:c r="U145" s="2">
        <ns0:v>10</ns0:v>
      </ns0:c>
      <ns0:c r="V145" s="2" t="inlineStr">
        <ns0:is>
          <ns0:t>V11-145</ns0:t>
        </ns0:is>
      </ns0:c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 t="inlineStr">
        <ns0:is>
          <ns0:t>2027-03</ns0:t>
        </ns0:is>
      </ns0:c>
      <ns0:c r="P146" s="2" t="inlineStr">
        <ns0:is>
          <ns0:t>V11-实时经营-03-5 费用付现（演示合并）</ns0:t>
        </ns0:is>
      </ns0:c>
      <ns0:c r="Q146" s="2" t="inlineStr">
        <ns0:is>
          <ns0:t>费用（演示合并）</ns0:t>
        </ns0:is>
      </ns0:c>
      <ns0:c r="R146" s="2" t="inlineStr">
        <ns0:is>
          <ns0:t>银行存款</ns0:t>
        </ns0:is>
      </ns0:c>
      <ns0:c r="S146" s="2">
        <ns0:v>57995.95</ns0:v>
      </ns0:c>
      <ns0:c r="T146" s="2">
        <ns0:v>57995.95</ns0:v>
      </ns0:c>
      <ns0:c r="U146" s="2">
        <ns0:v>11</ns0:v>
      </ns0:c>
      <ns0:c r="V146" s="2" t="inlineStr">
        <ns0:is>
          <ns0:t>V11-146</ns0:t>
        </ns0:is>
      </ns0:c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 t="inlineStr">
        <ns0:is>
          <ns0:t>2027-03</ns0:t>
        </ns0:is>
      </ns0:c>
      <ns0:c r="P147" s="2" t="inlineStr">
        <ns0:is>
          <ns0:t>V11-实时经营-03-6 计提摊销（非现金）</ns0:t>
        </ns0:is>
      </ns0:c>
      <ns0:c r="Q147" s="2" t="inlineStr">
        <ns0:is>
          <ns0:t>折旧及摊销</ns0:t>
        </ns0:is>
      </ns0:c>
      <ns0:c r="R147" s="2" t="inlineStr">
        <ns0:is>
          <ns0:t>长期待摊费用</ns0:t>
        </ns0:is>
      </ns0:c>
      <ns0:c r="S147" s="2">
        <ns0:v>2100.00</ns0:v>
      </ns0:c>
      <ns0:c r="T147" s="2">
        <ns0:v>2100.00</ns0:v>
      </ns0:c>
      <ns0:c r="U147" s="2"/>
      <ns0:c r="V147" s="2" t="inlineStr">
        <ns0:is>
          <ns0:t>V11-147</ns0:t>
        </ns0:is>
      </ns0:c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 t="inlineStr">
        <ns0:is>
          <ns0:t>2027-03</ns0:t>
        </ns0:is>
      </ns0:c>
      <ns0:c r="P148" s="2" t="inlineStr">
        <ns0:is>
          <ns0:t>V11-实时经营-03-7 计提所得税（非现金）</ns0:t>
        </ns0:is>
      </ns0:c>
      <ns0:c r="Q148" s="2" t="inlineStr">
        <ns0:is>
          <ns0:t>所得税费用</ns0:t>
        </ns0:is>
      </ns0:c>
      <ns0:c r="R148" s="2" t="inlineStr">
        <ns0:is>
          <ns0:t>应交税费</ns0:t>
        </ns0:is>
      </ns0:c>
      <ns0:c r="S148" s="2">
        <ns0:v>5614.88</ns0:v>
      </ns0:c>
      <ns0:c r="T148" s="2">
        <ns0:v>5614.88</ns0:v>
      </ns0:c>
      <ns0:c r="U148" s="2"/>
      <ns0:c r="V148" s="2" t="inlineStr">
        <ns0:is>
          <ns0:t>V11-148</ns0:t>
        </ns0:is>
      </ns0:c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 t="inlineStr">
        <ns0:is>
          <ns0:t>2027-03</ns0:t>
        </ns0:is>
      </ns0:c>
      <ns0:c r="P149" s="2" t="inlineStr">
        <ns0:is>
          <ns0:t>V11-实时经营-03-8 收入结转（非现金）</ns0:t>
        </ns0:is>
      </ns0:c>
      <ns0:c r="Q149" s="2" t="inlineStr">
        <ns0:is>
          <ns0:t>主营业务收入</ns0:t>
        </ns0:is>
      </ns0:c>
      <ns0:c r="R149" s="2" t="inlineStr">
        <ns0:is>
          <ns0:t>本年利润</ns0:t>
        </ns0:is>
      </ns0:c>
      <ns0:c r="S149" s="2">
        <ns0:v>391604.69</ns0:v>
      </ns0:c>
      <ns0:c r="T149" s="2">
        <ns0:v>391604.69</ns0:v>
      </ns0:c>
      <ns0:c r="U149" s="2"/>
      <ns0:c r="V149" s="2" t="inlineStr">
        <ns0:is>
          <ns0:t>V11-149</ns0:t>
        </ns0:is>
      </ns0:c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7" t="inlineStr">
        <ns0:is>
          <ns0:t>期间</ns0:t>
        </ns0:is>
      </ns0:c>
      <ns0:c r="B150" s="7" t="inlineStr">
        <ns0:is>
          <ns0:t>科目</ns0:t>
        </ns0:is>
      </ns0:c>
      <ns0:c r="C150" s="8" t="inlineStr">
        <ns0:is>
          <ns0:t>借方</ns0:t>
        </ns0:is>
      </ns0:c>
      <ns0:c r="D150" s="8" t="inlineStr">
        <ns0:is>
          <ns0:t>贷方</ns0:t>
        </ns0:is>
      </ns0:c>
      <ns0:c r="E150" s="8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 t="inlineStr">
        <ns0:is>
          <ns0:t>2027-03</ns0:t>
        </ns0:is>
      </ns0:c>
      <ns0:c r="P150" s="2" t="inlineStr">
        <ns0:is>
          <ns0:t>V11-实时经营-03-9 支出结转（非现金）</ns0:t>
        </ns0:is>
      </ns0:c>
      <ns0:c r="Q150" s="2" t="inlineStr">
        <ns0:is>
          <ns0:t>本年利润</ns0:t>
        </ns0:is>
      </ns0:c>
      <ns0:c r="R150" s="2" t="inlineStr">
        <ns0:is>
          <ns0:t>成本费用（演示合并）</ns0:t>
        </ns0:is>
      </ns0:c>
      <ns0:c r="S150" s="2">
        <ns0:v>366671.89</ns0:v>
      </ns0:c>
      <ns0:c r="T150" s="2">
        <ns0:v>366671.89</ns0:v>
      </ns0:c>
      <ns0:c r="U150" s="2"/>
      <ns0:c r="V150" s="2" t="inlineStr">
        <ns0:is>
          <ns0:t>V11-150</ns0:t>
        </ns0:is>
      </ns0:c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7" t="inlineStr">
        <ns0:is>
          <ns0:t>2027-01</ns0:t>
        </ns0:is>
      </ns0:c>
      <ns0:c r="B151" s="7" t="inlineStr">
        <ns0:is>
          <ns0:t>银行存款</ns0:t>
        </ns0:is>
      </ns0:c>
      <ns0:c r="C151" s="8">
        <ns0:f>'利润表'!C61</ns0:f>
        <ns0:v>401118.18</ns0:v>
      </ns0:c>
      <ns0:c r="D151" s="8">
        <ns0:f>0</ns0:f>
        <ns0:v>0</ns0:v>
      </ns0:c>
      <ns0:c r="E151" s="8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 t="inlineStr">
        <ns0:is>
          <ns0:t>2027-04</ns0:t>
        </ns0:is>
      </ns0:c>
      <ns0:c r="P151" s="2" t="inlineStr">
        <ns0:is>
          <ns0:t>V11-实时经营-04-1 销售收现（演示）</ns0:t>
        </ns0:is>
      </ns0:c>
      <ns0:c r="Q151" s="2" t="inlineStr">
        <ns0:is>
          <ns0:t>银行存款</ns0:t>
        </ns0:is>
      </ns0:c>
      <ns0:c r="R151" s="2" t="inlineStr">
        <ns0:is>
          <ns0:t>主营业务收入</ns0:t>
        </ns0:is>
      </ns0:c>
      <ns0:c r="S151" s="2">
        <ns0:v>385815.21</ns0:v>
      </ns0:c>
      <ns0:c r="T151" s="2">
        <ns0:v>385815.21</ns0:v>
      </ns0:c>
      <ns0:c r="U151" s="2">
        <ns0:v>4</ns0:v>
      </ns0:c>
      <ns0:c r="V151" s="2" t="inlineStr">
        <ns0:is>
          <ns0:t>V11-151</ns0:t>
        </ns0:is>
      </ns0:c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7"/>
      <ns0:c r="B152" s="7" t="inlineStr">
        <ns0:is>
          <ns0:t>主营业务收入</ns0:t>
        </ns0:is>
      </ns0:c>
      <ns0:c r="C152" s="8">
        <ns0:f>0</ns0:f>
        <ns0:v>0</ns0:v>
      </ns0:c>
      <ns0:c r="D152" s="8">
        <ns0:f>C151</ns0:f>
        <ns0:v>401118.18</ns0:v>
      </ns0:c>
      <ns0:c r="E152" s="8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 t="inlineStr">
        <ns0:is>
          <ns0:t>2027-04</ns0:t>
        </ns0:is>
      </ns0:c>
      <ns0:c r="P152" s="2" t="inlineStr">
        <ns0:is>
          <ns0:t>V11-实时经营-04-2 采购付现（演示）</ns0:t>
        </ns0:is>
      </ns0:c>
      <ns0:c r="Q152" s="2" t="inlineStr">
        <ns0:is>
          <ns0:t>主营业务成本</ns0:t>
        </ns0:is>
      </ns0:c>
      <ns0:c r="R152" s="2" t="inlineStr">
        <ns0:is>
          <ns0:t>银行存款</ns0:t>
        </ns0:is>
      </ns0:c>
      <ns0:c r="S152" s="2">
        <ns0:v>130644.85</ns0:v>
      </ns0:c>
      <ns0:c r="T152" s="2">
        <ns0:v>130644.85</ns0:v>
      </ns0:c>
      <ns0:c r="U152" s="2">
        <ns0:v>8</ns0:v>
      </ns0:c>
      <ns0:c r="V152" s="2" t="inlineStr">
        <ns0:is>
          <ns0:t>V11-152</ns0:t>
        </ns0:is>
      </ns0:c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7" t="inlineStr">
        <ns0:is>
          <ns0:t>2027-02</ns0:t>
        </ns0:is>
      </ns0:c>
      <ns0:c r="B153" s="7" t="inlineStr">
        <ns0:is>
          <ns0:t>银行存款</ns0:t>
        </ns0:is>
      </ns0:c>
      <ns0:c r="C153" s="8">
        <ns0:f>'利润表'!D61</ns0:f>
        <ns0:v>418145.22</ns0:v>
      </ns0:c>
      <ns0:c r="D153" s="8">
        <ns0:f>0</ns0:f>
        <ns0:v>0</ns0:v>
      </ns0:c>
      <ns0:c r="E153" s="8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 t="inlineStr">
        <ns0:is>
          <ns0:t>2027-04</ns0:t>
        </ns0:is>
      </ns0:c>
      <ns0:c r="P153" s="2" t="inlineStr">
        <ns0:is>
          <ns0:t>V11-实时经营-04-3 工资社保付现（演示）</ns0:t>
        </ns0:is>
      </ns0:c>
      <ns0:c r="Q153" s="2" t="inlineStr">
        <ns0:is>
          <ns0:t>应付职工薪酬</ns0:t>
        </ns0:is>
      </ns0:c>
      <ns0:c r="R153" s="2" t="inlineStr">
        <ns0:is>
          <ns0:t>银行存款</ns0:t>
        </ns0:is>
      </ns0:c>
      <ns0:c r="S153" s="2">
        <ns0:v>131144.01</ns0:v>
      </ns0:c>
      <ns0:c r="T153" s="2">
        <ns0:v>131144.01</ns0:v>
      </ns0:c>
      <ns0:c r="U153" s="2">
        <ns0:v>9</ns0:v>
      </ns0:c>
      <ns0:c r="V153" s="2" t="inlineStr">
        <ns0:is>
          <ns0:t>V11-153</ns0:t>
        </ns0:is>
      </ns0:c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7"/>
      <ns0:c r="B154" s="7" t="inlineStr">
        <ns0:is>
          <ns0:t>主营业务收入</ns0:t>
        </ns0:is>
      </ns0:c>
      <ns0:c r="C154" s="8">
        <ns0:f>0</ns0:f>
        <ns0:v>0</ns0:v>
      </ns0:c>
      <ns0:c r="D154" s="8">
        <ns0:f>C153</ns0:f>
        <ns0:v>418145.22</ns0:v>
      </ns0:c>
      <ns0:c r="E154" s="8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 t="inlineStr">
        <ns0:is>
          <ns0:t>2027-04</ns0:t>
        </ns0:is>
      </ns0:c>
      <ns0:c r="P154" s="2" t="inlineStr">
        <ns0:is>
          <ns0:t>V11-实时经营-04-4 税费付现（演示）</ns0:t>
        </ns0:is>
      </ns0:c>
      <ns0:c r="Q154" s="2" t="inlineStr">
        <ns0:is>
          <ns0:t>税金及附加</ns0:t>
        </ns0:is>
      </ns0:c>
      <ns0:c r="R154" s="2" t="inlineStr">
        <ns0:is>
          <ns0:t>银行存款</ns0:t>
        </ns0:is>
      </ns0:c>
      <ns0:c r="S154" s="2">
        <ns0:v>4084.61</ns0:v>
      </ns0:c>
      <ns0:c r="T154" s="2">
        <ns0:v>4084.61</ns0:v>
      </ns0:c>
      <ns0:c r="U154" s="2">
        <ns0:v>10</ns0:v>
      </ns0:c>
      <ns0:c r="V154" s="2" t="inlineStr">
        <ns0:is>
          <ns0:t>V11-154</ns0:t>
        </ns0:is>
      </ns0:c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7" t="inlineStr">
        <ns0:is>
          <ns0:t>2027-03</ns0:t>
        </ns0:is>
      </ns0:c>
      <ns0:c r="B155" s="7" t="inlineStr">
        <ns0:is>
          <ns0:t>银行存款</ns0:t>
        </ns0:is>
      </ns0:c>
      <ns0:c r="C155" s="8">
        <ns0:f>'利润表'!E61</ns0:f>
        <ns0:v>391604.69</ns0:v>
      </ns0:c>
      <ns0:c r="D155" s="8">
        <ns0:f>0</ns0:f>
        <ns0:v>0</ns0:v>
      </ns0:c>
      <ns0:c r="E155" s="8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 t="inlineStr">
        <ns0:is>
          <ns0:t>2027-04</ns0:t>
        </ns0:is>
      </ns0:c>
      <ns0:c r="P155" s="2" t="inlineStr">
        <ns0:is>
          <ns0:t>V11-实时经营-04-5 费用付现（演示合并）</ns0:t>
        </ns0:is>
      </ns0:c>
      <ns0:c r="Q155" s="2" t="inlineStr">
        <ns0:is>
          <ns0:t>费用（演示合并）</ns0:t>
        </ns0:is>
      </ns0:c>
      <ns0:c r="R155" s="2" t="inlineStr">
        <ns0:is>
          <ns0:t>银行存款</ns0:t>
        </ns0:is>
      </ns0:c>
      <ns0:c r="S155" s="2">
        <ns0:v>57944.41</ns0:v>
      </ns0:c>
      <ns0:c r="T155" s="2">
        <ns0:v>57944.41</ns0:v>
      </ns0:c>
      <ns0:c r="U155" s="2">
        <ns0:v>11</ns0:v>
      </ns0:c>
      <ns0:c r="V155" s="2" t="inlineStr">
        <ns0:is>
          <ns0:t>V11-155</ns0:t>
        </ns0:is>
      </ns0:c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7"/>
      <ns0:c r="B156" s="7" t="inlineStr">
        <ns0:is>
          <ns0:t>主营业务收入</ns0:t>
        </ns0:is>
      </ns0:c>
      <ns0:c r="C156" s="8">
        <ns0:f>0</ns0:f>
        <ns0:v>0</ns0:v>
      </ns0:c>
      <ns0:c r="D156" s="8">
        <ns0:f>C155</ns0:f>
        <ns0:v>391604.69</ns0:v>
      </ns0:c>
      <ns0:c r="E156" s="8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 t="inlineStr">
        <ns0:is>
          <ns0:t>2027-04</ns0:t>
        </ns0:is>
      </ns0:c>
      <ns0:c r="P156" s="2" t="inlineStr">
        <ns0:is>
          <ns0:t>V11-实时经营-04-6 计提摊销（非现金）</ns0:t>
        </ns0:is>
      </ns0:c>
      <ns0:c r="Q156" s="2" t="inlineStr">
        <ns0:is>
          <ns0:t>折旧及摊销</ns0:t>
        </ns0:is>
      </ns0:c>
      <ns0:c r="R156" s="2" t="inlineStr">
        <ns0:is>
          <ns0:t>长期待摊费用</ns0:t>
        </ns0:is>
      </ns0:c>
      <ns0:c r="S156" s="2">
        <ns0:v>2100.00</ns0:v>
      </ns0:c>
      <ns0:c r="T156" s="2">
        <ns0:v>2100.00</ns0:v>
      </ns0:c>
      <ns0:c r="U156" s="2"/>
      <ns0:c r="V156" s="2" t="inlineStr">
        <ns0:is>
          <ns0:t>V11-156</ns0:t>
        </ns0:is>
      </ns0:c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7" t="inlineStr">
        <ns0:is>
          <ns0:t>2027-04</ns0:t>
        </ns0:is>
      </ns0:c>
      <ns0:c r="B157" s="7" t="inlineStr">
        <ns0:is>
          <ns0:t>银行存款</ns0:t>
        </ns0:is>
      </ns0:c>
      <ns0:c r="C157" s="8">
        <ns0:f>'利润表'!F61</ns0:f>
        <ns0:v>408460.59</ns0:v>
      </ns0:c>
      <ns0:c r="D157" s="8">
        <ns0:f>0</ns0:f>
        <ns0:v>0</ns0:v>
      </ns0:c>
      <ns0:c r="E157" s="8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 t="inlineStr">
        <ns0:is>
          <ns0:t>2027-04</ns0:t>
        </ns0:is>
      </ns0:c>
      <ns0:c r="P157" s="2" t="inlineStr">
        <ns0:is>
          <ns0:t>V11-实时经营-04-7 计提所得税（非现金）</ns0:t>
        </ns0:is>
      </ns0:c>
      <ns0:c r="Q157" s="2" t="inlineStr">
        <ns0:is>
          <ns0:t>所得税费用</ns0:t>
        </ns0:is>
      </ns0:c>
      <ns0:c r="R157" s="2" t="inlineStr">
        <ns0:is>
          <ns0:t>应交税费</ns0:t>
        </ns0:is>
      </ns0:c>
      <ns0:c r="S157" s="2">
        <ns0:v>19965.78</ns0:v>
      </ns0:c>
      <ns0:c r="T157" s="2">
        <ns0:v>19965.78</ns0:v>
      </ns0:c>
      <ns0:c r="U157" s="2"/>
      <ns0:c r="V157" s="2" t="inlineStr">
        <ns0:is>
          <ns0:t>V11-157</ns0:t>
        </ns0:is>
      </ns0:c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7"/>
      <ns0:c r="B158" s="7" t="inlineStr">
        <ns0:is>
          <ns0:t>主营业务收入</ns0:t>
        </ns0:is>
      </ns0:c>
      <ns0:c r="C158" s="8">
        <ns0:f>0</ns0:f>
        <ns0:v>0</ns0:v>
      </ns0:c>
      <ns0:c r="D158" s="8">
        <ns0:f>C157</ns0:f>
        <ns0:v>408460.59</ns0:v>
      </ns0:c>
      <ns0:c r="E158" s="8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 t="inlineStr">
        <ns0:is>
          <ns0:t>2027-04</ns0:t>
        </ns0:is>
      </ns0:c>
      <ns0:c r="P158" s="2" t="inlineStr">
        <ns0:is>
          <ns0:t>V11-实时经营-04-8 收入结转（非现金）</ns0:t>
        </ns0:is>
      </ns0:c>
      <ns0:c r="Q158" s="2" t="inlineStr">
        <ns0:is>
          <ns0:t>主营业务收入</ns0:t>
        </ns0:is>
      </ns0:c>
      <ns0:c r="R158" s="2" t="inlineStr">
        <ns0:is>
          <ns0:t>本年利润</ns0:t>
        </ns0:is>
      </ns0:c>
      <ns0:c r="S158" s="2">
        <ns0:v>408460.59</ns0:v>
      </ns0:c>
      <ns0:c r="T158" s="2">
        <ns0:v>408460.59</ns0:v>
      </ns0:c>
      <ns0:c r="U158" s="2"/>
      <ns0:c r="V158" s="2" t="inlineStr">
        <ns0:is>
          <ns0:t>V11-158</ns0:t>
        </ns0:is>
      </ns0:c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7" t="inlineStr">
        <ns0:is>
          <ns0:t>2027-05</ns0:t>
        </ns0:is>
      </ns0:c>
      <ns0:c r="B159" s="7" t="inlineStr">
        <ns0:is>
          <ns0:t>银行存款</ns0:t>
        </ns0:is>
      </ns0:c>
      <ns0:c r="C159" s="8">
        <ns0:f>'利润表'!G61</ns0:f>
        <ns0:v>390182.93</ns0:v>
      </ns0:c>
      <ns0:c r="D159" s="8">
        <ns0:f>0</ns0:f>
        <ns0:v>0</ns0:v>
      </ns0:c>
      <ns0:c r="E159" s="8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 t="inlineStr">
        <ns0:is>
          <ns0:t>2027-04</ns0:t>
        </ns0:is>
      </ns0:c>
      <ns0:c r="P159" s="2" t="inlineStr">
        <ns0:is>
          <ns0:t>V11-实时经营-04-9 支出结转（非现金）</ns0:t>
        </ns0:is>
      </ns0:c>
      <ns0:c r="Q159" s="2" t="inlineStr">
        <ns0:is>
          <ns0:t>本年利润</ns0:t>
        </ns0:is>
      </ns0:c>
      <ns0:c r="R159" s="2" t="inlineStr">
        <ns0:is>
          <ns0:t>成本费用（演示合并）</ns0:t>
        </ns0:is>
      </ns0:c>
      <ns0:c r="S159" s="2">
        <ns0:v>325917.88</ns0:v>
      </ns0:c>
      <ns0:c r="T159" s="2">
        <ns0:v>325917.88</ns0:v>
      </ns0:c>
      <ns0:c r="U159" s="2"/>
      <ns0:c r="V159" s="2" t="inlineStr">
        <ns0:is>
          <ns0:t>V11-159</ns0:t>
        </ns0:is>
      </ns0:c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7"/>
      <ns0:c r="B160" s="7" t="inlineStr">
        <ns0:is>
          <ns0:t>主营业务收入</ns0:t>
        </ns0:is>
      </ns0:c>
      <ns0:c r="C160" s="8">
        <ns0:f>0</ns0:f>
        <ns0:v>0</ns0:v>
      </ns0:c>
      <ns0:c r="D160" s="8">
        <ns0:f>C159</ns0:f>
        <ns0:v>390182.93</ns0:v>
      </ns0:c>
      <ns0:c r="E160" s="8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 t="inlineStr">
        <ns0:is>
          <ns0:t>2027-05</ns0:t>
        </ns0:is>
      </ns0:c>
      <ns0:c r="P160" s="2" t="inlineStr">
        <ns0:is>
          <ns0:t>V11-实时经营-05-1 销售收现（演示）</ns0:t>
        </ns0:is>
      </ns0:c>
      <ns0:c r="Q160" s="2" t="inlineStr">
        <ns0:is>
          <ns0:t>银行存款</ns0:t>
        </ns0:is>
      </ns0:c>
      <ns0:c r="R160" s="2" t="inlineStr">
        <ns0:is>
          <ns0:t>主营业务收入</ns0:t>
        </ns0:is>
      </ns0:c>
      <ns0:c r="S160" s="2">
        <ns0:v>375440.70</ns0:v>
      </ns0:c>
      <ns0:c r="T160" s="2">
        <ns0:v>375440.70</ns0:v>
      </ns0:c>
      <ns0:c r="U160" s="2">
        <ns0:v>4</ns0:v>
      </ns0:c>
      <ns0:c r="V160" s="2" t="inlineStr">
        <ns0:is>
          <ns0:t>V11-160</ns0:t>
        </ns0:is>
      </ns0:c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7" t="inlineStr">
        <ns0:is>
          <ns0:t>2027-06</ns0:t>
        </ns0:is>
      </ns0:c>
      <ns0:c r="B161" s="7" t="inlineStr">
        <ns0:is>
          <ns0:t>银行存款</ns0:t>
        </ns0:is>
      </ns0:c>
      <ns0:c r="C161" s="8">
        <ns0:f>'利润表'!H61</ns0:f>
        <ns0:v>419408.74</ns0:v>
      </ns0:c>
      <ns0:c r="D161" s="8">
        <ns0:f>0</ns0:f>
        <ns0:v>0</ns0:v>
      </ns0:c>
      <ns0:c r="E161" s="8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 t="inlineStr">
        <ns0:is>
          <ns0:t>2027-05</ns0:t>
        </ns0:is>
      </ns0:c>
      <ns0:c r="P161" s="2" t="inlineStr">
        <ns0:is>
          <ns0:t>V11-实时经营-05-2 采购付现（演示）</ns0:t>
        </ns0:is>
      </ns0:c>
      <ns0:c r="Q161" s="2" t="inlineStr">
        <ns0:is>
          <ns0:t>主营业务成本</ns0:t>
        </ns0:is>
      </ns0:c>
      <ns0:c r="R161" s="2" t="inlineStr">
        <ns0:is>
          <ns0:t>银行存款</ns0:t>
        </ns0:is>
      </ns0:c>
      <ns0:c r="S161" s="2">
        <ns0:v>141889.39</ns0:v>
      </ns0:c>
      <ns0:c r="T161" s="2">
        <ns0:v>141889.39</ns0:v>
      </ns0:c>
      <ns0:c r="U161" s="2">
        <ns0:v>8</ns0:v>
      </ns0:c>
      <ns0:c r="V161" s="2" t="inlineStr">
        <ns0:is>
          <ns0:t>V11-161</ns0:t>
        </ns0:is>
      </ns0:c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7"/>
      <ns0:c r="B162" s="7" t="inlineStr">
        <ns0:is>
          <ns0:t>主营业务收入</ns0:t>
        </ns0:is>
      </ns0:c>
      <ns0:c r="C162" s="8">
        <ns0:f>0</ns0:f>
        <ns0:v>0</ns0:v>
      </ns0:c>
      <ns0:c r="D162" s="8">
        <ns0:f>C161</ns0:f>
        <ns0:v>419408.74</ns0:v>
      </ns0:c>
      <ns0:c r="E162" s="8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 t="inlineStr">
        <ns0:is>
          <ns0:t>2027-05</ns0:t>
        </ns0:is>
      </ns0:c>
      <ns0:c r="P162" s="2" t="inlineStr">
        <ns0:is>
          <ns0:t>V11-实时经营-05-3 工资社保付现（演示）</ns0:t>
        </ns0:is>
      </ns0:c>
      <ns0:c r="Q162" s="2" t="inlineStr">
        <ns0:is>
          <ns0:t>应付职工薪酬</ns0:t>
        </ns0:is>
      </ns0:c>
      <ns0:c r="R162" s="2" t="inlineStr">
        <ns0:is>
          <ns0:t>银行存款</ns0:t>
        </ns0:is>
      </ns0:c>
      <ns0:c r="S162" s="2">
        <ns0:v>131636.29</ns0:v>
      </ns0:c>
      <ns0:c r="T162" s="2">
        <ns0:v>131636.29</ns0:v>
      </ns0:c>
      <ns0:c r="U162" s="2">
        <ns0:v>9</ns0:v>
      </ns0:c>
      <ns0:c r="V162" s="2" t="inlineStr">
        <ns0:is>
          <ns0:t>V11-162</ns0:t>
        </ns0:is>
      </ns0:c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7" t="inlineStr">
        <ns0:is>
          <ns0:t>2027-07</ns0:t>
        </ns0:is>
      </ns0:c>
      <ns0:c r="B163" s="7" t="inlineStr">
        <ns0:is>
          <ns0:t>银行存款</ns0:t>
        </ns0:is>
      </ns0:c>
      <ns0:c r="C163" s="8">
        <ns0:f>'利润表'!I61</ns0:f>
        <ns0:v>0.00</ns0:v>
      </ns0:c>
      <ns0:c r="D163" s="8">
        <ns0:f>0</ns0:f>
        <ns0:v>0</ns0:v>
      </ns0:c>
      <ns0:c r="E163" s="8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 t="inlineStr">
        <ns0:is>
          <ns0:t>2027-05</ns0:t>
        </ns0:is>
      </ns0:c>
      <ns0:c r="P163" s="2" t="inlineStr">
        <ns0:is>
          <ns0:t>V11-实时经营-05-4 税费付现（演示）</ns0:t>
        </ns0:is>
      </ns0:c>
      <ns0:c r="Q163" s="2" t="inlineStr">
        <ns0:is>
          <ns0:t>税金及附加</ns0:t>
        </ns0:is>
      </ns0:c>
      <ns0:c r="R163" s="2" t="inlineStr">
        <ns0:is>
          <ns0:t>银行存款</ns0:t>
        </ns0:is>
      </ns0:c>
      <ns0:c r="S163" s="2">
        <ns0:v>3901.83</ns0:v>
      </ns0:c>
      <ns0:c r="T163" s="2">
        <ns0:v>3901.83</ns0:v>
      </ns0:c>
      <ns0:c r="U163" s="2">
        <ns0:v>10</ns0:v>
      </ns0:c>
      <ns0:c r="V163" s="2" t="inlineStr">
        <ns0:is>
          <ns0:t>V11-163</ns0:t>
        </ns0:is>
      </ns0:c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7"/>
      <ns0:c r="B164" s="7" t="inlineStr">
        <ns0:is>
          <ns0:t>主营业务收入</ns0:t>
        </ns0:is>
      </ns0:c>
      <ns0:c r="C164" s="8">
        <ns0:f>0</ns0:f>
        <ns0:v>0</ns0:v>
      </ns0:c>
      <ns0:c r="D164" s="8">
        <ns0:f>C163</ns0:f>
        <ns0:v>0.00</ns0:v>
      </ns0:c>
      <ns0:c r="E164" s="8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 t="inlineStr">
        <ns0:is>
          <ns0:t>2027-05</ns0:t>
        </ns0:is>
      </ns0:c>
      <ns0:c r="P164" s="2" t="inlineStr">
        <ns0:is>
          <ns0:t>V11-实时经营-05-5 费用付现（演示合并）</ns0:t>
        </ns0:is>
      </ns0:c>
      <ns0:c r="Q164" s="2" t="inlineStr">
        <ns0:is>
          <ns0:t>费用（演示合并）</ns0:t>
        </ns0:is>
      </ns0:c>
      <ns0:c r="R164" s="2" t="inlineStr">
        <ns0:is>
          <ns0:t>银行存款</ns0:t>
        </ns0:is>
      </ns0:c>
      <ns0:c r="S164" s="2">
        <ns0:v>59472.29</ns0:v>
      </ns0:c>
      <ns0:c r="T164" s="2">
        <ns0:v>59472.29</ns0:v>
      </ns0:c>
      <ns0:c r="U164" s="2">
        <ns0:v>11</ns0:v>
      </ns0:c>
      <ns0:c r="V164" s="2" t="inlineStr">
        <ns0:is>
          <ns0:t>V11-164</ns0:t>
        </ns0:is>
      </ns0:c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7" t="inlineStr">
        <ns0:is>
          <ns0:t>2027-08</ns0:t>
        </ns0:is>
      </ns0:c>
      <ns0:c r="B165" s="7" t="inlineStr">
        <ns0:is>
          <ns0:t>银行存款</ns0:t>
        </ns0:is>
      </ns0:c>
      <ns0:c r="C165" s="8">
        <ns0:f>'利润表'!J61</ns0:f>
        <ns0:v>0.00</ns0:v>
      </ns0:c>
      <ns0:c r="D165" s="8">
        <ns0:f>0</ns0:f>
        <ns0:v>0</ns0:v>
      </ns0:c>
      <ns0:c r="E165" s="8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 t="inlineStr">
        <ns0:is>
          <ns0:t>2027-05</ns0:t>
        </ns0:is>
      </ns0:c>
      <ns0:c r="P165" s="2" t="inlineStr">
        <ns0:is>
          <ns0:t>V11-实时经营-05-6 计提摊销（非现金）</ns0:t>
        </ns0:is>
      </ns0:c>
      <ns0:c r="Q165" s="2" t="inlineStr">
        <ns0:is>
          <ns0:t>折旧及摊销</ns0:t>
        </ns0:is>
      </ns0:c>
      <ns0:c r="R165" s="2" t="inlineStr">
        <ns0:is>
          <ns0:t>长期待摊费用</ns0:t>
        </ns0:is>
      </ns0:c>
      <ns0:c r="S165" s="2">
        <ns0:v>2100.00</ns0:v>
      </ns0:c>
      <ns0:c r="T165" s="2">
        <ns0:v>2100.00</ns0:v>
      </ns0:c>
      <ns0:c r="U165" s="2"/>
      <ns0:c r="V165" s="2" t="inlineStr">
        <ns0:is>
          <ns0:t>V11-165</ns0:t>
        </ns0:is>
      </ns0:c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7"/>
      <ns0:c r="B166" s="7" t="inlineStr">
        <ns0:is>
          <ns0:t>主营业务收入</ns0:t>
        </ns0:is>
      </ns0:c>
      <ns0:c r="C166" s="8">
        <ns0:f>0</ns0:f>
        <ns0:v>0</ns0:v>
      </ns0:c>
      <ns0:c r="D166" s="8">
        <ns0:f>C165</ns0:f>
        <ns0:v>0.00</ns0:v>
      </ns0:c>
      <ns0:c r="E166" s="8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 t="inlineStr">
        <ns0:is>
          <ns0:t>2027-05</ns0:t>
        </ns0:is>
      </ns0:c>
      <ns0:c r="P166" s="2" t="inlineStr">
        <ns0:is>
          <ns0:t>V11-实时经营-05-7 计提所得税（非现金）</ns0:t>
        </ns0:is>
      </ns0:c>
      <ns0:c r="Q166" s="2" t="inlineStr">
        <ns0:is>
          <ns0:t>所得税费用</ns0:t>
        </ns0:is>
      </ns0:c>
      <ns0:c r="R166" s="2" t="inlineStr">
        <ns0:is>
          <ns0:t>应交税费</ns0:t>
        </ns0:is>
      </ns0:c>
      <ns0:c r="S166" s="2">
        <ns0:v>12146.97</ns0:v>
      </ns0:c>
      <ns0:c r="T166" s="2">
        <ns0:v>12146.97</ns0:v>
      </ns0:c>
      <ns0:c r="U166" s="2"/>
      <ns0:c r="V166" s="2" t="inlineStr">
        <ns0:is>
          <ns0:t>V11-166</ns0:t>
        </ns0:is>
      </ns0:c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7" t="inlineStr">
        <ns0:is>
          <ns0:t>2027-09</ns0:t>
        </ns0:is>
      </ns0:c>
      <ns0:c r="B167" s="7" t="inlineStr">
        <ns0:is>
          <ns0:t>银行存款</ns0:t>
        </ns0:is>
      </ns0:c>
      <ns0:c r="C167" s="8">
        <ns0:f>'利润表'!K61</ns0:f>
        <ns0:v>0.00</ns0:v>
      </ns0:c>
      <ns0:c r="D167" s="8">
        <ns0:f>0</ns0:f>
        <ns0:v>0</ns0:v>
      </ns0:c>
      <ns0:c r="E167" s="8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 t="inlineStr">
        <ns0:is>
          <ns0:t>2027-05</ns0:t>
        </ns0:is>
      </ns0:c>
      <ns0:c r="P167" s="2" t="inlineStr">
        <ns0:is>
          <ns0:t>V11-实时经营-05-8 收入结转（非现金）</ns0:t>
        </ns0:is>
      </ns0:c>
      <ns0:c r="Q167" s="2" t="inlineStr">
        <ns0:is>
          <ns0:t>主营业务收入</ns0:t>
        </ns0:is>
      </ns0:c>
      <ns0:c r="R167" s="2" t="inlineStr">
        <ns0:is>
          <ns0:t>本年利润</ns0:t>
        </ns0:is>
      </ns0:c>
      <ns0:c r="S167" s="2">
        <ns0:v>390182.93</ns0:v>
      </ns0:c>
      <ns0:c r="T167" s="2">
        <ns0:v>390182.93</ns0:v>
      </ns0:c>
      <ns0:c r="U167" s="2"/>
      <ns0:c r="V167" s="2" t="inlineStr">
        <ns0:is>
          <ns0:t>V11-167</ns0:t>
        </ns0:is>
      </ns0:c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7"/>
      <ns0:c r="B168" s="7" t="inlineStr">
        <ns0:is>
          <ns0:t>主营业务收入</ns0:t>
        </ns0:is>
      </ns0:c>
      <ns0:c r="C168" s="8">
        <ns0:f>0</ns0:f>
        <ns0:v>0</ns0:v>
      </ns0:c>
      <ns0:c r="D168" s="8">
        <ns0:f>C167</ns0:f>
        <ns0:v>0.00</ns0:v>
      </ns0:c>
      <ns0:c r="E168" s="8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 t="inlineStr">
        <ns0:is>
          <ns0:t>2027-05</ns0:t>
        </ns0:is>
      </ns0:c>
      <ns0:c r="P168" s="2" t="inlineStr">
        <ns0:is>
          <ns0:t>V11-实时经营-05-9 支出结转（非现金）</ns0:t>
        </ns0:is>
      </ns0:c>
      <ns0:c r="Q168" s="2" t="inlineStr">
        <ns0:is>
          <ns0:t>本年利润</ns0:t>
        </ns0:is>
      </ns0:c>
      <ns0:c r="R168" s="2" t="inlineStr">
        <ns0:is>
          <ns0:t>成本费用（演示合并）</ns0:t>
        </ns0:is>
      </ns0:c>
      <ns0:c r="S168" s="2">
        <ns0:v>338999.80</ns0:v>
      </ns0:c>
      <ns0:c r="T168" s="2">
        <ns0:v>338999.80</ns0:v>
      </ns0:c>
      <ns0:c r="U168" s="2"/>
      <ns0:c r="V168" s="2" t="inlineStr">
        <ns0:is>
          <ns0:t>V11-168</ns0:t>
        </ns0:is>
      </ns0:c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7" t="inlineStr">
        <ns0:is>
          <ns0:t>2027-10</ns0:t>
        </ns0:is>
      </ns0:c>
      <ns0:c r="B169" s="7" t="inlineStr">
        <ns0:is>
          <ns0:t>银行存款</ns0:t>
        </ns0:is>
      </ns0:c>
      <ns0:c r="C169" s="8">
        <ns0:f>'利润表'!L61</ns0:f>
        <ns0:v>0.00</ns0:v>
      </ns0:c>
      <ns0:c r="D169" s="8">
        <ns0:f>0</ns0:f>
        <ns0:v>0</ns0:v>
      </ns0:c>
      <ns0:c r="E169" s="8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 t="inlineStr">
        <ns0:is>
          <ns0:t>2027-06</ns0:t>
        </ns0:is>
      </ns0:c>
      <ns0:c r="P169" s="2" t="inlineStr">
        <ns0:is>
          <ns0:t>V11-实时经营-06-1 销售收现（演示）</ns0:t>
        </ns0:is>
      </ns0:c>
      <ns0:c r="Q169" s="2" t="inlineStr">
        <ns0:is>
          <ns0:t>银行存款</ns0:t>
        </ns0:is>
      </ns0:c>
      <ns0:c r="R169" s="2" t="inlineStr">
        <ns0:is>
          <ns0:t>主营业务收入</ns0:t>
        </ns0:is>
      </ns0:c>
      <ns0:c r="S169" s="2">
        <ns0:v>401464.95</ns0:v>
      </ns0:c>
      <ns0:c r="T169" s="2">
        <ns0:v>401464.95</ns0:v>
      </ns0:c>
      <ns0:c r="U169" s="2">
        <ns0:v>4</ns0:v>
      </ns0:c>
      <ns0:c r="V169" s="2" t="inlineStr">
        <ns0:is>
          <ns0:t>V11-169</ns0:t>
        </ns0:is>
      </ns0:c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7"/>
      <ns0:c r="B170" s="7" t="inlineStr">
        <ns0:is>
          <ns0:t>主营业务收入</ns0:t>
        </ns0:is>
      </ns0:c>
      <ns0:c r="C170" s="8">
        <ns0:f>0</ns0:f>
        <ns0:v>0</ns0:v>
      </ns0:c>
      <ns0:c r="D170" s="8">
        <ns0:f>C169</ns0:f>
        <ns0:v>0.00</ns0:v>
      </ns0:c>
      <ns0:c r="E170" s="8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 t="inlineStr">
        <ns0:is>
          <ns0:t>2027-06</ns0:t>
        </ns0:is>
      </ns0:c>
      <ns0:c r="P170" s="2" t="inlineStr">
        <ns0:is>
          <ns0:t>V11-实时经营-06-2 采购付现（演示）</ns0:t>
        </ns0:is>
      </ns0:c>
      <ns0:c r="Q170" s="2" t="inlineStr">
        <ns0:is>
          <ns0:t>主营业务成本</ns0:t>
        </ns0:is>
      </ns0:c>
      <ns0:c r="R170" s="2" t="inlineStr">
        <ns0:is>
          <ns0:t>银行存款</ns0:t>
        </ns0:is>
      </ns0:c>
      <ns0:c r="S170" s="2">
        <ns0:v>160235.64</ns0:v>
      </ns0:c>
      <ns0:c r="T170" s="2">
        <ns0:v>160235.64</ns0:v>
      </ns0:c>
      <ns0:c r="U170" s="2">
        <ns0:v>8</ns0:v>
      </ns0:c>
      <ns0:c r="V170" s="2" t="inlineStr">
        <ns0:is>
          <ns0:t>V11-170</ns0:t>
        </ns0:is>
      </ns0:c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7" t="inlineStr">
        <ns0:is>
          <ns0:t>2027-11</ns0:t>
        </ns0:is>
      </ns0:c>
      <ns0:c r="B171" s="7" t="inlineStr">
        <ns0:is>
          <ns0:t>银行存款</ns0:t>
        </ns0:is>
      </ns0:c>
      <ns0:c r="C171" s="8">
        <ns0:f>'利润表'!M61</ns0:f>
        <ns0:v>0.00</ns0:v>
      </ns0:c>
      <ns0:c r="D171" s="8">
        <ns0:f>0</ns0:f>
        <ns0:v>0</ns0:v>
      </ns0:c>
      <ns0:c r="E171" s="8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 t="inlineStr">
        <ns0:is>
          <ns0:t>2027-06</ns0:t>
        </ns0:is>
      </ns0:c>
      <ns0:c r="P171" s="2" t="inlineStr">
        <ns0:is>
          <ns0:t>V11-实时经营-06-3 工资社保付现（演示）</ns0:t>
        </ns0:is>
      </ns0:c>
      <ns0:c r="Q171" s="2" t="inlineStr">
        <ns0:is>
          <ns0:t>应付职工薪酬</ns0:t>
        </ns0:is>
      </ns0:c>
      <ns0:c r="R171" s="2" t="inlineStr">
        <ns0:is>
          <ns0:t>银行存款</ns0:t>
        </ns0:is>
      </ns0:c>
      <ns0:c r="S171" s="2">
        <ns0:v>131036.85</ns0:v>
      </ns0:c>
      <ns0:c r="T171" s="2">
        <ns0:v>131036.85</ns0:v>
      </ns0:c>
      <ns0:c r="U171" s="2">
        <ns0:v>9</ns0:v>
      </ns0:c>
      <ns0:c r="V171" s="2" t="inlineStr">
        <ns0:is>
          <ns0:t>V11-171</ns0:t>
        </ns0:is>
      </ns0:c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7"/>
      <ns0:c r="B172" s="7" t="inlineStr">
        <ns0:is>
          <ns0:t>主营业务收入</ns0:t>
        </ns0:is>
      </ns0:c>
      <ns0:c r="C172" s="8">
        <ns0:f>0</ns0:f>
        <ns0:v>0</ns0:v>
      </ns0:c>
      <ns0:c r="D172" s="8">
        <ns0:f>C171</ns0:f>
        <ns0:v>0.00</ns0:v>
      </ns0:c>
      <ns0:c r="E172" s="8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 t="inlineStr">
        <ns0:is>
          <ns0:t>2027-06</ns0:t>
        </ns0:is>
      </ns0:c>
      <ns0:c r="P172" s="2" t="inlineStr">
        <ns0:is>
          <ns0:t>V11-实时经营-06-4 税费付现（演示）</ns0:t>
        </ns0:is>
      </ns0:c>
      <ns0:c r="Q172" s="2" t="inlineStr">
        <ns0:is>
          <ns0:t>税金及附加</ns0:t>
        </ns0:is>
      </ns0:c>
      <ns0:c r="R172" s="2" t="inlineStr">
        <ns0:is>
          <ns0:t>银行存款</ns0:t>
        </ns0:is>
      </ns0:c>
      <ns0:c r="S172" s="2">
        <ns0:v>4194.09</ns0:v>
      </ns0:c>
      <ns0:c r="T172" s="2">
        <ns0:v>4194.09</ns0:v>
      </ns0:c>
      <ns0:c r="U172" s="2">
        <ns0:v>10</ns0:v>
      </ns0:c>
      <ns0:c r="V172" s="2" t="inlineStr">
        <ns0:is>
          <ns0:t>V11-172</ns0:t>
        </ns0:is>
      </ns0:c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7" t="inlineStr">
        <ns0:is>
          <ns0:t>2027-12</ns0:t>
        </ns0:is>
      </ns0:c>
      <ns0:c r="B173" s="7" t="inlineStr">
        <ns0:is>
          <ns0:t>银行存款</ns0:t>
        </ns0:is>
      </ns0:c>
      <ns0:c r="C173" s="8">
        <ns0:f>'利润表'!N61</ns0:f>
        <ns0:v>0.00</ns0:v>
      </ns0:c>
      <ns0:c r="D173" s="8">
        <ns0:f>0</ns0:f>
        <ns0:v>0</ns0:v>
      </ns0:c>
      <ns0:c r="E173" s="8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 t="inlineStr">
        <ns0:is>
          <ns0:t>2027-06</ns0:t>
        </ns0:is>
      </ns0:c>
      <ns0:c r="P173" s="2" t="inlineStr">
        <ns0:is>
          <ns0:t>V11-实时经营-06-5 费用付现（演示合并）</ns0:t>
        </ns0:is>
      </ns0:c>
      <ns0:c r="Q173" s="2" t="inlineStr">
        <ns0:is>
          <ns0:t>费用（演示合并）</ns0:t>
        </ns0:is>
      </ns0:c>
      <ns0:c r="R173" s="2" t="inlineStr">
        <ns0:is>
          <ns0:t>银行存款</ns0:t>
        </ns0:is>
      </ns0:c>
      <ns0:c r="S173" s="2">
        <ns0:v>58842.37</ns0:v>
      </ns0:c>
      <ns0:c r="T173" s="2">
        <ns0:v>58842.37</ns0:v>
      </ns0:c>
      <ns0:c r="U173" s="2">
        <ns0:v>11</ns0:v>
      </ns0:c>
      <ns0:c r="V173" s="2" t="inlineStr">
        <ns0:is>
          <ns0:t>V11-173</ns0:t>
        </ns0:is>
      </ns0:c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7"/>
      <ns0:c r="B174" s="7" t="inlineStr">
        <ns0:is>
          <ns0:t>主营业务收入</ns0:t>
        </ns0:is>
      </ns0:c>
      <ns0:c r="C174" s="8">
        <ns0:f>0</ns0:f>
        <ns0:v>0</ns0:v>
      </ns0:c>
      <ns0:c r="D174" s="8">
        <ns0:f>C173</ns0:f>
        <ns0:v>0.00</ns0:v>
      </ns0:c>
      <ns0:c r="E174" s="8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 t="inlineStr">
        <ns0:is>
          <ns0:t>2027-06</ns0:t>
        </ns0:is>
      </ns0:c>
      <ns0:c r="P174" s="2" t="inlineStr">
        <ns0:is>
          <ns0:t>V11-实时经营-06-6 计提摊销（非现金）</ns0:t>
        </ns0:is>
      </ns0:c>
      <ns0:c r="Q174" s="2" t="inlineStr">
        <ns0:is>
          <ns0:t>折旧及摊销</ns0:t>
        </ns0:is>
      </ns0:c>
      <ns0:c r="R174" s="2" t="inlineStr">
        <ns0:is>
          <ns0:t>长期待摊费用</ns0:t>
        </ns0:is>
      </ns0:c>
      <ns0:c r="S174" s="2">
        <ns0:v>2100.00</ns0:v>
      </ns0:c>
      <ns0:c r="T174" s="2">
        <ns0:v>2100.00</ns0:v>
      </ns0:c>
      <ns0:c r="U174" s="2"/>
      <ns0:c r="V174" s="2" t="inlineStr">
        <ns0:is>
          <ns0:t>V11-174</ns0:t>
        </ns0:is>
      </ns0:c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7"/>
      <ns0:c r="B175" s="7"/>
      <ns0:c r="C175" s="8"/>
      <ns0:c r="D175" s="8"/>
      <ns0:c r="E175" s="8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 t="inlineStr">
        <ns0:is>
          <ns0:t>2027-06</ns0:t>
        </ns0:is>
      </ns0:c>
      <ns0:c r="P175" s="2" t="inlineStr">
        <ns0:is>
          <ns0:t>V11-实时经营-06-7 计提所得税（非现金）</ns0:t>
        </ns0:is>
      </ns0:c>
      <ns0:c r="Q175" s="2" t="inlineStr">
        <ns0:is>
          <ns0:t>所得税费用</ns0:t>
        </ns0:is>
      </ns0:c>
      <ns0:c r="R175" s="2" t="inlineStr">
        <ns0:is>
          <ns0:t>应交税费</ns0:t>
        </ns0:is>
      </ns0:c>
      <ns0:c r="S175" s="2">
        <ns0:v>15018.67</ns0:v>
      </ns0:c>
      <ns0:c r="T175" s="2">
        <ns0:v>15018.67</ns0:v>
      </ns0:c>
      <ns0:c r="U175" s="2"/>
      <ns0:c r="V175" s="2" t="inlineStr">
        <ns0:is>
          <ns0:t>V11-175</ns0:t>
        </ns0:is>
      </ns0:c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 t="inlineStr">
        <ns0:is>
          <ns0:t>2027-06</ns0:t>
        </ns0:is>
      </ns0:c>
      <ns0:c r="P176" s="2" t="inlineStr">
        <ns0:is>
          <ns0:t>V11-实时经营-06-8 收入结转（非现金）</ns0:t>
        </ns0:is>
      </ns0:c>
      <ns0:c r="Q176" s="2" t="inlineStr">
        <ns0:is>
          <ns0:t>主营业务收入</ns0:t>
        </ns0:is>
      </ns0:c>
      <ns0:c r="R176" s="2" t="inlineStr">
        <ns0:is>
          <ns0:t>本年利润</ns0:t>
        </ns0:is>
      </ns0:c>
      <ns0:c r="S176" s="2">
        <ns0:v>419408.74</ns0:v>
      </ns0:c>
      <ns0:c r="T176" s="2">
        <ns0:v>419408.74</ns0:v>
      </ns0:c>
      <ns0:c r="U176" s="2"/>
      <ns0:c r="V176" s="2" t="inlineStr">
        <ns0:is>
          <ns0:t>V11-176</ns0:t>
        </ns0:is>
      </ns0:c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 t="inlineStr">
        <ns0:is>
          <ns0:t>2027-06</ns0:t>
        </ns0:is>
      </ns0:c>
      <ns0:c r="P177" s="2" t="inlineStr">
        <ns0:is>
          <ns0:t>V11-实时经营-06-9 支出结转（非现金）</ns0:t>
        </ns0:is>
      </ns0:c>
      <ns0:c r="Q177" s="2" t="inlineStr">
        <ns0:is>
          <ns0:t>本年利润</ns0:t>
        </ns0:is>
      </ns0:c>
      <ns0:c r="R177" s="2" t="inlineStr">
        <ns0:is>
          <ns0:t>成本费用（演示合并）</ns0:t>
        </ns0:is>
      </ns0:c>
      <ns0:c r="S177" s="2">
        <ns0:v>356408.95</ns0:v>
      </ns0:c>
      <ns0:c r="T177" s="2">
        <ns0:v>356408.95</ns0:v>
      </ns0:c>
      <ns0:c r="U177" s="2"/>
      <ns0:c r="V177" s="2" t="inlineStr">
        <ns0:is>
          <ns0:t>V11-177</ns0:t>
        </ns0:is>
      </ns0:c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 t="inlineStr">
        <ns0:is>
          <ns0:t>全部借方合计</ns0:t>
        </ns0:is>
      </ns0:c>
      <ns0:c r="P463" s="2"/>
      <ns0:c r="Q463" s="2"/>
      <ns0:c r="R463" s="2"/>
      <ns0:c r="S463" s="2">
        <ns0:f>SUM(S124:S460)</ns0:f>
        <ns0:v>8981193.41</ns0:v>
      </ns0:c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 t="inlineStr">
        <ns0:is>
          <ns0:t>全部贷方合计</ns0:t>
        </ns0:is>
      </ns0:c>
      <ns0:c r="P464" s="2"/>
      <ns0:c r="Q464" s="2"/>
      <ns0:c r="R464" s="2"/>
      <ns0:c r="S464" s="2"/>
      <ns0:c r="T464" s="2">
        <ns0:f>SUM(T124:T460)</ns0:f>
        <ns0:v>8981193.41</ns0:v>
      </ns0:c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 t="inlineStr">
        <ns0:is>
          <ns0:t>借贷差额（应为0）</ns0:t>
        </ns0:is>
      </ns0:c>
      <ns0:c r="P465" s="2"/>
      <ns0:c r="Q465" s="2"/>
      <ns0:c r="R465" s="2"/>
      <ns0:c r="S465" s="2"/>
      <ns0:c r="T465" s="2"/>
      <ns0:c r="U465" s="2">
        <ns0:f>S463-T464</ns0:f>
        <ns0:v>0.00</ns0:v>
      </ns0:c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