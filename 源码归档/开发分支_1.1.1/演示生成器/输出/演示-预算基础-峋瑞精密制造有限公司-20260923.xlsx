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峋瑞精密制造有限公司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本期金额（12月）</ns0:t>
        </ns0:is>
      </ns0:c>
      <ns0:c r="D3" s="9" t="inlineStr">
        <ns0:is>
          <ns0:t>本年累计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N61</ns0:f>
        <ns0:v>418062.06</ns0:v>
      </ns0:c>
      <ns0:c r="D4" s="8">
        <ns0:f>SUM(C61:N61)</ns0:f>
        <ns0:v>5311418.20</ns0:v>
      </ns0:c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N62</ns0:f>
        <ns0:v>169847.99</ns0:v>
      </ns0:c>
      <ns0:c r="D5" s="8">
        <ns0:f>SUM(C62:N62)</ns0:f>
        <ns0:v>1865737.38</ns0:v>
      </ns0:c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N63</ns0:f>
        <ns0:v>4180.62</ns0:v>
      </ns0:c>
      <ns0:c r="D6" s="8">
        <ns0:f>SUM(C63:N63)</ns0:f>
        <ns0:v>53114.18</ns0:v>
      </ns0:c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N64-'销售费用'!N28</ns0:f>
        <ns0:v>94753.83</ns0:v>
      </ns0:c>
      <ns0:c r="D7" s="8">
        <ns0:f>SUM(C64:N64)-SUM('销售费用'!O28:O30)</ns0:f>
        <ns0:v>1145082.96</ns0:v>
      </ns0:c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N65+N66-'管理费用'!N28-'蓝恐龙费用'!N28</ns0:f>
        <ns0:v>98220.16</ns0:v>
      </ns0:c>
      <ns0:c r="D8" s="8">
        <ns0:f>SUM(C65:N66)-SUM('管理费用'!O28:O30,'蓝恐龙费用'!O28:O30)</ns0:f>
        <ns0:v>1178504.63</ns0:v>
      </ns0:c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'销售费用'!N28+'销售费用'!N29+'销售费用'!N30+'管理费用'!N28+'管理费用'!N29+'管理费用'!N30+'蓝恐龙费用'!N28+'蓝恐龙费用'!N29+'蓝恐龙费用'!N30</ns0:f>
        <ns0:v>945.89</ns0:v>
      </ns0:c>
      <ns0:c r="D9" s="8">
        <ns0:f>SUM('销售费用'!O28:O30,'管理费用'!O28:O30,'蓝恐龙费用'!O28:O30)</ns0:f>
        <ns0:v>11454.51</ns0:v>
      </ns0:c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>
        <ns0:f>SUM(AA128:AA128)</ns0:f>
        <ns0:v>0</ns0:v>
      </ns0:c>
      <ns0:c r="D10" s="8">
        <ns0:f>AB128</ns0:f>
        <ns0:v>0</ns0:v>
      </ns0:c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>
        <ns0:f>SUM(AA129:AA129)</ns0:f>
        <ns0:v>0</ns0:v>
      </ns0:c>
      <ns0:c r="D11" s="8">
        <ns0:f>AB129</ns0:f>
        <ns0:v>0</ns0:v>
      </ns0:c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>
        <ns0:f>SUM(AA126:AA126)</ns0:f>
        <ns0:v>0</ns0:v>
      </ns0:c>
      <ns0:c r="D12" s="8">
        <ns0:f>AB126</ns0:f>
        <ns0:v>0</ns0:v>
      </ns0:c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>
        <ns0:f>SUM(AA127:AA127)</ns0:f>
        <ns0:v>0</ns0:v>
      </ns0:c>
      <ns0:c r="D13" s="8">
        <ns0:f>AB127</ns0:f>
        <ns0:v>0</ns0:v>
      </ns0:c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C4-C5-C6-C7-C8-C9-C10+C11+C12</ns0:f>
        <ns0:v>50113.57</ns0:v>
      </ns0:c>
      <ns0:c r="D14" s="8">
        <ns0:f>D4-D5-D6-D7-D8-D9-D10+D11+D12</ns0:f>
        <ns0:v>1057524.54</ns0:v>
      </ns0:c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>
        <ns0:f>SUM(AA123:AA123)</ns0:f>
        <ns0:v>1263.34</ns0:v>
      </ns0:c>
      <ns0:c r="D15" s="8">
        <ns0:f>AB123</ns0:f>
        <ns0:v>13783.92</ns0:v>
      </ns0:c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>
        <ns0:f>SUM(AA124:AA124)</ns0:f>
        <ns0:v>777.55</ns0:v>
      </ns0:c>
      <ns0:c r="D16" s="8">
        <ns0:f>AB124</ns0:f>
        <ns0:v>8861.61</ns0:v>
      </ns0:c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>
        <ns0:f>SUM(AA125:AA125)</ns0:f>
        <ns0:v>0</ns0:v>
      </ns0:c>
      <ns0:c r="D17" s="8">
        <ns0:f>AB125</ns0:f>
        <ns0:v>0</ns0:v>
      </ns0:c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C14+C15-C16</ns0:f>
        <ns0:v>50599.36</ns0:v>
      </ns0:c>
      <ns0:c r="D18" s="8">
        <ns0:f>D14+D15-D16</ns0:f>
        <ns0:v>1062446.85</ns0:v>
      </ns0:c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N68</ns0:f>
        <ns0:v>12528.39</ns0:v>
      </ns0:c>
      <ns0:c r="D19" s="8">
        <ns0:f>SUM(C68:N68)</ns0:f>
        <ns0:v>264381.16</ns0:v>
      </ns0:c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C18-C19</ns0:f>
        <ns0:v>38070.97</ns0:v>
      </ns0:c>
      <ns0:c r="D20" s="8">
        <ns0:f>D18-D19</ns0:f>
        <ns0:v>798065.69</ns0:v>
      </ns0:c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>
        <ns0:f>ROUND(C20/P131,4)</ns0:f>
        <ns0:v>0.0381</ns0:v>
      </ns0:c>
      <ns0:c r="D22" s="8">
        <ns0:f>AB132</ns0:f>
        <ns0:v>0.7981</ns0:v>
      </ns0:c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>
        <ns0:f>C22</ns0:f>
        <ns0:v>0.0381</ns0:v>
      </ns0:c>
      <ns0:c r="D23" s="8">
        <ns0:f>AB133</ns0:f>
        <ns0:v>0.7981</ns0:v>
      </ns0:c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532897.81</ns0:v>
      </ns0:c>
      <ns0:c r="D61" s="8">
        <ns0:f>'收入非主控'!D33+'收入主控'!D33</ns0:f>
        <ns0:v>371678.52</ns0:v>
      </ns0:c>
      <ns0:c r="E61" s="8">
        <ns0:f>'收入非主控'!E33+'收入主控'!E33</ns0:f>
        <ns0:v>524167.72</ns0:v>
      </ns0:c>
      <ns0:c r="F61" s="8">
        <ns0:f>'收入非主控'!F33+'收入主控'!F33</ns0:f>
        <ns0:v>403219.97</ns0:v>
      </ns0:c>
      <ns0:c r="G61" s="8">
        <ns0:f>'收入非主控'!G33+'收入主控'!G33</ns0:f>
        <ns0:v>373608.41</ns0:v>
      </ns0:c>
      <ns0:c r="H61" s="8">
        <ns0:f>'收入非主控'!H33+'收入主控'!H33</ns0:f>
        <ns0:v>335856.82</ns0:v>
      </ns0:c>
      <ns0:c r="I61" s="8">
        <ns0:f>'收入非主控'!I33+'收入主控'!I33</ns0:f>
        <ns0:v>542726.02</ns0:v>
      </ns0:c>
      <ns0:c r="J61" s="8">
        <ns0:f>'收入非主控'!J33+'收入主控'!J33</ns0:f>
        <ns0:v>537445.48</ns0:v>
      </ns0:c>
      <ns0:c r="K61" s="8">
        <ns0:f>'收入非主控'!K33+'收入主控'!K33</ns0:f>
        <ns0:v>367029.48</ns0:v>
      </ns0:c>
      <ns0:c r="L61" s="8">
        <ns0:f>'收入非主控'!L33+'收入主控'!L33</ns0:f>
        <ns0:v>492960.01</ns0:v>
      </ns0:c>
      <ns0:c r="M61" s="8">
        <ns0:f>'收入非主控'!M33+'收入主控'!M33</ns0:f>
        <ns0:v>411765.90</ns0:v>
      </ns0:c>
      <ns0:c r="N61" s="8">
        <ns0:f>'收入非主控'!N33+'收入主控'!N33</ns0:f>
        <ns0:v>418062.06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183492.08</ns0:v>
      </ns0:c>
      <ns0:c r="D62" s="8">
        <ns0:f>'收入非主控'!D36+'收入主控'!D36</ns0:f>
        <ns0:v>160221.85</ns0:v>
      </ns0:c>
      <ns0:c r="E62" s="8">
        <ns0:f>'收入非主控'!E36+'收入主控'!E36</ns0:f>
        <ns0:v>181427.34</ns0:v>
      </ns0:c>
      <ns0:c r="F62" s="8">
        <ns0:f>'收入非主控'!F36+'收入主控'!F36</ns0:f>
        <ns0:v>152957.66</ns0:v>
      </ns0:c>
      <ns0:c r="G62" s="8">
        <ns0:f>'收入非主控'!G36+'收入主控'!G36</ns0:f>
        <ns0:v>145194.90</ns0:v>
      </ns0:c>
      <ns0:c r="H62" s="8">
        <ns0:f>'收入非主控'!H36+'收入主控'!H36</ns0:f>
        <ns0:v>111872.19</ns0:v>
      </ns0:c>
      <ns0:c r="I62" s="8">
        <ns0:f>'收入非主控'!I36+'收入主控'!I36</ns0:f>
        <ns0:v>167832.84</ns0:v>
      </ns0:c>
      <ns0:c r="J62" s="8">
        <ns0:f>'收入非主控'!J36+'收入主控'!J36</ns0:f>
        <ns0:v>160485.69</ns0:v>
      </ns0:c>
      <ns0:c r="K62" s="8">
        <ns0:f>'收入非主控'!K36+'收入主控'!K36</ns0:f>
        <ns0:v>134552.29</ns0:v>
      </ns0:c>
      <ns0:c r="L62" s="8">
        <ns0:f>'收入非主控'!L36+'收入主控'!L36</ns0:f>
        <ns0:v>157533.82</ns0:v>
      </ns0:c>
      <ns0:c r="M62" s="8">
        <ns0:f>'收入非主控'!M36+'收入主控'!M36</ns0:f>
        <ns0:v>140318.73</ns0:v>
      </ns0:c>
      <ns0:c r="N62" s="8">
        <ns0:f>'收入非主控'!N36+'收入主控'!N36</ns0:f>
        <ns0:v>169847.99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5328.98</ns0:v>
      </ns0:c>
      <ns0:c r="D63" s="8">
        <ns0:f>'税金及附加'!D33</ns0:f>
        <ns0:v>3716.79</ns0:v>
      </ns0:c>
      <ns0:c r="E63" s="8">
        <ns0:f>'税金及附加'!E33</ns0:f>
        <ns0:v>5241.68</ns0:v>
      </ns0:c>
      <ns0:c r="F63" s="8">
        <ns0:f>'税金及附加'!F33</ns0:f>
        <ns0:v>4032.20</ns0:v>
      </ns0:c>
      <ns0:c r="G63" s="8">
        <ns0:f>'税金及附加'!G33</ns0:f>
        <ns0:v>3736.08</ns0:v>
      </ns0:c>
      <ns0:c r="H63" s="8">
        <ns0:f>'税金及附加'!H33</ns0:f>
        <ns0:v>3358.57</ns0:v>
      </ns0:c>
      <ns0:c r="I63" s="8">
        <ns0:f>'税金及附加'!I33</ns0:f>
        <ns0:v>5427.26</ns0:v>
      </ns0:c>
      <ns0:c r="J63" s="8">
        <ns0:f>'税金及附加'!J33</ns0:f>
        <ns0:v>5374.45</ns0:v>
      </ns0:c>
      <ns0:c r="K63" s="8">
        <ns0:f>'税金及附加'!K33</ns0:f>
        <ns0:v>3670.29</ns0:v>
      </ns0:c>
      <ns0:c r="L63" s="8">
        <ns0:f>'税金及附加'!L33</ns0:f>
        <ns0:v>4929.60</ns0:v>
      </ns0:c>
      <ns0:c r="M63" s="8">
        <ns0:f>'税金及附加'!M33</ns0:f>
        <ns0:v>4117.66</ns0:v>
      </ns0:c>
      <ns0:c r="N63" s="8">
        <ns0:f>'税金及附加'!N33</ns0:f>
        <ns0:v>4180.62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95215.71</ns0:v>
      </ns0:c>
      <ns0:c r="D64" s="8">
        <ns0:f>'销售费用'!D34</ns0:f>
        <ns0:v>95597.82</ns0:v>
      </ns0:c>
      <ns0:c r="E64" s="8">
        <ns0:f>'销售费用'!E34</ns0:f>
        <ns0:v>96456.21</ns0:v>
      </ns0:c>
      <ns0:c r="F64" s="8">
        <ns0:f>'销售费用'!F34</ns0:f>
        <ns0:v>95406.31</ns0:v>
      </ns0:c>
      <ns0:c r="G64" s="8">
        <ns0:f>'销售费用'!G34</ns0:f>
        <ns0:v>96632.17</ns0:v>
      </ns0:c>
      <ns0:c r="H64" s="8">
        <ns0:f>'销售费用'!H34</ns0:f>
        <ns0:v>96185.36</ns0:v>
      </ns0:c>
      <ns0:c r="I64" s="8">
        <ns0:f>'销售费用'!I34</ns0:f>
        <ns0:v>96264.84</ns0:v>
      </ns0:c>
      <ns0:c r="J64" s="8">
        <ns0:f>'销售费用'!J34</ns0:f>
        <ns0:v>95580.90</ns0:v>
      </ns0:c>
      <ns0:c r="K64" s="8">
        <ns0:f>'销售费用'!K34</ns0:f>
        <ns0:v>97101.60</ns0:v>
      </ns0:c>
      <ns0:c r="L64" s="8">
        <ns0:f>'销售费用'!L34</ns0:f>
        <ns0:v>95672.37</ns0:v>
      </ns0:c>
      <ns0:c r="M64" s="8">
        <ns0:f>'销售费用'!M34</ns0:f>
        <ns0:v>95177.31</ns0:v>
      </ns0:c>
      <ns0:c r="N64" s="8">
        <ns0:f>'销售费用'!N34</ns0:f>
        <ns0:v>95156.09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69452.74</ns0:v>
      </ns0:c>
      <ns0:c r="D65" s="8">
        <ns0:f>'管理费用'!D34</ns0:f>
        <ns0:v>68423.23</ns0:v>
      </ns0:c>
      <ns0:c r="E65" s="8">
        <ns0:f>'管理费用'!E34</ns0:f>
        <ns0:v>69406.84</ns0:v>
      </ns0:c>
      <ns0:c r="F65" s="8">
        <ns0:f>'管理费用'!F34</ns0:f>
        <ns0:v>70454.35</ns0:v>
      </ns0:c>
      <ns0:c r="G65" s="8">
        <ns0:f>'管理费用'!G34</ns0:f>
        <ns0:v>69559.35</ns0:v>
      </ns0:c>
      <ns0:c r="H65" s="8">
        <ns0:f>'管理费用'!H34</ns0:f>
        <ns0:v>69176.37</ns0:v>
      </ns0:c>
      <ns0:c r="I65" s="8">
        <ns0:f>'管理费用'!I34</ns0:f>
        <ns0:v>68922.08</ns0:v>
      </ns0:c>
      <ns0:c r="J65" s="8">
        <ns0:f>'管理费用'!J34</ns0:f>
        <ns0:v>69427.10</ns0:v>
      </ns0:c>
      <ns0:c r="K65" s="8">
        <ns0:f>'管理费用'!K34</ns0:f>
        <ns0:v>69067.35</ns0:v>
      </ns0:c>
      <ns0:c r="L65" s="8">
        <ns0:f>'管理费用'!L34</ns0:f>
        <ns0:v>69545.70</ns0:v>
      </ns0:c>
      <ns0:c r="M65" s="8">
        <ns0:f>'管理费用'!M34</ns0:f>
        <ns0:v>68409.86</ns0:v>
      </ns0:c>
      <ns0:c r="N65" s="8">
        <ns0:f>'管理费用'!N34</ns0:f>
        <ns0:v>69331.65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29935.72</ns0:v>
      </ns0:c>
      <ns0:c r="D66" s="8">
        <ns0:f>'蓝恐龙费用'!D34</ns0:f>
        <ns0:v>29380.51</ns0:v>
      </ns0:c>
      <ns0:c r="E66" s="8">
        <ns0:f>'蓝恐龙费用'!E34</ns0:f>
        <ns0:v>29851.02</ns0:v>
      </ns0:c>
      <ns0:c r="F66" s="8">
        <ns0:f>'蓝恐龙费用'!F34</ns0:f>
        <ns0:v>29668.27</ns0:v>
      </ns0:c>
      <ns0:c r="G66" s="8">
        <ns0:f>'蓝恐龙费用'!G34</ns0:f>
        <ns0:v>29024.97</ns0:v>
      </ns0:c>
      <ns0:c r="H66" s="8">
        <ns0:f>'蓝恐龙费用'!H34</ns0:f>
        <ns0:v>29332.70</ns0:v>
      </ns0:c>
      <ns0:c r="I66" s="8">
        <ns0:f>'蓝恐龙费用'!I34</ns0:f>
        <ns0:v>29013.81</ns0:v>
      </ns0:c>
      <ns0:c r="J66" s="8">
        <ns0:f>'蓝恐龙费用'!J34</ns0:f>
        <ns0:v>29494.86</ns0:v>
      </ns0:c>
      <ns0:c r="K66" s="8">
        <ns0:f>'蓝恐龙费用'!K34</ns0:f>
        <ns0:v>29166.98</ns0:v>
      </ns0:c>
      <ns0:c r="L66" s="8">
        <ns0:f>'蓝恐龙费用'!L34</ns0:f>
        <ns0:v>29212.69</ns0:v>
      </ns0:c>
      <ns0:c r="M66" s="8">
        <ns0:f>'蓝恐龙费用'!M34</ns0:f>
        <ns0:v>29905.12</ns0:v>
      </ns0:c>
      <ns0:c r="N66" s="8">
        <ns0:f>'蓝恐龙费用'!N34</ns0:f>
        <ns0:v>29432.14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149472.58</ns0:v>
      </ns0:c>
      <ns0:c r="D67" s="8">
        <ns0:f>D61-SUM(D62:D66)</ns0:f>
        <ns0:v>14338.32</ns0:v>
      </ns0:c>
      <ns0:c r="E67" s="8">
        <ns0:f>E61-SUM(E62:E66)</ns0:f>
        <ns0:v>141784.63</ns0:v>
      </ns0:c>
      <ns0:c r="F67" s="8">
        <ns0:f>F61-SUM(F62:F66)</ns0:f>
        <ns0:v>50701.18</ns0:v>
      </ns0:c>
      <ns0:c r="G67" s="8">
        <ns0:f>G61-SUM(G62:G66)</ns0:f>
        <ns0:v>29460.94</ns0:v>
      </ns0:c>
      <ns0:c r="H67" s="8">
        <ns0:f>H61-SUM(H62:H66)</ns0:f>
        <ns0:v>25931.63</ns0:v>
      </ns0:c>
      <ns0:c r="I67" s="8">
        <ns0:f>I61-SUM(I62:I66)</ns0:f>
        <ns0:v>175265.19</ns0:v>
      </ns0:c>
      <ns0:c r="J67" s="8">
        <ns0:f>J61-SUM(J62:J66)</ns0:f>
        <ns0:v>177082.48</ns0:v>
      </ns0:c>
      <ns0:c r="K67" s="8">
        <ns0:f>K61-SUM(K62:K66)</ns0:f>
        <ns0:v>33470.97</ns0:v>
      </ns0:c>
      <ns0:c r="L67" s="8">
        <ns0:f>L61-SUM(L62:L66)</ns0:f>
        <ns0:v>136065.83</ns0:v>
      </ns0:c>
      <ns0:c r="M67" s="8">
        <ns0:f>M61-SUM(M62:M66)</ns0:f>
        <ns0:v>73837.22</ns0:v>
      </ns0:c>
      <ns0:c r="N67" s="8">
        <ns0:f>N61-SUM(N62:N66)</ns0:f>
        <ns0:v>50113.57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37368.15</ns0:v>
      </ns0:c>
      <ns0:c r="D68" s="8">
        <ns0:f>ROUND(MAX(D67,0)*$C$200,2)</ns0:f>
        <ns0:v>3584.58</ns0:v>
      </ns0:c>
      <ns0:c r="E68" s="8">
        <ns0:f>ROUND(MAX(E67,0)*$C$200,2)</ns0:f>
        <ns0:v>35446.16</ns0:v>
      </ns0:c>
      <ns0:c r="F68" s="8">
        <ns0:f>ROUND(MAX(F67,0)*$C$200,2)</ns0:f>
        <ns0:v>12675.30</ns0:v>
      </ns0:c>
      <ns0:c r="G68" s="8">
        <ns0:f>ROUND(MAX(G67,0)*$C$200,2)</ns0:f>
        <ns0:v>7365.24</ns0:v>
      </ns0:c>
      <ns0:c r="H68" s="8">
        <ns0:f>ROUND(MAX(H67,0)*$C$200,2)</ns0:f>
        <ns0:v>6482.91</ns0:v>
      </ns0:c>
      <ns0:c r="I68" s="8">
        <ns0:f>ROUND(MAX(I67,0)*$C$200,2)</ns0:f>
        <ns0:v>43816.30</ns0:v>
      </ns0:c>
      <ns0:c r="J68" s="8">
        <ns0:f>ROUND(MAX(J67,0)*$C$200,2)</ns0:f>
        <ns0:v>44270.62</ns0:v>
      </ns0:c>
      <ns0:c r="K68" s="8">
        <ns0:f>ROUND(MAX(K67,0)*$C$200,2)</ns0:f>
        <ns0:v>8367.74</ns0:v>
      </ns0:c>
      <ns0:c r="L68" s="8">
        <ns0:f>ROUND(MAX(L67,0)*$C$200,2)</ns0:f>
        <ns0:v>34016.46</ns0:v>
      </ns0:c>
      <ns0:c r="M68" s="8">
        <ns0:f>ROUND(MAX(M67,0)*$C$200,2)</ns0:f>
        <ns0:v>18459.31</ns0:v>
      </ns0:c>
      <ns0:c r="N68" s="8">
        <ns0:f>ROUND(MAX(N67,0)*$C$200,2)</ns0:f>
        <ns0:v>12528.39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112104.43</ns0:v>
      </ns0:c>
      <ns0:c r="D69" s="8">
        <ns0:f>D67-D68</ns0:f>
        <ns0:v>10753.74</ns0:v>
      </ns0:c>
      <ns0:c r="E69" s="8">
        <ns0:f>E67-E68</ns0:f>
        <ns0:v>106338.47</ns0:v>
      </ns0:c>
      <ns0:c r="F69" s="8">
        <ns0:f>F67-F68</ns0:f>
        <ns0:v>38025.88</ns0:v>
      </ns0:c>
      <ns0:c r="G69" s="8">
        <ns0:f>G67-G68</ns0:f>
        <ns0:v>22095.70</ns0:v>
      </ns0:c>
      <ns0:c r="H69" s="8">
        <ns0:f>H67-H68</ns0:f>
        <ns0:v>19448.72</ns0:v>
      </ns0:c>
      <ns0:c r="I69" s="8">
        <ns0:f>I67-I68</ns0:f>
        <ns0:v>131448.89</ns0:v>
      </ns0:c>
      <ns0:c r="J69" s="8">
        <ns0:f>J67-J68</ns0:f>
        <ns0:v>132811.86</ns0:v>
      </ns0:c>
      <ns0:c r="K69" s="8">
        <ns0:f>K67-K68</ns0:f>
        <ns0:v>25103.23</ns0:v>
      </ns0:c>
      <ns0:c r="L69" s="8">
        <ns0:f>L67-L68</ns0:f>
        <ns0:v>102049.37</ns0:v>
      </ns0:c>
      <ns0:c r="M69" s="8">
        <ns0:f>M67-M68</ns0:f>
        <ns0:v>55377.91</ns0:v>
      </ns0:c>
      <ns0:c r="N69" s="8">
        <ns0:f>N67-N68</ns0:f>
        <ns0:v>37585.18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利润表补充披露区（契约v1.2）·营业外与投资收益月度明细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>
        <ns0:v>1071.36</ns0:v>
      </ns0:c>
      <ns0:c r="Q123" s="2">
        <ns0:v>1324.83</ns0:v>
      </ns0:c>
      <ns0:c r="R123" s="2">
        <ns0:v>1187.25</ns0:v>
      </ns0:c>
      <ns0:c r="S123" s="2">
        <ns0:v>972.42</ns0:v>
      </ns0:c>
      <ns0:c r="T123" s="2">
        <ns0:v>990.55</ns0:v>
      </ns0:c>
      <ns0:c r="U123" s="2">
        <ns0:v>1308.58</ns0:v>
      </ns0:c>
      <ns0:c r="V123" s="2">
        <ns0:v>1241.16</ns0:v>
      </ns0:c>
      <ns0:c r="W123" s="2">
        <ns0:v>1020.99</ns0:v>
      </ns0:c>
      <ns0:c r="X123" s="2">
        <ns0:v>1186.53</ns0:v>
      </ns0:c>
      <ns0:c r="Y123" s="2">
        <ns0:v>1291.27</ns0:v>
      </ns0:c>
      <ns0:c r="Z123" s="2">
        <ns0:v>925.64</ns0:v>
      </ns0:c>
      <ns0:c r="AA123" s="2">
        <ns0:v>1263.34</ns0:v>
      </ns0:c>
      <ns0:c r="AB123" s="2">
        <ns0:f>SUM(P123:AA123)</ns0:f>
        <ns0:v>13783.92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>
        <ns0:v>816.19</ns0:v>
      </ns0:c>
      <ns0:c r="Q124" s="2">
        <ns0:v>623.86</ns0:v>
      </ns0:c>
      <ns0:c r="R124" s="2">
        <ns0:v>583.94</ns0:v>
      </ns0:c>
      <ns0:c r="S124" s="2">
        <ns0:v>727.63</ns0:v>
      </ns0:c>
      <ns0:c r="T124" s="2">
        <ns0:v>881.04</ns0:v>
      </ns0:c>
      <ns0:c r="U124" s="2">
        <ns0:v>751.65</ns0:v>
      </ns0:c>
      <ns0:c r="V124" s="2">
        <ns0:v>899.28</ns0:v>
      </ns0:c>
      <ns0:c r="W124" s="2">
        <ns0:v>570.96</ns0:v>
      </ns0:c>
      <ns0:c r="X124" s="2">
        <ns0:v>889.19</ns0:v>
      </ns0:c>
      <ns0:c r="Y124" s="2">
        <ns0:v>646.39</ns0:v>
      </ns0:c>
      <ns0:c r="Z124" s="2">
        <ns0:v>693.93</ns0:v>
      </ns0:c>
      <ns0:c r="AA124" s="2">
        <ns0:v>777.55</ns0:v>
      </ns0:c>
      <ns0:c r="AB124" s="2">
        <ns0:f>SUM(P124:AA124)</ns0:f>
        <ns0:v>8861.61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>
        <ns0:v>1000000.00</ns0:v>
      </ns0:c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ROUND(D20/P131,4)</ns0:f>
        <ns0:v>0.7981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  <ns0:v>0.7981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0.25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期末余额</ns0:t>
        </ns0:is>
      </ns0:c>
      <ns0:c r="D2" s="8" t="inlineStr">
        <ns0:is>
          <ns0:t>年初余额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期末余额</ns0:t>
        </ns0:is>
      </ns0:c>
      <ns0:c r="H2" s="8" t="inlineStr">
        <ns0:is>
          <ns0:t>年初余额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12月末</ns0:t>
        </ns0:is>
      </ns0:c>
      <ns0:c r="D3" s="9" t="inlineStr">
        <ns0:is>
          <ns0:t>年初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2018343.38</ns0:v>
      </ns0:c>
      <ns0:c r="D4" s="8">
        <ns0:f>$C$200</ns0:f>
        <ns0:v>1200000.00</ns0:v>
      </ns0:c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103652.08</ns0:v>
      </ns0:c>
      <ns0:c r="H6" s="8">
        <ns0:f>$C$203</ns0:f>
        <ns0:v>103652.08</ns0:v>
      </ns0:c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663927.28</ns0:v>
      </ns0:c>
      <ns0:c r="D9" s="8">
        <ns0:f>$C$201</ns0:f>
        <ns0:v>663927.28</ns0:v>
      </ns0:c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>
        <ns0:f>MAX('利润表'!AB123-'利润表'!AB124+'利润表'!AB126+'利润表'!AB129-'利润表'!AB128,0)</ns0:f>
        <ns0:v>4922.31</ns0:v>
      </ns0:c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155478.12</ns0:v>
      </ns0:c>
      <ns0:c r="D13" s="8">
        <ns0:f>$C$202</ns0:f>
        <ns0:v>155478.12</ns0:v>
      </ns0:c>
      <ns0:c r="E13" s="8" t="inlineStr">
        <ns0:is>
          <ns0:t>其他应付款</ns0:t>
        </ns0:is>
      </ns0:c>
      <ns0:c r="F13" s="8"/>
      <ns0:c r="G13" s="8">
        <ns0:f>MAX('利润表'!AB124-'利润表'!AB123-'利润表'!AB126-'利润表'!AB129+'利润表'!AB128,0)</ns0:f>
        <ns0:v>0</ns0:v>
      </ns0:c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C4+C9+C10+C13</ns0:f>
        <ns0:v>2842671.09</ns0:v>
      </ns0:c>
      <ns0:c r="D17" s="8">
        <ns0:f>D4+D9+D13</ns0:f>
        <ns0:v>2019405.40</ns0:v>
      </ns0:c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G6+G13</ns0:f>
        <ns0:v>103652.08</ns0:v>
      </ns0:c>
      <ns0:c r="H19" s="8">
        <ns0:f>H6</ns0:f>
        <ns0:v>103652.08</ns0:v>
      </ns0:c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G19</ns0:f>
        <ns0:v>103652.08</ns0:v>
      </ns0:c>
      <ns0:c r="H29" s="8">
        <ns0:f>H19</ns0:f>
        <ns0:v>103652.08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2050153.32</ns0:v>
      </ns0:c>
      <ns0:c r="H32" s="8">
        <ns0:f>C65</ns0:f>
        <ns0:v>2050153.32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109200.00</ns0:v>
      </ns0:c>
      <ns0:c r="D34" s="8">
        <ns0:f>'摊销明细'!$C$31</ns0:f>
        <ns0:v>134400.00</ns0:v>
      </ns0:c>
      <ns0:c r="E34" s="8" t="inlineStr">
        <ns0:is>
          <ns0:t>实收资本(或股本)净额</ns0:t>
        </ns0:is>
      </ns0:c>
      <ns0:c r="F34" s="8"/>
      <ns0:c r="G34" s="8">
        <ns0:f>N65</ns0:f>
        <ns0:v>2050153.32</ns0:v>
      </ns0:c>
      <ns0:c r="H34" s="8">
        <ns0:f>C65</ns0:f>
        <ns0:v>2050153.32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109200.00</ns0:v>
      </ns0:c>
      <ns0:c r="D36" s="8">
        <ns0:f>D34</ns0:f>
        <ns0:v>134400.00</ns0:v>
      </ns0:c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N66+'利润表'!AB123-'利润表'!AB124+'利润表'!AB126+'利润表'!AB129-'利润表'!AB128</ns0:f>
        <ns0:v>798065.69</ns0:v>
      </ns0:c>
      <ns0:c r="H38" s="8">
        <ns0:f>0</ns0:f>
        <ns0:v>0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G32+G38</ns0:f>
        <ns0:v>2848219.01</ns0:v>
      </ns0:c>
      <ns0:c r="H39" s="8">
        <ns0:f>H32+H38</ns0:f>
        <ns0:v>2050153.32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C17+C36</ns0:f>
        <ns0:v>2951871.09</ns0:v>
      </ns0:c>
      <ns0:c r="D40" s="8">
        <ns0:f>D17+D36</ns0:f>
        <ns0:v>2153805.40</ns0:v>
      </ns0:c>
      <ns0:c r="E40" s="8" t="inlineStr">
        <ns0:is>
          <ns0:t>负债和所有者权益(或股东权益)总计</ns0:t>
        </ns0:is>
      </ns0:c>
      <ns0:c r="F40" s="8"/>
      <ns0:c r="G40" s="8">
        <ns0:f>G29+G39</ns0:f>
        <ns0:v>2951871.09</ns0:v>
      </ns0:c>
      <ns0:c r="H40" s="8">
        <ns0:f>H29+H39</ns0:f>
        <ns0:v>2153805.40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1314204.43</ns0:v>
      </ns0:c>
      <ns0:c r="D61" s="8">
        <ns0:f>'现金流量表'!D68</ns0:f>
        <ns0:v>1327058.17</ns0:v>
      </ns0:c>
      <ns0:c r="E61" s="8">
        <ns0:f>'现金流量表'!E68</ns0:f>
        <ns0:v>1435496.64</ns0:v>
      </ns0:c>
      <ns0:c r="F61" s="8">
        <ns0:f>'现金流量表'!F68</ns0:f>
        <ns0:v>1475622.52</ns0:v>
      </ns0:c>
      <ns0:c r="G61" s="8">
        <ns0:f>'现金流量表'!G68</ns0:f>
        <ns0:v>1499818.22</ns0:v>
      </ns0:c>
      <ns0:c r="H61" s="8">
        <ns0:f>'现金流量表'!H68</ns0:f>
        <ns0:v>1521366.94</ns0:v>
      </ns0:c>
      <ns0:c r="I61" s="8">
        <ns0:f>'现金流量表'!I68</ns0:f>
        <ns0:v>1654915.83</ns0:v>
      </ns0:c>
      <ns0:c r="J61" s="8">
        <ns0:f>'现金流量表'!J68</ns0:f>
        <ns0:v>1789827.69</ns0:v>
      </ns0:c>
      <ns0:c r="K61" s="8">
        <ns0:f>'现金流量表'!K68</ns0:f>
        <ns0:v>1817030.92</ns0:v>
      </ns0:c>
      <ns0:c r="L61" s="8">
        <ns0:f>'现金流量表'!L68</ns0:f>
        <ns0:v>1921180.29</ns0:v>
      </ns0:c>
      <ns0:c r="M61" s="8">
        <ns0:f>'现金流量表'!M68</ns0:f>
        <ns0:v>1978658.20</ns0:v>
      </ns0:c>
      <ns0:c r="N61" s="8">
        <ns0:f>'现金流量表'!N68</ns0:f>
        <ns0:v>2018343.38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951705.40</ns0:v>
      </ns0:c>
      <ns0:c r="D62" s="8">
        <ns0:f>'摊销明细'!$C$31-SUM('现金流量表'!$C62:D62)+$C$201+$C$202</ns0:f>
        <ns0:v>949605.40</ns0:v>
      </ns0:c>
      <ns0:c r="E62" s="8">
        <ns0:f>'摊销明细'!$C$31-SUM('现金流量表'!$C62:E62)+$C$201+$C$202</ns0:f>
        <ns0:v>947505.40</ns0:v>
      </ns0:c>
      <ns0:c r="F62" s="8">
        <ns0:f>'摊销明细'!$C$31-SUM('现金流量表'!$C62:F62)+$C$201+$C$202</ns0:f>
        <ns0:v>945405.40</ns0:v>
      </ns0:c>
      <ns0:c r="G62" s="8">
        <ns0:f>'摊销明细'!$C$31-SUM('现金流量表'!$C62:G62)+$C$201+$C$202</ns0:f>
        <ns0:v>943305.40</ns0:v>
      </ns0:c>
      <ns0:c r="H62" s="8">
        <ns0:f>'摊销明细'!$C$31-SUM('现金流量表'!$C62:H62)+$C$201+$C$202</ns0:f>
        <ns0:v>941205.40</ns0:v>
      </ns0:c>
      <ns0:c r="I62" s="8">
        <ns0:f>'摊销明细'!$C$31-SUM('现金流量表'!$C62:I62)+$C$201+$C$202</ns0:f>
        <ns0:v>939105.40</ns0:v>
      </ns0:c>
      <ns0:c r="J62" s="8">
        <ns0:f>'摊销明细'!$C$31-SUM('现金流量表'!$C62:J62)+$C$201+$C$202</ns0:f>
        <ns0:v>937005.40</ns0:v>
      </ns0:c>
      <ns0:c r="K62" s="8">
        <ns0:f>'摊销明细'!$C$31-SUM('现金流量表'!$C62:K62)+$C$201+$C$202</ns0:f>
        <ns0:v>934905.40</ns0:v>
      </ns0:c>
      <ns0:c r="L62" s="8">
        <ns0:f>'摊销明细'!$C$31-SUM('现金流量表'!$C62:L62)+$C$201+$C$202</ns0:f>
        <ns0:v>932805.40</ns0:v>
      </ns0:c>
      <ns0:c r="M62" s="8">
        <ns0:f>'摊销明细'!$C$31-SUM('现金流量表'!$C62:M62)+$C$201+$C$202</ns0:f>
        <ns0:v>930705.40</ns0:v>
      </ns0:c>
      <ns0:c r="N62" s="8">
        <ns0:f>'摊销明细'!$C$31-SUM('现金流量表'!$C62:N62)+$C$201+$C$202</ns0:f>
        <ns0:v>928605.40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2265909.83</ns0:v>
      </ns0:c>
      <ns0:c r="D63" s="8">
        <ns0:f>SUM(D61:D62)</ns0:f>
        <ns0:v>2276663.57</ns0:v>
      </ns0:c>
      <ns0:c r="E63" s="8">
        <ns0:f>SUM(E61:E62)</ns0:f>
        <ns0:v>2383002.04</ns0:v>
      </ns0:c>
      <ns0:c r="F63" s="8">
        <ns0:f>SUM(F61:F62)</ns0:f>
        <ns0:v>2421027.92</ns0:v>
      </ns0:c>
      <ns0:c r="G63" s="8">
        <ns0:f>SUM(G61:G62)</ns0:f>
        <ns0:v>2443123.62</ns0:v>
      </ns0:c>
      <ns0:c r="H63" s="8">
        <ns0:f>SUM(H61:H62)</ns0:f>
        <ns0:v>2462572.34</ns0:v>
      </ns0:c>
      <ns0:c r="I63" s="8">
        <ns0:f>SUM(I61:I62)</ns0:f>
        <ns0:v>2594021.23</ns0:v>
      </ns0:c>
      <ns0:c r="J63" s="8">
        <ns0:f>SUM(J61:J62)</ns0:f>
        <ns0:v>2726833.09</ns0:v>
      </ns0:c>
      <ns0:c r="K63" s="8">
        <ns0:f>SUM(K61:K62)</ns0:f>
        <ns0:v>2751936.32</ns0:v>
      </ns0:c>
      <ns0:c r="L63" s="8">
        <ns0:f>SUM(L61:L62)</ns0:f>
        <ns0:v>2853985.69</ns0:v>
      </ns0:c>
      <ns0:c r="M63" s="8">
        <ns0:f>SUM(M61:M62)</ns0:f>
        <ns0:v>2909363.60</ns0:v>
      </ns0:c>
      <ns0:c r="N63" s="8">
        <ns0:f>SUM(N61:N62)</ns0:f>
        <ns0:v>2946948.78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103652.08</ns0:v>
      </ns0:c>
      <ns0:c r="D64" s="8">
        <ns0:f>$C$203</ns0:f>
        <ns0:v>103652.08</ns0:v>
      </ns0:c>
      <ns0:c r="E64" s="8">
        <ns0:f>$C$203</ns0:f>
        <ns0:v>103652.08</ns0:v>
      </ns0:c>
      <ns0:c r="F64" s="8">
        <ns0:f>$C$203</ns0:f>
        <ns0:v>103652.08</ns0:v>
      </ns0:c>
      <ns0:c r="G64" s="8">
        <ns0:f>$C$203</ns0:f>
        <ns0:v>103652.08</ns0:v>
      </ns0:c>
      <ns0:c r="H64" s="8">
        <ns0:f>$C$203</ns0:f>
        <ns0:v>103652.08</ns0:v>
      </ns0:c>
      <ns0:c r="I64" s="8">
        <ns0:f>$C$203</ns0:f>
        <ns0:v>103652.08</ns0:v>
      </ns0:c>
      <ns0:c r="J64" s="8">
        <ns0:f>$C$203</ns0:f>
        <ns0:v>103652.08</ns0:v>
      </ns0:c>
      <ns0:c r="K64" s="8">
        <ns0:f>$C$203</ns0:f>
        <ns0:v>103652.08</ns0:v>
      </ns0:c>
      <ns0:c r="L64" s="8">
        <ns0:f>$C$203</ns0:f>
        <ns0:v>103652.08</ns0:v>
      </ns0:c>
      <ns0:c r="M64" s="8">
        <ns0:f>$C$203</ns0:f>
        <ns0:v>103652.08</ns0:v>
      </ns0:c>
      <ns0:c r="N64" s="8">
        <ns0:f>$C$203</ns0:f>
        <ns0:v>103652.08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2050153.32</ns0:v>
      </ns0:c>
      <ns0:c r="D65" s="8">
        <ns0:f>$C$200+'摊销明细'!$C$31+$C$201+$C$202-$C$203</ns0:f>
        <ns0:v>2050153.32</ns0:v>
      </ns0:c>
      <ns0:c r="E65" s="8">
        <ns0:f>$C$200+'摊销明细'!$C$31+$C$201+$C$202-$C$203</ns0:f>
        <ns0:v>2050153.32</ns0:v>
      </ns0:c>
      <ns0:c r="F65" s="8">
        <ns0:f>$C$200+'摊销明细'!$C$31+$C$201+$C$202-$C$203</ns0:f>
        <ns0:v>2050153.32</ns0:v>
      </ns0:c>
      <ns0:c r="G65" s="8">
        <ns0:f>$C$200+'摊销明细'!$C$31+$C$201+$C$202-$C$203</ns0:f>
        <ns0:v>2050153.32</ns0:v>
      </ns0:c>
      <ns0:c r="H65" s="8">
        <ns0:f>$C$200+'摊销明细'!$C$31+$C$201+$C$202-$C$203</ns0:f>
        <ns0:v>2050153.32</ns0:v>
      </ns0:c>
      <ns0:c r="I65" s="8">
        <ns0:f>$C$200+'摊销明细'!$C$31+$C$201+$C$202-$C$203</ns0:f>
        <ns0:v>2050153.32</ns0:v>
      </ns0:c>
      <ns0:c r="J65" s="8">
        <ns0:f>$C$200+'摊销明细'!$C$31+$C$201+$C$202-$C$203</ns0:f>
        <ns0:v>2050153.32</ns0:v>
      </ns0:c>
      <ns0:c r="K65" s="8">
        <ns0:f>$C$200+'摊销明细'!$C$31+$C$201+$C$202-$C$203</ns0:f>
        <ns0:v>2050153.32</ns0:v>
      </ns0:c>
      <ns0:c r="L65" s="8">
        <ns0:f>$C$200+'摊销明细'!$C$31+$C$201+$C$202-$C$203</ns0:f>
        <ns0:v>2050153.32</ns0:v>
      </ns0:c>
      <ns0:c r="M65" s="8">
        <ns0:f>$C$200+'摊销明细'!$C$31+$C$201+$C$202-$C$203</ns0:f>
        <ns0:v>2050153.32</ns0:v>
      </ns0:c>
      <ns0:c r="N65" s="8">
        <ns0:f>$C$200+'摊销明细'!$C$31+$C$201+$C$202-$C$203</ns0:f>
        <ns0:v>2050153.32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112104.43</ns0:v>
      </ns0:c>
      <ns0:c r="D66" s="8">
        <ns0:f>SUM('利润表'!$C69:D69)</ns0:f>
        <ns0:v>122858.17</ns0:v>
      </ns0:c>
      <ns0:c r="E66" s="8">
        <ns0:f>SUM('利润表'!$C69:E69)</ns0:f>
        <ns0:v>229196.64</ns0:v>
      </ns0:c>
      <ns0:c r="F66" s="8">
        <ns0:f>SUM('利润表'!$C69:F69)</ns0:f>
        <ns0:v>267222.52</ns0:v>
      </ns0:c>
      <ns0:c r="G66" s="8">
        <ns0:f>SUM('利润表'!$C69:G69)</ns0:f>
        <ns0:v>289318.22</ns0:v>
      </ns0:c>
      <ns0:c r="H66" s="8">
        <ns0:f>SUM('利润表'!$C69:H69)</ns0:f>
        <ns0:v>308766.94</ns0:v>
      </ns0:c>
      <ns0:c r="I66" s="8">
        <ns0:f>SUM('利润表'!$C69:I69)</ns0:f>
        <ns0:v>440215.83</ns0:v>
      </ns0:c>
      <ns0:c r="J66" s="8">
        <ns0:f>SUM('利润表'!$C69:J69)</ns0:f>
        <ns0:v>573027.69</ns0:v>
      </ns0:c>
      <ns0:c r="K66" s="8">
        <ns0:f>SUM('利润表'!$C69:K69)</ns0:f>
        <ns0:v>598130.92</ns0:v>
      </ns0:c>
      <ns0:c r="L66" s="8">
        <ns0:f>SUM('利润表'!$C69:L69)</ns0:f>
        <ns0:v>700180.29</ns0:v>
      </ns0:c>
      <ns0:c r="M66" s="8">
        <ns0:f>SUM('利润表'!$C69:M69)</ns0:f>
        <ns0:v>755558.20</ns0:v>
      </ns0:c>
      <ns0:c r="N66" s="8">
        <ns0:f>SUM('利润表'!$C69:N69)</ns0:f>
        <ns0:v>793143.38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2162257.75</ns0:v>
      </ns0:c>
      <ns0:c r="D67" s="8">
        <ns0:f>SUM(D65:D66)</ns0:f>
        <ns0:v>2173011.49</ns0:v>
      </ns0:c>
      <ns0:c r="E67" s="8">
        <ns0:f>SUM(E65:E66)</ns0:f>
        <ns0:v>2279349.96</ns0:v>
      </ns0:c>
      <ns0:c r="F67" s="8">
        <ns0:f>SUM(F65:F66)</ns0:f>
        <ns0:v>2317375.84</ns0:v>
      </ns0:c>
      <ns0:c r="G67" s="8">
        <ns0:f>SUM(G65:G66)</ns0:f>
        <ns0:v>2339471.54</ns0:v>
      </ns0:c>
      <ns0:c r="H67" s="8">
        <ns0:f>SUM(H65:H66)</ns0:f>
        <ns0:v>2358920.26</ns0:v>
      </ns0:c>
      <ns0:c r="I67" s="8">
        <ns0:f>SUM(I65:I66)</ns0:f>
        <ns0:v>2490369.15</ns0:v>
      </ns0:c>
      <ns0:c r="J67" s="8">
        <ns0:f>SUM(J65:J66)</ns0:f>
        <ns0:v>2623181.01</ns0:v>
      </ns0:c>
      <ns0:c r="K67" s="8">
        <ns0:f>SUM(K65:K66)</ns0:f>
        <ns0:v>2648284.24</ns0:v>
      </ns0:c>
      <ns0:c r="L67" s="8">
        <ns0:f>SUM(L65:L66)</ns0:f>
        <ns0:v>2750333.61</ns0:v>
      </ns0:c>
      <ns0:c r="M67" s="8">
        <ns0:f>SUM(M65:M66)</ns0:f>
        <ns0:v>2805711.52</ns0:v>
      </ns0:c>
      <ns0:c r="N67" s="8">
        <ns0:f>SUM(N65:N66)</ns0:f>
        <ns0:v>2843296.70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2265909.83</ns0:v>
      </ns0:c>
      <ns0:c r="D68" s="8">
        <ns0:f>SUM(D64,D67)</ns0:f>
        <ns0:v>2276663.57</ns0:v>
      </ns0:c>
      <ns0:c r="E68" s="8">
        <ns0:f>SUM(E64,E67)</ns0:f>
        <ns0:v>2383002.04</ns0:v>
      </ns0:c>
      <ns0:c r="F68" s="8">
        <ns0:f>SUM(F64,F67)</ns0:f>
        <ns0:v>2421027.92</ns0:v>
      </ns0:c>
      <ns0:c r="G68" s="8">
        <ns0:f>SUM(G64,G67)</ns0:f>
        <ns0:v>2443123.62</ns0:v>
      </ns0:c>
      <ns0:c r="H68" s="8">
        <ns0:f>SUM(H64,H67)</ns0:f>
        <ns0:v>2462572.34</ns0:v>
      </ns0:c>
      <ns0:c r="I68" s="8">
        <ns0:f>SUM(I64,I67)</ns0:f>
        <ns0:v>2594021.23</ns0:v>
      </ns0:c>
      <ns0:c r="J68" s="8">
        <ns0:f>SUM(J64,J67)</ns0:f>
        <ns0:v>2726833.09</ns0:v>
      </ns0:c>
      <ns0:c r="K68" s="8">
        <ns0:f>SUM(K64,K67)</ns0:f>
        <ns0:v>2751936.32</ns0:v>
      </ns0:c>
      <ns0:c r="L68" s="8">
        <ns0:f>SUM(L64,L67)</ns0:f>
        <ns0:v>2853985.69</ns0:v>
      </ns0:c>
      <ns0:c r="M68" s="8">
        <ns0:f>SUM(M64,M67)</ns0:f>
        <ns0:v>2909363.60</ns0:v>
      </ns0:c>
      <ns0:c r="N68" s="8">
        <ns0:f>SUM(N64,N67)</ns0:f>
        <ns0:v>2946948.78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1200000.00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ROUND('利润表'!$D$4*45/360,2)</ns0:f>
        <ns0:v>663927.28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ROUND('利润表'!$D$5*30/360,2)</ns0:f>
        <ns0:v>155478.12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ROUND('利润表'!$D$5*20/360,2)</ns0:f>
        <ns0:v>103652.08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本期金额（12月）</ns0:t>
        </ns0:is>
      </ns0:c>
      <ns0:c r="D3" s="9" t="inlineStr">
        <ns0:is>
          <ns0:t>本年累计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>
        <ns0:f>SUM(AA123:AA123)</ns0:f>
        <ns0:v>402864.10</ns0:v>
      </ns0:c>
      <ns0:c r="D4" s="8">
        <ns0:f>AB123</ns0:f>
        <ns0:v>5014372.83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>
        <ns0:f>SUM(AA124:AA124)</ns0:f>
        <ns0:v>0</ns0:v>
      </ns0:c>
      <ns0:c r="D5" s="8">
        <ns0:f>AB124</ns0:f>
        <ns0:v>0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>
        <ns0:f>SUM(AA125:AA125)</ns0:f>
        <ns0:v>0</ns0:v>
      </ns0:c>
      <ns0:c r="D6" s="8">
        <ns0:f>AB125</ns0:f>
        <ns0:v>0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>
        <ns0:f>AA126</ns0:f>
        <ns0:v>402864.10</ns0:v>
      </ns0:c>
      <ns0:c r="D7" s="8">
        <ns0:f>AB126</ns0:f>
        <ns0:v>5014372.83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>
        <ns0:f>SUM(AA127:AA127)</ns0:f>
        <ns0:v>169847.99</ns0:v>
      </ns0:c>
      <ns0:c r="D8" s="8">
        <ns0:f>AB127</ns0:f>
        <ns0:v>1865737.38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>
        <ns0:f>SUM(AA128:AA128)</ns0:f>
        <ns0:v>131057.89</ns0:v>
      </ns0:c>
      <ns0:c r="D9" s="8">
        <ns0:f>AB128</ns0:f>
        <ns0:v>1576690.33</ns0:v>
      </ns0:c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>
        <ns0:f>SUM(AA129:AA129)</ns0:f>
        <ns0:v>4180.62</ns0:v>
      </ns0:c>
      <ns0:c r="D10" s="8">
        <ns0:f>AB129</ns0:f>
        <ns0:v>53114.18</ns0:v>
      </ns0:c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>
        <ns0:f>SUM(AA130:AA130)</ns0:f>
        <ns0:v>58092.42</ns0:v>
      </ns0:c>
      <ns0:c r="D11" s="8">
        <ns0:f>AB130</ns0:f>
        <ns0:v>700487.56</ns0:v>
      </ns0:c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>
        <ns0:f>AA131</ns0:f>
        <ns0:v>363178.92</ns0:v>
      </ns0:c>
      <ns0:c r="D12" s="8">
        <ns0:f>AB131</ns0:f>
        <ns0:v>4196029.45</ns0:v>
      </ns0:c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AA132</ns0:f>
        <ns0:v>39685.18</ns0:v>
      </ns0:c>
      <ns0:c r="D13" s="8">
        <ns0:f>AB132</ns0:f>
        <ns0:v>818343.38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>
        <ns0:f>SUM(AA134:AA134)</ns0:f>
        <ns0:v>0</ns0:v>
      </ns0:c>
      <ns0:c r="D15" s="8">
        <ns0:f>AB134</ns0:f>
        <ns0:v>0</ns0:v>
      </ns0:c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>
        <ns0:f>SUM(AA135:AA135)</ns0:f>
        <ns0:v>0</ns0:v>
      </ns0:c>
      <ns0:c r="D16" s="8">
        <ns0:f>AB135</ns0:f>
        <ns0:v>0</ns0:v>
      </ns0:c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>
        <ns0:f>SUM(AA136:AA136)</ns0:f>
        <ns0:v>0</ns0:v>
      </ns0:c>
      <ns0:c r="D17" s="8">
        <ns0:f>AB136</ns0:f>
        <ns0:v>0</ns0:v>
      </ns0:c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>
        <ns0:f>SUM(AA137:AA137)</ns0:f>
        <ns0:v>0</ns0:v>
      </ns0:c>
      <ns0:c r="D18" s="8">
        <ns0:f>AB137</ns0:f>
        <ns0:v>0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>
        <ns0:f>SUM(AA138:AA138)</ns0:f>
        <ns0:v>0</ns0:v>
      </ns0:c>
      <ns0:c r="D19" s="8">
        <ns0:f>AB138</ns0:f>
        <ns0:v>0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>
        <ns0:f>AA139</ns0:f>
        <ns0:v>0</ns0:v>
      </ns0:c>
      <ns0:c r="D20" s="8">
        <ns0:f>AB139</ns0:f>
        <ns0:v>0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>
        <ns0:f>SUM(AA140:AA140)</ns0:f>
        <ns0:v>0</ns0:v>
      </ns0:c>
      <ns0:c r="D21" s="8">
        <ns0:f>AB140</ns0:f>
        <ns0:v>0</ns0:v>
      </ns0:c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>
        <ns0:f>SUM(AA141:AA141)</ns0:f>
        <ns0:v>0</ns0:v>
      </ns0:c>
      <ns0:c r="D22" s="8">
        <ns0:f>AB141</ns0:f>
        <ns0:v>0</ns0:v>
      </ns0:c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>
        <ns0:f>SUM(AA142:AA142)</ns0:f>
        <ns0:v>0</ns0:v>
      </ns0:c>
      <ns0:c r="D23" s="8">
        <ns0:f>AB142</ns0:f>
        <ns0:v>0</ns0:v>
      </ns0:c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>
        <ns0:f>SUM(AA143:AA143)</ns0:f>
        <ns0:v>0</ns0:v>
      </ns0:c>
      <ns0:c r="D24" s="8">
        <ns0:f>AB143</ns0:f>
        <ns0:v>0</ns0:v>
      </ns0:c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>
        <ns0:f>AA144</ns0:f>
        <ns0:v>0</ns0:v>
      </ns0:c>
      <ns0:c r="D25" s="8">
        <ns0:f>AB144</ns0:f>
        <ns0:v>0</ns0:v>
      </ns0:c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AA145</ns0:f>
        <ns0:v>0</ns0:v>
      </ns0:c>
      <ns0:c r="D26" s="8">
        <ns0:f>AB145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>
        <ns0:f>SUM(AA147:AA147)</ns0:f>
        <ns0:v>0</ns0:v>
      </ns0:c>
      <ns0:c r="D28" s="8">
        <ns0:f>AB147</ns0:f>
        <ns0:v>0</ns0:v>
      </ns0:c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>
        <ns0:f>SUM(AA148:AA148)</ns0:f>
        <ns0:v>0</ns0:v>
      </ns0:c>
      <ns0:c r="D29" s="8">
        <ns0:f>AB148</ns0:f>
        <ns0:v>0</ns0:v>
      </ns0:c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>
        <ns0:f>SUM(AA149:AA149)</ns0:f>
        <ns0:v>0</ns0:v>
      </ns0:c>
      <ns0:c r="D30" s="9">
        <ns0:f>AB149</ns0:f>
        <ns0:v>0</ns0:v>
      </ns0:c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>
        <ns0:f>AA150</ns0:f>
        <ns0:v>0</ns0:v>
      </ns0:c>
      <ns0:c r="D31" s="8">
        <ns0:f>AB150</ns0:f>
        <ns0:v>0</ns0:v>
      </ns0:c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>
        <ns0:f>SUM(AA151:AA151)</ns0:f>
        <ns0:v>0</ns0:v>
      </ns0:c>
      <ns0:c r="D32" s="8">
        <ns0:f>AB151</ns0:f>
        <ns0:v>0</ns0:v>
      </ns0:c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>
        <ns0:f>SUM(AA152:AA152)</ns0:f>
        <ns0:v>0</ns0:v>
      </ns0:c>
      <ns0:c r="D33" s="8">
        <ns0:f>AB152</ns0:f>
        <ns0:v>0</ns0:v>
      </ns0:c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>
        <ns0:f>SUM(AA153:AA153)</ns0:f>
        <ns0:v>0</ns0:v>
      </ns0:c>
      <ns0:c r="D34" s="8">
        <ns0:f>AB153</ns0:f>
        <ns0:v>0</ns0:v>
      </ns0:c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>
        <ns0:f>AA154</ns0:f>
        <ns0:v>0</ns0:v>
      </ns0:c>
      <ns0:c r="D35" s="8">
        <ns0:f>AB154</ns0:f>
        <ns0:v>0</ns0:v>
      </ns0:c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AA155</ns0:f>
        <ns0:v>0</ns0:v>
      </ns0:c>
      <ns0:c r="D36" s="8">
        <ns0:f>AB155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>
        <ns0:f>SUM(AA156:AA156)</ns0:f>
        <ns0:v>0</ns0:v>
      </ns0:c>
      <ns0:c r="D37" s="8">
        <ns0:f>AB156</ns0:f>
        <ns0:v>0</ns0:v>
      </ns0:c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AA157</ns0:f>
        <ns0:v>39685.18</ns0:v>
      </ns0:c>
      <ns0:c r="D38" s="8">
        <ns0:f>AB157</ns0:f>
        <ns0:v>818343.38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AA158</ns0:f>
        <ns0:v>1978658.20</ns0:v>
      </ns0:c>
      <ns0:c r="D39" s="8">
        <ns0:f>P158</ns0:f>
        <ns0:v>1200000.00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AA159</ns0:f>
        <ns0:v>2018343.38</ns0:v>
      </ns0:c>
      <ns0:c r="D40" s="8">
        <ns0:f>AB159</ns0:f>
        <ns0:v>2018343.38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112104.43</ns0:v>
      </ns0:c>
      <ns0:c r="D61" s="8">
        <ns0:f>'利润表'!D69</ns0:f>
        <ns0:v>10753.74</ns0:v>
      </ns0:c>
      <ns0:c r="E61" s="8">
        <ns0:f>'利润表'!E69</ns0:f>
        <ns0:v>106338.47</ns0:v>
      </ns0:c>
      <ns0:c r="F61" s="8">
        <ns0:f>'利润表'!F69</ns0:f>
        <ns0:v>38025.88</ns0:v>
      </ns0:c>
      <ns0:c r="G61" s="8">
        <ns0:f>'利润表'!G69</ns0:f>
        <ns0:v>22095.70</ns0:v>
      </ns0:c>
      <ns0:c r="H61" s="8">
        <ns0:f>'利润表'!H69</ns0:f>
        <ns0:v>19448.72</ns0:v>
      </ns0:c>
      <ns0:c r="I61" s="8">
        <ns0:f>'利润表'!I69</ns0:f>
        <ns0:v>131448.89</ns0:v>
      </ns0:c>
      <ns0:c r="J61" s="8">
        <ns0:f>'利润表'!J69</ns0:f>
        <ns0:v>132811.86</ns0:v>
      </ns0:c>
      <ns0:c r="K61" s="8">
        <ns0:f>'利润表'!K69</ns0:f>
        <ns0:v>25103.23</ns0:v>
      </ns0:c>
      <ns0:c r="L61" s="8">
        <ns0:f>'利润表'!L69</ns0:f>
        <ns0:v>102049.37</ns0:v>
      </ns0:c>
      <ns0:c r="M61" s="8">
        <ns0:f>'利润表'!M69</ns0:f>
        <ns0:v>55377.91</ns0:v>
      </ns0:c>
      <ns0:c r="N61" s="8">
        <ns0:f>'利润表'!N69</ns0:f>
        <ns0:v>37585.18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2100.00</ns0:v>
      </ns0:c>
      <ns0:c r="D62" s="8">
        <ns0:f>'销售费用'!D20+'管理费用'!D20+'蓝恐龙费用'!D20</ns0:f>
        <ns0:v>2100.00</ns0:v>
      </ns0:c>
      <ns0:c r="E62" s="8">
        <ns0:f>'销售费用'!E20+'管理费用'!E20+'蓝恐龙费用'!E20</ns0:f>
        <ns0:v>2100.00</ns0:v>
      </ns0:c>
      <ns0:c r="F62" s="8">
        <ns0:f>'销售费用'!F20+'管理费用'!F20+'蓝恐龙费用'!F20</ns0:f>
        <ns0:v>2100.00</ns0:v>
      </ns0:c>
      <ns0:c r="G62" s="8">
        <ns0:f>'销售费用'!G20+'管理费用'!G20+'蓝恐龙费用'!G20</ns0:f>
        <ns0:v>2100.00</ns0:v>
      </ns0:c>
      <ns0:c r="H62" s="8">
        <ns0:f>'销售费用'!H20+'管理费用'!H20+'蓝恐龙费用'!H20</ns0:f>
        <ns0:v>2100.00</ns0:v>
      </ns0:c>
      <ns0:c r="I62" s="8">
        <ns0:f>'销售费用'!I20+'管理费用'!I20+'蓝恐龙费用'!I20</ns0:f>
        <ns0:v>2100.00</ns0:v>
      </ns0:c>
      <ns0:c r="J62" s="8">
        <ns0:f>'销售费用'!J20+'管理费用'!J20+'蓝恐龙费用'!J20</ns0:f>
        <ns0:v>2100.00</ns0:v>
      </ns0:c>
      <ns0:c r="K62" s="8">
        <ns0:f>'销售费用'!K20+'管理费用'!K20+'蓝恐龙费用'!K20</ns0:f>
        <ns0:v>2100.00</ns0:v>
      </ns0:c>
      <ns0:c r="L62" s="8">
        <ns0:f>'销售费用'!L20+'管理费用'!L20+'蓝恐龙费用'!L20</ns0:f>
        <ns0:v>2100.00</ns0:v>
      </ns0:c>
      <ns0:c r="M62" s="8">
        <ns0:f>'销售费用'!M20+'管理费用'!M20+'蓝恐龙费用'!M20</ns0:f>
        <ns0:v>2100.00</ns0:v>
      </ns0:c>
      <ns0:c r="N62" s="8">
        <ns0:f>'销售费用'!N20+'管理费用'!N20+'蓝恐龙费用'!N20</ns0:f>
        <ns0:v>2100.00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114204.43</ns0:v>
      </ns0:c>
      <ns0:c r="D63" s="8">
        <ns0:f>SUM(D61:D62)</ns0:f>
        <ns0:v>12853.74</ns0:v>
      </ns0:c>
      <ns0:c r="E63" s="8">
        <ns0:f>SUM(E61:E62)</ns0:f>
        <ns0:v>108438.47</ns0:v>
      </ns0:c>
      <ns0:c r="F63" s="8">
        <ns0:f>SUM(F61:F62)</ns0:f>
        <ns0:v>40125.88</ns0:v>
      </ns0:c>
      <ns0:c r="G63" s="8">
        <ns0:f>SUM(G61:G62)</ns0:f>
        <ns0:v>24195.70</ns0:v>
      </ns0:c>
      <ns0:c r="H63" s="8">
        <ns0:f>SUM(H61:H62)</ns0:f>
        <ns0:v>21548.72</ns0:v>
      </ns0:c>
      <ns0:c r="I63" s="8">
        <ns0:f>SUM(I61:I62)</ns0:f>
        <ns0:v>133548.89</ns0:v>
      </ns0:c>
      <ns0:c r="J63" s="8">
        <ns0:f>SUM(J61:J62)</ns0:f>
        <ns0:v>134911.86</ns0:v>
      </ns0:c>
      <ns0:c r="K63" s="8">
        <ns0:f>SUM(K61:K62)</ns0:f>
        <ns0:v>27203.23</ns0:v>
      </ns0:c>
      <ns0:c r="L63" s="8">
        <ns0:f>SUM(L61:L62)</ns0:f>
        <ns0:v>104149.37</ns0:v>
      </ns0:c>
      <ns0:c r="M63" s="8">
        <ns0:f>SUM(M61:M62)</ns0:f>
        <ns0:v>57477.91</ns0:v>
      </ns0:c>
      <ns0:c r="N63" s="8">
        <ns0:f>SUM(N61:N62)</ns0:f>
        <ns0:v>39685.18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114204.43</ns0:v>
      </ns0:c>
      <ns0:c r="D66" s="8">
        <ns0:f>SUM(D63:D65)</ns0:f>
        <ns0:v>12853.74</ns0:v>
      </ns0:c>
      <ns0:c r="E66" s="8">
        <ns0:f>SUM(E63:E65)</ns0:f>
        <ns0:v>108438.47</ns0:v>
      </ns0:c>
      <ns0:c r="F66" s="8">
        <ns0:f>SUM(F63:F65)</ns0:f>
        <ns0:v>40125.88</ns0:v>
      </ns0:c>
      <ns0:c r="G66" s="8">
        <ns0:f>SUM(G63:G65)</ns0:f>
        <ns0:v>24195.70</ns0:v>
      </ns0:c>
      <ns0:c r="H66" s="8">
        <ns0:f>SUM(H63:H65)</ns0:f>
        <ns0:v>21548.72</ns0:v>
      </ns0:c>
      <ns0:c r="I66" s="8">
        <ns0:f>SUM(I63:I65)</ns0:f>
        <ns0:v>133548.89</ns0:v>
      </ns0:c>
      <ns0:c r="J66" s="8">
        <ns0:f>SUM(J63:J65)</ns0:f>
        <ns0:v>134911.86</ns0:v>
      </ns0:c>
      <ns0:c r="K66" s="8">
        <ns0:f>SUM(K63:K65)</ns0:f>
        <ns0:v>27203.23</ns0:v>
      </ns0:c>
      <ns0:c r="L66" s="8">
        <ns0:f>SUM(L63:L65)</ns0:f>
        <ns0:v>104149.37</ns0:v>
      </ns0:c>
      <ns0:c r="M66" s="8">
        <ns0:f>SUM(M63:M65)</ns0:f>
        <ns0:v>57477.91</ns0:v>
      </ns0:c>
      <ns0:c r="N66" s="8">
        <ns0:f>SUM(N63:N65)</ns0:f>
        <ns0:v>39685.18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1200000.00</ns0:v>
      </ns0:c>
      <ns0:c r="D67" s="8">
        <ns0:f>C68</ns0:f>
        <ns0:v>1314204.43</ns0:v>
      </ns0:c>
      <ns0:c r="E67" s="8">
        <ns0:f>D68</ns0:f>
        <ns0:v>1327058.17</ns0:v>
      </ns0:c>
      <ns0:c r="F67" s="8">
        <ns0:f>E68</ns0:f>
        <ns0:v>1435496.64</ns0:v>
      </ns0:c>
      <ns0:c r="G67" s="8">
        <ns0:f>F68</ns0:f>
        <ns0:v>1475622.52</ns0:v>
      </ns0:c>
      <ns0:c r="H67" s="8">
        <ns0:f>G68</ns0:f>
        <ns0:v>1499818.22</ns0:v>
      </ns0:c>
      <ns0:c r="I67" s="8">
        <ns0:f>H68</ns0:f>
        <ns0:v>1521366.94</ns0:v>
      </ns0:c>
      <ns0:c r="J67" s="8">
        <ns0:f>I68</ns0:f>
        <ns0:v>1654915.83</ns0:v>
      </ns0:c>
      <ns0:c r="K67" s="8">
        <ns0:f>J68</ns0:f>
        <ns0:v>1789827.69</ns0:v>
      </ns0:c>
      <ns0:c r="L67" s="8">
        <ns0:f>K68</ns0:f>
        <ns0:v>1817030.92</ns0:v>
      </ns0:c>
      <ns0:c r="M67" s="8">
        <ns0:f>L68</ns0:f>
        <ns0:v>1921180.29</ns0:v>
      </ns0:c>
      <ns0:c r="N67" s="8">
        <ns0:f>M68</ns0:f>
        <ns0:v>1978658.20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1314204.43</ns0:v>
      </ns0:c>
      <ns0:c r="D68" s="8">
        <ns0:f>SUM(D66:D67)</ns0:f>
        <ns0:v>1327058.17</ns0:v>
      </ns0:c>
      <ns0:c r="E68" s="8">
        <ns0:f>SUM(E66:E67)</ns0:f>
        <ns0:v>1435496.64</ns0:v>
      </ns0:c>
      <ns0:c r="F68" s="8">
        <ns0:f>SUM(F66:F67)</ns0:f>
        <ns0:v>1475622.52</ns0:v>
      </ns0:c>
      <ns0:c r="G68" s="8">
        <ns0:f>SUM(G66:G67)</ns0:f>
        <ns0:v>1499818.22</ns0:v>
      </ns0:c>
      <ns0:c r="H68" s="8">
        <ns0:f>SUM(H66:H67)</ns0:f>
        <ns0:v>1521366.94</ns0:v>
      </ns0:c>
      <ns0:c r="I68" s="8">
        <ns0:f>SUM(I66:I67)</ns0:f>
        <ns0:v>1654915.83</ns0:v>
      </ns0:c>
      <ns0:c r="J68" s="8">
        <ns0:f>SUM(J66:J67)</ns0:f>
        <ns0:v>1789827.69</ns0:v>
      </ns0:c>
      <ns0:c r="K68" s="8">
        <ns0:f>SUM(K66:K67)</ns0:f>
        <ns0:v>1817030.92</ns0:v>
      </ns0:c>
      <ns0:c r="L68" s="8">
        <ns0:f>SUM(L66:L67)</ns0:f>
        <ns0:v>1921180.29</ns0:v>
      </ns0:c>
      <ns0:c r="M68" s="8">
        <ns0:f>SUM(M66:M67)</ns0:f>
        <ns0:v>1978658.20</ns0:v>
      </ns0:c>
      <ns0:c r="N68" s="8">
        <ns0:f>SUM(N66:N67)</ns0:f>
        <ns0:v>2018343.38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现金流量表月度明细区（契约v1.2·直接法，行序与主体区一致）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>
        <ns0:v>492686.79</ns0:v>
      </ns0:c>
      <ns0:c r="Q123" s="2">
        <ns0:v>365257.95</ns0:v>
      </ns0:c>
      <ns0:c r="R123" s="2">
        <ns0:v>486039.52</ns0:v>
      </ns0:c>
      <ns0:c r="S123" s="2">
        <ns0:v>387976.41</ns0:v>
      </ns0:c>
      <ns0:c r="T123" s="2">
        <ns0:v>363601.15</ns0:v>
      </ns0:c>
      <ns0:c r="U123" s="2">
        <ns0:v>326518.21</ns0:v>
      </ns0:c>
      <ns0:c r="V123" s="2">
        <ns0:v>496242.38</ns0:v>
      </ns0:c>
      <ns0:c r="W123" s="2">
        <ns0:v>490463.44</ns0:v>
      </ns0:c>
      <ns0:c r="X123" s="2">
        <ns0:v>355939.41</ns0:v>
      </ns0:c>
      <ns0:c r="Y123" s="2">
        <ns0:v>456343.62</ns0:v>
      </ns0:c>
      <ns0:c r="Z123" s="2">
        <ns0:v>390439.85</ns0:v>
      </ns0:c>
      <ns0:c r="AA123" s="2">
        <ns0:v>402864.10</ns0:v>
      </ns0:c>
      <ns0:c r="AB123" s="2">
        <ns0:f>SUM(P123:AA123)</ns0:f>
        <ns0:v>5014372.83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492686.79</ns0:v>
      </ns0:c>
      <ns0:c r="Q126" s="2">
        <ns0:f>SUM(Q123:Q125)</ns0:f>
        <ns0:v>365257.95</ns0:v>
      </ns0:c>
      <ns0:c r="R126" s="2">
        <ns0:f>SUM(R123:R125)</ns0:f>
        <ns0:v>486039.52</ns0:v>
      </ns0:c>
      <ns0:c r="S126" s="2">
        <ns0:f>SUM(S123:S125)</ns0:f>
        <ns0:v>387976.41</ns0:v>
      </ns0:c>
      <ns0:c r="T126" s="2">
        <ns0:f>SUM(T123:T125)</ns0:f>
        <ns0:v>363601.15</ns0:v>
      </ns0:c>
      <ns0:c r="U126" s="2">
        <ns0:f>SUM(U123:U125)</ns0:f>
        <ns0:v>326518.21</ns0:v>
      </ns0:c>
      <ns0:c r="V126" s="2">
        <ns0:f>SUM(V123:V125)</ns0:f>
        <ns0:v>496242.38</ns0:v>
      </ns0:c>
      <ns0:c r="W126" s="2">
        <ns0:f>SUM(W123:W125)</ns0:f>
        <ns0:v>490463.44</ns0:v>
      </ns0:c>
      <ns0:c r="X126" s="2">
        <ns0:f>SUM(X123:X125)</ns0:f>
        <ns0:v>355939.41</ns0:v>
      </ns0:c>
      <ns0:c r="Y126" s="2">
        <ns0:f>SUM(Y123:Y125)</ns0:f>
        <ns0:v>456343.62</ns0:v>
      </ns0:c>
      <ns0:c r="Z126" s="2">
        <ns0:f>SUM(Z123:Z125)</ns0:f>
        <ns0:v>390439.85</ns0:v>
      </ns0:c>
      <ns0:c r="AA126" s="2">
        <ns0:f>SUM(AA123:AA125)</ns0:f>
        <ns0:v>402864.10</ns0:v>
      </ns0:c>
      <ns0:c r="AB126" s="2">
        <ns0:f>SUM(P126:AA126)</ns0:f>
        <ns0:v>5014372.83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>
        <ns0:v>183492.08</ns0:v>
      </ns0:c>
      <ns0:c r="Q127" s="2">
        <ns0:v>160221.85</ns0:v>
      </ns0:c>
      <ns0:c r="R127" s="2">
        <ns0:v>181427.34</ns0:v>
      </ns0:c>
      <ns0:c r="S127" s="2">
        <ns0:v>152957.66</ns0:v>
      </ns0:c>
      <ns0:c r="T127" s="2">
        <ns0:v>145194.90</ns0:v>
      </ns0:c>
      <ns0:c r="U127" s="2">
        <ns0:v>111872.19</ns0:v>
      </ns0:c>
      <ns0:c r="V127" s="2">
        <ns0:v>167832.84</ns0:v>
      </ns0:c>
      <ns0:c r="W127" s="2">
        <ns0:v>160485.69</ns0:v>
      </ns0:c>
      <ns0:c r="X127" s="2">
        <ns0:v>134552.29</ns0:v>
      </ns0:c>
      <ns0:c r="Y127" s="2">
        <ns0:v>157533.82</ns0:v>
      </ns0:c>
      <ns0:c r="Z127" s="2">
        <ns0:v>140318.73</ns0:v>
      </ns0:c>
      <ns0:c r="AA127" s="2">
        <ns0:v>169847.99</ns0:v>
      </ns0:c>
      <ns0:c r="AB127" s="2">
        <ns0:f>SUM(P127:AA127)</ns0:f>
        <ns0:v>1865737.38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>
        <ns0:v>131239.89</ns0:v>
      </ns0:c>
      <ns0:c r="Q128" s="2">
        <ns0:v>130997.27</ns0:v>
      </ns0:c>
      <ns0:c r="R128" s="2">
        <ns0:v>131676.83</ns0:v>
      </ns0:c>
      <ns0:c r="S128" s="2">
        <ns0:v>131840.70</ns0:v>
      </ns0:c>
      <ns0:c r="T128" s="2">
        <ns0:v>131444.99</ns0:v>
      </ns0:c>
      <ns0:c r="U128" s="2">
        <ns0:v>131243.38</ns0:v>
      </ns0:c>
      <ns0:c r="V128" s="2">
        <ns0:v>131531.26</ns0:v>
      </ns0:c>
      <ns0:c r="W128" s="2">
        <ns0:v>131989.74</ns0:v>
      </ns0:c>
      <ns0:c r="X128" s="2">
        <ns0:v>131766.58</ns0:v>
      </ns0:c>
      <ns0:c r="Y128" s="2">
        <ns0:v>131829.63</ns0:v>
      </ns0:c>
      <ns0:c r="Z128" s="2">
        <ns0:v>130072.17</ns0:v>
      </ns0:c>
      <ns0:c r="AA128" s="2">
        <ns0:v>131057.89</ns0:v>
      </ns0:c>
      <ns0:c r="AB128" s="2">
        <ns0:f>SUM(P128:AA128)</ns0:f>
        <ns0:v>1576690.33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>
        <ns0:v>5328.98</ns0:v>
      </ns0:c>
      <ns0:c r="Q129" s="2">
        <ns0:v>3716.79</ns0:v>
      </ns0:c>
      <ns0:c r="R129" s="2">
        <ns0:v>5241.68</ns0:v>
      </ns0:c>
      <ns0:c r="S129" s="2">
        <ns0:v>4032.20</ns0:v>
      </ns0:c>
      <ns0:c r="T129" s="2">
        <ns0:v>3736.08</ns0:v>
      </ns0:c>
      <ns0:c r="U129" s="2">
        <ns0:v>3358.57</ns0:v>
      </ns0:c>
      <ns0:c r="V129" s="2">
        <ns0:v>5427.26</ns0:v>
      </ns0:c>
      <ns0:c r="W129" s="2">
        <ns0:v>5374.45</ns0:v>
      </ns0:c>
      <ns0:c r="X129" s="2">
        <ns0:v>3670.29</ns0:v>
      </ns0:c>
      <ns0:c r="Y129" s="2">
        <ns0:v>4929.60</ns0:v>
      </ns0:c>
      <ns0:c r="Z129" s="2">
        <ns0:v>4117.66</ns0:v>
      </ns0:c>
      <ns0:c r="AA129" s="2">
        <ns0:v>4180.62</ns0:v>
      </ns0:c>
      <ns0:c r="AB129" s="2">
        <ns0:f>SUM(P129:AA129)</ns0:f>
        <ns0:v>53114.18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>
        <ns0:v>58421.41</ns0:v>
      </ns0:c>
      <ns0:c r="Q130" s="2">
        <ns0:v>57468.30</ns0:v>
      </ns0:c>
      <ns0:c r="R130" s="2">
        <ns0:v>59255.20</ns0:v>
      </ns0:c>
      <ns0:c r="S130" s="2">
        <ns0:v>59019.97</ns0:v>
      </ns0:c>
      <ns0:c r="T130" s="2">
        <ns0:v>59029.48</ns0:v>
      </ns0:c>
      <ns0:c r="U130" s="2">
        <ns0:v>58495.35</ns0:v>
      </ns0:c>
      <ns0:c r="V130" s="2">
        <ns0:v>57902.13</ns0:v>
      </ns0:c>
      <ns0:c r="W130" s="2">
        <ns0:v>57701.70</ns0:v>
      </ns0:c>
      <ns0:c r="X130" s="2">
        <ns0:v>58747.02</ns0:v>
      </ns0:c>
      <ns0:c r="Y130" s="2">
        <ns0:v>57901.20</ns0:v>
      </ns0:c>
      <ns0:c r="Z130" s="2">
        <ns0:v>58453.38</ns0:v>
      </ns0:c>
      <ns0:c r="AA130" s="2">
        <ns0:v>58092.42</ns0:v>
      </ns0:c>
      <ns0:c r="AB130" s="2">
        <ns0:f>SUM(P130:AA130)</ns0:f>
        <ns0:v>700487.56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378482.36</ns0:v>
      </ns0:c>
      <ns0:c r="Q131" s="2">
        <ns0:f>SUM(Q127:Q130)</ns0:f>
        <ns0:v>352404.21</ns0:v>
      </ns0:c>
      <ns0:c r="R131" s="2">
        <ns0:f>SUM(R127:R130)</ns0:f>
        <ns0:v>377601.05</ns0:v>
      </ns0:c>
      <ns0:c r="S131" s="2">
        <ns0:f>SUM(S127:S130)</ns0:f>
        <ns0:v>347850.53</ns0:v>
      </ns0:c>
      <ns0:c r="T131" s="2">
        <ns0:f>SUM(T127:T130)</ns0:f>
        <ns0:v>339405.45</ns0:v>
      </ns0:c>
      <ns0:c r="U131" s="2">
        <ns0:f>SUM(U127:U130)</ns0:f>
        <ns0:v>304969.49</ns0:v>
      </ns0:c>
      <ns0:c r="V131" s="2">
        <ns0:f>SUM(V127:V130)</ns0:f>
        <ns0:v>362693.49</ns0:v>
      </ns0:c>
      <ns0:c r="W131" s="2">
        <ns0:f>SUM(W127:W130)</ns0:f>
        <ns0:v>355551.58</ns0:v>
      </ns0:c>
      <ns0:c r="X131" s="2">
        <ns0:f>SUM(X127:X130)</ns0:f>
        <ns0:v>328736.18</ns0:v>
      </ns0:c>
      <ns0:c r="Y131" s="2">
        <ns0:f>SUM(Y127:Y130)</ns0:f>
        <ns0:v>352194.25</ns0:v>
      </ns0:c>
      <ns0:c r="Z131" s="2">
        <ns0:f>SUM(Z127:Z130)</ns0:f>
        <ns0:v>332961.94</ns0:v>
      </ns0:c>
      <ns0:c r="AA131" s="2">
        <ns0:f>SUM(AA127:AA130)</ns0:f>
        <ns0:v>363178.92</ns0:v>
      </ns0:c>
      <ns0:c r="AB131" s="2">
        <ns0:f>SUM(P131:AA131)</ns0:f>
        <ns0:v>4196029.45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114204.43</ns0:v>
      </ns0:c>
      <ns0:c r="Q132" s="2">
        <ns0:f>Q126-Q131</ns0:f>
        <ns0:v>12853.74</ns0:v>
      </ns0:c>
      <ns0:c r="R132" s="2">
        <ns0:f>R126-R131</ns0:f>
        <ns0:v>108438.47</ns0:v>
      </ns0:c>
      <ns0:c r="S132" s="2">
        <ns0:f>S126-S131</ns0:f>
        <ns0:v>40125.88</ns0:v>
      </ns0:c>
      <ns0:c r="T132" s="2">
        <ns0:f>T126-T131</ns0:f>
        <ns0:v>24195.70</ns0:v>
      </ns0:c>
      <ns0:c r="U132" s="2">
        <ns0:f>U126-U131</ns0:f>
        <ns0:v>21548.72</ns0:v>
      </ns0:c>
      <ns0:c r="V132" s="2">
        <ns0:f>V126-V131</ns0:f>
        <ns0:v>133548.89</ns0:v>
      </ns0:c>
      <ns0:c r="W132" s="2">
        <ns0:f>W126-W131</ns0:f>
        <ns0:v>134911.86</ns0:v>
      </ns0:c>
      <ns0:c r="X132" s="2">
        <ns0:f>X126-X131</ns0:f>
        <ns0:v>27203.23</ns0:v>
      </ns0:c>
      <ns0:c r="Y132" s="2">
        <ns0:f>Y126-Y131</ns0:f>
        <ns0:v>104149.37</ns0:v>
      </ns0:c>
      <ns0:c r="Z132" s="2">
        <ns0:f>Z126-Z131</ns0:f>
        <ns0:v>57477.91</ns0:v>
      </ns0:c>
      <ns0:c r="AA132" s="2">
        <ns0:f>AA126-AA131</ns0:f>
        <ns0:v>39685.18</ns0:v>
      </ns0:c>
      <ns0:c r="AB132" s="2">
        <ns0:f>SUM(P132:AA132)</ns0:f>
        <ns0:v>818343.38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114204.43</ns0:v>
      </ns0:c>
      <ns0:c r="Q157" s="2">
        <ns0:f>Q132+Q145+Q155+Q156</ns0:f>
        <ns0:v>12853.74</ns0:v>
      </ns0:c>
      <ns0:c r="R157" s="2">
        <ns0:f>R132+R145+R155+R156</ns0:f>
        <ns0:v>108438.47</ns0:v>
      </ns0:c>
      <ns0:c r="S157" s="2">
        <ns0:f>S132+S145+S155+S156</ns0:f>
        <ns0:v>40125.88</ns0:v>
      </ns0:c>
      <ns0:c r="T157" s="2">
        <ns0:f>T132+T145+T155+T156</ns0:f>
        <ns0:v>24195.70</ns0:v>
      </ns0:c>
      <ns0:c r="U157" s="2">
        <ns0:f>U132+U145+U155+U156</ns0:f>
        <ns0:v>21548.72</ns0:v>
      </ns0:c>
      <ns0:c r="V157" s="2">
        <ns0:f>V132+V145+V155+V156</ns0:f>
        <ns0:v>133548.89</ns0:v>
      </ns0:c>
      <ns0:c r="W157" s="2">
        <ns0:f>W132+W145+W155+W156</ns0:f>
        <ns0:v>134911.86</ns0:v>
      </ns0:c>
      <ns0:c r="X157" s="2">
        <ns0:f>X132+X145+X155+X156</ns0:f>
        <ns0:v>27203.23</ns0:v>
      </ns0:c>
      <ns0:c r="Y157" s="2">
        <ns0:f>Y132+Y145+Y155+Y156</ns0:f>
        <ns0:v>104149.37</ns0:v>
      </ns0:c>
      <ns0:c r="Z157" s="2">
        <ns0:f>Z132+Z145+Z155+Z156</ns0:f>
        <ns0:v>57477.91</ns0:v>
      </ns0:c>
      <ns0:c r="AA157" s="2">
        <ns0:f>AA132+AA145+AA155+AA156</ns0:f>
        <ns0:v>39685.18</ns0:v>
      </ns0:c>
      <ns0:c r="AB157" s="2">
        <ns0:f>SUM(P157:AA157)</ns0:f>
        <ns0:v>818343.38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1200000.00</ns0:v>
      </ns0:c>
      <ns0:c r="Q158" s="2">
        <ns0:f>P159</ns0:f>
        <ns0:v>1314204.43</ns0:v>
      </ns0:c>
      <ns0:c r="R158" s="2">
        <ns0:f>Q159</ns0:f>
        <ns0:v>1327058.17</ns0:v>
      </ns0:c>
      <ns0:c r="S158" s="2">
        <ns0:f>R159</ns0:f>
        <ns0:v>1435496.64</ns0:v>
      </ns0:c>
      <ns0:c r="T158" s="2">
        <ns0:f>S159</ns0:f>
        <ns0:v>1475622.52</ns0:v>
      </ns0:c>
      <ns0:c r="U158" s="2">
        <ns0:f>T159</ns0:f>
        <ns0:v>1499818.22</ns0:v>
      </ns0:c>
      <ns0:c r="V158" s="2">
        <ns0:f>U159</ns0:f>
        <ns0:v>1521366.94</ns0:v>
      </ns0:c>
      <ns0:c r="W158" s="2">
        <ns0:f>V159</ns0:f>
        <ns0:v>1654915.83</ns0:v>
      </ns0:c>
      <ns0:c r="X158" s="2">
        <ns0:f>W159</ns0:f>
        <ns0:v>1789827.69</ns0:v>
      </ns0:c>
      <ns0:c r="Y158" s="2">
        <ns0:f>X159</ns0:f>
        <ns0:v>1817030.92</ns0:v>
      </ns0:c>
      <ns0:c r="Z158" s="2">
        <ns0:f>Y159</ns0:f>
        <ns0:v>1921180.29</ns0:v>
      </ns0:c>
      <ns0:c r="AA158" s="2">
        <ns0:f>Z159</ns0:f>
        <ns0:v>1978658.20</ns0:v>
      </ns0:c>
      <ns0:c r="AB158" s="2">
        <ns0:f>AA158</ns0:f>
        <ns0:v>1978658.20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1314204.43</ns0:v>
      </ns0:c>
      <ns0:c r="Q159" s="2">
        <ns0:f>Q158+Q157</ns0:f>
        <ns0:v>1327058.17</ns0:v>
      </ns0:c>
      <ns0:c r="R159" s="2">
        <ns0:f>R158+R157</ns0:f>
        <ns0:v>1435496.64</ns0:v>
      </ns0:c>
      <ns0:c r="S159" s="2">
        <ns0:f>S158+S157</ns0:f>
        <ns0:v>1475622.52</ns0:v>
      </ns0:c>
      <ns0:c r="T159" s="2">
        <ns0:f>T158+T157</ns0:f>
        <ns0:v>1499818.22</ns0:v>
      </ns0:c>
      <ns0:c r="U159" s="2">
        <ns0:f>U158+U157</ns0:f>
        <ns0:v>1521366.94</ns0:v>
      </ns0:c>
      <ns0:c r="V159" s="2">
        <ns0:f>V158+V157</ns0:f>
        <ns0:v>1654915.83</ns0:v>
      </ns0:c>
      <ns0:c r="W159" s="2">
        <ns0:f>W158+W157</ns0:f>
        <ns0:v>1789827.69</ns0:v>
      </ns0:c>
      <ns0:c r="X159" s="2">
        <ns0:f>X158+X157</ns0:f>
        <ns0:v>1817030.92</ns0:v>
      </ns0:c>
      <ns0:c r="Y159" s="2">
        <ns0:f>Y158+Y157</ns0:f>
        <ns0:v>1921180.29</ns0:v>
      </ns0:c>
      <ns0:c r="Z159" s="2">
        <ns0:f>Z158+Z157</ns0:f>
        <ns0:v>1978658.20</ns0:v>
      </ns0:c>
      <ns0:c r="AA159" s="2">
        <ns0:f>AA158+AA157</ns0:f>
        <ns0:v>2018343.38</ns0:v>
      </ns0:c>
      <ns0:c r="AB159" s="2">
        <ns0:f>AA159</ns0:f>
        <ns0:v>2018343.38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2350.26</ns0:v>
      </ns0:c>
      <ns0:c r="D31" s="11">
        <ns0:v>1670.97</ns0:v>
      </ns0:c>
      <ns0:c r="E31" s="11">
        <ns0:v>2408.20</ns0:v>
      </ns0:c>
      <ns0:c r="F31" s="11">
        <ns0:v>1739.89</ns0:v>
      </ns0:c>
      <ns0:c r="G31" s="11">
        <ns0:v>1725.05</ns0:v>
      </ns0:c>
      <ns0:c r="H31" s="11">
        <ns0:v>1573.52</ns0:v>
      </ns0:c>
      <ns0:c r="I31" s="11">
        <ns0:v>2364.78</ns0:v>
      </ns0:c>
      <ns0:c r="J31" s="11">
        <ns0:v>2450.66</ns0:v>
      </ns0:c>
      <ns0:c r="K31" s="11">
        <ns0:v>2169.05</ns0:v>
      </ns0:c>
      <ns0:c r="L31" s="11">
        <ns0:v>2274.95</ns0:v>
      </ns0:c>
      <ns0:c r="M31" s="11">
        <ns0:v>2002.83</ns0:v>
      </ns0:c>
      <ns0:c r="N31" s="11">
        <ns0:v>1852.64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126.93</ns0:v>
      </ns0:c>
      <ns0:c r="D32" s="11">
        <ns0:v>118.07</ns0:v>
      </ns0:c>
      <ns0:c r="E32" s="11">
        <ns0:v>119.82</ns0:v>
      </ns0:c>
      <ns0:c r="F32" s="11">
        <ns0:v>111.01</ns0:v>
      </ns0:c>
      <ns0:c r="G32" s="11">
        <ns0:v>86.78</ns0:v>
      </ns0:c>
      <ns0:c r="H32" s="11">
        <ns0:v>91.72</ns0:v>
      </ns0:c>
      <ns0:c r="I32" s="11">
        <ns0:v>122.49</ns0:v>
      </ns0:c>
      <ns0:c r="J32" s="11">
        <ns0:v>117.20</ns0:v>
      </ns0:c>
      <ns0:c r="K32" s="11">
        <ns0:v>89.76</ns0:v>
      </ns0:c>
      <ns0:c r="L32" s="11">
        <ns0:v>109.85</ns0:v>
      </ns0:c>
      <ns0:c r="M32" s="11">
        <ns0:v>98.67</ns0:v>
      </ns0:c>
      <ns0:c r="N32" s="11">
        <ns0:v>123.93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298318.50</ns0:v>
      </ns0:c>
      <ns0:c r="D33" s="8">
        <ns0:f>ROUND(D31*D32,2)</ns0:f>
        <ns0:v>197291.43</ns0:v>
      </ns0:c>
      <ns0:c r="E33" s="8">
        <ns0:f>ROUND(E31*E32,2)</ns0:f>
        <ns0:v>288550.52</ns0:v>
      </ns0:c>
      <ns0:c r="F33" s="8">
        <ns0:f>ROUND(F31*F32,2)</ns0:f>
        <ns0:v>193145.19</ns0:v>
      </ns0:c>
      <ns0:c r="G33" s="8">
        <ns0:f>ROUND(G31*G32,2)</ns0:f>
        <ns0:v>149699.84</ns0:v>
      </ns0:c>
      <ns0:c r="H33" s="8">
        <ns0:f>ROUND(H31*H32,2)</ns0:f>
        <ns0:v>144323.25</ns0:v>
      </ns0:c>
      <ns0:c r="I33" s="8">
        <ns0:f>ROUND(I31*I32,2)</ns0:f>
        <ns0:v>289661.90</ns0:v>
      </ns0:c>
      <ns0:c r="J33" s="8">
        <ns0:f>ROUND(J31*J32,2)</ns0:f>
        <ns0:v>287217.35</ns0:v>
      </ns0:c>
      <ns0:c r="K33" s="8">
        <ns0:f>ROUND(K31*K32,2)</ns0:f>
        <ns0:v>194693.93</ns0:v>
      </ns0:c>
      <ns0:c r="L33" s="8">
        <ns0:f>ROUND(L31*L32,2)</ns0:f>
        <ns0:v>249903.26</ns0:v>
      </ns0:c>
      <ns0:c r="M33" s="8">
        <ns0:f>ROUND(M31*M32,2)</ns0:f>
        <ns0:v>197619.24</ns0:v>
      </ns0:c>
      <ns0:c r="N33" s="8">
        <ns0:f>ROUND(N31*N32,2)</ns0:f>
        <ns0:v>229597.68</ns0:v>
      </ns0:c>
      <ns0:c r="O33" s="8">
        <ns0:f>SUM(C33:N33)</ns0:f>
        <ns0:v>2720022.09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743.44</ns0:v>
      </ns0:c>
      <ns0:c r="D34" s="11">
        <ns0:v>645.73</ns0:v>
      </ns0:c>
      <ns0:c r="E34" s="11">
        <ns0:v>824.45</ns0:v>
      </ns0:c>
      <ns0:c r="F34" s="11">
        <ns0:v>711.12</ns0:v>
      </ns0:c>
      <ns0:c r="G34" s="11">
        <ns0:v>685.44</ns0:v>
      </ns0:c>
      <ns0:c r="H34" s="11">
        <ns0:v>642.72</ns0:v>
      </ns0:c>
      <ns0:c r="I34" s="11">
        <ns0:v>797.52</ns0:v>
      </ns0:c>
      <ns0:c r="J34" s="11">
        <ns0:v>609.22</ns0:v>
      </ns0:c>
      <ns0:c r="K34" s="11">
        <ns0:v>694.49</ns0:v>
      </ns0:c>
      <ns0:c r="L34" s="11">
        <ns0:v>642.79</ns0:v>
      </ns0:c>
      <ns0:c r="M34" s="11">
        <ns0:v>819.65</ns0:v>
      </ns0:c>
      <ns0:c r="N34" s="11">
        <ns0:v>778.06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126.93</ns0:v>
      </ns0:c>
      <ns0:c r="D35" s="8">
        <ns0:f>D32</ns0:f>
        <ns0:v>118.07</ns0:v>
      </ns0:c>
      <ns0:c r="E35" s="8">
        <ns0:f>E32</ns0:f>
        <ns0:v>119.82</ns0:v>
      </ns0:c>
      <ns0:c r="F35" s="8">
        <ns0:f>F32</ns0:f>
        <ns0:v>111.01</ns0:v>
      </ns0:c>
      <ns0:c r="G35" s="8">
        <ns0:f>G32</ns0:f>
        <ns0:v>86.78</ns0:v>
      </ns0:c>
      <ns0:c r="H35" s="8">
        <ns0:f>H32</ns0:f>
        <ns0:v>91.72</ns0:v>
      </ns0:c>
      <ns0:c r="I35" s="8">
        <ns0:f>I32</ns0:f>
        <ns0:v>122.49</ns0:v>
      </ns0:c>
      <ns0:c r="J35" s="8">
        <ns0:f>J32</ns0:f>
        <ns0:v>117.20</ns0:v>
      </ns0:c>
      <ns0:c r="K35" s="8">
        <ns0:f>K32</ns0:f>
        <ns0:v>89.76</ns0:v>
      </ns0:c>
      <ns0:c r="L35" s="8">
        <ns0:f>L32</ns0:f>
        <ns0:v>109.85</ns0:v>
      </ns0:c>
      <ns0:c r="M35" s="8">
        <ns0:f>M32</ns0:f>
        <ns0:v>98.67</ns0:v>
      </ns0:c>
      <ns0:c r="N35" s="8">
        <ns0:f>N32</ns0:f>
        <ns0:v>123.93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94364.84</ns0:v>
      </ns0:c>
      <ns0:c r="D36" s="8">
        <ns0:f>ROUND(D34*D35,2)</ns0:f>
        <ns0:v>76241.34</ns0:v>
      </ns0:c>
      <ns0:c r="E36" s="8">
        <ns0:f>ROUND(E34*E35,2)</ns0:f>
        <ns0:v>98785.60</ns0:v>
      </ns0:c>
      <ns0:c r="F36" s="8">
        <ns0:f>ROUND(F34*F35,2)</ns0:f>
        <ns0:v>78941.43</ns0:v>
      </ns0:c>
      <ns0:c r="G36" s="8">
        <ns0:f>ROUND(G34*G35,2)</ns0:f>
        <ns0:v>59482.48</ns0:v>
      </ns0:c>
      <ns0:c r="H36" s="8">
        <ns0:f>ROUND(H34*H35,2)</ns0:f>
        <ns0:v>58950.28</ns0:v>
      </ns0:c>
      <ns0:c r="I36" s="8">
        <ns0:f>ROUND(I34*I35,2)</ns0:f>
        <ns0:v>97688.22</ns0:v>
      </ns0:c>
      <ns0:c r="J36" s="8">
        <ns0:f>ROUND(J34*J35,2)</ns0:f>
        <ns0:v>71400.58</ns0:v>
      </ns0:c>
      <ns0:c r="K36" s="8">
        <ns0:f>ROUND(K34*K35,2)</ns0:f>
        <ns0:v>62337.42</ns0:v>
      </ns0:c>
      <ns0:c r="L36" s="8">
        <ns0:f>ROUND(L34*L35,2)</ns0:f>
        <ns0:v>70610.48</ns0:v>
      </ns0:c>
      <ns0:c r="M36" s="8">
        <ns0:f>ROUND(M34*M35,2)</ns0:f>
        <ns0:v>80874.87</ns0:v>
      </ns0:c>
      <ns0:c r="N36" s="8">
        <ns0:f>ROUND(N34*N35,2)</ns0:f>
        <ns0:v>96424.98</ns0:v>
      </ns0:c>
      <ns0:c r="O36" s="8">
        <ns0:f>SUM(C36:N36)</ns0:f>
        <ns0:v>946102.52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94364.84</ns0:v>
      </ns0:c>
      <ns0:c r="D37" s="8">
        <ns0:f>D36</ns0:f>
        <ns0:v>76241.34</ns0:v>
      </ns0:c>
      <ns0:c r="E37" s="8">
        <ns0:f>E36</ns0:f>
        <ns0:v>98785.60</ns0:v>
      </ns0:c>
      <ns0:c r="F37" s="8">
        <ns0:f>F36</ns0:f>
        <ns0:v>78941.43</ns0:v>
      </ns0:c>
      <ns0:c r="G37" s="8">
        <ns0:f>G36</ns0:f>
        <ns0:v>59482.48</ns0:v>
      </ns0:c>
      <ns0:c r="H37" s="8">
        <ns0:f>H36</ns0:f>
        <ns0:v>58950.28</ns0:v>
      </ns0:c>
      <ns0:c r="I37" s="8">
        <ns0:f>I36</ns0:f>
        <ns0:v>97688.22</ns0:v>
      </ns0:c>
      <ns0:c r="J37" s="8">
        <ns0:f>J36</ns0:f>
        <ns0:v>71400.58</ns0:v>
      </ns0:c>
      <ns0:c r="K37" s="8">
        <ns0:f>K36</ns0:f>
        <ns0:v>62337.42</ns0:v>
      </ns0:c>
      <ns0:c r="L37" s="8">
        <ns0:f>L36</ns0:f>
        <ns0:v>70610.48</ns0:v>
      </ns0:c>
      <ns0:c r="M37" s="8">
        <ns0:f>M36</ns0:f>
        <ns0:v>80874.87</ns0:v>
      </ns0:c>
      <ns0:c r="N37" s="8">
        <ns0:f>N36</ns0:f>
        <ns0:v>96424.98</ns0:v>
      </ns0:c>
      <ns0:c r="O37" s="8">
        <ns0:f>SUM(C37:N37)</ns0:f>
        <ns0:v>946102.52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2019.45</ns0:v>
      </ns0:c>
      <ns0:c r="D31" s="11">
        <ns0:v>1606.81</ns0:v>
      </ns0:c>
      <ns0:c r="E31" s="11">
        <ns0:v>2254.71</ns0:v>
      </ns0:c>
      <ns0:c r="F31" s="11">
        <ns0:v>2049.71</ns0:v>
      </ns0:c>
      <ns0:c r="G31" s="11">
        <ns0:v>2027.79</ns0:v>
      </ns0:c>
      <ns0:c r="H31" s="11">
        <ns0:v>2182.47</ns0:v>
      </ns0:c>
      <ns0:c r="I31" s="11">
        <ns0:v>2297.45</ns0:v>
      </ns0:c>
      <ns0:c r="J31" s="11">
        <ns0:v>2104.88</ns0:v>
      </ns0:c>
      <ns0:c r="K31" s="11">
        <ns0:v>1679.52</ns0:v>
      </ns0:c>
      <ns0:c r="L31" s="11">
        <ns0:v>2074.04</ns0:v>
      </ns0:c>
      <ns0:c r="M31" s="11">
        <ns0:v>2185.17</ns0:v>
      </ns0:c>
      <ns0:c r="N31" s="11">
        <ns0:v>1859.54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116.16</ns0:v>
      </ns0:c>
      <ns0:c r="D32" s="11">
        <ns0:v>108.53</ns0:v>
      </ns0:c>
      <ns0:c r="E32" s="11">
        <ns0:v>104.50</ns0:v>
      </ns0:c>
      <ns0:c r="F32" s="11">
        <ns0:v>102.49</ns0:v>
      </ns0:c>
      <ns0:c r="G32" s="11">
        <ns0:v>110.42</ns0:v>
      </ns0:c>
      <ns0:c r="H32" s="11">
        <ns0:v>87.76</ns0:v>
      </ns0:c>
      <ns0:c r="I32" s="11">
        <ns0:v>110.15</ns0:v>
      </ns0:c>
      <ns0:c r="J32" s="11">
        <ns0:v>118.88</ns0:v>
      </ns0:c>
      <ns0:c r="K32" s="11">
        <ns0:v>102.61</ns0:v>
      </ns0:c>
      <ns0:c r="L32" s="11">
        <ns0:v>117.19</ns0:v>
      </ns0:c>
      <ns0:c r="M32" s="11">
        <ns0:v>98.00</ns0:v>
      </ns0:c>
      <ns0:c r="N32" s="11">
        <ns0:v>101.35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234579.31</ns0:v>
      </ns0:c>
      <ns0:c r="D33" s="8">
        <ns0:f>ROUND(D31*D32,2)</ns0:f>
        <ns0:v>174387.09</ns0:v>
      </ns0:c>
      <ns0:c r="E33" s="8">
        <ns0:f>ROUND(E31*E32,2)</ns0:f>
        <ns0:v>235617.20</ns0:v>
      </ns0:c>
      <ns0:c r="F33" s="8">
        <ns0:f>ROUND(F31*F32,2)</ns0:f>
        <ns0:v>210074.78</ns0:v>
      </ns0:c>
      <ns0:c r="G33" s="8">
        <ns0:f>ROUND(G31*G32,2)</ns0:f>
        <ns0:v>223908.57</ns0:v>
      </ns0:c>
      <ns0:c r="H33" s="8">
        <ns0:f>ROUND(H31*H32,2)</ns0:f>
        <ns0:v>191533.57</ns0:v>
      </ns0:c>
      <ns0:c r="I33" s="8">
        <ns0:f>ROUND(I31*I32,2)</ns0:f>
        <ns0:v>253064.12</ns0:v>
      </ns0:c>
      <ns0:c r="J33" s="8">
        <ns0:f>ROUND(J31*J32,2)</ns0:f>
        <ns0:v>250228.13</ns0:v>
      </ns0:c>
      <ns0:c r="K33" s="8">
        <ns0:f>ROUND(K31*K32,2)</ns0:f>
        <ns0:v>172335.55</ns0:v>
      </ns0:c>
      <ns0:c r="L33" s="8">
        <ns0:f>ROUND(L31*L32,2)</ns0:f>
        <ns0:v>243056.75</ns0:v>
      </ns0:c>
      <ns0:c r="M33" s="8">
        <ns0:f>ROUND(M31*M32,2)</ns0:f>
        <ns0:v>214146.66</ns0:v>
      </ns0:c>
      <ns0:c r="N33" s="8">
        <ns0:f>ROUND(N31*N32,2)</ns0:f>
        <ns0:v>188464.38</ns0:v>
      </ns0:c>
      <ns0:c r="O33" s="8">
        <ns0:f>SUM(C33:N33)</ns0:f>
        <ns0:v>2591396.11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767.28</ns0:v>
      </ns0:c>
      <ns0:c r="D34" s="11">
        <ns0:v>773.80</ns0:v>
      </ns0:c>
      <ns0:c r="E34" s="11">
        <ns0:v>790.83</ns0:v>
      </ns0:c>
      <ns0:c r="F34" s="11">
        <ns0:v>722.18</ns0:v>
      </ns0:c>
      <ns0:c r="G34" s="11">
        <ns0:v>776.24</ns0:v>
      </ns0:c>
      <ns0:c r="H34" s="11">
        <ns0:v>603.03</ns0:v>
      </ns0:c>
      <ns0:c r="I34" s="11">
        <ns0:v>636.81</ns0:v>
      </ns0:c>
      <ns0:c r="J34" s="11">
        <ns0:v>749.37</ns0:v>
      </ns0:c>
      <ns0:c r="K34" s="11">
        <ns0:v>703.78</ns0:v>
      </ns0:c>
      <ns0:c r="L34" s="11">
        <ns0:v>741.73</ns0:v>
      </ns0:c>
      <ns0:c r="M34" s="11">
        <ns0:v>606.57</ns0:v>
      </ns0:c>
      <ns0:c r="N34" s="11">
        <ns0:v>724.45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116.16</ns0:v>
      </ns0:c>
      <ns0:c r="D35" s="8">
        <ns0:f>D32</ns0:f>
        <ns0:v>108.53</ns0:v>
      </ns0:c>
      <ns0:c r="E35" s="8">
        <ns0:f>E32</ns0:f>
        <ns0:v>104.50</ns0:v>
      </ns0:c>
      <ns0:c r="F35" s="8">
        <ns0:f>F32</ns0:f>
        <ns0:v>102.49</ns0:v>
      </ns0:c>
      <ns0:c r="G35" s="8">
        <ns0:f>G32</ns0:f>
        <ns0:v>110.42</ns0:v>
      </ns0:c>
      <ns0:c r="H35" s="8">
        <ns0:f>H32</ns0:f>
        <ns0:v>87.76</ns0:v>
      </ns0:c>
      <ns0:c r="I35" s="8">
        <ns0:f>I32</ns0:f>
        <ns0:v>110.15</ns0:v>
      </ns0:c>
      <ns0:c r="J35" s="8">
        <ns0:f>J32</ns0:f>
        <ns0:v>118.88</ns0:v>
      </ns0:c>
      <ns0:c r="K35" s="8">
        <ns0:f>K32</ns0:f>
        <ns0:v>102.61</ns0:v>
      </ns0:c>
      <ns0:c r="L35" s="8">
        <ns0:f>L32</ns0:f>
        <ns0:v>117.19</ns0:v>
      </ns0:c>
      <ns0:c r="M35" s="8">
        <ns0:f>M32</ns0:f>
        <ns0:v>98.00</ns0:v>
      </ns0:c>
      <ns0:c r="N35" s="8">
        <ns0:f>N32</ns0:f>
        <ns0:v>101.35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89127.24</ns0:v>
      </ns0:c>
      <ns0:c r="D36" s="8">
        <ns0:f>ROUND(D34*D35,2)</ns0:f>
        <ns0:v>83980.51</ns0:v>
      </ns0:c>
      <ns0:c r="E36" s="8">
        <ns0:f>ROUND(E34*E35,2)</ns0:f>
        <ns0:v>82641.74</ns0:v>
      </ns0:c>
      <ns0:c r="F36" s="8">
        <ns0:f>ROUND(F34*F35,2)</ns0:f>
        <ns0:v>74016.23</ns0:v>
      </ns0:c>
      <ns0:c r="G36" s="8">
        <ns0:f>ROUND(G34*G35,2)</ns0:f>
        <ns0:v>85712.42</ns0:v>
      </ns0:c>
      <ns0:c r="H36" s="8">
        <ns0:f>ROUND(H34*H35,2)</ns0:f>
        <ns0:v>52921.91</ns0:v>
      </ns0:c>
      <ns0:c r="I36" s="8">
        <ns0:f>ROUND(I34*I35,2)</ns0:f>
        <ns0:v>70144.62</ns0:v>
      </ns0:c>
      <ns0:c r="J36" s="8">
        <ns0:f>ROUND(J34*J35,2)</ns0:f>
        <ns0:v>89085.11</ns0:v>
      </ns0:c>
      <ns0:c r="K36" s="8">
        <ns0:f>ROUND(K34*K35,2)</ns0:f>
        <ns0:v>72214.87</ns0:v>
      </ns0:c>
      <ns0:c r="L36" s="8">
        <ns0:f>ROUND(L34*L35,2)</ns0:f>
        <ns0:v>86923.34</ns0:v>
      </ns0:c>
      <ns0:c r="M36" s="8">
        <ns0:f>ROUND(M34*M35,2)</ns0:f>
        <ns0:v>59443.86</ns0:v>
      </ns0:c>
      <ns0:c r="N36" s="8">
        <ns0:f>ROUND(N34*N35,2)</ns0:f>
        <ns0:v>73423.01</ns0:v>
      </ns0:c>
      <ns0:c r="O36" s="8">
        <ns0:f>SUM(C36:N36)</ns0:f>
        <ns0:v>919634.86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89127.24</ns0:v>
      </ns0:c>
      <ns0:c r="D37" s="8">
        <ns0:f>D36</ns0:f>
        <ns0:v>83980.51</ns0:v>
      </ns0:c>
      <ns0:c r="E37" s="8">
        <ns0:f>E36</ns0:f>
        <ns0:v>82641.74</ns0:v>
      </ns0:c>
      <ns0:c r="F37" s="8">
        <ns0:f>F36</ns0:f>
        <ns0:v>74016.23</ns0:v>
      </ns0:c>
      <ns0:c r="G37" s="8">
        <ns0:f>G36</ns0:f>
        <ns0:v>85712.42</ns0:v>
      </ns0:c>
      <ns0:c r="H37" s="8">
        <ns0:f>H36</ns0:f>
        <ns0:v>52921.91</ns0:v>
      </ns0:c>
      <ns0:c r="I37" s="8">
        <ns0:f>I36</ns0:f>
        <ns0:v>70144.62</ns0:v>
      </ns0:c>
      <ns0:c r="J37" s="8">
        <ns0:f>J36</ns0:f>
        <ns0:v>89085.11</ns0:v>
      </ns0:c>
      <ns0:c r="K37" s="8">
        <ns0:f>K36</ns0:f>
        <ns0:v>72214.87</ns0:v>
      </ns0:c>
      <ns0:c r="L37" s="8">
        <ns0:f>L36</ns0:f>
        <ns0:v>86923.34</ns0:v>
      </ns0:c>
      <ns0:c r="M37" s="8">
        <ns0:f>M36</ns0:f>
        <ns0:v>59443.86</ns0:v>
      </ns0:c>
      <ns0:c r="N37" s="8">
        <ns0:f>N36</ns0:f>
        <ns0:v>73423.01</ns0:v>
      </ns0:c>
      <ns0:c r="O37" s="8">
        <ns0:f>SUM(C37:N37)</ns0:f>
        <ns0:v>919634.86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0.01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532897.81</ns0:v>
      </ns0:c>
      <ns0:c r="D32" s="8">
        <ns0:f>'收入非主控'!D33+'收入主控'!D33</ns0:f>
        <ns0:v>371678.52</ns0:v>
      </ns0:c>
      <ns0:c r="E32" s="8">
        <ns0:f>'收入非主控'!E33+'收入主控'!E33</ns0:f>
        <ns0:v>524167.72</ns0:v>
      </ns0:c>
      <ns0:c r="F32" s="8">
        <ns0:f>'收入非主控'!F33+'收入主控'!F33</ns0:f>
        <ns0:v>403219.97</ns0:v>
      </ns0:c>
      <ns0:c r="G32" s="8">
        <ns0:f>'收入非主控'!G33+'收入主控'!G33</ns0:f>
        <ns0:v>373608.41</ns0:v>
      </ns0:c>
      <ns0:c r="H32" s="8">
        <ns0:f>'收入非主控'!H33+'收入主控'!H33</ns0:f>
        <ns0:v>335856.82</ns0:v>
      </ns0:c>
      <ns0:c r="I32" s="8">
        <ns0:f>'收入非主控'!I33+'收入主控'!I33</ns0:f>
        <ns0:v>542726.02</ns0:v>
      </ns0:c>
      <ns0:c r="J32" s="8">
        <ns0:f>'收入非主控'!J33+'收入主控'!J33</ns0:f>
        <ns0:v>537445.48</ns0:v>
      </ns0:c>
      <ns0:c r="K32" s="8">
        <ns0:f>'收入非主控'!K33+'收入主控'!K33</ns0:f>
        <ns0:v>367029.48</ns0:v>
      </ns0:c>
      <ns0:c r="L32" s="8">
        <ns0:f>'收入非主控'!L33+'收入主控'!L33</ns0:f>
        <ns0:v>492960.01</ns0:v>
      </ns0:c>
      <ns0:c r="M32" s="8">
        <ns0:f>'收入非主控'!M33+'收入主控'!M33</ns0:f>
        <ns0:v>411765.90</ns0:v>
      </ns0:c>
      <ns0:c r="N32" s="8">
        <ns0:f>'收入非主控'!N33+'收入主控'!N33</ns0:f>
        <ns0:v>418062.06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5328.98</ns0:v>
      </ns0:c>
      <ns0:c r="D33" s="8">
        <ns0:f>ROUND(D32*$C$31,2)</ns0:f>
        <ns0:v>3716.79</ns0:v>
      </ns0:c>
      <ns0:c r="E33" s="8">
        <ns0:f>ROUND(E32*$C$31,2)</ns0:f>
        <ns0:v>5241.68</ns0:v>
      </ns0:c>
      <ns0:c r="F33" s="8">
        <ns0:f>ROUND(F32*$C$31,2)</ns0:f>
        <ns0:v>4032.20</ns0:v>
      </ns0:c>
      <ns0:c r="G33" s="8">
        <ns0:f>ROUND(G32*$C$31,2)</ns0:f>
        <ns0:v>3736.08</ns0:v>
      </ns0:c>
      <ns0:c r="H33" s="8">
        <ns0:f>ROUND(H32*$C$31,2)</ns0:f>
        <ns0:v>3358.57</ns0:v>
      </ns0:c>
      <ns0:c r="I33" s="8">
        <ns0:f>ROUND(I32*$C$31,2)</ns0:f>
        <ns0:v>5427.26</ns0:v>
      </ns0:c>
      <ns0:c r="J33" s="8">
        <ns0:f>ROUND(J32*$C$31,2)</ns0:f>
        <ns0:v>5374.45</ns0:v>
      </ns0:c>
      <ns0:c r="K33" s="8">
        <ns0:f>ROUND(K32*$C$31,2)</ns0:f>
        <ns0:v>3670.29</ns0:v>
      </ns0:c>
      <ns0:c r="L33" s="8">
        <ns0:f>ROUND(L32*$C$31,2)</ns0:f>
        <ns0:v>4929.60</ns0:v>
      </ns0:c>
      <ns0:c r="M33" s="8">
        <ns0:f>ROUND(M32*$C$31,2)</ns0:f>
        <ns0:v>4117.66</ns0:v>
      </ns0:c>
      <ns0:c r="N33" s="8">
        <ns0:f>ROUND(N32*$C$31,2)</ns0:f>
        <ns0:v>4180.62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>
        <ns0:v>0.60</ns0:v>
      </ns0:c>
      <ns0:c r="Q123" s="2">
        <ns0:v>3197.39</ns0:v>
      </ns0:c>
      <ns0:c r="R123" s="2">
        <ns0:v>2230.07</ns0:v>
      </ns0:c>
      <ns0:c r="S123" s="2">
        <ns0:v>3145.01</ns0:v>
      </ns0:c>
      <ns0:c r="T123" s="2">
        <ns0:v>2419.32</ns0:v>
      </ns0:c>
      <ns0:c r="U123" s="2">
        <ns0:v>2241.65</ns0:v>
      </ns0:c>
      <ns0:c r="V123" s="2">
        <ns0:v>2015.14</ns0:v>
      </ns0:c>
      <ns0:c r="W123" s="2">
        <ns0:v>3256.36</ns0:v>
      </ns0:c>
      <ns0:c r="X123" s="2">
        <ns0:v>3224.67</ns0:v>
      </ns0:c>
      <ns0:c r="Y123" s="2">
        <ns0:v>2202.17</ns0:v>
      </ns0:c>
      <ns0:c r="Z123" s="2">
        <ns0:v>2957.76</ns0:v>
      </ns0:c>
      <ns0:c r="AA123" s="2">
        <ns0:v>2470.60</ns0:v>
      </ns0:c>
      <ns0:c r="AB123" s="2">
        <ns0:v>2508.37</ns0:v>
      </ns0:c>
      <ns0:c r="AC123" s="2">
        <ns0:f>SUM(Q123:AB123)</ns0:f>
        <ns0:v>31868.51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>
        <ns0:v>0.40</ns0:v>
      </ns0:c>
      <ns0:c r="Q124" s="2">
        <ns0:v>2131.59</ns0:v>
      </ns0:c>
      <ns0:c r="R124" s="2">
        <ns0:v>1486.72</ns0:v>
      </ns0:c>
      <ns0:c r="S124" s="2">
        <ns0:v>2096.67</ns0:v>
      </ns0:c>
      <ns0:c r="T124" s="2">
        <ns0:v>1612.88</ns0:v>
      </ns0:c>
      <ns0:c r="U124" s="2">
        <ns0:v>1494.43</ns0:v>
      </ns0:c>
      <ns0:c r="V124" s="2">
        <ns0:v>1343.43</ns0:v>
      </ns0:c>
      <ns0:c r="W124" s="2">
        <ns0:v>2170.90</ns0:v>
      </ns0:c>
      <ns0:c r="X124" s="2">
        <ns0:v>2149.78</ns0:v>
      </ns0:c>
      <ns0:c r="Y124" s="2">
        <ns0:v>1468.12</ns0:v>
      </ns0:c>
      <ns0:c r="Z124" s="2">
        <ns0:v>1971.84</ns0:v>
      </ns0:c>
      <ns0:c r="AA124" s="2">
        <ns0:v>1647.06</ns0:v>
      </ns0:c>
      <ns0:c r="AB124" s="2">
        <ns0:v>1672.25</ns0:v>
      </ns0:c>
      <ns0:c r="AC124" s="2">
        <ns0:f>SUM(Q124:AB124)</ns0:f>
        <ns0:v>21245.67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5328.98</ns0:v>
      </ns0:c>
      <ns0:c r="R127" s="2">
        <ns0:f>SUM(R123:R126)</ns0:f>
        <ns0:v>3716.79</ns0:v>
      </ns0:c>
      <ns0:c r="S127" s="2">
        <ns0:f>SUM(S123:S126)</ns0:f>
        <ns0:v>5241.68</ns0:v>
      </ns0:c>
      <ns0:c r="T127" s="2">
        <ns0:f>SUM(T123:T126)</ns0:f>
        <ns0:v>4032.20</ns0:v>
      </ns0:c>
      <ns0:c r="U127" s="2">
        <ns0:f>SUM(U123:U126)</ns0:f>
        <ns0:v>3736.08</ns0:v>
      </ns0:c>
      <ns0:c r="V127" s="2">
        <ns0:f>SUM(V123:V126)</ns0:f>
        <ns0:v>3358.57</ns0:v>
      </ns0:c>
      <ns0:c r="W127" s="2">
        <ns0:f>SUM(W123:W126)</ns0:f>
        <ns0:v>5427.26</ns0:v>
      </ns0:c>
      <ns0:c r="X127" s="2">
        <ns0:f>SUM(X123:X126)</ns0:f>
        <ns0:v>5374.45</ns0:v>
      </ns0:c>
      <ns0:c r="Y127" s="2">
        <ns0:f>SUM(Y123:Y126)</ns0:f>
        <ns0:v>3670.29</ns0:v>
      </ns0:c>
      <ns0:c r="Z127" s="2">
        <ns0:f>SUM(Z123:Z126)</ns0:f>
        <ns0:v>4929.60</ns0:v>
      </ns0:c>
      <ns0:c r="AA127" s="2">
        <ns0:f>SUM(AA123:AA126)</ns0:f>
        <ns0:v>4117.66</ns0:v>
      </ns0:c>
      <ns0:c r="AB127" s="2">
        <ns0:f>SUM(AB123:AB126)</ns0:f>
        <ns0:v>4180.62</ns0:v>
      </ns0:c>
      <ns0:c r="AC127" s="2">
        <ns0:f>SUM(Q127:AB127)</ns0:f>
        <ns0:v>53114.18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41470.82</ns0:v>
      </ns0:c>
      <ns0:c r="D4" s="8">
        <ns0:f>ROUND(D204*D324,2)</ns0:f>
        <ns0:v>41869.79</ns0:v>
      </ns0:c>
      <ns0:c r="E4" s="8">
        <ns0:f>ROUND(E204*E324,2)</ns0:f>
        <ns0:v>41739.55</ns0:v>
      </ns0:c>
      <ns0:c r="F4" s="8">
        <ns0:f>ROUND(F204*F324,2)</ns0:f>
        <ns0:v>41353.18</ns0:v>
      </ns0:c>
      <ns0:c r="G4" s="8">
        <ns0:f>ROUND(G204*G324,2)</ns0:f>
        <ns0:v>41764.81</ns0:v>
      </ns0:c>
      <ns0:c r="H4" s="8">
        <ns0:f>ROUND(H204*H324,2)</ns0:f>
        <ns0:v>41731.17</ns0:v>
      </ns0:c>
      <ns0:c r="I4" s="8">
        <ns0:f>ROUND(I204*I324,2)</ns0:f>
        <ns0:v>42100.85</ns0:v>
      </ns0:c>
      <ns0:c r="J4" s="8">
        <ns0:f>ROUND(J204*J324,2)</ns0:f>
        <ns0:v>42462.02</ns0:v>
      </ns0:c>
      <ns0:c r="K4" s="8">
        <ns0:f>ROUND(K204*K324,2)</ns0:f>
        <ns0:v>42104.98</ns0:v>
      </ns0:c>
      <ns0:c r="L4" s="8">
        <ns0:f>ROUND(L204*L324,2)</ns0:f>
        <ns0:v>42466.26</ns0:v>
      </ns0:c>
      <ns0:c r="M4" s="8">
        <ns0:f>ROUND(M204*M324,2)</ns0:f>
        <ns0:v>41563.22</ns0:v>
      </ns0:c>
      <ns0:c r="N4" s="8">
        <ns0:f>ROUND(N204*N324,2)</ns0:f>
        <ns0:v>41243.96</ns0:v>
      </ns0:c>
      <ns0:c r="O4" s="8">
        <ns0:f>SUM(C4:N4)</ns0:f>
        <ns0:v>501870.61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3041.34</ns0:v>
      </ns0:c>
      <ns0:c r="D5" s="8">
        <ns0:f>ROUND(D205*D325,2)</ns0:f>
        <ns0:v>2971.48</ns0:v>
      </ns0:c>
      <ns0:c r="E5" s="8">
        <ns0:f>ROUND(E205*E325,2)</ns0:f>
        <ns0:v>3006.88</ns0:v>
      </ns0:c>
      <ns0:c r="F5" s="8">
        <ns0:f>ROUND(F205*F325,2)</ns0:f>
        <ns0:v>3025.78</ns0:v>
      </ns0:c>
      <ns0:c r="G5" s="8">
        <ns0:f>ROUND(G205*G325,2)</ns0:f>
        <ns0:v>3003.87</ns0:v>
      </ns0:c>
      <ns0:c r="H5" s="8">
        <ns0:f>ROUND(H205*H325,2)</ns0:f>
        <ns0:v>2953.75</ns0:v>
      </ns0:c>
      <ns0:c r="I5" s="8">
        <ns0:f>ROUND(I205*I325,2)</ns0:f>
        <ns0:v>3036.95</ns0:v>
      </ns0:c>
      <ns0:c r="J5" s="8">
        <ns0:f>ROUND(J205*J325,2)</ns0:f>
        <ns0:v>2988.94</ns0:v>
      </ns0:c>
      <ns0:c r="K5" s="8">
        <ns0:f>ROUND(K205*K325,2)</ns0:f>
        <ns0:v>3003.28</ns0:v>
      </ns0:c>
      <ns0:c r="L5" s="8">
        <ns0:f>ROUND(L205*L325,2)</ns0:f>
        <ns0:v>2948.65</ns0:v>
      </ns0:c>
      <ns0:c r="M5" s="8">
        <ns0:f>ROUND(M205*M325,2)</ns0:f>
        <ns0:v>2941.48</ns0:v>
      </ns0:c>
      <ns0:c r="N5" s="8">
        <ns0:f>ROUND(N205*N325,2)</ns0:f>
        <ns0:v>2963.15</ns0:v>
      </ns0:c>
      <ns0:c r="O5" s="8">
        <ns0:f>SUM(C5:N5)</ns0:f>
        <ns0:v>35885.55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1132.30</ns0:v>
      </ns0:c>
      <ns0:c r="D6" s="8">
        <ns0:f>ROUND(D206*D326,2)</ns0:f>
        <ns0:v>1306.48</ns0:v>
      </ns0:c>
      <ns0:c r="E6" s="8">
        <ns0:f>ROUND(E206*E326,2)</ns0:f>
        <ns0:v>1157.43</ns0:v>
      </ns0:c>
      <ns0:c r="F6" s="8">
        <ns0:f>ROUND(F206*F326,2)</ns0:f>
        <ns0:v>1113.05</ns0:v>
      </ns0:c>
      <ns0:c r="G6" s="8">
        <ns0:f>ROUND(G206*G326,2)</ns0:f>
        <ns0:v>1056.09</ns0:v>
      </ns0:c>
      <ns0:c r="H6" s="8">
        <ns0:f>ROUND(H206*H326,2)</ns0:f>
        <ns0:v>1117.81</ns0:v>
      </ns0:c>
      <ns0:c r="I6" s="8">
        <ns0:f>ROUND(I206*I326,2)</ns0:f>
        <ns0:v>1131.60</ns0:v>
      </ns0:c>
      <ns0:c r="J6" s="8">
        <ns0:f>ROUND(J206*J326,2)</ns0:f>
        <ns0:v>1080.25</ns0:v>
      </ns0:c>
      <ns0:c r="K6" s="8">
        <ns0:f>ROUND(K206*K326,2)</ns0:f>
        <ns0:v>1180.35</ns0:v>
      </ns0:c>
      <ns0:c r="L6" s="8">
        <ns0:f>ROUND(L206*L326,2)</ns0:f>
        <ns0:v>1130.49</ns0:v>
      </ns0:c>
      <ns0:c r="M6" s="8">
        <ns0:f>ROUND(M206*M326,2)</ns0:f>
        <ns0:v>1146.25</ns0:v>
      </ns0:c>
      <ns0:c r="N6" s="8">
        <ns0:f>ROUND(N206*N326,2)</ns0:f>
        <ns0:v>1169.35</ns0:v>
      </ns0:c>
      <ns0:c r="O6" s="8">
        <ns0:f>SUM(C6:N6)</ns0:f>
        <ns0:v>13721.45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14267.37</ns0:v>
      </ns0:c>
      <ns0:c r="D7" s="8">
        <ns0:f>ROUND(D207*D327,2)</ns0:f>
        <ns0:v>13805.43</ns0:v>
      </ns0:c>
      <ns0:c r="E7" s="8">
        <ns0:f>ROUND(E207*E327,2)</ns0:f>
        <ns0:v>13871.20</ns0:v>
      </ns0:c>
      <ns0:c r="F7" s="8">
        <ns0:f>ROUND(F207*F327,2)</ns0:f>
        <ns0:v>13886.64</ns0:v>
      </ns0:c>
      <ns0:c r="G7" s="8">
        <ns0:f>ROUND(G207*G327,2)</ns0:f>
        <ns0:v>14142.75</ns0:v>
      </ns0:c>
      <ns0:c r="H7" s="8">
        <ns0:f>ROUND(H207*H327,2)</ns0:f>
        <ns0:v>13761.96</ns0:v>
      </ns0:c>
      <ns0:c r="I7" s="8">
        <ns0:f>ROUND(I207*I327,2)</ns0:f>
        <ns0:v>14170.82</ns0:v>
      </ns0:c>
      <ns0:c r="J7" s="8">
        <ns0:f>ROUND(J207*J327,2)</ns0:f>
        <ns0:v>13887.94</ns0:v>
      </ns0:c>
      <ns0:c r="K7" s="8">
        <ns0:f>ROUND(K207*K327,2)</ns0:f>
        <ns0:v>13778.83</ns0:v>
      </ns0:c>
      <ns0:c r="L7" s="8">
        <ns0:f>ROUND(L207*L327,2)</ns0:f>
        <ns0:v>13897.79</ns0:v>
      </ns0:c>
      <ns0:c r="M7" s="8">
        <ns0:f>ROUND(M207*M327,2)</ns0:f>
        <ns0:v>13812.37</ns0:v>
      </ns0:c>
      <ns0:c r="N7" s="8">
        <ns0:f>ROUND(N207*N327,2)</ns0:f>
        <ns0:v>14165.16</ns0:v>
      </ns0:c>
      <ns0:c r="O7" s="8">
        <ns0:f>SUM(C7:N7)</ns0:f>
        <ns0:v>167448.26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2673.98</ns0:v>
      </ns0:c>
      <ns0:c r="D8" s="8">
        <ns0:f>ROUND(D208*D328,2)</ns0:f>
        <ns0:v>3095.70</ns0:v>
      </ns0:c>
      <ns0:c r="E8" s="8">
        <ns0:f>ROUND(E208*E328,2)</ns0:f>
        <ns0:v>2885.71</ns0:v>
      </ns0:c>
      <ns0:c r="F8" s="8">
        <ns0:f>ROUND(F208*F328,2)</ns0:f>
        <ns0:v>3113.03</ns0:v>
      </ns0:c>
      <ns0:c r="G8" s="8">
        <ns0:f>ROUND(G208*G328,2)</ns0:f>
        <ns0:v>2817.39</ns0:v>
      </ns0:c>
      <ns0:c r="H8" s="8">
        <ns0:f>ROUND(H208*H328,2)</ns0:f>
        <ns0:v>2852.05</ns0:v>
      </ns0:c>
      <ns0:c r="I8" s="8">
        <ns0:f>ROUND(I208*I328,2)</ns0:f>
        <ns0:v>2663.41</ns0:v>
      </ns0:c>
      <ns0:c r="J8" s="8">
        <ns0:f>ROUND(J208*J328,2)</ns0:f>
        <ns0:v>2769.22</ns0:v>
      </ns0:c>
      <ns0:c r="K8" s="8">
        <ns0:f>ROUND(K208*K328,2)</ns0:f>
        <ns0:v>2794.44</ns0:v>
      </ns0:c>
      <ns0:c r="L8" s="8">
        <ns0:f>ROUND(L208*L328,2)</ns0:f>
        <ns0:v>2560.28</ns0:v>
      </ns0:c>
      <ns0:c r="M8" s="8">
        <ns0:f>ROUND(M208*M328,2)</ns0:f>
        <ns0:v>2619.98</ns0:v>
      </ns0:c>
      <ns0:c r="N8" s="8">
        <ns0:f>ROUND(N208*N328,2)</ns0:f>
        <ns0:v>2988.21</ns0:v>
      </ns0:c>
      <ns0:c r="O8" s="8">
        <ns0:f>SUM(C8:N8)</ns0:f>
        <ns0:v>33833.40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1607.55</ns0:v>
      </ns0:c>
      <ns0:c r="D9" s="8">
        <ns0:f>ROUND(D209*D329,2)</ns0:f>
        <ns0:v>1652.69</ns0:v>
      </ns0:c>
      <ns0:c r="E9" s="8">
        <ns0:f>ROUND(E209*E329,2)</ns0:f>
        <ns0:v>1498.49</ns0:v>
      </ns0:c>
      <ns0:c r="F9" s="8">
        <ns0:f>ROUND(F209*F329,2)</ns0:f>
        <ns0:v>1383.59</ns0:v>
      </ns0:c>
      <ns0:c r="G9" s="8">
        <ns0:f>ROUND(G209*G329,2)</ns0:f>
        <ns0:v>1518.90</ns0:v>
      </ns0:c>
      <ns0:c r="H9" s="8">
        <ns0:f>ROUND(H209*H329,2)</ns0:f>
        <ns0:v>1572.44</ns0:v>
      </ns0:c>
      <ns0:c r="I9" s="8">
        <ns0:f>ROUND(I209*I329,2)</ns0:f>
        <ns0:v>1450.04</ns0:v>
      </ns0:c>
      <ns0:c r="J9" s="8">
        <ns0:f>ROUND(J209*J329,2)</ns0:f>
        <ns0:v>1416.16</ns0:v>
      </ns0:c>
      <ns0:c r="K9" s="8">
        <ns0:f>ROUND(K209*K329,2)</ns0:f>
        <ns0:v>1603.05</ns0:v>
      </ns0:c>
      <ns0:c r="L9" s="8">
        <ns0:f>ROUND(L209*L329,2)</ns0:f>
        <ns0:v>1392.46</ns0:v>
      </ns0:c>
      <ns0:c r="M9" s="8">
        <ns0:f>ROUND(M209*M329,2)</ns0:f>
        <ns0:v>1592.27</ns0:v>
      </ns0:c>
      <ns0:c r="N9" s="8">
        <ns0:f>ROUND(N209*N329,2)</ns0:f>
        <ns0:v>1436.25</ns0:v>
      </ns0:c>
      <ns0:c r="O9" s="8">
        <ns0:f>SUM(C9:N9)</ns0:f>
        <ns0:v>18123.89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960.22</ns0:v>
      </ns0:c>
      <ns0:c r="D10" s="8">
        <ns0:f>ROUND(D210*D330,2)</ns0:f>
        <ns0:v>898.48</ns0:v>
      </ns0:c>
      <ns0:c r="E10" s="8">
        <ns0:f>ROUND(E210*E330,2)</ns0:f>
        <ns0:v>1021.08</ns0:v>
      </ns0:c>
      <ns0:c r="F10" s="8">
        <ns0:f>ROUND(F210*F330,2)</ns0:f>
        <ns0:v>914.00</ns0:v>
      </ns0:c>
      <ns0:c r="G10" s="8">
        <ns0:f>ROUND(G210*G330,2)</ns0:f>
        <ns0:v>1030.29</ns0:v>
      </ns0:c>
      <ns0:c r="H10" s="8">
        <ns0:f>ROUND(H210*H330,2)</ns0:f>
        <ns0:v>979.61</ns0:v>
      </ns0:c>
      <ns0:c r="I10" s="8">
        <ns0:f>ROUND(I210*I330,2)</ns0:f>
        <ns0:v>926.01</ns0:v>
      </ns0:c>
      <ns0:c r="J10" s="8">
        <ns0:f>ROUND(J210*J330,2)</ns0:f>
        <ns0:v>933.00</ns0:v>
      </ns0:c>
      <ns0:c r="K10" s="8">
        <ns0:f>ROUND(K210*K330,2)</ns0:f>
        <ns0:v>1069.18</ns0:v>
      </ns0:c>
      <ns0:c r="L10" s="8">
        <ns0:f>ROUND(L210*L330,2)</ns0:f>
        <ns0:v>912.59</ns0:v>
      </ns0:c>
      <ns0:c r="M10" s="8">
        <ns0:f>ROUND(M210*M330,2)</ns0:f>
        <ns0:v>925.39</ns0:v>
      </ns0:c>
      <ns0:c r="N10" s="8">
        <ns0:f>ROUND(N210*N330,2)</ns0:f>
        <ns0:v>1000.69</ns0:v>
      </ns0:c>
      <ns0:c r="O10" s="8">
        <ns0:f>SUM(C10:N10)</ns0:f>
        <ns0:v>11570.54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5797.82</ns0:v>
      </ns0:c>
      <ns0:c r="D11" s="8">
        <ns0:f>ROUND(D211*D331,2)</ns0:f>
        <ns0:v>5863.80</ns0:v>
      </ns0:c>
      <ns0:c r="E11" s="8">
        <ns0:f>ROUND(E211*E331,2)</ns0:f>
        <ns0:v>6650.97</ns0:v>
      </ns0:c>
      <ns0:c r="F11" s="8">
        <ns0:f>ROUND(F211*F331,2)</ns0:f>
        <ns0:v>5608.77</ns0:v>
      </ns0:c>
      <ns0:c r="G11" s="8">
        <ns0:f>ROUND(G211*G331,2)</ns0:f>
        <ns0:v>6583.79</ns0:v>
      </ns0:c>
      <ns0:c r="H11" s="8">
        <ns0:f>ROUND(H211*H331,2)</ns0:f>
        <ns0:v>5650.18</ns0:v>
      </ns0:c>
      <ns0:c r="I11" s="8">
        <ns0:f>ROUND(I211*I331,2)</ns0:f>
        <ns0:v>5923.81</ns0:v>
      </ns0:c>
      <ns0:c r="J11" s="8">
        <ns0:f>ROUND(J211*J331,2)</ns0:f>
        <ns0:v>5563.23</ns0:v>
      </ns0:c>
      <ns0:c r="K11" s="8">
        <ns0:f>ROUND(K211*K331,2)</ns0:f>
        <ns0:v>6519.60</ns0:v>
      </ns0:c>
      <ns0:c r="L11" s="8">
        <ns0:f>ROUND(L211*L331,2)</ns0:f>
        <ns0:v>5771.40</ns0:v>
      </ns0:c>
      <ns0:c r="M11" s="8">
        <ns0:f>ROUND(M211*M331,2)</ns0:f>
        <ns0:v>5567.42</ns0:v>
      </ns0:c>
      <ns0:c r="N11" s="8">
        <ns0:f>ROUND(N211*N331,2)</ns0:f>
        <ns0:v>5458.22</ns0:v>
      </ns0:c>
      <ns0:c r="O11" s="8">
        <ns0:f>SUM(C11:N11)</ns0:f>
        <ns0:v>70959.01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1571.98</ns0:v>
      </ns0:c>
      <ns0:c r="D12" s="8">
        <ns0:f>ROUND(D212*D332,2)</ns0:f>
        <ns0:v>1563.18</ns0:v>
      </ns0:c>
      <ns0:c r="E12" s="8">
        <ns0:f>ROUND(E212*E332,2)</ns0:f>
        <ns0:v>1437.13</ns0:v>
      </ns0:c>
      <ns0:c r="F12" s="8">
        <ns0:f>ROUND(F212*F332,2)</ns0:f>
        <ns0:v>1505.72</ns0:v>
      </ns0:c>
      <ns0:c r="G12" s="8">
        <ns0:f>ROUND(G212*G332,2)</ns0:f>
        <ns0:v>1478.12</ns0:v>
      </ns0:c>
      <ns0:c r="H12" s="8">
        <ns0:f>ROUND(H212*H332,2)</ns0:f>
        <ns0:v>1495.93</ns0:v>
      </ns0:c>
      <ns0:c r="I12" s="8">
        <ns0:f>ROUND(I212*I332,2)</ns0:f>
        <ns0:v>1354.81</ns0:v>
      </ns0:c>
      <ns0:c r="J12" s="8">
        <ns0:f>ROUND(J212*J332,2)</ns0:f>
        <ns0:v>1632.29</ns0:v>
      </ns0:c>
      <ns0:c r="K12" s="8">
        <ns0:f>ROUND(K212*K332,2)</ns0:f>
        <ns0:v>1390.04</ns0:v>
      </ns0:c>
      <ns0:c r="L12" s="8">
        <ns0:f>ROUND(L212*L332,2)</ns0:f>
        <ns0:v>1390.22</ns0:v>
      </ns0:c>
      <ns0:c r="M12" s="8">
        <ns0:f>ROUND(M212*M332,2)</ns0:f>
        <ns0:v>1638.00</ns0:v>
      </ns0:c>
      <ns0:c r="N12" s="8">
        <ns0:f>ROUND(N212*N332,2)</ns0:f>
        <ns0:v>1327.49</ns0:v>
      </ns0:c>
      <ns0:c r="O12" s="8">
        <ns0:f>SUM(C12:N12)</ns0:f>
        <ns0:v>17784.91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1766.51</ns0:v>
      </ns0:c>
      <ns0:c r="D13" s="8">
        <ns0:f>ROUND(D213*D333,2)</ns0:f>
        <ns0:v>1678.86</ns0:v>
      </ns0:c>
      <ns0:c r="E13" s="8">
        <ns0:f>ROUND(E213*E333,2)</ns0:f>
        <ns0:v>1717.75</ns0:v>
      </ns0:c>
      <ns0:c r="F13" s="8">
        <ns0:f>ROUND(F213*F333,2)</ns0:f>
        <ns0:v>1991.88</ns0:v>
      </ns0:c>
      <ns0:c r="G13" s="8">
        <ns0:f>ROUND(G213*G333,2)</ns0:f>
        <ns0:v>1640.16</ns0:v>
      </ns0:c>
      <ns0:c r="H13" s="8">
        <ns0:f>ROUND(H213*H333,2)</ns0:f>
        <ns0:v>2001.23</ns0:v>
      </ns0:c>
      <ns0:c r="I13" s="8">
        <ns0:f>ROUND(I213*I333,2)</ns0:f>
        <ns0:v>1790.28</ns0:v>
      </ns0:c>
      <ns0:c r="J13" s="8">
        <ns0:f>ROUND(J213*J333,2)</ns0:f>
        <ns0:v>1779.85</ns0:v>
      </ns0:c>
      <ns0:c r="K13" s="8">
        <ns0:f>ROUND(K213*K333,2)</ns0:f>
        <ns0:v>1770.85</ns0:v>
      </ns0:c>
      <ns0:c r="L13" s="8">
        <ns0:f>ROUND(L213*L333,2)</ns0:f>
        <ns0:v>1965.07</ns0:v>
      </ns0:c>
      <ns0:c r="M13" s="8">
        <ns0:f>ROUND(M213*M333,2)</ns0:f>
        <ns0:v>1647.35</ns0:v>
      </ns0:c>
      <ns0:c r="N13" s="8">
        <ns0:f>ROUND(N213*N333,2)</ns0:f>
        <ns0:v>1805.58</ns0:v>
      </ns0:c>
      <ns0:c r="O13" s="8">
        <ns0:f>SUM(C13:N13)</ns0:f>
        <ns0:v>21555.37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1962.68</ns0:v>
      </ns0:c>
      <ns0:c r="D14" s="8">
        <ns0:f>ROUND(D214*D334,2)</ns0:f>
        <ns0:v>2110.42</ns0:v>
      </ns0:c>
      <ns0:c r="E14" s="8">
        <ns0:f>ROUND(E214*E334,2)</ns0:f>
        <ns0:v>2297.40</ns0:v>
      </ns0:c>
      <ns0:c r="F14" s="8">
        <ns0:f>ROUND(F214*F334,2)</ns0:f>
        <ns0:v>2104.94</ns0:v>
      </ns0:c>
      <ns0:c r="G14" s="8">
        <ns0:f>ROUND(G214*G334,2)</ns0:f>
        <ns0:v>2188.14</ns0:v>
      </ns0:c>
      <ns0:c r="H14" s="8">
        <ns0:f>ROUND(H214*H334,2)</ns0:f>
        <ns0:v>2445.98</ns0:v>
      </ns0:c>
      <ns0:c r="I14" s="8">
        <ns0:f>ROUND(I214*I334,2)</ns0:f>
        <ns0:v>2017.44</ns0:v>
      </ns0:c>
      <ns0:c r="J14" s="8">
        <ns0:f>ROUND(J214*J334,2)</ns0:f>
        <ns0:v>2029.07</ns0:v>
      </ns0:c>
      <ns0:c r="K14" s="8">
        <ns0:f>ROUND(K214*K334,2)</ns0:f>
        <ns0:v>2198.69</ns0:v>
      </ns0:c>
      <ns0:c r="L14" s="8">
        <ns0:f>ROUND(L214*L334,2)</ns0:f>
        <ns0:v>2009.23</ns0:v>
      </ns0:c>
      <ns0:c r="M14" s="8">
        <ns0:f>ROUND(M214*M334,2)</ns0:f>
        <ns0:v>2236.57</ns0:v>
      </ns0:c>
      <ns0:c r="N14" s="8">
        <ns0:f>ROUND(N214*N334,2)</ns0:f>
        <ns0:v>2272.59</ns0:v>
      </ns0:c>
      <ns0:c r="O14" s="8">
        <ns0:f>SUM(C14:N14)</ns0:f>
        <ns0:v>25873.15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1086.13</ns0:v>
      </ns0:c>
      <ns0:c r="D15" s="8">
        <ns0:f>ROUND(D215*D335,2)</ns0:f>
        <ns0:v>1152.46</ns0:v>
      </ns0:c>
      <ns0:c r="E15" s="8">
        <ns0:f>ROUND(E215*E335,2)</ns0:f>
        <ns0:v>1224.48</ns0:v>
      </ns0:c>
      <ns0:c r="F15" s="8">
        <ns0:f>ROUND(F215*F335,2)</ns0:f>
        <ns0:v>1107.74</ns0:v>
      </ns0:c>
      <ns0:c r="G15" s="8">
        <ns0:f>ROUND(G215*G335,2)</ns0:f>
        <ns0:v>1245.02</ns0:v>
      </ns0:c>
      <ns0:c r="H15" s="8">
        <ns0:f>ROUND(H215*H335,2)</ns0:f>
        <ns0:v>1245.95</ns0:v>
      </ns0:c>
      <ns0:c r="I15" s="8">
        <ns0:f>ROUND(I215*I335,2)</ns0:f>
        <ns0:v>1334.55</ns0:v>
      </ns0:c>
      <ns0:c r="J15" s="8">
        <ns0:f>ROUND(J215*J335,2)</ns0:f>
        <ns0:v>1100.42</ns0:v>
      </ns0:c>
      <ns0:c r="K15" s="8">
        <ns0:f>ROUND(K215*K335,2)</ns0:f>
        <ns0:v>1114.19</ns0:v>
      </ns0:c>
      <ns0:c r="L15" s="8">
        <ns0:f>ROUND(L215*L335,2)</ns0:f>
        <ns0:v>1099.91</ns0:v>
      </ns0:c>
      <ns0:c r="M15" s="8">
        <ns0:f>ROUND(M215*M335,2)</ns0:f>
        <ns0:v>1268.14</ns0:v>
      </ns0:c>
      <ns0:c r="N15" s="8">
        <ns0:f>ROUND(N215*N335,2)</ns0:f>
        <ns0:v>1147.45</ns0:v>
      </ns0:c>
      <ns0:c r="O15" s="8">
        <ns0:f>SUM(C15:N15)</ns0:f>
        <ns0:v>14126.44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2305.99</ns0:v>
      </ns0:c>
      <ns0:c r="D16" s="8">
        <ns0:f>ROUND(D216*D336,2)</ns0:f>
        <ns0:v>2496.51</ns0:v>
      </ns0:c>
      <ns0:c r="E16" s="8">
        <ns0:f>ROUND(E216*E336,2)</ns0:f>
        <ns0:v>2364.48</ns0:v>
      </ns0:c>
      <ns0:c r="F16" s="8">
        <ns0:f>ROUND(F216*F336,2)</ns0:f>
        <ns0:v>2668.73</ns0:v>
      </ns0:c>
      <ns0:c r="G16" s="8">
        <ns0:f>ROUND(G216*G336,2)</ns0:f>
        <ns0:v>2447.75</ns0:v>
      </ns0:c>
      <ns0:c r="H16" s="8">
        <ns0:f>ROUND(H216*H336,2)</ns0:f>
        <ns0:v>2463.74</ns0:v>
      </ns0:c>
      <ns0:c r="I16" s="8">
        <ns0:f>ROUND(I216*I336,2)</ns0:f>
        <ns0:v>2764.99</ns0:v>
      </ns0:c>
      <ns0:c r="J16" s="8">
        <ns0:f>ROUND(J216*J336,2)</ns0:f>
        <ns0:v>2251.24</ns0:v>
      </ns0:c>
      <ns0:c r="K16" s="8">
        <ns0:f>ROUND(K216*K336,2)</ns0:f>
        <ns0:v>2612.27</ns0:v>
      </ns0:c>
      <ns0:c r="L16" s="8">
        <ns0:f>ROUND(L216*L336,2)</ns0:f>
        <ns0:v>2763.48</ns0:v>
      </ns0:c>
      <ns0:c r="M16" s="8">
        <ns0:f>ROUND(M216*M336,2)</ns0:f>
        <ns0:v>2343.48</ns0:v>
      </ns0:c>
      <ns0:c r="N16" s="8">
        <ns0:f>ROUND(N216*N336,2)</ns0:f>
        <ns0:v>2423.27</ns0:v>
      </ns0:c>
      <ns0:c r="O16" s="8">
        <ns0:f>SUM(C16:N16)</ns0:f>
        <ns0:v>29905.93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1863.60</ns0:v>
      </ns0:c>
      <ns0:c r="D17" s="8">
        <ns0:f>ROUND(D217*D337,2)</ns0:f>
        <ns0:v>2113.79</ns0:v>
      </ns0:c>
      <ns0:c r="E17" s="8">
        <ns0:f>ROUND(E217*E337,2)</ns0:f>
        <ns0:v>2041.60</ns0:v>
      </ns0:c>
      <ns0:c r="F17" s="8">
        <ns0:f>ROUND(F217*F337,2)</ns0:f>
        <ns0:v>1973.80</ns0:v>
      </ns0:c>
      <ns0:c r="G17" s="8">
        <ns0:f>ROUND(G217*G337,2)</ns0:f>
        <ns0:v>2013.99</ns0:v>
      </ns0:c>
      <ns0:c r="H17" s="8">
        <ns0:f>ROUND(H217*H337,2)</ns0:f>
        <ns0:v>2219.80</ns0:v>
      </ns0:c>
      <ns0:c r="I17" s="8">
        <ns0:f>ROUND(I217*I337,2)</ns0:f>
        <ns0:v>2192.20</ns0:v>
      </ns0:c>
      <ns0:c r="J17" s="8">
        <ns0:f>ROUND(J217*J337,2)</ns0:f>
        <ns0:v>2207.21</ns0:v>
      </ns0:c>
      <ns0:c r="K17" s="8">
        <ns0:f>ROUND(K217*K337,2)</ns0:f>
        <ns0:v>2038.00</ns0:v>
      </ns0:c>
      <ns0:c r="L17" s="8">
        <ns0:f>ROUND(L217*L337,2)</ns0:f>
        <ns0:v>1916.20</ns0:v>
      </ns0:c>
      <ns0:c r="M17" s="8">
        <ns0:f>ROUND(M217*M337,2)</ns0:f>
        <ns0:v>2219.80</ns0:v>
      </ns0:c>
      <ns0:c r="N17" s="8">
        <ns0:f>ROUND(N217*N337,2)</ns0:f>
        <ns0:v>1999.81</ns0:v>
      </ns0:c>
      <ns0:c r="O17" s="8">
        <ns0:f>SUM(C17:N17)</ns0:f>
        <ns0:v>24799.80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970.14</ns0:v>
      </ns0:c>
      <ns0:c r="D18" s="8">
        <ns0:f>ROUND(D218*D338,2)</ns0:f>
        <ns0:v>828.36</ns0:v>
      </ns0:c>
      <ns0:c r="E18" s="8">
        <ns0:f>ROUND(E218*E338,2)</ns0:f>
        <ns0:v>796.25</ns0:v>
      </ns0:c>
      <ns0:c r="F18" s="8">
        <ns0:f>ROUND(F218*F338,2)</ns0:f>
        <ns0:v>873.18</ns0:v>
      </ns0:c>
      <ns0:c r="G18" s="8">
        <ns0:f>ROUND(G218*G338,2)</ns0:f>
        <ns0:v>907.55</ns0:v>
      </ns0:c>
      <ns0:c r="H18" s="8">
        <ns0:f>ROUND(H218*H338,2)</ns0:f>
        <ns0:v>833.33</ns0:v>
      </ns0:c>
      <ns0:c r="I18" s="8">
        <ns0:f>ROUND(I218*I338,2)</ns0:f>
        <ns0:v>953.51</ns0:v>
      </ns0:c>
      <ns0:c r="J18" s="8">
        <ns0:f>ROUND(J218*J338,2)</ns0:f>
        <ns0:v>816.09</ns0:v>
      </ns0:c>
      <ns0:c r="K18" s="8">
        <ns0:f>ROUND(K218*K338,2)</ns0:f>
        <ns0:v>936.82</ns0:v>
      </ns0:c>
      <ns0:c r="L18" s="8">
        <ns0:f>ROUND(L218*L338,2)</ns0:f>
        <ns0:v>831.97</ns0:v>
      </ns0:c>
      <ns0:c r="M18" s="8">
        <ns0:f>ROUND(M218*M338,2)</ns0:f>
        <ns0:v>820.78</ns0:v>
      </ns0:c>
      <ns0:c r="N18" s="8">
        <ns0:f>ROUND(N218*N338,2)</ns0:f>
        <ns0:v>850.84</ns0:v>
      </ns0:c>
      <ns0:c r="O18" s="8">
        <ns0:f>SUM(C18:N18)</ns0:f>
        <ns0:v>10418.82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461.15</ns0:v>
      </ns0:c>
      <ns0:c r="D19" s="8">
        <ns0:f>ROUND(D219*D339,2)</ns0:f>
        <ns0:v>452.58</ns0:v>
      </ns0:c>
      <ns0:c r="E19" s="8">
        <ns0:f>ROUND(E219*E339,2)</ns0:f>
        <ns0:v>442.23</ns0:v>
      </ns0:c>
      <ns0:c r="F19" s="8">
        <ns0:f>ROUND(F219*F339,2)</ns0:f>
        <ns0:v>465.29</ns0:v>
      </ns0:c>
      <ns0:c r="G19" s="8">
        <ns0:f>ROUND(G219*G339,2)</ns0:f>
        <ns0:v>467.70</ns0:v>
      </ns0:c>
      <ns0:c r="H19" s="8">
        <ns0:f>ROUND(H219*H339,2)</ns0:f>
        <ns0:v>484.39</ns0:v>
      </ns0:c>
      <ns0:c r="I19" s="8">
        <ns0:f>ROUND(I219*I339,2)</ns0:f>
        <ns0:v>552.75</ns0:v>
      </ns0:c>
      <ns0:c r="J19" s="8">
        <ns0:f>ROUND(J219*J339,2)</ns0:f>
        <ns0:v>443.86</ns0:v>
      </ns0:c>
      <ns0:c r="K19" s="8">
        <ns0:f>ROUND(K219*K339,2)</ns0:f>
        <ns0:v>523.43</ns0:v>
      </ns0:c>
      <ns0:c r="L19" s="8">
        <ns0:f>ROUND(L219*L339,2)</ns0:f>
        <ns0:v>508.53</ns0:v>
      </ns0:c>
      <ns0:c r="M19" s="8">
        <ns0:f>ROUND(M219*M339,2)</ns0:f>
        <ns0:v>507.57</ns0:v>
      </ns0:c>
      <ns0:c r="N19" s="8">
        <ns0:f>ROUND(N219*N339,2)</ns0:f>
        <ns0:v>491.44</ns0:v>
      </ns0:c>
      <ns0:c r="O19" s="8">
        <ns0:f>SUM(C19:N19)</ns0:f>
        <ns0:v>5800.92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2716.50</ns0:v>
      </ns0:c>
      <ns0:c r="D21" s="8">
        <ns0:f>ROUND(D221*D341,2)</ns0:f>
        <ns0:v>2619.90</ns0:v>
      </ns0:c>
      <ns0:c r="E21" s="8">
        <ns0:f>ROUND(E221*E341,2)</ns0:f>
        <ns0:v>2820.57</ns0:v>
      </ns0:c>
      <ns0:c r="F21" s="8">
        <ns0:f>ROUND(F221*F341,2)</ns0:f>
        <ns0:v>2738.90</ns0:v>
      </ns0:c>
      <ns0:c r="G21" s="8">
        <ns0:f>ROUND(G221*G341,2)</ns0:f>
        <ns0:v>2872.16</ns0:v>
      </ns0:c>
      <ns0:c r="H21" s="8">
        <ns0:f>ROUND(H221*H341,2)</ns0:f>
        <ns0:v>2595.55</ns0:v>
      </ns0:c>
      <ns0:c r="I21" s="8">
        <ns0:f>ROUND(I221*I341,2)</ns0:f>
        <ns0:v>2478.19</ns0:v>
      </ns0:c>
      <ns0:c r="J21" s="8">
        <ns0:f>ROUND(J221*J341,2)</ns0:f>
        <ns0:v>2355.56</ns0:v>
      </ns0:c>
      <ns0:c r="K21" s="8">
        <ns0:f>ROUND(K221*K341,2)</ns0:f>
        <ns0:v>2534.60</ns0:v>
      </ns0:c>
      <ns0:c r="L21" s="8">
        <ns0:f>ROUND(L221*L341,2)</ns0:f>
        <ns0:v>2330.20</ns0:v>
      </ns0:c>
      <ns0:c r="M21" s="8">
        <ns0:f>ROUND(M221*M341,2)</ns0:f>
        <ns0:v>2633.63</ns0:v>
      </ns0:c>
      <ns0:c r="N21" s="8">
        <ns0:f>ROUND(N221*N341,2)</ns0:f>
        <ns0:v>2636.99</ns0:v>
      </ns0:c>
      <ns0:c r="O21" s="8">
        <ns0:f>SUM(C21:N21)</ns0:f>
        <ns0:v>31332.75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1619.55</ns0:v>
      </ns0:c>
      <ns0:c r="D22" s="8">
        <ns0:f>ROUND(D222*D342,2)</ns0:f>
        <ns0:v>1750.64</ns0:v>
      </ns0:c>
      <ns0:c r="E22" s="8">
        <ns0:f>ROUND(E222*E342,2)</ns0:f>
        <ns0:v>1858.27</ns0:v>
      </ns0:c>
      <ns0:c r="F22" s="8">
        <ns0:f>ROUND(F222*F342,2)</ns0:f>
        <ns0:v>1950.03</ns0:v>
      </ns0:c>
      <ns0:c r="G22" s="8">
        <ns0:f>ROUND(G222*G342,2)</ns0:f>
        <ns0:v>1684.62</ns0:v>
      </ns0:c>
      <ns0:c r="H22" s="8">
        <ns0:f>ROUND(H222*H342,2)</ns0:f>
        <ns0:v>1801.84</ns0:v>
      </ns0:c>
      <ns0:c r="I22" s="8">
        <ns0:f>ROUND(I222*I342,2)</ns0:f>
        <ns0:v>1989.90</ns0:v>
      </ns0:c>
      <ns0:c r="J22" s="8">
        <ns0:f>ROUND(J222*J342,2)</ns0:f>
        <ns0:v>1748.63</ns0:v>
      </ns0:c>
      <ns0:c r="K22" s="8">
        <ns0:f>ROUND(K222*K342,2)</ns0:f>
        <ns0:v>1978.29</ns0:v>
      </ns0:c>
      <ns0:c r="L22" s="8">
        <ns0:f>ROUND(L222*L342,2)</ns0:f>
        <ns0:v>1810.19</ns0:v>
      </ns0:c>
      <ns0:c r="M22" s="8">
        <ns0:f>ROUND(M222*M342,2)</ns0:f>
        <ns0:v>1916.88</ns0:v>
      </ns0:c>
      <ns0:c r="N22" s="8">
        <ns0:f>ROUND(N222*N342,2)</ns0:f>
        <ns0:v>1780.33</ns0:v>
      </ns0:c>
      <ns0:c r="O22" s="8">
        <ns0:f>SUM(C22:N22)</ns0:f>
        <ns0:v>21889.17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982.55</ns0:v>
      </ns0:c>
      <ns0:c r="D23" s="8">
        <ns0:f>ROUND(D223*D343,2)</ns0:f>
        <ns0:v>795.00</ns0:v>
      </ns0:c>
      <ns0:c r="E23" s="8">
        <ns0:f>ROUND(E223*E343,2)</ns0:f>
        <ns0:v>807.10</ns0:v>
      </ns0:c>
      <ns0:c r="F23" s="8">
        <ns0:f>ROUND(F223*F343,2)</ns0:f>
        <ns0:v>794.89</ns0:v>
      </ns0:c>
      <ns0:c r="G23" s="8">
        <ns0:f>ROUND(G223*G343,2)</ns0:f>
        <ns0:v>827.41</ns0:v>
      </ns0:c>
      <ns0:c r="H23" s="8">
        <ns0:f>ROUND(H223*H343,2)</ns0:f>
        <ns0:v>900.81</ns0:v>
      </ns0:c>
      <ns0:c r="I23" s="8">
        <ns0:f>ROUND(I223*I343,2)</ns0:f>
        <ns0:v>932.51</ns0:v>
      </ns0:c>
      <ns0:c r="J23" s="8">
        <ns0:f>ROUND(J223*J343,2)</ns0:f>
        <ns0:v>911.73</ns0:v>
      </ns0:c>
      <ns0:c r="K23" s="8">
        <ns0:f>ROUND(K223*K343,2)</ns0:f>
        <ns0:v>958.92</ns0:v>
      </ns0:c>
      <ns0:c r="L23" s="8">
        <ns0:f>ROUND(L223*L343,2)</ns0:f>
        <ns0:v>848.37</ns0:v>
      </ns0:c>
      <ns0:c r="M23" s="8">
        <ns0:f>ROUND(M223*M343,2)</ns0:f>
        <ns0:v>959.69</ns0:v>
      </ns0:c>
      <ns0:c r="N23" s="8">
        <ns0:f>ROUND(N223*N343,2)</ns0:f>
        <ns0:v>878.75</ns0:v>
      </ns0:c>
      <ns0:c r="O23" s="8">
        <ns0:f>SUM(C23:N23)</ns0:f>
        <ns0:v>10597.73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649.74</ns0:v>
      </ns0:c>
      <ns0:c r="D24" s="8">
        <ns0:f>ROUND(D224*D344,2)</ns0:f>
        <ns0:v>652.03</ns0:v>
      </ns0:c>
      <ns0:c r="E24" s="8">
        <ns0:f>ROUND(E224*E344,2)</ns0:f>
        <ns0:v>624.40</ns0:v>
      </ns0:c>
      <ns0:c r="F24" s="8">
        <ns0:f>ROUND(F224*F344,2)</ns0:f>
        <ns0:v>697.45</ns0:v>
      </ns0:c>
      <ns0:c r="G24" s="8">
        <ns0:f>ROUND(G224*G344,2)</ns0:f>
        <ns0:v>649.80</ns0:v>
      </ns0:c>
      <ns0:c r="H24" s="8">
        <ns0:f>ROUND(H224*H344,2)</ns0:f>
        <ns0:v>751.50</ns0:v>
      </ns0:c>
      <ns0:c r="I24" s="8">
        <ns0:f>ROUND(I224*I344,2)</ns0:f>
        <ns0:v>623.35</ns0:v>
      </ns0:c>
      <ns0:c r="J24" s="8">
        <ns0:f>ROUND(J224*J344,2)</ns0:f>
        <ns0:v>742.50</ns0:v>
      </ns0:c>
      <ns0:c r="K24" s="8">
        <ns0:f>ROUND(K224*K344,2)</ns0:f>
        <ns0:v>756.33</ns0:v>
      </ns0:c>
      <ns0:c r="L24" s="8">
        <ns0:f>ROUND(L224*L344,2)</ns0:f>
        <ns0:v>706.57</ns0:v>
      </ns0:c>
      <ns0:c r="M24" s="8">
        <ns0:f>ROUND(M224*M344,2)</ns0:f>
        <ns0:v>632.22</ns0:v>
      </ns0:c>
      <ns0:c r="N24" s="8">
        <ns0:f>ROUND(N224*N344,2)</ns0:f>
        <ns0:v>720.32</ns0:v>
      </ns0:c>
      <ns0:c r="O24" s="8">
        <ns0:f>SUM(C24:N24)</ns0:f>
        <ns0:v>8206.21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1601.10</ns0:v>
      </ns0:c>
      <ns0:c r="D25" s="8">
        <ns0:f>ROUND(D225*D345,2)</ns0:f>
        <ns0:v>1598.42</ns0:v>
      </ns0:c>
      <ns0:c r="E25" s="8">
        <ns0:f>ROUND(E225*E345,2)</ns0:f>
        <ns0:v>1757.27</ns0:v>
      </ns0:c>
      <ns0:c r="F25" s="8">
        <ns0:f>ROUND(F225*F345,2)</ns0:f>
        <ns0:v>1412.20</ns0:v>
      </ns0:c>
      <ns0:c r="G25" s="8">
        <ns0:f>ROUND(G225*G345,2)</ns0:f>
        <ns0:v>1614.25</ns0:v>
      </ns0:c>
      <ns0:c r="H25" s="8">
        <ns0:f>ROUND(H225*H345,2)</ns0:f>
        <ns0:v>1677.59</ns0:v>
      </ns0:c>
      <ns0:c r="I25" s="8">
        <ns0:f>ROUND(I225*I345,2)</ns0:f>
        <ns0:v>1651.23</ns0:v>
      </ns0:c>
      <ns0:c r="J25" s="8">
        <ns0:f>ROUND(J225*J345,2)</ns0:f>
        <ns0:v>1643.84</ns0:v>
      </ns0:c>
      <ns0:c r="K25" s="8">
        <ns0:f>ROUND(K225*K345,2)</ns0:f>
        <ns0:v>1690.73</ns0:v>
      </ns0:c>
      <ns0:c r="L25" s="8">
        <ns0:f>ROUND(L225*L345,2)</ns0:f>
        <ns0:v>1786.70</ns0:v>
      </ns0:c>
      <ns0:c r="M25" s="8">
        <ns0:f>ROUND(M225*M345,2)</ns0:f>
        <ns0:v>1494.52</ns0:v>
      </ns0:c>
      <ns0:c r="N25" s="8">
        <ns0:f>ROUND(N225*N345,2)</ns0:f>
        <ns0:v>1768.98</ns0:v>
      </ns0:c>
      <ns0:c r="O25" s="8">
        <ns0:f>SUM(C25:N25)</ns0:f>
        <ns0:v>19696.83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1211.72</ns0:v>
      </ns0:c>
      <ns0:c r="D26" s="8">
        <ns0:f>ROUND(D226*D346,2)</ns0:f>
        <ns0:v>981.80</ns0:v>
      </ns0:c>
      <ns0:c r="E26" s="8">
        <ns0:f>ROUND(E226*E346,2)</ns0:f>
        <ns0:v>981.91</ns0:v>
      </ns0:c>
      <ns0:c r="F26" s="8">
        <ns0:f>ROUND(F226*F346,2)</ns0:f>
        <ns0:v>1143.28</ns0:v>
      </ns0:c>
      <ns0:c r="G26" s="8">
        <ns0:f>ROUND(G226*G346,2)</ns0:f>
        <ns0:v>1188.99</ns0:v>
      </ns0:c>
      <ns0:c r="H26" s="8">
        <ns0:f>ROUND(H226*H346,2)</ns0:f>
        <ns0:v>1157.21</ns0:v>
      </ns0:c>
      <ns0:c r="I26" s="8">
        <ns0:f>ROUND(I226*I346,2)</ns0:f>
        <ns0:v>1053.51</ns0:v>
      </ns0:c>
      <ns0:c r="J26" s="8">
        <ns0:f>ROUND(J226*J346,2)</ns0:f>
        <ns0:v>1224.72</ns0:v>
      </ns0:c>
      <ns0:c r="K26" s="8">
        <ns0:f>ROUND(K226*K346,2)</ns0:f>
        <ns0:v>1013.85</ns0:v>
      </ns0:c>
      <ns0:c r="L26" s="8">
        <ns0:f>ROUND(L226*L346,2)</ns0:f>
        <ns0:v>1188.53</ns0:v>
      </ns0:c>
      <ns0:c r="M26" s="8">
        <ns0:f>ROUND(M226*M346,2)</ns0:f>
        <ns0:v>1213.91</ns0:v>
      </ns0:c>
      <ns0:c r="N26" s="8">
        <ns0:f>ROUND(N226*N346,2)</ns0:f>
        <ns0:v>1007.49</ns0:v>
      </ns0:c>
      <ns0:c r="O26" s="8">
        <ns0:f>SUM(C26:N26)</ns0:f>
        <ns0:v>13366.92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1305.19</ns0:v>
      </ns0:c>
      <ns0:c r="D27" s="8">
        <ns0:f>ROUND(D227*D347,2)</ns0:f>
        <ns0:v>1215.23</ns0:v>
      </ns0:c>
      <ns0:c r="E27" s="8">
        <ns0:f>ROUND(E227*E347,2)</ns0:f>
        <ns0:v>1404.37</ns0:v>
      </ns0:c>
      <ns0:c r="F27" s="8">
        <ns0:f>ROUND(F227*F347,2)</ns0:f>
        <ns0:v>1449.62</ns0:v>
      </ns0:c>
      <ns0:c r="G27" s="8">
        <ns0:f>ROUND(G227*G347,2)</ns0:f>
        <ns0:v>1242.78</ns0:v>
      </ns0:c>
      <ns0:c r="H27" s="8">
        <ns0:f>ROUND(H227*H347,2)</ns0:f>
        <ns0:v>1252.30</ns0:v>
      </ns0:c>
      <ns0:c r="I27" s="8">
        <ns0:f>ROUND(I227*I347,2)</ns0:f>
        <ns0:v>1145.56</ns0:v>
      </ns0:c>
      <ns0:c r="J27" s="8">
        <ns0:f>ROUND(J227*J347,2)</ns0:f>
        <ns0:v>1351.86</ns0:v>
      </ns0:c>
      <ns0:c r="K27" s="8">
        <ns0:f>ROUND(K227*K347,2)</ns0:f>
        <ns0:v>1306.87</ns0:v>
      </ns0:c>
      <ns0:c r="L27" s="8">
        <ns0:f>ROUND(L227*L347,2)</ns0:f>
        <ns0:v>1198.22</ns0:v>
      </ns0:c>
      <ns0:c r="M27" s="8">
        <ns0:f>ROUND(M227*M347,2)</ns0:f>
        <ns0:v>1215.65</ns0:v>
      </ns0:c>
      <ns0:c r="N27" s="8">
        <ns0:f>ROUND(N227*N347,2)</ns0:f>
        <ns0:v>1430.78</ns0:v>
      </ns0:c>
      <ns0:c r="O27" s="8">
        <ns0:f>SUM(C27:N27)</ns0:f>
        <ns0:v>15518.43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489.84</ns0:v>
      </ns0:c>
      <ns0:c r="D28" s="8">
        <ns0:f>ROUND(D228*D348,2)</ns0:f>
        <ns0:v>396.26</ns0:v>
      </ns0:c>
      <ns0:c r="E28" s="8">
        <ns0:f>ROUND(E228*E348,2)</ns0:f>
        <ns0:v>424.58</ns0:v>
      </ns0:c>
      <ns0:c r="F28" s="8">
        <ns0:f>ROUND(F228*F348,2)</ns0:f>
        <ns0:v>445.15</ns0:v>
      </ns0:c>
      <ns0:c r="G28" s="8">
        <ns0:f>ROUND(G228*G348,2)</ns0:f>
        <ns0:v>438.14</ns0:v>
      </ns0:c>
      <ns0:c r="H28" s="8">
        <ns0:f>ROUND(H228*H348,2)</ns0:f>
        <ns0:v>434.91</ns0:v>
      </ns0:c>
      <ns0:c r="I28" s="8">
        <ns0:f>ROUND(I228*I348,2)</ns0:f>
        <ns0:v>403.67</ns0:v>
      </ns0:c>
      <ns0:c r="J28" s="8">
        <ns0:f>ROUND(J228*J348,2)</ns0:f>
        <ns0:v>450.48</ns0:v>
      </ns0:c>
      <ns0:c r="K28" s="8">
        <ns0:f>ROUND(K228*K348,2)</ns0:f>
        <ns0:v>484.85</ns0:v>
      </ns0:c>
      <ns0:c r="L28" s="8">
        <ns0:f>ROUND(L228*L348,2)</ns0:f>
        <ns0:v>498.82</ns0:v>
      </ns0:c>
      <ns0:c r="M28" s="8">
        <ns0:f>ROUND(M228*M348,2)</ns0:f>
        <ns0:v>494.77</ns0:v>
      </ns0:c>
      <ns0:c r="N28" s="8">
        <ns0:f>ROUND(N228*N348,2)</ns0:f>
        <ns0:v>402.26</ns0:v>
      </ns0:c>
      <ns0:c r="O28" s="8">
        <ns0:f>SUM(C28:N28)</ns0:f>
        <ns0:v>5363.73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155.60</ns0:v>
      </ns0:c>
      <ns0:c r="D31" s="8">
        <ns0:f>ROUND(D231*D351,2)</ns0:f>
        <ns0:v>154.94</ns0:v>
      </ns0:c>
      <ns0:c r="E31" s="8">
        <ns0:f>ROUND(E231*E351,2)</ns0:f>
        <ns0:v>139.60</ns0:v>
      </ns0:c>
      <ns0:c r="F31" s="8">
        <ns0:f>ROUND(F231*F351,2)</ns0:f>
        <ns0:v>144.86</ns0:v>
      </ns0:c>
      <ns0:c r="G31" s="8">
        <ns0:f>ROUND(G231*G351,2)</ns0:f>
        <ns0:v>160.07</ns0:v>
      </ns0:c>
      <ns0:c r="H31" s="8">
        <ns0:f>ROUND(H231*H351,2)</ns0:f>
        <ns0:v>154.26</ns0:v>
      </ns0:c>
      <ns0:c r="I31" s="8">
        <ns0:f>ROUND(I231*I351,2)</ns0:f>
        <ns0:v>135.57</ns0:v>
      </ns0:c>
      <ns0:c r="J31" s="8">
        <ns0:f>ROUND(J231*J351,2)</ns0:f>
        <ns0:v>162.63</ns0:v>
      </ns0:c>
      <ns0:c r="K31" s="8">
        <ns0:f>ROUND(K231*K351,2)</ns0:f>
        <ns0:v>165.02</ns0:v>
      </ns0:c>
      <ns0:c r="L31" s="8">
        <ns0:f>ROUND(L231*L351,2)</ns0:f>
        <ns0:v>167.89</ns0:v>
      </ns0:c>
      <ns0:c r="M31" s="8">
        <ns0:f>ROUND(M231*M351,2)</ns0:f>
        <ns0:v>150.16</ns0:v>
      </ns0:c>
      <ns0:c r="N31" s="8">
        <ns0:f>ROUND(N231*N351,2)</ns0:f>
        <ns0:v>151.21</ns0:v>
      </ns0:c>
      <ns0:c r="O31" s="8">
        <ns0:f>SUM(C31:N31)</ns0:f>
        <ns0:v>1841.81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281.00</ns0:v>
      </ns0:c>
      <ns0:c r="D32" s="8">
        <ns0:f>ROUND(D232*D352,2)</ns0:f>
        <ns0:v>301.57</ns0:v>
      </ns0:c>
      <ns0:c r="E32" s="8">
        <ns0:f>ROUND(E232*E352,2)</ns0:f>
        <ns0:v>247.32</ns0:v>
      </ns0:c>
      <ns0:c r="F32" s="8">
        <ns0:f>ROUND(F232*F352,2)</ns0:f>
        <ns0:v>312.12</ns0:v>
      </ns0:c>
      <ns0:c r="G32" s="8">
        <ns0:f>ROUND(G232*G352,2)</ns0:f>
        <ns0:v>286.73</ns0:v>
      </ns0:c>
      <ns0:c r="H32" s="8">
        <ns0:f>ROUND(H232*H352,2)</ns0:f>
        <ns0:v>302.98</ns0:v>
      </ns0:c>
      <ns0:c r="I32" s="8">
        <ns0:f>ROUND(I232*I352,2)</ns0:f>
        <ns0:v>252.80</ns0:v>
      </ns0:c>
      <ns0:c r="J32" s="8">
        <ns0:f>ROUND(J232*J352,2)</ns0:f>
        <ns0:v>289.84</ns0:v>
      </ns0:c>
      <ns0:c r="K32" s="8">
        <ns0:f>ROUND(K232*K352,2)</ns0:f>
        <ns0:v>248.68</ns0:v>
      </ns0:c>
      <ns0:c r="L32" s="8">
        <ns0:f>ROUND(L232*L352,2)</ns0:f>
        <ns0:v>257.66</ns0:v>
      </ns0:c>
      <ns0:c r="M32" s="8">
        <ns0:f>ROUND(M232*M352,2)</ns0:f>
        <ns0:v>289.83</ns0:v>
      </ns0:c>
      <ns0:c r="N32" s="8">
        <ns0:f>ROUND(N232*N352,2)</ns0:f>
        <ns0:v>284.27</ns0:v>
      </ns0:c>
      <ns0:c r="O32" s="8">
        <ns0:f>SUM(C32:N32)</ns0:f>
        <ns0:v>3354.80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563.34</ns0:v>
      </ns0:c>
      <ns0:c r="D33" s="8">
        <ns0:f>ROUND(D233*D353,2)</ns0:f>
        <ns0:v>572.02</ns0:v>
      </ns0:c>
      <ns0:c r="E33" s="8">
        <ns0:f>ROUND(E233*E353,2)</ns0:f>
        <ns0:v>538.19</ns0:v>
      </ns0:c>
      <ns0:c r="F33" s="8">
        <ns0:f>ROUND(F233*F353,2)</ns0:f>
        <ns0:v>528.49</ns0:v>
      </ns0:c>
      <ns0:c r="G33" s="8">
        <ns0:f>ROUND(G233*G353,2)</ns0:f>
        <ns0:v>660.90</ns0:v>
      </ns0:c>
      <ns0:c r="H33" s="8">
        <ns0:f>ROUND(H233*H353,2)</ns0:f>
        <ns0:v>647.09</ns0:v>
      </ns0:c>
      <ns0:c r="I33" s="8">
        <ns0:f>ROUND(I233*I353,2)</ns0:f>
        <ns0:v>534.53</ns0:v>
      </ns0:c>
      <ns0:c r="J33" s="8">
        <ns0:f>ROUND(J233*J353,2)</ns0:f>
        <ns0:v>638.32</ns0:v>
      </ns0:c>
      <ns0:c r="K33" s="8">
        <ns0:f>ROUND(K233*K353,2)</ns0:f>
        <ns0:v>625.46</ns0:v>
      </ns0:c>
      <ns0:c r="L33" s="8">
        <ns0:f>ROUND(L233*L353,2)</ns0:f>
        <ns0:v>614.69</ns0:v>
      </ns0:c>
      <ns0:c r="M33" s="8">
        <ns0:f>ROUND(M233*M353,2)</ns0:f>
        <ns0:v>625.98</ns0:v>
      </ns0:c>
      <ns0:c r="N33" s="8">
        <ns0:f>ROUND(N233*N353,2)</ns0:f>
        <ns0:v>651.25</ns0:v>
      </ns0:c>
      <ns0:c r="O33" s="8">
        <ns0:f>SUM(C33:N33)</ns0:f>
        <ns0:v>7200.26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95215.71</ns0:v>
      </ns0:c>
      <ns0:c r="D34" s="8">
        <ns0:f>SUM(D4:D33)</ns0:f>
        <ns0:v>95597.82</ns0:v>
      </ns0:c>
      <ns0:c r="E34" s="8">
        <ns0:f>SUM(E4:E33)</ns0:f>
        <ns0:v>96456.21</ns0:v>
      </ns0:c>
      <ns0:c r="F34" s="8">
        <ns0:f>SUM(F4:F33)</ns0:f>
        <ns0:v>95406.31</ns0:v>
      </ns0:c>
      <ns0:c r="G34" s="8">
        <ns0:f>SUM(G4:G33)</ns0:f>
        <ns0:v>96632.17</ns0:v>
      </ns0:c>
      <ns0:c r="H34" s="8">
        <ns0:f>SUM(H4:H33)</ns0:f>
        <ns0:v>96185.36</ns0:v>
      </ns0:c>
      <ns0:c r="I34" s="8">
        <ns0:f>SUM(I4:I33)</ns0:f>
        <ns0:v>96264.84</ns0:v>
      </ns0:c>
      <ns0:c r="J34" s="8">
        <ns0:f>SUM(J4:J33)</ns0:f>
        <ns0:v>95580.90</ns0:v>
      </ns0:c>
      <ns0:c r="K34" s="8">
        <ns0:f>SUM(K4:K33)</ns0:f>
        <ns0:v>97101.60</ns0:v>
      </ns0:c>
      <ns0:c r="L34" s="8">
        <ns0:f>SUM(L4:L33)</ns0:f>
        <ns0:v>95672.37</ns0:v>
      </ns0:c>
      <ns0:c r="M34" s="8">
        <ns0:f>SUM(M4:M33)</ns0:f>
        <ns0:v>95177.31</ns0:v>
      </ns0:c>
      <ns0:c r="N34" s="8">
        <ns0:f>SUM(N4:N33)</ns0:f>
        <ns0:v>95156.09</ns0:v>
      </ns0:c>
      <ns0:c r="O34" s="8">
        <ns0:f>SUM(C34:N34)</ns0:f>
        <ns0:v>1150446.69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5328.98</ns0:v>
      </ns0:c>
      <ns0:c r="D35" s="8">
        <ns0:f>'税金及附加'!D33</ns0:f>
        <ns0:v>3716.79</ns0:v>
      </ns0:c>
      <ns0:c r="E35" s="8">
        <ns0:f>'税金及附加'!E33</ns0:f>
        <ns0:v>5241.68</ns0:v>
      </ns0:c>
      <ns0:c r="F35" s="8">
        <ns0:f>'税金及附加'!F33</ns0:f>
        <ns0:v>4032.20</ns0:v>
      </ns0:c>
      <ns0:c r="G35" s="8">
        <ns0:f>'税金及附加'!G33</ns0:f>
        <ns0:v>3736.08</ns0:v>
      </ns0:c>
      <ns0:c r="H35" s="8">
        <ns0:f>'税金及附加'!H33</ns0:f>
        <ns0:v>3358.57</ns0:v>
      </ns0:c>
      <ns0:c r="I35" s="8">
        <ns0:f>'税金及附加'!I33</ns0:f>
        <ns0:v>5427.26</ns0:v>
      </ns0:c>
      <ns0:c r="J35" s="8">
        <ns0:f>'税金及附加'!J33</ns0:f>
        <ns0:v>5374.45</ns0:v>
      </ns0:c>
      <ns0:c r="K35" s="8">
        <ns0:f>'税金及附加'!K33</ns0:f>
        <ns0:v>3670.29</ns0:v>
      </ns0:c>
      <ns0:c r="L35" s="8">
        <ns0:f>'税金及附加'!L33</ns0:f>
        <ns0:v>4929.60</ns0:v>
      </ns0:c>
      <ns0:c r="M35" s="8">
        <ns0:f>'税金及附加'!M33</ns0:f>
        <ns0:v>4117.66</ns0:v>
      </ns0:c>
      <ns0:c r="N35" s="8">
        <ns0:f>'税金及附加'!N33</ns0:f>
        <ns0:v>4180.62</ns0:v>
      </ns0:c>
      <ns0:c r="O35" s="8">
        <ns0:f>SUM(C35:N35)</ns0:f>
        <ns0:v>53114.18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100544.69</ns0:v>
      </ns0:c>
      <ns0:c r="D36" s="8">
        <ns0:f>D34+D35</ns0:f>
        <ns0:v>99314.61</ns0:v>
      </ns0:c>
      <ns0:c r="E36" s="8">
        <ns0:f>E34+E35</ns0:f>
        <ns0:v>101697.89</ns0:v>
      </ns0:c>
      <ns0:c r="F36" s="8">
        <ns0:f>F34+F35</ns0:f>
        <ns0:v>99438.51</ns0:v>
      </ns0:c>
      <ns0:c r="G36" s="8">
        <ns0:f>G34+G35</ns0:f>
        <ns0:v>100368.25</ns0:v>
      </ns0:c>
      <ns0:c r="H36" s="8">
        <ns0:f>H34+H35</ns0:f>
        <ns0:v>99543.93</ns0:v>
      </ns0:c>
      <ns0:c r="I36" s="8">
        <ns0:f>I34+I35</ns0:f>
        <ns0:v>101692.10</ns0:v>
      </ns0:c>
      <ns0:c r="J36" s="8">
        <ns0:f>J34+J35</ns0:f>
        <ns0:v>100955.35</ns0:v>
      </ns0:c>
      <ns0:c r="K36" s="8">
        <ns0:f>K34+K35</ns0:f>
        <ns0:v>100771.89</ns0:v>
      </ns0:c>
      <ns0:c r="L36" s="8">
        <ns0:f>L34+L35</ns0:f>
        <ns0:v>100601.97</ns0:v>
      </ns0:c>
      <ns0:c r="M36" s="8">
        <ns0:f>M34+M35</ns0:f>
        <ns0:v>99294.97</ns0:v>
      </ns0:c>
      <ns0:c r="N36" s="8">
        <ns0:f>N34+N35</ns0:f>
        <ns0:v>99336.71</ns0:v>
      </ns0:c>
      <ns0:c r="O36" s="8">
        <ns0:f>SUM(C36:N36)</ns0:f>
        <ns0:v>1203560.87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3424.51</ns0:v>
      </ns0:c>
      <ns0:c r="D204" s="4">
        <ns0:v>3431.95</ns0:v>
      </ns0:c>
      <ns0:c r="E204" s="4">
        <ns0:v>3501.64</ns0:v>
      </ns0:c>
      <ns0:c r="F204" s="4">
        <ns0:v>3525.42</ns0:v>
      </ns0:c>
      <ns0:c r="G204" s="4">
        <ns0:v>3545.40</ns0:v>
      </ns0:c>
      <ns0:c r="H204" s="4">
        <ns0:v>3536.54</ns0:v>
      </ns0:c>
      <ns0:c r="I204" s="4">
        <ns0:v>3595.29</ns0:v>
      </ns0:c>
      <ns0:c r="J204" s="4">
        <ns0:v>3547.37</ns0:v>
      </ns0:c>
      <ns0:c r="K204" s="4">
        <ns0:v>3409.31</ns0:v>
      </ns0:c>
      <ns0:c r="L204" s="4">
        <ns0:v>3477.99</ns0:v>
      </ns0:c>
      <ns0:c r="M204" s="4">
        <ns0:v>3579.95</ns0:v>
      </ns0:c>
      <ns0:c r="N204" s="4">
        <ns0:v>3574.00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255.79</ns0:v>
      </ns0:c>
      <ns0:c r="D205" s="4">
        <ns0:v>242.57</ns0:v>
      </ns0:c>
      <ns0:c r="E205" s="4">
        <ns0:v>242.10</ns0:v>
      </ns0:c>
      <ns0:c r="F205" s="4">
        <ns0:v>255.34</ns0:v>
      </ns0:c>
      <ns0:c r="G205" s="4">
        <ns0:v>250.74</ns0:v>
      </ns0:c>
      <ns0:c r="H205" s="4">
        <ns0:v>239.17</ns0:v>
      </ns0:c>
      <ns0:c r="I205" s="4">
        <ns0:v>247.51</ns0:v>
      </ns0:c>
      <ns0:c r="J205" s="4">
        <ns0:v>250.33</ns0:v>
      </ns0:c>
      <ns0:c r="K205" s="4">
        <ns0:v>256.91</ns0:v>
      </ns0:c>
      <ns0:c r="L205" s="4">
        <ns0:v>240.51</ns0:v>
      </ns0:c>
      <ns0:c r="M205" s="4">
        <ns0:v>240.71</ns0:v>
      </ns0:c>
      <ns0:c r="N205" s="4">
        <ns0:v>243.68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96.53</ns0:v>
      </ns0:c>
      <ns0:c r="D206" s="4">
        <ns0:v>113.41</ns0:v>
      </ns0:c>
      <ns0:c r="E206" s="4">
        <ns0:v>94.33</ns0:v>
      </ns0:c>
      <ns0:c r="F206" s="4">
        <ns0:v>93.77</ns0:v>
      </ns0:c>
      <ns0:c r="G206" s="4">
        <ns0:v>87.57</ns0:v>
      </ns0:c>
      <ns0:c r="H206" s="4">
        <ns0:v>94.73</ns0:v>
      </ns0:c>
      <ns0:c r="I206" s="4">
        <ns0:v>97.30</ns0:v>
      </ns0:c>
      <ns0:c r="J206" s="4">
        <ns0:v>87.47</ns0:v>
      </ns0:c>
      <ns0:c r="K206" s="4">
        <ns0:v>94.96</ns0:v>
      </ns0:c>
      <ns0:c r="L206" s="4">
        <ns0:v>91.91</ns0:v>
      </ns0:c>
      <ns0:c r="M206" s="4">
        <ns0:v>98.90</ns0:v>
      </ns0:c>
      <ns0:c r="N206" s="4">
        <ns0:v>98.43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1232.07</ns0:v>
      </ns0:c>
      <ns0:c r="D207" s="4">
        <ns0:v>1146.63</ns0:v>
      </ns0:c>
      <ns0:c r="E207" s="4">
        <ns0:v>1127.74</ns0:v>
      </ns0:c>
      <ns0:c r="F207" s="4">
        <ns0:v>1160.12</ns0:v>
      </ns0:c>
      <ns0:c r="G207" s="4">
        <ns0:v>1213.97</ns0:v>
      </ns0:c>
      <ns0:c r="H207" s="4">
        <ns0:v>1179.26</ns0:v>
      </ns0:c>
      <ns0:c r="I207" s="4">
        <ns0:v>1196.86</ns0:v>
      </ns0:c>
      <ns0:c r="J207" s="4">
        <ns0:v>1170.99</ns0:v>
      </ns0:c>
      <ns0:c r="K207" s="4">
        <ns0:v>1119.32</ns0:v>
      </ns0:c>
      <ns0:c r="L207" s="4">
        <ns0:v>1173.80</ns0:v>
      </ns0:c>
      <ns0:c r="M207" s="4">
        <ns0:v>1178.53</ns0:v>
      </ns0:c>
      <ns0:c r="N207" s="4">
        <ns0:v>1180.43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215.47</ns0:v>
      </ns0:c>
      <ns0:c r="D208" s="4">
        <ns0:v>252.71</ns0:v>
      </ns0:c>
      <ns0:c r="E208" s="4">
        <ns0:v>231.97</ns0:v>
      </ns0:c>
      <ns0:c r="F208" s="4">
        <ns0:v>261.16</ns0:v>
      </ns0:c>
      <ns0:c r="G208" s="4">
        <ns0:v>227.76</ns0:v>
      </ns0:c>
      <ns0:c r="H208" s="4">
        <ns0:v>232.82</ns0:v>
      </ns0:c>
      <ns0:c r="I208" s="4">
        <ns0:v>221.03</ns0:v>
      </ns0:c>
      <ns0:c r="J208" s="4">
        <ns0:v>225.69</ns0:v>
      </ns0:c>
      <ns0:c r="K208" s="4">
        <ns0:v>234.04</ns0:v>
      </ns0:c>
      <ns0:c r="L208" s="4">
        <ns0:v>205.81</ns0:v>
      </ns0:c>
      <ns0:c r="M208" s="4">
        <ns0:v>223.93</ns0:v>
      </ns0:c>
      <ns0:c r="N208" s="4">
        <ns0:v>256.94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543.09</ns0:v>
      </ns0:c>
      <ns0:c r="D209" s="4">
        <ns0:v>558.34</ns0:v>
      </ns0:c>
      <ns0:c r="E209" s="4">
        <ns0:v>496.19</ns0:v>
      </ns0:c>
      <ns0:c r="F209" s="4">
        <ns0:v>450.68</ns0:v>
      </ns0:c>
      <ns0:c r="G209" s="4">
        <ns0:v>520.17</ns0:v>
      </ns0:c>
      <ns0:c r="H209" s="4">
        <ns0:v>517.25</ns0:v>
      </ns0:c>
      <ns0:c r="I209" s="4">
        <ns0:v>466.25</ns0:v>
      </ns0:c>
      <ns0:c r="J209" s="4">
        <ns0:v>461.29</ns0:v>
      </ns0:c>
      <ns0:c r="K209" s="4">
        <ns0:v>554.69</ns0:v>
      </ns0:c>
      <ns0:c r="L209" s="4">
        <ns0:v>476.87</ns0:v>
      </ns0:c>
      <ns0:c r="M209" s="4">
        <ns0:v>525.50</ns0:v>
      </ns0:c>
      <ns0:c r="N209" s="4">
        <ns0:v>474.01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245.58</ns0:v>
      </ns0:c>
      <ns0:c r="D210" s="4">
        <ns0:v>226.89</ns0:v>
      </ns0:c>
      <ns0:c r="E210" s="4">
        <ns0:v>250.88</ns0:v>
      </ns0:c>
      <ns0:c r="F210" s="4">
        <ns0:v>224.02</ns0:v>
      </ns0:c>
      <ns0:c r="G210" s="4">
        <ns0:v>262.83</ns0:v>
      </ns0:c>
      <ns0:c r="H210" s="4">
        <ns0:v>243.08</ns0:v>
      </ns0:c>
      <ns0:c r="I210" s="4">
        <ns0:v>239.90</ns0:v>
      </ns0:c>
      <ns0:c r="J210" s="4">
        <ns0:v>241.71</ns0:v>
      </ns0:c>
      <ns0:c r="K210" s="4">
        <ns0:v>259.51</ns0:v>
      </ns0:c>
      <ns0:c r="L210" s="4">
        <ns0:v>219.90</ns0:v>
      </ns0:c>
      <ns0:c r="M210" s="4">
        <ns0:v>232.51</ns0:v>
      </ns0:c>
      <ns0:c r="N210" s="4">
        <ns0:v>228.99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1001.35</ns0:v>
      </ns0:c>
      <ns0:c r="D211" s="4">
        <ns0:v>1009.26</ns0:v>
      </ns0:c>
      <ns0:c r="E211" s="4">
        <ns0:v>1071.01</ns0:v>
      </ns0:c>
      <ns0:c r="F211" s="4">
        <ns0:v>945.83</ns0:v>
      </ns0:c>
      <ns0:c r="G211" s="4">
        <ns0:v>1079.31</ns0:v>
      </ns0:c>
      <ns0:c r="H211" s="4">
        <ns0:v>911.32</ns0:v>
      </ns0:c>
      <ns0:c r="I211" s="4">
        <ns0:v>1007.45</ns0:v>
      </ns0:c>
      <ns0:c r="J211" s="4">
        <ns0:v>938.15</ns0:v>
      </ns0:c>
      <ns0:c r="K211" s="4">
        <ns0:v>1092.06</ns0:v>
      </ns0:c>
      <ns0:c r="L211" s="4">
        <ns0:v>984.88</ns0:v>
      </ns0:c>
      <ns0:c r="M211" s="4">
        <ns0:v>946.84</ns0:v>
      </ns0:c>
      <ns0:c r="N211" s="4">
        <ns0:v>881.78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258.55</ns0:v>
      </ns0:c>
      <ns0:c r="D212" s="4">
        <ns0:v>267.21</ns0:v>
      </ns0:c>
      <ns0:c r="E212" s="4">
        <ns0:v>238.33</ns0:v>
      </ns0:c>
      <ns0:c r="F212" s="4">
        <ns0:v>248.88</ns0:v>
      </ns0:c>
      <ns0:c r="G212" s="4">
        <ns0:v>237.64</ns0:v>
      </ns0:c>
      <ns0:c r="H212" s="4">
        <ns0:v>242.06</ns0:v>
      </ns0:c>
      <ns0:c r="I212" s="4">
        <ns0:v>219.58</ns0:v>
      </ns0:c>
      <ns0:c r="J212" s="4">
        <ns0:v>277.60</ns0:v>
      </ns0:c>
      <ns0:c r="K212" s="4">
        <ns0:v>236.00</ns0:v>
      </ns0:c>
      <ns0:c r="L212" s="4">
        <ns0:v>226.79</ns0:v>
      </ns0:c>
      <ns0:c r="M212" s="4">
        <ns0:v>262.50</ns0:v>
      </ns0:c>
      <ns0:c r="N212" s="4">
        <ns0:v>219.42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577.29</ns0:v>
      </ns0:c>
      <ns0:c r="D213" s="4">
        <ns0:v>543.32</ns0:v>
      </ns0:c>
      <ns0:c r="E213" s="4">
        <ns0:v>588.27</ns0:v>
      </ns0:c>
      <ns0:c r="F213" s="4">
        <ns0:v>682.15</ns0:v>
      </ns0:c>
      <ns0:c r="G213" s="4">
        <ns0:v>561.70</ns0:v>
      </ns0:c>
      <ns0:c r="H213" s="4">
        <ns0:v>664.86</ns0:v>
      </ns0:c>
      <ns0:c r="I213" s="4">
        <ns0:v>577.51</ns0:v>
      </ns0:c>
      <ns0:c r="J213" s="4">
        <ns0:v>587.41</ns0:v>
      </ns0:c>
      <ns0:c r="K213" s="4">
        <ns0:v>598.26</ns0:v>
      </ns0:c>
      <ns0:c r="L213" s="4">
        <ns0:v>661.64</ns0:v>
      </ns0:c>
      <ns0:c r="M213" s="4">
        <ns0:v>564.16</ns0:v>
      </ns0:c>
      <ns0:c r="N213" s="4">
        <ns0:v>595.90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174.46</ns0:v>
      </ns0:c>
      <ns0:c r="D214" s="4">
        <ns0:v>197.79</ns0:v>
      </ns0:c>
      <ns0:c r="E214" s="4">
        <ns0:v>201.35</ns0:v>
      </ns0:c>
      <ns0:c r="F214" s="4">
        <ns0:v>192.76</ns0:v>
      </ns0:c>
      <ns0:c r="G214" s="4">
        <ns0:v>197.13</ns0:v>
      </ns0:c>
      <ns0:c r="H214" s="4">
        <ns0:v>216.65</ns0:v>
      </ns0:c>
      <ns0:c r="I214" s="4">
        <ns0:v>176.35</ns0:v>
      </ns0:c>
      <ns0:c r="J214" s="4">
        <ns0:v>189.81</ns0:v>
      </ns0:c>
      <ns0:c r="K214" s="4">
        <ns0:v>200.61</ns0:v>
      </ns0:c>
      <ns0:c r="L214" s="4">
        <ns0:v>186.04</ns0:v>
      </ns0:c>
      <ns0:c r="M214" s="4">
        <ns0:v>204.44</ns0:v>
      </ns0:c>
      <ns0:c r="N214" s="4">
        <ns0:v>213.79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179.23</ns0:v>
      </ns0:c>
      <ns0:c r="D215" s="4">
        <ns0:v>193.69</ns0:v>
      </ns0:c>
      <ns0:c r="E215" s="4">
        <ns0:v>202.06</ns0:v>
      </ns0:c>
      <ns0:c r="F215" s="4">
        <ns0:v>191.32</ns0:v>
      </ns0:c>
      <ns0:c r="G215" s="4">
        <ns0:v>209.60</ns0:v>
      </ns0:c>
      <ns0:c r="H215" s="4">
        <ns0:v>214.08</ns0:v>
      </ns0:c>
      <ns0:c r="I215" s="4">
        <ns0:v>219.86</ns0:v>
      </ns0:c>
      <ns0:c r="J215" s="4">
        <ns0:v>178.64</ns0:v>
      </ns0:c>
      <ns0:c r="K215" s="4">
        <ns0:v>186.32</ns0:v>
      </ns0:c>
      <ns0:c r="L215" s="4">
        <ns0:v>185.17</ns0:v>
      </ns0:c>
      <ns0:c r="M215" s="4">
        <ns0:v>215.67</ns0:v>
      </ns0:c>
      <ns0:c r="N215" s="4">
        <ns0:v>190.29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459.36</ns0:v>
      </ns0:c>
      <ns0:c r="D216" s="4">
        <ns0:v>495.34</ns0:v>
      </ns0:c>
      <ns0:c r="E216" s="4">
        <ns0:v>475.75</ns0:v>
      </ns0:c>
      <ns0:c r="F216" s="4">
        <ns0:v>538.05</ns0:v>
      </ns0:c>
      <ns0:c r="G216" s="4">
        <ns0:v>486.63</ns0:v>
      </ns0:c>
      <ns0:c r="H216" s="4">
        <ns0:v>482.14</ns0:v>
      </ns0:c>
      <ns0:c r="I216" s="4">
        <ns0:v>543.22</ns0:v>
      </ns0:c>
      <ns0:c r="J216" s="4">
        <ns0:v>456.64</ns0:v>
      </ns0:c>
      <ns0:c r="K216" s="4">
        <ns0:v>504.30</ns0:v>
      </ns0:c>
      <ns0:c r="L216" s="4">
        <ns0:v>569.79</ns0:v>
      </ns0:c>
      <ns0:c r="M216" s="4">
        <ns0:v>457.71</ns0:v>
      </ns0:c>
      <ns0:c r="N216" s="4">
        <ns0:v>451.26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904.66</ns0:v>
      </ns0:c>
      <ns0:c r="D217" s="4">
        <ns0:v>1072.99</ns0:v>
      </ns0:c>
      <ns0:c r="E217" s="4">
        <ns0:v>1025.93</ns0:v>
      </ns0:c>
      <ns0:c r="F217" s="4">
        <ns0:v>962.83</ns0:v>
      </ns0:c>
      <ns0:c r="G217" s="4">
        <ns0:v>987.25</ns0:v>
      </ns0:c>
      <ns0:c r="H217" s="4">
        <ns0:v>1104.38</ns0:v>
      </ns0:c>
      <ns0:c r="I217" s="4">
        <ns0:v>1112.79</ns0:v>
      </ns0:c>
      <ns0:c r="J217" s="4">
        <ns0:v>1131.90</ns0:v>
      </ns0:c>
      <ns0:c r="K217" s="4">
        <ns0:v>1034.52</ns0:v>
      </ns0:c>
      <ns0:c r="L217" s="4">
        <ns0:v>943.94</ns0:v>
      </ns0:c>
      <ns0:c r="M217" s="4">
        <ns0:v>1138.36</ns0:v>
      </ns0:c>
      <ns0:c r="N217" s="4">
        <ns0:v>1020.31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105.91</ns0:v>
      </ns0:c>
      <ns0:c r="D218" s="4">
        <ns0:v>88.69</ns0:v>
      </ns0:c>
      <ns0:c r="E218" s="4">
        <ns0:v>85.16</ns0:v>
      </ns0:c>
      <ns0:c r="F218" s="4">
        <ns0:v>97.89</ns0:v>
      </ns0:c>
      <ns0:c r="G218" s="4">
        <ns0:v>99.84</ns0:v>
      </ns0:c>
      <ns0:c r="H218" s="4">
        <ns0:v>93.11</ns0:v>
      </ns0:c>
      <ns0:c r="I218" s="4">
        <ns0:v>107.62</ns0:v>
      </ns0:c>
      <ns0:c r="J218" s="4">
        <ns0:v>92.11</ns0:v>
      </ns0:c>
      <ns0:c r="K218" s="4">
        <ns0:v>103.06</ns0:v>
      </ns0:c>
      <ns0:c r="L218" s="4">
        <ns0:v>91.93</ns0:v>
      </ns0:c>
      <ns0:c r="M218" s="4">
        <ns0:v>89.41</ns0:v>
      </ns0:c>
      <ns0:c r="N218" s="4">
        <ns0:v>97.91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93.35</ns0:v>
      </ns0:c>
      <ns0:c r="D219" s="4">
        <ns0:v>90.88</ns0:v>
      </ns0:c>
      <ns0:c r="E219" s="4">
        <ns0:v>91.56</ns0:v>
      </ns0:c>
      <ns0:c r="F219" s="4">
        <ns0:v>94.38</ns0:v>
      </ns0:c>
      <ns0:c r="G219" s="4">
        <ns0:v>95.84</ns0:v>
      </ns0:c>
      <ns0:c r="H219" s="4">
        <ns0:v>96.30</ns0:v>
      </ns0:c>
      <ns0:c r="I219" s="4">
        <ns0:v>110.11</ns0:v>
      </ns0:c>
      <ns0:c r="J219" s="4">
        <ns0:v>91.33</ns0:v>
      </ns0:c>
      <ns0:c r="K219" s="4">
        <ns0:v>107.04</ns0:v>
      </ns0:c>
      <ns0:c r="L219" s="4">
        <ns0:v>100.50</ns0:v>
      </ns0:c>
      <ns0:c r="M219" s="4">
        <ns0:v>94.52</ns0:v>
      </ns0:c>
      <ns0:c r="N219" s="4">
        <ns0:v>99.08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105.25</ns0:v>
      </ns0:c>
      <ns0:c r="D221" s="4">
        <ns0:v>98.05</ns0:v>
      </ns0:c>
      <ns0:c r="E221" s="4">
        <ns0:v>105.01</ns0:v>
      </ns0:c>
      <ns0:c r="F221" s="4">
        <ns0:v>107.03</ns0:v>
      </ns0:c>
      <ns0:c r="G221" s="4">
        <ns0:v>107.13</ns0:v>
      </ns0:c>
      <ns0:c r="H221" s="4">
        <ns0:v>96.31</ns0:v>
      </ns0:c>
      <ns0:c r="I221" s="4">
        <ns0:v>93.13</ns0:v>
      </ns0:c>
      <ns0:c r="J221" s="4">
        <ns0:v>94.26</ns0:v>
      </ns0:c>
      <ns0:c r="K221" s="4">
        <ns0:v>100.42</ns0:v>
      </ns0:c>
      <ns0:c r="L221" s="4">
        <ns0:v>93.32</ns0:v>
      </ns0:c>
      <ns0:c r="M221" s="4">
        <ns0:v>98.38</ns0:v>
      </ns0:c>
      <ns0:c r="N221" s="4">
        <ns0:v>101.54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88.50</ns0:v>
      </ns0:c>
      <ns0:c r="D222" s="4">
        <ns0:v>97.42</ns0:v>
      </ns0:c>
      <ns0:c r="E222" s="4">
        <ns0:v>103.64</ns0:v>
      </ns0:c>
      <ns0:c r="F222" s="4">
        <ns0:v>105.98</ns0:v>
      </ns0:c>
      <ns0:c r="G222" s="4">
        <ns0:v>95.50</ns0:v>
      </ns0:c>
      <ns0:c r="H222" s="4">
        <ns0:v>98.30</ns0:v>
      </ns0:c>
      <ns0:c r="I222" s="4">
        <ns0:v>111.23</ns0:v>
      </ns0:c>
      <ns0:c r="J222" s="4">
        <ns0:v>93.71</ns0:v>
      </ns0:c>
      <ns0:c r="K222" s="4">
        <ns0:v>107.75</ns0:v>
      </ns0:c>
      <ns0:c r="L222" s="4">
        <ns0:v>102.91</ns0:v>
      </ns0:c>
      <ns0:c r="M222" s="4">
        <ns0:v>105.15</ns0:v>
      </ns0:c>
      <ns0:c r="N222" s="4">
        <ns0:v>95.46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111.40</ns0:v>
      </ns0:c>
      <ns0:c r="D223" s="4">
        <ns0:v>88.53</ns0:v>
      </ns0:c>
      <ns0:c r="E223" s="4">
        <ns0:v>90.89</ns0:v>
      </ns0:c>
      <ns0:c r="F223" s="4">
        <ns0:v>86.12</ns0:v>
      </ns0:c>
      <ns0:c r="G223" s="4">
        <ns0:v>90.23</ns0:v>
      </ns0:c>
      <ns0:c r="H223" s="4">
        <ns0:v>103.66</ns0:v>
      </ns0:c>
      <ns0:c r="I223" s="4">
        <ns0:v>99.84</ns0:v>
      </ns0:c>
      <ns0:c r="J223" s="4">
        <ns0:v>103.96</ns0:v>
      </ns0:c>
      <ns0:c r="K223" s="4">
        <ns0:v>104.23</ns0:v>
      </ns0:c>
      <ns0:c r="L223" s="4">
        <ns0:v>94.79</ns0:v>
      </ns0:c>
      <ns0:c r="M223" s="4">
        <ns0:v>107.83</ns0:v>
      </ns0:c>
      <ns0:c r="N223" s="4">
        <ns0:v>95.00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95.27</ns0:v>
      </ns0:c>
      <ns0:c r="D224" s="4">
        <ns0:v>96.17</ns0:v>
      </ns0:c>
      <ns0:c r="E224" s="4">
        <ns0:v>91.02</ns0:v>
      </ns0:c>
      <ns0:c r="F224" s="4">
        <ns0:v>99.07</ns0:v>
      </ns0:c>
      <ns0:c r="G224" s="4">
        <ns0:v>95.84</ns0:v>
      </ns0:c>
      <ns0:c r="H224" s="4">
        <ns0:v>111.83</ns0:v>
      </ns0:c>
      <ns0:c r="I224" s="4">
        <ns0:v>84.58</ns0:v>
      </ns0:c>
      <ns0:c r="J224" s="4">
        <ns0:v>105.17</ns0:v>
      </ns0:c>
      <ns0:c r="K224" s="4">
        <ns0:v>107.74</ns0:v>
      </ns0:c>
      <ns0:c r="L224" s="4">
        <ns0:v>97.19</ns0:v>
      </ns0:c>
      <ns0:c r="M224" s="4">
        <ns0:v>92.43</ns0:v>
      </ns0:c>
      <ns0:c r="N224" s="4">
        <ns0:v>102.61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199.39</ns0:v>
      </ns0:c>
      <ns0:c r="D225" s="4">
        <ns0:v>204.14</ns0:v>
      </ns0:c>
      <ns0:c r="E225" s="4">
        <ns0:v>213.78</ns0:v>
      </ns0:c>
      <ns0:c r="F225" s="4">
        <ns0:v>169.94</ns0:v>
      </ns0:c>
      <ns0:c r="G225" s="4">
        <ns0:v>209.10</ns0:v>
      </ns0:c>
      <ns0:c r="H225" s="4">
        <ns0:v>206.60</ns0:v>
      </ns0:c>
      <ns0:c r="I225" s="4">
        <ns0:v>212.24</ns0:v>
      </ns0:c>
      <ns0:c r="J225" s="4">
        <ns0:v>203.95</ns0:v>
      </ns0:c>
      <ns0:c r="K225" s="4">
        <ns0:v>210.29</ns0:v>
      </ns0:c>
      <ns0:c r="L225" s="4">
        <ns0:v>224.46</ns0:v>
      </ns0:c>
      <ns0:c r="M225" s="4">
        <ns0:v>187.99</ns0:v>
      </ns0:c>
      <ns0:c r="N225" s="4">
        <ns0:v>213.13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107.90</ns0:v>
      </ns0:c>
      <ns0:c r="D226" s="4">
        <ns0:v>88.69</ns0:v>
      </ns0:c>
      <ns0:c r="E226" s="4">
        <ns0:v>88.54</ns0:v>
      </ns0:c>
      <ns0:c r="F226" s="4">
        <ns0:v>106.55</ns0:v>
      </ns0:c>
      <ns0:c r="G226" s="4">
        <ns0:v>106.35</ns0:v>
      </ns0:c>
      <ns0:c r="H226" s="4">
        <ns0:v>108.15</ns0:v>
      </ns0:c>
      <ns0:c r="I226" s="4">
        <ns0:v>92.09</ns0:v>
      </ns0:c>
      <ns0:c r="J226" s="4">
        <ns0:v>115.54</ns0:v>
      </ns0:c>
      <ns0:c r="K226" s="4">
        <ns0:v>90.12</ns0:v>
      </ns0:c>
      <ns0:c r="L226" s="4">
        <ns0:v>110.87</ns0:v>
      </ns0:c>
      <ns0:c r="M226" s="4">
        <ns0:v>109.46</ns0:v>
      </ns0:c>
      <ns0:c r="N226" s="4">
        <ns0:v>92.60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332.11</ns0:v>
      </ns0:c>
      <ns0:c r="D227" s="4">
        <ns0:v>310.80</ns0:v>
      </ns0:c>
      <ns0:c r="E227" s="4">
        <ns0:v>342.53</ns0:v>
      </ns0:c>
      <ns0:c r="F227" s="4">
        <ns0:v>374.58</ns0:v>
      </ns0:c>
      <ns0:c r="G227" s="4">
        <ns0:v>316.23</ns0:v>
      </ns0:c>
      <ns0:c r="H227" s="4">
        <ns0:v>301.76</ns0:v>
      </ns0:c>
      <ns0:c r="I227" s="4">
        <ns0:v>287.83</ns0:v>
      </ns0:c>
      <ns0:c r="J227" s="4">
        <ns0:v>332.97</ns0:v>
      </ns0:c>
      <ns0:c r="K227" s="4">
        <ns0:v>328.36</ns0:v>
      </ns0:c>
      <ns0:c r="L227" s="4">
        <ns0:v>290.83</ns0:v>
      </ns0:c>
      <ns0:c r="M227" s="4">
        <ns0:v>295.06</ns0:v>
      </ns0:c>
      <ns0:c r="N227" s="4">
        <ns0:v>352.41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33.30</ns0:v>
      </ns0:c>
      <ns0:c r="D228" s="4">
        <ns0:v>26.92</ns0:v>
      </ns0:c>
      <ns0:c r="E228" s="4">
        <ns0:v>27.66</ns0:v>
      </ns0:c>
      <ns0:c r="F228" s="4">
        <ns0:v>30.87</ns0:v>
      </ns0:c>
      <ns0:c r="G228" s="4">
        <ns0:v>30.30</ns0:v>
      </ns0:c>
      <ns0:c r="H228" s="4">
        <ns0:v>28.65</ns0:v>
      </ns0:c>
      <ns0:c r="I228" s="4">
        <ns0:v>26.68</ns0:v>
      </ns0:c>
      <ns0:c r="J228" s="4">
        <ns0:v>28.97</ns0:v>
      </ns0:c>
      <ns0:c r="K228" s="4">
        <ns0:v>31.12</ns0:v>
      </ns0:c>
      <ns0:c r="L228" s="4">
        <ns0:v>33.50</ns0:v>
      </ns0:c>
      <ns0:c r="M228" s="4">
        <ns0:v>31.90</ns0:v>
      </ns0:c>
      <ns0:c r="N228" s="4">
        <ns0:v>26.24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52.04</ns0:v>
      </ns0:c>
      <ns0:c r="D231" s="4">
        <ns0:v>52.88</ns0:v>
      </ns0:c>
      <ns0:c r="E231" s="4">
        <ns0:v>46.69</ns0:v>
      </ns0:c>
      <ns0:c r="F231" s="4">
        <ns0:v>47.34</ns0:v>
      </ns0:c>
      <ns0:c r="G231" s="4">
        <ns0:v>53.18</ns0:v>
      </ns0:c>
      <ns0:c r="H231" s="4">
        <ns0:v>50.91</ns0:v>
      </ns0:c>
      <ns0:c r="I231" s="4">
        <ns0:v>45.80</ns0:v>
      </ns0:c>
      <ns0:c r="J231" s="4">
        <ns0:v>56.08</ns0:v>
      </ns0:c>
      <ns0:c r="K231" s="4">
        <ns0:v>52.89</ns0:v>
      </ns0:c>
      <ns0:c r="L231" s="4">
        <ns0:v>54.51</ns0:v>
      </ns0:c>
      <ns0:c r="M231" s="4">
        <ns0:v>50.56</ns0:v>
      </ns0:c>
      <ns0:c r="N231" s="4">
        <ns0:v>44.87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57.23</ns0:v>
      </ns0:c>
      <ns0:c r="D232" s="4">
        <ns0:v>58.33</ns0:v>
      </ns0:c>
      <ns0:c r="E232" s="4">
        <ns0:v>48.21</ns0:v>
      </ns0:c>
      <ns0:c r="F232" s="4">
        <ns0:v>62.55</ns0:v>
      </ns0:c>
      <ns0:c r="G232" s="4">
        <ns0:v>56.89</ns0:v>
      </ns0:c>
      <ns0:c r="H232" s="4">
        <ns0:v>62.99</ns0:v>
      </ns0:c>
      <ns0:c r="I232" s="4">
        <ns0:v>50.46</ns0:v>
      </ns0:c>
      <ns0:c r="J232" s="4">
        <ns0:v>56.61</ns0:v>
      </ns0:c>
      <ns0:c r="K232" s="4">
        <ns0:v>50.34</ns0:v>
      </ns0:c>
      <ns0:c r="L232" s="4">
        <ns0:v>52.37</ns0:v>
      </ns0:c>
      <ns0:c r="M232" s="4">
        <ns0:v>56.83</ns0:v>
      </ns0:c>
      <ns0:c r="N232" s="4">
        <ns0:v>55.63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94.52</ns0:v>
      </ns0:c>
      <ns0:c r="D233" s="4">
        <ns0:v>96.30</ns0:v>
      </ns0:c>
      <ns0:c r="E233" s="4">
        <ns0:v>87.51</ns0:v>
      </ns0:c>
      <ns0:c r="F233" s="4">
        <ns0:v>90.65</ns0:v>
      </ns0:c>
      <ns0:c r="G233" s="4">
        <ns0:v>111.45</ns0:v>
      </ns0:c>
      <ns0:c r="H233" s="4">
        <ns0:v>109.49</ns0:v>
      </ns0:c>
      <ns0:c r="I233" s="4">
        <ns0:v>92.48</ns0:v>
      </ns0:c>
      <ns0:c r="J233" s="4">
        <ns0:v>104.30</ns0:v>
      </ns0:c>
      <ns0:c r="K233" s="4">
        <ns0:v>105.83</ns0:v>
      </ns0:c>
      <ns0:c r="L233" s="4">
        <ns0:v>101.77</ns0:v>
      </ns0:c>
      <ns0:c r="M233" s="4">
        <ns0:v>100.64</ns0:v>
      </ns0:c>
      <ns0:c r="N233" s="4">
        <ns0:v>106.24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12.11</ns0:v>
      </ns0:c>
      <ns0:c r="D324" s="4">
        <ns0:v>12.20</ns0:v>
      </ns0:c>
      <ns0:c r="E324" s="4">
        <ns0:v>11.92</ns0:v>
      </ns0:c>
      <ns0:c r="F324" s="4">
        <ns0:v>11.73</ns0:v>
      </ns0:c>
      <ns0:c r="G324" s="4">
        <ns0:v>11.78</ns0:v>
      </ns0:c>
      <ns0:c r="H324" s="4">
        <ns0:v>11.80</ns0:v>
      </ns0:c>
      <ns0:c r="I324" s="4">
        <ns0:v>11.71</ns0:v>
      </ns0:c>
      <ns0:c r="J324" s="4">
        <ns0:v>11.97</ns0:v>
      </ns0:c>
      <ns0:c r="K324" s="4">
        <ns0:v>12.35</ns0:v>
      </ns0:c>
      <ns0:c r="L324" s="4">
        <ns0:v>12.21</ns0:v>
      </ns0:c>
      <ns0:c r="M324" s="4">
        <ns0:v>11.61</ns0:v>
      </ns0:c>
      <ns0:c r="N324" s="4">
        <ns0:v>11.54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11.89</ns0:v>
      </ns0:c>
      <ns0:c r="D325" s="4">
        <ns0:v>12.25</ns0:v>
      </ns0:c>
      <ns0:c r="E325" s="4">
        <ns0:v>12.42</ns0:v>
      </ns0:c>
      <ns0:c r="F325" s="4">
        <ns0:v>11.85</ns0:v>
      </ns0:c>
      <ns0:c r="G325" s="4">
        <ns0:v>11.98</ns0:v>
      </ns0:c>
      <ns0:c r="H325" s="4">
        <ns0:v>12.35</ns0:v>
      </ns0:c>
      <ns0:c r="I325" s="4">
        <ns0:v>12.27</ns0:v>
      </ns0:c>
      <ns0:c r="J325" s="4">
        <ns0:v>11.94</ns0:v>
      </ns0:c>
      <ns0:c r="K325" s="4">
        <ns0:v>11.69</ns0:v>
      </ns0:c>
      <ns0:c r="L325" s="4">
        <ns0:v>12.26</ns0:v>
      </ns0:c>
      <ns0:c r="M325" s="4">
        <ns0:v>12.22</ns0:v>
      </ns0:c>
      <ns0:c r="N325" s="4">
        <ns0:v>12.16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11.73</ns0:v>
      </ns0:c>
      <ns0:c r="D326" s="4">
        <ns0:v>11.52</ns0:v>
      </ns0:c>
      <ns0:c r="E326" s="4">
        <ns0:v>12.27</ns0:v>
      </ns0:c>
      <ns0:c r="F326" s="4">
        <ns0:v>11.87</ns0:v>
      </ns0:c>
      <ns0:c r="G326" s="4">
        <ns0:v>12.06</ns0:v>
      </ns0:c>
      <ns0:c r="H326" s="4">
        <ns0:v>11.80</ns0:v>
      </ns0:c>
      <ns0:c r="I326" s="4">
        <ns0:v>11.63</ns0:v>
      </ns0:c>
      <ns0:c r="J326" s="4">
        <ns0:v>12.35</ns0:v>
      </ns0:c>
      <ns0:c r="K326" s="4">
        <ns0:v>12.43</ns0:v>
      </ns0:c>
      <ns0:c r="L326" s="4">
        <ns0:v>12.30</ns0:v>
      </ns0:c>
      <ns0:c r="M326" s="4">
        <ns0:v>11.59</ns0:v>
      </ns0:c>
      <ns0:c r="N326" s="4">
        <ns0:v>11.88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11.58</ns0:v>
      </ns0:c>
      <ns0:c r="D327" s="4">
        <ns0:v>12.04</ns0:v>
      </ns0:c>
      <ns0:c r="E327" s="4">
        <ns0:v>12.30</ns0:v>
      </ns0:c>
      <ns0:c r="F327" s="4">
        <ns0:v>11.97</ns0:v>
      </ns0:c>
      <ns0:c r="G327" s="4">
        <ns0:v>11.65</ns0:v>
      </ns0:c>
      <ns0:c r="H327" s="4">
        <ns0:v>11.67</ns0:v>
      </ns0:c>
      <ns0:c r="I327" s="4">
        <ns0:v>11.84</ns0:v>
      </ns0:c>
      <ns0:c r="J327" s="4">
        <ns0:v>11.86</ns0:v>
      </ns0:c>
      <ns0:c r="K327" s="4">
        <ns0:v>12.31</ns0:v>
      </ns0:c>
      <ns0:c r="L327" s="4">
        <ns0:v>11.84</ns0:v>
      </ns0:c>
      <ns0:c r="M327" s="4">
        <ns0:v>11.72</ns0:v>
      </ns0:c>
      <ns0:c r="N327" s="4">
        <ns0:v>12.00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12.41</ns0:v>
      </ns0:c>
      <ns0:c r="D328" s="4">
        <ns0:v>12.25</ns0:v>
      </ns0:c>
      <ns0:c r="E328" s="4">
        <ns0:v>12.44</ns0:v>
      </ns0:c>
      <ns0:c r="F328" s="4">
        <ns0:v>11.92</ns0:v>
      </ns0:c>
      <ns0:c r="G328" s="4">
        <ns0:v>12.37</ns0:v>
      </ns0:c>
      <ns0:c r="H328" s="4">
        <ns0:v>12.25</ns0:v>
      </ns0:c>
      <ns0:c r="I328" s="4">
        <ns0:v>12.05</ns0:v>
      </ns0:c>
      <ns0:c r="J328" s="4">
        <ns0:v>12.27</ns0:v>
      </ns0:c>
      <ns0:c r="K328" s="4">
        <ns0:v>11.94</ns0:v>
      </ns0:c>
      <ns0:c r="L328" s="4">
        <ns0:v>12.44</ns0:v>
      </ns0:c>
      <ns0:c r="M328" s="4">
        <ns0:v>11.70</ns0:v>
      </ns0:c>
      <ns0:c r="N328" s="4">
        <ns0:v>11.63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2.96</ns0:v>
      </ns0:c>
      <ns0:c r="D329" s="4">
        <ns0:v>2.96</ns0:v>
      </ns0:c>
      <ns0:c r="E329" s="4">
        <ns0:v>3.02</ns0:v>
      </ns0:c>
      <ns0:c r="F329" s="4">
        <ns0:v>3.07</ns0:v>
      </ns0:c>
      <ns0:c r="G329" s="4">
        <ns0:v>2.92</ns0:v>
      </ns0:c>
      <ns0:c r="H329" s="4">
        <ns0:v>3.04</ns0:v>
      </ns0:c>
      <ns0:c r="I329" s="4">
        <ns0:v>3.11</ns0:v>
      </ns0:c>
      <ns0:c r="J329" s="4">
        <ns0:v>3.07</ns0:v>
      </ns0:c>
      <ns0:c r="K329" s="4">
        <ns0:v>2.89</ns0:v>
      </ns0:c>
      <ns0:c r="L329" s="4">
        <ns0:v>2.92</ns0:v>
      </ns0:c>
      <ns0:c r="M329" s="4">
        <ns0:v>3.03</ns0:v>
      </ns0:c>
      <ns0:c r="N329" s="4">
        <ns0:v>3.03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3.91</ns0:v>
      </ns0:c>
      <ns0:c r="D330" s="4">
        <ns0:v>3.96</ns0:v>
      </ns0:c>
      <ns0:c r="E330" s="4">
        <ns0:v>4.07</ns0:v>
      </ns0:c>
      <ns0:c r="F330" s="4">
        <ns0:v>4.08</ns0:v>
      </ns0:c>
      <ns0:c r="G330" s="4">
        <ns0:v>3.92</ns0:v>
      </ns0:c>
      <ns0:c r="H330" s="4">
        <ns0:v>4.03</ns0:v>
      </ns0:c>
      <ns0:c r="I330" s="4">
        <ns0:v>3.86</ns0:v>
      </ns0:c>
      <ns0:c r="J330" s="4">
        <ns0:v>3.86</ns0:v>
      </ns0:c>
      <ns0:c r="K330" s="4">
        <ns0:v>4.12</ns0:v>
      </ns0:c>
      <ns0:c r="L330" s="4">
        <ns0:v>4.15</ns0:v>
      </ns0:c>
      <ns0:c r="M330" s="4">
        <ns0:v>3.98</ns0:v>
      </ns0:c>
      <ns0:c r="N330" s="4">
        <ns0:v>4.37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5.79</ns0:v>
      </ns0:c>
      <ns0:c r="D331" s="4">
        <ns0:v>5.81</ns0:v>
      </ns0:c>
      <ns0:c r="E331" s="4">
        <ns0:v>6.21</ns0:v>
      </ns0:c>
      <ns0:c r="F331" s="4">
        <ns0:v>5.93</ns0:v>
      </ns0:c>
      <ns0:c r="G331" s="4">
        <ns0:v>6.10</ns0:v>
      </ns0:c>
      <ns0:c r="H331" s="4">
        <ns0:v>6.20</ns0:v>
      </ns0:c>
      <ns0:c r="I331" s="4">
        <ns0:v>5.88</ns0:v>
      </ns0:c>
      <ns0:c r="J331" s="4">
        <ns0:v>5.93</ns0:v>
      </ns0:c>
      <ns0:c r="K331" s="4">
        <ns0:v>5.97</ns0:v>
      </ns0:c>
      <ns0:c r="L331" s="4">
        <ns0:v>5.86</ns0:v>
      </ns0:c>
      <ns0:c r="M331" s="4">
        <ns0:v>5.88</ns0:v>
      </ns0:c>
      <ns0:c r="N331" s="4">
        <ns0:v>6.19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6.08</ns0:v>
      </ns0:c>
      <ns0:c r="D332" s="4">
        <ns0:v>5.85</ns0:v>
      </ns0:c>
      <ns0:c r="E332" s="4">
        <ns0:v>6.03</ns0:v>
      </ns0:c>
      <ns0:c r="F332" s="4">
        <ns0:v>6.05</ns0:v>
      </ns0:c>
      <ns0:c r="G332" s="4">
        <ns0:v>6.22</ns0:v>
      </ns0:c>
      <ns0:c r="H332" s="4">
        <ns0:v>6.18</ns0:v>
      </ns0:c>
      <ns0:c r="I332" s="4">
        <ns0:v>6.17</ns0:v>
      </ns0:c>
      <ns0:c r="J332" s="4">
        <ns0:v>5.88</ns0:v>
      </ns0:c>
      <ns0:c r="K332" s="4">
        <ns0:v>5.89</ns0:v>
      </ns0:c>
      <ns0:c r="L332" s="4">
        <ns0:v>6.13</ns0:v>
      </ns0:c>
      <ns0:c r="M332" s="4">
        <ns0:v>6.24</ns0:v>
      </ns0:c>
      <ns0:c r="N332" s="4">
        <ns0:v>6.05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3.06</ns0:v>
      </ns0:c>
      <ns0:c r="D333" s="4">
        <ns0:v>3.09</ns0:v>
      </ns0:c>
      <ns0:c r="E333" s="4">
        <ns0:v>2.92</ns0:v>
      </ns0:c>
      <ns0:c r="F333" s="4">
        <ns0:v>2.92</ns0:v>
      </ns0:c>
      <ns0:c r="G333" s="4">
        <ns0:v>2.92</ns0:v>
      </ns0:c>
      <ns0:c r="H333" s="4">
        <ns0:v>3.01</ns0:v>
      </ns0:c>
      <ns0:c r="I333" s="4">
        <ns0:v>3.10</ns0:v>
      </ns0:c>
      <ns0:c r="J333" s="4">
        <ns0:v>3.03</ns0:v>
      </ns0:c>
      <ns0:c r="K333" s="4">
        <ns0:v>2.96</ns0:v>
      </ns0:c>
      <ns0:c r="L333" s="4">
        <ns0:v>2.97</ns0:v>
      </ns0:c>
      <ns0:c r="M333" s="4">
        <ns0:v>2.92</ns0:v>
      </ns0:c>
      <ns0:c r="N333" s="4">
        <ns0:v>3.03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11.25</ns0:v>
      </ns0:c>
      <ns0:c r="D334" s="4">
        <ns0:v>10.67</ns0:v>
      </ns0:c>
      <ns0:c r="E334" s="4">
        <ns0:v>11.41</ns0:v>
      </ns0:c>
      <ns0:c r="F334" s="4">
        <ns0:v>10.92</ns0:v>
      </ns0:c>
      <ns0:c r="G334" s="4">
        <ns0:v>11.10</ns0:v>
      </ns0:c>
      <ns0:c r="H334" s="4">
        <ns0:v>11.29</ns0:v>
      </ns0:c>
      <ns0:c r="I334" s="4">
        <ns0:v>11.44</ns0:v>
      </ns0:c>
      <ns0:c r="J334" s="4">
        <ns0:v>10.69</ns0:v>
      </ns0:c>
      <ns0:c r="K334" s="4">
        <ns0:v>10.96</ns0:v>
      </ns0:c>
      <ns0:c r="L334" s="4">
        <ns0:v>10.80</ns0:v>
      </ns0:c>
      <ns0:c r="M334" s="4">
        <ns0:v>10.94</ns0:v>
      </ns0:c>
      <ns0:c r="N334" s="4">
        <ns0:v>10.63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6.06</ns0:v>
      </ns0:c>
      <ns0:c r="D335" s="4">
        <ns0:v>5.95</ns0:v>
      </ns0:c>
      <ns0:c r="E335" s="4">
        <ns0:v>6.06</ns0:v>
      </ns0:c>
      <ns0:c r="F335" s="4">
        <ns0:v>5.79</ns0:v>
      </ns0:c>
      <ns0:c r="G335" s="4">
        <ns0:v>5.94</ns0:v>
      </ns0:c>
      <ns0:c r="H335" s="4">
        <ns0:v>5.82</ns0:v>
      </ns0:c>
      <ns0:c r="I335" s="4">
        <ns0:v>6.07</ns0:v>
      </ns0:c>
      <ns0:c r="J335" s="4">
        <ns0:v>6.16</ns0:v>
      </ns0:c>
      <ns0:c r="K335" s="4">
        <ns0:v>5.98</ns0:v>
      </ns0:c>
      <ns0:c r="L335" s="4">
        <ns0:v>5.94</ns0:v>
      </ns0:c>
      <ns0:c r="M335" s="4">
        <ns0:v>5.88</ns0:v>
      </ns0:c>
      <ns0:c r="N335" s="4">
        <ns0:v>6.03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5.02</ns0:v>
      </ns0:c>
      <ns0:c r="D336" s="4">
        <ns0:v>5.04</ns0:v>
      </ns0:c>
      <ns0:c r="E336" s="4">
        <ns0:v>4.97</ns0:v>
      </ns0:c>
      <ns0:c r="F336" s="4">
        <ns0:v>4.96</ns0:v>
      </ns0:c>
      <ns0:c r="G336" s="4">
        <ns0:v>5.03</ns0:v>
      </ns0:c>
      <ns0:c r="H336" s="4">
        <ns0:v>5.11</ns0:v>
      </ns0:c>
      <ns0:c r="I336" s="4">
        <ns0:v>5.09</ns0:v>
      </ns0:c>
      <ns0:c r="J336" s="4">
        <ns0:v>4.93</ns0:v>
      </ns0:c>
      <ns0:c r="K336" s="4">
        <ns0:v>5.18</ns0:v>
      </ns0:c>
      <ns0:c r="L336" s="4">
        <ns0:v>4.85</ns0:v>
      </ns0:c>
      <ns0:c r="M336" s="4">
        <ns0:v>5.12</ns0:v>
      </ns0:c>
      <ns0:c r="N336" s="4">
        <ns0:v>5.37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2.06</ns0:v>
      </ns0:c>
      <ns0:c r="D337" s="4">
        <ns0:v>1.97</ns0:v>
      </ns0:c>
      <ns0:c r="E337" s="4">
        <ns0:v>1.99</ns0:v>
      </ns0:c>
      <ns0:c r="F337" s="4">
        <ns0:v>2.05</ns0:v>
      </ns0:c>
      <ns0:c r="G337" s="4">
        <ns0:v>2.04</ns0:v>
      </ns0:c>
      <ns0:c r="H337" s="4">
        <ns0:v>2.01</ns0:v>
      </ns0:c>
      <ns0:c r="I337" s="4">
        <ns0:v>1.97</ns0:v>
      </ns0:c>
      <ns0:c r="J337" s="4">
        <ns0:v>1.95</ns0:v>
      </ns0:c>
      <ns0:c r="K337" s="4">
        <ns0:v>1.97</ns0:v>
      </ns0:c>
      <ns0:c r="L337" s="4">
        <ns0:v>2.03</ns0:v>
      </ns0:c>
      <ns0:c r="M337" s="4">
        <ns0:v>1.95</ns0:v>
      </ns0:c>
      <ns0:c r="N337" s="4">
        <ns0:v>1.96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9.16</ns0:v>
      </ns0:c>
      <ns0:c r="D338" s="4">
        <ns0:v>9.34</ns0:v>
      </ns0:c>
      <ns0:c r="E338" s="4">
        <ns0:v>9.35</ns0:v>
      </ns0:c>
      <ns0:c r="F338" s="4">
        <ns0:v>8.92</ns0:v>
      </ns0:c>
      <ns0:c r="G338" s="4">
        <ns0:v>9.09</ns0:v>
      </ns0:c>
      <ns0:c r="H338" s="4">
        <ns0:v>8.95</ns0:v>
      </ns0:c>
      <ns0:c r="I338" s="4">
        <ns0:v>8.86</ns0:v>
      </ns0:c>
      <ns0:c r="J338" s="4">
        <ns0:v>8.86</ns0:v>
      </ns0:c>
      <ns0:c r="K338" s="4">
        <ns0:v>9.09</ns0:v>
      </ns0:c>
      <ns0:c r="L338" s="4">
        <ns0:v>9.05</ns0:v>
      </ns0:c>
      <ns0:c r="M338" s="4">
        <ns0:v>9.18</ns0:v>
      </ns0:c>
      <ns0:c r="N338" s="4">
        <ns0:v>8.69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4.94</ns0:v>
      </ns0:c>
      <ns0:c r="D339" s="4">
        <ns0:v>4.98</ns0:v>
      </ns0:c>
      <ns0:c r="E339" s="4">
        <ns0:v>4.83</ns0:v>
      </ns0:c>
      <ns0:c r="F339" s="4">
        <ns0:v>4.93</ns0:v>
      </ns0:c>
      <ns0:c r="G339" s="4">
        <ns0:v>4.88</ns0:v>
      </ns0:c>
      <ns0:c r="H339" s="4">
        <ns0:v>5.03</ns0:v>
      </ns0:c>
      <ns0:c r="I339" s="4">
        <ns0:v>5.02</ns0:v>
      </ns0:c>
      <ns0:c r="J339" s="4">
        <ns0:v>4.86</ns0:v>
      </ns0:c>
      <ns0:c r="K339" s="4">
        <ns0:v>4.89</ns0:v>
      </ns0:c>
      <ns0:c r="L339" s="4">
        <ns0:v>5.06</ns0:v>
      </ns0:c>
      <ns0:c r="M339" s="4">
        <ns0:v>5.37</ns0:v>
      </ns0:c>
      <ns0:c r="N339" s="4">
        <ns0:v>4.96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25.81</ns0:v>
      </ns0:c>
      <ns0:c r="D341" s="4">
        <ns0:v>26.72</ns0:v>
      </ns0:c>
      <ns0:c r="E341" s="4">
        <ns0:v>26.86</ns0:v>
      </ns0:c>
      <ns0:c r="F341" s="4">
        <ns0:v>25.59</ns0:v>
      </ns0:c>
      <ns0:c r="G341" s="4">
        <ns0:v>26.81</ns0:v>
      </ns0:c>
      <ns0:c r="H341" s="4">
        <ns0:v>26.95</ns0:v>
      </ns0:c>
      <ns0:c r="I341" s="4">
        <ns0:v>26.61</ns0:v>
      </ns0:c>
      <ns0:c r="J341" s="4">
        <ns0:v>24.99</ns0:v>
      </ns0:c>
      <ns0:c r="K341" s="4">
        <ns0:v>25.24</ns0:v>
      </ns0:c>
      <ns0:c r="L341" s="4">
        <ns0:v>24.97</ns0:v>
      </ns0:c>
      <ns0:c r="M341" s="4">
        <ns0:v>26.77</ns0:v>
      </ns0:c>
      <ns0:c r="N341" s="4">
        <ns0:v>25.97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18.30</ns0:v>
      </ns0:c>
      <ns0:c r="D342" s="4">
        <ns0:v>17.97</ns0:v>
      </ns0:c>
      <ns0:c r="E342" s="4">
        <ns0:v>17.93</ns0:v>
      </ns0:c>
      <ns0:c r="F342" s="4">
        <ns0:v>18.40</ns0:v>
      </ns0:c>
      <ns0:c r="G342" s="4">
        <ns0:v>17.64</ns0:v>
      </ns0:c>
      <ns0:c r="H342" s="4">
        <ns0:v>18.33</ns0:v>
      </ns0:c>
      <ns0:c r="I342" s="4">
        <ns0:v>17.89</ns0:v>
      </ns0:c>
      <ns0:c r="J342" s="4">
        <ns0:v>18.66</ns0:v>
      </ns0:c>
      <ns0:c r="K342" s="4">
        <ns0:v>18.36</ns0:v>
      </ns0:c>
      <ns0:c r="L342" s="4">
        <ns0:v>17.59</ns0:v>
      </ns0:c>
      <ns0:c r="M342" s="4">
        <ns0:v>18.23</ns0:v>
      </ns0:c>
      <ns0:c r="N342" s="4">
        <ns0:v>18.65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8.82</ns0:v>
      </ns0:c>
      <ns0:c r="D343" s="4">
        <ns0:v>8.98</ns0:v>
      </ns0:c>
      <ns0:c r="E343" s="4">
        <ns0:v>8.88</ns0:v>
      </ns0:c>
      <ns0:c r="F343" s="4">
        <ns0:v>9.23</ns0:v>
      </ns0:c>
      <ns0:c r="G343" s="4">
        <ns0:v>9.17</ns0:v>
      </ns0:c>
      <ns0:c r="H343" s="4">
        <ns0:v>8.69</ns0:v>
      </ns0:c>
      <ns0:c r="I343" s="4">
        <ns0:v>9.34</ns0:v>
      </ns0:c>
      <ns0:c r="J343" s="4">
        <ns0:v>8.77</ns0:v>
      </ns0:c>
      <ns0:c r="K343" s="4">
        <ns0:v>9.20</ns0:v>
      </ns0:c>
      <ns0:c r="L343" s="4">
        <ns0:v>8.95</ns0:v>
      </ns0:c>
      <ns0:c r="M343" s="4">
        <ns0:v>8.90</ns0:v>
      </ns0:c>
      <ns0:c r="N343" s="4">
        <ns0:v>9.25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6.82</ns0:v>
      </ns0:c>
      <ns0:c r="D344" s="4">
        <ns0:v>6.78</ns0:v>
      </ns0:c>
      <ns0:c r="E344" s="4">
        <ns0:v>6.86</ns0:v>
      </ns0:c>
      <ns0:c r="F344" s="4">
        <ns0:v>7.04</ns0:v>
      </ns0:c>
      <ns0:c r="G344" s="4">
        <ns0:v>6.78</ns0:v>
      </ns0:c>
      <ns0:c r="H344" s="4">
        <ns0:v>6.72</ns0:v>
      </ns0:c>
      <ns0:c r="I344" s="4">
        <ns0:v>7.37</ns0:v>
      </ns0:c>
      <ns0:c r="J344" s="4">
        <ns0:v>7.06</ns0:v>
      </ns0:c>
      <ns0:c r="K344" s="4">
        <ns0:v>7.02</ns0:v>
      </ns0:c>
      <ns0:c r="L344" s="4">
        <ns0:v>7.27</ns0:v>
      </ns0:c>
      <ns0:c r="M344" s="4">
        <ns0:v>6.84</ns0:v>
      </ns0:c>
      <ns0:c r="N344" s="4">
        <ns0:v>7.02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8.03</ns0:v>
      </ns0:c>
      <ns0:c r="D345" s="4">
        <ns0:v>7.83</ns0:v>
      </ns0:c>
      <ns0:c r="E345" s="4">
        <ns0:v>8.22</ns0:v>
      </ns0:c>
      <ns0:c r="F345" s="4">
        <ns0:v>8.31</ns0:v>
      </ns0:c>
      <ns0:c r="G345" s="4">
        <ns0:v>7.72</ns0:v>
      </ns0:c>
      <ns0:c r="H345" s="4">
        <ns0:v>8.12</ns0:v>
      </ns0:c>
      <ns0:c r="I345" s="4">
        <ns0:v>7.78</ns0:v>
      </ns0:c>
      <ns0:c r="J345" s="4">
        <ns0:v>8.06</ns0:v>
      </ns0:c>
      <ns0:c r="K345" s="4">
        <ns0:v>8.04</ns0:v>
      </ns0:c>
      <ns0:c r="L345" s="4">
        <ns0:v>7.96</ns0:v>
      </ns0:c>
      <ns0:c r="M345" s="4">
        <ns0:v>7.95</ns0:v>
      </ns0:c>
      <ns0:c r="N345" s="4">
        <ns0:v>8.30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11.23</ns0:v>
      </ns0:c>
      <ns0:c r="D346" s="4">
        <ns0:v>11.07</ns0:v>
      </ns0:c>
      <ns0:c r="E346" s="4">
        <ns0:v>11.09</ns0:v>
      </ns0:c>
      <ns0:c r="F346" s="4">
        <ns0:v>10.73</ns0:v>
      </ns0:c>
      <ns0:c r="G346" s="4">
        <ns0:v>11.18</ns0:v>
      </ns0:c>
      <ns0:c r="H346" s="4">
        <ns0:v>10.70</ns0:v>
      </ns0:c>
      <ns0:c r="I346" s="4">
        <ns0:v>11.44</ns0:v>
      </ns0:c>
      <ns0:c r="J346" s="4">
        <ns0:v>10.60</ns0:v>
      </ns0:c>
      <ns0:c r="K346" s="4">
        <ns0:v>11.25</ns0:v>
      </ns0:c>
      <ns0:c r="L346" s="4">
        <ns0:v>10.72</ns0:v>
      </ns0:c>
      <ns0:c r="M346" s="4">
        <ns0:v>11.09</ns0:v>
      </ns0:c>
      <ns0:c r="N346" s="4">
        <ns0:v>10.88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3.93</ns0:v>
      </ns0:c>
      <ns0:c r="D347" s="4">
        <ns0:v>3.91</ns0:v>
      </ns0:c>
      <ns0:c r="E347" s="4">
        <ns0:v>4.10</ns0:v>
      </ns0:c>
      <ns0:c r="F347" s="4">
        <ns0:v>3.87</ns0:v>
      </ns0:c>
      <ns0:c r="G347" s="4">
        <ns0:v>3.93</ns0:v>
      </ns0:c>
      <ns0:c r="H347" s="4">
        <ns0:v>4.15</ns0:v>
      </ns0:c>
      <ns0:c r="I347" s="4">
        <ns0:v>3.98</ns0:v>
      </ns0:c>
      <ns0:c r="J347" s="4">
        <ns0:v>4.06</ns0:v>
      </ns0:c>
      <ns0:c r="K347" s="4">
        <ns0:v>3.98</ns0:v>
      </ns0:c>
      <ns0:c r="L347" s="4">
        <ns0:v>4.12</ns0:v>
      </ns0:c>
      <ns0:c r="M347" s="4">
        <ns0:v>4.12</ns0:v>
      </ns0:c>
      <ns0:c r="N347" s="4">
        <ns0:v>4.06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14.71</ns0:v>
      </ns0:c>
      <ns0:c r="D348" s="4">
        <ns0:v>14.72</ns0:v>
      </ns0:c>
      <ns0:c r="E348" s="4">
        <ns0:v>15.35</ns0:v>
      </ns0:c>
      <ns0:c r="F348" s="4">
        <ns0:v>14.42</ns0:v>
      </ns0:c>
      <ns0:c r="G348" s="4">
        <ns0:v>14.46</ns0:v>
      </ns0:c>
      <ns0:c r="H348" s="4">
        <ns0:v>15.18</ns0:v>
      </ns0:c>
      <ns0:c r="I348" s="4">
        <ns0:v>15.13</ns0:v>
      </ns0:c>
      <ns0:c r="J348" s="4">
        <ns0:v>15.55</ns0:v>
      </ns0:c>
      <ns0:c r="K348" s="4">
        <ns0:v>15.58</ns0:v>
      </ns0:c>
      <ns0:c r="L348" s="4">
        <ns0:v>14.89</ns0:v>
      </ns0:c>
      <ns0:c r="M348" s="4">
        <ns0:v>15.51</ns0:v>
      </ns0:c>
      <ns0:c r="N348" s="4">
        <ns0:v>15.33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1.19</ns0:v>
      </ns0:c>
      <ns0:c r="J350" s="4">
        <ns0:v>1.19</ns0:v>
      </ns0:c>
      <ns0:c r="K350" s="4">
        <ns0:v>1.19</ns0:v>
      </ns0:c>
      <ns0:c r="L350" s="4">
        <ns0:v>1.19</ns0:v>
      </ns0:c>
      <ns0:c r="M350" s="4">
        <ns0:v>1.19</ns0:v>
      </ns0:c>
      <ns0:c r="N350" s="4">
        <ns0:v>1.19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2.99</ns0:v>
      </ns0:c>
      <ns0:c r="D351" s="4">
        <ns0:v>2.93</ns0:v>
      </ns0:c>
      <ns0:c r="E351" s="4">
        <ns0:v>2.99</ns0:v>
      </ns0:c>
      <ns0:c r="F351" s="4">
        <ns0:v>3.06</ns0:v>
      </ns0:c>
      <ns0:c r="G351" s="4">
        <ns0:v>3.01</ns0:v>
      </ns0:c>
      <ns0:c r="H351" s="4">
        <ns0:v>3.03</ns0:v>
      </ns0:c>
      <ns0:c r="I351" s="4">
        <ns0:v>2.96</ns0:v>
      </ns0:c>
      <ns0:c r="J351" s="4">
        <ns0:v>2.90</ns0:v>
      </ns0:c>
      <ns0:c r="K351" s="4">
        <ns0:v>3.12</ns0:v>
      </ns0:c>
      <ns0:c r="L351" s="4">
        <ns0:v>3.08</ns0:v>
      </ns0:c>
      <ns0:c r="M351" s="4">
        <ns0:v>2.97</ns0:v>
      </ns0:c>
      <ns0:c r="N351" s="4">
        <ns0:v>3.37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4.91</ns0:v>
      </ns0:c>
      <ns0:c r="D352" s="4">
        <ns0:v>5.17</ns0:v>
      </ns0:c>
      <ns0:c r="E352" s="4">
        <ns0:v>5.13</ns0:v>
      </ns0:c>
      <ns0:c r="F352" s="4">
        <ns0:v>4.99</ns0:v>
      </ns0:c>
      <ns0:c r="G352" s="4">
        <ns0:v>5.04</ns0:v>
      </ns0:c>
      <ns0:c r="H352" s="4">
        <ns0:v>4.81</ns0:v>
      </ns0:c>
      <ns0:c r="I352" s="4">
        <ns0:v>5.01</ns0:v>
      </ns0:c>
      <ns0:c r="J352" s="4">
        <ns0:v>5.12</ns0:v>
      </ns0:c>
      <ns0:c r="K352" s="4">
        <ns0:v>4.94</ns0:v>
      </ns0:c>
      <ns0:c r="L352" s="4">
        <ns0:v>4.92</ns0:v>
      </ns0:c>
      <ns0:c r="M352" s="4">
        <ns0:v>5.10</ns0:v>
      </ns0:c>
      <ns0:c r="N352" s="4">
        <ns0:v>5.11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5.96</ns0:v>
      </ns0:c>
      <ns0:c r="D353" s="4">
        <ns0:v>5.94</ns0:v>
      </ns0:c>
      <ns0:c r="E353" s="4">
        <ns0:v>6.15</ns0:v>
      </ns0:c>
      <ns0:c r="F353" s="4">
        <ns0:v>5.83</ns0:v>
      </ns0:c>
      <ns0:c r="G353" s="4">
        <ns0:v>5.93</ns0:v>
      </ns0:c>
      <ns0:c r="H353" s="4">
        <ns0:v>5.91</ns0:v>
      </ns0:c>
      <ns0:c r="I353" s="4">
        <ns0:v>5.78</ns0:v>
      </ns0:c>
      <ns0:c r="J353" s="4">
        <ns0:v>6.12</ns0:v>
      </ns0:c>
      <ns0:c r="K353" s="4">
        <ns0:v>5.91</ns0:v>
      </ns0:c>
      <ns0:c r="L353" s="4">
        <ns0:v>6.04</ns0:v>
      </ns0:c>
      <ns0:c r="M353" s="4">
        <ns0:v>6.22</ns0:v>
      </ns0:c>
      <ns0:c r="N353" s="4">
        <ns0:v>6.13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31532.81</ns0:v>
      </ns0:c>
      <ns0:c r="D4" s="8">
        <ns0:f>ROUND(D204*D324,2)</ns0:f>
        <ns0:v>31468.84</ns0:v>
      </ns0:c>
      <ns0:c r="E4" s="8">
        <ns0:f>ROUND(E204*E324,2)</ns0:f>
        <ns0:v>32070.36</ns0:v>
      </ns0:c>
      <ns0:c r="F4" s="8">
        <ns0:f>ROUND(F204*F324,2)</ns0:f>
        <ns0:v>32278.42</ns0:v>
      </ns0:c>
      <ns0:c r="G4" s="8">
        <ns0:f>ROUND(G204*G324,2)</ns0:f>
        <ns0:v>32422.44</ns0:v>
      </ns0:c>
      <ns0:c r="H4" s="8">
        <ns0:f>ROUND(H204*H324,2)</ns0:f>
        <ns0:v>32326.39</ns0:v>
      </ns0:c>
      <ns0:c r="I4" s="8">
        <ns0:f>ROUND(I204*I324,2)</ns0:f>
        <ns0:v>32281.60</ns0:v>
      </ns0:c>
      <ns0:c r="J4" s="8">
        <ns0:f>ROUND(J204*J324,2)</ns0:f>
        <ns0:v>32223.96</ns0:v>
      </ns0:c>
      <ns0:c r="K4" s="8">
        <ns0:f>ROUND(K204*K324,2)</ns0:f>
        <ns0:v>32217.63</ns0:v>
      </ns0:c>
      <ns0:c r="L4" s="8">
        <ns0:f>ROUND(L204*L324,2)</ns0:f>
        <ns0:v>32291.18</ns0:v>
      </ns0:c>
      <ns0:c r="M4" s="8">
        <ns0:f>ROUND(M204*M324,2)</ns0:f>
        <ns0:v>31385.62</ns0:v>
      </ns0:c>
      <ns0:c r="N4" s="8">
        <ns0:f>ROUND(N204*N324,2)</ns0:f>
        <ns0:v>31769.58</ns0:v>
      </ns0:c>
      <ns0:c r="O4" s="8">
        <ns0:f>SUM(C4:N4)</ns0:f>
        <ns0:v>384268.83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2416.33</ns0:v>
      </ns0:c>
      <ns0:c r="D5" s="8">
        <ns0:f>ROUND(D205*D325,2)</ns0:f>
        <ns0:v>2408.41</ns0:v>
      </ns0:c>
      <ns0:c r="E5" s="8">
        <ns0:f>ROUND(E205*E325,2)</ns0:f>
        <ns0:v>2438.12</ns0:v>
      </ns0:c>
      <ns0:c r="F5" s="8">
        <ns0:f>ROUND(F205*F325,2)</ns0:f>
        <ns0:v>2355.56</ns0:v>
      </ns0:c>
      <ns0:c r="G5" s="8">
        <ns0:f>ROUND(G205*G325,2)</ns0:f>
        <ns0:v>2396.86</ns0:v>
      </ns0:c>
      <ns0:c r="H5" s="8">
        <ns0:f>ROUND(H205*H325,2)</ns0:f>
        <ns0:v>2379.10</ns0:v>
      </ns0:c>
      <ns0:c r="I5" s="8">
        <ns0:f>ROUND(I205*I325,2)</ns0:f>
        <ns0:v>2393.03</ns0:v>
      </ns0:c>
      <ns0:c r="J5" s="8">
        <ns0:f>ROUND(J205*J325,2)</ns0:f>
        <ns0:v>2361.40</ns0:v>
      </ns0:c>
      <ns0:c r="K5" s="8">
        <ns0:f>ROUND(K205*K325,2)</ns0:f>
        <ns0:v>2395.71</ns0:v>
      </ns0:c>
      <ns0:c r="L5" s="8">
        <ns0:f>ROUND(L205*L325,2)</ns0:f>
        <ns0:v>2366.64</ns0:v>
      </ns0:c>
      <ns0:c r="M5" s="8">
        <ns0:f>ROUND(M205*M325,2)</ns0:f>
        <ns0:v>2439.34</ns0:v>
      </ns0:c>
      <ns0:c r="N5" s="8">
        <ns0:f>ROUND(N205*N325,2)</ns0:f>
        <ns0:v>2444.37</ns0:v>
      </ns0:c>
      <ns0:c r="O5" s="8">
        <ns0:f>SUM(C5:N5)</ns0:f>
        <ns0:v>28794.87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902.20</ns0:v>
      </ns0:c>
      <ns0:c r="D6" s="8">
        <ns0:f>ROUND(D206*D326,2)</ns0:f>
        <ns0:v>915.68</ns0:v>
      </ns0:c>
      <ns0:c r="E6" s="8">
        <ns0:f>ROUND(E206*E326,2)</ns0:f>
        <ns0:v>897.04</ns0:v>
      </ns0:c>
      <ns0:c r="F6" s="8">
        <ns0:f>ROUND(F206*F326,2)</ns0:f>
        <ns0:v>815.95</ns0:v>
      </ns0:c>
      <ns0:c r="G6" s="8">
        <ns0:f>ROUND(G206*G326,2)</ns0:f>
        <ns0:v>921.45</ns0:v>
      </ns0:c>
      <ns0:c r="H6" s="8">
        <ns0:f>ROUND(H206*H326,2)</ns0:f>
        <ns0:v>930.30</ns0:v>
      </ns0:c>
      <ns0:c r="I6" s="8">
        <ns0:f>ROUND(I206*I326,2)</ns0:f>
        <ns0:v>842.72</ns0:v>
      </ns0:c>
      <ns0:c r="J6" s="8">
        <ns0:f>ROUND(J206*J326,2)</ns0:f>
        <ns0:v>1002.42</ns0:v>
      </ns0:c>
      <ns0:c r="K6" s="8">
        <ns0:f>ROUND(K206*K326,2)</ns0:f>
        <ns0:v>980.93</ns0:v>
      </ns0:c>
      <ns0:c r="L6" s="8">
        <ns0:f>ROUND(L206*L326,2)</ns0:f>
        <ns0:v>991.48</ns0:v>
      </ns0:c>
      <ns0:c r="M6" s="8">
        <ns0:f>ROUND(M206*M326,2)</ns0:f>
        <ns0:v>796.74</ns0:v>
      </ns0:c>
      <ns0:c r="N6" s="8">
        <ns0:f>ROUND(N206*N326,2)</ns0:f>
        <ns0:v>816.35</ns0:v>
      </ns0:c>
      <ns0:c r="O6" s="8">
        <ns0:f>SUM(C6:N6)</ns0:f>
        <ns0:v>10813.26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10327.80</ns0:v>
      </ns0:c>
      <ns0:c r="D7" s="8">
        <ns0:f>ROUND(D207*D327,2)</ns0:f>
        <ns0:v>10446.43</ns0:v>
      </ns0:c>
      <ns0:c r="E7" s="8">
        <ns0:f>ROUND(E207*E327,2)</ns0:f>
        <ns0:v>10427.53</ns0:v>
      </ns0:c>
      <ns0:c r="F7" s="8">
        <ns0:f>ROUND(F207*F327,2)</ns0:f>
        <ns0:v>10702.62</ns0:v>
      </ns0:c>
      <ns0:c r="G7" s="8">
        <ns0:f>ROUND(G207*G327,2)</ns0:f>
        <ns0:v>10417.07</ns0:v>
      </ns0:c>
      <ns0:c r="H7" s="3">
        <ns0:f>ROUND(H207*H327,2)</ns0:f>
        <ns0:v>10525.23</ns0:v>
      </ns0:c>
      <ns0:c r="I7" s="3">
        <ns0:f>ROUND(I207*I327,2)</ns0:f>
        <ns0:v>10412.83</ns0:v>
      </ns0:c>
      <ns0:c r="J7" s="3">
        <ns0:f>ROUND(J207*J327,2)</ns0:f>
        <ns0:v>10456.97</ns0:v>
      </ns0:c>
      <ns0:c r="K7" s="3">
        <ns0:f>ROUND(K207*K327,2)</ns0:f>
        <ns0:v>10366.64</ns0:v>
      </ns0:c>
      <ns0:c r="L7" s="3">
        <ns0:f>ROUND(L207*L327,2)</ns0:f>
        <ns0:v>10540.96</ns0:v>
      </ns0:c>
      <ns0:c r="M7" s="3">
        <ns0:f>ROUND(M207*M327,2)</ns0:f>
        <ns0:v>10342.50</ns0:v>
      </ns0:c>
      <ns0:c r="N7" s="3">
        <ns0:f>ROUND(N207*N327,2)</ns0:f>
        <ns0:v>10657.51</ns0:v>
      </ns0:c>
      <ns0:c r="O7" s="8">
        <ns0:f>SUM(C7:N7)</ns0:f>
        <ns0:v>125624.09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2309.55</ns0:v>
      </ns0:c>
      <ns0:c r="D8" s="8">
        <ns0:f>ROUND(D208*D328,2)</ns0:f>
        <ns0:v>1940.99</ns0:v>
      </ns0:c>
      <ns0:c r="E8" s="8">
        <ns0:f>ROUND(E208*E328,2)</ns0:f>
        <ns0:v>2099.56</ns0:v>
      </ns0:c>
      <ns0:c r="F8" s="8">
        <ns0:f>ROUND(F208*F328,2)</ns0:f>
        <ns0:v>2248.22</ns0:v>
      </ns0:c>
      <ns0:c r="G8" s="8">
        <ns0:f>ROUND(G208*G328,2)</ns0:f>
        <ns0:v>2070.22</ns0:v>
      </ns0:c>
      <ns0:c r="H8" s="8">
        <ns0:f>ROUND(H208*H328,2)</ns0:f>
        <ns0:v>2061.81</ns0:v>
      </ns0:c>
      <ns0:c r="I8" s="8">
        <ns0:f>ROUND(I208*I328,2)</ns0:f>
        <ns0:v>1890.41</ns0:v>
      </ns0:c>
      <ns0:c r="J8" s="8">
        <ns0:f>ROUND(J208*J328,2)</ns0:f>
        <ns0:v>1982.79</ns0:v>
      </ns0:c>
      <ns0:c r="K8" s="8">
        <ns0:f>ROUND(K208*K328,2)</ns0:f>
        <ns0:v>2325.33</ns0:v>
      </ns0:c>
      <ns0:c r="L8" s="8">
        <ns0:f>ROUND(L208*L328,2)</ns0:f>
        <ns0:v>2109.27</ns0:v>
      </ns0:c>
      <ns0:c r="M8" s="8">
        <ns0:f>ROUND(M208*M328,2)</ns0:f>
        <ns0:v>1927.38</ns0:v>
      </ns0:c>
      <ns0:c r="N8" s="8">
        <ns0:f>ROUND(N208*N328,2)</ns0:f>
        <ns0:v>2209.03</ns0:v>
      </ns0:c>
      <ns0:c r="O8" s="8">
        <ns0:f>SUM(C8:N8)</ns0:f>
        <ns0:v>25174.56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964.99</ns0:v>
      </ns0:c>
      <ns0:c r="D9" s="3">
        <ns0:f>ROUND(D209*D329,2)</ns0:f>
        <ns0:v>910.27</ns0:v>
      </ns0:c>
      <ns0:c r="E9" s="8">
        <ns0:f>ROUND(E209*E329,2)</ns0:f>
        <ns0:v>911.15</ns0:v>
      </ns0:c>
      <ns0:c r="F9" s="8">
        <ns0:f>ROUND(F209*F329,2)</ns0:f>
        <ns0:v>920.07</ns0:v>
      </ns0:c>
      <ns0:c r="G9" s="8">
        <ns0:f>ROUND(G209*G329,2)</ns0:f>
        <ns0:v>856.09</ns0:v>
      </ns0:c>
      <ns0:c r="H9" s="8">
        <ns0:f>ROUND(H209*H329,2)</ns0:f>
        <ns0:v>989.38</ns0:v>
      </ns0:c>
      <ns0:c r="I9" s="8">
        <ns0:f>ROUND(I209*I329,2)</ns0:f>
        <ns0:v>936.44</ns0:v>
      </ns0:c>
      <ns0:c r="J9" s="8">
        <ns0:f>ROUND(J209*J329,2)</ns0:f>
        <ns0:v>1001.44</ns0:v>
      </ns0:c>
      <ns0:c r="K9" s="8">
        <ns0:f>ROUND(K209*K329,2)</ns0:f>
        <ns0:v>826.12</ns0:v>
      </ns0:c>
      <ns0:c r="L9" s="8">
        <ns0:f>ROUND(L209*L329,2)</ns0:f>
        <ns0:v>874.89</ns0:v>
      </ns0:c>
      <ns0:c r="M9" s="8">
        <ns0:f>ROUND(M209*M329,2)</ns0:f>
        <ns0:v>1001.53</ns0:v>
      </ns0:c>
      <ns0:c r="N9" s="8">
        <ns0:f>ROUND(N209*N329,2)</ns0:f>
        <ns0:v>914.48</ns0:v>
      </ns0:c>
      <ns0:c r="O9" s="8">
        <ns0:f>SUM(C9:N9)</ns0:f>
        <ns0:v>11106.85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832.55</ns0:v>
      </ns0:c>
      <ns0:c r="D10" s="8">
        <ns0:f>ROUND(D210*D330,2)</ns0:f>
        <ns0:v>864.63</ns0:v>
      </ns0:c>
      <ns0:c r="E10" s="8">
        <ns0:f>ROUND(E210*E330,2)</ns0:f>
        <ns0:v>755.18</ns0:v>
      </ns0:c>
      <ns0:c r="F10" s="8">
        <ns0:f>ROUND(F210*F330,2)</ns0:f>
        <ns0:v>800.09</ns0:v>
      </ns0:c>
      <ns0:c r="G10" s="8">
        <ns0:f>ROUND(G210*G330,2)</ns0:f>
        <ns0:v>787.92</ns0:v>
      </ns0:c>
      <ns0:c r="H10" s="8">
        <ns0:f>ROUND(H210*H330,2)</ns0:f>
        <ns0:v>874.72</ns0:v>
      </ns0:c>
      <ns0:c r="I10" s="8">
        <ns0:f>ROUND(I210*I330,2)</ns0:f>
        <ns0:v>745.11</ns0:v>
      </ns0:c>
      <ns0:c r="J10" s="8">
        <ns0:f>ROUND(J210*J330,2)</ns0:f>
        <ns0:v>711.45</ns0:v>
      </ns0:c>
      <ns0:c r="K10" s="8">
        <ns0:f>ROUND(K210*K330,2)</ns0:f>
        <ns0:v>755.04</ns0:v>
      </ns0:c>
      <ns0:c r="L10" s="8">
        <ns0:f>ROUND(L210*L330,2)</ns0:f>
        <ns0:v>704.09</ns0:v>
      </ns0:c>
      <ns0:c r="M10" s="8">
        <ns0:f>ROUND(M210*M330,2)</ns0:f>
        <ns0:v>708.48</ns0:v>
      </ns0:c>
      <ns0:c r="N10" s="8">
        <ns0:f>ROUND(N210*N330,2)</ns0:f>
        <ns0:v>858.88</ns0:v>
      </ns0:c>
      <ns0:c r="O10" s="8">
        <ns0:f>SUM(C10:N10)</ns0:f>
        <ns0:v>9398.14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4949.11</ns0:v>
      </ns0:c>
      <ns0:c r="D11" s="8">
        <ns0:f>ROUND(D211*D331,2)</ns0:f>
        <ns0:v>4263.74</ns0:v>
      </ns0:c>
      <ns0:c r="E11" s="8">
        <ns0:f>ROUND(E211*E331,2)</ns0:f>
        <ns0:v>4802.86</ns0:v>
      </ns0:c>
      <ns0:c r="F11" s="8">
        <ns0:f>ROUND(F211*F331,2)</ns0:f>
        <ns0:v>4992.32</ns0:v>
      </ns0:c>
      <ns0:c r="G11" s="8">
        <ns0:f>ROUND(G211*G331,2)</ns0:f>
        <ns0:v>4383.89</ns0:v>
      </ns0:c>
      <ns0:c r="H11" s="8">
        <ns0:f>ROUND(H211*H331,2)</ns0:f>
        <ns0:v>4115.68</ns0:v>
      </ns0:c>
      <ns0:c r="I11" s="8">
        <ns0:f>ROUND(I211*I331,2)</ns0:f>
        <ns0:v>4113.00</ns0:v>
      </ns0:c>
      <ns0:c r="J11" s="8">
        <ns0:f>ROUND(J211*J331,2)</ns0:f>
        <ns0:v>4293.00</ns0:v>
      </ns0:c>
      <ns0:c r="K11" s="8">
        <ns0:f>ROUND(K211*K331,2)</ns0:f>
        <ns0:v>4288.05</ns0:v>
      </ns0:c>
      <ns0:c r="L11" s="8">
        <ns0:f>ROUND(L211*L331,2)</ns0:f>
        <ns0:v>4425.28</ns0:v>
      </ns0:c>
      <ns0:c r="M11" s="8">
        <ns0:f>ROUND(M211*M331,2)</ns0:f>
        <ns0:v>4770.01</ns0:v>
      </ns0:c>
      <ns0:c r="N11" s="8">
        <ns0:f>ROUND(N211*N331,2)</ns0:f>
        <ns0:v>4747.94</ns0:v>
      </ns0:c>
      <ns0:c r="O11" s="8">
        <ns0:f>SUM(C11:N11)</ns0:f>
        <ns0:v>54144.88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986.49</ns0:v>
      </ns0:c>
      <ns0:c r="D12" s="8">
        <ns0:f>ROUND(D212*D332,2)</ns0:f>
        <ns0:v>1064.25</ns0:v>
      </ns0:c>
      <ns0:c r="E12" s="8">
        <ns0:f>ROUND(E212*E332,2)</ns0:f>
        <ns0:v>1015.29</ns0:v>
      </ns0:c>
      <ns0:c r="F12" s="8">
        <ns0:f>ROUND(F212*F332,2)</ns0:f>
        <ns0:v>1102.65</ns0:v>
      </ns0:c>
      <ns0:c r="G12" s="8">
        <ns0:f>ROUND(G212*G332,2)</ns0:f>
        <ns0:v>1053.13</ns0:v>
      </ns0:c>
      <ns0:c r="H12" s="8">
        <ns0:f>ROUND(H212*H332,2)</ns0:f>
        <ns0:v>988.01</ns0:v>
      </ns0:c>
      <ns0:c r="I12" s="8">
        <ns0:f>ROUND(I212*I332,2)</ns0:f>
        <ns0:v>1218.37</ns0:v>
      </ns0:c>
      <ns0:c r="J12" s="8">
        <ns0:f>ROUND(J212*J332,2)</ns0:f>
        <ns0:v>976.67</ns0:v>
      </ns0:c>
      <ns0:c r="K12" s="8">
        <ns0:f>ROUND(K212*K332,2)</ns0:f>
        <ns0:v>1138.82</ns0:v>
      </ns0:c>
      <ns0:c r="L12" s="8">
        <ns0:f>ROUND(L212*L332,2)</ns0:f>
        <ns0:v>1218.92</ns0:v>
      </ns0:c>
      <ns0:c r="M12" s="8">
        <ns0:f>ROUND(M212*M332,2)</ns0:f>
        <ns0:v>1099.87</ns0:v>
      </ns0:c>
      <ns0:c r="N12" s="8">
        <ns0:f>ROUND(N212*N332,2)</ns0:f>
        <ns0:v>1050.63</ns0:v>
      </ns0:c>
      <ns0:c r="O12" s="8">
        <ns0:f>SUM(C12:N12)</ns0:f>
        <ns0:v>12913.10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1168.44</ns0:v>
      </ns0:c>
      <ns0:c r="D13" s="8">
        <ns0:f>ROUND(D213*D333,2)</ns0:f>
        <ns0:v>1285.57</ns0:v>
      </ns0:c>
      <ns0:c r="E13" s="8">
        <ns0:f>ROUND(E213*E333,2)</ns0:f>
        <ns0:v>1419.46</ns0:v>
      </ns0:c>
      <ns0:c r="F13" s="8">
        <ns0:f>ROUND(F213*F333,2)</ns0:f>
        <ns0:v>1256.33</ns0:v>
      </ns0:c>
      <ns0:c r="G13" s="8">
        <ns0:f>ROUND(G213*G333,2)</ns0:f>
        <ns0:v>1145.57</ns0:v>
      </ns0:c>
      <ns0:c r="H13" s="8">
        <ns0:f>ROUND(H213*H333,2)</ns0:f>
        <ns0:v>1255.03</ns0:v>
      </ns0:c>
      <ns0:c r="I13" s="8">
        <ns0:f>ROUND(I213*I333,2)</ns0:f>
        <ns0:v>1293.76</ns0:v>
      </ns0:c>
      <ns0:c r="J13" s="8">
        <ns0:f>ROUND(J213*J333,2)</ns0:f>
        <ns0:v>1286.87</ns0:v>
      </ns0:c>
      <ns0:c r="K13" s="8">
        <ns0:f>ROUND(K213*K333,2)</ns0:f>
        <ns0:v>1278.68</ns0:v>
      </ns0:c>
      <ns0:c r="L13" s="8">
        <ns0:f>ROUND(L213*L333,2)</ns0:f>
        <ns0:v>1389.18</ns0:v>
      </ns0:c>
      <ns0:c r="M13" s="8">
        <ns0:f>ROUND(M213*M333,2)</ns0:f>
        <ns0:v>1144.92</ns0:v>
      </ns0:c>
      <ns0:c r="N13" s="8">
        <ns0:f>ROUND(N213*N333,2)</ns0:f>
        <ns0:v>1243.85</ns0:v>
      </ns0:c>
      <ns0:c r="O13" s="8">
        <ns0:f>SUM(C13:N13)</ns0:f>
        <ns0:v>15167.66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1552.12</ns0:v>
      </ns0:c>
      <ns0:c r="D14" s="8">
        <ns0:f>ROUND(D214*D334,2)</ns0:f>
        <ns0:v>1784.48</ns0:v>
      </ns0:c>
      <ns0:c r="E14" s="8">
        <ns0:f>ROUND(E214*E334,2)</ns0:f>
        <ns0:v>1475.49</ns0:v>
      </ns0:c>
      <ns0:c r="F14" s="8">
        <ns0:f>ROUND(F214*F334,2)</ns0:f>
        <ns0:v>1457.93</ns0:v>
      </ns0:c>
      <ns0:c r="G14" s="8">
        <ns0:f>ROUND(G214*G334,2)</ns0:f>
        <ns0:v>1732.96</ns0:v>
      </ns0:c>
      <ns0:c r="H14" s="8">
        <ns0:f>ROUND(H214*H334,2)</ns0:f>
        <ns0:v>1591.34</ns0:v>
      </ns0:c>
      <ns0:c r="I14" s="8">
        <ns0:f>ROUND(I214*I334,2)</ns0:f>
        <ns0:v>1550.75</ns0:v>
      </ns0:c>
      <ns0:c r="J14" s="8">
        <ns0:f>ROUND(J214*J334,2)</ns0:f>
        <ns0:v>1642.54</ns0:v>
      </ns0:c>
      <ns0:c r="K14" s="8">
        <ns0:f>ROUND(K214*K334,2)</ns0:f>
        <ns0:v>1478.28</ns0:v>
      </ns0:c>
      <ns0:c r="L14" s="8">
        <ns0:f>ROUND(L214*L334,2)</ns0:f>
        <ns0:v>1652.16</ns0:v>
      </ns0:c>
      <ns0:c r="M14" s="8">
        <ns0:f>ROUND(M214*M334,2)</ns0:f>
        <ns0:v>1503.50</ns0:v>
      </ns0:c>
      <ns0:c r="N14" s="8">
        <ns0:f>ROUND(N214*N334,2)</ns0:f>
        <ns0:v>1540.50</ns0:v>
      </ns0:c>
      <ns0:c r="O14" s="8">
        <ns0:f>SUM(C14:N14)</ns0:f>
        <ns0:v>18962.05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969.77</ns0:v>
      </ns0:c>
      <ns0:c r="D15" s="8">
        <ns0:f>ROUND(D215*D335,2)</ns0:f>
        <ns0:v>931.59</ns0:v>
      </ns0:c>
      <ns0:c r="E15" s="8">
        <ns0:f>ROUND(E215*E335,2)</ns0:f>
        <ns0:v>924.20</ns0:v>
      </ns0:c>
      <ns0:c r="F15" s="8">
        <ns0:f>ROUND(F215*F335,2)</ns0:f>
        <ns0:v>849.98</ns0:v>
      </ns0:c>
      <ns0:c r="G15" s="8">
        <ns0:f>ROUND(G215*G335,2)</ns0:f>
        <ns0:v>951.66</ns0:v>
      </ns0:c>
      <ns0:c r="H15" s="8">
        <ns0:f>ROUND(H215*H335,2)</ns0:f>
        <ns0:v>879.92</ns0:v>
      </ns0:c>
      <ns0:c r="I15" s="8">
        <ns0:f>ROUND(I215*I335,2)</ns0:f>
        <ns0:v>971.66</ns0:v>
      </ns0:c>
      <ns0:c r="J15" s="8">
        <ns0:f>ROUND(J215*J335,2)</ns0:f>
        <ns0:v>855.97</ns0:v>
      </ns0:c>
      <ns0:c r="K15" s="8">
        <ns0:f>ROUND(K215*K335,2)</ns0:f>
        <ns0:v>823.07</ns0:v>
      </ns0:c>
      <ns0:c r="L15" s="8">
        <ns0:f>ROUND(L215*L335,2)</ns0:f>
        <ns0:v>839.97</ns0:v>
      </ns0:c>
      <ns0:c r="M15" s="8">
        <ns0:f>ROUND(M215*M335,2)</ns0:f>
        <ns0:v>929.81</ns0:v>
      </ns0:c>
      <ns0:c r="N15" s="8">
        <ns0:f>ROUND(N215*N335,2)</ns0:f>
        <ns0:v>828.36</ns0:v>
      </ns0:c>
      <ns0:c r="O15" s="8">
        <ns0:f>SUM(C15:N15)</ns0:f>
        <ns0:v>10755.96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1704.80</ns0:v>
      </ns0:c>
      <ns0:c r="D16" s="8">
        <ns0:f>ROUND(D216*D336,2)</ns0:f>
        <ns0:v>1685.70</ns0:v>
      </ns0:c>
      <ns0:c r="E16" s="8">
        <ns0:f>ROUND(E216*E336,2)</ns0:f>
        <ns0:v>1664.10</ns0:v>
      </ns0:c>
      <ns0:c r="F16" s="8">
        <ns0:f>ROUND(F216*F336,2)</ns0:f>
        <ns0:v>1803.77</ns0:v>
      </ns0:c>
      <ns0:c r="G16" s="8">
        <ns0:f>ROUND(G216*G336,2)</ns0:f>
        <ns0:v>1751.40</ns0:v>
      </ns0:c>
      <ns0:c r="H16" s="8">
        <ns0:f>ROUND(H216*H336,2)</ns0:f>
        <ns0:v>1619.80</ns0:v>
      </ns0:c>
      <ns0:c r="I16" s="8">
        <ns0:f>ROUND(I216*I336,2)</ns0:f>
        <ns0:v>1749.06</ns0:v>
      </ns0:c>
      <ns0:c r="J16" s="8">
        <ns0:f>ROUND(J216*J336,2)</ns0:f>
        <ns0:v>1774.45</ns0:v>
      </ns0:c>
      <ns0:c r="K16" s="8">
        <ns0:f>ROUND(K216*K336,2)</ns0:f>
        <ns0:v>1660.87</ns0:v>
      </ns0:c>
      <ns0:c r="L16" s="8">
        <ns0:f>ROUND(L216*L336,2)</ns0:f>
        <ns0:v>1596.78</ns0:v>
      </ns0:c>
      <ns0:c r="M16" s="8">
        <ns0:f>ROUND(M216*M336,2)</ns0:f>
        <ns0:v>1820.89</ns0:v>
      </ns0:c>
      <ns0:c r="N16" s="8">
        <ns0:f>ROUND(N216*N336,2)</ns0:f>
        <ns0:v>1614.62</ns0:v>
      </ns0:c>
      <ns0:c r="O16" s="8">
        <ns0:f>SUM(C16:N16)</ns0:f>
        <ns0:v>20446.24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2012.94</ns0:v>
      </ns0:c>
      <ns0:c r="D17" s="8">
        <ns0:f>ROUND(D217*D337,2)</ns0:f>
        <ns0:v>1666.45</ns0:v>
      </ns0:c>
      <ns0:c r="E17" s="8">
        <ns0:f>ROUND(E217*E337,2)</ns0:f>
        <ns0:v>1692.37</ns0:v>
      </ns0:c>
      <ns0:c r="F17" s="8">
        <ns0:f>ROUND(F217*F337,2)</ns0:f>
        <ns0:v>2006.10</ns0:v>
      </ns0:c>
      <ns0:c r="G17" s="8">
        <ns0:f>ROUND(G217*G337,2)</ns0:f>
        <ns0:v>1875.06</ns0:v>
      </ns0:c>
      <ns0:c r="H17" s="8">
        <ns0:f>ROUND(H217*H337,2)</ns0:f>
        <ns0:v>1966.85</ns0:v>
      </ns0:c>
      <ns0:c r="I17" s="8">
        <ns0:f>ROUND(I217*I337,2)</ns0:f>
        <ns0:v>1681.39</ns0:v>
      </ns0:c>
      <ns0:c r="J17" s="8">
        <ns0:f>ROUND(J217*J337,2)</ns0:f>
        <ns0:v>1903.51</ns0:v>
      </ns0:c>
      <ns0:c r="K17" s="8">
        <ns0:f>ROUND(K217*K337,2)</ns0:f>
        <ns0:v>1701.00</ns0:v>
      </ns0:c>
      <ns0:c r="L17" s="8">
        <ns0:f>ROUND(L217*L337,2)</ns0:f>
        <ns0:v>1768.33</ns0:v>
      </ns0:c>
      <ns0:c r="M17" s="8">
        <ns0:f>ROUND(M217*M337,2)</ns0:f>
        <ns0:v>1952.29</ns0:v>
      </ns0:c>
      <ns0:c r="N17" s="8">
        <ns0:f>ROUND(N217*N337,2)</ns0:f>
        <ns0:v>1697.93</ns0:v>
      </ns0:c>
      <ns0:c r="O17" s="8">
        <ns0:f>SUM(C17:N17)</ns0:f>
        <ns0:v>21924.22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708.58</ns0:v>
      </ns0:c>
      <ns0:c r="D18" s="8">
        <ns0:f>ROUND(D218*D338,2)</ns0:f>
        <ns0:v>721.84</ns0:v>
      </ns0:c>
      <ns0:c r="E18" s="8">
        <ns0:f>ROUND(E218*E338,2)</ns0:f>
        <ns0:v>652.07</ns0:v>
      </ns0:c>
      <ns0:c r="F18" s="8">
        <ns0:f>ROUND(F218*F338,2)</ns0:f>
        <ns0:v>655.91</ns0:v>
      </ns0:c>
      <ns0:c r="G18" s="8">
        <ns0:f>ROUND(G218*G338,2)</ns0:f>
        <ns0:v>685.95</ns0:v>
      </ns0:c>
      <ns0:c r="H18" s="8">
        <ns0:f>ROUND(H218*H338,2)</ns0:f>
        <ns0:v>757.05</ns0:v>
      </ns0:c>
      <ns0:c r="I18" s="8">
        <ns0:f>ROUND(I218*I338,2)</ns0:f>
        <ns0:v>713.78</ns0:v>
      </ns0:c>
      <ns0:c r="J18" s="8">
        <ns0:f>ROUND(J218*J338,2)</ns0:f>
        <ns0:v>731.50</ns0:v>
      </ns0:c>
      <ns0:c r="K18" s="8">
        <ns0:f>ROUND(K218*K338,2)</ns0:f>
        <ns0:v>668.05</ns0:v>
      </ns0:c>
      <ns0:c r="L18" s="8">
        <ns0:f>ROUND(L218*L338,2)</ns0:f>
        <ns0:v>645.39</ns0:v>
      </ns0:c>
      <ns0:c r="M18" s="8">
        <ns0:f>ROUND(M218*M338,2)</ns0:f>
        <ns0:v>639.70</ns0:v>
      </ns0:c>
      <ns0:c r="N18" s="8">
        <ns0:f>ROUND(N218*N338,2)</ns0:f>
        <ns0:v>758.71</ns0:v>
      </ns0:c>
      <ns0:c r="O18" s="8">
        <ns0:f>SUM(C18:N18)</ns0:f>
        <ns0:v>8338.53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446.38</ns0:v>
      </ns0:c>
      <ns0:c r="D19" s="8">
        <ns0:f>ROUND(D219*D339,2)</ns0:f>
        <ns0:v>363.53</ns0:v>
      </ns0:c>
      <ns0:c r="E19" s="8">
        <ns0:f>ROUND(E219*E339,2)</ns0:f>
        <ns0:v>418.77</ns0:v>
      </ns0:c>
      <ns0:c r="F19" s="8">
        <ns0:f>ROUND(F219*F339,2)</ns0:f>
        <ns0:v>395.77</ns0:v>
      </ns0:c>
      <ns0:c r="G19" s="8">
        <ns0:f>ROUND(G219*G339,2)</ns0:f>
        <ns0:v>367.13</ns0:v>
      </ns0:c>
      <ns0:c r="H19" s="8">
        <ns0:f>ROUND(H219*H339,2)</ns0:f>
        <ns0:v>392.76</ns0:v>
      </ns0:c>
      <ns0:c r="I19" s="8">
        <ns0:f>ROUND(I219*I339,2)</ns0:f>
        <ns0:v>359.12</ns0:v>
      </ns0:c>
      <ns0:c r="J19" s="8">
        <ns0:f>ROUND(J219*J339,2)</ns0:f>
        <ns0:v>366.90</ns0:v>
      </ns0:c>
      <ns0:c r="K19" s="8">
        <ns0:f>ROUND(K219*K339,2)</ns0:f>
        <ns0:v>404.29</ns0:v>
      </ns0:c>
      <ns0:c r="L19" s="8">
        <ns0:f>ROUND(L219*L339,2)</ns0:f>
        <ns0:v>444.40</ns0:v>
      </ns0:c>
      <ns0:c r="M19" s="8">
        <ns0:f>ROUND(M219*M339,2)</ns0:f>
        <ns0:v>399.28</ns0:v>
      </ns0:c>
      <ns0:c r="N19" s="8">
        <ns0:f>ROUND(N219*N339,2)</ns0:f>
        <ns0:v>405.62</ns0:v>
      </ns0:c>
      <ns0:c r="O19" s="8">
        <ns0:f>SUM(C19:N19)</ns0:f>
        <ns0:v>4763.95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861.88</ns0:v>
      </ns0:c>
      <ns0:c r="D21" s="8">
        <ns0:f>ROUND(D221*D341,2)</ns0:f>
        <ns0:v>740.80</ns0:v>
      </ns0:c>
      <ns0:c r="E21" s="8">
        <ns0:f>ROUND(E221*E341,2)</ns0:f>
        <ns0:v>833.10</ns0:v>
      </ns0:c>
      <ns0:c r="F21" s="8">
        <ns0:f>ROUND(F221*F341,2)</ns0:f>
        <ns0:v>829.26</ns0:v>
      </ns0:c>
      <ns0:c r="G21" s="8">
        <ns0:f>ROUND(G221*G341,2)</ns0:f>
        <ns0:v>718.44</ns0:v>
      </ns0:c>
      <ns0:c r="H21" s="8">
        <ns0:f>ROUND(H221*H341,2)</ns0:f>
        <ns0:v>723.58</ns0:v>
      </ns0:c>
      <ns0:c r="I21" s="8">
        <ns0:f>ROUND(I221*I341,2)</ns0:f>
        <ns0:v>834.36</ns0:v>
      </ns0:c>
      <ns0:c r="J21" s="8">
        <ns0:f>ROUND(J221*J341,2)</ns0:f>
        <ns0:v>882.54</ns0:v>
      </ns0:c>
      <ns0:c r="K21" s="8">
        <ns0:f>ROUND(K221*K341,2)</ns0:f>
        <ns0:v>759.05</ns0:v>
      </ns0:c>
      <ns0:c r="L21" s="8">
        <ns0:f>ROUND(L221*L341,2)</ns0:f>
        <ns0:v>774.41</ns0:v>
      </ns0:c>
      <ns0:c r="M21" s="8">
        <ns0:f>ROUND(M221*M341,2)</ns0:f>
        <ns0:v>791.20</ns0:v>
      </ns0:c>
      <ns0:c r="N21" s="8">
        <ns0:f>ROUND(N221*N341,2)</ns0:f>
        <ns0:v>890.23</ns0:v>
      </ns0:c>
      <ns0:c r="O21" s="8">
        <ns0:f>SUM(C21:N21)</ns0:f>
        <ns0:v>9638.85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602.14</ns0:v>
      </ns0:c>
      <ns0:c r="D22" s="8">
        <ns0:f>ROUND(D222*D342,2)</ns0:f>
        <ns0:v>618.62</ns0:v>
      </ns0:c>
      <ns0:c r="E22" s="8">
        <ns0:f>ROUND(E222*E342,2)</ns0:f>
        <ns0:v>639.60</ns0:v>
      </ns0:c>
      <ns0:c r="F22" s="8">
        <ns0:f>ROUND(F222*F342,2)</ns0:f>
        <ns0:v>616.93</ns0:v>
      </ns0:c>
      <ns0:c r="G22" s="8">
        <ns0:f>ROUND(G222*G342,2)</ns0:f>
        <ns0:v>536.84</ns0:v>
      </ns0:c>
      <ns0:c r="H22" s="8">
        <ns0:f>ROUND(H222*H342,2)</ns0:f>
        <ns0:v>655.62</ns0:v>
      </ns0:c>
      <ns0:c r="I22" s="8">
        <ns0:f>ROUND(I222*I342,2)</ns0:f>
        <ns0:v>589.48</ns0:v>
      </ns0:c>
      <ns0:c r="J22" s="8">
        <ns0:f>ROUND(J222*J342,2)</ns0:f>
        <ns0:v>665.60</ns0:v>
      </ns0:c>
      <ns0:c r="K22" s="8">
        <ns0:f>ROUND(K222*K342,2)</ns0:f>
        <ns0:v>637.14</ns0:v>
      </ns0:c>
      <ns0:c r="L22" s="8">
        <ns0:f>ROUND(L222*L342,2)</ns0:f>
        <ns0:v>573.10</ns0:v>
      </ns0:c>
      <ns0:c r="M22" s="8">
        <ns0:f>ROUND(M222*M342,2)</ns0:f>
        <ns0:v>578.20</ns0:v>
      </ns0:c>
      <ns0:c r="N22" s="8">
        <ns0:f>ROUND(N222*N342,2)</ns0:f>
        <ns0:v>534.63</ns0:v>
      </ns0:c>
      <ns0:c r="O22" s="8">
        <ns0:f>SUM(C22:N22)</ns0:f>
        <ns0:v>7247.90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352.80</ns0:v>
      </ns0:c>
      <ns0:c r="D23" s="8">
        <ns0:f>ROUND(D223*D343,2)</ns0:f>
        <ns0:v>421.82</ns0:v>
      </ns0:c>
      <ns0:c r="E23" s="8">
        <ns0:f>ROUND(E223*E343,2)</ns0:f>
        <ns0:v>426.22</ns0:v>
      </ns0:c>
      <ns0:c r="F23" s="8">
        <ns0:f>ROUND(F223*F343,2)</ns0:f>
        <ns0:v>427.13</ns0:v>
      </ns0:c>
      <ns0:c r="G23" s="8">
        <ns0:f>ROUND(G223*G343,2)</ns0:f>
        <ns0:v>434.46</ns0:v>
      </ns0:c>
      <ns0:c r="H23" s="8">
        <ns0:f>ROUND(H223*H343,2)</ns0:f>
        <ns0:v>366.14</ns0:v>
      </ns0:c>
      <ns0:c r="I23" s="8">
        <ns0:f>ROUND(I223*I343,2)</ns0:f>
        <ns0:v>365.57</ns0:v>
      </ns0:c>
      <ns0:c r="J23" s="8">
        <ns0:f>ROUND(J223*J343,2)</ns0:f>
        <ns0:v>354.20</ns0:v>
      </ns0:c>
      <ns0:c r="K23" s="8">
        <ns0:f>ROUND(K223*K343,2)</ns0:f>
        <ns0:v>366.12</ns0:v>
      </ns0:c>
      <ns0:c r="L23" s="8">
        <ns0:f>ROUND(L223*L343,2)</ns0:f>
        <ns0:v>386.26</ns0:v>
      </ns0:c>
      <ns0:c r="M23" s="8">
        <ns0:f>ROUND(M223*M343,2)</ns0:f>
        <ns0:v>382.06</ns0:v>
      </ns0:c>
      <ns0:c r="N23" s="8">
        <ns0:f>ROUND(N223*N343,2)</ns0:f>
        <ns0:v>355.89</ns0:v>
      </ns0:c>
      <ns0:c r="O23" s="8">
        <ns0:f>SUM(C23:N23)</ns0:f>
        <ns0:v>4638.67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274.70</ns0:v>
      </ns0:c>
      <ns0:c r="D24" s="8">
        <ns0:f>ROUND(D224*D344,2)</ns0:f>
        <ns0:v>266.11</ns0:v>
      </ns0:c>
      <ns0:c r="E24" s="8">
        <ns0:f>ROUND(E224*E344,2)</ns0:f>
        <ns0:v>330.25</ns0:v>
      </ns0:c>
      <ns0:c r="F24" s="8">
        <ns0:f>ROUND(F224*F344,2)</ns0:f>
        <ns0:v>277.64</ns0:v>
      </ns0:c>
      <ns0:c r="G24" s="8">
        <ns0:f>ROUND(G224*G344,2)</ns0:f>
        <ns0:v>329.26</ns0:v>
      </ns0:c>
      <ns0:c r="H24" s="8">
        <ns0:f>ROUND(H224*H344,2)</ns0:f>
        <ns0:v>280.91</ns0:v>
      </ns0:c>
      <ns0:c r="I24" s="8">
        <ns0:f>ROUND(I224*I344,2)</ns0:f>
        <ns0:v>303.29</ns0:v>
      </ns0:c>
      <ns0:c r="J24" s="8">
        <ns0:f>ROUND(J224*J344,2)</ns0:f>
        <ns0:v>288.29</ns0:v>
      </ns0:c>
      <ns0:c r="K24" s="8">
        <ns0:f>ROUND(K224*K344,2)</ns0:f>
        <ns0:v>334.91</ns0:v>
      </ns0:c>
      <ns0:c r="L24" s="8">
        <ns0:f>ROUND(L224*L344,2)</ns0:f>
        <ns0:v>300.61</ns0:v>
      </ns0:c>
      <ns0:c r="M24" s="8">
        <ns0:f>ROUND(M224*M344,2)</ns0:f>
        <ns0:v>272.41</ns0:v>
      </ns0:c>
      <ns0:c r="N24" s="8">
        <ns0:f>ROUND(N224*N344,2)</ns0:f>
        <ns0:v>276.62</ns0:v>
      </ns0:c>
      <ns0:c r="O24" s="8">
        <ns0:f>SUM(C24:N24)</ns0:f>
        <ns0:v>3535.00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686.64</ns0:v>
      </ns0:c>
      <ns0:c r="D25" s="8">
        <ns0:f>ROUND(D225*D345,2)</ns0:f>
        <ns0:v>706.10</ns0:v>
      </ns0:c>
      <ns0:c r="E25" s="8">
        <ns0:f>ROUND(E225*E345,2)</ns0:f>
        <ns0:v>705.75</ns0:v>
      </ns0:c>
      <ns0:c r="F25" s="8">
        <ns0:f>ROUND(F225*F345,2)</ns0:f>
        <ns0:v>707.92</ns0:v>
      </ns0:c>
      <ns0:c r="G25" s="8">
        <ns0:f>ROUND(G225*G345,2)</ns0:f>
        <ns0:v>717.42</ns0:v>
      </ns0:c>
      <ns0:c r="H25" s="8">
        <ns0:f>ROUND(H225*H345,2)</ns0:f>
        <ns0:v>662.13</ns0:v>
      </ns0:c>
      <ns0:c r="I25" s="8">
        <ns0:f>ROUND(I225*I345,2)</ns0:f>
        <ns0:v>779.44</ns0:v>
      </ns0:c>
      <ns0:c r="J25" s="8">
        <ns0:f>ROUND(J225*J345,2)</ns0:f>
        <ns0:v>724.71</ns0:v>
      </ns0:c>
      <ns0:c r="K25" s="8">
        <ns0:f>ROUND(K225*K345,2)</ns0:f>
        <ns0:v>684.18</ns0:v>
      </ns0:c>
      <ns0:c r="L25" s="8">
        <ns0:f>ROUND(L225*L345,2)</ns0:f>
        <ns0:v>779.52</ns0:v>
      </ns0:c>
      <ns0:c r="M25" s="8">
        <ns0:f>ROUND(M225*M345,2)</ns0:f>
        <ns0:v>698.38</ns0:v>
      </ns0:c>
      <ns0:c r="N25" s="8">
        <ns0:f>ROUND(N225*N345,2)</ns0:f>
        <ns0:v>655.34</ns0:v>
      </ns0:c>
      <ns0:c r="O25" s="8">
        <ns0:f>SUM(C25:N25)</ns0:f>
        <ns0:v>8507.53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482.25</ns0:v>
      </ns0:c>
      <ns0:c r="D26" s="8">
        <ns0:f>ROUND(D226*D346,2)</ns0:f>
        <ns0:v>504.18</ns0:v>
      </ns0:c>
      <ns0:c r="E26" s="8">
        <ns0:f>ROUND(E226*E346,2)</ns0:f>
        <ns0:v>453.16</ns0:v>
      </ns0:c>
      <ns0:c r="F26" s="8">
        <ns0:f>ROUND(F226*F346,2)</ns0:f>
        <ns0:v>536.96</ns0:v>
      </ns0:c>
      <ns0:c r="G26" s="8">
        <ns0:f>ROUND(G226*G346,2)</ns0:f>
        <ns0:v>558.21</ns0:v>
      </ns0:c>
      <ns0:c r="H26" s="8">
        <ns0:f>ROUND(H226*H346,2)</ns0:f>
        <ns0:v>469.72</ns0:v>
      </ns0:c>
      <ns0:c r="I26" s="8">
        <ns0:f>ROUND(I226*I346,2)</ns0:f>
        <ns0:v>502.68</ns0:v>
      </ns0:c>
      <ns0:c r="J26" s="8">
        <ns0:f>ROUND(J226*J346,2)</ns0:f>
        <ns0:v>539.24</ns0:v>
      </ns0:c>
      <ns0:c r="K26" s="8">
        <ns0:f>ROUND(K226*K346,2)</ns0:f>
        <ns0:v>546.65</ns0:v>
      </ns0:c>
      <ns0:c r="L26" s="8">
        <ns0:f>ROUND(L226*L346,2)</ns0:f>
        <ns0:v>489.83</ns0:v>
      </ns0:c>
      <ns0:c r="M26" s="8">
        <ns0:f>ROUND(M226*M346,2)</ns0:f>
        <ns0:v>442.06</ns0:v>
      </ns0:c>
      <ns0:c r="N26" s="8">
        <ns0:f>ROUND(N226*N346,2)</ns0:f>
        <ns0:v>559.41</ns0:v>
      </ns0:c>
      <ns0:c r="O26" s="8">
        <ns0:f>SUM(C26:N26)</ns0:f>
        <ns0:v>6084.35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603.61</ns0:v>
      </ns0:c>
      <ns0:c r="D27" s="8">
        <ns0:f>ROUND(D227*D347,2)</ns0:f>
        <ns0:v>567.83</ns0:v>
      </ns0:c>
      <ns0:c r="E27" s="8">
        <ns0:f>ROUND(E227*E347,2)</ns0:f>
        <ns0:v>547.56</ns0:v>
      </ns0:c>
      <ns0:c r="F27" s="8">
        <ns0:f>ROUND(F227*F347,2)</ns0:f>
        <ns0:v>547.61</ns0:v>
      </ns0:c>
      <ns0:c r="G27" s="8">
        <ns0:f>ROUND(G227*G347,2)</ns0:f>
        <ns0:v>647.58</ns0:v>
      </ns0:c>
      <ns0:c r="H27" s="8">
        <ns0:f>ROUND(H227*H347,2)</ns0:f>
        <ns0:v>533.83</ns0:v>
      </ns0:c>
      <ns0:c r="I27" s="8">
        <ns0:f>ROUND(I227*I347,2)</ns0:f>
        <ns0:v>645.73</ns0:v>
      </ns0:c>
      <ns0:c r="J27" s="8">
        <ns0:f>ROUND(J227*J347,2)</ns0:f>
        <ns0:v>603.67</ns0:v>
      </ns0:c>
      <ns0:c r="K27" s="8">
        <ns0:f>ROUND(K227*K347,2)</ns0:f>
        <ns0:v>618.25</ns0:v>
      </ns0:c>
      <ns0:c r="L27" s="8">
        <ns0:f>ROUND(L227*L347,2)</ns0:f>
        <ns0:v>580.80</ns0:v>
      </ns0:c>
      <ns0:c r="M27" s="8">
        <ns0:f>ROUND(M227*M347,2)</ns0:f>
        <ns0:v>627.73</ns0:v>
      </ns0:c>
      <ns0:c r="N27" s="8">
        <ns0:f>ROUND(N227*N347,2)</ns0:f>
        <ns0:v>616.09</ns0:v>
      </ns0:c>
      <ns0:c r="O27" s="8">
        <ns0:f>SUM(C27:N27)</ns0:f>
        <ns0:v>7140.29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383.87</ns0:v>
      </ns0:c>
      <ns0:c r="D28" s="8">
        <ns0:f>ROUND(D228*D348,2)</ns0:f>
        <ns0:v>357.52</ns0:v>
      </ns0:c>
      <ns0:c r="E28" s="8">
        <ns0:f>ROUND(E228*E348,2)</ns0:f>
        <ns0:v>376.30</ns0:v>
      </ns0:c>
      <ns0:c r="F28" s="8">
        <ns0:f>ROUND(F228*F348,2)</ns0:f>
        <ns0:v>354.44</ns0:v>
      </ns0:c>
      <ns0:c r="G28" s="8">
        <ns0:f>ROUND(G228*G348,2)</ns0:f>
        <ns0:v>358.70</ns0:v>
      </ns0:c>
      <ns0:c r="H28" s="8">
        <ns0:f>ROUND(H228*H348,2)</ns0:f>
        <ns0:v>385.51</ns0:v>
      </ns0:c>
      <ns0:c r="I28" s="8">
        <ns0:f>ROUND(I228*I348,2)</ns0:f>
        <ns0:v>317.22</ns0:v>
      </ns0:c>
      <ns0:c r="J28" s="8">
        <ns0:f>ROUND(J228*J348,2)</ns0:f>
        <ns0:v>351.11</ns0:v>
      </ns0:c>
      <ns0:c r="K28" s="8">
        <ns0:f>ROUND(K228*K348,2)</ns0:f>
        <ns0:v>319.52</ns0:v>
      </ns0:c>
      <ns0:c r="L28" s="8">
        <ns0:f>ROUND(L228*L348,2)</ns0:f>
        <ns0:v>362.20</ns0:v>
      </ns0:c>
      <ns0:c r="M28" s="8">
        <ns0:f>ROUND(M228*M348,2)</ns0:f>
        <ns0:v>323.65</ns0:v>
      </ns0:c>
      <ns0:c r="N28" s="8">
        <ns0:f>ROUND(N228*N348,2)</ns0:f>
        <ns0:v>389.30</ns0:v>
      </ns0:c>
      <ns0:c r="O28" s="8">
        <ns0:f>SUM(C28:N28)</ns0:f>
        <ns0:v>4279.34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132.78</ns0:v>
      </ns0:c>
      <ns0:c r="D31" s="8">
        <ns0:f>ROUND(D231*D351,2)</ns0:f>
        <ns0:v>134.15</ns0:v>
      </ns0:c>
      <ns0:c r="E31" s="8">
        <ns0:f>ROUND(E231*E351,2)</ns0:f>
        <ns0:v>111.70</ns0:v>
      </ns0:c>
      <ns0:c r="F31" s="8">
        <ns0:f>ROUND(F231*F351,2)</ns0:f>
        <ns0:v>132.93</ns0:v>
      </ns0:c>
      <ns0:c r="G31" s="8">
        <ns0:f>ROUND(G231*G351,2)</ns0:f>
        <ns0:v>129.02</ns0:v>
      </ns0:c>
      <ns0:c r="H31" s="8">
        <ns0:f>ROUND(H231*H351,2)</ns0:f>
        <ns0:v>123.54</ns0:v>
      </ns0:c>
      <ns0:c r="I31" s="8">
        <ns0:f>ROUND(I231*I351,2)</ns0:f>
        <ns0:v>124.65</ns0:v>
      </ns0:c>
      <ns0:c r="J31" s="8">
        <ns0:f>ROUND(J231*J351,2)</ns0:f>
        <ns0:v>128.05</ns0:v>
      </ns0:c>
      <ns0:c r="K31" s="8">
        <ns0:f>ROUND(K231*K351,2)</ns0:f>
        <ns0:v>111.72</ns0:v>
      </ns0:c>
      <ns0:c r="L31" s="8">
        <ns0:f>ROUND(L231*L351,2)</ns0:f>
        <ns0:v>130.60</ns0:v>
      </ns0:c>
      <ns0:c r="M31" s="8">
        <ns0:f>ROUND(M231*M351,2)</ns0:f>
        <ns0:v>110.07</ns0:v>
      </ns0:c>
      <ns0:c r="N31" s="8">
        <ns0:f>ROUND(N231*N351,2)</ns0:f>
        <ns0:v>108.44</ns0:v>
      </ns0:c>
      <ns0:c r="O31" s="8">
        <ns0:f>SUM(C31:N31)</ns0:f>
        <ns0:v>1477.65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186.55</ns0:v>
      </ns0:c>
      <ns0:c r="D32" s="8">
        <ns0:f>ROUND(D232*D352,2)</ns0:f>
        <ns0:v>199.11</ns0:v>
      </ns0:c>
      <ns0:c r="E32" s="8">
        <ns0:f>ROUND(E232*E352,2)</ns0:f>
        <ns0:v>218.92</ns0:v>
      </ns0:c>
      <ns0:c r="F32" s="8">
        <ns0:f>ROUND(F232*F352,2)</ns0:f>
        <ns0:v>189.48</ns0:v>
      </ns0:c>
      <ns0:c r="G32" s="8">
        <ns0:f>ROUND(G232*G352,2)</ns0:f>
        <ns0:v>207.14</ns0:v>
      </ns0:c>
      <ns0:c r="H32" s="8">
        <ns0:f>ROUND(H232*H352,2)</ns0:f>
        <ns0:v>204.47</ns0:v>
      </ns0:c>
      <ns0:c r="I32" s="8">
        <ns0:f>ROUND(I232*I352,2)</ns0:f>
        <ns0:v>193.67</ns0:v>
      </ns0:c>
      <ns0:c r="J32" s="8">
        <ns0:f>ROUND(J232*J352,2)</ns0:f>
        <ns0:v>195.49</ns0:v>
      </ns0:c>
      <ns0:c r="K32" s="8">
        <ns0:f>ROUND(K232*K352,2)</ns0:f>
        <ns0:v>221.35</ns0:v>
      </ns0:c>
      <ns0:c r="L32" s="8">
        <ns0:f>ROUND(L232*L352,2)</ns0:f>
        <ns0:v>211.15</ns0:v>
      </ns0:c>
      <ns0:c r="M32" s="8">
        <ns0:f>ROUND(M232*M352,2)</ns0:f>
        <ns0:v>183.23</ns0:v>
      </ns0:c>
      <ns0:c r="N32" s="8">
        <ns0:f>ROUND(N232*N352,2)</ns0:f>
        <ns0:v>201.00</ns0:v>
      </ns0:c>
      <ns0:c r="O32" s="8">
        <ns0:f>SUM(C32:N32)</ns0:f>
        <ns0:v>2411.56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400.66</ns0:v>
      </ns0:c>
      <ns0:c r="D33" s="8">
        <ns0:f>ROUND(D233*D353,2)</ns0:f>
        <ns0:v>484.59</ns0:v>
      </ns0:c>
      <ns0:c r="E33" s="8">
        <ns0:f>ROUND(E233*E353,2)</ns0:f>
        <ns0:v>400.73</ns0:v>
      </ns0:c>
      <ns0:c r="F33" s="8">
        <ns0:f>ROUND(F233*F353,2)</ns0:f>
        <ns0:v>492.36</ns0:v>
      </ns0:c>
      <ns0:c r="G33" s="8">
        <ns0:f>ROUND(G233*G353,2)</ns0:f>
        <ns0:v>403.48</ns0:v>
      </ns0:c>
      <ns0:c r="H33" s="8">
        <ns0:f>ROUND(H233*H353,2)</ns0:f>
        <ns0:v>417.55</ns0:v>
      </ns0:c>
      <ns0:c r="I33" s="8">
        <ns0:f>ROUND(I233*I353,2)</ns0:f>
        <ns0:v>412.96</ns0:v>
      </ns0:c>
      <ns0:c r="J33" s="8">
        <ns0:f>ROUND(J233*J353,2)</ns0:f>
        <ns0:v>422.36</ns0:v>
      </ns0:c>
      <ns0:c r="K33" s="8">
        <ns0:f>ROUND(K233*K353,2)</ns0:f>
        <ns0:v>459.95</ns0:v>
      </ns0:c>
      <ns0:c r="L33" s="8">
        <ns0:f>ROUND(L233*L353,2)</ns0:f>
        <ns0:v>398.30</ns0:v>
      </ns0:c>
      <ns0:c r="M33" s="8">
        <ns0:f>ROUND(M233*M353,2)</ns0:f>
        <ns0:v>439.01</ns0:v>
      </ns0:c>
      <ns0:c r="N33" s="8">
        <ns0:f>ROUND(N233*N353,2)</ns0:f>
        <ns0:v>486.34</ns0:v>
      </ns0:c>
      <ns0:c r="O33" s="8">
        <ns0:f>SUM(C33:N33)</ns0:f>
        <ns0:v>5218.29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69452.74</ns0:v>
      </ns0:c>
      <ns0:c r="D34" s="8">
        <ns0:f>SUM(D4:D33)</ns0:f>
        <ns0:v>68423.23</ns0:v>
      </ns0:c>
      <ns0:c r="E34" s="8">
        <ns0:f>SUM(E4:E33)</ns0:f>
        <ns0:v>69406.84</ns0:v>
      </ns0:c>
      <ns0:c r="F34" s="8">
        <ns0:f>SUM(F4:F33)</ns0:f>
        <ns0:v>70454.35</ns0:v>
      </ns0:c>
      <ns0:c r="G34" s="8">
        <ns0:f>SUM(G4:G33)</ns0:f>
        <ns0:v>69559.35</ns0:v>
      </ns0:c>
      <ns0:c r="H34" s="8">
        <ns0:f>SUM(H4:H33)</ns0:f>
        <ns0:v>69176.37</ns0:v>
      </ns0:c>
      <ns0:c r="I34" s="8">
        <ns0:f>SUM(I4:I33)</ns0:f>
        <ns0:v>68922.08</ns0:v>
      </ns0:c>
      <ns0:c r="J34" s="8">
        <ns0:f>SUM(J4:J33)</ns0:f>
        <ns0:v>69427.10</ns0:v>
      </ns0:c>
      <ns0:c r="K34" s="8">
        <ns0:f>SUM(K4:K33)</ns0:f>
        <ns0:v>69067.35</ns0:v>
      </ns0:c>
      <ns0:c r="L34" s="8">
        <ns0:f>SUM(L4:L33)</ns0:f>
        <ns0:v>69545.70</ns0:v>
      </ns0:c>
      <ns0:c r="M34" s="8">
        <ns0:f>SUM(M4:M33)</ns0:f>
        <ns0:v>68409.86</ns0:v>
      </ns0:c>
      <ns0:c r="N34" s="8">
        <ns0:f>SUM(N4:N33)</ns0:f>
        <ns0:v>69331.65</ns0:v>
      </ns0:c>
      <ns0:c r="O34" s="8">
        <ns0:f>SUM(C34:N34)</ns0:f>
        <ns0:v>831176.62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5328.98</ns0:v>
      </ns0:c>
      <ns0:c r="D35" s="8">
        <ns0:f>'税金及附加'!D33</ns0:f>
        <ns0:v>3716.79</ns0:v>
      </ns0:c>
      <ns0:c r="E35" s="8">
        <ns0:f>'税金及附加'!E33</ns0:f>
        <ns0:v>5241.68</ns0:v>
      </ns0:c>
      <ns0:c r="F35" s="8">
        <ns0:f>'税金及附加'!F33</ns0:f>
        <ns0:v>4032.20</ns0:v>
      </ns0:c>
      <ns0:c r="G35" s="8">
        <ns0:f>'税金及附加'!G33</ns0:f>
        <ns0:v>3736.08</ns0:v>
      </ns0:c>
      <ns0:c r="H35" s="8">
        <ns0:f>'税金及附加'!H33</ns0:f>
        <ns0:v>3358.57</ns0:v>
      </ns0:c>
      <ns0:c r="I35" s="8">
        <ns0:f>'税金及附加'!I33</ns0:f>
        <ns0:v>5427.26</ns0:v>
      </ns0:c>
      <ns0:c r="J35" s="8">
        <ns0:f>'税金及附加'!J33</ns0:f>
        <ns0:v>5374.45</ns0:v>
      </ns0:c>
      <ns0:c r="K35" s="8">
        <ns0:f>'税金及附加'!K33</ns0:f>
        <ns0:v>3670.29</ns0:v>
      </ns0:c>
      <ns0:c r="L35" s="8">
        <ns0:f>'税金及附加'!L33</ns0:f>
        <ns0:v>4929.60</ns0:v>
      </ns0:c>
      <ns0:c r="M35" s="8">
        <ns0:f>'税金及附加'!M33</ns0:f>
        <ns0:v>4117.66</ns0:v>
      </ns0:c>
      <ns0:c r="N35" s="8">
        <ns0:f>'税金及附加'!N33</ns0:f>
        <ns0:v>4180.62</ns0:v>
      </ns0:c>
      <ns0:c r="O35" s="8">
        <ns0:f>SUM(C35:N35)</ns0:f>
        <ns0:v>53114.18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74781.72</ns0:v>
      </ns0:c>
      <ns0:c r="D36" s="8">
        <ns0:f>D34+D35</ns0:f>
        <ns0:v>72140.02</ns0:v>
      </ns0:c>
      <ns0:c r="E36" s="8">
        <ns0:f>E34+E35</ns0:f>
        <ns0:v>74648.52</ns0:v>
      </ns0:c>
      <ns0:c r="F36" s="8">
        <ns0:f>F34+F35</ns0:f>
        <ns0:v>74486.55</ns0:v>
      </ns0:c>
      <ns0:c r="G36" s="8">
        <ns0:f>G34+G35</ns0:f>
        <ns0:v>73295.43</ns0:v>
      </ns0:c>
      <ns0:c r="H36" s="8">
        <ns0:f>H34+H35</ns0:f>
        <ns0:v>72534.94</ns0:v>
      </ns0:c>
      <ns0:c r="I36" s="8">
        <ns0:f>I34+I35</ns0:f>
        <ns0:v>74349.34</ns0:v>
      </ns0:c>
      <ns0:c r="J36" s="8">
        <ns0:f>J34+J35</ns0:f>
        <ns0:v>74801.55</ns0:v>
      </ns0:c>
      <ns0:c r="K36" s="8">
        <ns0:f>K34+K35</ns0:f>
        <ns0:v>72737.64</ns0:v>
      </ns0:c>
      <ns0:c r="L36" s="8">
        <ns0:f>L34+L35</ns0:f>
        <ns0:v>74475.30</ns0:v>
      </ns0:c>
      <ns0:c r="M36" s="8">
        <ns0:f>M34+M35</ns0:f>
        <ns0:v>72527.52</ns0:v>
      </ns0:c>
      <ns0:c r="N36" s="8">
        <ns0:f>N34+N35</ns0:f>
        <ns0:v>73512.27</ns0:v>
      </ns0:c>
      <ns0:c r="O36" s="8">
        <ns0:f>SUM(C36:N36)</ns0:f>
        <ns0:v>884290.80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3531.11</ns0:v>
      </ns0:c>
      <ns0:c r="D204" s="4">
        <ns0:v>3442.98</ns0:v>
      </ns0:c>
      <ns0:c r="E204" s="4">
        <ns0:v>3690.49</ns0:v>
      </ns0:c>
      <ns0:c r="F204" s="4">
        <ns0:v>3655.54</ns0:v>
      </ns0:c>
      <ns0:c r="G204" s="4">
        <ns0:v>3671.85</ns0:v>
      </ns0:c>
      <ns0:c r="H204" s="4">
        <ns0:v>3741.48</ns0:v>
      </ns0:c>
      <ns0:c r="I204" s="4">
        <ns0:v>3563.09</ns0:v>
      </ns0:c>
      <ns0:c r="J204" s="4">
        <ns0:v>3716.72</ns0:v>
      </ns0:c>
      <ns0:c r="K204" s="4">
        <ns0:v>3494.32</ns0:v>
      </ns0:c>
      <ns0:c r="L204" s="4">
        <ns0:v>3468.44</ns0:v>
      </ns0:c>
      <ns0:c r="M204" s="4">
        <ns0:v>3393.04</ns0:v>
      </ns0:c>
      <ns0:c r="N204" s="4">
        <ns0:v>3502.71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278.70</ns0:v>
      </ns0:c>
      <ns0:c r="D205" s="4">
        <ns0:v>264.08</ns0:v>
      </ns0:c>
      <ns0:c r="E205" s="4">
        <ns0:v>265.88</ns0:v>
      </ns0:c>
      <ns0:c r="F205" s="4">
        <ns0:v>262.02</ns0:v>
      </ns0:c>
      <ns0:c r="G205" s="4">
        <ns0:v>272.68</ns0:v>
      </ns0:c>
      <ns0:c r="H205" s="4">
        <ns0:v>274.09</ns0:v>
      </ns0:c>
      <ns0:c r="I205" s="4">
        <ns0:v>268.88</ns0:v>
      </ns0:c>
      <ns0:c r="J205" s="4">
        <ns0:v>273.31</ns0:v>
      </ns0:c>
      <ns0:c r="K205" s="4">
        <ns0:v>257.05</ns0:v>
      </ns0:c>
      <ns0:c r="L205" s="4">
        <ns0:v>260.93</ns0:v>
      </ns0:c>
      <ns0:c r="M205" s="4">
        <ns0:v>275.32</ns0:v>
      </ns0:c>
      <ns0:c r="N205" s="4">
        <ns0:v>261.99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97.22</ns0:v>
      </ns0:c>
      <ns0:c r="D206" s="4">
        <ns0:v>104.41</ns0:v>
      </ns0:c>
      <ns0:c r="E206" s="4">
        <ns0:v>99.12</ns0:v>
      </ns0:c>
      <ns0:c r="F206" s="4">
        <ns0:v>88.02</ns0:v>
      </ns0:c>
      <ns0:c r="G206" s="4">
        <ns0:v>102.27</ns0:v>
      </ns0:c>
      <ns0:c r="H206" s="4">
        <ns0:v>101.23</ns0:v>
      </ns0:c>
      <ns0:c r="I206" s="4">
        <ns0:v>91.90</ns0:v>
      </ns0:c>
      <ns0:c r="J206" s="4">
        <ns0:v>107.44</ns0:v>
      </ns0:c>
      <ns0:c r="K206" s="4">
        <ns0:v>108.63</ns0:v>
      </ns0:c>
      <ns0:c r="L206" s="4">
        <ns0:v>110.41</ns0:v>
      </ns0:c>
      <ns0:c r="M206" s="4">
        <ns0:v>87.94</ns0:v>
      </ns0:c>
      <ns0:c r="N206" s="4">
        <ns0:v>88.83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1188.47</ns0:v>
      </ns0:c>
      <ns0:c r="D207" s="4">
        <ns0:v>1114.88</ns0:v>
      </ns0:c>
      <ns0:c r="E207" s="4">
        <ns0:v>1166.39</ns0:v>
      </ns0:c>
      <ns0:c r="F207" s="4">
        <ns0:v>1205.25</ns0:v>
      </ns0:c>
      <ns0:c r="G207" s="4">
        <ns0:v>1132.29</ns0:v>
      </ns0:c>
      <ns0:c r="H207" s="4">
        <ns0:v>1186.61</ns0:v>
      </ns0:c>
      <ns0:c r="I207" s="4">
        <ns0:v>1130.60</ns0:v>
      </ns0:c>
      <ns0:c r="J207" s="4">
        <ns0:v>1206.11</ns0:v>
      </ns0:c>
      <ns0:c r="K207" s="4">
        <ns0:v>1112.30</ns0:v>
      </ns0:c>
      <ns0:c r="L207" s="4">
        <ns0:v>1195.12</ns0:v>
      </ns0:c>
      <ns0:c r="M207" s="4">
        <ns0:v>1182.00</ns0:v>
      </ns0:c>
      <ns0:c r="N207" s="4">
        <ns0:v>1153.41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259.50</ns0:v>
      </ns0:c>
      <ns0:c r="D208" s="4">
        <ns0:v>213.53</ns0:v>
      </ns0:c>
      <ns0:c r="E208" s="4">
        <ns0:v>231.74</ns0:v>
      </ns0:c>
      <ns0:c r="F208" s="4">
        <ns0:v>251.76</ns0:v>
      </ns0:c>
      <ns0:c r="G208" s="4">
        <ns0:v>238.23</ns0:v>
      </ns0:c>
      <ns0:c r="H208" s="4">
        <ns0:v>223.14</ns0:v>
      </ns0:c>
      <ns0:c r="I208" s="4">
        <ns0:v>218.04</ns0:v>
      </ns0:c>
      <ns0:c r="J208" s="4">
        <ns0:v>225.83</ns0:v>
      </ns0:c>
      <ns0:c r="K208" s="4">
        <ns0:v>255.25</ns0:v>
      </ns0:c>
      <ns0:c r="L208" s="4">
        <ns0:v>225.59</ns0:v>
      </ns0:c>
      <ns0:c r="M208" s="4">
        <ns0:v>214.63</ns0:v>
      </ns0:c>
      <ns0:c r="N208" s="4">
        <ns0:v>252.46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468.44</ns0:v>
      </ns0:c>
      <ns0:c r="D209" s="4">
        <ns0:v>471.64</ns0:v>
      </ns0:c>
      <ns0:c r="E209" s="4">
        <ns0:v>453.31</ns0:v>
      </ns0:c>
      <ns0:c r="F209" s="4">
        <ns0:v>455.48</ns0:v>
      </ns0:c>
      <ns0:c r="G209" s="4">
        <ns0:v>439.02</ns0:v>
      </ns0:c>
      <ns0:c r="H209" s="4">
        <ns0:v>512.63</ns0:v>
      </ns0:c>
      <ns0:c r="I209" s="4">
        <ns0:v>456.80</ns0:v>
      </ns0:c>
      <ns0:c r="J209" s="4">
        <ns0:v>518.88</ns0:v>
      </ns0:c>
      <ns0:c r="K209" s="4">
        <ns0:v>430.27</ns0:v>
      </ns0:c>
      <ns0:c r="L209" s="4">
        <ns0:v>455.67</ns0:v>
      </ns0:c>
      <ns0:c r="M209" s="4">
        <ns0:v>521.63</ns0:v>
      </ns0:c>
      <ns0:c r="N209" s="4">
        <ns0:v>461.86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285.12</ns0:v>
      </ns0:c>
      <ns0:c r="D210" s="4">
        <ns0:v>281.64</ns0:v>
      </ns0:c>
      <ns0:c r="E210" s="4">
        <ns0:v>224.09</ns0:v>
      </ns0:c>
      <ns0:c r="F210" s="4">
        <ns0:v>272.14</ns0:v>
      </ns0:c>
      <ns0:c r="G210" s="4">
        <ns0:v>260.90</ns0:v>
      </ns0:c>
      <ns0:c r="H210" s="4">
        <ns0:v>284.00</ns0:v>
      </ns0:c>
      <ns0:c r="I210" s="4">
        <ns0:v>221.10</ns0:v>
      </ns0:c>
      <ns0:c r="J210" s="4">
        <ns0:v>230.99</ns0:v>
      </ns0:c>
      <ns0:c r="K210" s="4">
        <ns0:v>244.35</ns0:v>
      </ns0:c>
      <ns0:c r="L210" s="4">
        <ns0:v>228.60</ns0:v>
      </ns0:c>
      <ns0:c r="M210" s="4">
        <ns0:v>245.15</ns0:v>
      </ns0:c>
      <ns0:c r="N210" s="4">
        <ns0:v>287.25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1201.24</ns0:v>
      </ns0:c>
      <ns0:c r="D211" s="4">
        <ns0:v>1087.69</ns0:v>
      </ns0:c>
      <ns0:c r="E211" s="4">
        <ns0:v>1162.92</ns0:v>
      </ns0:c>
      <ns0:c r="F211" s="4">
        <ns0:v>1286.68</ns0:v>
      </ns0:c>
      <ns0:c r="G211" s="4">
        <ns0:v>1056.36</ns0:v>
      </ns0:c>
      <ns0:c r="H211" s="4">
        <ns0:v>1044.59</ns0:v>
      </ns0:c>
      <ns0:c r="I211" s="4">
        <ns0:v>1018.07</ns0:v>
      </ns0:c>
      <ns0:c r="J211" s="4">
        <ns0:v>1057.39</ns0:v>
      </ns0:c>
      <ns0:c r="K211" s="4">
        <ns0:v>1069.34</ns0:v>
      </ns0:c>
      <ns0:c r="L211" s="4">
        <ns0:v>1111.88</ns0:v>
      </ns0:c>
      <ns0:c r="M211" s="4">
        <ns0:v>1169.12</ns0:v>
      </ns0:c>
      <ns0:c r="N211" s="4">
        <ns0:v>1163.71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239.44</ns0:v>
      </ns0:c>
      <ns0:c r="D212" s="4">
        <ns0:v>269.43</ns0:v>
      </ns0:c>
      <ns0:c r="E212" s="4">
        <ns0:v>245.24</ns0:v>
      </ns0:c>
      <ns0:c r="F212" s="4">
        <ns0:v>285.66</ns0:v>
      </ns0:c>
      <ns0:c r="G212" s="4">
        <ns0:v>240.99</ns0:v>
      </ns0:c>
      <ns0:c r="H212" s="4">
        <ns0:v>242.16</ns0:v>
      </ns0:c>
      <ns0:c r="I212" s="4">
        <ns0:v>296.44</ns0:v>
      </ns0:c>
      <ns0:c r="J212" s="4">
        <ns0:v>239.38</ns0:v>
      </ns0:c>
      <ns0:c r="K212" s="4">
        <ns0:v>289.04</ns0:v>
      </ns0:c>
      <ns0:c r="L212" s="4">
        <ns0:v>278.93</ns0:v>
      </ns0:c>
      <ns0:c r="M212" s="4">
        <ns0:v>265.03</ns0:v>
      </ns0:c>
      <ns0:c r="N212" s="4">
        <ns0:v>256.25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602.29</ns0:v>
      </ns0:c>
      <ns0:c r="D213" s="4">
        <ns0:v>649.28</ns0:v>
      </ns0:c>
      <ns0:c r="E213" s="4">
        <ns0:v>706.20</ns0:v>
      </ns0:c>
      <ns0:c r="F213" s="4">
        <ns0:v>631.32</ns0:v>
      </ns0:c>
      <ns0:c r="G213" s="4">
        <ns0:v>578.57</ns0:v>
      </ns0:c>
      <ns0:c r="H213" s="4">
        <ns0:v>618.24</ns0:v>
      </ns0:c>
      <ns0:c r="I213" s="4">
        <ns0:v>660.08</ns0:v>
      </ns0:c>
      <ns0:c r="J213" s="4">
        <ns0:v>627.74</ns0:v>
      </ns0:c>
      <ns0:c r="K213" s="4">
        <ns0:v>645.80</ns0:v>
      </ns0:c>
      <ns0:c r="L213" s="4">
        <ns0:v>677.65</ns0:v>
      </ns0:c>
      <ns0:c r="M213" s="4">
        <ns0:v>566.79</ns0:v>
      </ns0:c>
      <ns0:c r="N213" s="4">
        <ns0:v>625.05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192.81</ns0:v>
      </ns0:c>
      <ns0:c r="D214" s="4">
        <ns0:v>231.75</ns0:v>
      </ns0:c>
      <ns0:c r="E214" s="4">
        <ns0:v>188.20</ns0:v>
      </ns0:c>
      <ns0:c r="F214" s="4">
        <ns0:v>180.66</ns0:v>
      </ns0:c>
      <ns0:c r="G214" s="4">
        <ns0:v>214.21</ns0:v>
      </ns0:c>
      <ns0:c r="H214" s="4">
        <ns0:v>205.60</ns0:v>
      </ns0:c>
      <ns0:c r="I214" s="4">
        <ns0:v>192.64</ns0:v>
      </ns0:c>
      <ns0:c r="J214" s="4">
        <ns0:v>207.13</ns0:v>
      </ns0:c>
      <ns0:c r="K214" s="4">
        <ns0:v>189.28</ns0:v>
      </ns0:c>
      <ns0:c r="L214" s="4">
        <ns0:v>208.08</ns0:v>
      </ns0:c>
      <ns0:c r="M214" s="4">
        <ns0:v>194.25</ns0:v>
      </ns0:c>
      <ns0:c r="N214" s="4">
        <ns0:v>190.42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235.38</ns0:v>
      </ns0:c>
      <ns0:c r="D215" s="4">
        <ns0:v>233.48</ns0:v>
      </ns0:c>
      <ns0:c r="E215" s="4">
        <ns0:v>231.63</ns0:v>
      </ns0:c>
      <ns0:c r="F215" s="4">
        <ns0:v>215.73</ns0:v>
      </ns0:c>
      <ns0:c r="G215" s="4">
        <ns0:v>239.11</ns0:v>
      </ns0:c>
      <ns0:c r="H215" s="4">
        <ns0:v>224.47</ns0:v>
      </ns0:c>
      <ns0:c r="I215" s="4">
        <ns0:v>234.70</ns0:v>
      </ns0:c>
      <ns0:c r="J215" s="4">
        <ns0:v>212.40</ns0:v>
      </ns0:c>
      <ns0:c r="K215" s="4">
        <ns0:v>208.90</ns0:v>
      </ns0:c>
      <ns0:c r="L215" s="4">
        <ns0:v>217.61</ns0:v>
      </ns0:c>
      <ns0:c r="M215" s="4">
        <ns0:v>226.23</ns0:v>
      </ns0:c>
      <ns0:c r="N215" s="4">
        <ns0:v>214.60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432.69</ns0:v>
      </ns0:c>
      <ns0:c r="D216" s="4">
        <ns0:v>432.23</ns0:v>
      </ns0:c>
      <ns0:c r="E216" s="4">
        <ns0:v>410.89</ns0:v>
      </ns0:c>
      <ns0:c r="F216" s="4">
        <ns0:v>457.81</ns0:v>
      </ns0:c>
      <ns0:c r="G216" s="4">
        <ns0:v>434.59</ns0:v>
      </ns0:c>
      <ns0:c r="H216" s="4">
        <ns0:v>397.01</ns0:v>
      </ns0:c>
      <ns0:c r="I216" s="4">
        <ns0:v>447.33</ns0:v>
      </ns0:c>
      <ns0:c r="J216" s="4">
        <ns0:v>426.55</ns0:v>
      </ns0:c>
      <ns0:c r="K216" s="4">
        <ns0:v>421.54</ns0:v>
      </ns0:c>
      <ns0:c r="L216" s="4">
        <ns0:v>386.63</ns0:v>
      </ns0:c>
      <ns0:c r="M216" s="4">
        <ns0:v>444.12</ns0:v>
      </ns0:c>
      <ns0:c r="N216" s="4">
        <ns0:v>395.74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1037.60</ns0:v>
      </ns0:c>
      <ns0:c r="D217" s="4">
        <ns0:v>837.41</ns0:v>
      </ns0:c>
      <ns0:c r="E217" s="4">
        <ns0:v>714.08</ns0:v>
      </ns0:c>
      <ns0:c r="F217" s="4">
        <ns0:v>1008.09</ns0:v>
      </ns0:c>
      <ns0:c r="G217" s="4">
        <ns0:v>961.57</ns0:v>
      </ns0:c>
      <ns0:c r="H217" s="4">
        <ns0:v>993.36</ns0:v>
      </ns0:c>
      <ns0:c r="I217" s="4">
        <ns0:v>828.27</ns0:v>
      </ns0:c>
      <ns0:c r="J217" s="4">
        <ns0:v>919.57</ns0:v>
      </ns0:c>
      <ns0:c r="K217" s="4">
        <ns0:v>821.74</ns0:v>
      </ns0:c>
      <ns0:c r="L217" s="4">
        <ns0:v>862.60</ns0:v>
      </ns0:c>
      <ns0:c r="M217" s="4">
        <ns0:v>966.48</ns0:v>
      </ns0:c>
      <ns0:c r="N217" s="4">
        <ns0:v>832.32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100.65</ns0:v>
      </ns0:c>
      <ns0:c r="D218" s="4">
        <ns0:v>106.31</ns0:v>
      </ns0:c>
      <ns0:c r="E218" s="4">
        <ns0:v>96.46</ns0:v>
      </ns0:c>
      <ns0:c r="F218" s="4">
        <ns0:v>97.46</ns0:v>
      </ns0:c>
      <ns0:c r="G218" s="4">
        <ns0:v>97.16</ns0:v>
      </ns0:c>
      <ns0:c r="H218" s="4">
        <ns0:v>104.71</ns0:v>
      </ns0:c>
      <ns0:c r="I218" s="4">
        <ns0:v>102.85</ns0:v>
      </ns0:c>
      <ns0:c r="J218" s="4">
        <ns0:v>108.37</ns0:v>
      </ns0:c>
      <ns0:c r="K218" s="4">
        <ns0:v>95.30</ns0:v>
      </ns0:c>
      <ns0:c r="L218" s="4">
        <ns0:v>93.40</ns0:v>
      </ns0:c>
      <ns0:c r="M218" s="4">
        <ns0:v>94.63</ns0:v>
      </ns0:c>
      <ns0:c r="N218" s="4">
        <ns0:v>109.01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111.04</ns0:v>
      </ns0:c>
      <ns0:c r="D219" s="4">
        <ns0:v>89.10</ns0:v>
      </ns0:c>
      <ns0:c r="E219" s="4">
        <ns0:v>102.64</ns0:v>
      </ns0:c>
      <ns0:c r="F219" s="4">
        <ns0:v>100.45</ns0:v>
      </ns0:c>
      <ns0:c r="G219" s="4">
        <ns0:v>90.65</ns0:v>
      </ns0:c>
      <ns0:c r="H219" s="4">
        <ns0:v>96.50</ns0:v>
      </ns0:c>
      <ns0:c r="I219" s="4">
        <ns0:v>90.23</ns0:v>
      </ns0:c>
      <ns0:c r="J219" s="4">
        <ns0:v>89.27</ns0:v>
      </ns0:c>
      <ns0:c r="K219" s="4">
        <ns0:v>97.89</ns0:v>
      </ns0:c>
      <ns0:c r="L219" s="4">
        <ns0:v>115.73</ns0:v>
      </ns0:c>
      <ns0:c r="M219" s="4">
        <ns0:v>102.38</ns0:v>
      </ns0:c>
      <ns0:c r="N219" s="4">
        <ns0:v>101.66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104.47</ns0:v>
      </ns0:c>
      <ns0:c r="D221" s="4">
        <ns0:v>91.57</ns0:v>
      </ns0:c>
      <ns0:c r="E221" s="4">
        <ns0:v>101.35</ns0:v>
      </ns0:c>
      <ns0:c r="F221" s="4">
        <ns0:v>101.75</ns0:v>
      </ns0:c>
      <ns0:c r="G221" s="4">
        <ns0:v>89.47</ns0:v>
      </ns0:c>
      <ns0:c r="H221" s="4">
        <ns0:v>93.85</ns0:v>
      </ns0:c>
      <ns0:c r="I221" s="4">
        <ns0:v>107.52</ns0:v>
      </ns0:c>
      <ns0:c r="J221" s="4">
        <ns0:v>108.42</ns0:v>
      </ns0:c>
      <ns0:c r="K221" s="4">
        <ns0:v>92.23</ns0:v>
      </ns0:c>
      <ns0:c r="L221" s="4">
        <ns0:v>95.02</ns0:v>
      </ns0:c>
      <ns0:c r="M221" s="4">
        <ns0:v>98.53</ns0:v>
      </ns0:c>
      <ns0:c r="N221" s="4">
        <ns0:v>108.83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97.12</ns0:v>
      </ns0:c>
      <ns0:c r="D222" s="4">
        <ns0:v>106.11</ns0:v>
      </ns0:c>
      <ns0:c r="E222" s="4">
        <ns0:v>108.59</ns0:v>
      </ns0:c>
      <ns0:c r="F222" s="4">
        <ns0:v>102.31</ns0:v>
      </ns0:c>
      <ns0:c r="G222" s="4">
        <ns0:v>93.04</ns0:v>
      </ns0:c>
      <ns0:c r="H222" s="4">
        <ns0:v>111.50</ns0:v>
      </ns0:c>
      <ns0:c r="I222" s="4">
        <ns0:v>96.32</ns0:v>
      </ns0:c>
      <ns0:c r="J222" s="4">
        <ns0:v>104.49</ns0:v>
      </ns0:c>
      <ns0:c r="K222" s="4">
        <ns0:v>107.99</ns0:v>
      </ns0:c>
      <ns0:c r="L222" s="4">
        <ns0:v>98.64</ns0:v>
      </ns0:c>
      <ns0:c r="M222" s="4">
        <ns0:v>97.34</ns0:v>
      </ns0:c>
      <ns0:c r="N222" s="4">
        <ns0:v>86.23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90.23</ns0:v>
      </ns0:c>
      <ns0:c r="D223" s="4">
        <ns0:v>104.41</ns0:v>
      </ns0:c>
      <ns0:c r="E223" s="4">
        <ns0:v>108.73</ns0:v>
      </ns0:c>
      <ns0:c r="F223" s="4">
        <ns0:v>107.05</ns0:v>
      </ns0:c>
      <ns0:c r="G223" s="4">
        <ns0:v>109.99</ns0:v>
      </ns0:c>
      <ns0:c r="H223" s="4">
        <ns0:v>92.93</ns0:v>
      </ns0:c>
      <ns0:c r="I223" s="4">
        <ns0:v>92.55</ns0:v>
      </ns0:c>
      <ns0:c r="J223" s="4">
        <ns0:v>86.39</ns0:v>
      </ns0:c>
      <ns0:c r="K223" s="4">
        <ns0:v>91.76</ns0:v>
      </ns0:c>
      <ns0:c r="L223" s="4">
        <ns0:v>93.30</ns0:v>
      </ns0:c>
      <ns0:c r="M223" s="4">
        <ns0:v>98.98</ns0:v>
      </ns0:c>
      <ns0:c r="N223" s="4">
        <ns0:v>86.38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89.48</ns0:v>
      </ns0:c>
      <ns0:c r="D224" s="4">
        <ns0:v>89.60</ns0:v>
      </ns0:c>
      <ns0:c r="E224" s="4">
        <ns0:v>114.67</ns0:v>
      </ns0:c>
      <ns0:c r="F224" s="4">
        <ns0:v>93.48</ns0:v>
      </ns0:c>
      <ns0:c r="G224" s="4">
        <ns0:v>113.93</ns0:v>
      </ns0:c>
      <ns0:c r="H224" s="4">
        <ns0:v>92.71</ns0:v>
      </ns0:c>
      <ns0:c r="I224" s="4">
        <ns0:v>103.16</ns0:v>
      </ns0:c>
      <ns0:c r="J224" s="4">
        <ns0:v>93.60</ns0:v>
      </ns0:c>
      <ns0:c r="K224" s="4">
        <ns0:v>110.53</ns0:v>
      </ns0:c>
      <ns0:c r="L224" s="4">
        <ns0:v>96.66</ns0:v>
      </ns0:c>
      <ns0:c r="M224" s="4">
        <ns0:v>89.61</ns0:v>
      </ns0:c>
      <ns0:c r="N224" s="4">
        <ns0:v>94.41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223.66</ns0:v>
      </ns0:c>
      <ns0:c r="D225" s="4">
        <ns0:v>240.99</ns0:v>
      </ns0:c>
      <ns0:c r="E225" s="4">
        <ns0:v>226.93</ns0:v>
      </ns0:c>
      <ns0:c r="F225" s="4">
        <ns0:v>232.87</ns0:v>
      </ns0:c>
      <ns0:c r="G225" s="4">
        <ns0:v>244.02</ns0:v>
      </ns0:c>
      <ns0:c r="H225" s="4">
        <ns0:v>229.11</ns0:v>
      </ns0:c>
      <ns0:c r="I225" s="4">
        <ns0:v>254.72</ns0:v>
      </ns0:c>
      <ns0:c r="J225" s="4">
        <ns0:v>238.39</ns0:v>
      </ns0:c>
      <ns0:c r="K225" s="4">
        <ns0:v>222.86</ns0:v>
      </ns0:c>
      <ns0:c r="L225" s="4">
        <ns0:v>263.35</ns0:v>
      </ns0:c>
      <ns0:c r="M225" s="4">
        <ns0:v>224.56</ns0:v>
      </ns0:c>
      <ns0:c r="N225" s="4">
        <ns0:v>224.43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92.74</ns0:v>
      </ns0:c>
      <ns0:c r="D226" s="4">
        <ns0:v>101.65</ns0:v>
      </ns0:c>
      <ns0:c r="E226" s="4">
        <ns0:v>92.67</ns0:v>
      </ns0:c>
      <ns0:c r="F226" s="4">
        <ns0:v>106.54</ns0:v>
      </ns0:c>
      <ns0:c r="G226" s="4">
        <ns0:v>108.39</ns0:v>
      </ns0:c>
      <ns0:c r="H226" s="4">
        <ns0:v>92.83</ns0:v>
      </ns0:c>
      <ns0:c r="I226" s="4">
        <ns0:v>104.29</ns0:v>
      </ns0:c>
      <ns0:c r="J226" s="4">
        <ns0:v>106.57</ns0:v>
      </ns0:c>
      <ns0:c r="K226" s="4">
        <ns0:v>109.77</ns0:v>
      </ns0:c>
      <ns0:c r="L226" s="4">
        <ns0:v>100.17</ns0:v>
      </ns0:c>
      <ns0:c r="M226" s="4">
        <ns0:v>88.06</ns0:v>
      </ns0:c>
      <ns0:c r="N226" s="4">
        <ns0:v>113.47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303.32</ns0:v>
      </ns0:c>
      <ns0:c r="D227" s="4">
        <ns0:v>279.72</ns0:v>
      </ns0:c>
      <ns0:c r="E227" s="4">
        <ns0:v>268.41</ns0:v>
      </ns0:c>
      <ns0:c r="F227" s="4">
        <ns0:v>265.83</ns0:v>
      </ns0:c>
      <ns0:c r="G227" s="4">
        <ns0:v>330.40</ns0:v>
      </ns0:c>
      <ns0:c r="H227" s="4">
        <ns0:v>272.36</ns0:v>
      </ns0:c>
      <ns0:c r="I227" s="4">
        <ns0:v>272.46</ns0:v>
      </ns0:c>
      <ns0:c r="J227" s="4">
        <ns0:v>312.78</ns0:v>
      </ns0:c>
      <ns0:c r="K227" s="4">
        <ns0:v>317.05</ns0:v>
      </ns0:c>
      <ns0:c r="L227" s="4">
        <ns0:v>299.38</ns0:v>
      </ns0:c>
      <ns0:c r="M227" s="4">
        <ns0:v>315.44</ns0:v>
      </ns0:c>
      <ns0:c r="N227" s="4">
        <ns0:v>300.53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34.49</ns0:v>
      </ns0:c>
      <ns0:c r="D228" s="4">
        <ns0:v>33.76</ns0:v>
      </ns0:c>
      <ns0:c r="E228" s="4">
        <ns0:v>33.33</ns0:v>
      </ns0:c>
      <ns0:c r="F228" s="4">
        <ns0:v>31.59</ns0:v>
      </ns0:c>
      <ns0:c r="G228" s="4">
        <ns0:v>32.52</ns0:v>
      </ns0:c>
      <ns0:c r="H228" s="4">
        <ns0:v>35.40</ns0:v>
      </ns0:c>
      <ns0:c r="I228" s="4">
        <ns0:v>27.90</ns0:v>
      </ns0:c>
      <ns0:c r="J228" s="4">
        <ns0:v>32.42</ns0:v>
      </ns0:c>
      <ns0:c r="K228" s="4">
        <ns0:v>29.89</ns0:v>
      </ns0:c>
      <ns0:c r="L228" s="4">
        <ns0:v>32.66</ns0:v>
      </ns0:c>
      <ns0:c r="M228" s="4">
        <ns0:v>29.94</ns0:v>
      </ns0:c>
      <ns0:c r="N228" s="4">
        <ns0:v>35.65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68.80</ns0:v>
      </ns0:c>
      <ns0:c r="D231" s="4">
        <ns0:v>65.76</ns0:v>
      </ns0:c>
      <ns0:c r="E231" s="4">
        <ns0:v>56.70</ns0:v>
      </ns0:c>
      <ns0:c r="F231" s="4">
        <ns0:v>65.16</ns0:v>
      </ns0:c>
      <ns0:c r="G231" s="4">
        <ns0:v>67.20</ns0:v>
      </ns0:c>
      <ns0:c r="H231" s="4">
        <ns0:v>62.71</ns0:v>
      </ns0:c>
      <ns0:c r="I231" s="4">
        <ns0:v>64.25</ns0:v>
      </ns0:c>
      <ns0:c r="J231" s="4">
        <ns0:v>62.16</ns0:v>
      </ns0:c>
      <ns0:c r="K231" s="4">
        <ns0:v>55.58</ns0:v>
      </ns0:c>
      <ns0:c r="L231" s="4">
        <ns0:v>65.63</ns0:v>
      </ns0:c>
      <ns0:c r="M231" s="4">
        <ns0:v>57.33</ns0:v>
      </ns0:c>
      <ns0:c r="N231" s="4">
        <ns0:v>54.49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64.55</ns0:v>
      </ns0:c>
      <ns0:c r="D232" s="4">
        <ns0:v>65.93</ns0:v>
      </ns0:c>
      <ns0:c r="E232" s="4">
        <ns0:v>70.62</ns0:v>
      </ns0:c>
      <ns0:c r="F232" s="4">
        <ns0:v>61.92</ns0:v>
      </ns0:c>
      <ns0:c r="G232" s="4">
        <ns0:v>69.98</ns0:v>
      </ns0:c>
      <ns0:c r="H232" s="4">
        <ns0:v>67.04</ns0:v>
      </ns0:c>
      <ns0:c r="I232" s="4">
        <ns0:v>65.65</ns0:v>
      </ns0:c>
      <ns0:c r="J232" s="4">
        <ns0:v>63.47</ns0:v>
      </ns0:c>
      <ns0:c r="K232" s="4">
        <ns0:v>74.78</ns0:v>
      </ns0:c>
      <ns0:c r="L232" s="4">
        <ns0:v>72.81</ns0:v>
      </ns0:c>
      <ns0:c r="M232" s="4">
        <ns0:v>63.40</ns0:v>
      </ns0:c>
      <ns0:c r="N232" s="4">
        <ns0:v>65.05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99.42</ns0:v>
      </ns0:c>
      <ns0:c r="D233" s="4">
        <ns0:v>117.62</ns0:v>
      </ns0:c>
      <ns0:c r="E233" s="4">
        <ns0:v>103.28</ns0:v>
      </ns0:c>
      <ns0:c r="F233" s="4">
        <ns0:v>126.57</ns0:v>
      </ns0:c>
      <ns0:c r="G233" s="4">
        <ns0:v>104.80</ns0:v>
      </ns0:c>
      <ns0:c r="H233" s="4">
        <ns0:v>102.09</ns0:v>
      </ns0:c>
      <ns0:c r="I233" s="4">
        <ns0:v>99.99</ns0:v>
      </ns0:c>
      <ns0:c r="J233" s="4">
        <ns0:v>96.65</ns0:v>
      </ns0:c>
      <ns0:c r="K233" s="4">
        <ns0:v>111.10</ns0:v>
      </ns0:c>
      <ns0:c r="L233" s="4">
        <ns0:v>98.59</ns0:v>
      </ns0:c>
      <ns0:c r="M233" s="4">
        <ns0:v>109.48</ns0:v>
      </ns0:c>
      <ns0:c r="N233" s="4">
        <ns0:v>118.62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8.93</ns0:v>
      </ns0:c>
      <ns0:c r="D324" s="4">
        <ns0:v>9.14</ns0:v>
      </ns0:c>
      <ns0:c r="E324" s="4">
        <ns0:v>8.69</ns0:v>
      </ns0:c>
      <ns0:c r="F324" s="4">
        <ns0:v>8.83</ns0:v>
      </ns0:c>
      <ns0:c r="G324" s="4">
        <ns0:v>8.83</ns0:v>
      </ns0:c>
      <ns0:c r="H324" s="4">
        <ns0:v>8.64</ns0:v>
      </ns0:c>
      <ns0:c r="I324" s="4">
        <ns0:v>9.06</ns0:v>
      </ns0:c>
      <ns0:c r="J324" s="4">
        <ns0:v>8.67</ns0:v>
      </ns0:c>
      <ns0:c r="K324" s="4">
        <ns0:v>9.22</ns0:v>
      </ns0:c>
      <ns0:c r="L324" s="4">
        <ns0:v>9.31</ns0:v>
      </ns0:c>
      <ns0:c r="M324" s="4">
        <ns0:v>9.25</ns0:v>
      </ns0:c>
      <ns0:c r="N324" s="4">
        <ns0:v>9.07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8.67</ns0:v>
      </ns0:c>
      <ns0:c r="D325" s="4">
        <ns0:v>9.12</ns0:v>
      </ns0:c>
      <ns0:c r="E325" s="4">
        <ns0:v>9.17</ns0:v>
      </ns0:c>
      <ns0:c r="F325" s="4">
        <ns0:v>8.99</ns0:v>
      </ns0:c>
      <ns0:c r="G325" s="4">
        <ns0:v>8.79</ns0:v>
      </ns0:c>
      <ns0:c r="H325" s="4">
        <ns0:v>8.68</ns0:v>
      </ns0:c>
      <ns0:c r="I325" s="4">
        <ns0:v>8.90</ns0:v>
      </ns0:c>
      <ns0:c r="J325" s="4">
        <ns0:v>8.64</ns0:v>
      </ns0:c>
      <ns0:c r="K325" s="4">
        <ns0:v>9.32</ns0:v>
      </ns0:c>
      <ns0:c r="L325" s="4">
        <ns0:v>9.07</ns0:v>
      </ns0:c>
      <ns0:c r="M325" s="4">
        <ns0:v>8.86</ns0:v>
      </ns0:c>
      <ns0:c r="N325" s="4">
        <ns0:v>9.33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9.28</ns0:v>
      </ns0:c>
      <ns0:c r="D326" s="4">
        <ns0:v>8.77</ns0:v>
      </ns0:c>
      <ns0:c r="E326" s="4">
        <ns0:v>9.05</ns0:v>
      </ns0:c>
      <ns0:c r="F326" s="4">
        <ns0:v>9.27</ns0:v>
      </ns0:c>
      <ns0:c r="G326" s="4">
        <ns0:v>9.01</ns0:v>
      </ns0:c>
      <ns0:c r="H326" s="4">
        <ns0:v>9.19</ns0:v>
      </ns0:c>
      <ns0:c r="I326" s="4">
        <ns0:v>9.17</ns0:v>
      </ns0:c>
      <ns0:c r="J326" s="4">
        <ns0:v>9.33</ns0:v>
      </ns0:c>
      <ns0:c r="K326" s="4">
        <ns0:v>9.03</ns0:v>
      </ns0:c>
      <ns0:c r="L326" s="4">
        <ns0:v>8.98</ns0:v>
      </ns0:c>
      <ns0:c r="M326" s="4">
        <ns0:v>9.06</ns0:v>
      </ns0:c>
      <ns0:c r="N326" s="4">
        <ns0:v>9.19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8.69</ns0:v>
      </ns0:c>
      <ns0:c r="D327" s="4">
        <ns0:v>9.37</ns0:v>
      </ns0:c>
      <ns0:c r="E327" s="4">
        <ns0:v>8.94</ns0:v>
      </ns0:c>
      <ns0:c r="F327" s="4">
        <ns0:v>8.88</ns0:v>
      </ns0:c>
      <ns0:c r="G327" s="4">
        <ns0:v>9.20</ns0:v>
      </ns0:c>
      <ns0:c r="H327" s="4">
        <ns0:v>8.87</ns0:v>
      </ns0:c>
      <ns0:c r="I327" s="4">
        <ns0:v>9.21</ns0:v>
      </ns0:c>
      <ns0:c r="J327" s="4">
        <ns0:v>8.67</ns0:v>
      </ns0:c>
      <ns0:c r="K327" s="4">
        <ns0:v>9.32</ns0:v>
      </ns0:c>
      <ns0:c r="L327" s="4">
        <ns0:v>8.82</ns0:v>
      </ns0:c>
      <ns0:c r="M327" s="4">
        <ns0:v>8.75</ns0:v>
      </ns0:c>
      <ns0:c r="N327" s="4">
        <ns0:v>9.24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8.90</ns0:v>
      </ns0:c>
      <ns0:c r="D328" s="4">
        <ns0:v>9.09</ns0:v>
      </ns0:c>
      <ns0:c r="E328" s="4">
        <ns0:v>9.06</ns0:v>
      </ns0:c>
      <ns0:c r="F328" s="4">
        <ns0:v>8.93</ns0:v>
      </ns0:c>
      <ns0:c r="G328" s="4">
        <ns0:v>8.69</ns0:v>
      </ns0:c>
      <ns0:c r="H328" s="4">
        <ns0:v>9.24</ns0:v>
      </ns0:c>
      <ns0:c r="I328" s="4">
        <ns0:v>8.67</ns0:v>
      </ns0:c>
      <ns0:c r="J328" s="4">
        <ns0:v>8.78</ns0:v>
      </ns0:c>
      <ns0:c r="K328" s="4">
        <ns0:v>9.11</ns0:v>
      </ns0:c>
      <ns0:c r="L328" s="4">
        <ns0:v>9.35</ns0:v>
      </ns0:c>
      <ns0:c r="M328" s="4">
        <ns0:v>8.98</ns0:v>
      </ns0:c>
      <ns0:c r="N328" s="4">
        <ns0:v>8.75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2.06</ns0:v>
      </ns0:c>
      <ns0:c r="D329" s="4">
        <ns0:v>1.93</ns0:v>
      </ns0:c>
      <ns0:c r="E329" s="4">
        <ns0:v>2.01</ns0:v>
      </ns0:c>
      <ns0:c r="F329" s="4">
        <ns0:v>2.02</ns0:v>
      </ns0:c>
      <ns0:c r="G329" s="4">
        <ns0:v>1.95</ns0:v>
      </ns0:c>
      <ns0:c r="H329" s="4">
        <ns0:v>1.93</ns0:v>
      </ns0:c>
      <ns0:c r="I329" s="4">
        <ns0:v>2.05</ns0:v>
      </ns0:c>
      <ns0:c r="J329" s="4">
        <ns0:v>1.93</ns0:v>
      </ns0:c>
      <ns0:c r="K329" s="4">
        <ns0:v>1.92</ns0:v>
      </ns0:c>
      <ns0:c r="L329" s="4">
        <ns0:v>1.92</ns0:v>
      </ns0:c>
      <ns0:c r="M329" s="4">
        <ns0:v>1.92</ns0:v>
      </ns0:c>
      <ns0:c r="N329" s="4">
        <ns0:v>1.98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2.92</ns0:v>
      </ns0:c>
      <ns0:c r="D330" s="4">
        <ns0:v>3.07</ns0:v>
      </ns0:c>
      <ns0:c r="E330" s="4">
        <ns0:v>3.37</ns0:v>
      </ns0:c>
      <ns0:c r="F330" s="4">
        <ns0:v>2.94</ns0:v>
      </ns0:c>
      <ns0:c r="G330" s="4">
        <ns0:v>3.02</ns0:v>
      </ns0:c>
      <ns0:c r="H330" s="4">
        <ns0:v>3.08</ns0:v>
      </ns0:c>
      <ns0:c r="I330" s="4">
        <ns0:v>3.37</ns0:v>
      </ns0:c>
      <ns0:c r="J330" s="4">
        <ns0:v>3.08</ns0:v>
      </ns0:c>
      <ns0:c r="K330" s="4">
        <ns0:v>3.09</ns0:v>
      </ns0:c>
      <ns0:c r="L330" s="4">
        <ns0:v>3.08</ns0:v>
      </ns0:c>
      <ns0:c r="M330" s="4">
        <ns0:v>2.89</ns0:v>
      </ns0:c>
      <ns0:c r="N330" s="4">
        <ns0:v>2.99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4.12</ns0:v>
      </ns0:c>
      <ns0:c r="D331" s="4">
        <ns0:v>3.92</ns0:v>
      </ns0:c>
      <ns0:c r="E331" s="4">
        <ns0:v>4.13</ns0:v>
      </ns0:c>
      <ns0:c r="F331" s="4">
        <ns0:v>3.88</ns0:v>
      </ns0:c>
      <ns0:c r="G331" s="4">
        <ns0:v>4.15</ns0:v>
      </ns0:c>
      <ns0:c r="H331" s="4">
        <ns0:v>3.94</ns0:v>
      </ns0:c>
      <ns0:c r="I331" s="4">
        <ns0:v>4.04</ns0:v>
      </ns0:c>
      <ns0:c r="J331" s="4">
        <ns0:v>4.06</ns0:v>
      </ns0:c>
      <ns0:c r="K331" s="4">
        <ns0:v>4.01</ns0:v>
      </ns0:c>
      <ns0:c r="L331" s="4">
        <ns0:v>3.98</ns0:v>
      </ns0:c>
      <ns0:c r="M331" s="4">
        <ns0:v>4.08</ns0:v>
      </ns0:c>
      <ns0:c r="N331" s="4">
        <ns0:v>4.08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4.12</ns0:v>
      </ns0:c>
      <ns0:c r="D332" s="4">
        <ns0:v>3.95</ns0:v>
      </ns0:c>
      <ns0:c r="E332" s="4">
        <ns0:v>4.14</ns0:v>
      </ns0:c>
      <ns0:c r="F332" s="4">
        <ns0:v>3.86</ns0:v>
      </ns0:c>
      <ns0:c r="G332" s="4">
        <ns0:v>4.37</ns0:v>
      </ns0:c>
      <ns0:c r="H332" s="4">
        <ns0:v>4.08</ns0:v>
      </ns0:c>
      <ns0:c r="I332" s="4">
        <ns0:v>4.11</ns0:v>
      </ns0:c>
      <ns0:c r="J332" s="4">
        <ns0:v>4.08</ns0:v>
      </ns0:c>
      <ns0:c r="K332" s="4">
        <ns0:v>3.94</ns0:v>
      </ns0:c>
      <ns0:c r="L332" s="4">
        <ns0:v>4.37</ns0:v>
      </ns0:c>
      <ns0:c r="M332" s="4">
        <ns0:v>4.15</ns0:v>
      </ns0:c>
      <ns0:c r="N332" s="4">
        <ns0:v>4.10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1.94</ns0:v>
      </ns0:c>
      <ns0:c r="D333" s="4">
        <ns0:v>1.98</ns0:v>
      </ns0:c>
      <ns0:c r="E333" s="4">
        <ns0:v>2.01</ns0:v>
      </ns0:c>
      <ns0:c r="F333" s="4">
        <ns0:v>1.99</ns0:v>
      </ns0:c>
      <ns0:c r="G333" s="4">
        <ns0:v>1.98</ns0:v>
      </ns0:c>
      <ns0:c r="H333" s="4">
        <ns0:v>2.03</ns0:v>
      </ns0:c>
      <ns0:c r="I333" s="4">
        <ns0:v>1.96</ns0:v>
      </ns0:c>
      <ns0:c r="J333" s="4">
        <ns0:v>2.05</ns0:v>
      </ns0:c>
      <ns0:c r="K333" s="4">
        <ns0:v>1.98</ns0:v>
      </ns0:c>
      <ns0:c r="L333" s="4">
        <ns0:v>2.05</ns0:v>
      </ns0:c>
      <ns0:c r="M333" s="4">
        <ns0:v>2.02</ns0:v>
      </ns0:c>
      <ns0:c r="N333" s="4">
        <ns0:v>1.99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8.05</ns0:v>
      </ns0:c>
      <ns0:c r="D334" s="4">
        <ns0:v>7.70</ns0:v>
      </ns0:c>
      <ns0:c r="E334" s="4">
        <ns0:v>7.84</ns0:v>
      </ns0:c>
      <ns0:c r="F334" s="4">
        <ns0:v>8.07</ns0:v>
      </ns0:c>
      <ns0:c r="G334" s="4">
        <ns0:v>8.09</ns0:v>
      </ns0:c>
      <ns0:c r="H334" s="4">
        <ns0:v>7.74</ns0:v>
      </ns0:c>
      <ns0:c r="I334" s="4">
        <ns0:v>8.05</ns0:v>
      </ns0:c>
      <ns0:c r="J334" s="4">
        <ns0:v>7.93</ns0:v>
      </ns0:c>
      <ns0:c r="K334" s="4">
        <ns0:v>7.81</ns0:v>
      </ns0:c>
      <ns0:c r="L334" s="4">
        <ns0:v>7.94</ns0:v>
      </ns0:c>
      <ns0:c r="M334" s="4">
        <ns0:v>7.74</ns0:v>
      </ns0:c>
      <ns0:c r="N334" s="4">
        <ns0:v>8.09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4.12</ns0:v>
      </ns0:c>
      <ns0:c r="D335" s="4">
        <ns0:v>3.99</ns0:v>
      </ns0:c>
      <ns0:c r="E335" s="4">
        <ns0:v>3.99</ns0:v>
      </ns0:c>
      <ns0:c r="F335" s="4">
        <ns0:v>3.94</ns0:v>
      </ns0:c>
      <ns0:c r="G335" s="4">
        <ns0:v>3.98</ns0:v>
      </ns0:c>
      <ns0:c r="H335" s="4">
        <ns0:v>3.92</ns0:v>
      </ns0:c>
      <ns0:c r="I335" s="4">
        <ns0:v>4.14</ns0:v>
      </ns0:c>
      <ns0:c r="J335" s="4">
        <ns0:v>4.03</ns0:v>
      </ns0:c>
      <ns0:c r="K335" s="4">
        <ns0:v>3.94</ns0:v>
      </ns0:c>
      <ns0:c r="L335" s="4">
        <ns0:v>3.86</ns0:v>
      </ns0:c>
      <ns0:c r="M335" s="4">
        <ns0:v>4.11</ns0:v>
      </ns0:c>
      <ns0:c r="N335" s="4">
        <ns0:v>3.86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3.94</ns0:v>
      </ns0:c>
      <ns0:c r="D336" s="4">
        <ns0:v>3.90</ns0:v>
      </ns0:c>
      <ns0:c r="E336" s="4">
        <ns0:v>4.05</ns0:v>
      </ns0:c>
      <ns0:c r="F336" s="4">
        <ns0:v>3.94</ns0:v>
      </ns0:c>
      <ns0:c r="G336" s="4">
        <ns0:v>4.03</ns0:v>
      </ns0:c>
      <ns0:c r="H336" s="4">
        <ns0:v>4.08</ns0:v>
      </ns0:c>
      <ns0:c r="I336" s="4">
        <ns0:v>3.91</ns0:v>
      </ns0:c>
      <ns0:c r="J336" s="4">
        <ns0:v>4.16</ns0:v>
      </ns0:c>
      <ns0:c r="K336" s="4">
        <ns0:v>3.94</ns0:v>
      </ns0:c>
      <ns0:c r="L336" s="4">
        <ns0:v>4.13</ns0:v>
      </ns0:c>
      <ns0:c r="M336" s="4">
        <ns0:v>4.10</ns0:v>
      </ns0:c>
      <ns0:c r="N336" s="4">
        <ns0:v>4.08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1.94</ns0:v>
      </ns0:c>
      <ns0:c r="D337" s="4">
        <ns0:v>1.99</ns0:v>
      </ns0:c>
      <ns0:c r="E337" s="4">
        <ns0:v>2.37</ns0:v>
      </ns0:c>
      <ns0:c r="F337" s="4">
        <ns0:v>1.99</ns0:v>
      </ns0:c>
      <ns0:c r="G337" s="4">
        <ns0:v>1.95</ns0:v>
      </ns0:c>
      <ns0:c r="H337" s="4">
        <ns0:v>1.98</ns0:v>
      </ns0:c>
      <ns0:c r="I337" s="4">
        <ns0:v>2.03</ns0:v>
      </ns0:c>
      <ns0:c r="J337" s="4">
        <ns0:v>2.07</ns0:v>
      </ns0:c>
      <ns0:c r="K337" s="4">
        <ns0:v>2.07</ns0:v>
      </ns0:c>
      <ns0:c r="L337" s="4">
        <ns0:v>2.05</ns0:v>
      </ns0:c>
      <ns0:c r="M337" s="4">
        <ns0:v>2.02</ns0:v>
      </ns0:c>
      <ns0:c r="N337" s="4">
        <ns0:v>2.04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7.04</ns0:v>
      </ns0:c>
      <ns0:c r="D338" s="4">
        <ns0:v>6.79</ns0:v>
      </ns0:c>
      <ns0:c r="E338" s="4">
        <ns0:v>6.76</ns0:v>
      </ns0:c>
      <ns0:c r="F338" s="4">
        <ns0:v>6.73</ns0:v>
      </ns0:c>
      <ns0:c r="G338" s="4">
        <ns0:v>7.06</ns0:v>
      </ns0:c>
      <ns0:c r="H338" s="4">
        <ns0:v>7.23</ns0:v>
      </ns0:c>
      <ns0:c r="I338" s="4">
        <ns0:v>6.94</ns0:v>
      </ns0:c>
      <ns0:c r="J338" s="4">
        <ns0:v>6.75</ns0:v>
      </ns0:c>
      <ns0:c r="K338" s="4">
        <ns0:v>7.01</ns0:v>
      </ns0:c>
      <ns0:c r="L338" s="4">
        <ns0:v>6.91</ns0:v>
      </ns0:c>
      <ns0:c r="M338" s="4">
        <ns0:v>6.76</ns0:v>
      </ns0:c>
      <ns0:c r="N338" s="4">
        <ns0:v>6.96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4.02</ns0:v>
      </ns0:c>
      <ns0:c r="D339" s="4">
        <ns0:v>4.08</ns0:v>
      </ns0:c>
      <ns0:c r="E339" s="4">
        <ns0:v>4.08</ns0:v>
      </ns0:c>
      <ns0:c r="F339" s="4">
        <ns0:v>3.94</ns0:v>
      </ns0:c>
      <ns0:c r="G339" s="4">
        <ns0:v>4.05</ns0:v>
      </ns0:c>
      <ns0:c r="H339" s="4">
        <ns0:v>4.07</ns0:v>
      </ns0:c>
      <ns0:c r="I339" s="4">
        <ns0:v>3.98</ns0:v>
      </ns0:c>
      <ns0:c r="J339" s="4">
        <ns0:v>4.11</ns0:v>
      </ns0:c>
      <ns0:c r="K339" s="4">
        <ns0:v>4.13</ns0:v>
      </ns0:c>
      <ns0:c r="L339" s="4">
        <ns0:v>3.84</ns0:v>
      </ns0:c>
      <ns0:c r="M339" s="4">
        <ns0:v>3.90</ns0:v>
      </ns0:c>
      <ns0:c r="N339" s="4">
        <ns0:v>3.99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8.25</ns0:v>
      </ns0:c>
      <ns0:c r="D341" s="4">
        <ns0:v>8.09</ns0:v>
      </ns0:c>
      <ns0:c r="E341" s="4">
        <ns0:v>8.22</ns0:v>
      </ns0:c>
      <ns0:c r="F341" s="4">
        <ns0:v>8.15</ns0:v>
      </ns0:c>
      <ns0:c r="G341" s="4">
        <ns0:v>8.03</ns0:v>
      </ns0:c>
      <ns0:c r="H341" s="4">
        <ns0:v>7.71</ns0:v>
      </ns0:c>
      <ns0:c r="I341" s="4">
        <ns0:v>7.76</ns0:v>
      </ns0:c>
      <ns0:c r="J341" s="4">
        <ns0:v>8.14</ns0:v>
      </ns0:c>
      <ns0:c r="K341" s="4">
        <ns0:v>8.23</ns0:v>
      </ns0:c>
      <ns0:c r="L341" s="4">
        <ns0:v>8.15</ns0:v>
      </ns0:c>
      <ns0:c r="M341" s="4">
        <ns0:v>8.03</ns0:v>
      </ns0:c>
      <ns0:c r="N341" s="4">
        <ns0:v>8.18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6.20</ns0:v>
      </ns0:c>
      <ns0:c r="D342" s="4">
        <ns0:v>5.83</ns0:v>
      </ns0:c>
      <ns0:c r="E342" s="4">
        <ns0:v>5.89</ns0:v>
      </ns0:c>
      <ns0:c r="F342" s="4">
        <ns0:v>6.03</ns0:v>
      </ns0:c>
      <ns0:c r="G342" s="4">
        <ns0:v>5.77</ns0:v>
      </ns0:c>
      <ns0:c r="H342" s="4">
        <ns0:v>5.88</ns0:v>
      </ns0:c>
      <ns0:c r="I342" s="4">
        <ns0:v>6.12</ns0:v>
      </ns0:c>
      <ns0:c r="J342" s="4">
        <ns0:v>6.37</ns0:v>
      </ns0:c>
      <ns0:c r="K342" s="4">
        <ns0:v>5.90</ns0:v>
      </ns0:c>
      <ns0:c r="L342" s="4">
        <ns0:v>5.81</ns0:v>
      </ns0:c>
      <ns0:c r="M342" s="4">
        <ns0:v>5.94</ns0:v>
      </ns0:c>
      <ns0:c r="N342" s="4">
        <ns0:v>6.20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3.91</ns0:v>
      </ns0:c>
      <ns0:c r="D343" s="4">
        <ns0:v>4.04</ns0:v>
      </ns0:c>
      <ns0:c r="E343" s="4">
        <ns0:v>3.92</ns0:v>
      </ns0:c>
      <ns0:c r="F343" s="4">
        <ns0:v>3.99</ns0:v>
      </ns0:c>
      <ns0:c r="G343" s="4">
        <ns0:v>3.95</ns0:v>
      </ns0:c>
      <ns0:c r="H343" s="4">
        <ns0:v>3.94</ns0:v>
      </ns0:c>
      <ns0:c r="I343" s="4">
        <ns0:v>3.95</ns0:v>
      </ns0:c>
      <ns0:c r="J343" s="4">
        <ns0:v>4.10</ns0:v>
      </ns0:c>
      <ns0:c r="K343" s="4">
        <ns0:v>3.99</ns0:v>
      </ns0:c>
      <ns0:c r="L343" s="4">
        <ns0:v>4.14</ns0:v>
      </ns0:c>
      <ns0:c r="M343" s="4">
        <ns0:v>3.86</ns0:v>
      </ns0:c>
      <ns0:c r="N343" s="4">
        <ns0:v>4.12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3.07</ns0:v>
      </ns0:c>
      <ns0:c r="D344" s="4">
        <ns0:v>2.97</ns0:v>
      </ns0:c>
      <ns0:c r="E344" s="4">
        <ns0:v>2.88</ns0:v>
      </ns0:c>
      <ns0:c r="F344" s="4">
        <ns0:v>2.97</ns0:v>
      </ns0:c>
      <ns0:c r="G344" s="4">
        <ns0:v>2.89</ns0:v>
      </ns0:c>
      <ns0:c r="H344" s="4">
        <ns0:v>3.03</ns0:v>
      </ns0:c>
      <ns0:c r="I344" s="4">
        <ns0:v>2.94</ns0:v>
      </ns0:c>
      <ns0:c r="J344" s="4">
        <ns0:v>3.08</ns0:v>
      </ns0:c>
      <ns0:c r="K344" s="4">
        <ns0:v>3.03</ns0:v>
      </ns0:c>
      <ns0:c r="L344" s="4">
        <ns0:v>3.11</ns0:v>
      </ns0:c>
      <ns0:c r="M344" s="4">
        <ns0:v>3.04</ns0:v>
      </ns0:c>
      <ns0:c r="N344" s="4">
        <ns0:v>2.93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3.07</ns0:v>
      </ns0:c>
      <ns0:c r="D345" s="4">
        <ns0:v>2.93</ns0:v>
      </ns0:c>
      <ns0:c r="E345" s="4">
        <ns0:v>3.11</ns0:v>
      </ns0:c>
      <ns0:c r="F345" s="4">
        <ns0:v>3.04</ns0:v>
      </ns0:c>
      <ns0:c r="G345" s="4">
        <ns0:v>2.94</ns0:v>
      </ns0:c>
      <ns0:c r="H345" s="4">
        <ns0:v>2.89</ns0:v>
      </ns0:c>
      <ns0:c r="I345" s="4">
        <ns0:v>3.06</ns0:v>
      </ns0:c>
      <ns0:c r="J345" s="4">
        <ns0:v>3.04</ns0:v>
      </ns0:c>
      <ns0:c r="K345" s="4">
        <ns0:v>3.07</ns0:v>
      </ns0:c>
      <ns0:c r="L345" s="4">
        <ns0:v>2.96</ns0:v>
      </ns0:c>
      <ns0:c r="M345" s="4">
        <ns0:v>3.11</ns0:v>
      </ns0:c>
      <ns0:c r="N345" s="4">
        <ns0:v>2.92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5.20</ns0:v>
      </ns0:c>
      <ns0:c r="D346" s="4">
        <ns0:v>4.96</ns0:v>
      </ns0:c>
      <ns0:c r="E346" s="4">
        <ns0:v>4.89</ns0:v>
      </ns0:c>
      <ns0:c r="F346" s="4">
        <ns0:v>5.04</ns0:v>
      </ns0:c>
      <ns0:c r="G346" s="4">
        <ns0:v>5.15</ns0:v>
      </ns0:c>
      <ns0:c r="H346" s="4">
        <ns0:v>5.06</ns0:v>
      </ns0:c>
      <ns0:c r="I346" s="4">
        <ns0:v>4.82</ns0:v>
      </ns0:c>
      <ns0:c r="J346" s="4">
        <ns0:v>5.06</ns0:v>
      </ns0:c>
      <ns0:c r="K346" s="4">
        <ns0:v>4.98</ns0:v>
      </ns0:c>
      <ns0:c r="L346" s="4">
        <ns0:v>4.89</ns0:v>
      </ns0:c>
      <ns0:c r="M346" s="4">
        <ns0:v>5.02</ns0:v>
      </ns0:c>
      <ns0:c r="N346" s="4">
        <ns0:v>4.93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1.99</ns0:v>
      </ns0:c>
      <ns0:c r="D347" s="4">
        <ns0:v>2.03</ns0:v>
      </ns0:c>
      <ns0:c r="E347" s="4">
        <ns0:v>2.04</ns0:v>
      </ns0:c>
      <ns0:c r="F347" s="4">
        <ns0:v>2.06</ns0:v>
      </ns0:c>
      <ns0:c r="G347" s="4">
        <ns0:v>1.96</ns0:v>
      </ns0:c>
      <ns0:c r="H347" s="4">
        <ns0:v>1.96</ns0:v>
      </ns0:c>
      <ns0:c r="I347" s="4">
        <ns0:v>2.37</ns0:v>
      </ns0:c>
      <ns0:c r="J347" s="4">
        <ns0:v>1.93</ns0:v>
      </ns0:c>
      <ns0:c r="K347" s="4">
        <ns0:v>1.95</ns0:v>
      </ns0:c>
      <ns0:c r="L347" s="4">
        <ns0:v>1.94</ns0:v>
      </ns0:c>
      <ns0:c r="M347" s="4">
        <ns0:v>1.99</ns0:v>
      </ns0:c>
      <ns0:c r="N347" s="4">
        <ns0:v>2.05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11.13</ns0:v>
      </ns0:c>
      <ns0:c r="D348" s="4">
        <ns0:v>10.59</ns0:v>
      </ns0:c>
      <ns0:c r="E348" s="4">
        <ns0:v>11.29</ns0:v>
      </ns0:c>
      <ns0:c r="F348" s="4">
        <ns0:v>11.22</ns0:v>
      </ns0:c>
      <ns0:c r="G348" s="4">
        <ns0:v>11.03</ns0:v>
      </ns0:c>
      <ns0:c r="H348" s="4">
        <ns0:v>10.89</ns0:v>
      </ns0:c>
      <ns0:c r="I348" s="4">
        <ns0:v>11.37</ns0:v>
      </ns0:c>
      <ns0:c r="J348" s="4">
        <ns0:v>10.83</ns0:v>
      </ns0:c>
      <ns0:c r="K348" s="4">
        <ns0:v>10.69</ns0:v>
      </ns0:c>
      <ns0:c r="L348" s="4">
        <ns0:v>11.09</ns0:v>
      </ns0:c>
      <ns0:c r="M348" s="4">
        <ns0:v>10.81</ns0:v>
      </ns0:c>
      <ns0:c r="N348" s="4">
        <ns0:v>10.92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1.19</ns0:v>
      </ns0:c>
      <ns0:c r="J350" s="4">
        <ns0:v>1.19</ns0:v>
      </ns0:c>
      <ns0:c r="K350" s="4">
        <ns0:v>1.19</ns0:v>
      </ns0:c>
      <ns0:c r="L350" s="4">
        <ns0:v>1.19</ns0:v>
      </ns0:c>
      <ns0:c r="M350" s="4">
        <ns0:v>1.19</ns0:v>
      </ns0:c>
      <ns0:c r="N350" s="4">
        <ns0:v>1.19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1.93</ns0:v>
      </ns0:c>
      <ns0:c r="D351" s="4">
        <ns0:v>2.04</ns0:v>
      </ns0:c>
      <ns0:c r="E351" s="4">
        <ns0:v>1.97</ns0:v>
      </ns0:c>
      <ns0:c r="F351" s="4">
        <ns0:v>2.04</ns0:v>
      </ns0:c>
      <ns0:c r="G351" s="4">
        <ns0:v>1.92</ns0:v>
      </ns0:c>
      <ns0:c r="H351" s="4">
        <ns0:v>1.97</ns0:v>
      </ns0:c>
      <ns0:c r="I351" s="4">
        <ns0:v>1.94</ns0:v>
      </ns0:c>
      <ns0:c r="J351" s="4">
        <ns0:v>2.06</ns0:v>
      </ns0:c>
      <ns0:c r="K351" s="4">
        <ns0:v>2.01</ns0:v>
      </ns0:c>
      <ns0:c r="L351" s="4">
        <ns0:v>1.99</ns0:v>
      </ns0:c>
      <ns0:c r="M351" s="4">
        <ns0:v>1.92</ns0:v>
      </ns0:c>
      <ns0:c r="N351" s="4">
        <ns0:v>1.99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2.89</ns0:v>
      </ns0:c>
      <ns0:c r="D352" s="4">
        <ns0:v>3.02</ns0:v>
      </ns0:c>
      <ns0:c r="E352" s="4">
        <ns0:v>3.10</ns0:v>
      </ns0:c>
      <ns0:c r="F352" s="4">
        <ns0:v>3.06</ns0:v>
      </ns0:c>
      <ns0:c r="G352" s="4">
        <ns0:v>2.96</ns0:v>
      </ns0:c>
      <ns0:c r="H352" s="4">
        <ns0:v>3.05</ns0:v>
      </ns0:c>
      <ns0:c r="I352" s="4">
        <ns0:v>2.95</ns0:v>
      </ns0:c>
      <ns0:c r="J352" s="4">
        <ns0:v>3.08</ns0:v>
      </ns0:c>
      <ns0:c r="K352" s="4">
        <ns0:v>2.96</ns0:v>
      </ns0:c>
      <ns0:c r="L352" s="4">
        <ns0:v>2.90</ns0:v>
      </ns0:c>
      <ns0:c r="M352" s="4">
        <ns0:v>2.89</ns0:v>
      </ns0:c>
      <ns0:c r="N352" s="4">
        <ns0:v>3.09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4.03</ns0:v>
      </ns0:c>
      <ns0:c r="D353" s="4">
        <ns0:v>4.12</ns0:v>
      </ns0:c>
      <ns0:c r="E353" s="4">
        <ns0:v>3.88</ns0:v>
      </ns0:c>
      <ns0:c r="F353" s="4">
        <ns0:v>3.89</ns0:v>
      </ns0:c>
      <ns0:c r="G353" s="4">
        <ns0:v>3.85</ns0:v>
      </ns0:c>
      <ns0:c r="H353" s="4">
        <ns0:v>4.09</ns0:v>
      </ns0:c>
      <ns0:c r="I353" s="4">
        <ns0:v>4.13</ns0:v>
      </ns0:c>
      <ns0:c r="J353" s="4">
        <ns0:v>4.37</ns0:v>
      </ns0:c>
      <ns0:c r="K353" s="4">
        <ns0:v>4.14</ns0:v>
      </ns0:c>
      <ns0:c r="L353" s="4">
        <ns0:v>4.04</ns0:v>
      </ns0:c>
      <ns0:c r="M353" s="4">
        <ns0:v>4.01</ns0:v>
      </ns0:c>
      <ns0:c r="N353" s="4">
        <ns0:v>4.10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14246.42</ns0:v>
      </ns0:c>
      <ns0:c r="D4" s="8">
        <ns0:f>ROUND(D204*D324,2)</ns0:f>
        <ns0:v>14060.21</ns0:v>
      </ns0:c>
      <ns0:c r="E4" s="8">
        <ns0:f>ROUND(E204*E324,2)</ns0:f>
        <ns0:v>14110.61</ns0:v>
      </ns0:c>
      <ns0:c r="F4" s="8">
        <ns0:f>ROUND(F204*F324,2)</ns0:f>
        <ns0:v>14092.40</ns0:v>
      </ns0:c>
      <ns0:c r="G4" s="8">
        <ns0:f>ROUND(G204*G324,2)</ns0:f>
        <ns0:v>13780.20</ns0:v>
      </ns0:c>
      <ns0:c r="H4" s="8">
        <ns0:f>ROUND(H204*H324,2)</ns0:f>
        <ns0:v>13743.80</ns0:v>
      </ns0:c>
      <ns0:c r="I4" s="8">
        <ns0:f>ROUND(I204*I324,2)</ns0:f>
        <ns0:v>13911.78</ns0:v>
      </ns0:c>
      <ns0:c r="J4" s="8">
        <ns0:f>ROUND(J204*J324,2)</ns0:f>
        <ns0:v>13844.59</ns0:v>
      </ns0:c>
      <ns0:c r="K4" s="8">
        <ns0:f>ROUND(K204*K324,2)</ns0:f>
        <ns0:v>13844.61</ns0:v>
      </ns0:c>
      <ns0:c r="L4" s="8">
        <ns0:f>ROUND(L204*L324,2)</ns0:f>
        <ns0:v>13818.01</ns0:v>
      </ns0:c>
      <ns0:c r="M4" s="8">
        <ns0:f>ROUND(M204*M324,2)</ns0:f>
        <ns0:v>14146.99</ns0:v>
      </ns0:c>
      <ns0:c r="N4" s="8">
        <ns0:f>ROUND(N204*N324,2)</ns0:f>
        <ns0:v>13944.00</ns0:v>
      </ns0:c>
      <ns0:c r="O4" s="8">
        <ns0:f>SUM(C4:N4)</ns0:f>
        <ns0:v>167543.62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1008.41</ns0:v>
      </ns0:c>
      <ns0:c r="D5" s="8">
        <ns0:f>ROUND(D205*D325,2)</ns0:f>
        <ns0:v>983.72</ns0:v>
      </ns0:c>
      <ns0:c r="E5" s="8">
        <ns0:f>ROUND(E205*E325,2)</ns0:f>
        <ns0:v>1019.91</ns0:v>
      </ns0:c>
      <ns0:c r="F5" s="8">
        <ns0:f>ROUND(F205*F325,2)</ns0:f>
        <ns0:v>1019.31</ns0:v>
      </ns0:c>
      <ns0:c r="G5" s="8">
        <ns0:f>ROUND(G205*G325,2)</ns0:f>
        <ns0:v>996.02</ns0:v>
      </ns0:c>
      <ns0:c r="H5" s="8">
        <ns0:f>ROUND(H205*H325,2)</ns0:f>
        <ns0:v>986.09</ns0:v>
      </ns0:c>
      <ns0:c r="I5" s="8">
        <ns0:f>ROUND(I205*I325,2)</ns0:f>
        <ns0:v>980.40</ns0:v>
      </ns0:c>
      <ns0:c r="J5" s="8">
        <ns0:f>ROUND(J205*J325,2)</ns0:f>
        <ns0:v>995.19</ns0:v>
      </ns0:c>
      <ns0:c r="K5" s="8">
        <ns0:f>ROUND(K205*K325,2)</ns0:f>
        <ns0:v>984.70</ns0:v>
      </ns0:c>
      <ns0:c r="L5" s="8">
        <ns0:f>ROUND(L205*L325,2)</ns0:f>
        <ns0:v>1000.62</ns0:v>
      </ns0:c>
      <ns0:c r="M5" s="8">
        <ns0:f>ROUND(M205*M325,2)</ns0:f>
        <ns0:v>1009.60</ns0:v>
      </ns0:c>
      <ns0:c r="N5" s="8">
        <ns0:f>ROUND(N205*N325,2)</ns0:f>
        <ns0:v>995.10</ns0:v>
      </ns0:c>
      <ns0:c r="O5" s="8">
        <ns0:f>SUM(C5:N5)</ns0:f>
        <ns0:v>11979.07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425.89</ns0:v>
      </ns0:c>
      <ns0:c r="D6" s="8">
        <ns0:f>ROUND(D206*D326,2)</ns0:f>
        <ns0:v>424.35</ns0:v>
      </ns0:c>
      <ns0:c r="E6" s="8">
        <ns0:f>ROUND(E206*E326,2)</ns0:f>
        <ns0:v>432.84</ns0:v>
      </ns0:c>
      <ns0:c r="F6" s="8">
        <ns0:f>ROUND(F206*F326,2)</ns0:f>
        <ns0:v>399.56</ns0:v>
      </ns0:c>
      <ns0:c r="G6" s="8">
        <ns0:f>ROUND(G206*G326,2)</ns0:f>
        <ns0:v>399.85</ns0:v>
      </ns0:c>
      <ns0:c r="H6" s="8">
        <ns0:f>ROUND(H206*H326,2)</ns0:f>
        <ns0:v>399.39</ns0:v>
      </ns0:c>
      <ns0:c r="I6" s="8">
        <ns0:f>ROUND(I206*I326,2)</ns0:f>
        <ns0:v>356.11</ns0:v>
      </ns0:c>
      <ns0:c r="J6" s="8">
        <ns0:f>ROUND(J206*J326,2)</ns0:f>
        <ns0:v>431.03</ns0:v>
      </ns0:c>
      <ns0:c r="K6" s="8">
        <ns0:f>ROUND(K206*K326,2)</ns0:f>
        <ns0:v>412.25</ns0:v>
      </ns0:c>
      <ns0:c r="L6" s="8">
        <ns0:f>ROUND(L206*L326,2)</ns0:f>
        <ns0:v>375.13</ns0:v>
      </ns0:c>
      <ns0:c r="M6" s="8">
        <ns0:f>ROUND(M206*M326,2)</ns0:f>
        <ns0:v>430.97</ns0:v>
      </ns0:c>
      <ns0:c r="N6" s="8">
        <ns0:f>ROUND(N206*N326,2)</ns0:f>
        <ns0:v>360.98</ns0:v>
      </ns0:c>
      <ns0:c r="O6" s="8">
        <ns0:f>SUM(C6:N6)</ns0:f>
        <ns0:v>4848.35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4477.04</ns0:v>
      </ns0:c>
      <ns0:c r="D7" s="8">
        <ns0:f>ROUND(D207*D327,2)</ns0:f>
        <ns0:v>4426.65</ns0:v>
      </ns0:c>
      <ns0:c r="E7" s="8">
        <ns0:f>ROUND(E207*E327,2)</ns0:f>
        <ns0:v>4512.61</ns0:v>
      </ns0:c>
      <ns0:c r="F7" s="8">
        <ns0:f>ROUND(F207*F327,2)</ns0:f>
        <ns0:v>4481.10</ns0:v>
      </ns0:c>
      <ns0:c r="G7" s="8">
        <ns0:f>ROUND(G207*G327,2)</ns0:f>
        <ns0:v>4449.14</ns0:v>
      </ns0:c>
      <ns0:c r="H7" s="8">
        <ns0:f>ROUND(H207*H327,2)</ns0:f>
        <ns0:v>4557.61</ns0:v>
      </ns0:c>
      <ns0:c r="I7" s="8">
        <ns0:f>ROUND(I207*I327,2)</ns0:f>
        <ns0:v>4471.19</ns0:v>
      </ns0:c>
      <ns0:c r="J7" s="8">
        <ns0:f>ROUND(J207*J327,2)</ns0:f>
        <ns0:v>4583.69</ns0:v>
      </ns0:c>
      <ns0:c r="K7" s="8">
        <ns0:f>ROUND(K207*K327,2)</ns0:f>
        <ns0:v>4437.47</ns0:v>
      </ns0:c>
      <ns0:c r="L7" s="8">
        <ns0:f>ROUND(L207*L327,2)</ns0:f>
        <ns0:v>4524.77</ns0:v>
      </ns0:c>
      <ns0:c r="M7" s="8">
        <ns0:f>ROUND(M207*M327,2)</ns0:f>
        <ns0:v>4566.61</ns0:v>
      </ns0:c>
      <ns0:c r="N7" s="8">
        <ns0:f>ROUND(N207*N327,2)</ns0:f>
        <ns0:v>4469.86</ns0:v>
      </ns0:c>
      <ns0:c r="O7" s="8">
        <ns0:f>SUM(C7:N7)</ns0:f>
        <ns0:v>53957.74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1007.63</ns0:v>
      </ns0:c>
      <ns0:c r="D8" s="8">
        <ns0:f>ROUND(D208*D328,2)</ns0:f>
        <ns0:v>873.11</ns0:v>
      </ns0:c>
      <ns0:c r="E8" s="8">
        <ns0:f>ROUND(E208*E328,2)</ns0:f>
        <ns0:v>1007.48</ns0:v>
      </ns0:c>
      <ns0:c r="F8" s="8">
        <ns0:f>ROUND(F208*F328,2)</ns0:f>
        <ns0:v>955.88</ns0:v>
      </ns0:c>
      <ns0:c r="G8" s="8">
        <ns0:f>ROUND(G208*G328,2)</ns0:f>
        <ns0:v>806.83</ns0:v>
      </ns0:c>
      <ns0:c r="H8" s="8">
        <ns0:f>ROUND(H208*H328,2)</ns0:f>
        <ns0:v>916.92</ns0:v>
      </ns0:c>
      <ns0:c r="I8" s="8">
        <ns0:f>ROUND(I208*I328,2)</ns0:f>
        <ns0:v>887.56</ns0:v>
      </ns0:c>
      <ns0:c r="J8" s="8">
        <ns0:f>ROUND(J208*J328,2)</ns0:f>
        <ns0:v>919.33</ns0:v>
      </ns0:c>
      <ns0:c r="K8" s="8">
        <ns0:f>ROUND(K208*K328,2)</ns0:f>
        <ns0:v>939.43</ns0:v>
      </ns0:c>
      <ns0:c r="L8" s="8">
        <ns0:f>ROUND(L208*L328,2)</ns0:f>
        <ns0:v>808.10</ns0:v>
      </ns0:c>
      <ns0:c r="M8" s="8">
        <ns0:f>ROUND(M208*M328,2)</ns0:f>
        <ns0:v>943.12</ns0:v>
      </ns0:c>
      <ns0:c r="N8" s="8">
        <ns0:f>ROUND(N208*N328,2)</ns0:f>
        <ns0:v>861.28</ns0:v>
      </ns0:c>
      <ns0:c r="O8" s="8">
        <ns0:f>SUM(C8:N8)</ns0:f>
        <ns0:v>10926.67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270.33</ns0:v>
      </ns0:c>
      <ns0:c r="D9" s="8">
        <ns0:f>ROUND(D209*D329,2)</ns0:f>
        <ns0:v>273.03</ns0:v>
      </ns0:c>
      <ns0:c r="E9" s="8">
        <ns0:f>ROUND(E209*E329,2)</ns0:f>
        <ns0:v>272.40</ns0:v>
      </ns0:c>
      <ns0:c r="F9" s="8">
        <ns0:f>ROUND(F209*F329,2)</ns0:f>
        <ns0:v>264.60</ns0:v>
      </ns0:c>
      <ns0:c r="G9" s="8">
        <ns0:f>ROUND(G209*G329,2)</ns0:f>
        <ns0:v>267.03</ns0:v>
      </ns0:c>
      <ns0:c r="H9" s="8">
        <ns0:f>ROUND(H209*H329,2)</ns0:f>
        <ns0:v>293.88</ns0:v>
      </ns0:c>
      <ns0:c r="I9" s="8">
        <ns0:f>ROUND(I209*I329,2)</ns0:f>
        <ns0:v>280.86</ns0:v>
      </ns0:c>
      <ns0:c r="J9" s="8">
        <ns0:f>ROUND(J209*J329,2)</ns0:f>
        <ns0:v>293.82</ns0:v>
      </ns0:c>
      <ns0:c r="K9" s="8">
        <ns0:f>ROUND(K209*K329,2)</ns0:f>
        <ns0:v>293.16</ns0:v>
      </ns0:c>
      <ns0:c r="L9" s="8">
        <ns0:f>ROUND(L209*L329,2)</ns0:f>
        <ns0:v>332.58</ns0:v>
      </ns0:c>
      <ns0:c r="M9" s="8">
        <ns0:f>ROUND(M209*M329,2)</ns0:f>
        <ns0:v>272.94</ns0:v>
      </ns0:c>
      <ns0:c r="N9" s="8">
        <ns0:f>ROUND(N209*N329,2)</ns0:f>
        <ns0:v>318.84</ns0:v>
      </ns0:c>
      <ns0:c r="O9" s="8">
        <ns0:f>SUM(C9:N9)</ns0:f>
        <ns0:v>3433.47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333.63</ns0:v>
      </ns0:c>
      <ns0:c r="D10" s="8">
        <ns0:f>ROUND(D210*D330,2)</ns0:f>
        <ns0:v>265.80</ns0:v>
      </ns0:c>
      <ns0:c r="E10" s="8">
        <ns0:f>ROUND(E210*E330,2)</ns0:f>
        <ns0:v>312.06</ns0:v>
      </ns0:c>
      <ns0:c r="F10" s="8">
        <ns0:f>ROUND(F210*F330,2)</ns0:f>
        <ns0:v>279.06</ns0:v>
      </ns0:c>
      <ns0:c r="G10" s="8">
        <ns0:f>ROUND(G210*G330,2)</ns0:f>
        <ns0:v>310.80</ns0:v>
      </ns0:c>
      <ns0:c r="H10" s="8">
        <ns0:f>ROUND(H210*H330,2)</ns0:f>
        <ns0:v>306.96</ns0:v>
      </ns0:c>
      <ns0:c r="I10" s="8">
        <ns0:f>ROUND(I210*I330,2)</ns0:f>
        <ns0:v>269.57</ns0:v>
      </ns0:c>
      <ns0:c r="J10" s="8">
        <ns0:f>ROUND(J210*J330,2)</ns0:f>
        <ns0:v>289.80</ns0:v>
      </ns0:c>
      <ns0:c r="K10" s="8">
        <ns0:f>ROUND(K210*K330,2)</ns0:f>
        <ns0:v>277.62</ns0:v>
      </ns0:c>
      <ns0:c r="L10" s="8">
        <ns0:f>ROUND(L210*L330,2)</ns0:f>
        <ns0:v>305.67</ns0:v>
      </ns0:c>
      <ns0:c r="M10" s="8">
        <ns0:f>ROUND(M210*M330,2)</ns0:f>
        <ns0:v>295.08</ns0:v>
      </ns0:c>
      <ns0:c r="N10" s="8">
        <ns0:f>ROUND(N210*N330,2)</ns0:f>
        <ns0:v>311.82</ns0:v>
      </ns0:c>
      <ns0:c r="O10" s="8">
        <ns0:f>SUM(C10:N10)</ns0:f>
        <ns0:v>3557.87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1656.45</ns0:v>
      </ns0:c>
      <ns0:c r="D11" s="8">
        <ns0:f>ROUND(D211*D331,2)</ns0:f>
        <ns0:v>1348.06</ns0:v>
      </ns0:c>
      <ns0:c r="E11" s="8">
        <ns0:f>ROUND(E211*E331,2)</ns0:f>
        <ns0:v>1539.01</ns0:v>
      </ns0:c>
      <ns0:c r="F11" s="8">
        <ns0:f>ROUND(F211*F331,2)</ns0:f>
        <ns0:v>1607.25</ns0:v>
      </ns0:c>
      <ns0:c r="G11" s="8">
        <ns0:f>ROUND(G211*G331,2)</ns0:f>
        <ns0:v>1431.00</ns0:v>
      </ns0:c>
      <ns0:c r="H11" s="8">
        <ns0:f>ROUND(H211*H331,2)</ns0:f>
        <ns0:v>1509.30</ns0:v>
      </ns0:c>
      <ns0:c r="I11" s="8">
        <ns0:f>ROUND(I211*I331,2)</ns0:f>
        <ns0:v>1450.35</ns0:v>
      </ns0:c>
      <ns0:c r="J11" s="8">
        <ns0:f>ROUND(J211*J331,2)</ns0:f>
        <ns0:v>1478.69</ns0:v>
      </ns0:c>
      <ns0:c r="K11" s="8">
        <ns0:f>ROUND(K211*K331,2)</ns0:f>
        <ns0:v>1501.49</ns0:v>
      </ns0:c>
      <ns0:c r="L11" s="8">
        <ns0:f>ROUND(L211*L331,2)</ns0:f>
        <ns0:v>1589.56</ns0:v>
      </ns0:c>
      <ns0:c r="M11" s="8">
        <ns0:f>ROUND(M211*M331,2)</ns0:f>
        <ns0:v>1636.05</ns0:v>
      </ns0:c>
      <ns0:c r="N11" s="8">
        <ns0:f>ROUND(N211*N331,2)</ns0:f>
        <ns0:v>1514.84</ns0:v>
      </ns0:c>
      <ns0:c r="O11" s="8">
        <ns0:f>SUM(C11:N11)</ns0:f>
        <ns0:v>18262.05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421.96</ns0:v>
      </ns0:c>
      <ns0:c r="D12" s="8">
        <ns0:f>ROUND(D212*D332,2)</ns0:f>
        <ns0:v>427.13</ns0:v>
      </ns0:c>
      <ns0:c r="E12" s="8">
        <ns0:f>ROUND(E212*E332,2)</ns0:f>
        <ns0:v>419.95</ns0:v>
      </ns0:c>
      <ns0:c r="F12" s="8">
        <ns0:f>ROUND(F212*F332,2)</ns0:f>
        <ns0:v>430.95</ns0:v>
      </ns0:c>
      <ns0:c r="G12" s="8">
        <ns0:f>ROUND(G212*G332,2)</ns0:f>
        <ns0:v>409.84</ns0:v>
      </ns0:c>
      <ns0:c r="H12" s="8">
        <ns0:f>ROUND(H212*H332,2)</ns0:f>
        <ns0:v>422.51</ns0:v>
      </ns0:c>
      <ns0:c r="I12" s="8">
        <ns0:f>ROUND(I212*I332,2)</ns0:f>
        <ns0:v>418.52</ns0:v>
      </ns0:c>
      <ns0:c r="J12" s="8">
        <ns0:f>ROUND(J212*J332,2)</ns0:f>
        <ns0:v>380.48</ns0:v>
      </ns0:c>
      <ns0:c r="K12" s="8">
        <ns0:f>ROUND(K212*K332,2)</ns0:f>
        <ns0:v>352.51</ns0:v>
      </ns0:c>
      <ns0:c r="L12" s="8">
        <ns0:f>ROUND(L212*L332,2)</ns0:f>
        <ns0:v>388.76</ns0:v>
      </ns0:c>
      <ns0:c r="M12" s="8">
        <ns0:f>ROUND(M212*M332,2)</ns0:f>
        <ns0:v>396.08</ns0:v>
      </ns0:c>
      <ns0:c r="N12" s="8">
        <ns0:f>ROUND(N212*N332,2)</ns0:f>
        <ns0:v>360.08</ns0:v>
      </ns0:c>
      <ns0:c r="O12" s="8">
        <ns0:f>SUM(C12:N12)</ns0:f>
        <ns0:v>4828.77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502.20</ns0:v>
      </ns0:c>
      <ns0:c r="D13" s="8">
        <ns0:f>ROUND(D213*D333,2)</ns0:f>
        <ns0:v>503.95</ns0:v>
      </ns0:c>
      <ns0:c r="E13" s="8">
        <ns0:f>ROUND(E213*E333,2)</ns0:f>
        <ns0:v>548.95</ns0:v>
      </ns0:c>
      <ns0:c r="F13" s="8">
        <ns0:f>ROUND(F213*F333,2)</ns0:f>
        <ns0:v>445.95</ns0:v>
      </ns0:c>
      <ns0:c r="G13" s="8">
        <ns0:f>ROUND(G213*G333,2)</ns0:f>
        <ns0:v>545.55</ns0:v>
      </ns0:c>
      <ns0:c r="H13" s="8">
        <ns0:f>ROUND(H213*H333,2)</ns0:f>
        <ns0:v>528.10</ns0:v>
      </ns0:c>
      <ns0:c r="I13" s="8">
        <ns0:f>ROUND(I213*I333,2)</ns0:f>
        <ns0:v>445.75</ns0:v>
      </ns0:c>
      <ns0:c r="J13" s="8">
        <ns0:f>ROUND(J213*J333,2)</ns0:f>
        <ns0:v>531.15</ns0:v>
      </ns0:c>
      <ns0:c r="K13" s="8">
        <ns0:f>ROUND(K213*K333,2)</ns0:f>
        <ns0:v>529.40</ns0:v>
      </ns0:c>
      <ns0:c r="L13" s="8">
        <ns0:f>ROUND(L213*L333,2)</ns0:f>
        <ns0:v>526.15</ns0:v>
      </ns0:c>
      <ns0:c r="M13" s="8">
        <ns0:f>ROUND(M213*M333,2)</ns0:f>
        <ns0:v>492.10</ns0:v>
      </ns0:c>
      <ns0:c r="N13" s="8">
        <ns0:f>ROUND(N213*N333,2)</ns0:f>
        <ns0:v>556.75</ns0:v>
      </ns0:c>
      <ns0:c r="O13" s="8">
        <ns0:f>SUM(C13:N13)</ns0:f>
        <ns0:v>6156.00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734.37</ns0:v>
      </ns0:c>
      <ns0:c r="D14" s="8">
        <ns0:f>ROUND(D214*D334,2)</ns0:f>
        <ns0:v>734.93</ns0:v>
      </ns0:c>
      <ns0:c r="E14" s="8">
        <ns0:f>ROUND(E214*E334,2)</ns0:f>
        <ns0:v>762.02</ns0:v>
      </ns0:c>
      <ns0:c r="F14" s="8">
        <ns0:f>ROUND(F214*F334,2)</ns0:f>
        <ns0:v>625.58</ns0:v>
      </ns0:c>
      <ns0:c r="G14" s="8">
        <ns0:f>ROUND(G214*G334,2)</ns0:f>
        <ns0:v>619.49</ns0:v>
      </ns0:c>
      <ns0:c r="H14" s="8">
        <ns0:f>ROUND(H214*H334,2)</ns0:f>
        <ns0:v>691.75</ns0:v>
      </ns0:c>
      <ns0:c r="I14" s="8">
        <ns0:f>ROUND(I214*I334,2)</ns0:f>
        <ns0:v>638.18</ns0:v>
      </ns0:c>
      <ns0:c r="J14" s="8">
        <ns0:f>ROUND(J214*J334,2)</ns0:f>
        <ns0:v>766.56</ns0:v>
      </ns0:c>
      <ns0:c r="K14" s="8">
        <ns0:f>ROUND(K214*K334,2)</ns0:f>
        <ns0:v>730.46</ns0:v>
      </ns0:c>
      <ns0:c r="L14" s="8">
        <ns0:f>ROUND(L214*L334,2)</ns0:f>
        <ns0:v>649.61</ns0:v>
      </ns0:c>
      <ns0:c r="M14" s="8">
        <ns0:f>ROUND(M214*M334,2)</ns0:f>
        <ns0:v>688.17</ns0:v>
      </ns0:c>
      <ns0:c r="N14" s="8">
        <ns0:f>ROUND(N214*N334,2)</ns0:f>
        <ns0:v>782.12</ns0:v>
      </ns0:c>
      <ns0:c r="O14" s="8">
        <ns0:f>SUM(C14:N14)</ns0:f>
        <ns0:v>8423.24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360.73</ns0:v>
      </ns0:c>
      <ns0:c r="D15" s="8">
        <ns0:f>ROUND(D215*D335,2)</ns0:f>
        <ns0:v>439.87</ns0:v>
      </ns0:c>
      <ns0:c r="E15" s="8">
        <ns0:f>ROUND(E215*E335,2)</ns0:f>
        <ns0:v>424.77</ns0:v>
      </ns0:c>
      <ns0:c r="F15" s="8">
        <ns0:f>ROUND(F215*F335,2)</ns0:f>
        <ns0:v>372.63</ns0:v>
      </ns0:c>
      <ns0:c r="G15" s="8">
        <ns0:f>ROUND(G215*G335,2)</ns0:f>
        <ns0:v>388.40</ns0:v>
      </ns0:c>
      <ns0:c r="H15" s="8">
        <ns0:f>ROUND(H215*H335,2)</ns0:f>
        <ns0:v>416.67</ns0:v>
      </ns0:c>
      <ns0:c r="I15" s="8">
        <ns0:f>ROUND(I215*I335,2)</ns0:f>
        <ns0:v>383.17</ns0:v>
      </ns0:c>
      <ns0:c r="J15" s="8">
        <ns0:f>ROUND(J215*J335,2)</ns0:f>
        <ns0:v>409.16</ns0:v>
      </ns0:c>
      <ns0:c r="K15" s="8">
        <ns0:f>ROUND(K215*K335,2)</ns0:f>
        <ns0:v>417.37</ns0:v>
      </ns0:c>
      <ns0:c r="L15" s="8">
        <ns0:f>ROUND(L215*L335,2)</ns0:f>
        <ns0:v>383.57</ns0:v>
      </ns0:c>
      <ns0:c r="M15" s="8">
        <ns0:f>ROUND(M215*M335,2)</ns0:f>
        <ns0:v>429.40</ns0:v>
      </ns0:c>
      <ns0:c r="N15" s="8">
        <ns0:f>ROUND(N215*N335,2)</ns0:f>
        <ns0:v>405.56</ns0:v>
      </ns0:c>
      <ns0:c r="O15" s="8">
        <ns0:f>SUM(C15:N15)</ns0:f>
        <ns0:v>4831.30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817.35</ns0:v>
      </ns0:c>
      <ns0:c r="D16" s="8">
        <ns0:f>ROUND(D216*D336,2)</ns0:f>
        <ns0:v>894.09</ns0:v>
      </ns0:c>
      <ns0:c r="E16" s="8">
        <ns0:f>ROUND(E216*E336,2)</ns0:f>
        <ns0:v>771.75</ns0:v>
      </ns0:c>
      <ns0:c r="F16" s="8">
        <ns0:f>ROUND(F216*F336,2)</ns0:f>
        <ns0:v>855.68</ns0:v>
      </ns0:c>
      <ns0:c r="G16" s="8">
        <ns0:f>ROUND(G216*G336,2)</ns0:f>
        <ns0:v>890.64</ns0:v>
      </ns0:c>
      <ns0:c r="H16" s="8">
        <ns0:f>ROUND(H216*H336,2)</ns0:f>
        <ns0:v>874.72</ns0:v>
      </ns0:c>
      <ns0:c r="I16" s="8">
        <ns0:f>ROUND(I216*I336,2)</ns0:f>
        <ns0:v>856.65</ns0:v>
      </ns0:c>
      <ns0:c r="J16" s="8">
        <ns0:f>ROUND(J216*J336,2)</ns0:f>
        <ns0:v>870.49</ns0:v>
      </ns0:c>
      <ns0:c r="K16" s="8">
        <ns0:f>ROUND(K216*K336,2)</ns0:f>
        <ns0:v>789.36</ns0:v>
      </ns0:c>
      <ns0:c r="L16" s="8">
        <ns0:f>ROUND(L216*L336,2)</ns0:f>
        <ns0:v>817.19</ns0:v>
      </ns0:c>
      <ns0:c r="M16" s="8">
        <ns0:f>ROUND(M216*M336,2)</ns0:f>
        <ns0:v>820.88</ns0:v>
      </ns0:c>
      <ns0:c r="N16" s="8">
        <ns0:f>ROUND(N216*N336,2)</ns0:f>
        <ns0:v>750.73</ns0:v>
      </ns0:c>
      <ns0:c r="O16" s="8">
        <ns0:f>SUM(C16:N16)</ns0:f>
        <ns0:v>10009.53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605.10</ns0:v>
      </ns0:c>
      <ns0:c r="D17" s="8">
        <ns0:f>ROUND(D217*D337,2)</ns0:f>
        <ns0:v>605.52</ns0:v>
      </ns0:c>
      <ns0:c r="E17" s="8">
        <ns0:f>ROUND(E217*E337,2)</ns0:f>
        <ns0:v>666.18</ns0:v>
      </ns0:c>
      <ns0:c r="F17" s="8">
        <ns0:f>ROUND(F217*F337,2)</ns0:f>
        <ns0:v>668.52</ns0:v>
      </ns0:c>
      <ns0:c r="G17" s="8">
        <ns0:f>ROUND(G217*G337,2)</ns0:f>
        <ns0:v>640.50</ns0:v>
      </ns0:c>
      <ns0:c r="H17" s="8">
        <ns0:f>ROUND(H217*H337,2)</ns0:f>
        <ns0:v>612.90</ns0:v>
      </ns0:c>
      <ns0:c r="I17" s="8">
        <ns0:f>ROUND(I217*I337,2)</ns0:f>
        <ns0:v>547.92</ns0:v>
      </ns0:c>
      <ns0:c r="J17" s="8">
        <ns0:f>ROUND(J217*J337,2)</ns0:f>
        <ns0:v>598.50</ns0:v>
      </ns0:c>
      <ns0:c r="K17" s="8">
        <ns0:f>ROUND(K217*K337,2)</ns0:f>
        <ns0:v>580.44</ns0:v>
      </ns0:c>
      <ns0:c r="L17" s="8">
        <ns0:f>ROUND(L217*L337,2)</ns0:f>
        <ns0:v>660.36</ns0:v>
      </ns0:c>
      <ns0:c r="M17" s="8">
        <ns0:f>ROUND(M217*M337,2)</ns0:f>
        <ns0:v>634.86</ns0:v>
      </ns0:c>
      <ns0:c r="N17" s="8">
        <ns0:f>ROUND(N217*N337,2)</ns0:f>
        <ns0:v>653.04</ns0:v>
      </ns0:c>
      <ns0:c r="O17" s="8">
        <ns0:f>SUM(C17:N17)</ns0:f>
        <ns0:v>7473.84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328.17</ns0:v>
      </ns0:c>
      <ns0:c r="D18" s="8">
        <ns0:f>ROUND(D218*D338,2)</ns0:f>
        <ns0:v>289.94</ns0:v>
      </ns0:c>
      <ns0:c r="E18" s="8">
        <ns0:f>ROUND(E218*E338,2)</ns0:f>
        <ns0:v>313.13</ns0:v>
      </ns0:c>
      <ns0:c r="F18" s="8">
        <ns0:f>ROUND(F218*F338,2)</ns0:f>
        <ns0:v>328.74</ns0:v>
      </ns0:c>
      <ns0:c r="G18" s="8">
        <ns0:f>ROUND(G218*G338,2)</ns0:f>
        <ns0:v>307.04</ns0:v>
      </ns0:c>
      <ns0:c r="H18" s="8">
        <ns0:f>ROUND(H218*H338,2)</ns0:f>
        <ns0:v>295.11</ns0:v>
      </ns0:c>
      <ns0:c r="I18" s="8">
        <ns0:f>ROUND(I218*I338,2)</ns0:f>
        <ns0:v>306.53</ns0:v>
      </ns0:c>
      <ns0:c r="J18" s="8">
        <ns0:f>ROUND(J218*J338,2)</ns0:f>
        <ns0:v>302.35</ns0:v>
      </ns0:c>
      <ns0:c r="K18" s="8">
        <ns0:f>ROUND(K218*K338,2)</ns0:f>
        <ns0:v>312.50</ns0:v>
      </ns0:c>
      <ns0:c r="L18" s="8">
        <ns0:f>ROUND(L218*L338,2)</ns0:f>
        <ns0:v>267.13</ns0:v>
      </ns0:c>
      <ns0:c r="M18" s="8">
        <ns0:f>ROUND(M218*M338,2)</ns0:f>
        <ns0:v>335.04</ns0:v>
      </ns0:c>
      <ns0:c r="N18" s="8">
        <ns0:f>ROUND(N218*N338,2)</ns0:f>
        <ns0:v>295.92</ns0:v>
      </ns0:c>
      <ns0:c r="O18" s="8">
        <ns0:f>SUM(C18:N18)</ns0:f>
        <ns0:v>3681.60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167.54</ns0:v>
      </ns0:c>
      <ns0:c r="D19" s="8">
        <ns0:f>ROUND(D219*D339,2)</ns0:f>
        <ns0:v>146.54</ns0:v>
      </ns0:c>
      <ns0:c r="E19" s="8">
        <ns0:f>ROUND(E219*E339,2)</ns0:f>
        <ns0:v>163.08</ns0:v>
      </ns0:c>
      <ns0:c r="F19" s="8">
        <ns0:f>ROUND(F219*F339,2)</ns0:f>
        <ns0:v>160.21</ns0:v>
      </ns0:c>
      <ns0:c r="G19" s="8">
        <ns0:f>ROUND(G219*G339,2)</ns0:f>
        <ns0:v>163.32</ns0:v>
      </ns0:c>
      <ns0:c r="H19" s="8">
        <ns0:f>ROUND(H219*H339,2)</ns0:f>
        <ns0:v>149.61</ns0:v>
      </ns0:c>
      <ns0:c r="I19" s="8">
        <ns0:f>ROUND(I219*I339,2)</ns0:f>
        <ns0:v>144.65</ns0:v>
      </ns0:c>
      <ns0:c r="J19" s="8">
        <ns0:f>ROUND(J219*J339,2)</ns0:f>
        <ns0:v>133.71</ns0:v>
      </ns0:c>
      <ns0:c r="K19" s="8">
        <ns0:f>ROUND(K219*K339,2)</ns0:f>
        <ns0:v>161.40</ns0:v>
      </ns0:c>
      <ns0:c r="L19" s="8">
        <ns0:f>ROUND(L219*L339,2)</ns0:f>
        <ns0:v>154.02</ns0:v>
      </ns0:c>
      <ns0:c r="M19" s="8">
        <ns0:f>ROUND(M219*M339,2)</ns0:f>
        <ns0:v>137.03</ns0:v>
      </ns0:c>
      <ns0:c r="N19" s="8">
        <ns0:f>ROUND(N219*N339,2)</ns0:f>
        <ns0:v>164.69</ns0:v>
      </ns0:c>
      <ns0:c r="O19" s="8">
        <ns0:f>SUM(C19:N19)</ns0:f>
        <ns0:v>1845.80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304.16</ns0:v>
      </ns0:c>
      <ns0:c r="D21" s="8">
        <ns0:f>ROUND(D221*D341,2)</ns0:f>
        <ns0:v>306.30</ns0:v>
      </ns0:c>
      <ns0:c r="E21" s="8">
        <ns0:f>ROUND(E221*E341,2)</ns0:f>
        <ns0:v>269.51</ns0:v>
      </ns0:c>
      <ns0:c r="F21" s="8">
        <ns0:f>ROUND(F221*F341,2)</ns0:f>
        <ns0:v>329.41</ns0:v>
      </ns0:c>
      <ns0:c r="G21" s="8">
        <ns0:f>ROUND(G221*G341,2)</ns0:f>
        <ns0:v>274.70</ns0:v>
      </ns0:c>
      <ns0:c r="H21" s="8">
        <ns0:f>ROUND(H221*H341,2)</ns0:f>
        <ns0:v>277.56</ns0:v>
      </ns0:c>
      <ns0:c r="I21" s="8">
        <ns0:f>ROUND(I221*I341,2)</ns0:f>
        <ns0:v>312.42</ns0:v>
      </ns0:c>
      <ns0:c r="J21" s="8">
        <ns0:f>ROUND(J221*J341,2)</ns0:f>
        <ns0:v>308.97</ns0:v>
      </ns0:c>
      <ns0:c r="K21" s="8">
        <ns0:f>ROUND(K221*K341,2)</ns0:f>
        <ns0:v>305.01</ns0:v>
      </ns0:c>
      <ns0:c r="L21" s="8">
        <ns0:f>ROUND(L221*L341,2)</ns0:f>
        <ns0:v>293.44</ns0:v>
      </ns0:c>
      <ns0:c r="M21" s="8">
        <ns0:f>ROUND(M221*M341,2)</ns0:f>
        <ns0:v>335.53</ns0:v>
      </ns0:c>
      <ns0:c r="N21" s="8">
        <ns0:f>ROUND(N221*N341,2)</ns0:f>
        <ns0:v>318.07</ns0:v>
      </ns0:c>
      <ns0:c r="O21" s="8">
        <ns0:f>SUM(C21:N21)</ns0:f>
        <ns0:v>3635.08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237.54</ns0:v>
      </ns0:c>
      <ns0:c r="D22" s="8">
        <ns0:f>ROUND(D222*D342,2)</ns0:f>
        <ns0:v>236.79</ns0:v>
      </ns0:c>
      <ns0:c r="E22" s="8">
        <ns0:f>ROUND(E222*E342,2)</ns0:f>
        <ns0:v>248.26</ns0:v>
      </ns0:c>
      <ns0:c r="F22" s="8">
        <ns0:f>ROUND(F222*F342,2)</ns0:f>
        <ns0:v>263.49</ns0:v>
      </ns0:c>
      <ns0:c r="G22" s="8">
        <ns0:f>ROUND(G222*G342,2)</ns0:f>
        <ns0:v>269.40</ns0:v>
      </ns0:c>
      <ns0:c r="H22" s="8">
        <ns0:f>ROUND(H222*H342,2)</ns0:f>
        <ns0:v>236.76</ns0:v>
      </ns0:c>
      <ns0:c r="I22" s="8">
        <ns0:f>ROUND(I222*I342,2)</ns0:f>
        <ns0:v>238.68</ns0:v>
      </ns0:c>
      <ns0:c r="J22" s="8">
        <ns0:f>ROUND(J222*J342,2)</ns0:f>
        <ns0:v>246.18</ns0:v>
      </ns0:c>
      <ns0:c r="K22" s="8">
        <ns0:f>ROUND(K222*K342,2)</ns0:f>
        <ns0:v>224.83</ns0:v>
      </ns0:c>
      <ns0:c r="L22" s="8">
        <ns0:f>ROUND(L222*L342,2)</ns0:f>
        <ns0:v>242.00</ns0:v>
      </ns0:c>
      <ns0:c r="M22" s="8">
        <ns0:f>ROUND(M222*M342,2)</ns0:f>
        <ns0:v>251.63</ns0:v>
      </ns0:c>
      <ns0:c r="N22" s="8">
        <ns0:f>ROUND(N222*N342,2)</ns0:f>
        <ns0:v>253.25</ns0:v>
      </ns0:c>
      <ns0:c r="O22" s="8">
        <ns0:f>SUM(C22:N22)</ns0:f>
        <ns0:v>2948.81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134.62</ns0:v>
      </ns0:c>
      <ns0:c r="D23" s="8">
        <ns0:f>ROUND(D223*D343,2)</ns0:f>
        <ns0:v>158.45</ns0:v>
      </ns0:c>
      <ns0:c r="E23" s="8">
        <ns0:f>ROUND(E223*E343,2)</ns0:f>
        <ns0:v>133.92</ns0:v>
      </ns0:c>
      <ns0:c r="F23" s="8">
        <ns0:f>ROUND(F223*F343,2)</ns0:f>
        <ns0:v>136.33</ns0:v>
      </ns0:c>
      <ns0:c r="G23" s="8">
        <ns0:f>ROUND(G223*G343,2)</ns0:f>
        <ns0:v>138.80</ns0:v>
      </ns0:c>
      <ns0:c r="H23" s="8">
        <ns0:f>ROUND(H223*H343,2)</ns0:f>
        <ns0:v>161.25</ns0:v>
      </ns0:c>
      <ns0:c r="I23" s="8">
        <ns0:f>ROUND(I223*I343,2)</ns0:f>
        <ns0:v>139.74</ns0:v>
      </ns0:c>
      <ns0:c r="J23" s="8">
        <ns0:f>ROUND(J223*J343,2)</ns0:f>
        <ns0:v>148.43</ns0:v>
      </ns0:c>
      <ns0:c r="K23" s="8">
        <ns0:f>ROUND(K223*K343,2)</ns0:f>
        <ns0:v>159.18</ns0:v>
      </ns0:c>
      <ns0:c r="L23" s="8">
        <ns0:f>ROUND(L223*L343,2)</ns0:f>
        <ns0:v>156.26</ns0:v>
      </ns0:c>
      <ns0:c r="M23" s="8">
        <ns0:f>ROUND(M223*M343,2)</ns0:f>
        <ns0:v>142.63</ns0:v>
      </ns0:c>
      <ns0:c r="N23" s="8">
        <ns0:f>ROUND(N223*N343,2)</ns0:f>
        <ns0:v>156.96</ns0:v>
      </ns0:c>
      <ns0:c r="O23" s="8">
        <ns0:f>SUM(C23:N23)</ns0:f>
        <ns0:v>1766.57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130.80</ns0:v>
      </ns0:c>
      <ns0:c r="D24" s="8">
        <ns0:f>ROUND(D224*D344,2)</ns0:f>
        <ns0:v>130.15</ns0:v>
      </ns0:c>
      <ns0:c r="E24" s="8">
        <ns0:f>ROUND(E224*E344,2)</ns0:f>
        <ns0:v>112.52</ns0:v>
      </ns0:c>
      <ns0:c r="F24" s="8">
        <ns0:f>ROUND(F224*F344,2)</ns0:f>
        <ns0:v>121.56</ns0:v>
      </ns0:c>
      <ns0:c r="G24" s="8">
        <ns0:f>ROUND(G224*G344,2)</ns0:f>
        <ns0:v>129.87</ns0:v>
      </ns0:c>
      <ns0:c r="H24" s="8">
        <ns0:f>ROUND(H224*H344,2)</ns0:f>
        <ns0:v>109.23</ns0:v>
      </ns0:c>
      <ns0:c r="I24" s="8">
        <ns0:f>ROUND(I224*I344,2)</ns0:f>
        <ns0:v>109.13</ns0:v>
      </ns0:c>
      <ns0:c r="J24" s="8">
        <ns0:f>ROUND(J224*J344,2)</ns0:f>
        <ns0:v>119.26</ns0:v>
      </ns0:c>
      <ns0:c r="K24" s="8">
        <ns0:f>ROUND(K224*K344,2)</ns0:f>
        <ns0:v>121.12</ns0:v>
      </ns0:c>
      <ns0:c r="L24" s="8">
        <ns0:f>ROUND(L224*L344,2)</ns0:f>
        <ns0:v>119.25</ns0:v>
      </ns0:c>
      <ns0:c r="M24" s="8">
        <ns0:f>ROUND(M224*M344,2)</ns0:f>
        <ns0:v>106.19</ns0:v>
      </ns0:c>
      <ns0:c r="N24" s="8">
        <ns0:f>ROUND(N224*N344,2)</ns0:f>
        <ns0:v>117.49</ns0:v>
      </ns0:c>
      <ns0:c r="O24" s="8">
        <ns0:f>SUM(C24:N24)</ns0:f>
        <ns0:v>1426.57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224.35</ns0:v>
      </ns0:c>
      <ns0:c r="D25" s="8">
        <ns0:f>ROUND(D225*D345,2)</ns0:f>
        <ns0:v>276.85</ns0:v>
      </ns0:c>
      <ns0:c r="E25" s="8">
        <ns0:f>ROUND(E225*E345,2)</ns0:f>
        <ns0:v>257.98</ns0:v>
      </ns0:c>
      <ns0:c r="F25" s="8">
        <ns0:f>ROUND(F225*F345,2)</ns0:f>
        <ns0:v>258.72</ns0:v>
      </ns0:c>
      <ns0:c r="G25" s="8">
        <ns0:f>ROUND(G225*G345,2)</ns0:f>
        <ns0:v>224.10</ns0:v>
      </ns0:c>
      <ns0:c r="H25" s="8">
        <ns0:f>ROUND(H225*H345,2)</ns0:f>
        <ns0:v>250.23</ns0:v>
      </ns0:c>
      <ns0:c r="I25" s="8">
        <ns0:f>ROUND(I225*I345,2)</ns0:f>
        <ns0:v>278.55</ns0:v>
      </ns0:c>
      <ns0:c r="J25" s="8">
        <ns0:f>ROUND(J225*J345,2)</ns0:f>
        <ns0:v>279.21</ns0:v>
      </ns0:c>
      <ns0:c r="K25" s="8">
        <ns0:f>ROUND(K225*K345,2)</ns0:f>
        <ns0:v>241.53</ns0:v>
      </ns0:c>
      <ns0:c r="L25" s="8">
        <ns0:f>ROUND(L225*L345,2)</ns0:f>
        <ns0:v>234.66</ns0:v>
      </ns0:c>
      <ns0:c r="M25" s="8">
        <ns0:f>ROUND(M225*M345,2)</ns0:f>
        <ns0:v>220.15</ns0:v>
      </ns0:c>
      <ns0:c r="N25" s="8">
        <ns0:f>ROUND(N225*N345,2)</ns0:f>
        <ns0:v>255.20</ns0:v>
      </ns0:c>
      <ns0:c r="O25" s="8">
        <ns0:f>SUM(C25:N25)</ns0:f>
        <ns0:v>3001.53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181.74</ns0:v>
      </ns0:c>
      <ns0:c r="D26" s="8">
        <ns0:f>ROUND(D226*D346,2)</ns0:f>
        <ns0:v>203.84</ns0:v>
      </ns0:c>
      <ns0:c r="E26" s="8">
        <ns0:f>ROUND(E226*E346,2)</ns0:f>
        <ns0:v>185.47</ns0:v>
      </ns0:c>
      <ns0:c r="F26" s="8">
        <ns0:f>ROUND(F226*F346,2)</ns0:f>
        <ns0:v>177.67</ns0:v>
      </ns0:c>
      <ns0:c r="G26" s="8">
        <ns0:f>ROUND(G226*G346,2)</ns0:f>
        <ns0:v>210.49</ns0:v>
      </ns0:c>
      <ns0:c r="H26" s="8">
        <ns0:f>ROUND(H226*H346,2)</ns0:f>
        <ns0:v>220.06</ns0:v>
      </ns0:c>
      <ns0:c r="I26" s="8">
        <ns0:f>ROUND(I226*I346,2)</ns0:f>
        <ns0:v>209.77</ns0:v>
      </ns0:c>
      <ns0:c r="J26" s="8">
        <ns0:f>ROUND(J226*J346,2)</ns0:f>
        <ns0:v>184.86</ns0:v>
      </ns0:c>
      <ns0:c r="K26" s="8">
        <ns0:f>ROUND(K226*K346,2)</ns0:f>
        <ns0:v>208.12</ns0:v>
      </ns0:c>
      <ns0:c r="L26" s="8">
        <ns0:f>ROUND(L226*L346,2)</ns0:f>
        <ns0:v>215.46</ns0:v>
      </ns0:c>
      <ns0:c r="M26" s="8">
        <ns0:f>ROUND(M226*M346,2)</ns0:f>
        <ns0:v>200.57</ns0:v>
      </ns0:c>
      <ns0:c r="N26" s="8">
        <ns0:f>ROUND(N226*N346,2)</ns0:f>
        <ns0:v>205.48</ns0:v>
      </ns0:c>
      <ns0:c r="O26" s="8">
        <ns0:f>SUM(C26:N26)</ns0:f>
        <ns0:v>2403.53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185.56</ns0:v>
      </ns0:c>
      <ns0:c r="D27" s="8">
        <ns0:f>ROUND(D227*D347,2)</ns0:f>
        <ns0:v>182.00</ns0:v>
      </ns0:c>
      <ns0:c r="E27" s="8">
        <ns0:f>ROUND(E227*E347,2)</ns0:f>
        <ns0:v>190.14</ns0:v>
      </ns0:c>
      <ns0:c r="F27" s="8">
        <ns0:f>ROUND(F227*F347,2)</ns0:f>
        <ns0:v>221.74</ns0:v>
      </ns0:c>
      <ns0:c r="G27" s="8">
        <ns0:f>ROUND(G227*G347,2)</ns0:f>
        <ns0:v>177.36</ns0:v>
      </ns0:c>
      <ns0:c r="H27" s="8">
        <ns0:f>ROUND(H227*H347,2)</ns0:f>
        <ns0:v>181.00</ns0:v>
      </ns0:c>
      <ns0:c r="I27" s="8">
        <ns0:f>ROUND(I227*I347,2)</ns0:f>
        <ns0:v>177.74</ns0:v>
      </ns0:c>
      <ns0:c r="J27" s="8">
        <ns0:f>ROUND(J227*J347,2)</ns0:f>
        <ns0:v>212.08</ns0:v>
      </ns0:c>
      <ns0:c r="K27" s="8">
        <ns0:f>ROUND(K227*K347,2)</ns0:f>
        <ns0:v>193.90</ns0:v>
      </ns0:c>
      <ns0:c r="L27" s="8">
        <ns0:f>ROUND(L227*L347,2)</ns0:f>
        <ns0:v>203.58</ns0:v>
      </ns0:c>
      <ns0:c r="M27" s="8">
        <ns0:f>ROUND(M227*M347,2)</ns0:f>
        <ns0:v>218.10</ns0:v>
      </ns0:c>
      <ns0:c r="N27" s="8">
        <ns0:f>ROUND(N227*N347,2)</ns0:f>
        <ns0:v>192.78</ns0:v>
      </ns0:c>
      <ns0:c r="O27" s="8">
        <ns0:f>SUM(C27:N27)</ns0:f>
        <ns0:v>2335.98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154.13</ns0:v>
      </ns0:c>
      <ns0:c r="D28" s="8">
        <ns0:f>ROUND(D228*D348,2)</ns0:f>
        <ns0:v>148.38</ns0:v>
      </ns0:c>
      <ns0:c r="E28" s="8">
        <ns0:f>ROUND(E228*E348,2)</ns0:f>
        <ns0:v>141.69</ns0:v>
      </ns0:c>
      <ns0:c r="F28" s="8">
        <ns0:f>ROUND(F228*F348,2)</ns0:f>
        <ns0:v>150.32</ns0:v>
      </ns0:c>
      <ns0:c r="G28" s="8">
        <ns0:f>ROUND(G228*G348,2)</ns0:f>
        <ns0:v>159.60</ns0:v>
      </ns0:c>
      <ns0:c r="H28" s="8">
        <ns0:f>ROUND(H228*H348,2)</ns0:f>
        <ns0:v>165.35</ns0:v>
      </ns0:c>
      <ns0:c r="I28" s="8">
        <ns0:f>ROUND(I228*I348,2)</ns0:f>
        <ns0:v>154.11</ns0:v>
      </ns0:c>
      <ns0:c r="J28" s="8">
        <ns0:f>ROUND(J228*J348,2)</ns0:f>
        <ns0:v>154.96</ns0:v>
      </ns0:c>
      <ns0:c r="K28" s="8">
        <ns0:f>ROUND(K228*K348,2)</ns0:f>
        <ns0:v>132.10</ns0:v>
      </ns0:c>
      <ns0:c r="L28" s="8">
        <ns0:f>ROUND(L228*L348,2)</ns0:f>
        <ns0:v>132.60</ns0:v>
      </ns0:c>
      <ns0:c r="M28" s="8">
        <ns0:f>ROUND(M228*M348,2)</ns0:f>
        <ns0:v>163.87</ns0:v>
      </ns0:c>
      <ns0:c r="N28" s="8">
        <ns0:f>ROUND(N228*N348,2)</ns0:f>
        <ns0:v>154.33</ns0:v>
      </ns0:c>
      <ns0:c r="O28" s="8">
        <ns0:f>SUM(C28:N28)</ns0:f>
        <ns0:v>1811.44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66.47</ns0:v>
      </ns0:c>
      <ns0:c r="D31" s="8">
        <ns0:f>ROUND(D231*D351,2)</ns0:f>
        <ns0:v>65.25</ns0:v>
      </ns0:c>
      <ns0:c r="E31" s="8">
        <ns0:f>ROUND(E231*E351,2)</ns0:f>
        <ns0:v>54.11</ns0:v>
      </ns0:c>
      <ns0:c r="F31" s="8">
        <ns0:f>ROUND(F231*F351,2)</ns0:f>
        <ns0:v>65.61</ns0:v>
      </ns0:c>
      <ns0:c r="G31" s="8">
        <ns0:f>ROUND(G231*G351,2)</ns0:f>
        <ns0:v>64.25</ns0:v>
      </ns0:c>
      <ns0:c r="H31" s="8">
        <ns0:f>ROUND(H231*H351,2)</ns0:f>
        <ns0:v>58.85</ns0:v>
      </ns0:c>
      <ns0:c r="I31" s="8">
        <ns0:f>ROUND(I231*I351,2)</ns0:f>
        <ns0:v>60.09</ns0:v>
      </ns0:c>
      <ns0:c r="J31" s="8">
        <ns0:f>ROUND(J231*J351,2)</ns0:f>
        <ns0:v>60.78</ns0:v>
      </ns0:c>
      <ns0:c r="K31" s="8">
        <ns0:f>ROUND(K231*K351,2)</ns0:f>
        <ns0:v>53.03</ns0:v>
      </ns0:c>
      <ns0:c r="L31" s="8">
        <ns0:f>ROUND(L231*L351,2)</ns0:f>
        <ns0:v>54.29</ns0:v>
      </ns0:c>
      <ns0:c r="M31" s="8">
        <ns0:f>ROUND(M231*M351,2)</ns0:f>
        <ns0:v>64.16</ns0:v>
      </ns0:c>
      <ns0:c r="N31" s="8">
        <ns0:f>ROUND(N231*N351,2)</ns0:f>
        <ns0:v>59.09</ns0:v>
      </ns0:c>
      <ns0:c r="O31" s="8">
        <ns0:f>SUM(C31:N31)</ns0:f>
        <ns0:v>725.98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83.63</ns0:v>
      </ns0:c>
      <ns0:c r="D32" s="8">
        <ns0:f>ROUND(D232*D352,2)</ns0:f>
        <ns0:v>91.52</ns0:v>
      </ns0:c>
      <ns0:c r="E32" s="8">
        <ns0:f>ROUND(E232*E352,2)</ns0:f>
        <ns0:v>100.59</ns0:v>
      </ns0:c>
      <ns0:c r="F32" s="8">
        <ns0:f>ROUND(F232*F352,2)</ns0:f>
        <ns0:v>89.03</ns0:v>
      </ns0:c>
      <ns0:c r="G32" s="8">
        <ns0:f>ROUND(G232*G352,2)</ns0:f>
        <ns0:v>96.65</ns0:v>
      </ns0:c>
      <ns0:c r="H32" s="8">
        <ns0:f>ROUND(H232*H352,2)</ns0:f>
        <ns0:v>83.72</ns0:v>
      </ns0:c>
      <ns0:c r="I32" s="8">
        <ns0:f>ROUND(I232*I352,2)</ns0:f>
        <ns0:v>97.61</ns0:v>
      </ns0:c>
      <ns0:c r="J32" s="8">
        <ns0:f>ROUND(J232*J352,2)</ns0:f>
        <ns0:v>85.83</ns0:v>
      </ns0:c>
      <ns0:c r="K32" s="8">
        <ns0:f>ROUND(K232*K352,2)</ns0:f>
        <ns0:v>91.00</ns0:v>
      </ns0:c>
      <ns0:c r="L32" s="8">
        <ns0:f>ROUND(L232*L352,2)</ns0:f>
        <ns0:v>92.67</ns0:v>
      </ns0:c>
      <ns0:c r="M32" s="8">
        <ns0:f>ROUND(M232*M352,2)</ns0:f>
        <ns0:v>83.35</ns0:v>
      </ns0:c>
      <ns0:c r="N32" s="8">
        <ns0:f>ROUND(N232*N352,2)</ns0:f>
        <ns0:v>82.79</ns0:v>
      </ns0:c>
      <ns0:c r="O32" s="8">
        <ns0:f>SUM(C32:N32)</ns0:f>
        <ns0:v>1078.39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169.50</ns0:v>
      </ns0:c>
      <ns0:c r="D33" s="8">
        <ns0:f>ROUND(D233*D353,2)</ns0:f>
        <ns0:v>184.08</ns0:v>
      </ns0:c>
      <ns0:c r="E33" s="8">
        <ns0:f>ROUND(E233*E353,2)</ns0:f>
        <ns0:v>180.08</ns0:v>
      </ns0:c>
      <ns0:c r="F33" s="8">
        <ns0:f>ROUND(F233*F353,2)</ns0:f>
        <ns0:v>166.97</ns0:v>
      </ns0:c>
      <ns0:c r="G33" s="8">
        <ns0:f>ROUND(G233*G353,2)</ns0:f>
        <ns0:v>174.10</ns0:v>
      </ns0:c>
      <ns0:c r="H33" s="8">
        <ns0:f>ROUND(H233*H353,2)</ns0:f>
        <ns0:v>183.37</ns0:v>
      </ns0:c>
      <ns0:c r="I33" s="8">
        <ns0:f>ROUND(I233*I353,2)</ns0:f>
        <ns0:v>186.78</ns0:v>
      </ns0:c>
      <ns0:c r="J33" s="8">
        <ns0:f>ROUND(J233*J353,2)</ns0:f>
        <ns0:v>165.76</ns0:v>
      </ns0:c>
      <ns0:c r="K33" s="8">
        <ns0:f>ROUND(K233*K353,2)</ns0:f>
        <ns0:v>172.99</ns0:v>
      </ns0:c>
      <ns0:c r="L33" s="8">
        <ns0:f>ROUND(L233*L353,2)</ns0:f>
        <ns0:v>167.25</ns0:v>
      </ns0:c>
      <ns0:c r="M33" s="8">
        <ns0:f>ROUND(M233*M353,2)</ns0:f>
        <ns0:v>184.02</ns0:v>
      </ns0:c>
      <ns0:c r="N33" s="8">
        <ns0:f>ROUND(N233*N353,2)</ns0:f>
        <ns0:v>191.09</ns0:v>
      </ns0:c>
      <ns0:c r="O33" s="8">
        <ns0:f>SUM(C33:N33)</ns0:f>
        <ns0:v>2125.99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29935.72</ns0:v>
      </ns0:c>
      <ns0:c r="D34" s="8">
        <ns0:f>SUM(D4:D33)</ns0:f>
        <ns0:v>29380.51</ns0:v>
      </ns0:c>
      <ns0:c r="E34" s="8">
        <ns0:f>SUM(E4:E33)</ns0:f>
        <ns0:v>29851.02</ns0:v>
      </ns0:c>
      <ns0:c r="F34" s="8">
        <ns0:f>SUM(F4:F33)</ns0:f>
        <ns0:v>29668.27</ns0:v>
      </ns0:c>
      <ns0:c r="G34" s="8">
        <ns0:f>SUM(G4:G33)</ns0:f>
        <ns0:v>29024.97</ns0:v>
      </ns0:c>
      <ns0:c r="H34" s="8">
        <ns0:f>SUM(H4:H33)</ns0:f>
        <ns0:v>29332.70</ns0:v>
      </ns0:c>
      <ns0:c r="I34" s="8">
        <ns0:f>SUM(I4:I33)</ns0:f>
        <ns0:v>29013.81</ns0:v>
      </ns0:c>
      <ns0:c r="J34" s="8">
        <ns0:f>SUM(J4:J33)</ns0:f>
        <ns0:v>29494.86</ns0:v>
      </ns0:c>
      <ns0:c r="K34" s="8">
        <ns0:f>SUM(K4:K33)</ns0:f>
        <ns0:v>29166.98</ns0:v>
      </ns0:c>
      <ns0:c r="L34" s="8">
        <ns0:f>SUM(L4:L33)</ns0:f>
        <ns0:v>29212.69</ns0:v>
      </ns0:c>
      <ns0:c r="M34" s="8">
        <ns0:f>SUM(M4:M33)</ns0:f>
        <ns0:v>29905.12</ns0:v>
      </ns0:c>
      <ns0:c r="N34" s="8">
        <ns0:f>SUM(N4:N33)</ns0:f>
        <ns0:v>29432.14</ns0:v>
      </ns0:c>
      <ns0:c r="O34" s="8">
        <ns0:f>SUM(C34:N34)</ns0:f>
        <ns0:v>353418.79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5328.98</ns0:v>
      </ns0:c>
      <ns0:c r="D35" s="8">
        <ns0:f>'税金及附加'!D33</ns0:f>
        <ns0:v>3716.79</ns0:v>
      </ns0:c>
      <ns0:c r="E35" s="8">
        <ns0:f>'税金及附加'!E33</ns0:f>
        <ns0:v>5241.68</ns0:v>
      </ns0:c>
      <ns0:c r="F35" s="8">
        <ns0:f>'税金及附加'!F33</ns0:f>
        <ns0:v>4032.20</ns0:v>
      </ns0:c>
      <ns0:c r="G35" s="8">
        <ns0:f>'税金及附加'!G33</ns0:f>
        <ns0:v>3736.08</ns0:v>
      </ns0:c>
      <ns0:c r="H35" s="8">
        <ns0:f>'税金及附加'!H33</ns0:f>
        <ns0:v>3358.57</ns0:v>
      </ns0:c>
      <ns0:c r="I35" s="8">
        <ns0:f>'税金及附加'!I33</ns0:f>
        <ns0:v>5427.26</ns0:v>
      </ns0:c>
      <ns0:c r="J35" s="8">
        <ns0:f>'税金及附加'!J33</ns0:f>
        <ns0:v>5374.45</ns0:v>
      </ns0:c>
      <ns0:c r="K35" s="8">
        <ns0:f>'税金及附加'!K33</ns0:f>
        <ns0:v>3670.29</ns0:v>
      </ns0:c>
      <ns0:c r="L35" s="8">
        <ns0:f>'税金及附加'!L33</ns0:f>
        <ns0:v>4929.60</ns0:v>
      </ns0:c>
      <ns0:c r="M35" s="8">
        <ns0:f>'税金及附加'!M33</ns0:f>
        <ns0:v>4117.66</ns0:v>
      </ns0:c>
      <ns0:c r="N35" s="8">
        <ns0:f>'税金及附加'!N33</ns0:f>
        <ns0:v>4180.62</ns0:v>
      </ns0:c>
      <ns0:c r="O35" s="8">
        <ns0:f>SUM(C35:N35)</ns0:f>
        <ns0:v>53114.18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35264.70</ns0:v>
      </ns0:c>
      <ns0:c r="D36" s="8">
        <ns0:f>D34+D35</ns0:f>
        <ns0:v>33097.30</ns0:v>
      </ns0:c>
      <ns0:c r="E36" s="8">
        <ns0:f>E34+E35</ns0:f>
        <ns0:v>35092.70</ns0:v>
      </ns0:c>
      <ns0:c r="F36" s="8">
        <ns0:f>F34+F35</ns0:f>
        <ns0:v>33700.47</ns0:v>
      </ns0:c>
      <ns0:c r="G36" s="8">
        <ns0:f>G34+G35</ns0:f>
        <ns0:v>32761.05</ns0:v>
      </ns0:c>
      <ns0:c r="H36" s="8">
        <ns0:f>H34+H35</ns0:f>
        <ns0:v>32691.27</ns0:v>
      </ns0:c>
      <ns0:c r="I36" s="8">
        <ns0:f>I34+I35</ns0:f>
        <ns0:v>34441.07</ns0:v>
      </ns0:c>
      <ns0:c r="J36" s="8">
        <ns0:f>J34+J35</ns0:f>
        <ns0:v>34869.31</ns0:v>
      </ns0:c>
      <ns0:c r="K36" s="8">
        <ns0:f>K34+K35</ns0:f>
        <ns0:v>32837.27</ns0:v>
      </ns0:c>
      <ns0:c r="L36" s="8">
        <ns0:f>L34+L35</ns0:f>
        <ns0:v>34142.29</ns0:v>
      </ns0:c>
      <ns0:c r="M36" s="8">
        <ns0:f>M34+M35</ns0:f>
        <ns0:v>34022.78</ns0:v>
      </ns0:c>
      <ns0:c r="N36" s="8">
        <ns0:f>N34+N35</ns0:f>
        <ns0:v>33612.76</ns0:v>
      </ns0:c>
      <ns0:c r="O36" s="8">
        <ns0:f>SUM(C36:N36)</ns0:f>
        <ns0:v>406532.97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3634.29</ns0:v>
      </ns0:c>
      <ns0:c r="D204" s="4">
        <ns0:v>3446.13</ns0:v>
      </ns0:c>
      <ns0:c r="E204" s="4">
        <ns0:v>3408.36</ns0:v>
      </ns0:c>
      <ns0:c r="F204" s="4">
        <ns0:v>3576.75</ns0:v>
      </ns0:c>
      <ns0:c r="G204" s="4">
        <ns0:v>3570.00</ns0:v>
      </ns0:c>
      <ns0:c r="H204" s="4">
        <ns0:v>3393.53</ns0:v>
      </ns0:c>
      <ns0:c r="I204" s="4">
        <ns0:v>3409.75</ns0:v>
      </ns0:c>
      <ns0:c r="J204" s="4">
        <ns0:v>3559.02</ns0:v>
      </ns0:c>
      <ns0:c r="K204" s="4">
        <ns0:v>3549.90</ns0:v>
      </ns0:c>
      <ns0:c r="L204" s="4">
        <ns0:v>3329.64</ns0:v>
      </ns0:c>
      <ns0:c r="M204" s="4">
        <ns0:v>3484.48</ns0:v>
      </ns0:c>
      <ns0:c r="N204" s="4">
        <ns0:v>3360.00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254.65</ns0:v>
      </ns0:c>
      <ns0:c r="D205" s="4">
        <ns0:v>251.59</ns0:v>
      </ns0:c>
      <ns0:c r="E205" s="4">
        <ns0:v>256.26</ns0:v>
      </ns0:c>
      <ns0:c r="F205" s="4">
        <ns0:v>262.71</ns0:v>
      </ns0:c>
      <ns0:c r="G205" s="4">
        <ns0:v>242.34</ns0:v>
      </ns0:c>
      <ns0:c r="H205" s="4">
        <ns0:v>247.14</ns0:v>
      </ns0:c>
      <ns0:c r="I205" s="4">
        <ns0:v>237.96</ns0:v>
      </ns0:c>
      <ns0:c r="J205" s="4">
        <ns0:v>245.12</ns0:v>
      </ns0:c>
      <ns0:c r="K205" s="4">
        <ns0:v>244.95</ns0:v>
      </ns0:c>
      <ns0:c r="L205" s="4">
        <ns0:v>249.53</ns0:v>
      </ns0:c>
      <ns0:c r="M205" s="4">
        <ns0:v>248.06</ns0:v>
      </ns0:c>
      <ns0:c r="N205" s="4">
        <ns0:v>254.50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104.90</ns0:v>
      </ns0:c>
      <ns0:c r="D206" s="4">
        <ns0:v>104.52</ns0:v>
      </ns0:c>
      <ns0:c r="E206" s="4">
        <ns0:v>106.61</ns0:v>
      </ns0:c>
      <ns0:c r="F206" s="4">
        <ns0:v>99.64</ns0:v>
      </ns0:c>
      <ns0:c r="G206" s="4">
        <ns0:v>97.05</ns0:v>
      </ns0:c>
      <ns0:c r="H206" s="4">
        <ns0:v>96.47</ns0:v>
      </ns0:c>
      <ns0:c r="I206" s="4">
        <ns0:v>85.81</ns0:v>
      </ns0:c>
      <ns0:c r="J206" s="4">
        <ns0:v>110.52</ns0:v>
      </ns0:c>
      <ns0:c r="K206" s="4">
        <ns0:v>100.06</ns0:v>
      </ns0:c>
      <ns0:c r="L206" s="4">
        <ns0:v>97.69</ns0:v>
      </ns0:c>
      <ns0:c r="M206" s="4">
        <ns0:v>108.83</ns0:v>
      </ns0:c>
      <ns0:c r="N206" s="4">
        <ns0:v>87.83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1091.96</ns0:v>
      </ns0:c>
      <ns0:c r="D207" s="4">
        <ns0:v>1074.43</ns0:v>
      </ns0:c>
      <ns0:c r="E207" s="4">
        <ns0:v>1154.12</ns0:v>
      </ns0:c>
      <ns0:c r="F207" s="4">
        <ns0:v>1098.31</ns0:v>
      </ns0:c>
      <ns0:c r="G207" s="4">
        <ns0:v>1109.51</ns0:v>
      </ns0:c>
      <ns0:c r="H207" s="4">
        <ns0:v>1098.22</ns0:v>
      </ns0:c>
      <ns0:c r="I207" s="4">
        <ns0:v>1146.46</ns0:v>
      </ns0:c>
      <ns0:c r="J207" s="4">
        <ns0:v>1193.67</ns0:v>
      </ns0:c>
      <ns0:c r="K207" s="4">
        <ns0:v>1123.41</ns0:v>
      </ns0:c>
      <ns0:c r="L207" s="4">
        <ns0:v>1157.23</ns0:v>
      </ns0:c>
      <ns0:c r="M207" s="4">
        <ns0:v>1147.39</ns0:v>
      </ns0:c>
      <ns0:c r="N207" s="4">
        <ns0:v>1140.27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230.58</ns0:v>
      </ns0:c>
      <ns0:c r="D208" s="4">
        <ns0:v>211.92</ns0:v>
      </ns0:c>
      <ns0:c r="E208" s="4">
        <ns0:v>257.01</ns0:v>
      </ns0:c>
      <ns0:c r="F208" s="4">
        <ns0:v>237.78</ns0:v>
      </ns0:c>
      <ns0:c r="G208" s="4">
        <ns0:v>197.27</ns0:v>
      </ns0:c>
      <ns0:c r="H208" s="4">
        <ns0:v>226.96</ns0:v>
      </ns0:c>
      <ns0:c r="I208" s="4">
        <ns0:v>225.27</ns0:v>
      </ns0:c>
      <ns0:c r="J208" s="4">
        <ns0:v>225.88</ns0:v>
      </ns0:c>
      <ns0:c r="K208" s="4">
        <ns0:v>237.83</ns0:v>
      </ns0:c>
      <ns0:c r="L208" s="4">
        <ns0:v>199.04</ns0:v>
      </ns0:c>
      <ns0:c r="M208" s="4">
        <ns0:v>230.03</ns0:v>
      </ns0:c>
      <ns0:c r="N208" s="4">
        <ns0:v>223.71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259.93</ns0:v>
      </ns0:c>
      <ns0:c r="D209" s="4">
        <ns0:v>265.08</ns0:v>
      </ns0:c>
      <ns0:c r="E209" s="4">
        <ns0:v>198.83</ns0:v>
      </ns0:c>
      <ns0:c r="F209" s="4">
        <ns0:v>256.89</ns0:v>
      </ns0:c>
      <ns0:c r="G209" s="4">
        <ns0:v>256.76</ns0:v>
      </ns0:c>
      <ns0:c r="H209" s="4">
        <ns0:v>299.88</ns0:v>
      </ns0:c>
      <ns0:c r="I209" s="4">
        <ns0:v>205.01</ns0:v>
      </ns0:c>
      <ns0:c r="J209" s="4">
        <ns0:v>306.06</ns0:v>
      </ns0:c>
      <ns0:c r="K209" s="4">
        <ns0:v>296.12</ns0:v>
      </ns0:c>
      <ns0:c r="L209" s="4">
        <ns0:v>329.29</ns0:v>
      </ns0:c>
      <ns0:c r="M209" s="4">
        <ns0:v>275.70</ns0:v>
      </ns0:c>
      <ns0:c r="N209" s="4">
        <ns0:v>328.70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330.33</ns0:v>
      </ns0:c>
      <ns0:c r="D210" s="4">
        <ns0:v>258.06</ns0:v>
      </ns0:c>
      <ns0:c r="E210" s="4">
        <ns0:v>321.71</ns0:v>
      </ns0:c>
      <ns0:c r="F210" s="4">
        <ns0:v>276.30</ns0:v>
      </ns0:c>
      <ns0:c r="G210" s="4">
        <ns0:v>320.41</ns0:v>
      </ns0:c>
      <ns0:c r="H210" s="4">
        <ns0:v>310.06</ns0:v>
      </ns0:c>
      <ns0:c r="I210" s="4">
        <ns0:v>196.77</ns0:v>
      </ns0:c>
      <ns0:c r="J210" s="4">
        <ns0:v>301.88</ns0:v>
      </ns0:c>
      <ns0:c r="K210" s="4">
        <ns0:v>269.53</ns0:v>
      </ns0:c>
      <ns0:c r="L210" s="4">
        <ns0:v>293.91</ns0:v>
      </ns0:c>
      <ns0:c r="M210" s="4">
        <ns0:v>298.06</ns0:v>
      </ns0:c>
      <ns0:c r="N210" s="4">
        <ns0:v>302.74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840.84</ns0:v>
      </ns0:c>
      <ns0:c r="D211" s="4">
        <ns0:v>568.80</ns0:v>
      </ns0:c>
      <ns0:c r="E211" s="4">
        <ns0:v>773.37</ns0:v>
      </ns0:c>
      <ns0:c r="F211" s="4">
        <ns0:v>776.45</ns0:v>
      </ns0:c>
      <ns0:c r="G211" s="4">
        <ns0:v>701.47</ns0:v>
      </ns0:c>
      <ns0:c r="H211" s="4">
        <ns0:v>782.02</ns0:v>
      </ns0:c>
      <ns0:c r="I211" s="4">
        <ns0:v>743.77</ns0:v>
      </ns0:c>
      <ns0:c r="J211" s="4">
        <ns0:v>623.92</ns0:v>
      </ns0:c>
      <ns0:c r="K211" s="4">
        <ns0:v>747.01</ns0:v>
      </ns0:c>
      <ns0:c r="L211" s="4">
        <ns0:v>670.70</ns0:v>
      </ns0:c>
      <ns0:c r="M211" s="4">
        <ns0:v>826.29</ns0:v>
      </ns0:c>
      <ns0:c r="N211" s="4">
        <ns0:v>742.57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218.63</ns0:v>
      </ns0:c>
      <ns0:c r="D212" s="4">
        <ns0:v>221.31</ns0:v>
      </ns0:c>
      <ns0:c r="E212" s="4">
        <ns0:v>216.47</ns0:v>
      </ns0:c>
      <ns0:c r="F212" s="4">
        <ns0:v>209.20</ns0:v>
      </ns0:c>
      <ns0:c r="G212" s="4">
        <ns0:v>203.90</ns0:v>
      </ns0:c>
      <ns0:c r="H212" s="4">
        <ns0:v>217.79</ns0:v>
      </ns0:c>
      <ns0:c r="I212" s="4">
        <ns0:v>216.85</ns0:v>
      </ns0:c>
      <ns0:c r="J212" s="4">
        <ns0:v>184.70</ns0:v>
      </ns0:c>
      <ns0:c r="K212" s="4">
        <ns0:v>182.65</ns0:v>
      </ns0:c>
      <ns0:c r="L212" s="4">
        <ns0:v>202.48</ns0:v>
      </ns0:c>
      <ns0:c r="M212" s="4">
        <ns0:v>200.04</ns0:v>
      </ns0:c>
      <ns0:c r="N212" s="4">
        <ns0:v>177.38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497.23</ns0:v>
      </ns0:c>
      <ns0:c r="D213" s="4">
        <ns0:v>519.54</ns0:v>
      </ns0:c>
      <ns0:c r="E213" s="4">
        <ns0:v>400.69</ns0:v>
      </ns0:c>
      <ns0:c r="F213" s="4">
        <ns0:v>459.74</ns0:v>
      </ns0:c>
      <ns0:c r="G213" s="4">
        <ns0:v>534.85</ns0:v>
      </ns0:c>
      <ns0:c r="H213" s="4">
        <ns0:v>538.88</ns0:v>
      </ns0:c>
      <ns0:c r="I213" s="4">
        <ns0:v>437.01</ns0:v>
      </ns0:c>
      <ns0:c r="J213" s="4">
        <ns0:v>520.74</ns0:v>
      </ns0:c>
      <ns0:c r="K213" s="4">
        <ns0:v>519.02</ns0:v>
      </ns0:c>
      <ns0:c r="L213" s="4">
        <ns0:v>542.42</ns0:v>
      </ns0:c>
      <ns0:c r="M213" s="4">
        <ns0:v>487.23</ns0:v>
      </ns0:c>
      <ns0:c r="N213" s="4">
        <ns0:v>545.83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239.99</ns0:v>
      </ns0:c>
      <ns0:c r="D214" s="4">
        <ns0:v>249.13</ns0:v>
      </ns0:c>
      <ns0:c r="E214" s="4">
        <ns0:v>255.71</ns0:v>
      </ns0:c>
      <ns0:c r="F214" s="4">
        <ns0:v>212.06</ns0:v>
      </ns0:c>
      <ns0:c r="G214" s="4">
        <ns0:v>203.78</ns0:v>
      </ns0:c>
      <ns0:c r="H214" s="4">
        <ns0:v>235.29</ns0:v>
      </ns0:c>
      <ns0:c r="I214" s="4">
        <ns0:v>210.62</ns0:v>
      </ns0:c>
      <ns0:c r="J214" s="4">
        <ns0:v>258.10</ns0:v>
      </ns0:c>
      <ns0:c r="K214" s="4">
        <ns0:v>245.12</ns0:v>
      </ns0:c>
      <ns0:c r="L214" s="4">
        <ns0:v>211.60</ns0:v>
      </ns0:c>
      <ns0:c r="M214" s="4">
        <ns0:v>227.12</ns0:v>
      </ns0:c>
      <ns0:c r="N214" s="4">
        <ns0:v>259.84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183.11</ns0:v>
      </ns0:c>
      <ns0:c r="D215" s="4">
        <ns0:v>213.53</ns0:v>
      </ns0:c>
      <ns0:c r="E215" s="4">
        <ns0:v>214.53</ns0:v>
      </ns0:c>
      <ns0:c r="F215" s="4">
        <ns0:v>180.89</ns0:v>
      </ns0:c>
      <ns0:c r="G215" s="4">
        <ns0:v>202.29</ns0:v>
      </ns0:c>
      <ns0:c r="H215" s="4">
        <ns0:v>214.78</ns0:v>
      </ns0:c>
      <ns0:c r="I215" s="4">
        <ns0:v>197.51</ns0:v>
      </ns0:c>
      <ns0:c r="J215" s="4">
        <ns0:v>172.64</ns0:v>
      </ns0:c>
      <ns0:c r="K215" s="4">
        <ns0:v>205.60</ns0:v>
      </ns0:c>
      <ns0:c r="L215" s="4">
        <ns0:v>188.95</ns0:v>
      </ns0:c>
      <ns0:c r="M215" s="4">
        <ns0:v>181.18</ns0:v>
      </ns0:c>
      <ns0:c r="N215" s="4">
        <ns0:v>206.92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414.90</ns0:v>
      </ns0:c>
      <ns0:c r="D216" s="4">
        <ns0:v>465.67</ns0:v>
      </ns0:c>
      <ns0:c r="E216" s="4">
        <ns0:v>395.77</ns0:v>
      </ns0:c>
      <ns0:c r="F216" s="4">
        <ns0:v>438.81</ns0:v>
      </ns0:c>
      <ns0:c r="G216" s="4">
        <ns0:v>449.82</ns0:v>
      </ns0:c>
      <ns0:c r="H216" s="4">
        <ns0:v>433.03</ns0:v>
      </ns0:c>
      <ns0:c r="I216" s="4">
        <ns0:v>441.57</ns0:v>
      </ns0:c>
      <ns0:c r="J216" s="4">
        <ns0:v>437.43</ns0:v>
      </ns0:c>
      <ns0:c r="K216" s="4">
        <ns0:v>404.80</ns0:v>
      </ns0:c>
      <ns0:c r="L216" s="4">
        <ns0:v>394.78</ns0:v>
      </ns0:c>
      <ns0:c r="M216" s="4">
        <ns0:v>396.56</ns0:v>
      </ns0:c>
      <ns0:c r="N216" s="4">
        <ns0:v>381.08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587.48</ns0:v>
      </ns0:c>
      <ns0:c r="D217" s="4">
        <ns0:v>599.52</ns0:v>
      </ns0:c>
      <ns0:c r="E217" s="4">
        <ns0:v>486.26</ns0:v>
      </ns0:c>
      <ns0:c r="F217" s="4">
        <ns0:v>675.27</ns0:v>
      </ns0:c>
      <ns0:c r="G217" s="4">
        <ns0:v>467.52</ns0:v>
      </ns0:c>
      <ns0:c r="H217" s="4">
        <ns0:v>447.37</ns0:v>
      </ns0:c>
      <ns0:c r="I217" s="4">
        <ns0:v>537.18</ns0:v>
      </ns0:c>
      <ns0:c r="J217" s="4">
        <ns0:v>436.86</ns0:v>
      </ns0:c>
      <ns0:c r="K217" s="4">
        <ns0:v>423.68</ns0:v>
      </ns0:c>
      <ns0:c r="L217" s="4">
        <ns0:v>680.78</ns0:v>
      </ns0:c>
      <ns0:c r="M217" s="4">
        <ns0:v>641.27</ns0:v>
      </ns0:c>
      <ns0:c r="N217" s="4">
        <ns0:v>646.57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97.38</ns0:v>
      </ns0:c>
      <ns0:c r="D218" s="4">
        <ns0:v>96.97</ns0:v>
      </ns0:c>
      <ns0:c r="E218" s="4">
        <ns0:v>106.87</ns0:v>
      </ns0:c>
      <ns0:c r="F218" s="4">
        <ns0:v>97.55</ns0:v>
      </ns0:c>
      <ns0:c r="G218" s="4">
        <ns0:v>103.73</ns0:v>
      </ns0:c>
      <ns0:c r="H218" s="4">
        <ns0:v>96.44</ns0:v>
      </ns0:c>
      <ns0:c r="I218" s="4">
        <ns0:v>100.50</ns0:v>
      </ns0:c>
      <ns0:c r="J218" s="4">
        <ns0:v>101.46</ns0:v>
      </ns0:c>
      <ns0:c r="K218" s="4">
        <ns0:v>105.22</ns0:v>
      </ns0:c>
      <ns0:c r="L218" s="4">
        <ns0:v>89.64</ns0:v>
      </ns0:c>
      <ns0:c r="M218" s="4">
        <ns0:v>110.94</ns0:v>
      </ns0:c>
      <ns0:c r="N218" s="4">
        <ns0:v>102.04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164.25</ns0:v>
      </ns0:c>
      <ns0:c r="D219" s="4">
        <ns0:v>142.27</ns0:v>
      </ns0:c>
      <ns0:c r="E219" s="4">
        <ns0:v>159.88</ns0:v>
      </ns0:c>
      <ns0:c r="F219" s="4">
        <ns0:v>157.07</ns0:v>
      </ns0:c>
      <ns0:c r="G219" s="4">
        <ns0:v>168.37</ns0:v>
      </ns0:c>
      <ns0:c r="H219" s="4">
        <ns0:v>154.24</ns0:v>
      </ns0:c>
      <ns0:c r="I219" s="4">
        <ns0:v>146.11</ns0:v>
      </ns0:c>
      <ns0:c r="J219" s="4">
        <ns0:v>97.60</ns0:v>
      </ns0:c>
      <ns0:c r="K219" s="4">
        <ns0:v>156.70</ns0:v>
      </ns0:c>
      <ns0:c r="L219" s="4">
        <ns0:v>151.00</ns0:v>
      </ns0:c>
      <ns0:c r="M219" s="4">
        <ns0:v>134.34</ns0:v>
      </ns0:c>
      <ns0:c r="N219" s="4">
        <ns0:v>161.46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105.61</ns0:v>
      </ns0:c>
      <ns0:c r="D221" s="4">
        <ns0:v>103.83</ns0:v>
      </ns0:c>
      <ns0:c r="E221" s="4">
        <ns0:v>91.36</ns0:v>
      </ns0:c>
      <ns0:c r="F221" s="4">
        <ns0:v>110.54</ns0:v>
      </ns0:c>
      <ns0:c r="G221" s="4">
        <ns0:v>92.18</ns0:v>
      </ns0:c>
      <ns0:c r="H221" s="4">
        <ns0:v>95.38</ns0:v>
      </ns0:c>
      <ns0:c r="I221" s="4">
        <ns0:v>107.73</ns0:v>
      </ns0:c>
      <ns0:c r="J221" s="4">
        <ns0:v>105.45</ns0:v>
      </ns0:c>
      <ns0:c r="K221" s="4">
        <ns0:v>99.03</ns0:v>
      </ns0:c>
      <ns0:c r="L221" s="4">
        <ns0:v>100.15</ns0:v>
      </ns0:c>
      <ns0:c r="M221" s="4">
        <ns0:v>109.65</ns0:v>
      </ns0:c>
      <ns0:c r="N221" s="4">
        <ns0:v>105.32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118.18</ns0:v>
      </ns0:c>
      <ns0:c r="D222" s="4">
        <ns0:v>122.69</ns0:v>
      </ns0:c>
      <ns0:c r="E222" s="4">
        <ns0:v>128.63</ns0:v>
      </ns0:c>
      <ns0:c r="F222" s="4">
        <ns0:v>129.80</ns0:v>
      </ns0:c>
      <ns0:c r="G222" s="4">
        <ns0:v>113.67</ns0:v>
      </ns0:c>
      <ns0:c r="H222" s="4">
        <ns0:v>116.63</ns0:v>
      </ns0:c>
      <ns0:c r="I222" s="4">
        <ns0:v>123.67</ns0:v>
      </ns0:c>
      <ns0:c r="J222" s="4">
        <ns0:v>121.27</ns0:v>
      </ns0:c>
      <ns0:c r="K222" s="4">
        <ns0:v>116.49</ns0:v>
      </ns0:c>
      <ns0:c r="L222" s="4">
        <ns0:v>119.80</ns0:v>
      </ns0:c>
      <ns0:c r="M222" s="4">
        <ns0:v>129.04</ns0:v>
      </ns0:c>
      <ns0:c r="N222" s="4">
        <ns0:v>130.54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140.23</ns0:v>
      </ns0:c>
      <ns0:c r="D223" s="4">
        <ns0:v>160.05</ns0:v>
      </ns0:c>
      <ns0:c r="E223" s="4">
        <ns0:v>138.06</ns0:v>
      </ns0:c>
      <ns0:c r="F223" s="4">
        <ns0:v>133.66</ns0:v>
      </ns0:c>
      <ns0:c r="G223" s="4">
        <ns0:v>141.63</ns0:v>
      </ns0:c>
      <ns0:c r="H223" s="4">
        <ns0:v>166.24</ns0:v>
      </ns0:c>
      <ns0:c r="I223" s="4">
        <ns0:v>141.15</ns0:v>
      </ns0:c>
      <ns0:c r="J223" s="4">
        <ns0:v>146.96</ns0:v>
      </ns0:c>
      <ns0:c r="K223" s="4">
        <ns0:v>116.19</ns0:v>
      </ns0:c>
      <ns0:c r="L223" s="4">
        <ns0:v>161.09</ns0:v>
      </ns0:c>
      <ns0:c r="M223" s="4">
        <ns0:v>104.11</ns0:v>
      </ns0:c>
      <ns0:c r="N223" s="4">
        <ns0:v>114.57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129.50</ns0:v>
      </ns0:c>
      <ns0:c r="D224" s="4">
        <ns0:v>127.60</ns0:v>
      </ns0:c>
      <ns0:c r="E224" s="4">
        <ns0:v>113.66</ns0:v>
      </ns0:c>
      <ns0:c r="F224" s="4">
        <ns0:v>124.04</ns0:v>
      </ns0:c>
      <ns0:c r="G224" s="4">
        <ns0:v>131.18</ns0:v>
      </ns0:c>
      <ns0:c r="H224" s="4">
        <ns0:v>108.15</ns0:v>
      </ns0:c>
      <ns0:c r="I224" s="4">
        <ns0:v>106.99</ns0:v>
      </ns0:c>
      <ns0:c r="J224" s="4">
        <ns0:v>120.46</ns0:v>
      </ns0:c>
      <ns0:c r="K224" s="4">
        <ns0:v>124.87</ns0:v>
      </ns0:c>
      <ns0:c r="L224" s="4">
        <ns0:v>115.78</ns0:v>
      </ns0:c>
      <ns0:c r="M224" s="4">
        <ns0:v>104.11</ns0:v>
      </ns0:c>
      <ns0:c r="N224" s="4">
        <ns0:v>115.19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222.13</ns0:v>
      </ns0:c>
      <ns0:c r="D225" s="4">
        <ns0:v>202.08</ns0:v>
      </ns0:c>
      <ns0:c r="E225" s="4">
        <ns0:v>263.24</ns0:v>
      </ns0:c>
      <ns0:c r="F225" s="4">
        <ns0:v>248.77</ns0:v>
      </ns0:c>
      <ns0:c r="G225" s="4">
        <ns0:v>226.36</ns0:v>
      </ns0:c>
      <ns0:c r="H225" s="4">
        <ns0:v>242.94</ns0:v>
      </ns0:c>
      <ns0:c r="I225" s="4">
        <ns0:v>287.16</ns0:v>
      </ns0:c>
      <ns0:c r="J225" s="4">
        <ns0:v>203.80</ns0:v>
      </ns0:c>
      <ns0:c r="K225" s="4">
        <ns0:v>236.79</ns0:v>
      </ns0:c>
      <ns0:c r="L225" s="4">
        <ns0:v>225.63</ns0:v>
      </ns0:c>
      <ns0:c r="M225" s="4">
        <ns0:v>224.64</ns0:v>
      </ns0:c>
      <ns0:c r="N225" s="4">
        <ns0:v>186.28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91.79</ns0:v>
      </ns0:c>
      <ns0:c r="D226" s="4">
        <ns0:v>98.95</ns0:v>
      </ns0:c>
      <ns0:c r="E226" s="4">
        <ns0:v>89.17</ns0:v>
      </ns0:c>
      <ns0:c r="F226" s="4">
        <ns0:v>85.42</ns0:v>
      </ns0:c>
      <ns0:c r="G226" s="4">
        <ns0:v>109.06</ns0:v>
      </ns0:c>
      <ns0:c r="H226" s="4">
        <ns0:v>111.14</ns0:v>
      </ns0:c>
      <ns0:c r="I226" s="4">
        <ns0:v>101.83</ns0:v>
      </ns0:c>
      <ns0:c r="J226" s="4">
        <ns0:v>96.28</ns0:v>
      </ns0:c>
      <ns0:c r="K226" s="4">
        <ns0:v>106.73</ns0:v>
      </ns0:c>
      <ns0:c r="L226" s="4">
        <ns0:v>106.14</ns0:v>
      </ns0:c>
      <ns0:c r="M226" s="4">
        <ns0:v>103.92</ns0:v>
      </ns0:c>
      <ns0:c r="N226" s="4">
        <ns0:v>86.70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189.35</ns0:v>
      </ns0:c>
      <ns0:c r="D227" s="4">
        <ns0:v>176.70</ns0:v>
      </ns0:c>
      <ns0:c r="E227" s="4">
        <ns0:v>182.83</ns0:v>
      </ns0:c>
      <ns0:c r="F227" s="4">
        <ns0:v>215.28</ns0:v>
      </ns0:c>
      <ns0:c r="G227" s="4">
        <ns0:v>175.60</ns0:v>
      </ns0:c>
      <ns0:c r="H227" s="4">
        <ns0:v>177.45</ns0:v>
      </ns0:c>
      <ns0:c r="I227" s="4">
        <ns0:v>174.25</ns0:v>
      </ns0:c>
      <ns0:c r="J227" s="4">
        <ns0:v>154.80</ns0:v>
      </ns0:c>
      <ns0:c r="K227" s="4">
        <ns0:v>188.25</ns0:v>
      </ns0:c>
      <ns0:c r="L227" s="4">
        <ns0:v>201.56</ns0:v>
      </ns0:c>
      <ns0:c r="M227" s="4">
        <ns0:v>213.82</ns0:v>
      </ns0:c>
      <ns0:c r="N227" s="4">
        <ns0:v>196.71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29.87</ns0:v>
      </ns0:c>
      <ns0:c r="D228" s="4">
        <ns0:v>28.59</ns0:v>
      </ns0:c>
      <ns0:c r="E228" s="4">
        <ns0:v>28.51</ns0:v>
      </ns0:c>
      <ns0:c r="F228" s="4">
        <ns0:v>30.93</ns0:v>
      </ns0:c>
      <ns0:c r="G228" s="4">
        <ns0:v>30.99</ns0:v>
      </ns0:c>
      <ns0:c r="H228" s="4">
        <ns0:v>32.17</ns0:v>
      </ns0:c>
      <ns0:c r="I228" s="4">
        <ns0:v>30.76</ns0:v>
      </ns0:c>
      <ns0:c r="J228" s="4">
        <ns0:v>31.56</ns0:v>
      </ns0:c>
      <ns0:c r="K228" s="4">
        <ns0:v>27.35</ns0:v>
      </ns0:c>
      <ns0:c r="L228" s="4">
        <ns0:v>26.00</ns0:v>
      </ns0:c>
      <ns0:c r="M228" s="4">
        <ns0:v>31.82</ns0:v>
      </ns0:c>
      <ns0:c r="N228" s="4">
        <ns0:v>31.56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64.53</ns0:v>
      </ns0:c>
      <ns0:c r="D231" s="4">
        <ns0:v>66.58</ns0:v>
      </ns0:c>
      <ns0:c r="E231" s="4">
        <ns0:v>53.57</ns0:v>
      </ns0:c>
      <ns0:c r="F231" s="4">
        <ns0:v>66.95</ns0:v>
      </ns0:c>
      <ns0:c r="G231" s="4">
        <ns0:v>63.61</ns0:v>
      </ns0:c>
      <ns0:c r="H231" s="4">
        <ns0:v>61.30</ns0:v>
      </ns0:c>
      <ns0:c r="I231" s="4">
        <ns0:v>43.86</ns0:v>
      </ns0:c>
      <ns0:c r="J231" s="4">
        <ns0:v>59.59</ns0:v>
      </ns0:c>
      <ns0:c r="K231" s="4">
        <ns0:v>50.99</ns0:v>
      </ns0:c>
      <ns0:c r="L231" s="4">
        <ns0:v>55.40</ns0:v>
      </ns0:c>
      <ns0:c r="M231" s="4">
        <ns0:v>61.69</ns0:v>
      </ns0:c>
      <ns0:c r="N231" s="4">
        <ns0:v>60.30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87.11</ns0:v>
      </ns0:c>
      <ns0:c r="D232" s="4">
        <ns0:v>93.39</ns0:v>
      </ns0:c>
      <ns0:c r="E232" s="4">
        <ns0:v>103.70</ns0:v>
      </ns0:c>
      <ns0:c r="F232" s="4">
        <ns0:v>86.44</ns0:v>
      </ns0:c>
      <ns0:c r="G232" s="4">
        <ns0:v>98.62</ns0:v>
      </ns0:c>
      <ns0:c r="H232" s="4">
        <ns0:v>82.08</ns0:v>
      </ns0:c>
      <ns0:c r="I232" s="4">
        <ns0:v>95.70</ns0:v>
      </ns0:c>
      <ns0:c r="J232" s="4">
        <ns0:v>62.65</ns0:v>
      </ns0:c>
      <ns0:c r="K232" s="4">
        <ns0:v>88.35</ns0:v>
      </ns0:c>
      <ns0:c r="L232" s="4">
        <ns0:v>67.64</ns0:v>
      </ns0:c>
      <ns0:c r="M232" s="4">
        <ns0:v>81.72</ns0:v>
      </ns0:c>
      <ns0:c r="N232" s="4">
        <ns0:v>60.43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88.28</ns0:v>
      </ns0:c>
      <ns0:c r="D233" s="4">
        <ns0:v>94.40</ns0:v>
      </ns0:c>
      <ns0:c r="E233" s="4">
        <ns0:v>90.49</ns0:v>
      </ns0:c>
      <ns0:c r="F233" s="4">
        <ns0:v>81.85</ns0:v>
      </ns0:c>
      <ns0:c r="G233" s="4">
        <ns0:v>89.74</ns0:v>
      </ns0:c>
      <ns0:c r="H233" s="4">
        <ns0:v>94.52</ns0:v>
      </ns0:c>
      <ns0:c r="I233" s="4">
        <ns0:v>90.67</ns0:v>
      </ns0:c>
      <ns0:c r="J233" s="4">
        <ns0:v>80.86</ns0:v>
      </ns0:c>
      <ns0:c r="K233" s="4">
        <ns0:v>87.81</ns0:v>
      </ns0:c>
      <ns0:c r="L233" s="4">
        <ns0:v>86.21</ns0:v>
      </ns0:c>
      <ns0:c r="M233" s="4">
        <ns0:v>92.94</ns0:v>
      </ns0:c>
      <ns0:c r="N233" s="4">
        <ns0:v>98.50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3.92</ns0:v>
      </ns0:c>
      <ns0:c r="D324" s="4">
        <ns0:v>4.08</ns0:v>
      </ns0:c>
      <ns0:c r="E324" s="4">
        <ns0:v>4.14</ns0:v>
      </ns0:c>
      <ns0:c r="F324" s="4">
        <ns0:v>3.94</ns0:v>
      </ns0:c>
      <ns0:c r="G324" s="4">
        <ns0:v>3.86</ns0:v>
      </ns0:c>
      <ns0:c r="H324" s="4">
        <ns0:v>4.05</ns0:v>
      </ns0:c>
      <ns0:c r="I324" s="4">
        <ns0:v>4.08</ns0:v>
      </ns0:c>
      <ns0:c r="J324" s="4">
        <ns0:v>3.89</ns0:v>
      </ns0:c>
      <ns0:c r="K324" s="4">
        <ns0:v>3.90</ns0:v>
      </ns0:c>
      <ns0:c r="L324" s="4">
        <ns0:v>4.15</ns0:v>
      </ns0:c>
      <ns0:c r="M324" s="4">
        <ns0:v>4.06</ns0:v>
      </ns0:c>
      <ns0:c r="N324" s="4">
        <ns0:v>4.15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3.96</ns0:v>
      </ns0:c>
      <ns0:c r="D325" s="4">
        <ns0:v>3.91</ns0:v>
      </ns0:c>
      <ns0:c r="E325" s="4">
        <ns0:v>3.98</ns0:v>
      </ns0:c>
      <ns0:c r="F325" s="4">
        <ns0:v>3.88</ns0:v>
      </ns0:c>
      <ns0:c r="G325" s="4">
        <ns0:v>4.11</ns0:v>
      </ns0:c>
      <ns0:c r="H325" s="4">
        <ns0:v>3.99</ns0:v>
      </ns0:c>
      <ns0:c r="I325" s="4">
        <ns0:v>4.12</ns0:v>
      </ns0:c>
      <ns0:c r="J325" s="4">
        <ns0:v>4.06</ns0:v>
      </ns0:c>
      <ns0:c r="K325" s="4">
        <ns0:v>4.02</ns0:v>
      </ns0:c>
      <ns0:c r="L325" s="4">
        <ns0:v>4.01</ns0:v>
      </ns0:c>
      <ns0:c r="M325" s="4">
        <ns0:v>4.07</ns0:v>
      </ns0:c>
      <ns0:c r="N325" s="4">
        <ns0:v>3.91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4.06</ns0:v>
      </ns0:c>
      <ns0:c r="D326" s="4">
        <ns0:v>4.06</ns0:v>
      </ns0:c>
      <ns0:c r="E326" s="4">
        <ns0:v>4.06</ns0:v>
      </ns0:c>
      <ns0:c r="F326" s="4">
        <ns0:v>4.01</ns0:v>
      </ns0:c>
      <ns0:c r="G326" s="4">
        <ns0:v>4.12</ns0:v>
      </ns0:c>
      <ns0:c r="H326" s="4">
        <ns0:v>4.14</ns0:v>
      </ns0:c>
      <ns0:c r="I326" s="4">
        <ns0:v>4.15</ns0:v>
      </ns0:c>
      <ns0:c r="J326" s="4">
        <ns0:v>3.90</ns0:v>
      </ns0:c>
      <ns0:c r="K326" s="4">
        <ns0:v>4.12</ns0:v>
      </ns0:c>
      <ns0:c r="L326" s="4">
        <ns0:v>3.84</ns0:v>
      </ns0:c>
      <ns0:c r="M326" s="4">
        <ns0:v>3.96</ns0:v>
      </ns0:c>
      <ns0:c r="N326" s="4">
        <ns0:v>4.11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4.10</ns0:v>
      </ns0:c>
      <ns0:c r="D327" s="4">
        <ns0:v>4.12</ns0:v>
      </ns0:c>
      <ns0:c r="E327" s="4">
        <ns0:v>3.91</ns0:v>
      </ns0:c>
      <ns0:c r="F327" s="4">
        <ns0:v>4.08</ns0:v>
      </ns0:c>
      <ns0:c r="G327" s="4">
        <ns0:v>4.01</ns0:v>
      </ns0:c>
      <ns0:c r="H327" s="4">
        <ns0:v>4.15</ns0:v>
      </ns0:c>
      <ns0:c r="I327" s="4">
        <ns0:v>3.90</ns0:v>
      </ns0:c>
      <ns0:c r="J327" s="4">
        <ns0:v>3.84</ns0:v>
      </ns0:c>
      <ns0:c r="K327" s="4">
        <ns0:v>3.95</ns0:v>
      </ns0:c>
      <ns0:c r="L327" s="4">
        <ns0:v>3.91</ns0:v>
      </ns0:c>
      <ns0:c r="M327" s="4">
        <ns0:v>3.98</ns0:v>
      </ns0:c>
      <ns0:c r="N327" s="4">
        <ns0:v>3.92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4.37</ns0:v>
      </ns0:c>
      <ns0:c r="D328" s="4">
        <ns0:v>4.12</ns0:v>
      </ns0:c>
      <ns0:c r="E328" s="4">
        <ns0:v>3.92</ns0:v>
      </ns0:c>
      <ns0:c r="F328" s="4">
        <ns0:v>4.02</ns0:v>
      </ns0:c>
      <ns0:c r="G328" s="4">
        <ns0:v>4.09</ns0:v>
      </ns0:c>
      <ns0:c r="H328" s="4">
        <ns0:v>4.04</ns0:v>
      </ns0:c>
      <ns0:c r="I328" s="4">
        <ns0:v>3.94</ns0:v>
      </ns0:c>
      <ns0:c r="J328" s="4">
        <ns0:v>4.07</ns0:v>
      </ns0:c>
      <ns0:c r="K328" s="4">
        <ns0:v>3.95</ns0:v>
      </ns0:c>
      <ns0:c r="L328" s="4">
        <ns0:v>4.06</ns0:v>
      </ns0:c>
      <ns0:c r="M328" s="4">
        <ns0:v>4.10</ns0:v>
      </ns0:c>
      <ns0:c r="N328" s="4">
        <ns0:v>3.85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1.04</ns0:v>
      </ns0:c>
      <ns0:c r="D329" s="4">
        <ns0:v>1.03</ns0:v>
      </ns0:c>
      <ns0:c r="E329" s="4">
        <ns0:v>1.37</ns0:v>
      </ns0:c>
      <ns0:c r="F329" s="4">
        <ns0:v>1.03</ns0:v>
      </ns0:c>
      <ns0:c r="G329" s="4">
        <ns0:v>1.04</ns0:v>
      </ns0:c>
      <ns0:c r="H329" s="4">
        <ns0:v>0.98</ns0:v>
      </ns0:c>
      <ns0:c r="I329" s="4">
        <ns0:v>1.37</ns0:v>
      </ns0:c>
      <ns0:c r="J329" s="4">
        <ns0:v>0.96</ns0:v>
      </ns0:c>
      <ns0:c r="K329" s="4">
        <ns0:v>0.99</ns0:v>
      </ns0:c>
      <ns0:c r="L329" s="4">
        <ns0:v>1.01</ns0:v>
      </ns0:c>
      <ns0:c r="M329" s="4">
        <ns0:v>0.99</ns0:v>
      </ns0:c>
      <ns0:c r="N329" s="4">
        <ns0:v>0.97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1.01</ns0:v>
      </ns0:c>
      <ns0:c r="D330" s="4">
        <ns0:v>1.03</ns0:v>
      </ns0:c>
      <ns0:c r="E330" s="4">
        <ns0:v>0.97</ns0:v>
      </ns0:c>
      <ns0:c r="F330" s="4">
        <ns0:v>1.01</ns0:v>
      </ns0:c>
      <ns0:c r="G330" s="4">
        <ns0:v>0.97</ns0:v>
      </ns0:c>
      <ns0:c r="H330" s="4">
        <ns0:v>0.99</ns0:v>
      </ns0:c>
      <ns0:c r="I330" s="4">
        <ns0:v>1.37</ns0:v>
      </ns0:c>
      <ns0:c r="J330" s="4">
        <ns0:v>0.96</ns0:v>
      </ns0:c>
      <ns0:c r="K330" s="4">
        <ns0:v>1.03</ns0:v>
      </ns0:c>
      <ns0:c r="L330" s="4">
        <ns0:v>1.04</ns0:v>
      </ns0:c>
      <ns0:c r="M330" s="4">
        <ns0:v>0.99</ns0:v>
      </ns0:c>
      <ns0:c r="N330" s="4">
        <ns0:v>1.03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1.97</ns0:v>
      </ns0:c>
      <ns0:c r="D331" s="4">
        <ns0:v>2.37</ns0:v>
      </ns0:c>
      <ns0:c r="E331" s="4">
        <ns0:v>1.99</ns0:v>
      </ns0:c>
      <ns0:c r="F331" s="4">
        <ns0:v>2.07</ns0:v>
      </ns0:c>
      <ns0:c r="G331" s="4">
        <ns0:v>2.04</ns0:v>
      </ns0:c>
      <ns0:c r="H331" s="4">
        <ns0:v>1.93</ns0:v>
      </ns0:c>
      <ns0:c r="I331" s="4">
        <ns0:v>1.95</ns0:v>
      </ns0:c>
      <ns0:c r="J331" s="4">
        <ns0:v>2.37</ns0:v>
      </ns0:c>
      <ns0:c r="K331" s="4">
        <ns0:v>2.01</ns0:v>
      </ns0:c>
      <ns0:c r="L331" s="4">
        <ns0:v>2.37</ns0:v>
      </ns0:c>
      <ns0:c r="M331" s="4">
        <ns0:v>1.98</ns0:v>
      </ns0:c>
      <ns0:c r="N331" s="4">
        <ns0:v>2.04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1.93</ns0:v>
      </ns0:c>
      <ns0:c r="D332" s="4">
        <ns0:v>1.93</ns0:v>
      </ns0:c>
      <ns0:c r="E332" s="4">
        <ns0:v>1.94</ns0:v>
      </ns0:c>
      <ns0:c r="F332" s="4">
        <ns0:v>2.06</ns0:v>
      </ns0:c>
      <ns0:c r="G332" s="4">
        <ns0:v>2.01</ns0:v>
      </ns0:c>
      <ns0:c r="H332" s="4">
        <ns0:v>1.94</ns0:v>
      </ns0:c>
      <ns0:c r="I332" s="4">
        <ns0:v>1.93</ns0:v>
      </ns0:c>
      <ns0:c r="J332" s="4">
        <ns0:v>2.06</ns0:v>
      </ns0:c>
      <ns0:c r="K332" s="4">
        <ns0:v>1.93</ns0:v>
      </ns0:c>
      <ns0:c r="L332" s="4">
        <ns0:v>1.92</ns0:v>
      </ns0:c>
      <ns0:c r="M332" s="4">
        <ns0:v>1.98</ns0:v>
      </ns0:c>
      <ns0:c r="N332" s="4">
        <ns0:v>2.03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1.01</ns0:v>
      </ns0:c>
      <ns0:c r="D333" s="4">
        <ns0:v>0.97</ns0:v>
      </ns0:c>
      <ns0:c r="E333" s="4">
        <ns0:v>1.37</ns0:v>
      </ns0:c>
      <ns0:c r="F333" s="4">
        <ns0:v>0.97</ns0:v>
      </ns0:c>
      <ns0:c r="G333" s="4">
        <ns0:v>1.02</ns0:v>
      </ns0:c>
      <ns0:c r="H333" s="4">
        <ns0:v>0.98</ns0:v>
      </ns0:c>
      <ns0:c r="I333" s="4">
        <ns0:v>1.02</ns0:v>
      </ns0:c>
      <ns0:c r="J333" s="4">
        <ns0:v>1.02</ns0:v>
      </ns0:c>
      <ns0:c r="K333" s="4">
        <ns0:v>1.02</ns0:v>
      </ns0:c>
      <ns0:c r="L333" s="4">
        <ns0:v>0.97</ns0:v>
      </ns0:c>
      <ns0:c r="M333" s="4">
        <ns0:v>1.01</ns0:v>
      </ns0:c>
      <ns0:c r="N333" s="4">
        <ns0:v>1.02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3.06</ns0:v>
      </ns0:c>
      <ns0:c r="D334" s="4">
        <ns0:v>2.95</ns0:v>
      </ns0:c>
      <ns0:c r="E334" s="4">
        <ns0:v>2.98</ns0:v>
      </ns0:c>
      <ns0:c r="F334" s="4">
        <ns0:v>2.95</ns0:v>
      </ns0:c>
      <ns0:c r="G334" s="4">
        <ns0:v>3.04</ns0:v>
      </ns0:c>
      <ns0:c r="H334" s="4">
        <ns0:v>2.94</ns0:v>
      </ns0:c>
      <ns0:c r="I334" s="4">
        <ns0:v>3.03</ns0:v>
      </ns0:c>
      <ns0:c r="J334" s="4">
        <ns0:v>2.97</ns0:v>
      </ns0:c>
      <ns0:c r="K334" s="4">
        <ns0:v>2.98</ns0:v>
      </ns0:c>
      <ns0:c r="L334" s="4">
        <ns0:v>3.07</ns0:v>
      </ns0:c>
      <ns0:c r="M334" s="4">
        <ns0:v>3.03</ns0:v>
      </ns0:c>
      <ns0:c r="N334" s="4">
        <ns0:v>3.01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1.97</ns0:v>
      </ns0:c>
      <ns0:c r="D335" s="4">
        <ns0:v>2.06</ns0:v>
      </ns0:c>
      <ns0:c r="E335" s="4">
        <ns0:v>1.98</ns0:v>
      </ns0:c>
      <ns0:c r="F335" s="4">
        <ns0:v>2.06</ns0:v>
      </ns0:c>
      <ns0:c r="G335" s="4">
        <ns0:v>1.92</ns0:v>
      </ns0:c>
      <ns0:c r="H335" s="4">
        <ns0:v>1.94</ns0:v>
      </ns0:c>
      <ns0:c r="I335" s="4">
        <ns0:v>1.94</ns0:v>
      </ns0:c>
      <ns0:c r="J335" s="4">
        <ns0:v>2.37</ns0:v>
      </ns0:c>
      <ns0:c r="K335" s="4">
        <ns0:v>2.03</ns0:v>
      </ns0:c>
      <ns0:c r="L335" s="4">
        <ns0:v>2.03</ns0:v>
      </ns0:c>
      <ns0:c r="M335" s="4">
        <ns0:v>2.37</ns0:v>
      </ns0:c>
      <ns0:c r="N335" s="4">
        <ns0:v>1.96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1.97</ns0:v>
      </ns0:c>
      <ns0:c r="D336" s="4">
        <ns0:v>1.92</ns0:v>
      </ns0:c>
      <ns0:c r="E336" s="4">
        <ns0:v>1.95</ns0:v>
      </ns0:c>
      <ns0:c r="F336" s="4">
        <ns0:v>1.95</ns0:v>
      </ns0:c>
      <ns0:c r="G336" s="4">
        <ns0:v>1.98</ns0:v>
      </ns0:c>
      <ns0:c r="H336" s="4">
        <ns0:v>2.02</ns0:v>
      </ns0:c>
      <ns0:c r="I336" s="4">
        <ns0:v>1.94</ns0:v>
      </ns0:c>
      <ns0:c r="J336" s="4">
        <ns0:v>1.99</ns0:v>
      </ns0:c>
      <ns0:c r="K336" s="4">
        <ns0:v>1.95</ns0:v>
      </ns0:c>
      <ns0:c r="L336" s="4">
        <ns0:v>2.07</ns0:v>
      </ns0:c>
      <ns0:c r="M336" s="4">
        <ns0:v>2.07</ns0:v>
      </ns0:c>
      <ns0:c r="N336" s="4">
        <ns0:v>1.97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1.03</ns0:v>
      </ns0:c>
      <ns0:c r="D337" s="4">
        <ns0:v>1.01</ns0:v>
      </ns0:c>
      <ns0:c r="E337" s="4">
        <ns0:v>1.37</ns0:v>
      </ns0:c>
      <ns0:c r="F337" s="4">
        <ns0:v>0.99</ns0:v>
      </ns0:c>
      <ns0:c r="G337" s="4">
        <ns0:v>1.37</ns0:v>
      </ns0:c>
      <ns0:c r="H337" s="4">
        <ns0:v>1.37</ns0:v>
      </ns0:c>
      <ns0:c r="I337" s="4">
        <ns0:v>1.02</ns0:v>
      </ns0:c>
      <ns0:c r="J337" s="4">
        <ns0:v>1.37</ns0:v>
      </ns0:c>
      <ns0:c r="K337" s="4">
        <ns0:v>1.37</ns0:v>
      </ns0:c>
      <ns0:c r="L337" s="4">
        <ns0:v>0.97</ns0:v>
      </ns0:c>
      <ns0:c r="M337" s="4">
        <ns0:v>0.99</ns0:v>
      </ns0:c>
      <ns0:c r="N337" s="4">
        <ns0:v>1.01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3.37</ns0:v>
      </ns0:c>
      <ns0:c r="D338" s="4">
        <ns0:v>2.99</ns0:v>
      </ns0:c>
      <ns0:c r="E338" s="4">
        <ns0:v>2.93</ns0:v>
      </ns0:c>
      <ns0:c r="F338" s="4">
        <ns0:v>3.37</ns0:v>
      </ns0:c>
      <ns0:c r="G338" s="4">
        <ns0:v>2.96</ns0:v>
      </ns0:c>
      <ns0:c r="H338" s="4">
        <ns0:v>3.06</ns0:v>
      </ns0:c>
      <ns0:c r="I338" s="4">
        <ns0:v>3.05</ns0:v>
      </ns0:c>
      <ns0:c r="J338" s="4">
        <ns0:v>2.98</ns0:v>
      </ns0:c>
      <ns0:c r="K338" s="4">
        <ns0:v>2.97</ns0:v>
      </ns0:c>
      <ns0:c r="L338" s="4">
        <ns0:v>2.98</ns0:v>
      </ns0:c>
      <ns0:c r="M338" s="4">
        <ns0:v>3.02</ns0:v>
      </ns0:c>
      <ns0:c r="N338" s="4">
        <ns0:v>2.90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1.02</ns0:v>
      </ns0:c>
      <ns0:c r="D339" s="4">
        <ns0:v>1.03</ns0:v>
      </ns0:c>
      <ns0:c r="E339" s="4">
        <ns0:v>1.02</ns0:v>
      </ns0:c>
      <ns0:c r="F339" s="4">
        <ns0:v>1.02</ns0:v>
      </ns0:c>
      <ns0:c r="G339" s="4">
        <ns0:v>0.97</ns0:v>
      </ns0:c>
      <ns0:c r="H339" s="4">
        <ns0:v>0.97</ns0:v>
      </ns0:c>
      <ns0:c r="I339" s="4">
        <ns0:v>0.99</ns0:v>
      </ns0:c>
      <ns0:c r="J339" s="4">
        <ns0:v>1.37</ns0:v>
      </ns0:c>
      <ns0:c r="K339" s="4">
        <ns0:v>1.03</ns0:v>
      </ns0:c>
      <ns0:c r="L339" s="4">
        <ns0:v>1.02</ns0:v>
      </ns0:c>
      <ns0:c r="M339" s="4">
        <ns0:v>1.02</ns0:v>
      </ns0:c>
      <ns0:c r="N339" s="4">
        <ns0:v>1.02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2.88</ns0:v>
      </ns0:c>
      <ns0:c r="D341" s="4">
        <ns0:v>2.95</ns0:v>
      </ns0:c>
      <ns0:c r="E341" s="4">
        <ns0:v>2.95</ns0:v>
      </ns0:c>
      <ns0:c r="F341" s="4">
        <ns0:v>2.98</ns0:v>
      </ns0:c>
      <ns0:c r="G341" s="4">
        <ns0:v>2.98</ns0:v>
      </ns0:c>
      <ns0:c r="H341" s="4">
        <ns0:v>2.91</ns0:v>
      </ns0:c>
      <ns0:c r="I341" s="4">
        <ns0:v>2.90</ns0:v>
      </ns0:c>
      <ns0:c r="J341" s="4">
        <ns0:v>2.93</ns0:v>
      </ns0:c>
      <ns0:c r="K341" s="4">
        <ns0:v>3.08</ns0:v>
      </ns0:c>
      <ns0:c r="L341" s="4">
        <ns0:v>2.93</ns0:v>
      </ns0:c>
      <ns0:c r="M341" s="4">
        <ns0:v>3.06</ns0:v>
      </ns0:c>
      <ns0:c r="N341" s="4">
        <ns0:v>3.02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2.01</ns0:v>
      </ns0:c>
      <ns0:c r="D342" s="4">
        <ns0:v>1.93</ns0:v>
      </ns0:c>
      <ns0:c r="E342" s="4">
        <ns0:v>1.93</ns0:v>
      </ns0:c>
      <ns0:c r="F342" s="4">
        <ns0:v>2.03</ns0:v>
      </ns0:c>
      <ns0:c r="G342" s="4">
        <ns0:v>2.37</ns0:v>
      </ns0:c>
      <ns0:c r="H342" s="4">
        <ns0:v>2.03</ns0:v>
      </ns0:c>
      <ns0:c r="I342" s="4">
        <ns0:v>1.93</ns0:v>
      </ns0:c>
      <ns0:c r="J342" s="4">
        <ns0:v>2.03</ns0:v>
      </ns0:c>
      <ns0:c r="K342" s="4">
        <ns0:v>1.93</ns0:v>
      </ns0:c>
      <ns0:c r="L342" s="4">
        <ns0:v>2.02</ns0:v>
      </ns0:c>
      <ns0:c r="M342" s="4">
        <ns0:v>1.95</ns0:v>
      </ns0:c>
      <ns0:c r="N342" s="4">
        <ns0:v>1.94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0.96</ns0:v>
      </ns0:c>
      <ns0:c r="D343" s="4">
        <ns0:v>0.99</ns0:v>
      </ns0:c>
      <ns0:c r="E343" s="4">
        <ns0:v>0.97</ns0:v>
      </ns0:c>
      <ns0:c r="F343" s="4">
        <ns0:v>1.02</ns0:v>
      </ns0:c>
      <ns0:c r="G343" s="4">
        <ns0:v>0.98</ns0:v>
      </ns0:c>
      <ns0:c r="H343" s="4">
        <ns0:v>0.97</ns0:v>
      </ns0:c>
      <ns0:c r="I343" s="4">
        <ns0:v>0.99</ns0:v>
      </ns0:c>
      <ns0:c r="J343" s="4">
        <ns0:v>1.01</ns0:v>
      </ns0:c>
      <ns0:c r="K343" s="4">
        <ns0:v>1.37</ns0:v>
      </ns0:c>
      <ns0:c r="L343" s="4">
        <ns0:v>0.97</ns0:v>
      </ns0:c>
      <ns0:c r="M343" s="4">
        <ns0:v>1.37</ns0:v>
      </ns0:c>
      <ns0:c r="N343" s="4">
        <ns0:v>1.37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1.01</ns0:v>
      </ns0:c>
      <ns0:c r="D344" s="4">
        <ns0:v>1.02</ns0:v>
      </ns0:c>
      <ns0:c r="E344" s="4">
        <ns0:v>0.99</ns0:v>
      </ns0:c>
      <ns0:c r="F344" s="4">
        <ns0:v>0.98</ns0:v>
      </ns0:c>
      <ns0:c r="G344" s="4">
        <ns0:v>0.99</ns0:v>
      </ns0:c>
      <ns0:c r="H344" s="4">
        <ns0:v>1.01</ns0:v>
      </ns0:c>
      <ns0:c r="I344" s="4">
        <ns0:v>1.02</ns0:v>
      </ns0:c>
      <ns0:c r="J344" s="4">
        <ns0:v>0.99</ns0:v>
      </ns0:c>
      <ns0:c r="K344" s="4">
        <ns0:v>0.97</ns0:v>
      </ns0:c>
      <ns0:c r="L344" s="4">
        <ns0:v>1.03</ns0:v>
      </ns0:c>
      <ns0:c r="M344" s="4">
        <ns0:v>1.02</ns0:v>
      </ns0:c>
      <ns0:c r="N344" s="4">
        <ns0:v>1.02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1.01</ns0:v>
      </ns0:c>
      <ns0:c r="D345" s="4">
        <ns0:v>1.37</ns0:v>
      </ns0:c>
      <ns0:c r="E345" s="4">
        <ns0:v>0.98</ns0:v>
      </ns0:c>
      <ns0:c r="F345" s="4">
        <ns0:v>1.04</ns0:v>
      </ns0:c>
      <ns0:c r="G345" s="4">
        <ns0:v>0.99</ns0:v>
      </ns0:c>
      <ns0:c r="H345" s="4">
        <ns0:v>1.03</ns0:v>
      </ns0:c>
      <ns0:c r="I345" s="4">
        <ns0:v>0.97</ns0:v>
      </ns0:c>
      <ns0:c r="J345" s="4">
        <ns0:v>1.37</ns0:v>
      </ns0:c>
      <ns0:c r="K345" s="4">
        <ns0:v>1.02</ns0:v>
      </ns0:c>
      <ns0:c r="L345" s="4">
        <ns0:v>1.04</ns0:v>
      </ns0:c>
      <ns0:c r="M345" s="4">
        <ns0:v>0.98</ns0:v>
      </ns0:c>
      <ns0:c r="N345" s="4">
        <ns0:v>1.37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1.98</ns0:v>
      </ns0:c>
      <ns0:c r="D346" s="4">
        <ns0:v>2.06</ns0:v>
      </ns0:c>
      <ns0:c r="E346" s="4">
        <ns0:v>2.08</ns0:v>
      </ns0:c>
      <ns0:c r="F346" s="4">
        <ns0:v>2.08</ns0:v>
      </ns0:c>
      <ns0:c r="G346" s="4">
        <ns0:v>1.93</ns0:v>
      </ns0:c>
      <ns0:c r="H346" s="4">
        <ns0:v>1.98</ns0:v>
      </ns0:c>
      <ns0:c r="I346" s="4">
        <ns0:v>2.06</ns0:v>
      </ns0:c>
      <ns0:c r="J346" s="4">
        <ns0:v>1.92</ns0:v>
      </ns0:c>
      <ns0:c r="K346" s="4">
        <ns0:v>1.95</ns0:v>
      </ns0:c>
      <ns0:c r="L346" s="4">
        <ns0:v>2.03</ns0:v>
      </ns0:c>
      <ns0:c r="M346" s="4">
        <ns0:v>1.93</ns0:v>
      </ns0:c>
      <ns0:c r="N346" s="4">
        <ns0:v>2.37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0.98</ns0:v>
      </ns0:c>
      <ns0:c r="D347" s="4">
        <ns0:v>1.03</ns0:v>
      </ns0:c>
      <ns0:c r="E347" s="4">
        <ns0:v>1.04</ns0:v>
      </ns0:c>
      <ns0:c r="F347" s="4">
        <ns0:v>1.03</ns0:v>
      </ns0:c>
      <ns0:c r="G347" s="4">
        <ns0:v>1.01</ns0:v>
      </ns0:c>
      <ns0:c r="H347" s="4">
        <ns0:v>1.02</ns0:v>
      </ns0:c>
      <ns0:c r="I347" s="4">
        <ns0:v>1.02</ns0:v>
      </ns0:c>
      <ns0:c r="J347" s="4">
        <ns0:v>1.37</ns0:v>
      </ns0:c>
      <ns0:c r="K347" s="4">
        <ns0:v>1.03</ns0:v>
      </ns0:c>
      <ns0:c r="L347" s="4">
        <ns0:v>1.01</ns0:v>
      </ns0:c>
      <ns0:c r="M347" s="4">
        <ns0:v>1.02</ns0:v>
      </ns0:c>
      <ns0:c r="N347" s="4">
        <ns0:v>0.98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5.16</ns0:v>
      </ns0:c>
      <ns0:c r="D348" s="4">
        <ns0:v>5.19</ns0:v>
      </ns0:c>
      <ns0:c r="E348" s="4">
        <ns0:v>4.97</ns0:v>
      </ns0:c>
      <ns0:c r="F348" s="4">
        <ns0:v>4.86</ns0:v>
      </ns0:c>
      <ns0:c r="G348" s="4">
        <ns0:v>5.15</ns0:v>
      </ns0:c>
      <ns0:c r="H348" s="4">
        <ns0:v>5.14</ns0:v>
      </ns0:c>
      <ns0:c r="I348" s="4">
        <ns0:v>5.01</ns0:v>
      </ns0:c>
      <ns0:c r="J348" s="4">
        <ns0:v>4.91</ns0:v>
      </ns0:c>
      <ns0:c r="K348" s="4">
        <ns0:v>4.83</ns0:v>
      </ns0:c>
      <ns0:c r="L348" s="4">
        <ns0:v>5.10</ns0:v>
      </ns0:c>
      <ns0:c r="M348" s="4">
        <ns0:v>5.15</ns0:v>
      </ns0:c>
      <ns0:c r="N348" s="4">
        <ns0:v>4.89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1.19</ns0:v>
      </ns0:c>
      <ns0:c r="J350" s="4">
        <ns0:v>1.19</ns0:v>
      </ns0:c>
      <ns0:c r="K350" s="4">
        <ns0:v>1.19</ns0:v>
      </ns0:c>
      <ns0:c r="L350" s="4">
        <ns0:v>1.19</ns0:v>
      </ns0:c>
      <ns0:c r="M350" s="4">
        <ns0:v>1.19</ns0:v>
      </ns0:c>
      <ns0:c r="N350" s="4">
        <ns0:v>1.19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1.03</ns0:v>
      </ns0:c>
      <ns0:c r="D351" s="4">
        <ns0:v>0.98</ns0:v>
      </ns0:c>
      <ns0:c r="E351" s="4">
        <ns0:v>1.01</ns0:v>
      </ns0:c>
      <ns0:c r="F351" s="4">
        <ns0:v>0.98</ns0:v>
      </ns0:c>
      <ns0:c r="G351" s="4">
        <ns0:v>1.01</ns0:v>
      </ns0:c>
      <ns0:c r="H351" s="4">
        <ns0:v>0.96</ns0:v>
      </ns0:c>
      <ns0:c r="I351" s="4">
        <ns0:v>1.37</ns0:v>
      </ns0:c>
      <ns0:c r="J351" s="4">
        <ns0:v>1.02</ns0:v>
      </ns0:c>
      <ns0:c r="K351" s="4">
        <ns0:v>1.04</ns0:v>
      </ns0:c>
      <ns0:c r="L351" s="4">
        <ns0:v>0.98</ns0:v>
      </ns0:c>
      <ns0:c r="M351" s="4">
        <ns0:v>1.04</ns0:v>
      </ns0:c>
      <ns0:c r="N351" s="4">
        <ns0:v>0.98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0.96</ns0:v>
      </ns0:c>
      <ns0:c r="D352" s="4">
        <ns0:v>0.98</ns0:v>
      </ns0:c>
      <ns0:c r="E352" s="4">
        <ns0:v>0.97</ns0:v>
      </ns0:c>
      <ns0:c r="F352" s="4">
        <ns0:v>1.03</ns0:v>
      </ns0:c>
      <ns0:c r="G352" s="4">
        <ns0:v>0.98</ns0:v>
      </ns0:c>
      <ns0:c r="H352" s="4">
        <ns0:v>1.02</ns0:v>
      </ns0:c>
      <ns0:c r="I352" s="4">
        <ns0:v>1.02</ns0:v>
      </ns0:c>
      <ns0:c r="J352" s="4">
        <ns0:v>1.37</ns0:v>
      </ns0:c>
      <ns0:c r="K352" s="4">
        <ns0:v>1.03</ns0:v>
      </ns0:c>
      <ns0:c r="L352" s="4">
        <ns0:v>1.37</ns0:v>
      </ns0:c>
      <ns0:c r="M352" s="4">
        <ns0:v>1.02</ns0:v>
      </ns0:c>
      <ns0:c r="N352" s="4">
        <ns0:v>1.37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1.92</ns0:v>
      </ns0:c>
      <ns0:c r="D353" s="4">
        <ns0:v>1.95</ns0:v>
      </ns0:c>
      <ns0:c r="E353" s="4">
        <ns0:v>1.99</ns0:v>
      </ns0:c>
      <ns0:c r="F353" s="4">
        <ns0:v>2.04</ns0:v>
      </ns0:c>
      <ns0:c r="G353" s="4">
        <ns0:v>1.94</ns0:v>
      </ns0:c>
      <ns0:c r="H353" s="4">
        <ns0:v>1.94</ns0:v>
      </ns0:c>
      <ns0:c r="I353" s="4">
        <ns0:v>2.06</ns0:v>
      </ns0:c>
      <ns0:c r="J353" s="4">
        <ns0:v>2.05</ns0:v>
      </ns0:c>
      <ns0:c r="K353" s="4">
        <ns0:v>1.97</ns0:v>
      </ns0:c>
      <ns0:c r="L353" s="4">
        <ns0:v>1.94</ns0:v>
      </ns0:c>
      <ns0:c r="M353" s="4">
        <ns0:v>1.98</ns0:v>
      </ns0:c>
      <ns0:c r="N353" s="4">
        <ns0:v>1.94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87250.05</ns0:v>
      </ns0:c>
      <ns0:c r="D4" s="8">
        <ns0:f>'销售费用'!D4+'管理费用'!D4+'蓝恐龙费用'!D4</ns0:f>
        <ns0:v>87398.84</ns0:v>
      </ns0:c>
      <ns0:c r="E4" s="8">
        <ns0:f>'销售费用'!E4+'管理费用'!E4+'蓝恐龙费用'!E4</ns0:f>
        <ns0:v>87920.52</ns0:v>
      </ns0:c>
      <ns0:c r="F4" s="8">
        <ns0:f>'销售费用'!F4+'管理费用'!F4+'蓝恐龙费用'!F4</ns0:f>
        <ns0:v>87724.00</ns0:v>
      </ns0:c>
      <ns0:c r="G4" s="8">
        <ns0:f>'销售费用'!G4+'管理费用'!G4+'蓝恐龙费用'!G4</ns0:f>
        <ns0:v>87967.45</ns0:v>
      </ns0:c>
      <ns0:c r="H4" s="8">
        <ns0:f>'销售费用'!H4+'管理费用'!H4+'蓝恐龙费用'!H4</ns0:f>
        <ns0:v>87801.36</ns0:v>
      </ns0:c>
      <ns0:c r="I4" s="8">
        <ns0:f>'销售费用'!I4+'管理费用'!I4+'蓝恐龙费用'!I4</ns0:f>
        <ns0:v>88294.23</ns0:v>
      </ns0:c>
      <ns0:c r="J4" s="8">
        <ns0:f>'销售费用'!J4+'管理费用'!J4+'蓝恐龙费用'!J4</ns0:f>
        <ns0:v>88530.57</ns0:v>
      </ns0:c>
      <ns0:c r="K4" s="8">
        <ns0:f>'销售费用'!K4+'管理费用'!K4+'蓝恐龙费用'!K4</ns0:f>
        <ns0:v>88167.22</ns0:v>
      </ns0:c>
      <ns0:c r="L4" s="8">
        <ns0:f>'销售费用'!L4+'管理费用'!L4+'蓝恐龙费用'!L4</ns0:f>
        <ns0:v>88575.45</ns0:v>
      </ns0:c>
      <ns0:c r="M4" s="8">
        <ns0:f>'销售费用'!M4+'管理费用'!M4+'蓝恐龙费用'!M4</ns0:f>
        <ns0:v>87095.83</ns0:v>
      </ns0:c>
      <ns0:c r="N4" s="8">
        <ns0:f>'销售费用'!N4+'管理费用'!N4+'蓝恐龙费用'!N4</ns0:f>
        <ns0:v>86957.54</ns0:v>
      </ns0:c>
      <ns0:c r="O4" s="8">
        <ns0:f>SUM(C4:N4)</ns0:f>
        <ns0:v>1053683.06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6466.08</ns0:v>
      </ns0:c>
      <ns0:c r="D5" s="8">
        <ns0:f>'销售费用'!D5+'管理费用'!D5+'蓝恐龙费用'!D5</ns0:f>
        <ns0:v>6363.61</ns0:v>
      </ns0:c>
      <ns0:c r="E5" s="8">
        <ns0:f>'销售费用'!E5+'管理费用'!E5+'蓝恐龙费用'!E5</ns0:f>
        <ns0:v>6464.91</ns0:v>
      </ns0:c>
      <ns0:c r="F5" s="8">
        <ns0:f>'销售费用'!F5+'管理费用'!F5+'蓝恐龙费用'!F5</ns0:f>
        <ns0:v>6400.65</ns0:v>
      </ns0:c>
      <ns0:c r="G5" s="8">
        <ns0:f>'销售费用'!G5+'管理费用'!G5+'蓝恐龙费用'!G5</ns0:f>
        <ns0:v>6396.75</ns0:v>
      </ns0:c>
      <ns0:c r="H5" s="8">
        <ns0:f>'销售费用'!H5+'管理费用'!H5+'蓝恐龙费用'!H5</ns0:f>
        <ns0:v>6318.94</ns0:v>
      </ns0:c>
      <ns0:c r="I5" s="8">
        <ns0:f>'销售费用'!I5+'管理费用'!I5+'蓝恐龙费用'!I5</ns0:f>
        <ns0:v>6410.38</ns0:v>
      </ns0:c>
      <ns0:c r="J5" s="8">
        <ns0:f>'销售费用'!J5+'管理费用'!J5+'蓝恐龙费用'!J5</ns0:f>
        <ns0:v>6345.53</ns0:v>
      </ns0:c>
      <ns0:c r="K5" s="8">
        <ns0:f>'销售费用'!K5+'管理费用'!K5+'蓝恐龙费用'!K5</ns0:f>
        <ns0:v>6383.69</ns0:v>
      </ns0:c>
      <ns0:c r="L5" s="8">
        <ns0:f>'销售费用'!L5+'管理费用'!L5+'蓝恐龙费用'!L5</ns0:f>
        <ns0:v>6315.91</ns0:v>
      </ns0:c>
      <ns0:c r="M5" s="8">
        <ns0:f>'销售费用'!M5+'管理费用'!M5+'蓝恐龙费用'!M5</ns0:f>
        <ns0:v>6390.42</ns0:v>
      </ns0:c>
      <ns0:c r="N5" s="8">
        <ns0:f>'销售费用'!N5+'管理费用'!N5+'蓝恐龙费用'!N5</ns0:f>
        <ns0:v>6402.62</ns0:v>
      </ns0:c>
      <ns0:c r="O5" s="8">
        <ns0:f>SUM(C5:N5)</ns0:f>
        <ns0:v>76659.49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2460.39</ns0:v>
      </ns0:c>
      <ns0:c r="D6" s="8">
        <ns0:f>'销售费用'!D6+'管理费用'!D6+'蓝恐龙费用'!D6</ns0:f>
        <ns0:v>2646.51</ns0:v>
      </ns0:c>
      <ns0:c r="E6" s="8">
        <ns0:f>'销售费用'!E6+'管理费用'!E6+'蓝恐龙费用'!E6</ns0:f>
        <ns0:v>2487.31</ns0:v>
      </ns0:c>
      <ns0:c r="F6" s="8">
        <ns0:f>'销售费用'!F6+'管理费用'!F6+'蓝恐龙费用'!F6</ns0:f>
        <ns0:v>2328.56</ns0:v>
      </ns0:c>
      <ns0:c r="G6" s="8">
        <ns0:f>'销售费用'!G6+'管理费用'!G6+'蓝恐龙费用'!G6</ns0:f>
        <ns0:v>2377.39</ns0:v>
      </ns0:c>
      <ns0:c r="H6" s="8">
        <ns0:f>'销售费用'!H6+'管理费用'!H6+'蓝恐龙费用'!H6</ns0:f>
        <ns0:v>2447.50</ns0:v>
      </ns0:c>
      <ns0:c r="I6" s="8">
        <ns0:f>'销售费用'!I6+'管理费用'!I6+'蓝恐龙费用'!I6</ns0:f>
        <ns0:v>2330.43</ns0:v>
      </ns0:c>
      <ns0:c r="J6" s="8">
        <ns0:f>'销售费用'!J6+'管理费用'!J6+'蓝恐龙费用'!J6</ns0:f>
        <ns0:v>2513.70</ns0:v>
      </ns0:c>
      <ns0:c r="K6" s="8">
        <ns0:f>'销售费用'!K6+'管理费用'!K6+'蓝恐龙费用'!K6</ns0:f>
        <ns0:v>2573.53</ns0:v>
      </ns0:c>
      <ns0:c r="L6" s="8">
        <ns0:f>'销售费用'!L6+'管理费用'!L6+'蓝恐龙费用'!L6</ns0:f>
        <ns0:v>2497.10</ns0:v>
      </ns0:c>
      <ns0:c r="M6" s="8">
        <ns0:f>'销售费用'!M6+'管理费用'!M6+'蓝恐龙费用'!M6</ns0:f>
        <ns0:v>2373.96</ns0:v>
      </ns0:c>
      <ns0:c r="N6" s="8">
        <ns0:f>'销售费用'!N6+'管理费用'!N6+'蓝恐龙费用'!N6</ns0:f>
        <ns0:v>2346.68</ns0:v>
      </ns0:c>
      <ns0:c r="O6" s="8">
        <ns0:f>SUM(C6:N6)</ns0:f>
        <ns0:v>29383.06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29072.21</ns0:v>
      </ns0:c>
      <ns0:c r="D7" s="8">
        <ns0:f>'销售费用'!D7+'管理费用'!D7+'蓝恐龙费用'!D7</ns0:f>
        <ns0:v>28678.51</ns0:v>
      </ns0:c>
      <ns0:c r="E7" s="8">
        <ns0:f>'销售费用'!E7+'管理费用'!E7+'蓝恐龙费用'!E7</ns0:f>
        <ns0:v>28811.34</ns0:v>
      </ns0:c>
      <ns0:c r="F7" s="8">
        <ns0:f>'销售费用'!F7+'管理费用'!F7+'蓝恐龙费用'!F7</ns0:f>
        <ns0:v>29070.36</ns0:v>
      </ns0:c>
      <ns0:c r="G7" s="8">
        <ns0:f>'销售费用'!G7+'管理费用'!G7+'蓝恐龙费用'!G7</ns0:f>
        <ns0:v>29008.96</ns0:v>
      </ns0:c>
      <ns0:c r="H7" s="8">
        <ns0:f>'销售费用'!H7+'管理费用'!H7+'蓝恐龙费用'!H7</ns0:f>
        <ns0:v>28844.80</ns0:v>
      </ns0:c>
      <ns0:c r="I7" s="8">
        <ns0:f>'销售费用'!I7+'管理费用'!I7+'蓝恐龙费用'!I7</ns0:f>
        <ns0:v>29054.84</ns0:v>
      </ns0:c>
      <ns0:c r="J7" s="8">
        <ns0:f>'销售费用'!J7+'管理费用'!J7+'蓝恐龙费用'!J7</ns0:f>
        <ns0:v>28928.60</ns0:v>
      </ns0:c>
      <ns0:c r="K7" s="8">
        <ns0:f>'销售费用'!K7+'管理费用'!K7+'蓝恐龙费用'!K7</ns0:f>
        <ns0:v>28582.94</ns0:v>
      </ns0:c>
      <ns0:c r="L7" s="8">
        <ns0:f>'销售费用'!L7+'管理费用'!L7+'蓝恐龙费用'!L7</ns0:f>
        <ns0:v>28963.52</ns0:v>
      </ns0:c>
      <ns0:c r="M7" s="8">
        <ns0:f>'销售费用'!M7+'管理费用'!M7+'蓝恐龙费用'!M7</ns0:f>
        <ns0:v>28721.48</ns0:v>
      </ns0:c>
      <ns0:c r="N7" s="8">
        <ns0:f>'销售费用'!N7+'管理费用'!N7+'蓝恐龙费用'!N7</ns0:f>
        <ns0:v>29292.53</ns0:v>
      </ns0:c>
      <ns0:c r="O7" s="8">
        <ns0:f>SUM(C7:N7)</ns0:f>
        <ns0:v>347030.09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5991.16</ns0:v>
      </ns0:c>
      <ns0:c r="D8" s="8">
        <ns0:f>'销售费用'!D8+'管理费用'!D8+'蓝恐龙费用'!D8</ns0:f>
        <ns0:v>5909.80</ns0:v>
      </ns0:c>
      <ns0:c r="E8" s="8">
        <ns0:f>'销售费用'!E8+'管理费用'!E8+'蓝恐龙费用'!E8</ns0:f>
        <ns0:v>5992.75</ns0:v>
      </ns0:c>
      <ns0:c r="F8" s="8">
        <ns0:f>'销售费用'!F8+'管理费用'!F8+'蓝恐龙费用'!F8</ns0:f>
        <ns0:v>6317.13</ns0:v>
      </ns0:c>
      <ns0:c r="G8" s="8">
        <ns0:f>'销售费用'!G8+'管理费用'!G8+'蓝恐龙费用'!G8</ns0:f>
        <ns0:v>5694.44</ns0:v>
      </ns0:c>
      <ns0:c r="H8" s="8">
        <ns0:f>'销售费用'!H8+'管理费用'!H8+'蓝恐龙费用'!H8</ns0:f>
        <ns0:v>5830.78</ns0:v>
      </ns0:c>
      <ns0:c r="I8" s="8">
        <ns0:f>'销售费用'!I8+'管理费用'!I8+'蓝恐龙费用'!I8</ns0:f>
        <ns0:v>5441.38</ns0:v>
      </ns0:c>
      <ns0:c r="J8" s="8">
        <ns0:f>'销售费用'!J8+'管理费用'!J8+'蓝恐龙费用'!J8</ns0:f>
        <ns0:v>5671.34</ns0:v>
      </ns0:c>
      <ns0:c r="K8" s="8">
        <ns0:f>'销售费用'!K8+'管理费用'!K8+'蓝恐龙费用'!K8</ns0:f>
        <ns0:v>6059.20</ns0:v>
      </ns0:c>
      <ns0:c r="L8" s="8">
        <ns0:f>'销售费用'!L8+'管理费用'!L8+'蓝恐龙费用'!L8</ns0:f>
        <ns0:v>5477.65</ns0:v>
      </ns0:c>
      <ns0:c r="M8" s="8">
        <ns0:f>'销售费用'!M8+'管理费用'!M8+'蓝恐龙费用'!M8</ns0:f>
        <ns0:v>5490.48</ns0:v>
      </ns0:c>
      <ns0:c r="N8" s="8">
        <ns0:f>'销售费用'!N8+'管理费用'!N8+'蓝恐龙费用'!N8</ns0:f>
        <ns0:v>6058.52</ns0:v>
      </ns0:c>
      <ns0:c r="O8" s="8">
        <ns0:f>SUM(C8:N8)</ns0:f>
        <ns0:v>69934.63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2842.87</ns0:v>
      </ns0:c>
      <ns0:c r="D9" s="8">
        <ns0:f>'销售费用'!D9+'管理费用'!D9+'蓝恐龙费用'!D9</ns0:f>
        <ns0:v>2835.99</ns0:v>
      </ns0:c>
      <ns0:c r="E9" s="8">
        <ns0:f>'销售费用'!E9+'管理费用'!E9+'蓝恐龙费用'!E9</ns0:f>
        <ns0:v>2682.04</ns0:v>
      </ns0:c>
      <ns0:c r="F9" s="8">
        <ns0:f>'销售费用'!F9+'管理费用'!F9+'蓝恐龙费用'!F9</ns0:f>
        <ns0:v>2568.26</ns0:v>
      </ns0:c>
      <ns0:c r="G9" s="8">
        <ns0:f>'销售费用'!G9+'管理费用'!G9+'蓝恐龙费用'!G9</ns0:f>
        <ns0:v>2642.02</ns0:v>
      </ns0:c>
      <ns0:c r="H9" s="8">
        <ns0:f>'销售费用'!H9+'管理费用'!H9+'蓝恐龙费用'!H9</ns0:f>
        <ns0:v>2855.70</ns0:v>
      </ns0:c>
      <ns0:c r="I9" s="8">
        <ns0:f>'销售费用'!I9+'管理费用'!I9+'蓝恐龙费用'!I9</ns0:f>
        <ns0:v>2667.34</ns0:v>
      </ns0:c>
      <ns0:c r="J9" s="8">
        <ns0:f>'销售费用'!J9+'管理费用'!J9+'蓝恐龙费用'!J9</ns0:f>
        <ns0:v>2711.42</ns0:v>
      </ns0:c>
      <ns0:c r="K9" s="8">
        <ns0:f>'销售费用'!K9+'管理费用'!K9+'蓝恐龙费用'!K9</ns0:f>
        <ns0:v>2722.33</ns0:v>
      </ns0:c>
      <ns0:c r="L9" s="8">
        <ns0:f>'销售费用'!L9+'管理费用'!L9+'蓝恐龙费用'!L9</ns0:f>
        <ns0:v>2599.93</ns0:v>
      </ns0:c>
      <ns0:c r="M9" s="8">
        <ns0:f>'销售费用'!M9+'管理费用'!M9+'蓝恐龙费用'!M9</ns0:f>
        <ns0:v>2866.74</ns0:v>
      </ns0:c>
      <ns0:c r="N9" s="8">
        <ns0:f>'销售费用'!N9+'管理费用'!N9+'蓝恐龙费用'!N9</ns0:f>
        <ns0:v>2669.57</ns0:v>
      </ns0:c>
      <ns0:c r="O9" s="8">
        <ns0:f>SUM(C9:N9)</ns0:f>
        <ns0:v>32664.21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2126.40</ns0:v>
      </ns0:c>
      <ns0:c r="D10" s="8">
        <ns0:f>'销售费用'!D10+'管理费用'!D10+'蓝恐龙费用'!D10</ns0:f>
        <ns0:v>2028.91</ns0:v>
      </ns0:c>
      <ns0:c r="E10" s="8">
        <ns0:f>'销售费用'!E10+'管理费用'!E10+'蓝恐龙费用'!E10</ns0:f>
        <ns0:v>2088.32</ns0:v>
      </ns0:c>
      <ns0:c r="F10" s="8">
        <ns0:f>'销售费用'!F10+'管理费用'!F10+'蓝恐龙费用'!F10</ns0:f>
        <ns0:v>1993.15</ns0:v>
      </ns0:c>
      <ns0:c r="G10" s="8">
        <ns0:f>'销售费用'!G10+'管理费用'!G10+'蓝恐龙费用'!G10</ns0:f>
        <ns0:v>2129.01</ns0:v>
      </ns0:c>
      <ns0:c r="H10" s="8">
        <ns0:f>'销售费用'!H10+'管理费用'!H10+'蓝恐龙费用'!H10</ns0:f>
        <ns0:v>2161.29</ns0:v>
      </ns0:c>
      <ns0:c r="I10" s="8">
        <ns0:f>'销售费用'!I10+'管理费用'!I10+'蓝恐龙费用'!I10</ns0:f>
        <ns0:v>1940.69</ns0:v>
      </ns0:c>
      <ns0:c r="J10" s="8">
        <ns0:f>'销售费用'!J10+'管理费用'!J10+'蓝恐龙费用'!J10</ns0:f>
        <ns0:v>1934.25</ns0:v>
      </ns0:c>
      <ns0:c r="K10" s="8">
        <ns0:f>'销售费用'!K10+'管理费用'!K10+'蓝恐龙费用'!K10</ns0:f>
        <ns0:v>2101.84</ns0:v>
      </ns0:c>
      <ns0:c r="L10" s="8">
        <ns0:f>'销售费用'!L10+'管理费用'!L10+'蓝恐龙费用'!L10</ns0:f>
        <ns0:v>1922.35</ns0:v>
      </ns0:c>
      <ns0:c r="M10" s="8">
        <ns0:f>'销售费用'!M10+'管理费用'!M10+'蓝恐龙费用'!M10</ns0:f>
        <ns0:v>1928.95</ns0:v>
      </ns0:c>
      <ns0:c r="N10" s="8">
        <ns0:f>'销售费用'!N10+'管理费用'!N10+'蓝恐龙费用'!N10</ns0:f>
        <ns0:v>2171.39</ns0:v>
      </ns0:c>
      <ns0:c r="O10" s="8">
        <ns0:f>SUM(C10:N10)</ns0:f>
        <ns0:v>24526.55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12403.38</ns0:v>
      </ns0:c>
      <ns0:c r="D11" s="8">
        <ns0:f>'销售费用'!D11+'管理费用'!D11+'蓝恐龙费用'!D11</ns0:f>
        <ns0:v>11475.60</ns0:v>
      </ns0:c>
      <ns0:c r="E11" s="8">
        <ns0:f>'销售费用'!E11+'管理费用'!E11+'蓝恐龙费用'!E11</ns0:f>
        <ns0:v>12992.84</ns0:v>
      </ns0:c>
      <ns0:c r="F11" s="8">
        <ns0:f>'销售费用'!F11+'管理费用'!F11+'蓝恐龙费用'!F11</ns0:f>
        <ns0:v>12208.34</ns0:v>
      </ns0:c>
      <ns0:c r="G11" s="8">
        <ns0:f>'销售费用'!G11+'管理费用'!G11+'蓝恐龙费用'!G11</ns0:f>
        <ns0:v>12398.68</ns0:v>
      </ns0:c>
      <ns0:c r="H11" s="8">
        <ns0:f>'销售费用'!H11+'管理费用'!H11+'蓝恐龙费用'!H11</ns0:f>
        <ns0:v>11275.16</ns0:v>
      </ns0:c>
      <ns0:c r="I11" s="8">
        <ns0:f>'销售费用'!I11+'管理费用'!I11+'蓝恐龙费用'!I11</ns0:f>
        <ns0:v>11487.16</ns0:v>
      </ns0:c>
      <ns0:c r="J11" s="8">
        <ns0:f>'销售费用'!J11+'管理费用'!J11+'蓝恐龙费用'!J11</ns0:f>
        <ns0:v>11334.92</ns0:v>
      </ns0:c>
      <ns0:c r="K11" s="8">
        <ns0:f>'销售费用'!K11+'管理费用'!K11+'蓝恐龙费用'!K11</ns0:f>
        <ns0:v>12309.14</ns0:v>
      </ns0:c>
      <ns0:c r="L11" s="8">
        <ns0:f>'销售费用'!L11+'管理费用'!L11+'蓝恐龙费用'!L11</ns0:f>
        <ns0:v>11786.24</ns0:v>
      </ns0:c>
      <ns0:c r="M11" s="8">
        <ns0:f>'销售费用'!M11+'管理费用'!M11+'蓝恐龙费用'!M11</ns0:f>
        <ns0:v>11973.48</ns0:v>
      </ns0:c>
      <ns0:c r="N11" s="8">
        <ns0:f>'销售费用'!N11+'管理费用'!N11+'蓝恐龙费用'!N11</ns0:f>
        <ns0:v>11721.00</ns0:v>
      </ns0:c>
      <ns0:c r="O11" s="8">
        <ns0:f>SUM(C11:N11)</ns0:f>
        <ns0:v>143365.94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2980.43</ns0:v>
      </ns0:c>
      <ns0:c r="D12" s="8">
        <ns0:f>'销售费用'!D12+'管理费用'!D12+'蓝恐龙费用'!D12</ns0:f>
        <ns0:v>3054.56</ns0:v>
      </ns0:c>
      <ns0:c r="E12" s="8">
        <ns0:f>'销售费用'!E12+'管理费用'!E12+'蓝恐龙费用'!E12</ns0:f>
        <ns0:v>2872.37</ns0:v>
      </ns0:c>
      <ns0:c r="F12" s="8">
        <ns0:f>'销售费用'!F12+'管理费用'!F12+'蓝恐龙费用'!F12</ns0:f>
        <ns0:v>3039.32</ns0:v>
      </ns0:c>
      <ns0:c r="G12" s="8">
        <ns0:f>'销售费用'!G12+'管理费用'!G12+'蓝恐龙费用'!G12</ns0:f>
        <ns0:v>2941.09</ns0:v>
      </ns0:c>
      <ns0:c r="H12" s="8">
        <ns0:f>'销售费用'!H12+'管理费用'!H12+'蓝恐龙费用'!H12</ns0:f>
        <ns0:v>2906.45</ns0:v>
      </ns0:c>
      <ns0:c r="I12" s="8">
        <ns0:f>'销售费用'!I12+'管理费用'!I12+'蓝恐龙费用'!I12</ns0:f>
        <ns0:v>2991.70</ns0:v>
      </ns0:c>
      <ns0:c r="J12" s="8">
        <ns0:f>'销售费用'!J12+'管理费用'!J12+'蓝恐龙费用'!J12</ns0:f>
        <ns0:v>2989.44</ns0:v>
      </ns0:c>
      <ns0:c r="K12" s="8">
        <ns0:f>'销售费用'!K12+'管理费用'!K12+'蓝恐龙费用'!K12</ns0:f>
        <ns0:v>2881.37</ns0:v>
      </ns0:c>
      <ns0:c r="L12" s="8">
        <ns0:f>'销售费用'!L12+'管理费用'!L12+'蓝恐龙费用'!L12</ns0:f>
        <ns0:v>2997.90</ns0:v>
      </ns0:c>
      <ns0:c r="M12" s="8">
        <ns0:f>'销售费用'!M12+'管理费用'!M12+'蓝恐龙费用'!M12</ns0:f>
        <ns0:v>3133.95</ns0:v>
      </ns0:c>
      <ns0:c r="N12" s="8">
        <ns0:f>'销售费用'!N12+'管理费用'!N12+'蓝恐龙费用'!N12</ns0:f>
        <ns0:v>2738.20</ns0:v>
      </ns0:c>
      <ns0:c r="O12" s="8">
        <ns0:f>SUM(C12:N12)</ns0:f>
        <ns0:v>35526.78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3437.15</ns0:v>
      </ns0:c>
      <ns0:c r="D13" s="8">
        <ns0:f>'销售费用'!D13+'管理费用'!D13+'蓝恐龙费用'!D13</ns0:f>
        <ns0:v>3468.38</ns0:v>
      </ns0:c>
      <ns0:c r="E13" s="8">
        <ns0:f>'销售费用'!E13+'管理费用'!E13+'蓝恐龙费用'!E13</ns0:f>
        <ns0:v>3686.16</ns0:v>
      </ns0:c>
      <ns0:c r="F13" s="8">
        <ns0:f>'销售费用'!F13+'管理费用'!F13+'蓝恐龙费用'!F13</ns0:f>
        <ns0:v>3694.16</ns0:v>
      </ns0:c>
      <ns0:c r="G13" s="8">
        <ns0:f>'销售费用'!G13+'管理费用'!G13+'蓝恐龙费用'!G13</ns0:f>
        <ns0:v>3331.28</ns0:v>
      </ns0:c>
      <ns0:c r="H13" s="8">
        <ns0:f>'销售费用'!H13+'管理费用'!H13+'蓝恐龙费用'!H13</ns0:f>
        <ns0:v>3784.36</ns0:v>
      </ns0:c>
      <ns0:c r="I13" s="8">
        <ns0:f>'销售费用'!I13+'管理费用'!I13+'蓝恐龙费用'!I13</ns0:f>
        <ns0:v>3529.79</ns0:v>
      </ns0:c>
      <ns0:c r="J13" s="8">
        <ns0:f>'销售费用'!J13+'管理费用'!J13+'蓝恐龙费用'!J13</ns0:f>
        <ns0:v>3597.87</ns0:v>
      </ns0:c>
      <ns0:c r="K13" s="8">
        <ns0:f>'销售费用'!K13+'管理费用'!K13+'蓝恐龙费用'!K13</ns0:f>
        <ns0:v>3578.93</ns0:v>
      </ns0:c>
      <ns0:c r="L13" s="8">
        <ns0:f>'销售费用'!L13+'管理费用'!L13+'蓝恐龙费用'!L13</ns0:f>
        <ns0:v>3880.40</ns0:v>
      </ns0:c>
      <ns0:c r="M13" s="8">
        <ns0:f>'销售费用'!M13+'管理费用'!M13+'蓝恐龙费用'!M13</ns0:f>
        <ns0:v>3284.37</ns0:v>
      </ns0:c>
      <ns0:c r="N13" s="8">
        <ns0:f>'销售费用'!N13+'管理费用'!N13+'蓝恐龙费用'!N13</ns0:f>
        <ns0:v>3606.18</ns0:v>
      </ns0:c>
      <ns0:c r="O13" s="8">
        <ns0:f>SUM(C13:N13)</ns0:f>
        <ns0:v>42879.03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4249.17</ns0:v>
      </ns0:c>
      <ns0:c r="D14" s="8">
        <ns0:f>'销售费用'!D14+'管理费用'!D14+'蓝恐龙费用'!D14</ns0:f>
        <ns0:v>4629.83</ns0:v>
      </ns0:c>
      <ns0:c r="E14" s="8">
        <ns0:f>'销售费用'!E14+'管理费用'!E14+'蓝恐龙费用'!E14</ns0:f>
        <ns0:v>4534.91</ns0:v>
      </ns0:c>
      <ns0:c r="F14" s="8">
        <ns0:f>'销售费用'!F14+'管理费用'!F14+'蓝恐龙费用'!F14</ns0:f>
        <ns0:v>4188.45</ns0:v>
      </ns0:c>
      <ns0:c r="G14" s="8">
        <ns0:f>'销售费用'!G14+'管理费用'!G14+'蓝恐龙费用'!G14</ns0:f>
        <ns0:v>4540.59</ns0:v>
      </ns0:c>
      <ns0:c r="H14" s="8">
        <ns0:f>'销售费用'!H14+'管理费用'!H14+'蓝恐龙费用'!H14</ns0:f>
        <ns0:v>4729.07</ns0:v>
      </ns0:c>
      <ns0:c r="I14" s="8">
        <ns0:f>'销售费用'!I14+'管理费用'!I14+'蓝恐龙费用'!I14</ns0:f>
        <ns0:v>4206.37</ns0:v>
      </ns0:c>
      <ns0:c r="J14" s="8">
        <ns0:f>'销售费用'!J14+'管理费用'!J14+'蓝恐龙费用'!J14</ns0:f>
        <ns0:v>4438.17</ns0:v>
      </ns0:c>
      <ns0:c r="K14" s="8">
        <ns0:f>'销售费用'!K14+'管理费用'!K14+'蓝恐龙费用'!K14</ns0:f>
        <ns0:v>4407.43</ns0:v>
      </ns0:c>
      <ns0:c r="L14" s="8">
        <ns0:f>'销售费用'!L14+'管理费用'!L14+'蓝恐龙费用'!L14</ns0:f>
        <ns0:v>4311.00</ns0:v>
      </ns0:c>
      <ns0:c r="M14" s="8">
        <ns0:f>'销售费用'!M14+'管理费用'!M14+'蓝恐龙费用'!M14</ns0:f>
        <ns0:v>4428.24</ns0:v>
      </ns0:c>
      <ns0:c r="N14" s="8">
        <ns0:f>'销售费用'!N14+'管理费用'!N14+'蓝恐龙费用'!N14</ns0:f>
        <ns0:v>4595.21</ns0:v>
      </ns0:c>
      <ns0:c r="O14" s="8">
        <ns0:f>SUM(C14:N14)</ns0:f>
        <ns0:v>53258.44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2416.63</ns0:v>
      </ns0:c>
      <ns0:c r="D15" s="8">
        <ns0:f>'销售费用'!D15+'管理费用'!D15+'蓝恐龙费用'!D15</ns0:f>
        <ns0:v>2523.92</ns0:v>
      </ns0:c>
      <ns0:c r="E15" s="8">
        <ns0:f>'销售费用'!E15+'管理费用'!E15+'蓝恐龙费用'!E15</ns0:f>
        <ns0:v>2573.45</ns0:v>
      </ns0:c>
      <ns0:c r="F15" s="8">
        <ns0:f>'销售费用'!F15+'管理费用'!F15+'蓝恐龙费用'!F15</ns0:f>
        <ns0:v>2330.35</ns0:v>
      </ns0:c>
      <ns0:c r="G15" s="8">
        <ns0:f>'销售费用'!G15+'管理费用'!G15+'蓝恐龙费用'!G15</ns0:f>
        <ns0:v>2585.08</ns0:v>
      </ns0:c>
      <ns0:c r="H15" s="8">
        <ns0:f>'销售费用'!H15+'管理费用'!H15+'蓝恐龙费用'!H15</ns0:f>
        <ns0:v>2542.54</ns0:v>
      </ns0:c>
      <ns0:c r="I15" s="8">
        <ns0:f>'销售费用'!I15+'管理费用'!I15+'蓝恐龙费用'!I15</ns0:f>
        <ns0:v>2689.38</ns0:v>
      </ns0:c>
      <ns0:c r="J15" s="8">
        <ns0:f>'销售费用'!J15+'管理费用'!J15+'蓝恐龙费用'!J15</ns0:f>
        <ns0:v>2365.55</ns0:v>
      </ns0:c>
      <ns0:c r="K15" s="8">
        <ns0:f>'销售费用'!K15+'管理费用'!K15+'蓝恐龙费用'!K15</ns0:f>
        <ns0:v>2354.63</ns0:v>
      </ns0:c>
      <ns0:c r="L15" s="8">
        <ns0:f>'销售费用'!L15+'管理费用'!L15+'蓝恐龙费用'!L15</ns0:f>
        <ns0:v>2323.45</ns0:v>
      </ns0:c>
      <ns0:c r="M15" s="8">
        <ns0:f>'销售费用'!M15+'管理费用'!M15+'蓝恐龙费用'!M15</ns0:f>
        <ns0:v>2627.35</ns0:v>
      </ns0:c>
      <ns0:c r="N15" s="8">
        <ns0:f>'销售费用'!N15+'管理费用'!N15+'蓝恐龙费用'!N15</ns0:f>
        <ns0:v>2381.37</ns0:v>
      </ns0:c>
      <ns0:c r="O15" s="8">
        <ns0:f>SUM(C15:N15)</ns0:f>
        <ns0:v>29713.70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4828.14</ns0:v>
      </ns0:c>
      <ns0:c r="D16" s="8">
        <ns0:f>'销售费用'!D16+'管理费用'!D16+'蓝恐龙费用'!D16</ns0:f>
        <ns0:v>5076.30</ns0:v>
      </ns0:c>
      <ns0:c r="E16" s="8">
        <ns0:f>'销售费用'!E16+'管理费用'!E16+'蓝恐龙费用'!E16</ns0:f>
        <ns0:v>4800.33</ns0:v>
      </ns0:c>
      <ns0:c r="F16" s="8">
        <ns0:f>'销售费用'!F16+'管理费用'!F16+'蓝恐龙费用'!F16</ns0:f>
        <ns0:v>5328.18</ns0:v>
      </ns0:c>
      <ns0:c r="G16" s="8">
        <ns0:f>'销售费用'!G16+'管理费用'!G16+'蓝恐龙费用'!G16</ns0:f>
        <ns0:v>5089.79</ns0:v>
      </ns0:c>
      <ns0:c r="H16" s="8">
        <ns0:f>'销售费用'!H16+'管理费用'!H16+'蓝恐龙费用'!H16</ns0:f>
        <ns0:v>4958.26</ns0:v>
      </ns0:c>
      <ns0:c r="I16" s="8">
        <ns0:f>'销售费用'!I16+'管理费用'!I16+'蓝恐龙费用'!I16</ns0:f>
        <ns0:v>5370.70</ns0:v>
      </ns0:c>
      <ns0:c r="J16" s="8">
        <ns0:f>'销售费用'!J16+'管理费用'!J16+'蓝恐龙费用'!J16</ns0:f>
        <ns0:v>4896.18</ns0:v>
      </ns0:c>
      <ns0:c r="K16" s="8">
        <ns0:f>'销售费用'!K16+'管理费用'!K16+'蓝恐龙费用'!K16</ns0:f>
        <ns0:v>5062.50</ns0:v>
      </ns0:c>
      <ns0:c r="L16" s="8">
        <ns0:f>'销售费用'!L16+'管理费用'!L16+'蓝恐龙费用'!L16</ns0:f>
        <ns0:v>5177.45</ns0:v>
      </ns0:c>
      <ns0:c r="M16" s="8">
        <ns0:f>'销售费用'!M16+'管理费用'!M16+'蓝恐龙费用'!M16</ns0:f>
        <ns0:v>4985.25</ns0:v>
      </ns0:c>
      <ns0:c r="N16" s="8">
        <ns0:f>'销售费用'!N16+'管理费用'!N16+'蓝恐龙费用'!N16</ns0:f>
        <ns0:v>4788.62</ns0:v>
      </ns0:c>
      <ns0:c r="O16" s="8">
        <ns0:f>SUM(C16:N16)</ns0:f>
        <ns0:v>60361.70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4481.64</ns0:v>
      </ns0:c>
      <ns0:c r="D17" s="8">
        <ns0:f>'销售费用'!D17+'管理费用'!D17+'蓝恐龙费用'!D17</ns0:f>
        <ns0:v>4385.76</ns0:v>
      </ns0:c>
      <ns0:c r="E17" s="8">
        <ns0:f>'销售费用'!E17+'管理费用'!E17+'蓝恐龙费用'!E17</ns0:f>
        <ns0:v>4400.15</ns0:v>
      </ns0:c>
      <ns0:c r="F17" s="8">
        <ns0:f>'销售费用'!F17+'管理费用'!F17+'蓝恐龙费用'!F17</ns0:f>
        <ns0:v>4648.42</ns0:v>
      </ns0:c>
      <ns0:c r="G17" s="8">
        <ns0:f>'销售费用'!G17+'管理费用'!G17+'蓝恐龙费用'!G17</ns0:f>
        <ns0:v>4529.55</ns0:v>
      </ns0:c>
      <ns0:c r="H17" s="8">
        <ns0:f>'销售费用'!H17+'管理费用'!H17+'蓝恐龙费用'!H17</ns0:f>
        <ns0:v>4799.55</ns0:v>
      </ns0:c>
      <ns0:c r="I17" s="8">
        <ns0:f>'销售费用'!I17+'管理费用'!I17+'蓝恐龙费用'!I17</ns0:f>
        <ns0:v>4421.51</ns0:v>
      </ns0:c>
      <ns0:c r="J17" s="8">
        <ns0:f>'销售费用'!J17+'管理费用'!J17+'蓝恐龙费用'!J17</ns0:f>
        <ns0:v>4709.22</ns0:v>
      </ns0:c>
      <ns0:c r="K17" s="8">
        <ns0:f>'销售费用'!K17+'管理费用'!K17+'蓝恐龙费用'!K17</ns0:f>
        <ns0:v>4319.44</ns0:v>
      </ns0:c>
      <ns0:c r="L17" s="8">
        <ns0:f>'销售费用'!L17+'管理费用'!L17+'蓝恐龙费用'!L17</ns0:f>
        <ns0:v>4344.89</ns0:v>
      </ns0:c>
      <ns0:c r="M17" s="8">
        <ns0:f>'销售费用'!M17+'管理费用'!M17+'蓝恐龙费用'!M17</ns0:f>
        <ns0:v>4806.95</ns0:v>
      </ns0:c>
      <ns0:c r="N17" s="8">
        <ns0:f>'销售费用'!N17+'管理费用'!N17+'蓝恐龙费用'!N17</ns0:f>
        <ns0:v>4350.78</ns0:v>
      </ns0:c>
      <ns0:c r="O17" s="8">
        <ns0:f>SUM(C17:N17)</ns0:f>
        <ns0:v>54197.86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2006.89</ns0:v>
      </ns0:c>
      <ns0:c r="D18" s="8">
        <ns0:f>'销售费用'!D18+'管理费用'!D18+'蓝恐龙费用'!D18</ns0:f>
        <ns0:v>1840.14</ns0:v>
      </ns0:c>
      <ns0:c r="E18" s="8">
        <ns0:f>'销售费用'!E18+'管理费用'!E18+'蓝恐龙费用'!E18</ns0:f>
        <ns0:v>1761.45</ns0:v>
      </ns0:c>
      <ns0:c r="F18" s="8">
        <ns0:f>'销售费用'!F18+'管理费用'!F18+'蓝恐龙费用'!F18</ns0:f>
        <ns0:v>1857.83</ns0:v>
      </ns0:c>
      <ns0:c r="G18" s="8">
        <ns0:f>'销售费用'!G18+'管理费用'!G18+'蓝恐龙费用'!G18</ns0:f>
        <ns0:v>1900.54</ns0:v>
      </ns0:c>
      <ns0:c r="H18" s="8">
        <ns0:f>'销售费用'!H18+'管理费用'!H18+'蓝恐龙费用'!H18</ns0:f>
        <ns0:v>1885.49</ns0:v>
      </ns0:c>
      <ns0:c r="I18" s="8">
        <ns0:f>'销售费用'!I18+'管理费用'!I18+'蓝恐龙费用'!I18</ns0:f>
        <ns0:v>1973.82</ns0:v>
      </ns0:c>
      <ns0:c r="J18" s="8">
        <ns0:f>'销售费用'!J18+'管理费用'!J18+'蓝恐龙费用'!J18</ns0:f>
        <ns0:v>1849.94</ns0:v>
      </ns0:c>
      <ns0:c r="K18" s="8">
        <ns0:f>'销售费用'!K18+'管理费用'!K18+'蓝恐龙费用'!K18</ns0:f>
        <ns0:v>1917.37</ns0:v>
      </ns0:c>
      <ns0:c r="L18" s="8">
        <ns0:f>'销售费用'!L18+'管理费用'!L18+'蓝恐龙费用'!L18</ns0:f>
        <ns0:v>1744.49</ns0:v>
      </ns0:c>
      <ns0:c r="M18" s="8">
        <ns0:f>'销售费用'!M18+'管理费用'!M18+'蓝恐龙费用'!M18</ns0:f>
        <ns0:v>1795.52</ns0:v>
      </ns0:c>
      <ns0:c r="N18" s="8">
        <ns0:f>'销售费用'!N18+'管理费用'!N18+'蓝恐龙费用'!N18</ns0:f>
        <ns0:v>1905.47</ns0:v>
      </ns0:c>
      <ns0:c r="O18" s="8">
        <ns0:f>SUM(C18:N18)</ns0:f>
        <ns0:v>22438.95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1075.07</ns0:v>
      </ns0:c>
      <ns0:c r="D19" s="8">
        <ns0:f>'销售费用'!D19+'管理费用'!D19+'蓝恐龙费用'!D19</ns0:f>
        <ns0:v>962.65</ns0:v>
      </ns0:c>
      <ns0:c r="E19" s="8">
        <ns0:f>'销售费用'!E19+'管理费用'!E19+'蓝恐龙费用'!E19</ns0:f>
        <ns0:v>1024.08</ns0:v>
      </ns0:c>
      <ns0:c r="F19" s="8">
        <ns0:f>'销售费用'!F19+'管理费用'!F19+'蓝恐龙费用'!F19</ns0:f>
        <ns0:v>1021.27</ns0:v>
      </ns0:c>
      <ns0:c r="G19" s="8">
        <ns0:f>'销售费用'!G19+'管理费用'!G19+'蓝恐龙费用'!G19</ns0:f>
        <ns0:v>998.15</ns0:v>
      </ns0:c>
      <ns0:c r="H19" s="8">
        <ns0:f>'销售费用'!H19+'管理费用'!H19+'蓝恐龙费用'!H19</ns0:f>
        <ns0:v>1026.76</ns0:v>
      </ns0:c>
      <ns0:c r="I19" s="8">
        <ns0:f>'销售费用'!I19+'管理费用'!I19+'蓝恐龙费用'!I19</ns0:f>
        <ns0:v>1056.52</ns0:v>
      </ns0:c>
      <ns0:c r="J19" s="8">
        <ns0:f>'销售费用'!J19+'管理费用'!J19+'蓝恐龙费用'!J19</ns0:f>
        <ns0:v>944.47</ns0:v>
      </ns0:c>
      <ns0:c r="K19" s="8">
        <ns0:f>'销售费用'!K19+'管理费用'!K19+'蓝恐龙费用'!K19</ns0:f>
        <ns0:v>1089.12</ns0:v>
      </ns0:c>
      <ns0:c r="L19" s="8">
        <ns0:f>'销售费用'!L19+'管理费用'!L19+'蓝恐龙费用'!L19</ns0:f>
        <ns0:v>1106.95</ns0:v>
      </ns0:c>
      <ns0:c r="M19" s="8">
        <ns0:f>'销售费用'!M19+'管理费用'!M19+'蓝恐龙费用'!M19</ns0:f>
        <ns0:v>1043.88</ns0:v>
      </ns0:c>
      <ns0:c r="N19" s="8">
        <ns0:f>'销售费用'!N19+'管理费用'!N19+'蓝恐龙费用'!N19</ns0:f>
        <ns0:v>1061.75</ns0:v>
      </ns0:c>
      <ns0:c r="O19" s="8">
        <ns0:f>SUM(C19:N19)</ns0:f>
        <ns0:v>12410.67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2100.00</ns0:v>
      </ns0:c>
      <ns0:c r="D20" s="8">
        <ns0:f>'销售费用'!D20+'管理费用'!D20+'蓝恐龙费用'!D20</ns0:f>
        <ns0:v>2100.00</ns0:v>
      </ns0:c>
      <ns0:c r="E20" s="8">
        <ns0:f>'销售费用'!E20+'管理费用'!E20+'蓝恐龙费用'!E20</ns0:f>
        <ns0:v>2100.00</ns0:v>
      </ns0:c>
      <ns0:c r="F20" s="8">
        <ns0:f>'销售费用'!F20+'管理费用'!F20+'蓝恐龙费用'!F20</ns0:f>
        <ns0:v>2100.00</ns0:v>
      </ns0:c>
      <ns0:c r="G20" s="8">
        <ns0:f>'销售费用'!G20+'管理费用'!G20+'蓝恐龙费用'!G20</ns0:f>
        <ns0:v>2100.00</ns0:v>
      </ns0:c>
      <ns0:c r="H20" s="8">
        <ns0:f>'销售费用'!H20+'管理费用'!H20+'蓝恐龙费用'!H20</ns0:f>
        <ns0:v>2100.00</ns0:v>
      </ns0:c>
      <ns0:c r="I20" s="8">
        <ns0:f>'销售费用'!I20+'管理费用'!I20+'蓝恐龙费用'!I20</ns0:f>
        <ns0:v>2100.00</ns0:v>
      </ns0:c>
      <ns0:c r="J20" s="8">
        <ns0:f>'销售费用'!J20+'管理费用'!J20+'蓝恐龙费用'!J20</ns0:f>
        <ns0:v>2100.00</ns0:v>
      </ns0:c>
      <ns0:c r="K20" s="8">
        <ns0:f>'销售费用'!K20+'管理费用'!K20+'蓝恐龙费用'!K20</ns0:f>
        <ns0:v>2100.00</ns0:v>
      </ns0:c>
      <ns0:c r="L20" s="8">
        <ns0:f>'销售费用'!L20+'管理费用'!L20+'蓝恐龙费用'!L20</ns0:f>
        <ns0:v>2100.00</ns0:v>
      </ns0:c>
      <ns0:c r="M20" s="8">
        <ns0:f>'销售费用'!M20+'管理费用'!M20+'蓝恐龙费用'!M20</ns0:f>
        <ns0:v>2100.00</ns0:v>
      </ns0:c>
      <ns0:c r="N20" s="8">
        <ns0:f>'销售费用'!N20+'管理费用'!N20+'蓝恐龙费用'!N20</ns0:f>
        <ns0:v>2100.00</ns0:v>
      </ns0:c>
      <ns0:c r="O20" s="8">
        <ns0:f>SUM(C20:N20)</ns0:f>
        <ns0:v>25200.00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3882.54</ns0:v>
      </ns0:c>
      <ns0:c r="D21" s="8">
        <ns0:f>'销售费用'!D21+'管理费用'!D21+'蓝恐龙费用'!D21</ns0:f>
        <ns0:v>3667.00</ns0:v>
      </ns0:c>
      <ns0:c r="E21" s="8">
        <ns0:f>'销售费用'!E21+'管理费用'!E21+'蓝恐龙费用'!E21</ns0:f>
        <ns0:v>3923.18</ns0:v>
      </ns0:c>
      <ns0:c r="F21" s="8">
        <ns0:f>'销售费用'!F21+'管理费用'!F21+'蓝恐龙费用'!F21</ns0:f>
        <ns0:v>3897.57</ns0:v>
      </ns0:c>
      <ns0:c r="G21" s="8">
        <ns0:f>'销售费用'!G21+'管理费用'!G21+'蓝恐龙费用'!G21</ns0:f>
        <ns0:v>3865.30</ns0:v>
      </ns0:c>
      <ns0:c r="H21" s="8">
        <ns0:f>'销售费用'!H21+'管理费用'!H21+'蓝恐龙费用'!H21</ns0:f>
        <ns0:v>3596.69</ns0:v>
      </ns0:c>
      <ns0:c r="I21" s="8">
        <ns0:f>'销售费用'!I21+'管理费用'!I21+'蓝恐龙费用'!I21</ns0:f>
        <ns0:v>3624.97</ns0:v>
      </ns0:c>
      <ns0:c r="J21" s="8">
        <ns0:f>'销售费用'!J21+'管理费用'!J21+'蓝恐龙费用'!J21</ns0:f>
        <ns0:v>3547.07</ns0:v>
      </ns0:c>
      <ns0:c r="K21" s="8">
        <ns0:f>'销售费用'!K21+'管理费用'!K21+'蓝恐龙费用'!K21</ns0:f>
        <ns0:v>3598.66</ns0:v>
      </ns0:c>
      <ns0:c r="L21" s="8">
        <ns0:f>'销售费用'!L21+'管理费用'!L21+'蓝恐龙费用'!L21</ns0:f>
        <ns0:v>3398.05</ns0:v>
      </ns0:c>
      <ns0:c r="M21" s="8">
        <ns0:f>'销售费用'!M21+'管理费用'!M21+'蓝恐龙费用'!M21</ns0:f>
        <ns0:v>3760.36</ns0:v>
      </ns0:c>
      <ns0:c r="N21" s="8">
        <ns0:f>'销售费用'!N21+'管理费用'!N21+'蓝恐龙费用'!N21</ns0:f>
        <ns0:v>3845.29</ns0:v>
      </ns0:c>
      <ns0:c r="O21" s="8">
        <ns0:f>SUM(C21:N21)</ns0:f>
        <ns0:v>44606.68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2459.23</ns0:v>
      </ns0:c>
      <ns0:c r="D22" s="8">
        <ns0:f>'销售费用'!D22+'管理费用'!D22+'蓝恐龙费用'!D22</ns0:f>
        <ns0:v>2606.05</ns0:v>
      </ns0:c>
      <ns0:c r="E22" s="8">
        <ns0:f>'销售费用'!E22+'管理费用'!E22+'蓝恐龙费用'!E22</ns0:f>
        <ns0:v>2746.13</ns0:v>
      </ns0:c>
      <ns0:c r="F22" s="8">
        <ns0:f>'销售费用'!F22+'管理费用'!F22+'蓝恐龙费用'!F22</ns0:f>
        <ns0:v>2830.45</ns0:v>
      </ns0:c>
      <ns0:c r="G22" s="8">
        <ns0:f>'销售费用'!G22+'管理费用'!G22+'蓝恐龙费用'!G22</ns0:f>
        <ns0:v>2490.86</ns0:v>
      </ns0:c>
      <ns0:c r="H22" s="8">
        <ns0:f>'销售费用'!H22+'管理费用'!H22+'蓝恐龙费用'!H22</ns0:f>
        <ns0:v>2694.22</ns0:v>
      </ns0:c>
      <ns0:c r="I22" s="8">
        <ns0:f>'销售费用'!I22+'管理费用'!I22+'蓝恐龙费用'!I22</ns0:f>
        <ns0:v>2818.06</ns0:v>
      </ns0:c>
      <ns0:c r="J22" s="8">
        <ns0:f>'销售费用'!J22+'管理费用'!J22+'蓝恐龙费用'!J22</ns0:f>
        <ns0:v>2660.41</ns0:v>
      </ns0:c>
      <ns0:c r="K22" s="8">
        <ns0:f>'销售费用'!K22+'管理费用'!K22+'蓝恐龙费用'!K22</ns0:f>
        <ns0:v>2840.26</ns0:v>
      </ns0:c>
      <ns0:c r="L22" s="8">
        <ns0:f>'销售费用'!L22+'管理费用'!L22+'蓝恐龙费用'!L22</ns0:f>
        <ns0:v>2625.29</ns0:v>
      </ns0:c>
      <ns0:c r="M22" s="8">
        <ns0:f>'销售费用'!M22+'管理费用'!M22+'蓝恐龙费用'!M22</ns0:f>
        <ns0:v>2746.71</ns0:v>
      </ns0:c>
      <ns0:c r="N22" s="8">
        <ns0:f>'销售费用'!N22+'管理费用'!N22+'蓝恐龙费用'!N22</ns0:f>
        <ns0:v>2568.21</ns0:v>
      </ns0:c>
      <ns0:c r="O22" s="8">
        <ns0:f>SUM(C22:N22)</ns0:f>
        <ns0:v>32085.88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1469.97</ns0:v>
      </ns0:c>
      <ns0:c r="D23" s="8">
        <ns0:f>'销售费用'!D23+'管理费用'!D23+'蓝恐龙费用'!D23</ns0:f>
        <ns0:v>1375.27</ns0:v>
      </ns0:c>
      <ns0:c r="E23" s="8">
        <ns0:f>'销售费用'!E23+'管理费用'!E23+'蓝恐龙费用'!E23</ns0:f>
        <ns0:v>1367.24</ns0:v>
      </ns0:c>
      <ns0:c r="F23" s="8">
        <ns0:f>'销售费用'!F23+'管理费用'!F23+'蓝恐龙费用'!F23</ns0:f>
        <ns0:v>1358.35</ns0:v>
      </ns0:c>
      <ns0:c r="G23" s="8">
        <ns0:f>'销售费用'!G23+'管理费用'!G23+'蓝恐龙费用'!G23</ns0:f>
        <ns0:v>1400.67</ns0:v>
      </ns0:c>
      <ns0:c r="H23" s="8">
        <ns0:f>'销售费用'!H23+'管理费用'!H23+'蓝恐龙费用'!H23</ns0:f>
        <ns0:v>1428.20</ns0:v>
      </ns0:c>
      <ns0:c r="I23" s="8">
        <ns0:f>'销售费用'!I23+'管理费用'!I23+'蓝恐龙费用'!I23</ns0:f>
        <ns0:v>1437.82</ns0:v>
      </ns0:c>
      <ns0:c r="J23" s="8">
        <ns0:f>'销售费用'!J23+'管理费用'!J23+'蓝恐龙费用'!J23</ns0:f>
        <ns0:v>1414.36</ns0:v>
      </ns0:c>
      <ns0:c r="K23" s="8">
        <ns0:f>'销售费用'!K23+'管理费用'!K23+'蓝恐龙费用'!K23</ns0:f>
        <ns0:v>1484.22</ns0:v>
      </ns0:c>
      <ns0:c r="L23" s="8">
        <ns0:f>'销售费用'!L23+'管理费用'!L23+'蓝恐龙费用'!L23</ns0:f>
        <ns0:v>1390.89</ns0:v>
      </ns0:c>
      <ns0:c r="M23" s="8">
        <ns0:f>'销售费用'!M23+'管理费用'!M23+'蓝恐龙费用'!M23</ns0:f>
        <ns0:v>1484.38</ns0:v>
      </ns0:c>
      <ns0:c r="N23" s="8">
        <ns0:f>'销售费用'!N23+'管理费用'!N23+'蓝恐龙费用'!N23</ns0:f>
        <ns0:v>1391.60</ns0:v>
      </ns0:c>
      <ns0:c r="O23" s="8">
        <ns0:f>SUM(C23:N23)</ns0:f>
        <ns0:v>17002.97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1055.24</ns0:v>
      </ns0:c>
      <ns0:c r="D24" s="8">
        <ns0:f>'销售费用'!D24+'管理费用'!D24+'蓝恐龙费用'!D24</ns0:f>
        <ns0:v>1048.29</ns0:v>
      </ns0:c>
      <ns0:c r="E24" s="8">
        <ns0:f>'销售费用'!E24+'管理费用'!E24+'蓝恐龙费用'!E24</ns0:f>
        <ns0:v>1067.17</ns0:v>
      </ns0:c>
      <ns0:c r="F24" s="8">
        <ns0:f>'销售费用'!F24+'管理费用'!F24+'蓝恐龙费用'!F24</ns0:f>
        <ns0:v>1096.65</ns0:v>
      </ns0:c>
      <ns0:c r="G24" s="8">
        <ns0:f>'销售费用'!G24+'管理费用'!G24+'蓝恐龙费用'!G24</ns0:f>
        <ns0:v>1108.93</ns0:v>
      </ns0:c>
      <ns0:c r="H24" s="8">
        <ns0:f>'销售费用'!H24+'管理费用'!H24+'蓝恐龙费用'!H24</ns0:f>
        <ns0:v>1141.64</ns0:v>
      </ns0:c>
      <ns0:c r="I24" s="8">
        <ns0:f>'销售费用'!I24+'管理费用'!I24+'蓝恐龙费用'!I24</ns0:f>
        <ns0:v>1035.77</ns0:v>
      </ns0:c>
      <ns0:c r="J24" s="8">
        <ns0:f>'销售费用'!J24+'管理费用'!J24+'蓝恐龙费用'!J24</ns0:f>
        <ns0:v>1150.05</ns0:v>
      </ns0:c>
      <ns0:c r="K24" s="8">
        <ns0:f>'销售费用'!K24+'管理费用'!K24+'蓝恐龙费用'!K24</ns0:f>
        <ns0:v>1212.36</ns0:v>
      </ns0:c>
      <ns0:c r="L24" s="8">
        <ns0:f>'销售费用'!L24+'管理费用'!L24+'蓝恐龙费用'!L24</ns0:f>
        <ns0:v>1126.43</ns0:v>
      </ns0:c>
      <ns0:c r="M24" s="8">
        <ns0:f>'销售费用'!M24+'管理费用'!M24+'蓝恐龙费用'!M24</ns0:f>
        <ns0:v>1010.82</ns0:v>
      </ns0:c>
      <ns0:c r="N24" s="8">
        <ns0:f>'销售费用'!N24+'管理费用'!N24+'蓝恐龙费用'!N24</ns0:f>
        <ns0:v>1114.43</ns0:v>
      </ns0:c>
      <ns0:c r="O24" s="8">
        <ns0:f>SUM(C24:N24)</ns0:f>
        <ns0:v>13167.78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2512.09</ns0:v>
      </ns0:c>
      <ns0:c r="D25" s="8">
        <ns0:f>'销售费用'!D25+'管理费用'!D25+'蓝恐龙费用'!D25</ns0:f>
        <ns0:v>2581.37</ns0:v>
      </ns0:c>
      <ns0:c r="E25" s="8">
        <ns0:f>'销售费用'!E25+'管理费用'!E25+'蓝恐龙费用'!E25</ns0:f>
        <ns0:v>2721.00</ns0:v>
      </ns0:c>
      <ns0:c r="F25" s="8">
        <ns0:f>'销售费用'!F25+'管理费用'!F25+'蓝恐龙费用'!F25</ns0:f>
        <ns0:v>2378.84</ns0:v>
      </ns0:c>
      <ns0:c r="G25" s="8">
        <ns0:f>'销售费用'!G25+'管理费用'!G25+'蓝恐龙费用'!G25</ns0:f>
        <ns0:v>2555.77</ns0:v>
      </ns0:c>
      <ns0:c r="H25" s="8">
        <ns0:f>'销售费用'!H25+'管理费用'!H25+'蓝恐龙费用'!H25</ns0:f>
        <ns0:v>2589.95</ns0:v>
      </ns0:c>
      <ns0:c r="I25" s="8">
        <ns0:f>'销售费用'!I25+'管理费用'!I25+'蓝恐龙费用'!I25</ns0:f>
        <ns0:v>2709.22</ns0:v>
      </ns0:c>
      <ns0:c r="J25" s="8">
        <ns0:f>'销售费用'!J25+'管理费用'!J25+'蓝恐龙费用'!J25</ns0:f>
        <ns0:v>2647.76</ns0:v>
      </ns0:c>
      <ns0:c r="K25" s="8">
        <ns0:f>'销售费用'!K25+'管理费用'!K25+'蓝恐龙费用'!K25</ns0:f>
        <ns0:v>2616.44</ns0:v>
      </ns0:c>
      <ns0:c r="L25" s="8">
        <ns0:f>'销售费用'!L25+'管理费用'!L25+'蓝恐龙费用'!L25</ns0:f>
        <ns0:v>2800.88</ns0:v>
      </ns0:c>
      <ns0:c r="M25" s="8">
        <ns0:f>'销售费用'!M25+'管理费用'!M25+'蓝恐龙费用'!M25</ns0:f>
        <ns0:v>2413.05</ns0:v>
      </ns0:c>
      <ns0:c r="N25" s="8">
        <ns0:f>'销售费用'!N25+'管理费用'!N25+'蓝恐龙费用'!N25</ns0:f>
        <ns0:v>2679.52</ns0:v>
      </ns0:c>
      <ns0:c r="O25" s="8">
        <ns0:f>SUM(C25:N25)</ns0:f>
        <ns0:v>31205.89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1875.71</ns0:v>
      </ns0:c>
      <ns0:c r="D26" s="8">
        <ns0:f>'销售费用'!D26+'管理费用'!D26+'蓝恐龙费用'!D26</ns0:f>
        <ns0:v>1689.82</ns0:v>
      </ns0:c>
      <ns0:c r="E26" s="8">
        <ns0:f>'销售费用'!E26+'管理费用'!E26+'蓝恐龙费用'!E26</ns0:f>
        <ns0:v>1620.54</ns0:v>
      </ns0:c>
      <ns0:c r="F26" s="8">
        <ns0:f>'销售费用'!F26+'管理费用'!F26+'蓝恐龙费用'!F26</ns0:f>
        <ns0:v>1857.91</ns0:v>
      </ns0:c>
      <ns0:c r="G26" s="8">
        <ns0:f>'销售费用'!G26+'管理费用'!G26+'蓝恐龙费用'!G26</ns0:f>
        <ns0:v>1957.69</ns0:v>
      </ns0:c>
      <ns0:c r="H26" s="8">
        <ns0:f>'销售费用'!H26+'管理费用'!H26+'蓝恐龙费用'!H26</ns0:f>
        <ns0:v>1846.99</ns0:v>
      </ns0:c>
      <ns0:c r="I26" s="8">
        <ns0:f>'销售费用'!I26+'管理费用'!I26+'蓝恐龙费用'!I26</ns0:f>
        <ns0:v>1765.96</ns0:v>
      </ns0:c>
      <ns0:c r="J26" s="8">
        <ns0:f>'销售费用'!J26+'管理费用'!J26+'蓝恐龙费用'!J26</ns0:f>
        <ns0:v>1948.82</ns0:v>
      </ns0:c>
      <ns0:c r="K26" s="8">
        <ns0:f>'销售费用'!K26+'管理费用'!K26+'蓝恐龙费用'!K26</ns0:f>
        <ns0:v>1768.62</ns0:v>
      </ns0:c>
      <ns0:c r="L26" s="8">
        <ns0:f>'销售费用'!L26+'管理费用'!L26+'蓝恐龙费用'!L26</ns0:f>
        <ns0:v>1893.82</ns0:v>
      </ns0:c>
      <ns0:c r="M26" s="8">
        <ns0:f>'销售费用'!M26+'管理费用'!M26+'蓝恐龙费用'!M26</ns0:f>
        <ns0:v>1856.54</ns0:v>
      </ns0:c>
      <ns0:c r="N26" s="8">
        <ns0:f>'销售费用'!N26+'管理费用'!N26+'蓝恐龙费用'!N26</ns0:f>
        <ns0:v>1772.38</ns0:v>
      </ns0:c>
      <ns0:c r="O26" s="8">
        <ns0:f>SUM(C26:N26)</ns0:f>
        <ns0:v>21854.80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2094.36</ns0:v>
      </ns0:c>
      <ns0:c r="D27" s="8">
        <ns0:f>'销售费用'!D27+'管理费用'!D27+'蓝恐龙费用'!D27</ns0:f>
        <ns0:v>1965.06</ns0:v>
      </ns0:c>
      <ns0:c r="E27" s="8">
        <ns0:f>'销售费用'!E27+'管理费用'!E27+'蓝恐龙费用'!E27</ns0:f>
        <ns0:v>2142.07</ns0:v>
      </ns0:c>
      <ns0:c r="F27" s="8">
        <ns0:f>'销售费用'!F27+'管理费用'!F27+'蓝恐龙费用'!F27</ns0:f>
        <ns0:v>2218.97</ns0:v>
      </ns0:c>
      <ns0:c r="G27" s="8">
        <ns0:f>'销售费用'!G27+'管理费用'!G27+'蓝恐龙费用'!G27</ns0:f>
        <ns0:v>2067.72</ns0:v>
      </ns0:c>
      <ns0:c r="H27" s="8">
        <ns0:f>'销售费用'!H27+'管理费用'!H27+'蓝恐龙费用'!H27</ns0:f>
        <ns0:v>1967.13</ns0:v>
      </ns0:c>
      <ns0:c r="I27" s="8">
        <ns0:f>'销售费用'!I27+'管理费用'!I27+'蓝恐龙费用'!I27</ns0:f>
        <ns0:v>1969.03</ns0:v>
      </ns0:c>
      <ns0:c r="J27" s="8">
        <ns0:f>'销售费用'!J27+'管理费用'!J27+'蓝恐龙费用'!J27</ns0:f>
        <ns0:v>2167.61</ns0:v>
      </ns0:c>
      <ns0:c r="K27" s="8">
        <ns0:f>'销售费用'!K27+'管理费用'!K27+'蓝恐龙费用'!K27</ns0:f>
        <ns0:v>2119.02</ns0:v>
      </ns0:c>
      <ns0:c r="L27" s="8">
        <ns0:f>'销售费用'!L27+'管理费用'!L27+'蓝恐龙费用'!L27</ns0:f>
        <ns0:v>1982.60</ns0:v>
      </ns0:c>
      <ns0:c r="M27" s="8">
        <ns0:f>'销售费用'!M27+'管理费用'!M27+'蓝恐龙费用'!M27</ns0:f>
        <ns0:v>2061.48</ns0:v>
      </ns0:c>
      <ns0:c r="N27" s="8">
        <ns0:f>'销售费用'!N27+'管理费用'!N27+'蓝恐龙费用'!N27</ns0:f>
        <ns0:v>2239.65</ns0:v>
      </ns0:c>
      <ns0:c r="O27" s="8">
        <ns0:f>SUM(C27:N27)</ns0:f>
        <ns0:v>24994.70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1027.84</ns0:v>
      </ns0:c>
      <ns0:c r="D28" s="8">
        <ns0:f>'销售费用'!D28+'管理费用'!D28+'蓝恐龙费用'!D28</ns0:f>
        <ns0:v>902.16</ns0:v>
      </ns0:c>
      <ns0:c r="E28" s="8">
        <ns0:f>'销售费用'!E28+'管理费用'!E28+'蓝恐龙费用'!E28</ns0:f>
        <ns0:v>942.57</ns0:v>
      </ns0:c>
      <ns0:c r="F28" s="8">
        <ns0:f>'销售费用'!F28+'管理费用'!F28+'蓝恐龙费用'!F28</ns0:f>
        <ns0:v>949.91</ns0:v>
      </ns0:c>
      <ns0:c r="G28" s="8">
        <ns0:f>'销售费用'!G28+'管理费用'!G28+'蓝恐龙费用'!G28</ns0:f>
        <ns0:v>956.44</ns0:v>
      </ns0:c>
      <ns0:c r="H28" s="8">
        <ns0:f>'销售费用'!H28+'管理费用'!H28+'蓝恐龙费用'!H28</ns0:f>
        <ns0:v>985.77</ns0:v>
      </ns0:c>
      <ns0:c r="I28" s="8">
        <ns0:f>'销售费用'!I28+'管理费用'!I28+'蓝恐龙费用'!I28</ns0:f>
        <ns0:v>875.00</ns0:v>
      </ns0:c>
      <ns0:c r="J28" s="8">
        <ns0:f>'销售费用'!J28+'管理费用'!J28+'蓝恐龙费用'!J28</ns0:f>
        <ns0:v>956.55</ns0:v>
      </ns0:c>
      <ns0:c r="K28" s="8">
        <ns0:f>'销售费用'!K28+'管理费用'!K28+'蓝恐龙费用'!K28</ns0:f>
        <ns0:v>936.47</ns0:v>
      </ns0:c>
      <ns0:c r="L28" s="8">
        <ns0:f>'销售费用'!L28+'管理费用'!L28+'蓝恐龙费用'!L28</ns0:f>
        <ns0:v>993.62</ns0:v>
      </ns0:c>
      <ns0:c r="M28" s="8">
        <ns0:f>'销售费用'!M28+'管理费用'!M28+'蓝恐龙费用'!M28</ns0:f>
        <ns0:v>982.29</ns0:v>
      </ns0:c>
      <ns0:c r="N28" s="8">
        <ns0:f>'销售费用'!N28+'管理费用'!N28+'蓝恐龙费用'!N28</ns0:f>
        <ns0:v>945.89</ns0:v>
      </ns0:c>
      <ns0:c r="O28" s="8">
        <ns0:f>SUM(C28:N28)</ns0:f>
        <ns0:v>11454.51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0.00</ns0:v>
      </ns0:c>
      <ns0:c r="D30" s="9">
        <ns0:f>'销售费用'!D30+'管理费用'!D30+'蓝恐龙费用'!D30</ns0:f>
        <ns0:v>0.00</ns0:v>
      </ns0:c>
      <ns0:c r="E30" s="9">
        <ns0:f>'销售费用'!E30+'管理费用'!E30+'蓝恐龙费用'!E30</ns0:f>
        <ns0:v>0.00</ns0:v>
      </ns0:c>
      <ns0:c r="F30" s="9">
        <ns0:f>'销售费用'!F30+'管理费用'!F30+'蓝恐龙费用'!F30</ns0:f>
        <ns0:v>0.00</ns0:v>
      </ns0:c>
      <ns0:c r="G30" s="9">
        <ns0:f>'销售费用'!G30+'管理费用'!G30+'蓝恐龙费用'!G30</ns0:f>
        <ns0:v>0.00</ns0:v>
      </ns0:c>
      <ns0:c r="H30" s="9">
        <ns0:f>'销售费用'!H30+'管理费用'!H30+'蓝恐龙费用'!H30</ns0:f>
        <ns0:v>0.00</ns0:v>
      </ns0:c>
      <ns0:c r="I30" s="9">
        <ns0:f>'销售费用'!I30+'管理费用'!I30+'蓝恐龙费用'!I30</ns0:f>
        <ns0:v>0.00</ns0:v>
      </ns0:c>
      <ns0:c r="J30" s="9">
        <ns0:f>'销售费用'!J30+'管理费用'!J30+'蓝恐龙费用'!J30</ns0:f>
        <ns0:v>0.00</ns0:v>
      </ns0:c>
      <ns0:c r="K30" s="9">
        <ns0:f>'销售费用'!K30+'管理费用'!K30+'蓝恐龙费用'!K30</ns0:f>
        <ns0:v>0.00</ns0:v>
      </ns0:c>
      <ns0:c r="L30" s="9">
        <ns0:f>'销售费用'!L30+'管理费用'!L30+'蓝恐龙费用'!L30</ns0:f>
        <ns0:v>0.00</ns0:v>
      </ns0:c>
      <ns0:c r="M30" s="9">
        <ns0:f>'销售费用'!M30+'管理费用'!M30+'蓝恐龙费用'!M30</ns0:f>
        <ns0:v>0.00</ns0:v>
      </ns0:c>
      <ns0:c r="N30" s="9">
        <ns0:f>'销售费用'!N30+'管理费用'!N30+'蓝恐龙费用'!N30</ns0:f>
        <ns0:v>0.00</ns0:v>
      </ns0:c>
      <ns0:c r="O30" s="9">
        <ns0:f>SUM(C30:N30)</ns0:f>
        <ns0:v>0.00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354.85</ns0:v>
      </ns0:c>
      <ns0:c r="D31" s="8">
        <ns0:f>'销售费用'!D31+'管理费用'!D31+'蓝恐龙费用'!D31</ns0:f>
        <ns0:v>354.34</ns0:v>
      </ns0:c>
      <ns0:c r="E31" s="8">
        <ns0:f>'销售费用'!E31+'管理费用'!E31+'蓝恐龙费用'!E31</ns0:f>
        <ns0:v>305.41</ns0:v>
      </ns0:c>
      <ns0:c r="F31" s="8">
        <ns0:f>'销售费用'!F31+'管理费用'!F31+'蓝恐龙费用'!F31</ns0:f>
        <ns0:v>343.40</ns0:v>
      </ns0:c>
      <ns0:c r="G31" s="8">
        <ns0:f>'销售费用'!G31+'管理费用'!G31+'蓝恐龙费用'!G31</ns0:f>
        <ns0:v>353.34</ns0:v>
      </ns0:c>
      <ns0:c r="H31" s="8">
        <ns0:f>'销售费用'!H31+'管理费用'!H31+'蓝恐龙费用'!H31</ns0:f>
        <ns0:v>336.65</ns0:v>
      </ns0:c>
      <ns0:c r="I31" s="8">
        <ns0:f>'销售费用'!I31+'管理费用'!I31+'蓝恐龙费用'!I31</ns0:f>
        <ns0:v>320.31</ns0:v>
      </ns0:c>
      <ns0:c r="J31" s="8">
        <ns0:f>'销售费用'!J31+'管理费用'!J31+'蓝恐龙费用'!J31</ns0:f>
        <ns0:v>351.46</ns0:v>
      </ns0:c>
      <ns0:c r="K31" s="8">
        <ns0:f>'销售费用'!K31+'管理费用'!K31+'蓝恐龙费用'!K31</ns0:f>
        <ns0:v>329.77</ns0:v>
      </ns0:c>
      <ns0:c r="L31" s="8">
        <ns0:f>'销售费用'!L31+'管理费用'!L31+'蓝恐龙费用'!L31</ns0:f>
        <ns0:v>352.78</ns0:v>
      </ns0:c>
      <ns0:c r="M31" s="8">
        <ns0:f>'销售费用'!M31+'管理费用'!M31+'蓝恐龙费用'!M31</ns0:f>
        <ns0:v>324.39</ns0:v>
      </ns0:c>
      <ns0:c r="N31" s="8">
        <ns0:f>'销售费用'!N31+'管理费用'!N31+'蓝恐龙费用'!N31</ns0:f>
        <ns0:v>318.74</ns0:v>
      </ns0:c>
      <ns0:c r="O31" s="8">
        <ns0:f>SUM(C31:N31)</ns0:f>
        <ns0:v>4045.44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551.18</ns0:v>
      </ns0:c>
      <ns0:c r="D32" s="8">
        <ns0:f>'销售费用'!D32+'管理费用'!D32+'蓝恐龙费用'!D32</ns0:f>
        <ns0:v>592.20</ns0:v>
      </ns0:c>
      <ns0:c r="E32" s="8">
        <ns0:f>'销售费用'!E32+'管理费用'!E32+'蓝恐龙费用'!E32</ns0:f>
        <ns0:v>566.83</ns0:v>
      </ns0:c>
      <ns0:c r="F32" s="8">
        <ns0:f>'销售费用'!F32+'管理费用'!F32+'蓝恐龙费用'!F32</ns0:f>
        <ns0:v>590.63</ns0:v>
      </ns0:c>
      <ns0:c r="G32" s="8">
        <ns0:f>'销售费用'!G32+'管理费用'!G32+'蓝恐龙费用'!G32</ns0:f>
        <ns0:v>590.52</ns0:v>
      </ns0:c>
      <ns0:c r="H32" s="8">
        <ns0:f>'销售费用'!H32+'管理费用'!H32+'蓝恐龙费用'!H32</ns0:f>
        <ns0:v>591.17</ns0:v>
      </ns0:c>
      <ns0:c r="I32" s="8">
        <ns0:f>'销售费用'!I32+'管理费用'!I32+'蓝恐龙费用'!I32</ns0:f>
        <ns0:v>544.08</ns0:v>
      </ns0:c>
      <ns0:c r="J32" s="8">
        <ns0:f>'销售费用'!J32+'管理费用'!J32+'蓝恐龙费用'!J32</ns0:f>
        <ns0:v>571.16</ns0:v>
      </ns0:c>
      <ns0:c r="K32" s="8">
        <ns0:f>'销售费用'!K32+'管理费用'!K32+'蓝恐龙费用'!K32</ns0:f>
        <ns0:v>561.03</ns0:v>
      </ns0:c>
      <ns0:c r="L32" s="8">
        <ns0:f>'销售费用'!L32+'管理费用'!L32+'蓝恐龙费用'!L32</ns0:f>
        <ns0:v>561.48</ns0:v>
      </ns0:c>
      <ns0:c r="M32" s="8">
        <ns0:f>'销售费用'!M32+'管理费用'!M32+'蓝恐龙费用'!M32</ns0:f>
        <ns0:v>556.41</ns0:v>
      </ns0:c>
      <ns0:c r="N32" s="8">
        <ns0:f>'销售费用'!N32+'管理费用'!N32+'蓝恐龙费用'!N32</ns0:f>
        <ns0:v>568.06</ns0:v>
      </ns0:c>
      <ns0:c r="O32" s="8">
        <ns0:f>SUM(C32:N32)</ns0:f>
        <ns0:v>6844.75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1133.50</ns0:v>
      </ns0:c>
      <ns0:c r="D33" s="8">
        <ns0:f>'销售费用'!D33+'管理费用'!D33+'蓝恐龙费用'!D33</ns0:f>
        <ns0:v>1240.69</ns0:v>
      </ns0:c>
      <ns0:c r="E33" s="8">
        <ns0:f>'销售费用'!E33+'管理费用'!E33+'蓝恐龙费用'!E33</ns0:f>
        <ns0:v>1119.00</ns0:v>
      </ns0:c>
      <ns0:c r="F33" s="8">
        <ns0:f>'销售费用'!F33+'管理费用'!F33+'蓝恐龙费用'!F33</ns0:f>
        <ns0:v>1187.82</ns0:v>
      </ns0:c>
      <ns0:c r="G33" s="8">
        <ns0:f>'销售费用'!G33+'管理费用'!G33+'蓝恐龙费用'!G33</ns0:f>
        <ns0:v>1238.48</ns0:v>
      </ns0:c>
      <ns0:c r="H33" s="8">
        <ns0:f>'销售费用'!H33+'管理费用'!H33+'蓝恐龙费用'!H33</ns0:f>
        <ns0:v>1248.01</ns0:v>
      </ns0:c>
      <ns0:c r="I33" s="8">
        <ns0:f>'销售费用'!I33+'管理费用'!I33+'蓝恐龙费用'!I33</ns0:f>
        <ns0:v>1134.27</ns0:v>
      </ns0:c>
      <ns0:c r="J33" s="8">
        <ns0:f>'销售费用'!J33+'管理费用'!J33+'蓝恐龙费用'!J33</ns0:f>
        <ns0:v>1226.44</ns0:v>
      </ns0:c>
      <ns0:c r="K33" s="8">
        <ns0:f>'销售费用'!K33+'管理费用'!K33+'蓝恐龙费用'!K33</ns0:f>
        <ns0:v>1258.40</ns0:v>
      </ns0:c>
      <ns0:c r="L33" s="8">
        <ns0:f>'销售费用'!L33+'管理费用'!L33+'蓝恐龙费用'!L33</ns0:f>
        <ns0:v>1180.24</ns0:v>
      </ns0:c>
      <ns0:c r="M33" s="8">
        <ns0:f>'销售费用'!M33+'管理费用'!M33+'蓝恐龙费用'!M33</ns0:f>
        <ns0:v>1249.01</ns0:v>
      </ns0:c>
      <ns0:c r="N33" s="8">
        <ns0:f>'销售费用'!N33+'管理费用'!N33+'蓝恐龙费用'!N33</ns0:f>
        <ns0:v>1328.68</ns0:v>
      </ns0:c>
      <ns0:c r="O33" s="8">
        <ns0:f>SUM(C33:N33)</ns0:f>
        <ns0:v>14544.54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194604.17</ns0:v>
      </ns0:c>
      <ns0:c r="D34" s="8">
        <ns0:f>SUM(D4:D33)</ns0:f>
        <ns0:v>193401.56</ns0:v>
      </ns0:c>
      <ns0:c r="E34" s="8">
        <ns0:f>SUM(E4:E33)</ns0:f>
        <ns0:v>195714.07</ns0:v>
      </ns0:c>
      <ns0:c r="F34" s="8">
        <ns0:f>SUM(F4:F33)</ns0:f>
        <ns0:v>195528.93</ns0:v>
      </ns0:c>
      <ns0:c r="G34" s="8">
        <ns0:f>SUM(G4:G33)</ns0:f>
        <ns0:v>195216.49</ns0:v>
      </ns0:c>
      <ns0:c r="H34" s="8">
        <ns0:f>SUM(H4:H33)</ns0:f>
        <ns0:v>194694.43</ns0:v>
      </ns0:c>
      <ns0:c r="I34" s="8">
        <ns0:f>SUM(I4:I33)</ns0:f>
        <ns0:v>194200.73</ns0:v>
      </ns0:c>
      <ns0:c r="J34" s="8">
        <ns0:f>SUM(J4:J33)</ns0:f>
        <ns0:v>194502.86</ns0:v>
      </ns0:c>
      <ns0:c r="K34" s="8">
        <ns0:f>SUM(K4:K33)</ns0:f>
        <ns0:v>195335.93</ns0:v>
      </ns0:c>
      <ns0:c r="L34" s="8">
        <ns0:f>SUM(L4:L33)</ns0:f>
        <ns0:v>194430.76</ns0:v>
      </ns0:c>
      <ns0:c r="M34" s="8">
        <ns0:f>SUM(M4:M33)</ns0:f>
        <ns0:v>193492.29</ns0:v>
      </ns0:c>
      <ns0:c r="N34" s="8">
        <ns0:f>SUM(N4:N33)</ns0:f>
        <ns0:v>193919.88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</ns0:f>
        <ns0:v>15986.94</ns0:v>
      </ns0:c>
      <ns0:c r="D35" s="8">
        <ns0:f>'销售费用'!D35+'管理费用'!D35+'蓝恐龙费用'!D35</ns0:f>
        <ns0:v>11150.37</ns0:v>
      </ns0:c>
      <ns0:c r="E35" s="8">
        <ns0:f>'销售费用'!E35+'管理费用'!E35+'蓝恐龙费用'!E35</ns0:f>
        <ns0:v>15725.04</ns0:v>
      </ns0:c>
      <ns0:c r="F35" s="8">
        <ns0:f>'销售费用'!F35+'管理费用'!F35+'蓝恐龙费用'!F35</ns0:f>
        <ns0:v>12096.60</ns0:v>
      </ns0:c>
      <ns0:c r="G35" s="8">
        <ns0:f>'销售费用'!G35+'管理费用'!G35+'蓝恐龙费用'!G35</ns0:f>
        <ns0:v>11208.24</ns0:v>
      </ns0:c>
      <ns0:c r="H35" s="8">
        <ns0:f>'销售费用'!H35+'管理费用'!H35+'蓝恐龙费用'!H35</ns0:f>
        <ns0:v>10075.71</ns0:v>
      </ns0:c>
      <ns0:c r="I35" s="8">
        <ns0:f>'销售费用'!I35+'管理费用'!I35+'蓝恐龙费用'!I35</ns0:f>
        <ns0:v>16281.78</ns0:v>
      </ns0:c>
      <ns0:c r="J35" s="8">
        <ns0:f>'销售费用'!J35+'管理费用'!J35+'蓝恐龙费用'!J35</ns0:f>
        <ns0:v>16123.35</ns0:v>
      </ns0:c>
      <ns0:c r="K35" s="8">
        <ns0:f>'销售费用'!K35+'管理费用'!K35+'蓝恐龙费用'!K35</ns0:f>
        <ns0:v>11010.87</ns0:v>
      </ns0:c>
      <ns0:c r="L35" s="8">
        <ns0:f>'销售费用'!L35+'管理费用'!L35+'蓝恐龙费用'!L35</ns0:f>
        <ns0:v>14788.80</ns0:v>
      </ns0:c>
      <ns0:c r="M35" s="8">
        <ns0:f>'销售费用'!M35+'管理费用'!M35+'蓝恐龙费用'!M35</ns0:f>
        <ns0:v>12352.98</ns0:v>
      </ns0:c>
      <ns0:c r="N35" s="8">
        <ns0:f>'销售费用'!N35+'管理费用'!N35+'蓝恐龙费用'!N35</ns0:f>
        <ns0:v>12541.86</ns0:v>
      </ns0:c>
      <ns0:c r="O35" s="8">
        <ns0:f>SUM(C35:N35)</ns0:f>
        <ns0:v>159342.54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210591.11</ns0:v>
      </ns0:c>
      <ns0:c r="D36" s="8">
        <ns0:f>D34+D35</ns0:f>
        <ns0:v>204551.93</ns0:v>
      </ns0:c>
      <ns0:c r="E36" s="8">
        <ns0:f>E34+E35</ns0:f>
        <ns0:v>211439.11</ns0:v>
      </ns0:c>
      <ns0:c r="F36" s="8">
        <ns0:f>F34+F35</ns0:f>
        <ns0:v>207625.53</ns0:v>
      </ns0:c>
      <ns0:c r="G36" s="8">
        <ns0:f>G34+G35</ns0:f>
        <ns0:v>206424.73</ns0:v>
      </ns0:c>
      <ns0:c r="H36" s="8">
        <ns0:f>H34+H35</ns0:f>
        <ns0:v>204770.14</ns0:v>
      </ns0:c>
      <ns0:c r="I36" s="8">
        <ns0:f>I34+I35</ns0:f>
        <ns0:v>210482.51</ns0:v>
      </ns0:c>
      <ns0:c r="J36" s="8">
        <ns0:f>J34+J35</ns0:f>
        <ns0:v>210626.21</ns0:v>
      </ns0:c>
      <ns0:c r="K36" s="8">
        <ns0:f>K34+K35</ns0:f>
        <ns0:v>206346.80</ns0:v>
      </ns0:c>
      <ns0:c r="L36" s="8">
        <ns0:f>L34+L35</ns0:f>
        <ns0:v>209219.56</ns0:v>
      </ns0:c>
      <ns0:c r="M36" s="8">
        <ns0:f>M34+M35</ns0:f>
        <ns0:v>205845.27</ns0:v>
      </ns0:c>
      <ns0:c r="N36" s="8">
        <ns0:f>N34+N35</ns0:f>
        <ns0:v>206461.74</ns0:v>
      </ns0:c>
      <ns0:c r="O36" s="8">
        <ns0:f>SUM(C36:N36)</ns0:f>
        <ns0:v>2494384.64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134400.00</ns0:v>
      </ns0:c>
      <ns0:c r="D31" s="8">
        <ns0:f>$C$31</ns0:f>
        <ns0:v>134400.00</ns0:v>
      </ns0:c>
      <ns0:c r="E31" s="8">
        <ns0:f>$C$31</ns0:f>
        <ns0:v>134400.00</ns0:v>
      </ns0:c>
      <ns0:c r="F31" s="8">
        <ns0:f>$C$31</ns0:f>
        <ns0:v>134400.00</ns0:v>
      </ns0:c>
      <ns0:c r="G31" s="8">
        <ns0:f>$C$31</ns0:f>
        <ns0:v>134400.00</ns0:v>
      </ns0:c>
      <ns0:c r="H31" s="8">
        <ns0:f>$C$31</ns0:f>
        <ns0:v>134400.00</ns0:v>
      </ns0:c>
      <ns0:c r="I31" s="8">
        <ns0:f>$C$31</ns0:f>
        <ns0:v>134400.00</ns0:v>
      </ns0:c>
      <ns0:c r="J31" s="8">
        <ns0:f>$C$31</ns0:f>
        <ns0:v>134400.00</ns0:v>
      </ns0:c>
      <ns0:c r="K31" s="8">
        <ns0:f>$C$31</ns0:f>
        <ns0:v>134400.00</ns0:v>
      </ns0:c>
      <ns0:c r="L31" s="8">
        <ns0:f>$C$31</ns0:f>
        <ns0:v>134400.00</ns0:v>
      </ns0:c>
      <ns0:c r="M31" s="8">
        <ns0:f>$C$31</ns0:f>
        <ns0:v>134400.00</ns0:v>
      </ns0:c>
      <ns0:c r="N31" s="8">
        <ns0:f>$C$31</ns0:f>
        <ns0:v>134400.00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64</ns0:v>
      </ns0:c>
      <ns0:c r="D32" s="8">
        <ns0:f>$C$32</ns0:f>
        <ns0:v>64</ns0:v>
      </ns0:c>
      <ns0:c r="E32" s="8">
        <ns0:f>$C$32</ns0:f>
        <ns0:v>64</ns0:v>
      </ns0:c>
      <ns0:c r="F32" s="8">
        <ns0:f>$C$32</ns0:f>
        <ns0:v>64</ns0:v>
      </ns0:c>
      <ns0:c r="G32" s="8">
        <ns0:f>$C$32</ns0:f>
        <ns0:v>64</ns0:v>
      </ns0:c>
      <ns0:c r="H32" s="8">
        <ns0:f>$C$32</ns0:f>
        <ns0:v>64</ns0:v>
      </ns0:c>
      <ns0:c r="I32" s="8">
        <ns0:f>$C$32</ns0:f>
        <ns0:v>64</ns0:v>
      </ns0:c>
      <ns0:c r="J32" s="8">
        <ns0:f>$C$32</ns0:f>
        <ns0:v>64</ns0:v>
      </ns0:c>
      <ns0:c r="K32" s="8">
        <ns0:f>$C$32</ns0:f>
        <ns0:v>64</ns0:v>
      </ns0:c>
      <ns0:c r="L32" s="8">
        <ns0:f>$C$32</ns0:f>
        <ns0:v>64</ns0:v>
      </ns0:c>
      <ns0:c r="M32" s="8">
        <ns0:f>$C$32</ns0:f>
        <ns0:v>64</ns0:v>
      </ns0:c>
      <ns0:c r="N32" s="8">
        <ns0:f>$C$32</ns0:f>
        <ns0:v>64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2100.00</ns0:v>
      </ns0:c>
      <ns0:c r="D33" s="8">
        <ns0:f>ROUND(D31/MAX(D32,1),2)</ns0:f>
        <ns0:v>2100.00</ns0:v>
      </ns0:c>
      <ns0:c r="E33" s="8">
        <ns0:f>ROUND(E31/MAX(E32,1),2)</ns0:f>
        <ns0:v>2100.00</ns0:v>
      </ns0:c>
      <ns0:c r="F33" s="8">
        <ns0:f>ROUND(F31/MAX(F32,1),2)</ns0:f>
        <ns0:v>2100.00</ns0:v>
      </ns0:c>
      <ns0:c r="G33" s="8">
        <ns0:f>ROUND(G31/MAX(G32,1),2)</ns0:f>
        <ns0:v>2100.00</ns0:v>
      </ns0:c>
      <ns0:c r="H33" s="8">
        <ns0:f>ROUND(H31/MAX(H32,1),2)</ns0:f>
        <ns0:v>2100.00</ns0:v>
      </ns0:c>
      <ns0:c r="I33" s="8">
        <ns0:f>ROUND(I31/MAX(I32,1),2)</ns0:f>
        <ns0:v>2100.00</ns0:v>
      </ns0:c>
      <ns0:c r="J33" s="8">
        <ns0:f>ROUND(J31/MAX(J32,1),2)</ns0:f>
        <ns0:v>2100.00</ns0:v>
      </ns0:c>
      <ns0:c r="K33" s="8">
        <ns0:f>ROUND(K31/MAX(K32,1),2)</ns0:f>
        <ns0:v>2100.00</ns0:v>
      </ns0:c>
      <ns0:c r="L33" s="8">
        <ns0:f>ROUND(L31/MAX(L32,1),2)</ns0:f>
        <ns0:v>2100.00</ns0:v>
      </ns0:c>
      <ns0:c r="M33" s="8">
        <ns0:f>ROUND(M31/MAX(M32,1),2)</ns0:f>
        <ns0:v>2100.00</ns0:v>
      </ns0:c>
      <ns0:c r="N33" s="8">
        <ns0:f>ROUND(N31/MAX(N32,1),2)</ns0:f>
        <ns0:v>2100.00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2100.00</ns0:v>
      </ns0:c>
      <ns0:c r="D34" s="8">
        <ns0:f>SUM($C33:D33)</ns0:f>
        <ns0:v>4200.00</ns0:v>
      </ns0:c>
      <ns0:c r="E34" s="8">
        <ns0:f>SUM($C33:E33)</ns0:f>
        <ns0:v>6300.00</ns0:v>
      </ns0:c>
      <ns0:c r="F34" s="8">
        <ns0:f>SUM($C33:F33)</ns0:f>
        <ns0:v>8400.00</ns0:v>
      </ns0:c>
      <ns0:c r="G34" s="8">
        <ns0:f>SUM($C33:G33)</ns0:f>
        <ns0:v>10500.00</ns0:v>
      </ns0:c>
      <ns0:c r="H34" s="8">
        <ns0:f>SUM($C33:H33)</ns0:f>
        <ns0:v>12600.00</ns0:v>
      </ns0:c>
      <ns0:c r="I34" s="8">
        <ns0:f>SUM($C33:I33)</ns0:f>
        <ns0:v>14700.00</ns0:v>
      </ns0:c>
      <ns0:c r="J34" s="8">
        <ns0:f>SUM($C33:J33)</ns0:f>
        <ns0:v>16800.00</ns0:v>
      </ns0:c>
      <ns0:c r="K34" s="8">
        <ns0:f>SUM($C33:K33)</ns0:f>
        <ns0:v>18900.00</ns0:v>
      </ns0:c>
      <ns0:c r="L34" s="8">
        <ns0:f>SUM($C33:L33)</ns0:f>
        <ns0:v>21000.00</ns0:v>
      </ns0:c>
      <ns0:c r="M34" s="8">
        <ns0:f>SUM($C33:M33)</ns0:f>
        <ns0:v>23100.00</ns0:v>
      </ns0:c>
      <ns0:c r="N34" s="8">
        <ns0:f>SUM($C33:N33)</ns0:f>
        <ns0:v>25200.00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132300.00</ns0:v>
      </ns0:c>
      <ns0:c r="D35" s="8">
        <ns0:f>D31-D34</ns0:f>
        <ns0:v>130200.00</ns0:v>
      </ns0:c>
      <ns0:c r="E35" s="8">
        <ns0:f>E31-E34</ns0:f>
        <ns0:v>128100.00</ns0:v>
      </ns0:c>
      <ns0:c r="F35" s="8">
        <ns0:f>F31-F34</ns0:f>
        <ns0:v>126000.00</ns0:v>
      </ns0:c>
      <ns0:c r="G35" s="8">
        <ns0:f>G31-G34</ns0:f>
        <ns0:v>123900.00</ns0:v>
      </ns0:c>
      <ns0:c r="H35" s="8">
        <ns0:f>H31-H34</ns0:f>
        <ns0:v>121800.00</ns0:v>
      </ns0:c>
      <ns0:c r="I35" s="8">
        <ns0:f>I31-I34</ns0:f>
        <ns0:v>119700.00</ns0:v>
      </ns0:c>
      <ns0:c r="J35" s="8">
        <ns0:f>J31-J34</ns0:f>
        <ns0:v>117600.00</ns0:v>
      </ns0:c>
      <ns0:c r="K35" s="8">
        <ns0:f>K31-K34</ns0:f>
        <ns0:v>115500.00</ns0:v>
      </ns0:c>
      <ns0:c r="L35" s="8">
        <ns0:f>L31-L34</ns0:f>
        <ns0:v>113400.00</ns0:v>
      </ns0:c>
      <ns0:c r="M35" s="8">
        <ns0:f>M31-M34</ns0:f>
        <ns0:v>111300.00</ns0:v>
      </ns0:c>
      <ns0:c r="N35" s="8">
        <ns0:f>N31-N34</ns0:f>
        <ns0:v>109200.00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演示资产甲</ns0:t>
        </ns0:is>
      </ns0:c>
      <ns0:c r="P123" s="2" t="inlineStr">
        <ns0:is>
          <ns0:t>销售费用</ns0:t>
        </ns0:is>
      </ns0:c>
      <ns0:c r="Q123" s="2" t="inlineStr">
        <ns0:is>
          <ns0:t>业务部</ns0:t>
        </ns0:is>
      </ns0:c>
      <ns0:c r="R123" s="2" t="inlineStr">
        <ns0:is>
          <ns0:t>2027-01</ns0:t>
        </ns0:is>
      </ns0:c>
      <ns0:c r="S123" s="2">
        <ns0:v>96000.00</ns0:v>
      </ns0:c>
      <ns0:c r="T123" s="2">
        <ns0:v>64</ns0:v>
      </ns0:c>
      <ns0:c r="U123" s="2">
        <ns0:f>ROUND(S123/MAX(T123,1),2)</ns0:f>
        <ns0:v>1500.00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演示资产乙</ns0:t>
        </ns0:is>
      </ns0:c>
      <ns0:c r="P124" s="2" t="inlineStr">
        <ns0:is>
          <ns0:t>管理费用</ns0:t>
        </ns0:is>
      </ns0:c>
      <ns0:c r="Q124" s="2" t="inlineStr">
        <ns0:is>
          <ns0:t>行政部</ns0:t>
        </ns0:is>
      </ns0:c>
      <ns0:c r="R124" s="2" t="inlineStr">
        <ns0:is>
          <ns0:t>2027-01</ns0:t>
        </ns0:is>
      </ns0:c>
      <ns0:c r="S124" s="2">
        <ns0:v>38400.00</ns0:v>
      </ns0:c>
      <ns0:c r="T124" s="2">
        <ns0:v>64</ns0:v>
      </ns0:c>
      <ns0:c r="U124" s="2">
        <ns0:f>ROUND(S124/MAX(T124,1),2)</ns0:f>
        <ns0:v>600.00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演示资产甲</ns0:t>
        </ns0:is>
      </ns0:c>
      <ns0:c r="P133" s="2">
        <ns0:v>1500.00</ns0:v>
      </ns0:c>
      <ns0:c r="Q133" s="2">
        <ns0:v>1500.00</ns0:v>
      </ns0:c>
      <ns0:c r="R133" s="2">
        <ns0:v>1500.00</ns0:v>
      </ns0:c>
      <ns0:c r="S133" s="2">
        <ns0:v>1500.00</ns0:v>
      </ns0:c>
      <ns0:c r="T133" s="2">
        <ns0:v>1500.00</ns0:v>
      </ns0:c>
      <ns0:c r="U133" s="2">
        <ns0:v>1500.00</ns0:v>
      </ns0:c>
      <ns0:c r="V133" s="2">
        <ns0:v>1500.00</ns0:v>
      </ns0:c>
      <ns0:c r="W133" s="2">
        <ns0:v>1500.00</ns0:v>
      </ns0:c>
      <ns0:c r="X133" s="2">
        <ns0:v>1500.00</ns0:v>
      </ns0:c>
      <ns0:c r="Y133" s="2">
        <ns0:v>1500.00</ns0:v>
      </ns0:c>
      <ns0:c r="Z133" s="2">
        <ns0:v>1500.00</ns0:v>
      </ns0:c>
      <ns0:c r="AA133" s="2">
        <ns0:v>1500.00</ns0:v>
      </ns0:c>
      <ns0:c r="AB133" s="2">
        <ns0:f>SUM(P133:AA133)</ns0:f>
        <ns0:v>18000.00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演示资产乙</ns0:t>
        </ns0:is>
      </ns0:c>
      <ns0:c r="P134" s="2">
        <ns0:v>600.00</ns0:v>
      </ns0:c>
      <ns0:c r="Q134" s="2">
        <ns0:v>600.00</ns0:v>
      </ns0:c>
      <ns0:c r="R134" s="2">
        <ns0:v>600.00</ns0:v>
      </ns0:c>
      <ns0:c r="S134" s="2">
        <ns0:v>600.00</ns0:v>
      </ns0:c>
      <ns0:c r="T134" s="2">
        <ns0:v>600.00</ns0:v>
      </ns0:c>
      <ns0:c r="U134" s="2">
        <ns0:v>600.00</ns0:v>
      </ns0:c>
      <ns0:c r="V134" s="2">
        <ns0:v>600.00</ns0:v>
      </ns0:c>
      <ns0:c r="W134" s="2">
        <ns0:v>600.00</ns0:v>
      </ns0:c>
      <ns0:c r="X134" s="2">
        <ns0:v>600.00</ns0:v>
      </ns0:c>
      <ns0:c r="Y134" s="2">
        <ns0:v>600.00</ns0:v>
      </ns0:c>
      <ns0:c r="Z134" s="2">
        <ns0:v>600.00</ns0:v>
      </ns0:c>
      <ns0:c r="AA134" s="2">
        <ns0:v>600.00</ns0:v>
      </ns0:c>
      <ns0:c r="AB134" s="2">
        <ns0:f>SUM(P134:AA134)</ns0:f>
        <ns0:v>7200.00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2100.00</ns0:v>
      </ns0:c>
      <ns0:c r="Q142" s="2">
        <ns0:f>SUM(Q133:Q140)</ns0:f>
        <ns0:v>2100.00</ns0:v>
      </ns0:c>
      <ns0:c r="R142" s="2">
        <ns0:f>SUM(R133:R140)</ns0:f>
        <ns0:v>2100.00</ns0:v>
      </ns0:c>
      <ns0:c r="S142" s="2">
        <ns0:f>SUM(S133:S140)</ns0:f>
        <ns0:v>2100.00</ns0:v>
      </ns0:c>
      <ns0:c r="T142" s="2">
        <ns0:f>SUM(T133:T140)</ns0:f>
        <ns0:v>2100.00</ns0:v>
      </ns0:c>
      <ns0:c r="U142" s="2">
        <ns0:f>SUM(U133:U140)</ns0:f>
        <ns0:v>2100.00</ns0:v>
      </ns0:c>
      <ns0:c r="V142" s="2">
        <ns0:f>SUM(V133:V140)</ns0:f>
        <ns0:v>2100.00</ns0:v>
      </ns0:c>
      <ns0:c r="W142" s="2">
        <ns0:f>SUM(W133:W140)</ns0:f>
        <ns0:v>2100.00</ns0:v>
      </ns0:c>
      <ns0:c r="X142" s="2">
        <ns0:f>SUM(X133:X140)</ns0:f>
        <ns0:v>2100.00</ns0:v>
      </ns0:c>
      <ns0:c r="Y142" s="2">
        <ns0:f>SUM(Y133:Y140)</ns0:f>
        <ns0:v>2100.00</ns0:v>
      </ns0:c>
      <ns0:c r="Z142" s="2">
        <ns0:f>SUM(Z133:Z140)</ns0:f>
        <ns0:v>2100.00</ns0:v>
      </ns0:c>
      <ns0:c r="AA142" s="2">
        <ns0:f>SUM(AA133:AA140)</ns0:f>
        <ns0:v>2100.00</ns0:v>
      </ns0:c>
      <ns0:c r="AB142" s="2">
        <ns0:f>SUM(P142:AA142)</ns0:f>
        <ns0:v>25200.00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2027-01</ns0:t>
        </ns0:is>
      </ns0:c>
      <ns0:c r="P124" s="2" t="inlineStr">
        <ns0:is>
          <ns0:t>V11-预算基础-01-1 销售收现（演示）</ns0:t>
        </ns0:is>
      </ns0:c>
      <ns0:c r="Q124" s="2" t="inlineStr">
        <ns0:is>
          <ns0:t>银行存款</ns0:t>
        </ns0:is>
      </ns0:c>
      <ns0:c r="R124" s="2" t="inlineStr">
        <ns0:is>
          <ns0:t>主营业务收入</ns0:t>
        </ns0:is>
      </ns0:c>
      <ns0:c r="S124" s="2">
        <ns0:v>492686.79</ns0:v>
      </ns0:c>
      <ns0:c r="T124" s="2">
        <ns0:v>492686.79</ns0:v>
      </ns0:c>
      <ns0:c r="U124" s="2">
        <ns0:v>4</ns0:v>
      </ns0:c>
      <ns0:c r="V124" s="2" t="inlineStr">
        <ns0:is>
          <ns0:t>V11-124</ns0:t>
        </ns0:is>
      </ns0:c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2027-01</ns0:t>
        </ns0:is>
      </ns0:c>
      <ns0:c r="P125" s="2" t="inlineStr">
        <ns0:is>
          <ns0:t>V11-预算基础-01-2 采购付现（演示）</ns0:t>
        </ns0:is>
      </ns0:c>
      <ns0:c r="Q125" s="2" t="inlineStr">
        <ns0:is>
          <ns0:t>主营业务成本</ns0:t>
        </ns0:is>
      </ns0:c>
      <ns0:c r="R125" s="2" t="inlineStr">
        <ns0:is>
          <ns0:t>银行存款</ns0:t>
        </ns0:is>
      </ns0:c>
      <ns0:c r="S125" s="2">
        <ns0:v>183492.08</ns0:v>
      </ns0:c>
      <ns0:c r="T125" s="2">
        <ns0:v>183492.08</ns0:v>
      </ns0:c>
      <ns0:c r="U125" s="2">
        <ns0:v>8</ns0:v>
      </ns0:c>
      <ns0:c r="V125" s="2" t="inlineStr">
        <ns0:is>
          <ns0:t>V11-125</ns0:t>
        </ns0:is>
      </ns0:c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2027-01</ns0:t>
        </ns0:is>
      </ns0:c>
      <ns0:c r="P126" s="2" t="inlineStr">
        <ns0:is>
          <ns0:t>V11-预算基础-01-3 工资社保付现（演示）</ns0:t>
        </ns0:is>
      </ns0:c>
      <ns0:c r="Q126" s="2" t="inlineStr">
        <ns0:is>
          <ns0:t>应付职工薪酬</ns0:t>
        </ns0:is>
      </ns0:c>
      <ns0:c r="R126" s="2" t="inlineStr">
        <ns0:is>
          <ns0:t>银行存款</ns0:t>
        </ns0:is>
      </ns0:c>
      <ns0:c r="S126" s="2">
        <ns0:v>131239.89</ns0:v>
      </ns0:c>
      <ns0:c r="T126" s="2">
        <ns0:v>131239.89</ns0:v>
      </ns0:c>
      <ns0:c r="U126" s="2">
        <ns0:v>9</ns0:v>
      </ns0:c>
      <ns0:c r="V126" s="2" t="inlineStr">
        <ns0:is>
          <ns0:t>V11-126</ns0:t>
        </ns0:is>
      </ns0:c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2027-01</ns0:t>
        </ns0:is>
      </ns0:c>
      <ns0:c r="P127" s="2" t="inlineStr">
        <ns0:is>
          <ns0:t>V11-预算基础-01-4 税费付现（演示）</ns0:t>
        </ns0:is>
      </ns0:c>
      <ns0:c r="Q127" s="2" t="inlineStr">
        <ns0:is>
          <ns0:t>税金及附加</ns0:t>
        </ns0:is>
      </ns0:c>
      <ns0:c r="R127" s="2" t="inlineStr">
        <ns0:is>
          <ns0:t>银行存款</ns0:t>
        </ns0:is>
      </ns0:c>
      <ns0:c r="S127" s="2">
        <ns0:v>5328.98</ns0:v>
      </ns0:c>
      <ns0:c r="T127" s="2">
        <ns0:v>5328.98</ns0:v>
      </ns0:c>
      <ns0:c r="U127" s="2">
        <ns0:v>10</ns0:v>
      </ns0:c>
      <ns0:c r="V127" s="2" t="inlineStr">
        <ns0:is>
          <ns0:t>V11-127</ns0:t>
        </ns0:is>
      </ns0:c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2027-01</ns0:t>
        </ns0:is>
      </ns0:c>
      <ns0:c r="P128" s="2" t="inlineStr">
        <ns0:is>
          <ns0:t>V11-预算基础-01-5 费用付现（演示合并）</ns0:t>
        </ns0:is>
      </ns0:c>
      <ns0:c r="Q128" s="2" t="inlineStr">
        <ns0:is>
          <ns0:t>费用（演示合并）</ns0:t>
        </ns0:is>
      </ns0:c>
      <ns0:c r="R128" s="2" t="inlineStr">
        <ns0:is>
          <ns0:t>银行存款</ns0:t>
        </ns0:is>
      </ns0:c>
      <ns0:c r="S128" s="2">
        <ns0:v>58421.41</ns0:v>
      </ns0:c>
      <ns0:c r="T128" s="2">
        <ns0:v>58421.41</ns0:v>
      </ns0:c>
      <ns0:c r="U128" s="2">
        <ns0:v>11</ns0:v>
      </ns0:c>
      <ns0:c r="V128" s="2" t="inlineStr">
        <ns0:is>
          <ns0:t>V11-128</ns0:t>
        </ns0:is>
      </ns0:c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2027-01</ns0:t>
        </ns0:is>
      </ns0:c>
      <ns0:c r="P129" s="2" t="inlineStr">
        <ns0:is>
          <ns0:t>V11-预算基础-01-6 计提摊销（非现金）</ns0:t>
        </ns0:is>
      </ns0:c>
      <ns0:c r="Q129" s="2" t="inlineStr">
        <ns0:is>
          <ns0:t>折旧及摊销</ns0:t>
        </ns0:is>
      </ns0:c>
      <ns0:c r="R129" s="2" t="inlineStr">
        <ns0:is>
          <ns0:t>长期待摊费用</ns0:t>
        </ns0:is>
      </ns0:c>
      <ns0:c r="S129" s="2">
        <ns0:v>2100.00</ns0:v>
      </ns0:c>
      <ns0:c r="T129" s="2">
        <ns0:v>2100.00</ns0:v>
      </ns0:c>
      <ns0:c r="U129" s="2"/>
      <ns0:c r="V129" s="2" t="inlineStr">
        <ns0:is>
          <ns0:t>V11-129</ns0:t>
        </ns0:is>
      </ns0:c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2027-01</ns0:t>
        </ns0:is>
      </ns0:c>
      <ns0:c r="P130" s="2" t="inlineStr">
        <ns0:is>
          <ns0:t>V11-预算基础-01-7 计提所得税（非现金）</ns0:t>
        </ns0:is>
      </ns0:c>
      <ns0:c r="Q130" s="2" t="inlineStr">
        <ns0:is>
          <ns0:t>所得税费用</ns0:t>
        </ns0:is>
      </ns0:c>
      <ns0:c r="R130" s="2" t="inlineStr">
        <ns0:is>
          <ns0:t>应交税费</ns0:t>
        </ns0:is>
      </ns0:c>
      <ns0:c r="S130" s="2">
        <ns0:v>37368.15</ns0:v>
      </ns0:c>
      <ns0:c r="T130" s="2">
        <ns0:v>37368.15</ns0:v>
      </ns0:c>
      <ns0:c r="U130" s="2"/>
      <ns0:c r="V130" s="2" t="inlineStr">
        <ns0:is>
          <ns0:t>V11-130</ns0:t>
        </ns0:is>
      </ns0:c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2027-01</ns0:t>
        </ns0:is>
      </ns0:c>
      <ns0:c r="P131" s="2" t="inlineStr">
        <ns0:is>
          <ns0:t>V11-预算基础-01-8 收入结转（非现金）</ns0:t>
        </ns0:is>
      </ns0:c>
      <ns0:c r="Q131" s="2" t="inlineStr">
        <ns0:is>
          <ns0:t>主营业务收入</ns0:t>
        </ns0:is>
      </ns0:c>
      <ns0:c r="R131" s="2" t="inlineStr">
        <ns0:is>
          <ns0:t>本年利润</ns0:t>
        </ns0:is>
      </ns0:c>
      <ns0:c r="S131" s="2">
        <ns0:v>532897.81</ns0:v>
      </ns0:c>
      <ns0:c r="T131" s="2">
        <ns0:v>532897.81</ns0:v>
      </ns0:c>
      <ns0:c r="U131" s="2"/>
      <ns0:c r="V131" s="2" t="inlineStr">
        <ns0:is>
          <ns0:t>V11-131</ns0:t>
        </ns0:is>
      </ns0:c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2027-01</ns0:t>
        </ns0:is>
      </ns0:c>
      <ns0:c r="P132" s="2" t="inlineStr">
        <ns0:is>
          <ns0:t>V11-预算基础-01-9 支出结转（非现金）</ns0:t>
        </ns0:is>
      </ns0:c>
      <ns0:c r="Q132" s="2" t="inlineStr">
        <ns0:is>
          <ns0:t>本年利润</ns0:t>
        </ns0:is>
      </ns0:c>
      <ns0:c r="R132" s="2" t="inlineStr">
        <ns0:is>
          <ns0:t>成本费用（演示合并）</ns0:t>
        </ns0:is>
      </ns0:c>
      <ns0:c r="S132" s="2">
        <ns0:v>380582.36</ns0:v>
      </ns0:c>
      <ns0:c r="T132" s="2">
        <ns0:v>380582.36</ns0:v>
      </ns0:c>
      <ns0:c r="U132" s="2"/>
      <ns0:c r="V132" s="2" t="inlineStr">
        <ns0:is>
          <ns0:t>V11-132</ns0:t>
        </ns0:is>
      </ns0:c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2027-02</ns0:t>
        </ns0:is>
      </ns0:c>
      <ns0:c r="P133" s="2" t="inlineStr">
        <ns0:is>
          <ns0:t>V11-预算基础-02-1 销售收现（演示）</ns0:t>
        </ns0:is>
      </ns0:c>
      <ns0:c r="Q133" s="2" t="inlineStr">
        <ns0:is>
          <ns0:t>银行存款</ns0:t>
        </ns0:is>
      </ns0:c>
      <ns0:c r="R133" s="2" t="inlineStr">
        <ns0:is>
          <ns0:t>主营业务收入</ns0:t>
        </ns0:is>
      </ns0:c>
      <ns0:c r="S133" s="2">
        <ns0:v>365257.95</ns0:v>
      </ns0:c>
      <ns0:c r="T133" s="2">
        <ns0:v>365257.95</ns0:v>
      </ns0:c>
      <ns0:c r="U133" s="2">
        <ns0:v>4</ns0:v>
      </ns0:c>
      <ns0:c r="V133" s="2" t="inlineStr">
        <ns0:is>
          <ns0:t>V11-133</ns0:t>
        </ns0:is>
      </ns0:c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2027-02</ns0:t>
        </ns0:is>
      </ns0:c>
      <ns0:c r="P134" s="2" t="inlineStr">
        <ns0:is>
          <ns0:t>V11-预算基础-02-2 采购付现（演示）</ns0:t>
        </ns0:is>
      </ns0:c>
      <ns0:c r="Q134" s="2" t="inlineStr">
        <ns0:is>
          <ns0:t>主营业务成本</ns0:t>
        </ns0:is>
      </ns0:c>
      <ns0:c r="R134" s="2" t="inlineStr">
        <ns0:is>
          <ns0:t>银行存款</ns0:t>
        </ns0:is>
      </ns0:c>
      <ns0:c r="S134" s="2">
        <ns0:v>160221.85</ns0:v>
      </ns0:c>
      <ns0:c r="T134" s="2">
        <ns0:v>160221.85</ns0:v>
      </ns0:c>
      <ns0:c r="U134" s="2">
        <ns0:v>8</ns0:v>
      </ns0:c>
      <ns0:c r="V134" s="2" t="inlineStr">
        <ns0:is>
          <ns0:t>V11-134</ns0:t>
        </ns0:is>
      </ns0:c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2027-02</ns0:t>
        </ns0:is>
      </ns0:c>
      <ns0:c r="P135" s="2" t="inlineStr">
        <ns0:is>
          <ns0:t>V11-预算基础-02-3 工资社保付现（演示）</ns0:t>
        </ns0:is>
      </ns0:c>
      <ns0:c r="Q135" s="2" t="inlineStr">
        <ns0:is>
          <ns0:t>应付职工薪酬</ns0:t>
        </ns0:is>
      </ns0:c>
      <ns0:c r="R135" s="2" t="inlineStr">
        <ns0:is>
          <ns0:t>银行存款</ns0:t>
        </ns0:is>
      </ns0:c>
      <ns0:c r="S135" s="2">
        <ns0:v>130997.27</ns0:v>
      </ns0:c>
      <ns0:c r="T135" s="2">
        <ns0:v>130997.27</ns0:v>
      </ns0:c>
      <ns0:c r="U135" s="2">
        <ns0:v>9</ns0:v>
      </ns0:c>
      <ns0:c r="V135" s="2" t="inlineStr">
        <ns0:is>
          <ns0:t>V11-135</ns0:t>
        </ns0:is>
      </ns0:c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2027-02</ns0:t>
        </ns0:is>
      </ns0:c>
      <ns0:c r="P136" s="2" t="inlineStr">
        <ns0:is>
          <ns0:t>V11-预算基础-02-4 税费付现（演示）</ns0:t>
        </ns0:is>
      </ns0:c>
      <ns0:c r="Q136" s="2" t="inlineStr">
        <ns0:is>
          <ns0:t>税金及附加</ns0:t>
        </ns0:is>
      </ns0:c>
      <ns0:c r="R136" s="2" t="inlineStr">
        <ns0:is>
          <ns0:t>银行存款</ns0:t>
        </ns0:is>
      </ns0:c>
      <ns0:c r="S136" s="2">
        <ns0:v>3716.79</ns0:v>
      </ns0:c>
      <ns0:c r="T136" s="2">
        <ns0:v>3716.79</ns0:v>
      </ns0:c>
      <ns0:c r="U136" s="2">
        <ns0:v>10</ns0:v>
      </ns0:c>
      <ns0:c r="V136" s="2" t="inlineStr">
        <ns0:is>
          <ns0:t>V11-136</ns0:t>
        </ns0:is>
      </ns0:c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2027-02</ns0:t>
        </ns0:is>
      </ns0:c>
      <ns0:c r="P137" s="2" t="inlineStr">
        <ns0:is>
          <ns0:t>V11-预算基础-02-5 费用付现（演示合并）</ns0:t>
        </ns0:is>
      </ns0:c>
      <ns0:c r="Q137" s="2" t="inlineStr">
        <ns0:is>
          <ns0:t>费用（演示合并）</ns0:t>
        </ns0:is>
      </ns0:c>
      <ns0:c r="R137" s="2" t="inlineStr">
        <ns0:is>
          <ns0:t>银行存款</ns0:t>
        </ns0:is>
      </ns0:c>
      <ns0:c r="S137" s="2">
        <ns0:v>57468.30</ns0:v>
      </ns0:c>
      <ns0:c r="T137" s="2">
        <ns0:v>57468.30</ns0:v>
      </ns0:c>
      <ns0:c r="U137" s="2">
        <ns0:v>11</ns0:v>
      </ns0:c>
      <ns0:c r="V137" s="2" t="inlineStr">
        <ns0:is>
          <ns0:t>V11-137</ns0:t>
        </ns0:is>
      </ns0:c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2027-02</ns0:t>
        </ns0:is>
      </ns0:c>
      <ns0:c r="P138" s="2" t="inlineStr">
        <ns0:is>
          <ns0:t>V11-预算基础-02-6 计提摊销（非现金）</ns0:t>
        </ns0:is>
      </ns0:c>
      <ns0:c r="Q138" s="2" t="inlineStr">
        <ns0:is>
          <ns0:t>折旧及摊销</ns0:t>
        </ns0:is>
      </ns0:c>
      <ns0:c r="R138" s="2" t="inlineStr">
        <ns0:is>
          <ns0:t>长期待摊费用</ns0:t>
        </ns0:is>
      </ns0:c>
      <ns0:c r="S138" s="2">
        <ns0:v>2100.00</ns0:v>
      </ns0:c>
      <ns0:c r="T138" s="2">
        <ns0:v>2100.00</ns0:v>
      </ns0:c>
      <ns0:c r="U138" s="2"/>
      <ns0:c r="V138" s="2" t="inlineStr">
        <ns0:is>
          <ns0:t>V11-138</ns0:t>
        </ns0:is>
      </ns0:c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2027-02</ns0:t>
        </ns0:is>
      </ns0:c>
      <ns0:c r="P139" s="2" t="inlineStr">
        <ns0:is>
          <ns0:t>V11-预算基础-02-7 计提所得税（非现金）</ns0:t>
        </ns0:is>
      </ns0:c>
      <ns0:c r="Q139" s="2" t="inlineStr">
        <ns0:is>
          <ns0:t>所得税费用</ns0:t>
        </ns0:is>
      </ns0:c>
      <ns0:c r="R139" s="2" t="inlineStr">
        <ns0:is>
          <ns0:t>应交税费</ns0:t>
        </ns0:is>
      </ns0:c>
      <ns0:c r="S139" s="2">
        <ns0:v>3584.58</ns0:v>
      </ns0:c>
      <ns0:c r="T139" s="2">
        <ns0:v>3584.58</ns0:v>
      </ns0:c>
      <ns0:c r="U139" s="2"/>
      <ns0:c r="V139" s="2" t="inlineStr">
        <ns0:is>
          <ns0:t>V11-139</ns0:t>
        </ns0:is>
      </ns0:c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2027-02</ns0:t>
        </ns0:is>
      </ns0:c>
      <ns0:c r="P140" s="2" t="inlineStr">
        <ns0:is>
          <ns0:t>V11-预算基础-02-8 收入结转（非现金）</ns0:t>
        </ns0:is>
      </ns0:c>
      <ns0:c r="Q140" s="2" t="inlineStr">
        <ns0:is>
          <ns0:t>主营业务收入</ns0:t>
        </ns0:is>
      </ns0:c>
      <ns0:c r="R140" s="2" t="inlineStr">
        <ns0:is>
          <ns0:t>本年利润</ns0:t>
        </ns0:is>
      </ns0:c>
      <ns0:c r="S140" s="2">
        <ns0:v>371678.52</ns0:v>
      </ns0:c>
      <ns0:c r="T140" s="2">
        <ns0:v>371678.52</ns0:v>
      </ns0:c>
      <ns0:c r="U140" s="2"/>
      <ns0:c r="V140" s="2" t="inlineStr">
        <ns0:is>
          <ns0:t>V11-140</ns0:t>
        </ns0:is>
      </ns0:c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2027-02</ns0:t>
        </ns0:is>
      </ns0:c>
      <ns0:c r="P141" s="2" t="inlineStr">
        <ns0:is>
          <ns0:t>V11-预算基础-02-9 支出结转（非现金）</ns0:t>
        </ns0:is>
      </ns0:c>
      <ns0:c r="Q141" s="2" t="inlineStr">
        <ns0:is>
          <ns0:t>本年利润</ns0:t>
        </ns0:is>
      </ns0:c>
      <ns0:c r="R141" s="2" t="inlineStr">
        <ns0:is>
          <ns0:t>成本费用（演示合并）</ns0:t>
        </ns0:is>
      </ns0:c>
      <ns0:c r="S141" s="2">
        <ns0:v>354504.21</ns0:v>
      </ns0:c>
      <ns0:c r="T141" s="2">
        <ns0:v>354504.21</ns0:v>
      </ns0:c>
      <ns0:c r="U141" s="2"/>
      <ns0:c r="V141" s="2" t="inlineStr">
        <ns0:is>
          <ns0:t>V11-141</ns0:t>
        </ns0:is>
      </ns0:c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2027-03</ns0:t>
        </ns0:is>
      </ns0:c>
      <ns0:c r="P142" s="2" t="inlineStr">
        <ns0:is>
          <ns0:t>V11-预算基础-03-1 销售收现（演示）</ns0:t>
        </ns0:is>
      </ns0:c>
      <ns0:c r="Q142" s="2" t="inlineStr">
        <ns0:is>
          <ns0:t>银行存款</ns0:t>
        </ns0:is>
      </ns0:c>
      <ns0:c r="R142" s="2" t="inlineStr">
        <ns0:is>
          <ns0:t>主营业务收入</ns0:t>
        </ns0:is>
      </ns0:c>
      <ns0:c r="S142" s="2">
        <ns0:v>486039.52</ns0:v>
      </ns0:c>
      <ns0:c r="T142" s="2">
        <ns0:v>486039.52</ns0:v>
      </ns0:c>
      <ns0:c r="U142" s="2">
        <ns0:v>4</ns0:v>
      </ns0:c>
      <ns0:c r="V142" s="2" t="inlineStr">
        <ns0:is>
          <ns0:t>V11-142</ns0:t>
        </ns0:is>
      </ns0:c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2027-03</ns0:t>
        </ns0:is>
      </ns0:c>
      <ns0:c r="P143" s="2" t="inlineStr">
        <ns0:is>
          <ns0:t>V11-预算基础-03-2 采购付现（演示）</ns0:t>
        </ns0:is>
      </ns0:c>
      <ns0:c r="Q143" s="2" t="inlineStr">
        <ns0:is>
          <ns0:t>主营业务成本</ns0:t>
        </ns0:is>
      </ns0:c>
      <ns0:c r="R143" s="2" t="inlineStr">
        <ns0:is>
          <ns0:t>银行存款</ns0:t>
        </ns0:is>
      </ns0:c>
      <ns0:c r="S143" s="2">
        <ns0:v>181427.34</ns0:v>
      </ns0:c>
      <ns0:c r="T143" s="2">
        <ns0:v>181427.34</ns0:v>
      </ns0:c>
      <ns0:c r="U143" s="2">
        <ns0:v>8</ns0:v>
      </ns0:c>
      <ns0:c r="V143" s="2" t="inlineStr">
        <ns0:is>
          <ns0:t>V11-143</ns0:t>
        </ns0:is>
      </ns0:c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2027-03</ns0:t>
        </ns0:is>
      </ns0:c>
      <ns0:c r="P144" s="2" t="inlineStr">
        <ns0:is>
          <ns0:t>V11-预算基础-03-3 工资社保付现（演示）</ns0:t>
        </ns0:is>
      </ns0:c>
      <ns0:c r="Q144" s="2" t="inlineStr">
        <ns0:is>
          <ns0:t>应付职工薪酬</ns0:t>
        </ns0:is>
      </ns0:c>
      <ns0:c r="R144" s="2" t="inlineStr">
        <ns0:is>
          <ns0:t>银行存款</ns0:t>
        </ns0:is>
      </ns0:c>
      <ns0:c r="S144" s="2">
        <ns0:v>131676.83</ns0:v>
      </ns0:c>
      <ns0:c r="T144" s="2">
        <ns0:v>131676.83</ns0:v>
      </ns0:c>
      <ns0:c r="U144" s="2">
        <ns0:v>9</ns0:v>
      </ns0:c>
      <ns0:c r="V144" s="2" t="inlineStr">
        <ns0:is>
          <ns0:t>V11-144</ns0:t>
        </ns0:is>
      </ns0:c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2027-03</ns0:t>
        </ns0:is>
      </ns0:c>
      <ns0:c r="P145" s="2" t="inlineStr">
        <ns0:is>
          <ns0:t>V11-预算基础-03-4 税费付现（演示）</ns0:t>
        </ns0:is>
      </ns0:c>
      <ns0:c r="Q145" s="2" t="inlineStr">
        <ns0:is>
          <ns0:t>税金及附加</ns0:t>
        </ns0:is>
      </ns0:c>
      <ns0:c r="R145" s="2" t="inlineStr">
        <ns0:is>
          <ns0:t>银行存款</ns0:t>
        </ns0:is>
      </ns0:c>
      <ns0:c r="S145" s="2">
        <ns0:v>5241.68</ns0:v>
      </ns0:c>
      <ns0:c r="T145" s="2">
        <ns0:v>5241.68</ns0:v>
      </ns0:c>
      <ns0:c r="U145" s="2">
        <ns0:v>10</ns0:v>
      </ns0:c>
      <ns0:c r="V145" s="2" t="inlineStr">
        <ns0:is>
          <ns0:t>V11-145</ns0:t>
        </ns0:is>
      </ns0:c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2027-03</ns0:t>
        </ns0:is>
      </ns0:c>
      <ns0:c r="P146" s="2" t="inlineStr">
        <ns0:is>
          <ns0:t>V11-预算基础-03-5 费用付现（演示合并）</ns0:t>
        </ns0:is>
      </ns0:c>
      <ns0:c r="Q146" s="2" t="inlineStr">
        <ns0:is>
          <ns0:t>费用（演示合并）</ns0:t>
        </ns0:is>
      </ns0:c>
      <ns0:c r="R146" s="2" t="inlineStr">
        <ns0:is>
          <ns0:t>银行存款</ns0:t>
        </ns0:is>
      </ns0:c>
      <ns0:c r="S146" s="2">
        <ns0:v>59255.20</ns0:v>
      </ns0:c>
      <ns0:c r="T146" s="2">
        <ns0:v>59255.20</ns0:v>
      </ns0:c>
      <ns0:c r="U146" s="2">
        <ns0:v>11</ns0:v>
      </ns0:c>
      <ns0:c r="V146" s="2" t="inlineStr">
        <ns0:is>
          <ns0:t>V11-146</ns0:t>
        </ns0:is>
      </ns0:c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2027-03</ns0:t>
        </ns0:is>
      </ns0:c>
      <ns0:c r="P147" s="2" t="inlineStr">
        <ns0:is>
          <ns0:t>V11-预算基础-03-6 计提摊销（非现金）</ns0:t>
        </ns0:is>
      </ns0:c>
      <ns0:c r="Q147" s="2" t="inlineStr">
        <ns0:is>
          <ns0:t>折旧及摊销</ns0:t>
        </ns0:is>
      </ns0:c>
      <ns0:c r="R147" s="2" t="inlineStr">
        <ns0:is>
          <ns0:t>长期待摊费用</ns0:t>
        </ns0:is>
      </ns0:c>
      <ns0:c r="S147" s="2">
        <ns0:v>2100.00</ns0:v>
      </ns0:c>
      <ns0:c r="T147" s="2">
        <ns0:v>2100.00</ns0:v>
      </ns0:c>
      <ns0:c r="U147" s="2"/>
      <ns0:c r="V147" s="2" t="inlineStr">
        <ns0:is>
          <ns0:t>V11-147</ns0:t>
        </ns0:is>
      </ns0:c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2027-03</ns0:t>
        </ns0:is>
      </ns0:c>
      <ns0:c r="P148" s="2" t="inlineStr">
        <ns0:is>
          <ns0:t>V11-预算基础-03-7 计提所得税（非现金）</ns0:t>
        </ns0:is>
      </ns0:c>
      <ns0:c r="Q148" s="2" t="inlineStr">
        <ns0:is>
          <ns0:t>所得税费用</ns0:t>
        </ns0:is>
      </ns0:c>
      <ns0:c r="R148" s="2" t="inlineStr">
        <ns0:is>
          <ns0:t>应交税费</ns0:t>
        </ns0:is>
      </ns0:c>
      <ns0:c r="S148" s="2">
        <ns0:v>35446.16</ns0:v>
      </ns0:c>
      <ns0:c r="T148" s="2">
        <ns0:v>35446.16</ns0:v>
      </ns0:c>
      <ns0:c r="U148" s="2"/>
      <ns0:c r="V148" s="2" t="inlineStr">
        <ns0:is>
          <ns0:t>V11-148</ns0:t>
        </ns0:is>
      </ns0:c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2027-03</ns0:t>
        </ns0:is>
      </ns0:c>
      <ns0:c r="P149" s="2" t="inlineStr">
        <ns0:is>
          <ns0:t>V11-预算基础-03-8 收入结转（非现金）</ns0:t>
        </ns0:is>
      </ns0:c>
      <ns0:c r="Q149" s="2" t="inlineStr">
        <ns0:is>
          <ns0:t>主营业务收入</ns0:t>
        </ns0:is>
      </ns0:c>
      <ns0:c r="R149" s="2" t="inlineStr">
        <ns0:is>
          <ns0:t>本年利润</ns0:t>
        </ns0:is>
      </ns0:c>
      <ns0:c r="S149" s="2">
        <ns0:v>524167.72</ns0:v>
      </ns0:c>
      <ns0:c r="T149" s="2">
        <ns0:v>524167.72</ns0:v>
      </ns0:c>
      <ns0:c r="U149" s="2"/>
      <ns0:c r="V149" s="2" t="inlineStr">
        <ns0:is>
          <ns0:t>V11-149</ns0:t>
        </ns0:is>
      </ns0:c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2027-03</ns0:t>
        </ns0:is>
      </ns0:c>
      <ns0:c r="P150" s="2" t="inlineStr">
        <ns0:is>
          <ns0:t>V11-预算基础-03-9 支出结转（非现金）</ns0:t>
        </ns0:is>
      </ns0:c>
      <ns0:c r="Q150" s="2" t="inlineStr">
        <ns0:is>
          <ns0:t>本年利润</ns0:t>
        </ns0:is>
      </ns0:c>
      <ns0:c r="R150" s="2" t="inlineStr">
        <ns0:is>
          <ns0:t>成本费用（演示合并）</ns0:t>
        </ns0:is>
      </ns0:c>
      <ns0:c r="S150" s="2">
        <ns0:v>379701.05</ns0:v>
      </ns0:c>
      <ns0:c r="T150" s="2">
        <ns0:v>379701.05</ns0:v>
      </ns0:c>
      <ns0:c r="U150" s="2"/>
      <ns0:c r="V150" s="2" t="inlineStr">
        <ns0:is>
          <ns0:t>V11-150</ns0:t>
        </ns0:is>
      </ns0:c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532897.81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2027-04</ns0:t>
        </ns0:is>
      </ns0:c>
      <ns0:c r="P151" s="2" t="inlineStr">
        <ns0:is>
          <ns0:t>V11-预算基础-04-1 销售收现（演示）</ns0:t>
        </ns0:is>
      </ns0:c>
      <ns0:c r="Q151" s="2" t="inlineStr">
        <ns0:is>
          <ns0:t>银行存款</ns0:t>
        </ns0:is>
      </ns0:c>
      <ns0:c r="R151" s="2" t="inlineStr">
        <ns0:is>
          <ns0:t>主营业务收入</ns0:t>
        </ns0:is>
      </ns0:c>
      <ns0:c r="S151" s="2">
        <ns0:v>387976.41</ns0:v>
      </ns0:c>
      <ns0:c r="T151" s="2">
        <ns0:v>387976.41</ns0:v>
      </ns0:c>
      <ns0:c r="U151" s="2">
        <ns0:v>4</ns0:v>
      </ns0:c>
      <ns0:c r="V151" s="2" t="inlineStr">
        <ns0:is>
          <ns0:t>V11-151</ns0:t>
        </ns0:is>
      </ns0:c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532897.81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2027-04</ns0:t>
        </ns0:is>
      </ns0:c>
      <ns0:c r="P152" s="2" t="inlineStr">
        <ns0:is>
          <ns0:t>V11-预算基础-04-2 采购付现（演示）</ns0:t>
        </ns0:is>
      </ns0:c>
      <ns0:c r="Q152" s="2" t="inlineStr">
        <ns0:is>
          <ns0:t>主营业务成本</ns0:t>
        </ns0:is>
      </ns0:c>
      <ns0:c r="R152" s="2" t="inlineStr">
        <ns0:is>
          <ns0:t>银行存款</ns0:t>
        </ns0:is>
      </ns0:c>
      <ns0:c r="S152" s="2">
        <ns0:v>152957.66</ns0:v>
      </ns0:c>
      <ns0:c r="T152" s="2">
        <ns0:v>152957.66</ns0:v>
      </ns0:c>
      <ns0:c r="U152" s="2">
        <ns0:v>8</ns0:v>
      </ns0:c>
      <ns0:c r="V152" s="2" t="inlineStr">
        <ns0:is>
          <ns0:t>V11-152</ns0:t>
        </ns0:is>
      </ns0:c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371678.52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2027-04</ns0:t>
        </ns0:is>
      </ns0:c>
      <ns0:c r="P153" s="2" t="inlineStr">
        <ns0:is>
          <ns0:t>V11-预算基础-04-3 工资社保付现（演示）</ns0:t>
        </ns0:is>
      </ns0:c>
      <ns0:c r="Q153" s="2" t="inlineStr">
        <ns0:is>
          <ns0:t>应付职工薪酬</ns0:t>
        </ns0:is>
      </ns0:c>
      <ns0:c r="R153" s="2" t="inlineStr">
        <ns0:is>
          <ns0:t>银行存款</ns0:t>
        </ns0:is>
      </ns0:c>
      <ns0:c r="S153" s="2">
        <ns0:v>131840.70</ns0:v>
      </ns0:c>
      <ns0:c r="T153" s="2">
        <ns0:v>131840.70</ns0:v>
      </ns0:c>
      <ns0:c r="U153" s="2">
        <ns0:v>9</ns0:v>
      </ns0:c>
      <ns0:c r="V153" s="2" t="inlineStr">
        <ns0:is>
          <ns0:t>V11-153</ns0:t>
        </ns0:is>
      </ns0:c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371678.52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2027-04</ns0:t>
        </ns0:is>
      </ns0:c>
      <ns0:c r="P154" s="2" t="inlineStr">
        <ns0:is>
          <ns0:t>V11-预算基础-04-4 税费付现（演示）</ns0:t>
        </ns0:is>
      </ns0:c>
      <ns0:c r="Q154" s="2" t="inlineStr">
        <ns0:is>
          <ns0:t>税金及附加</ns0:t>
        </ns0:is>
      </ns0:c>
      <ns0:c r="R154" s="2" t="inlineStr">
        <ns0:is>
          <ns0:t>银行存款</ns0:t>
        </ns0:is>
      </ns0:c>
      <ns0:c r="S154" s="2">
        <ns0:v>4032.20</ns0:v>
      </ns0:c>
      <ns0:c r="T154" s="2">
        <ns0:v>4032.20</ns0:v>
      </ns0:c>
      <ns0:c r="U154" s="2">
        <ns0:v>10</ns0:v>
      </ns0:c>
      <ns0:c r="V154" s="2" t="inlineStr">
        <ns0:is>
          <ns0:t>V11-154</ns0:t>
        </ns0:is>
      </ns0:c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524167.72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2027-04</ns0:t>
        </ns0:is>
      </ns0:c>
      <ns0:c r="P155" s="2" t="inlineStr">
        <ns0:is>
          <ns0:t>V11-预算基础-04-5 费用付现（演示合并）</ns0:t>
        </ns0:is>
      </ns0:c>
      <ns0:c r="Q155" s="2" t="inlineStr">
        <ns0:is>
          <ns0:t>费用（演示合并）</ns0:t>
        </ns0:is>
      </ns0:c>
      <ns0:c r="R155" s="2" t="inlineStr">
        <ns0:is>
          <ns0:t>银行存款</ns0:t>
        </ns0:is>
      </ns0:c>
      <ns0:c r="S155" s="2">
        <ns0:v>59019.97</ns0:v>
      </ns0:c>
      <ns0:c r="T155" s="2">
        <ns0:v>59019.97</ns0:v>
      </ns0:c>
      <ns0:c r="U155" s="2">
        <ns0:v>11</ns0:v>
      </ns0:c>
      <ns0:c r="V155" s="2" t="inlineStr">
        <ns0:is>
          <ns0:t>V11-155</ns0:t>
        </ns0:is>
      </ns0:c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524167.72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2027-04</ns0:t>
        </ns0:is>
      </ns0:c>
      <ns0:c r="P156" s="2" t="inlineStr">
        <ns0:is>
          <ns0:t>V11-预算基础-04-6 计提摊销（非现金）</ns0:t>
        </ns0:is>
      </ns0:c>
      <ns0:c r="Q156" s="2" t="inlineStr">
        <ns0:is>
          <ns0:t>折旧及摊销</ns0:t>
        </ns0:is>
      </ns0:c>
      <ns0:c r="R156" s="2" t="inlineStr">
        <ns0:is>
          <ns0:t>长期待摊费用</ns0:t>
        </ns0:is>
      </ns0:c>
      <ns0:c r="S156" s="2">
        <ns0:v>2100.00</ns0:v>
      </ns0:c>
      <ns0:c r="T156" s="2">
        <ns0:v>2100.00</ns0:v>
      </ns0:c>
      <ns0:c r="U156" s="2"/>
      <ns0:c r="V156" s="2" t="inlineStr">
        <ns0:is>
          <ns0:t>V11-156</ns0:t>
        </ns0:is>
      </ns0:c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403219.97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2027-04</ns0:t>
        </ns0:is>
      </ns0:c>
      <ns0:c r="P157" s="2" t="inlineStr">
        <ns0:is>
          <ns0:t>V11-预算基础-04-7 计提所得税（非现金）</ns0:t>
        </ns0:is>
      </ns0:c>
      <ns0:c r="Q157" s="2" t="inlineStr">
        <ns0:is>
          <ns0:t>所得税费用</ns0:t>
        </ns0:is>
      </ns0:c>
      <ns0:c r="R157" s="2" t="inlineStr">
        <ns0:is>
          <ns0:t>应交税费</ns0:t>
        </ns0:is>
      </ns0:c>
      <ns0:c r="S157" s="2">
        <ns0:v>12675.30</ns0:v>
      </ns0:c>
      <ns0:c r="T157" s="2">
        <ns0:v>12675.30</ns0:v>
      </ns0:c>
      <ns0:c r="U157" s="2"/>
      <ns0:c r="V157" s="2" t="inlineStr">
        <ns0:is>
          <ns0:t>V11-157</ns0:t>
        </ns0:is>
      </ns0:c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403219.97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2027-04</ns0:t>
        </ns0:is>
      </ns0:c>
      <ns0:c r="P158" s="2" t="inlineStr">
        <ns0:is>
          <ns0:t>V11-预算基础-04-8 收入结转（非现金）</ns0:t>
        </ns0:is>
      </ns0:c>
      <ns0:c r="Q158" s="2" t="inlineStr">
        <ns0:is>
          <ns0:t>主营业务收入</ns0:t>
        </ns0:is>
      </ns0:c>
      <ns0:c r="R158" s="2" t="inlineStr">
        <ns0:is>
          <ns0:t>本年利润</ns0:t>
        </ns0:is>
      </ns0:c>
      <ns0:c r="S158" s="2">
        <ns0:v>403219.97</ns0:v>
      </ns0:c>
      <ns0:c r="T158" s="2">
        <ns0:v>403219.97</ns0:v>
      </ns0:c>
      <ns0:c r="U158" s="2"/>
      <ns0:c r="V158" s="2" t="inlineStr">
        <ns0:is>
          <ns0:t>V11-158</ns0:t>
        </ns0:is>
      </ns0:c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373608.41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2027-04</ns0:t>
        </ns0:is>
      </ns0:c>
      <ns0:c r="P159" s="2" t="inlineStr">
        <ns0:is>
          <ns0:t>V11-预算基础-04-9 支出结转（非现金）</ns0:t>
        </ns0:is>
      </ns0:c>
      <ns0:c r="Q159" s="2" t="inlineStr">
        <ns0:is>
          <ns0:t>本年利润</ns0:t>
        </ns0:is>
      </ns0:c>
      <ns0:c r="R159" s="2" t="inlineStr">
        <ns0:is>
          <ns0:t>成本费用（演示合并）</ns0:t>
        </ns0:is>
      </ns0:c>
      <ns0:c r="S159" s="2">
        <ns0:v>349950.53</ns0:v>
      </ns0:c>
      <ns0:c r="T159" s="2">
        <ns0:v>349950.53</ns0:v>
      </ns0:c>
      <ns0:c r="U159" s="2"/>
      <ns0:c r="V159" s="2" t="inlineStr">
        <ns0:is>
          <ns0:t>V11-159</ns0:t>
        </ns0:is>
      </ns0:c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373608.41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 t="inlineStr">
        <ns0:is>
          <ns0:t>2027-05</ns0:t>
        </ns0:is>
      </ns0:c>
      <ns0:c r="P160" s="2" t="inlineStr">
        <ns0:is>
          <ns0:t>V11-预算基础-05-1 销售收现（演示）</ns0:t>
        </ns0:is>
      </ns0:c>
      <ns0:c r="Q160" s="2" t="inlineStr">
        <ns0:is>
          <ns0:t>银行存款</ns0:t>
        </ns0:is>
      </ns0:c>
      <ns0:c r="R160" s="2" t="inlineStr">
        <ns0:is>
          <ns0:t>主营业务收入</ns0:t>
        </ns0:is>
      </ns0:c>
      <ns0:c r="S160" s="2">
        <ns0:v>363601.15</ns0:v>
      </ns0:c>
      <ns0:c r="T160" s="2">
        <ns0:v>363601.15</ns0:v>
      </ns0:c>
      <ns0:c r="U160" s="2">
        <ns0:v>4</ns0:v>
      </ns0:c>
      <ns0:c r="V160" s="2" t="inlineStr">
        <ns0:is>
          <ns0:t>V11-160</ns0:t>
        </ns0:is>
      </ns0:c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335856.82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 t="inlineStr">
        <ns0:is>
          <ns0:t>2027-05</ns0:t>
        </ns0:is>
      </ns0:c>
      <ns0:c r="P161" s="2" t="inlineStr">
        <ns0:is>
          <ns0:t>V11-预算基础-05-2 采购付现（演示）</ns0:t>
        </ns0:is>
      </ns0:c>
      <ns0:c r="Q161" s="2" t="inlineStr">
        <ns0:is>
          <ns0:t>主营业务成本</ns0:t>
        </ns0:is>
      </ns0:c>
      <ns0:c r="R161" s="2" t="inlineStr">
        <ns0:is>
          <ns0:t>银行存款</ns0:t>
        </ns0:is>
      </ns0:c>
      <ns0:c r="S161" s="2">
        <ns0:v>145194.90</ns0:v>
      </ns0:c>
      <ns0:c r="T161" s="2">
        <ns0:v>145194.90</ns0:v>
      </ns0:c>
      <ns0:c r="U161" s="2">
        <ns0:v>8</ns0:v>
      </ns0:c>
      <ns0:c r="V161" s="2" t="inlineStr">
        <ns0:is>
          <ns0:t>V11-161</ns0:t>
        </ns0:is>
      </ns0:c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335856.82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 t="inlineStr">
        <ns0:is>
          <ns0:t>2027-05</ns0:t>
        </ns0:is>
      </ns0:c>
      <ns0:c r="P162" s="2" t="inlineStr">
        <ns0:is>
          <ns0:t>V11-预算基础-05-3 工资社保付现（演示）</ns0:t>
        </ns0:is>
      </ns0:c>
      <ns0:c r="Q162" s="2" t="inlineStr">
        <ns0:is>
          <ns0:t>应付职工薪酬</ns0:t>
        </ns0:is>
      </ns0:c>
      <ns0:c r="R162" s="2" t="inlineStr">
        <ns0:is>
          <ns0:t>银行存款</ns0:t>
        </ns0:is>
      </ns0:c>
      <ns0:c r="S162" s="2">
        <ns0:v>131444.99</ns0:v>
      </ns0:c>
      <ns0:c r="T162" s="2">
        <ns0:v>131444.99</ns0:v>
      </ns0:c>
      <ns0:c r="U162" s="2">
        <ns0:v>9</ns0:v>
      </ns0:c>
      <ns0:c r="V162" s="2" t="inlineStr">
        <ns0:is>
          <ns0:t>V11-162</ns0:t>
        </ns0:is>
      </ns0:c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542726.02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 t="inlineStr">
        <ns0:is>
          <ns0:t>2027-05</ns0:t>
        </ns0:is>
      </ns0:c>
      <ns0:c r="P163" s="2" t="inlineStr">
        <ns0:is>
          <ns0:t>V11-预算基础-05-4 税费付现（演示）</ns0:t>
        </ns0:is>
      </ns0:c>
      <ns0:c r="Q163" s="2" t="inlineStr">
        <ns0:is>
          <ns0:t>税金及附加</ns0:t>
        </ns0:is>
      </ns0:c>
      <ns0:c r="R163" s="2" t="inlineStr">
        <ns0:is>
          <ns0:t>银行存款</ns0:t>
        </ns0:is>
      </ns0:c>
      <ns0:c r="S163" s="2">
        <ns0:v>3736.08</ns0:v>
      </ns0:c>
      <ns0:c r="T163" s="2">
        <ns0:v>3736.08</ns0:v>
      </ns0:c>
      <ns0:c r="U163" s="2">
        <ns0:v>10</ns0:v>
      </ns0:c>
      <ns0:c r="V163" s="2" t="inlineStr">
        <ns0:is>
          <ns0:t>V11-163</ns0:t>
        </ns0:is>
      </ns0:c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542726.02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 t="inlineStr">
        <ns0:is>
          <ns0:t>2027-05</ns0:t>
        </ns0:is>
      </ns0:c>
      <ns0:c r="P164" s="2" t="inlineStr">
        <ns0:is>
          <ns0:t>V11-预算基础-05-5 费用付现（演示合并）</ns0:t>
        </ns0:is>
      </ns0:c>
      <ns0:c r="Q164" s="2" t="inlineStr">
        <ns0:is>
          <ns0:t>费用（演示合并）</ns0:t>
        </ns0:is>
      </ns0:c>
      <ns0:c r="R164" s="2" t="inlineStr">
        <ns0:is>
          <ns0:t>银行存款</ns0:t>
        </ns0:is>
      </ns0:c>
      <ns0:c r="S164" s="2">
        <ns0:v>59029.48</ns0:v>
      </ns0:c>
      <ns0:c r="T164" s="2">
        <ns0:v>59029.48</ns0:v>
      </ns0:c>
      <ns0:c r="U164" s="2">
        <ns0:v>11</ns0:v>
      </ns0:c>
      <ns0:c r="V164" s="2" t="inlineStr">
        <ns0:is>
          <ns0:t>V11-164</ns0:t>
        </ns0:is>
      </ns0:c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537445.48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 t="inlineStr">
        <ns0:is>
          <ns0:t>2027-05</ns0:t>
        </ns0:is>
      </ns0:c>
      <ns0:c r="P165" s="2" t="inlineStr">
        <ns0:is>
          <ns0:t>V11-预算基础-05-6 计提摊销（非现金）</ns0:t>
        </ns0:is>
      </ns0:c>
      <ns0:c r="Q165" s="2" t="inlineStr">
        <ns0:is>
          <ns0:t>折旧及摊销</ns0:t>
        </ns0:is>
      </ns0:c>
      <ns0:c r="R165" s="2" t="inlineStr">
        <ns0:is>
          <ns0:t>长期待摊费用</ns0:t>
        </ns0:is>
      </ns0:c>
      <ns0:c r="S165" s="2">
        <ns0:v>2100.00</ns0:v>
      </ns0:c>
      <ns0:c r="T165" s="2">
        <ns0:v>2100.00</ns0:v>
      </ns0:c>
      <ns0:c r="U165" s="2"/>
      <ns0:c r="V165" s="2" t="inlineStr">
        <ns0:is>
          <ns0:t>V11-165</ns0:t>
        </ns0:is>
      </ns0:c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537445.48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 t="inlineStr">
        <ns0:is>
          <ns0:t>2027-05</ns0:t>
        </ns0:is>
      </ns0:c>
      <ns0:c r="P166" s="2" t="inlineStr">
        <ns0:is>
          <ns0:t>V11-预算基础-05-7 计提所得税（非现金）</ns0:t>
        </ns0:is>
      </ns0:c>
      <ns0:c r="Q166" s="2" t="inlineStr">
        <ns0:is>
          <ns0:t>所得税费用</ns0:t>
        </ns0:is>
      </ns0:c>
      <ns0:c r="R166" s="2" t="inlineStr">
        <ns0:is>
          <ns0:t>应交税费</ns0:t>
        </ns0:is>
      </ns0:c>
      <ns0:c r="S166" s="2">
        <ns0:v>7365.24</ns0:v>
      </ns0:c>
      <ns0:c r="T166" s="2">
        <ns0:v>7365.24</ns0:v>
      </ns0:c>
      <ns0:c r="U166" s="2"/>
      <ns0:c r="V166" s="2" t="inlineStr">
        <ns0:is>
          <ns0:t>V11-166</ns0:t>
        </ns0:is>
      </ns0:c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367029.48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 t="inlineStr">
        <ns0:is>
          <ns0:t>2027-05</ns0:t>
        </ns0:is>
      </ns0:c>
      <ns0:c r="P167" s="2" t="inlineStr">
        <ns0:is>
          <ns0:t>V11-预算基础-05-8 收入结转（非现金）</ns0:t>
        </ns0:is>
      </ns0:c>
      <ns0:c r="Q167" s="2" t="inlineStr">
        <ns0:is>
          <ns0:t>主营业务收入</ns0:t>
        </ns0:is>
      </ns0:c>
      <ns0:c r="R167" s="2" t="inlineStr">
        <ns0:is>
          <ns0:t>本年利润</ns0:t>
        </ns0:is>
      </ns0:c>
      <ns0:c r="S167" s="2">
        <ns0:v>373608.41</ns0:v>
      </ns0:c>
      <ns0:c r="T167" s="2">
        <ns0:v>373608.41</ns0:v>
      </ns0:c>
      <ns0:c r="U167" s="2"/>
      <ns0:c r="V167" s="2" t="inlineStr">
        <ns0:is>
          <ns0:t>V11-167</ns0:t>
        </ns0:is>
      </ns0:c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367029.48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 t="inlineStr">
        <ns0:is>
          <ns0:t>2027-05</ns0:t>
        </ns0:is>
      </ns0:c>
      <ns0:c r="P168" s="2" t="inlineStr">
        <ns0:is>
          <ns0:t>V11-预算基础-05-9 支出结转（非现金）</ns0:t>
        </ns0:is>
      </ns0:c>
      <ns0:c r="Q168" s="2" t="inlineStr">
        <ns0:is>
          <ns0:t>本年利润</ns0:t>
        </ns0:is>
      </ns0:c>
      <ns0:c r="R168" s="2" t="inlineStr">
        <ns0:is>
          <ns0:t>成本费用（演示合并）</ns0:t>
        </ns0:is>
      </ns0:c>
      <ns0:c r="S168" s="2">
        <ns0:v>341505.45</ns0:v>
      </ns0:c>
      <ns0:c r="T168" s="2">
        <ns0:v>341505.45</ns0:v>
      </ns0:c>
      <ns0:c r="U168" s="2"/>
      <ns0:c r="V168" s="2" t="inlineStr">
        <ns0:is>
          <ns0:t>V11-168</ns0:t>
        </ns0:is>
      </ns0:c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492960.01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 t="inlineStr">
        <ns0:is>
          <ns0:t>2027-06</ns0:t>
        </ns0:is>
      </ns0:c>
      <ns0:c r="P169" s="2" t="inlineStr">
        <ns0:is>
          <ns0:t>V11-预算基础-06-1 销售收现（演示）</ns0:t>
        </ns0:is>
      </ns0:c>
      <ns0:c r="Q169" s="2" t="inlineStr">
        <ns0:is>
          <ns0:t>银行存款</ns0:t>
        </ns0:is>
      </ns0:c>
      <ns0:c r="R169" s="2" t="inlineStr">
        <ns0:is>
          <ns0:t>主营业务收入</ns0:t>
        </ns0:is>
      </ns0:c>
      <ns0:c r="S169" s="2">
        <ns0:v>326518.21</ns0:v>
      </ns0:c>
      <ns0:c r="T169" s="2">
        <ns0:v>326518.21</ns0:v>
      </ns0:c>
      <ns0:c r="U169" s="2">
        <ns0:v>4</ns0:v>
      </ns0:c>
      <ns0:c r="V169" s="2" t="inlineStr">
        <ns0:is>
          <ns0:t>V11-169</ns0:t>
        </ns0:is>
      </ns0:c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492960.01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 t="inlineStr">
        <ns0:is>
          <ns0:t>2027-06</ns0:t>
        </ns0:is>
      </ns0:c>
      <ns0:c r="P170" s="2" t="inlineStr">
        <ns0:is>
          <ns0:t>V11-预算基础-06-2 采购付现（演示）</ns0:t>
        </ns0:is>
      </ns0:c>
      <ns0:c r="Q170" s="2" t="inlineStr">
        <ns0:is>
          <ns0:t>主营业务成本</ns0:t>
        </ns0:is>
      </ns0:c>
      <ns0:c r="R170" s="2" t="inlineStr">
        <ns0:is>
          <ns0:t>银行存款</ns0:t>
        </ns0:is>
      </ns0:c>
      <ns0:c r="S170" s="2">
        <ns0:v>111872.19</ns0:v>
      </ns0:c>
      <ns0:c r="T170" s="2">
        <ns0:v>111872.19</ns0:v>
      </ns0:c>
      <ns0:c r="U170" s="2">
        <ns0:v>8</ns0:v>
      </ns0:c>
      <ns0:c r="V170" s="2" t="inlineStr">
        <ns0:is>
          <ns0:t>V11-170</ns0:t>
        </ns0:is>
      </ns0:c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411765.90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 t="inlineStr">
        <ns0:is>
          <ns0:t>2027-06</ns0:t>
        </ns0:is>
      </ns0:c>
      <ns0:c r="P171" s="2" t="inlineStr">
        <ns0:is>
          <ns0:t>V11-预算基础-06-3 工资社保付现（演示）</ns0:t>
        </ns0:is>
      </ns0:c>
      <ns0:c r="Q171" s="2" t="inlineStr">
        <ns0:is>
          <ns0:t>应付职工薪酬</ns0:t>
        </ns0:is>
      </ns0:c>
      <ns0:c r="R171" s="2" t="inlineStr">
        <ns0:is>
          <ns0:t>银行存款</ns0:t>
        </ns0:is>
      </ns0:c>
      <ns0:c r="S171" s="2">
        <ns0:v>131243.38</ns0:v>
      </ns0:c>
      <ns0:c r="T171" s="2">
        <ns0:v>131243.38</ns0:v>
      </ns0:c>
      <ns0:c r="U171" s="2">
        <ns0:v>9</ns0:v>
      </ns0:c>
      <ns0:c r="V171" s="2" t="inlineStr">
        <ns0:is>
          <ns0:t>V11-171</ns0:t>
        </ns0:is>
      </ns0:c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411765.90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 t="inlineStr">
        <ns0:is>
          <ns0:t>2027-06</ns0:t>
        </ns0:is>
      </ns0:c>
      <ns0:c r="P172" s="2" t="inlineStr">
        <ns0:is>
          <ns0:t>V11-预算基础-06-4 税费付现（演示）</ns0:t>
        </ns0:is>
      </ns0:c>
      <ns0:c r="Q172" s="2" t="inlineStr">
        <ns0:is>
          <ns0:t>税金及附加</ns0:t>
        </ns0:is>
      </ns0:c>
      <ns0:c r="R172" s="2" t="inlineStr">
        <ns0:is>
          <ns0:t>银行存款</ns0:t>
        </ns0:is>
      </ns0:c>
      <ns0:c r="S172" s="2">
        <ns0:v>3358.57</ns0:v>
      </ns0:c>
      <ns0:c r="T172" s="2">
        <ns0:v>3358.57</ns0:v>
      </ns0:c>
      <ns0:c r="U172" s="2">
        <ns0:v>10</ns0:v>
      </ns0:c>
      <ns0:c r="V172" s="2" t="inlineStr">
        <ns0:is>
          <ns0:t>V11-172</ns0:t>
        </ns0:is>
      </ns0:c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418062.06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 t="inlineStr">
        <ns0:is>
          <ns0:t>2027-06</ns0:t>
        </ns0:is>
      </ns0:c>
      <ns0:c r="P173" s="2" t="inlineStr">
        <ns0:is>
          <ns0:t>V11-预算基础-06-5 费用付现（演示合并）</ns0:t>
        </ns0:is>
      </ns0:c>
      <ns0:c r="Q173" s="2" t="inlineStr">
        <ns0:is>
          <ns0:t>费用（演示合并）</ns0:t>
        </ns0:is>
      </ns0:c>
      <ns0:c r="R173" s="2" t="inlineStr">
        <ns0:is>
          <ns0:t>银行存款</ns0:t>
        </ns0:is>
      </ns0:c>
      <ns0:c r="S173" s="2">
        <ns0:v>58495.35</ns0:v>
      </ns0:c>
      <ns0:c r="T173" s="2">
        <ns0:v>58495.35</ns0:v>
      </ns0:c>
      <ns0:c r="U173" s="2">
        <ns0:v>11</ns0:v>
      </ns0:c>
      <ns0:c r="V173" s="2" t="inlineStr">
        <ns0:is>
          <ns0:t>V11-173</ns0:t>
        </ns0:is>
      </ns0:c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418062.06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 t="inlineStr">
        <ns0:is>
          <ns0:t>2027-06</ns0:t>
        </ns0:is>
      </ns0:c>
      <ns0:c r="P174" s="2" t="inlineStr">
        <ns0:is>
          <ns0:t>V11-预算基础-06-6 计提摊销（非现金）</ns0:t>
        </ns0:is>
      </ns0:c>
      <ns0:c r="Q174" s="2" t="inlineStr">
        <ns0:is>
          <ns0:t>折旧及摊销</ns0:t>
        </ns0:is>
      </ns0:c>
      <ns0:c r="R174" s="2" t="inlineStr">
        <ns0:is>
          <ns0:t>长期待摊费用</ns0:t>
        </ns0:is>
      </ns0:c>
      <ns0:c r="S174" s="2">
        <ns0:v>2100.00</ns0:v>
      </ns0:c>
      <ns0:c r="T174" s="2">
        <ns0:v>2100.00</ns0:v>
      </ns0:c>
      <ns0:c r="U174" s="2"/>
      <ns0:c r="V174" s="2" t="inlineStr">
        <ns0:is>
          <ns0:t>V11-174</ns0:t>
        </ns0:is>
      </ns0:c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 t="inlineStr">
        <ns0:is>
          <ns0:t>2027-06</ns0:t>
        </ns0:is>
      </ns0:c>
      <ns0:c r="P175" s="2" t="inlineStr">
        <ns0:is>
          <ns0:t>V11-预算基础-06-7 计提所得税（非现金）</ns0:t>
        </ns0:is>
      </ns0:c>
      <ns0:c r="Q175" s="2" t="inlineStr">
        <ns0:is>
          <ns0:t>所得税费用</ns0:t>
        </ns0:is>
      </ns0:c>
      <ns0:c r="R175" s="2" t="inlineStr">
        <ns0:is>
          <ns0:t>应交税费</ns0:t>
        </ns0:is>
      </ns0:c>
      <ns0:c r="S175" s="2">
        <ns0:v>6482.91</ns0:v>
      </ns0:c>
      <ns0:c r="T175" s="2">
        <ns0:v>6482.91</ns0:v>
      </ns0:c>
      <ns0:c r="U175" s="2"/>
      <ns0:c r="V175" s="2" t="inlineStr">
        <ns0:is>
          <ns0:t>V11-175</ns0:t>
        </ns0:is>
      </ns0:c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 t="inlineStr">
        <ns0:is>
          <ns0:t>2027-06</ns0:t>
        </ns0:is>
      </ns0:c>
      <ns0:c r="P176" s="2" t="inlineStr">
        <ns0:is>
          <ns0:t>V11-预算基础-06-8 收入结转（非现金）</ns0:t>
        </ns0:is>
      </ns0:c>
      <ns0:c r="Q176" s="2" t="inlineStr">
        <ns0:is>
          <ns0:t>主营业务收入</ns0:t>
        </ns0:is>
      </ns0:c>
      <ns0:c r="R176" s="2" t="inlineStr">
        <ns0:is>
          <ns0:t>本年利润</ns0:t>
        </ns0:is>
      </ns0:c>
      <ns0:c r="S176" s="2">
        <ns0:v>335856.82</ns0:v>
      </ns0:c>
      <ns0:c r="T176" s="2">
        <ns0:v>335856.82</ns0:v>
      </ns0:c>
      <ns0:c r="U176" s="2"/>
      <ns0:c r="V176" s="2" t="inlineStr">
        <ns0:is>
          <ns0:t>V11-176</ns0:t>
        </ns0:is>
      </ns0:c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 t="inlineStr">
        <ns0:is>
          <ns0:t>2027-06</ns0:t>
        </ns0:is>
      </ns0:c>
      <ns0:c r="P177" s="2" t="inlineStr">
        <ns0:is>
          <ns0:t>V11-预算基础-06-9 支出结转（非现金）</ns0:t>
        </ns0:is>
      </ns0:c>
      <ns0:c r="Q177" s="2" t="inlineStr">
        <ns0:is>
          <ns0:t>本年利润</ns0:t>
        </ns0:is>
      </ns0:c>
      <ns0:c r="R177" s="2" t="inlineStr">
        <ns0:is>
          <ns0:t>成本费用（演示合并）</ns0:t>
        </ns0:is>
      </ns0:c>
      <ns0:c r="S177" s="2">
        <ns0:v>307069.49</ns0:v>
      </ns0:c>
      <ns0:c r="T177" s="2">
        <ns0:v>307069.49</ns0:v>
      </ns0:c>
      <ns0:c r="U177" s="2"/>
      <ns0:c r="V177" s="2" t="inlineStr">
        <ns0:is>
          <ns0:t>V11-177</ns0:t>
        </ns0:is>
      </ns0:c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 t="inlineStr">
        <ns0:is>
          <ns0:t>2027-07</ns0:t>
        </ns0:is>
      </ns0:c>
      <ns0:c r="P178" s="2" t="inlineStr">
        <ns0:is>
          <ns0:t>V11-预算基础-07-1 销售收现（演示）</ns0:t>
        </ns0:is>
      </ns0:c>
      <ns0:c r="Q178" s="2" t="inlineStr">
        <ns0:is>
          <ns0:t>银行存款</ns0:t>
        </ns0:is>
      </ns0:c>
      <ns0:c r="R178" s="2" t="inlineStr">
        <ns0:is>
          <ns0:t>主营业务收入</ns0:t>
        </ns0:is>
      </ns0:c>
      <ns0:c r="S178" s="2">
        <ns0:v>496242.38</ns0:v>
      </ns0:c>
      <ns0:c r="T178" s="2">
        <ns0:v>496242.38</ns0:v>
      </ns0:c>
      <ns0:c r="U178" s="2">
        <ns0:v>4</ns0:v>
      </ns0:c>
      <ns0:c r="V178" s="2" t="inlineStr">
        <ns0:is>
          <ns0:t>V11-178</ns0:t>
        </ns0:is>
      </ns0:c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 t="inlineStr">
        <ns0:is>
          <ns0:t>2027-07</ns0:t>
        </ns0:is>
      </ns0:c>
      <ns0:c r="P179" s="2" t="inlineStr">
        <ns0:is>
          <ns0:t>V11-预算基础-07-2 采购付现（演示）</ns0:t>
        </ns0:is>
      </ns0:c>
      <ns0:c r="Q179" s="2" t="inlineStr">
        <ns0:is>
          <ns0:t>主营业务成本</ns0:t>
        </ns0:is>
      </ns0:c>
      <ns0:c r="R179" s="2" t="inlineStr">
        <ns0:is>
          <ns0:t>银行存款</ns0:t>
        </ns0:is>
      </ns0:c>
      <ns0:c r="S179" s="2">
        <ns0:v>167832.84</ns0:v>
      </ns0:c>
      <ns0:c r="T179" s="2">
        <ns0:v>167832.84</ns0:v>
      </ns0:c>
      <ns0:c r="U179" s="2">
        <ns0:v>8</ns0:v>
      </ns0:c>
      <ns0:c r="V179" s="2" t="inlineStr">
        <ns0:is>
          <ns0:t>V11-179</ns0:t>
        </ns0:is>
      </ns0:c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 t="inlineStr">
        <ns0:is>
          <ns0:t>2027-07</ns0:t>
        </ns0:is>
      </ns0:c>
      <ns0:c r="P180" s="2" t="inlineStr">
        <ns0:is>
          <ns0:t>V11-预算基础-07-3 工资社保付现（演示）</ns0:t>
        </ns0:is>
      </ns0:c>
      <ns0:c r="Q180" s="2" t="inlineStr">
        <ns0:is>
          <ns0:t>应付职工薪酬</ns0:t>
        </ns0:is>
      </ns0:c>
      <ns0:c r="R180" s="2" t="inlineStr">
        <ns0:is>
          <ns0:t>银行存款</ns0:t>
        </ns0:is>
      </ns0:c>
      <ns0:c r="S180" s="2">
        <ns0:v>131531.26</ns0:v>
      </ns0:c>
      <ns0:c r="T180" s="2">
        <ns0:v>131531.26</ns0:v>
      </ns0:c>
      <ns0:c r="U180" s="2">
        <ns0:v>9</ns0:v>
      </ns0:c>
      <ns0:c r="V180" s="2" t="inlineStr">
        <ns0:is>
          <ns0:t>V11-180</ns0:t>
        </ns0:is>
      </ns0:c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 t="inlineStr">
        <ns0:is>
          <ns0:t>2027-07</ns0:t>
        </ns0:is>
      </ns0:c>
      <ns0:c r="P181" s="2" t="inlineStr">
        <ns0:is>
          <ns0:t>V11-预算基础-07-4 税费付现（演示）</ns0:t>
        </ns0:is>
      </ns0:c>
      <ns0:c r="Q181" s="2" t="inlineStr">
        <ns0:is>
          <ns0:t>税金及附加</ns0:t>
        </ns0:is>
      </ns0:c>
      <ns0:c r="R181" s="2" t="inlineStr">
        <ns0:is>
          <ns0:t>银行存款</ns0:t>
        </ns0:is>
      </ns0:c>
      <ns0:c r="S181" s="2">
        <ns0:v>5427.26</ns0:v>
      </ns0:c>
      <ns0:c r="T181" s="2">
        <ns0:v>5427.26</ns0:v>
      </ns0:c>
      <ns0:c r="U181" s="2">
        <ns0:v>10</ns0:v>
      </ns0:c>
      <ns0:c r="V181" s="2" t="inlineStr">
        <ns0:is>
          <ns0:t>V11-181</ns0:t>
        </ns0:is>
      </ns0:c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 t="inlineStr">
        <ns0:is>
          <ns0:t>2027-07</ns0:t>
        </ns0:is>
      </ns0:c>
      <ns0:c r="P182" s="2" t="inlineStr">
        <ns0:is>
          <ns0:t>V11-预算基础-07-5 费用付现（演示合并）</ns0:t>
        </ns0:is>
      </ns0:c>
      <ns0:c r="Q182" s="2" t="inlineStr">
        <ns0:is>
          <ns0:t>费用（演示合并）</ns0:t>
        </ns0:is>
      </ns0:c>
      <ns0:c r="R182" s="2" t="inlineStr">
        <ns0:is>
          <ns0:t>银行存款</ns0:t>
        </ns0:is>
      </ns0:c>
      <ns0:c r="S182" s="2">
        <ns0:v>57902.13</ns0:v>
      </ns0:c>
      <ns0:c r="T182" s="2">
        <ns0:v>57902.13</ns0:v>
      </ns0:c>
      <ns0:c r="U182" s="2">
        <ns0:v>11</ns0:v>
      </ns0:c>
      <ns0:c r="V182" s="2" t="inlineStr">
        <ns0:is>
          <ns0:t>V11-182</ns0:t>
        </ns0:is>
      </ns0:c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 t="inlineStr">
        <ns0:is>
          <ns0:t>2027-07</ns0:t>
        </ns0:is>
      </ns0:c>
      <ns0:c r="P183" s="2" t="inlineStr">
        <ns0:is>
          <ns0:t>V11-预算基础-07-6 计提摊销（非现金）</ns0:t>
        </ns0:is>
      </ns0:c>
      <ns0:c r="Q183" s="2" t="inlineStr">
        <ns0:is>
          <ns0:t>折旧及摊销</ns0:t>
        </ns0:is>
      </ns0:c>
      <ns0:c r="R183" s="2" t="inlineStr">
        <ns0:is>
          <ns0:t>长期待摊费用</ns0:t>
        </ns0:is>
      </ns0:c>
      <ns0:c r="S183" s="2">
        <ns0:v>2100.00</ns0:v>
      </ns0:c>
      <ns0:c r="T183" s="2">
        <ns0:v>2100.00</ns0:v>
      </ns0:c>
      <ns0:c r="U183" s="2"/>
      <ns0:c r="V183" s="2" t="inlineStr">
        <ns0:is>
          <ns0:t>V11-183</ns0:t>
        </ns0:is>
      </ns0:c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 t="inlineStr">
        <ns0:is>
          <ns0:t>2027-07</ns0:t>
        </ns0:is>
      </ns0:c>
      <ns0:c r="P184" s="2" t="inlineStr">
        <ns0:is>
          <ns0:t>V11-预算基础-07-7 计提所得税（非现金）</ns0:t>
        </ns0:is>
      </ns0:c>
      <ns0:c r="Q184" s="2" t="inlineStr">
        <ns0:is>
          <ns0:t>所得税费用</ns0:t>
        </ns0:is>
      </ns0:c>
      <ns0:c r="R184" s="2" t="inlineStr">
        <ns0:is>
          <ns0:t>应交税费</ns0:t>
        </ns0:is>
      </ns0:c>
      <ns0:c r="S184" s="2">
        <ns0:v>43816.30</ns0:v>
      </ns0:c>
      <ns0:c r="T184" s="2">
        <ns0:v>43816.30</ns0:v>
      </ns0:c>
      <ns0:c r="U184" s="2"/>
      <ns0:c r="V184" s="2" t="inlineStr">
        <ns0:is>
          <ns0:t>V11-184</ns0:t>
        </ns0:is>
      </ns0:c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 t="inlineStr">
        <ns0:is>
          <ns0:t>2027-07</ns0:t>
        </ns0:is>
      </ns0:c>
      <ns0:c r="P185" s="2" t="inlineStr">
        <ns0:is>
          <ns0:t>V11-预算基础-07-8 收入结转（非现金）</ns0:t>
        </ns0:is>
      </ns0:c>
      <ns0:c r="Q185" s="2" t="inlineStr">
        <ns0:is>
          <ns0:t>主营业务收入</ns0:t>
        </ns0:is>
      </ns0:c>
      <ns0:c r="R185" s="2" t="inlineStr">
        <ns0:is>
          <ns0:t>本年利润</ns0:t>
        </ns0:is>
      </ns0:c>
      <ns0:c r="S185" s="2">
        <ns0:v>542726.02</ns0:v>
      </ns0:c>
      <ns0:c r="T185" s="2">
        <ns0:v>542726.02</ns0:v>
      </ns0:c>
      <ns0:c r="U185" s="2"/>
      <ns0:c r="V185" s="2" t="inlineStr">
        <ns0:is>
          <ns0:t>V11-185</ns0:t>
        </ns0:is>
      </ns0:c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 t="inlineStr">
        <ns0:is>
          <ns0:t>2027-07</ns0:t>
        </ns0:is>
      </ns0:c>
      <ns0:c r="P186" s="2" t="inlineStr">
        <ns0:is>
          <ns0:t>V11-预算基础-07-9 支出结转（非现金）</ns0:t>
        </ns0:is>
      </ns0:c>
      <ns0:c r="Q186" s="2" t="inlineStr">
        <ns0:is>
          <ns0:t>本年利润</ns0:t>
        </ns0:is>
      </ns0:c>
      <ns0:c r="R186" s="2" t="inlineStr">
        <ns0:is>
          <ns0:t>成本费用（演示合并）</ns0:t>
        </ns0:is>
      </ns0:c>
      <ns0:c r="S186" s="2">
        <ns0:v>364793.49</ns0:v>
      </ns0:c>
      <ns0:c r="T186" s="2">
        <ns0:v>364793.49</ns0:v>
      </ns0:c>
      <ns0:c r="U186" s="2"/>
      <ns0:c r="V186" s="2" t="inlineStr">
        <ns0:is>
          <ns0:t>V11-186</ns0:t>
        </ns0:is>
      </ns0:c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 t="inlineStr">
        <ns0:is>
          <ns0:t>2027-08</ns0:t>
        </ns0:is>
      </ns0:c>
      <ns0:c r="P187" s="2" t="inlineStr">
        <ns0:is>
          <ns0:t>V11-预算基础-08-1 销售收现（演示）</ns0:t>
        </ns0:is>
      </ns0:c>
      <ns0:c r="Q187" s="2" t="inlineStr">
        <ns0:is>
          <ns0:t>银行存款</ns0:t>
        </ns0:is>
      </ns0:c>
      <ns0:c r="R187" s="2" t="inlineStr">
        <ns0:is>
          <ns0:t>主营业务收入</ns0:t>
        </ns0:is>
      </ns0:c>
      <ns0:c r="S187" s="2">
        <ns0:v>490463.44</ns0:v>
      </ns0:c>
      <ns0:c r="T187" s="2">
        <ns0:v>490463.44</ns0:v>
      </ns0:c>
      <ns0:c r="U187" s="2">
        <ns0:v>4</ns0:v>
      </ns0:c>
      <ns0:c r="V187" s="2" t="inlineStr">
        <ns0:is>
          <ns0:t>V11-187</ns0:t>
        </ns0:is>
      </ns0:c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 t="inlineStr">
        <ns0:is>
          <ns0:t>2027-08</ns0:t>
        </ns0:is>
      </ns0:c>
      <ns0:c r="P188" s="2" t="inlineStr">
        <ns0:is>
          <ns0:t>V11-预算基础-08-2 采购付现（演示）</ns0:t>
        </ns0:is>
      </ns0:c>
      <ns0:c r="Q188" s="2" t="inlineStr">
        <ns0:is>
          <ns0:t>主营业务成本</ns0:t>
        </ns0:is>
      </ns0:c>
      <ns0:c r="R188" s="2" t="inlineStr">
        <ns0:is>
          <ns0:t>银行存款</ns0:t>
        </ns0:is>
      </ns0:c>
      <ns0:c r="S188" s="2">
        <ns0:v>160485.69</ns0:v>
      </ns0:c>
      <ns0:c r="T188" s="2">
        <ns0:v>160485.69</ns0:v>
      </ns0:c>
      <ns0:c r="U188" s="2">
        <ns0:v>8</ns0:v>
      </ns0:c>
      <ns0:c r="V188" s="2" t="inlineStr">
        <ns0:is>
          <ns0:t>V11-188</ns0:t>
        </ns0:is>
      </ns0:c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 t="inlineStr">
        <ns0:is>
          <ns0:t>2027-08</ns0:t>
        </ns0:is>
      </ns0:c>
      <ns0:c r="P189" s="2" t="inlineStr">
        <ns0:is>
          <ns0:t>V11-预算基础-08-3 工资社保付现（演示）</ns0:t>
        </ns0:is>
      </ns0:c>
      <ns0:c r="Q189" s="2" t="inlineStr">
        <ns0:is>
          <ns0:t>应付职工薪酬</ns0:t>
        </ns0:is>
      </ns0:c>
      <ns0:c r="R189" s="2" t="inlineStr">
        <ns0:is>
          <ns0:t>银行存款</ns0:t>
        </ns0:is>
      </ns0:c>
      <ns0:c r="S189" s="2">
        <ns0:v>131989.74</ns0:v>
      </ns0:c>
      <ns0:c r="T189" s="2">
        <ns0:v>131989.74</ns0:v>
      </ns0:c>
      <ns0:c r="U189" s="2">
        <ns0:v>9</ns0:v>
      </ns0:c>
      <ns0:c r="V189" s="2" t="inlineStr">
        <ns0:is>
          <ns0:t>V11-189</ns0:t>
        </ns0:is>
      </ns0:c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 t="inlineStr">
        <ns0:is>
          <ns0:t>2027-08</ns0:t>
        </ns0:is>
      </ns0:c>
      <ns0:c r="P190" s="2" t="inlineStr">
        <ns0:is>
          <ns0:t>V11-预算基础-08-4 税费付现（演示）</ns0:t>
        </ns0:is>
      </ns0:c>
      <ns0:c r="Q190" s="2" t="inlineStr">
        <ns0:is>
          <ns0:t>税金及附加</ns0:t>
        </ns0:is>
      </ns0:c>
      <ns0:c r="R190" s="2" t="inlineStr">
        <ns0:is>
          <ns0:t>银行存款</ns0:t>
        </ns0:is>
      </ns0:c>
      <ns0:c r="S190" s="2">
        <ns0:v>5374.45</ns0:v>
      </ns0:c>
      <ns0:c r="T190" s="2">
        <ns0:v>5374.45</ns0:v>
      </ns0:c>
      <ns0:c r="U190" s="2">
        <ns0:v>10</ns0:v>
      </ns0:c>
      <ns0:c r="V190" s="2" t="inlineStr">
        <ns0:is>
          <ns0:t>V11-190</ns0:t>
        </ns0:is>
      </ns0:c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 t="inlineStr">
        <ns0:is>
          <ns0:t>2027-08</ns0:t>
        </ns0:is>
      </ns0:c>
      <ns0:c r="P191" s="2" t="inlineStr">
        <ns0:is>
          <ns0:t>V11-预算基础-08-5 费用付现（演示合并）</ns0:t>
        </ns0:is>
      </ns0:c>
      <ns0:c r="Q191" s="2" t="inlineStr">
        <ns0:is>
          <ns0:t>费用（演示合并）</ns0:t>
        </ns0:is>
      </ns0:c>
      <ns0:c r="R191" s="2" t="inlineStr">
        <ns0:is>
          <ns0:t>银行存款</ns0:t>
        </ns0:is>
      </ns0:c>
      <ns0:c r="S191" s="2">
        <ns0:v>57701.70</ns0:v>
      </ns0:c>
      <ns0:c r="T191" s="2">
        <ns0:v>57701.70</ns0:v>
      </ns0:c>
      <ns0:c r="U191" s="2">
        <ns0:v>11</ns0:v>
      </ns0:c>
      <ns0:c r="V191" s="2" t="inlineStr">
        <ns0:is>
          <ns0:t>V11-191</ns0:t>
        </ns0:is>
      </ns0:c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 t="inlineStr">
        <ns0:is>
          <ns0:t>2027-08</ns0:t>
        </ns0:is>
      </ns0:c>
      <ns0:c r="P192" s="2" t="inlineStr">
        <ns0:is>
          <ns0:t>V11-预算基础-08-6 计提摊销（非现金）</ns0:t>
        </ns0:is>
      </ns0:c>
      <ns0:c r="Q192" s="2" t="inlineStr">
        <ns0:is>
          <ns0:t>折旧及摊销</ns0:t>
        </ns0:is>
      </ns0:c>
      <ns0:c r="R192" s="2" t="inlineStr">
        <ns0:is>
          <ns0:t>长期待摊费用</ns0:t>
        </ns0:is>
      </ns0:c>
      <ns0:c r="S192" s="2">
        <ns0:v>2100.00</ns0:v>
      </ns0:c>
      <ns0:c r="T192" s="2">
        <ns0:v>2100.00</ns0:v>
      </ns0:c>
      <ns0:c r="U192" s="2"/>
      <ns0:c r="V192" s="2" t="inlineStr">
        <ns0:is>
          <ns0:t>V11-192</ns0:t>
        </ns0:is>
      </ns0:c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 t="inlineStr">
        <ns0:is>
          <ns0:t>2027-08</ns0:t>
        </ns0:is>
      </ns0:c>
      <ns0:c r="P193" s="2" t="inlineStr">
        <ns0:is>
          <ns0:t>V11-预算基础-08-7 计提所得税（非现金）</ns0:t>
        </ns0:is>
      </ns0:c>
      <ns0:c r="Q193" s="2" t="inlineStr">
        <ns0:is>
          <ns0:t>所得税费用</ns0:t>
        </ns0:is>
      </ns0:c>
      <ns0:c r="R193" s="2" t="inlineStr">
        <ns0:is>
          <ns0:t>应交税费</ns0:t>
        </ns0:is>
      </ns0:c>
      <ns0:c r="S193" s="2">
        <ns0:v>44270.62</ns0:v>
      </ns0:c>
      <ns0:c r="T193" s="2">
        <ns0:v>44270.62</ns0:v>
      </ns0:c>
      <ns0:c r="U193" s="2"/>
      <ns0:c r="V193" s="2" t="inlineStr">
        <ns0:is>
          <ns0:t>V11-193</ns0:t>
        </ns0:is>
      </ns0:c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 t="inlineStr">
        <ns0:is>
          <ns0:t>2027-08</ns0:t>
        </ns0:is>
      </ns0:c>
      <ns0:c r="P194" s="2" t="inlineStr">
        <ns0:is>
          <ns0:t>V11-预算基础-08-8 收入结转（非现金）</ns0:t>
        </ns0:is>
      </ns0:c>
      <ns0:c r="Q194" s="2" t="inlineStr">
        <ns0:is>
          <ns0:t>主营业务收入</ns0:t>
        </ns0:is>
      </ns0:c>
      <ns0:c r="R194" s="2" t="inlineStr">
        <ns0:is>
          <ns0:t>本年利润</ns0:t>
        </ns0:is>
      </ns0:c>
      <ns0:c r="S194" s="2">
        <ns0:v>537445.48</ns0:v>
      </ns0:c>
      <ns0:c r="T194" s="2">
        <ns0:v>537445.48</ns0:v>
      </ns0:c>
      <ns0:c r="U194" s="2"/>
      <ns0:c r="V194" s="2" t="inlineStr">
        <ns0:is>
          <ns0:t>V11-194</ns0:t>
        </ns0:is>
      </ns0:c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 t="inlineStr">
        <ns0:is>
          <ns0:t>2027-08</ns0:t>
        </ns0:is>
      </ns0:c>
      <ns0:c r="P195" s="2" t="inlineStr">
        <ns0:is>
          <ns0:t>V11-预算基础-08-9 支出结转（非现金）</ns0:t>
        </ns0:is>
      </ns0:c>
      <ns0:c r="Q195" s="2" t="inlineStr">
        <ns0:is>
          <ns0:t>本年利润</ns0:t>
        </ns0:is>
      </ns0:c>
      <ns0:c r="R195" s="2" t="inlineStr">
        <ns0:is>
          <ns0:t>成本费用（演示合并）</ns0:t>
        </ns0:is>
      </ns0:c>
      <ns0:c r="S195" s="2">
        <ns0:v>357651.58</ns0:v>
      </ns0:c>
      <ns0:c r="T195" s="2">
        <ns0:v>357651.58</ns0:v>
      </ns0:c>
      <ns0:c r="U195" s="2"/>
      <ns0:c r="V195" s="2" t="inlineStr">
        <ns0:is>
          <ns0:t>V11-195</ns0:t>
        </ns0:is>
      </ns0:c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 t="inlineStr">
        <ns0:is>
          <ns0:t>2027-09</ns0:t>
        </ns0:is>
      </ns0:c>
      <ns0:c r="P196" s="2" t="inlineStr">
        <ns0:is>
          <ns0:t>V11-预算基础-09-1 销售收现（演示）</ns0:t>
        </ns0:is>
      </ns0:c>
      <ns0:c r="Q196" s="2" t="inlineStr">
        <ns0:is>
          <ns0:t>银行存款</ns0:t>
        </ns0:is>
      </ns0:c>
      <ns0:c r="R196" s="2" t="inlineStr">
        <ns0:is>
          <ns0:t>主营业务收入</ns0:t>
        </ns0:is>
      </ns0:c>
      <ns0:c r="S196" s="2">
        <ns0:v>355939.41</ns0:v>
      </ns0:c>
      <ns0:c r="T196" s="2">
        <ns0:v>355939.41</ns0:v>
      </ns0:c>
      <ns0:c r="U196" s="2">
        <ns0:v>4</ns0:v>
      </ns0:c>
      <ns0:c r="V196" s="2" t="inlineStr">
        <ns0:is>
          <ns0:t>V11-196</ns0:t>
        </ns0:is>
      </ns0:c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 t="inlineStr">
        <ns0:is>
          <ns0:t>2027-09</ns0:t>
        </ns0:is>
      </ns0:c>
      <ns0:c r="P197" s="2" t="inlineStr">
        <ns0:is>
          <ns0:t>V11-预算基础-09-2 采购付现（演示）</ns0:t>
        </ns0:is>
      </ns0:c>
      <ns0:c r="Q197" s="2" t="inlineStr">
        <ns0:is>
          <ns0:t>主营业务成本</ns0:t>
        </ns0:is>
      </ns0:c>
      <ns0:c r="R197" s="2" t="inlineStr">
        <ns0:is>
          <ns0:t>银行存款</ns0:t>
        </ns0:is>
      </ns0:c>
      <ns0:c r="S197" s="2">
        <ns0:v>134552.29</ns0:v>
      </ns0:c>
      <ns0:c r="T197" s="2">
        <ns0:v>134552.29</ns0:v>
      </ns0:c>
      <ns0:c r="U197" s="2">
        <ns0:v>8</ns0:v>
      </ns0:c>
      <ns0:c r="V197" s="2" t="inlineStr">
        <ns0:is>
          <ns0:t>V11-197</ns0:t>
        </ns0:is>
      </ns0:c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 t="inlineStr">
        <ns0:is>
          <ns0:t>2027-09</ns0:t>
        </ns0:is>
      </ns0:c>
      <ns0:c r="P198" s="2" t="inlineStr">
        <ns0:is>
          <ns0:t>V11-预算基础-09-3 工资社保付现（演示）</ns0:t>
        </ns0:is>
      </ns0:c>
      <ns0:c r="Q198" s="2" t="inlineStr">
        <ns0:is>
          <ns0:t>应付职工薪酬</ns0:t>
        </ns0:is>
      </ns0:c>
      <ns0:c r="R198" s="2" t="inlineStr">
        <ns0:is>
          <ns0:t>银行存款</ns0:t>
        </ns0:is>
      </ns0:c>
      <ns0:c r="S198" s="2">
        <ns0:v>131766.58</ns0:v>
      </ns0:c>
      <ns0:c r="T198" s="2">
        <ns0:v>131766.58</ns0:v>
      </ns0:c>
      <ns0:c r="U198" s="2">
        <ns0:v>9</ns0:v>
      </ns0:c>
      <ns0:c r="V198" s="2" t="inlineStr">
        <ns0:is>
          <ns0:t>V11-198</ns0:t>
        </ns0:is>
      </ns0:c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 t="inlineStr">
        <ns0:is>
          <ns0:t>2027-09</ns0:t>
        </ns0:is>
      </ns0:c>
      <ns0:c r="P199" s="2" t="inlineStr">
        <ns0:is>
          <ns0:t>V11-预算基础-09-4 税费付现（演示）</ns0:t>
        </ns0:is>
      </ns0:c>
      <ns0:c r="Q199" s="2" t="inlineStr">
        <ns0:is>
          <ns0:t>税金及附加</ns0:t>
        </ns0:is>
      </ns0:c>
      <ns0:c r="R199" s="2" t="inlineStr">
        <ns0:is>
          <ns0:t>银行存款</ns0:t>
        </ns0:is>
      </ns0:c>
      <ns0:c r="S199" s="2">
        <ns0:v>3670.29</ns0:v>
      </ns0:c>
      <ns0:c r="T199" s="2">
        <ns0:v>3670.29</ns0:v>
      </ns0:c>
      <ns0:c r="U199" s="2">
        <ns0:v>10</ns0:v>
      </ns0:c>
      <ns0:c r="V199" s="2" t="inlineStr">
        <ns0:is>
          <ns0:t>V11-199</ns0:t>
        </ns0:is>
      </ns0:c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 t="inlineStr">
        <ns0:is>
          <ns0:t>2027-09</ns0:t>
        </ns0:is>
      </ns0:c>
      <ns0:c r="P200" s="2" t="inlineStr">
        <ns0:is>
          <ns0:t>V11-预算基础-09-5 费用付现（演示合并）</ns0:t>
        </ns0:is>
      </ns0:c>
      <ns0:c r="Q200" s="2" t="inlineStr">
        <ns0:is>
          <ns0:t>费用（演示合并）</ns0:t>
        </ns0:is>
      </ns0:c>
      <ns0:c r="R200" s="2" t="inlineStr">
        <ns0:is>
          <ns0:t>银行存款</ns0:t>
        </ns0:is>
      </ns0:c>
      <ns0:c r="S200" s="2">
        <ns0:v>58747.02</ns0:v>
      </ns0:c>
      <ns0:c r="T200" s="2">
        <ns0:v>58747.02</ns0:v>
      </ns0:c>
      <ns0:c r="U200" s="2">
        <ns0:v>11</ns0:v>
      </ns0:c>
      <ns0:c r="V200" s="2" t="inlineStr">
        <ns0:is>
          <ns0:t>V11-200</ns0:t>
        </ns0:is>
      </ns0:c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 t="inlineStr">
        <ns0:is>
          <ns0:t>2027-09</ns0:t>
        </ns0:is>
      </ns0:c>
      <ns0:c r="P201" s="2" t="inlineStr">
        <ns0:is>
          <ns0:t>V11-预算基础-09-6 计提摊销（非现金）</ns0:t>
        </ns0:is>
      </ns0:c>
      <ns0:c r="Q201" s="2" t="inlineStr">
        <ns0:is>
          <ns0:t>折旧及摊销</ns0:t>
        </ns0:is>
      </ns0:c>
      <ns0:c r="R201" s="2" t="inlineStr">
        <ns0:is>
          <ns0:t>长期待摊费用</ns0:t>
        </ns0:is>
      </ns0:c>
      <ns0:c r="S201" s="2">
        <ns0:v>2100.00</ns0:v>
      </ns0:c>
      <ns0:c r="T201" s="2">
        <ns0:v>2100.00</ns0:v>
      </ns0:c>
      <ns0:c r="U201" s="2"/>
      <ns0:c r="V201" s="2" t="inlineStr">
        <ns0:is>
          <ns0:t>V11-201</ns0:t>
        </ns0:is>
      </ns0:c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 t="inlineStr">
        <ns0:is>
          <ns0:t>2027-09</ns0:t>
        </ns0:is>
      </ns0:c>
      <ns0:c r="P202" s="2" t="inlineStr">
        <ns0:is>
          <ns0:t>V11-预算基础-09-7 计提所得税（非现金）</ns0:t>
        </ns0:is>
      </ns0:c>
      <ns0:c r="Q202" s="2" t="inlineStr">
        <ns0:is>
          <ns0:t>所得税费用</ns0:t>
        </ns0:is>
      </ns0:c>
      <ns0:c r="R202" s="2" t="inlineStr">
        <ns0:is>
          <ns0:t>应交税费</ns0:t>
        </ns0:is>
      </ns0:c>
      <ns0:c r="S202" s="2">
        <ns0:v>8367.74</ns0:v>
      </ns0:c>
      <ns0:c r="T202" s="2">
        <ns0:v>8367.74</ns0:v>
      </ns0:c>
      <ns0:c r="U202" s="2"/>
      <ns0:c r="V202" s="2" t="inlineStr">
        <ns0:is>
          <ns0:t>V11-202</ns0:t>
        </ns0:is>
      </ns0:c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 t="inlineStr">
        <ns0:is>
          <ns0:t>2027-09</ns0:t>
        </ns0:is>
      </ns0:c>
      <ns0:c r="P203" s="2" t="inlineStr">
        <ns0:is>
          <ns0:t>V11-预算基础-09-8 收入结转（非现金）</ns0:t>
        </ns0:is>
      </ns0:c>
      <ns0:c r="Q203" s="2" t="inlineStr">
        <ns0:is>
          <ns0:t>主营业务收入</ns0:t>
        </ns0:is>
      </ns0:c>
      <ns0:c r="R203" s="2" t="inlineStr">
        <ns0:is>
          <ns0:t>本年利润</ns0:t>
        </ns0:is>
      </ns0:c>
      <ns0:c r="S203" s="2">
        <ns0:v>367029.48</ns0:v>
      </ns0:c>
      <ns0:c r="T203" s="2">
        <ns0:v>367029.48</ns0:v>
      </ns0:c>
      <ns0:c r="U203" s="2"/>
      <ns0:c r="V203" s="2" t="inlineStr">
        <ns0:is>
          <ns0:t>V11-203</ns0:t>
        </ns0:is>
      </ns0:c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 t="inlineStr">
        <ns0:is>
          <ns0:t>2027-09</ns0:t>
        </ns0:is>
      </ns0:c>
      <ns0:c r="P204" s="2" t="inlineStr">
        <ns0:is>
          <ns0:t>V11-预算基础-09-9 支出结转（非现金）</ns0:t>
        </ns0:is>
      </ns0:c>
      <ns0:c r="Q204" s="2" t="inlineStr">
        <ns0:is>
          <ns0:t>本年利润</ns0:t>
        </ns0:is>
      </ns0:c>
      <ns0:c r="R204" s="2" t="inlineStr">
        <ns0:is>
          <ns0:t>成本费用（演示合并）</ns0:t>
        </ns0:is>
      </ns0:c>
      <ns0:c r="S204" s="2">
        <ns0:v>330836.18</ns0:v>
      </ns0:c>
      <ns0:c r="T204" s="2">
        <ns0:v>330836.18</ns0:v>
      </ns0:c>
      <ns0:c r="U204" s="2"/>
      <ns0:c r="V204" s="2" t="inlineStr">
        <ns0:is>
          <ns0:t>V11-204</ns0:t>
        </ns0:is>
      </ns0:c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 t="inlineStr">
        <ns0:is>
          <ns0:t>2027-10</ns0:t>
        </ns0:is>
      </ns0:c>
      <ns0:c r="P205" s="2" t="inlineStr">
        <ns0:is>
          <ns0:t>V11-预算基础-10-1 销售收现（演示）</ns0:t>
        </ns0:is>
      </ns0:c>
      <ns0:c r="Q205" s="2" t="inlineStr">
        <ns0:is>
          <ns0:t>银行存款</ns0:t>
        </ns0:is>
      </ns0:c>
      <ns0:c r="R205" s="2" t="inlineStr">
        <ns0:is>
          <ns0:t>主营业务收入</ns0:t>
        </ns0:is>
      </ns0:c>
      <ns0:c r="S205" s="2">
        <ns0:v>456343.62</ns0:v>
      </ns0:c>
      <ns0:c r="T205" s="2">
        <ns0:v>456343.62</ns0:v>
      </ns0:c>
      <ns0:c r="U205" s="2">
        <ns0:v>4</ns0:v>
      </ns0:c>
      <ns0:c r="V205" s="2" t="inlineStr">
        <ns0:is>
          <ns0:t>V11-205</ns0:t>
        </ns0:is>
      </ns0:c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 t="inlineStr">
        <ns0:is>
          <ns0:t>2027-10</ns0:t>
        </ns0:is>
      </ns0:c>
      <ns0:c r="P206" s="2" t="inlineStr">
        <ns0:is>
          <ns0:t>V11-预算基础-10-2 采购付现（演示）</ns0:t>
        </ns0:is>
      </ns0:c>
      <ns0:c r="Q206" s="2" t="inlineStr">
        <ns0:is>
          <ns0:t>主营业务成本</ns0:t>
        </ns0:is>
      </ns0:c>
      <ns0:c r="R206" s="2" t="inlineStr">
        <ns0:is>
          <ns0:t>银行存款</ns0:t>
        </ns0:is>
      </ns0:c>
      <ns0:c r="S206" s="2">
        <ns0:v>157533.82</ns0:v>
      </ns0:c>
      <ns0:c r="T206" s="2">
        <ns0:v>157533.82</ns0:v>
      </ns0:c>
      <ns0:c r="U206" s="2">
        <ns0:v>8</ns0:v>
      </ns0:c>
      <ns0:c r="V206" s="2" t="inlineStr">
        <ns0:is>
          <ns0:t>V11-206</ns0:t>
        </ns0:is>
      </ns0:c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 t="inlineStr">
        <ns0:is>
          <ns0:t>2027-10</ns0:t>
        </ns0:is>
      </ns0:c>
      <ns0:c r="P207" s="2" t="inlineStr">
        <ns0:is>
          <ns0:t>V11-预算基础-10-3 工资社保付现（演示）</ns0:t>
        </ns0:is>
      </ns0:c>
      <ns0:c r="Q207" s="2" t="inlineStr">
        <ns0:is>
          <ns0:t>应付职工薪酬</ns0:t>
        </ns0:is>
      </ns0:c>
      <ns0:c r="R207" s="2" t="inlineStr">
        <ns0:is>
          <ns0:t>银行存款</ns0:t>
        </ns0:is>
      </ns0:c>
      <ns0:c r="S207" s="2">
        <ns0:v>131829.63</ns0:v>
      </ns0:c>
      <ns0:c r="T207" s="2">
        <ns0:v>131829.63</ns0:v>
      </ns0:c>
      <ns0:c r="U207" s="2">
        <ns0:v>9</ns0:v>
      </ns0:c>
      <ns0:c r="V207" s="2" t="inlineStr">
        <ns0:is>
          <ns0:t>V11-207</ns0:t>
        </ns0:is>
      </ns0:c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 t="inlineStr">
        <ns0:is>
          <ns0:t>2027-10</ns0:t>
        </ns0:is>
      </ns0:c>
      <ns0:c r="P208" s="2" t="inlineStr">
        <ns0:is>
          <ns0:t>V11-预算基础-10-4 税费付现（演示）</ns0:t>
        </ns0:is>
      </ns0:c>
      <ns0:c r="Q208" s="2" t="inlineStr">
        <ns0:is>
          <ns0:t>税金及附加</ns0:t>
        </ns0:is>
      </ns0:c>
      <ns0:c r="R208" s="2" t="inlineStr">
        <ns0:is>
          <ns0:t>银行存款</ns0:t>
        </ns0:is>
      </ns0:c>
      <ns0:c r="S208" s="2">
        <ns0:v>4929.60</ns0:v>
      </ns0:c>
      <ns0:c r="T208" s="2">
        <ns0:v>4929.60</ns0:v>
      </ns0:c>
      <ns0:c r="U208" s="2">
        <ns0:v>10</ns0:v>
      </ns0:c>
      <ns0:c r="V208" s="2" t="inlineStr">
        <ns0:is>
          <ns0:t>V11-208</ns0:t>
        </ns0:is>
      </ns0:c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 t="inlineStr">
        <ns0:is>
          <ns0:t>2027-10</ns0:t>
        </ns0:is>
      </ns0:c>
      <ns0:c r="P209" s="2" t="inlineStr">
        <ns0:is>
          <ns0:t>V11-预算基础-10-5 费用付现（演示合并）</ns0:t>
        </ns0:is>
      </ns0:c>
      <ns0:c r="Q209" s="2" t="inlineStr">
        <ns0:is>
          <ns0:t>费用（演示合并）</ns0:t>
        </ns0:is>
      </ns0:c>
      <ns0:c r="R209" s="2" t="inlineStr">
        <ns0:is>
          <ns0:t>银行存款</ns0:t>
        </ns0:is>
      </ns0:c>
      <ns0:c r="S209" s="2">
        <ns0:v>57901.20</ns0:v>
      </ns0:c>
      <ns0:c r="T209" s="2">
        <ns0:v>57901.20</ns0:v>
      </ns0:c>
      <ns0:c r="U209" s="2">
        <ns0:v>11</ns0:v>
      </ns0:c>
      <ns0:c r="V209" s="2" t="inlineStr">
        <ns0:is>
          <ns0:t>V11-209</ns0:t>
        </ns0:is>
      </ns0:c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 t="inlineStr">
        <ns0:is>
          <ns0:t>2027-10</ns0:t>
        </ns0:is>
      </ns0:c>
      <ns0:c r="P210" s="2" t="inlineStr">
        <ns0:is>
          <ns0:t>V11-预算基础-10-6 计提摊销（非现金）</ns0:t>
        </ns0:is>
      </ns0:c>
      <ns0:c r="Q210" s="2" t="inlineStr">
        <ns0:is>
          <ns0:t>折旧及摊销</ns0:t>
        </ns0:is>
      </ns0:c>
      <ns0:c r="R210" s="2" t="inlineStr">
        <ns0:is>
          <ns0:t>长期待摊费用</ns0:t>
        </ns0:is>
      </ns0:c>
      <ns0:c r="S210" s="2">
        <ns0:v>2100.00</ns0:v>
      </ns0:c>
      <ns0:c r="T210" s="2">
        <ns0:v>2100.00</ns0:v>
      </ns0:c>
      <ns0:c r="U210" s="2"/>
      <ns0:c r="V210" s="2" t="inlineStr">
        <ns0:is>
          <ns0:t>V11-210</ns0:t>
        </ns0:is>
      </ns0:c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 t="inlineStr">
        <ns0:is>
          <ns0:t>2027-10</ns0:t>
        </ns0:is>
      </ns0:c>
      <ns0:c r="P211" s="2" t="inlineStr">
        <ns0:is>
          <ns0:t>V11-预算基础-10-7 计提所得税（非现金）</ns0:t>
        </ns0:is>
      </ns0:c>
      <ns0:c r="Q211" s="2" t="inlineStr">
        <ns0:is>
          <ns0:t>所得税费用</ns0:t>
        </ns0:is>
      </ns0:c>
      <ns0:c r="R211" s="2" t="inlineStr">
        <ns0:is>
          <ns0:t>应交税费</ns0:t>
        </ns0:is>
      </ns0:c>
      <ns0:c r="S211" s="2">
        <ns0:v>34016.46</ns0:v>
      </ns0:c>
      <ns0:c r="T211" s="2">
        <ns0:v>34016.46</ns0:v>
      </ns0:c>
      <ns0:c r="U211" s="2"/>
      <ns0:c r="V211" s="2" t="inlineStr">
        <ns0:is>
          <ns0:t>V11-211</ns0:t>
        </ns0:is>
      </ns0:c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 t="inlineStr">
        <ns0:is>
          <ns0:t>2027-10</ns0:t>
        </ns0:is>
      </ns0:c>
      <ns0:c r="P212" s="2" t="inlineStr">
        <ns0:is>
          <ns0:t>V11-预算基础-10-8 收入结转（非现金）</ns0:t>
        </ns0:is>
      </ns0:c>
      <ns0:c r="Q212" s="2" t="inlineStr">
        <ns0:is>
          <ns0:t>主营业务收入</ns0:t>
        </ns0:is>
      </ns0:c>
      <ns0:c r="R212" s="2" t="inlineStr">
        <ns0:is>
          <ns0:t>本年利润</ns0:t>
        </ns0:is>
      </ns0:c>
      <ns0:c r="S212" s="2">
        <ns0:v>492960.01</ns0:v>
      </ns0:c>
      <ns0:c r="T212" s="2">
        <ns0:v>492960.01</ns0:v>
      </ns0:c>
      <ns0:c r="U212" s="2"/>
      <ns0:c r="V212" s="2" t="inlineStr">
        <ns0:is>
          <ns0:t>V11-212</ns0:t>
        </ns0:is>
      </ns0:c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 t="inlineStr">
        <ns0:is>
          <ns0:t>2027-10</ns0:t>
        </ns0:is>
      </ns0:c>
      <ns0:c r="P213" s="2" t="inlineStr">
        <ns0:is>
          <ns0:t>V11-预算基础-10-9 支出结转（非现金）</ns0:t>
        </ns0:is>
      </ns0:c>
      <ns0:c r="Q213" s="2" t="inlineStr">
        <ns0:is>
          <ns0:t>本年利润</ns0:t>
        </ns0:is>
      </ns0:c>
      <ns0:c r="R213" s="2" t="inlineStr">
        <ns0:is>
          <ns0:t>成本费用（演示合并）</ns0:t>
        </ns0:is>
      </ns0:c>
      <ns0:c r="S213" s="2">
        <ns0:v>354294.25</ns0:v>
      </ns0:c>
      <ns0:c r="T213" s="2">
        <ns0:v>354294.25</ns0:v>
      </ns0:c>
      <ns0:c r="U213" s="2"/>
      <ns0:c r="V213" s="2" t="inlineStr">
        <ns0:is>
          <ns0:t>V11-213</ns0:t>
        </ns0:is>
      </ns0:c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 t="inlineStr">
        <ns0:is>
          <ns0:t>2027-11</ns0:t>
        </ns0:is>
      </ns0:c>
      <ns0:c r="P214" s="2" t="inlineStr">
        <ns0:is>
          <ns0:t>V11-预算基础-11-1 销售收现（演示）</ns0:t>
        </ns0:is>
      </ns0:c>
      <ns0:c r="Q214" s="2" t="inlineStr">
        <ns0:is>
          <ns0:t>银行存款</ns0:t>
        </ns0:is>
      </ns0:c>
      <ns0:c r="R214" s="2" t="inlineStr">
        <ns0:is>
          <ns0:t>主营业务收入</ns0:t>
        </ns0:is>
      </ns0:c>
      <ns0:c r="S214" s="2">
        <ns0:v>390439.85</ns0:v>
      </ns0:c>
      <ns0:c r="T214" s="2">
        <ns0:v>390439.85</ns0:v>
      </ns0:c>
      <ns0:c r="U214" s="2">
        <ns0:v>4</ns0:v>
      </ns0:c>
      <ns0:c r="V214" s="2" t="inlineStr">
        <ns0:is>
          <ns0:t>V11-214</ns0:t>
        </ns0:is>
      </ns0:c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 t="inlineStr">
        <ns0:is>
          <ns0:t>2027-11</ns0:t>
        </ns0:is>
      </ns0:c>
      <ns0:c r="P215" s="2" t="inlineStr">
        <ns0:is>
          <ns0:t>V11-预算基础-11-2 采购付现（演示）</ns0:t>
        </ns0:is>
      </ns0:c>
      <ns0:c r="Q215" s="2" t="inlineStr">
        <ns0:is>
          <ns0:t>主营业务成本</ns0:t>
        </ns0:is>
      </ns0:c>
      <ns0:c r="R215" s="2" t="inlineStr">
        <ns0:is>
          <ns0:t>银行存款</ns0:t>
        </ns0:is>
      </ns0:c>
      <ns0:c r="S215" s="2">
        <ns0:v>140318.73</ns0:v>
      </ns0:c>
      <ns0:c r="T215" s="2">
        <ns0:v>140318.73</ns0:v>
      </ns0:c>
      <ns0:c r="U215" s="2">
        <ns0:v>8</ns0:v>
      </ns0:c>
      <ns0:c r="V215" s="2" t="inlineStr">
        <ns0:is>
          <ns0:t>V11-215</ns0:t>
        </ns0:is>
      </ns0:c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 t="inlineStr">
        <ns0:is>
          <ns0:t>2027-11</ns0:t>
        </ns0:is>
      </ns0:c>
      <ns0:c r="P216" s="2" t="inlineStr">
        <ns0:is>
          <ns0:t>V11-预算基础-11-3 工资社保付现（演示）</ns0:t>
        </ns0:is>
      </ns0:c>
      <ns0:c r="Q216" s="2" t="inlineStr">
        <ns0:is>
          <ns0:t>应付职工薪酬</ns0:t>
        </ns0:is>
      </ns0:c>
      <ns0:c r="R216" s="2" t="inlineStr">
        <ns0:is>
          <ns0:t>银行存款</ns0:t>
        </ns0:is>
      </ns0:c>
      <ns0:c r="S216" s="2">
        <ns0:v>130072.17</ns0:v>
      </ns0:c>
      <ns0:c r="T216" s="2">
        <ns0:v>130072.17</ns0:v>
      </ns0:c>
      <ns0:c r="U216" s="2">
        <ns0:v>9</ns0:v>
      </ns0:c>
      <ns0:c r="V216" s="2" t="inlineStr">
        <ns0:is>
          <ns0:t>V11-216</ns0:t>
        </ns0:is>
      </ns0:c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 t="inlineStr">
        <ns0:is>
          <ns0:t>2027-11</ns0:t>
        </ns0:is>
      </ns0:c>
      <ns0:c r="P217" s="2" t="inlineStr">
        <ns0:is>
          <ns0:t>V11-预算基础-11-4 税费付现（演示）</ns0:t>
        </ns0:is>
      </ns0:c>
      <ns0:c r="Q217" s="2" t="inlineStr">
        <ns0:is>
          <ns0:t>税金及附加</ns0:t>
        </ns0:is>
      </ns0:c>
      <ns0:c r="R217" s="2" t="inlineStr">
        <ns0:is>
          <ns0:t>银行存款</ns0:t>
        </ns0:is>
      </ns0:c>
      <ns0:c r="S217" s="2">
        <ns0:v>4117.66</ns0:v>
      </ns0:c>
      <ns0:c r="T217" s="2">
        <ns0:v>4117.66</ns0:v>
      </ns0:c>
      <ns0:c r="U217" s="2">
        <ns0:v>10</ns0:v>
      </ns0:c>
      <ns0:c r="V217" s="2" t="inlineStr">
        <ns0:is>
          <ns0:t>V11-217</ns0:t>
        </ns0:is>
      </ns0:c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 t="inlineStr">
        <ns0:is>
          <ns0:t>2027-11</ns0:t>
        </ns0:is>
      </ns0:c>
      <ns0:c r="P218" s="2" t="inlineStr">
        <ns0:is>
          <ns0:t>V11-预算基础-11-5 费用付现（演示合并）</ns0:t>
        </ns0:is>
      </ns0:c>
      <ns0:c r="Q218" s="2" t="inlineStr">
        <ns0:is>
          <ns0:t>费用（演示合并）</ns0:t>
        </ns0:is>
      </ns0:c>
      <ns0:c r="R218" s="2" t="inlineStr">
        <ns0:is>
          <ns0:t>银行存款</ns0:t>
        </ns0:is>
      </ns0:c>
      <ns0:c r="S218" s="2">
        <ns0:v>58453.38</ns0:v>
      </ns0:c>
      <ns0:c r="T218" s="2">
        <ns0:v>58453.38</ns0:v>
      </ns0:c>
      <ns0:c r="U218" s="2">
        <ns0:v>11</ns0:v>
      </ns0:c>
      <ns0:c r="V218" s="2" t="inlineStr">
        <ns0:is>
          <ns0:t>V11-218</ns0:t>
        </ns0:is>
      </ns0:c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 t="inlineStr">
        <ns0:is>
          <ns0:t>2027-11</ns0:t>
        </ns0:is>
      </ns0:c>
      <ns0:c r="P219" s="2" t="inlineStr">
        <ns0:is>
          <ns0:t>V11-预算基础-11-6 计提摊销（非现金）</ns0:t>
        </ns0:is>
      </ns0:c>
      <ns0:c r="Q219" s="2" t="inlineStr">
        <ns0:is>
          <ns0:t>折旧及摊销</ns0:t>
        </ns0:is>
      </ns0:c>
      <ns0:c r="R219" s="2" t="inlineStr">
        <ns0:is>
          <ns0:t>长期待摊费用</ns0:t>
        </ns0:is>
      </ns0:c>
      <ns0:c r="S219" s="2">
        <ns0:v>2100.00</ns0:v>
      </ns0:c>
      <ns0:c r="T219" s="2">
        <ns0:v>2100.00</ns0:v>
      </ns0:c>
      <ns0:c r="U219" s="2"/>
      <ns0:c r="V219" s="2" t="inlineStr">
        <ns0:is>
          <ns0:t>V11-219</ns0:t>
        </ns0:is>
      </ns0:c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 t="inlineStr">
        <ns0:is>
          <ns0:t>2027-11</ns0:t>
        </ns0:is>
      </ns0:c>
      <ns0:c r="P220" s="2" t="inlineStr">
        <ns0:is>
          <ns0:t>V11-预算基础-11-7 计提所得税（非现金）</ns0:t>
        </ns0:is>
      </ns0:c>
      <ns0:c r="Q220" s="2" t="inlineStr">
        <ns0:is>
          <ns0:t>所得税费用</ns0:t>
        </ns0:is>
      </ns0:c>
      <ns0:c r="R220" s="2" t="inlineStr">
        <ns0:is>
          <ns0:t>应交税费</ns0:t>
        </ns0:is>
      </ns0:c>
      <ns0:c r="S220" s="2">
        <ns0:v>18459.31</ns0:v>
      </ns0:c>
      <ns0:c r="T220" s="2">
        <ns0:v>18459.31</ns0:v>
      </ns0:c>
      <ns0:c r="U220" s="2"/>
      <ns0:c r="V220" s="2" t="inlineStr">
        <ns0:is>
          <ns0:t>V11-220</ns0:t>
        </ns0:is>
      </ns0:c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 t="inlineStr">
        <ns0:is>
          <ns0:t>2027-11</ns0:t>
        </ns0:is>
      </ns0:c>
      <ns0:c r="P221" s="2" t="inlineStr">
        <ns0:is>
          <ns0:t>V11-预算基础-11-8 收入结转（非现金）</ns0:t>
        </ns0:is>
      </ns0:c>
      <ns0:c r="Q221" s="2" t="inlineStr">
        <ns0:is>
          <ns0:t>主营业务收入</ns0:t>
        </ns0:is>
      </ns0:c>
      <ns0:c r="R221" s="2" t="inlineStr">
        <ns0:is>
          <ns0:t>本年利润</ns0:t>
        </ns0:is>
      </ns0:c>
      <ns0:c r="S221" s="2">
        <ns0:v>411765.90</ns0:v>
      </ns0:c>
      <ns0:c r="T221" s="2">
        <ns0:v>411765.90</ns0:v>
      </ns0:c>
      <ns0:c r="U221" s="2"/>
      <ns0:c r="V221" s="2" t="inlineStr">
        <ns0:is>
          <ns0:t>V11-221</ns0:t>
        </ns0:is>
      </ns0:c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 t="inlineStr">
        <ns0:is>
          <ns0:t>2027-11</ns0:t>
        </ns0:is>
      </ns0:c>
      <ns0:c r="P222" s="2" t="inlineStr">
        <ns0:is>
          <ns0:t>V11-预算基础-11-9 支出结转（非现金）</ns0:t>
        </ns0:is>
      </ns0:c>
      <ns0:c r="Q222" s="2" t="inlineStr">
        <ns0:is>
          <ns0:t>本年利润</ns0:t>
        </ns0:is>
      </ns0:c>
      <ns0:c r="R222" s="2" t="inlineStr">
        <ns0:is>
          <ns0:t>成本费用（演示合并）</ns0:t>
        </ns0:is>
      </ns0:c>
      <ns0:c r="S222" s="2">
        <ns0:v>335061.94</ns0:v>
      </ns0:c>
      <ns0:c r="T222" s="2">
        <ns0:v>335061.94</ns0:v>
      </ns0:c>
      <ns0:c r="U222" s="2"/>
      <ns0:c r="V222" s="2" t="inlineStr">
        <ns0:is>
          <ns0:t>V11-222</ns0:t>
        </ns0:is>
      </ns0:c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 t="inlineStr">
        <ns0:is>
          <ns0:t>2027-12</ns0:t>
        </ns0:is>
      </ns0:c>
      <ns0:c r="P223" s="2" t="inlineStr">
        <ns0:is>
          <ns0:t>V11-预算基础-12-1 销售收现（演示）</ns0:t>
        </ns0:is>
      </ns0:c>
      <ns0:c r="Q223" s="2" t="inlineStr">
        <ns0:is>
          <ns0:t>银行存款</ns0:t>
        </ns0:is>
      </ns0:c>
      <ns0:c r="R223" s="2" t="inlineStr">
        <ns0:is>
          <ns0:t>主营业务收入</ns0:t>
        </ns0:is>
      </ns0:c>
      <ns0:c r="S223" s="2">
        <ns0:v>402864.10</ns0:v>
      </ns0:c>
      <ns0:c r="T223" s="2">
        <ns0:v>402864.10</ns0:v>
      </ns0:c>
      <ns0:c r="U223" s="2">
        <ns0:v>4</ns0:v>
      </ns0:c>
      <ns0:c r="V223" s="2" t="inlineStr">
        <ns0:is>
          <ns0:t>V11-223</ns0:t>
        </ns0:is>
      </ns0:c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 t="inlineStr">
        <ns0:is>
          <ns0:t>2027-12</ns0:t>
        </ns0:is>
      </ns0:c>
      <ns0:c r="P224" s="2" t="inlineStr">
        <ns0:is>
          <ns0:t>V11-预算基础-12-2 采购付现（演示）</ns0:t>
        </ns0:is>
      </ns0:c>
      <ns0:c r="Q224" s="2" t="inlineStr">
        <ns0:is>
          <ns0:t>主营业务成本</ns0:t>
        </ns0:is>
      </ns0:c>
      <ns0:c r="R224" s="2" t="inlineStr">
        <ns0:is>
          <ns0:t>银行存款</ns0:t>
        </ns0:is>
      </ns0:c>
      <ns0:c r="S224" s="2">
        <ns0:v>169847.99</ns0:v>
      </ns0:c>
      <ns0:c r="T224" s="2">
        <ns0:v>169847.99</ns0:v>
      </ns0:c>
      <ns0:c r="U224" s="2">
        <ns0:v>8</ns0:v>
      </ns0:c>
      <ns0:c r="V224" s="2" t="inlineStr">
        <ns0:is>
          <ns0:t>V11-224</ns0:t>
        </ns0:is>
      </ns0:c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 t="inlineStr">
        <ns0:is>
          <ns0:t>2027-12</ns0:t>
        </ns0:is>
      </ns0:c>
      <ns0:c r="P225" s="2" t="inlineStr">
        <ns0:is>
          <ns0:t>V11-预算基础-12-3 工资社保付现（演示）</ns0:t>
        </ns0:is>
      </ns0:c>
      <ns0:c r="Q225" s="2" t="inlineStr">
        <ns0:is>
          <ns0:t>应付职工薪酬</ns0:t>
        </ns0:is>
      </ns0:c>
      <ns0:c r="R225" s="2" t="inlineStr">
        <ns0:is>
          <ns0:t>银行存款</ns0:t>
        </ns0:is>
      </ns0:c>
      <ns0:c r="S225" s="2">
        <ns0:v>131057.89</ns0:v>
      </ns0:c>
      <ns0:c r="T225" s="2">
        <ns0:v>131057.89</ns0:v>
      </ns0:c>
      <ns0:c r="U225" s="2">
        <ns0:v>9</ns0:v>
      </ns0:c>
      <ns0:c r="V225" s="2" t="inlineStr">
        <ns0:is>
          <ns0:t>V11-225</ns0:t>
        </ns0:is>
      </ns0:c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 t="inlineStr">
        <ns0:is>
          <ns0:t>2027-12</ns0:t>
        </ns0:is>
      </ns0:c>
      <ns0:c r="P226" s="2" t="inlineStr">
        <ns0:is>
          <ns0:t>V11-预算基础-12-4 税费付现（演示）</ns0:t>
        </ns0:is>
      </ns0:c>
      <ns0:c r="Q226" s="2" t="inlineStr">
        <ns0:is>
          <ns0:t>税金及附加</ns0:t>
        </ns0:is>
      </ns0:c>
      <ns0:c r="R226" s="2" t="inlineStr">
        <ns0:is>
          <ns0:t>银行存款</ns0:t>
        </ns0:is>
      </ns0:c>
      <ns0:c r="S226" s="2">
        <ns0:v>4180.62</ns0:v>
      </ns0:c>
      <ns0:c r="T226" s="2">
        <ns0:v>4180.62</ns0:v>
      </ns0:c>
      <ns0:c r="U226" s="2">
        <ns0:v>10</ns0:v>
      </ns0:c>
      <ns0:c r="V226" s="2" t="inlineStr">
        <ns0:is>
          <ns0:t>V11-226</ns0:t>
        </ns0:is>
      </ns0:c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 t="inlineStr">
        <ns0:is>
          <ns0:t>2027-12</ns0:t>
        </ns0:is>
      </ns0:c>
      <ns0:c r="P227" s="2" t="inlineStr">
        <ns0:is>
          <ns0:t>V11-预算基础-12-5 费用付现（演示合并）</ns0:t>
        </ns0:is>
      </ns0:c>
      <ns0:c r="Q227" s="2" t="inlineStr">
        <ns0:is>
          <ns0:t>费用（演示合并）</ns0:t>
        </ns0:is>
      </ns0:c>
      <ns0:c r="R227" s="2" t="inlineStr">
        <ns0:is>
          <ns0:t>银行存款</ns0:t>
        </ns0:is>
      </ns0:c>
      <ns0:c r="S227" s="2">
        <ns0:v>58092.42</ns0:v>
      </ns0:c>
      <ns0:c r="T227" s="2">
        <ns0:v>58092.42</ns0:v>
      </ns0:c>
      <ns0:c r="U227" s="2">
        <ns0:v>11</ns0:v>
      </ns0:c>
      <ns0:c r="V227" s="2" t="inlineStr">
        <ns0:is>
          <ns0:t>V11-227</ns0:t>
        </ns0:is>
      </ns0:c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 t="inlineStr">
        <ns0:is>
          <ns0:t>2027-12</ns0:t>
        </ns0:is>
      </ns0:c>
      <ns0:c r="P228" s="2" t="inlineStr">
        <ns0:is>
          <ns0:t>V11-预算基础-12-6 计提摊销（非现金）</ns0:t>
        </ns0:is>
      </ns0:c>
      <ns0:c r="Q228" s="2" t="inlineStr">
        <ns0:is>
          <ns0:t>折旧及摊销</ns0:t>
        </ns0:is>
      </ns0:c>
      <ns0:c r="R228" s="2" t="inlineStr">
        <ns0:is>
          <ns0:t>长期待摊费用</ns0:t>
        </ns0:is>
      </ns0:c>
      <ns0:c r="S228" s="2">
        <ns0:v>2100.00</ns0:v>
      </ns0:c>
      <ns0:c r="T228" s="2">
        <ns0:v>2100.00</ns0:v>
      </ns0:c>
      <ns0:c r="U228" s="2"/>
      <ns0:c r="V228" s="2" t="inlineStr">
        <ns0:is>
          <ns0:t>V11-228</ns0:t>
        </ns0:is>
      </ns0:c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 t="inlineStr">
        <ns0:is>
          <ns0:t>2027-12</ns0:t>
        </ns0:is>
      </ns0:c>
      <ns0:c r="P229" s="2" t="inlineStr">
        <ns0:is>
          <ns0:t>V11-预算基础-12-7 计提所得税（非现金）</ns0:t>
        </ns0:is>
      </ns0:c>
      <ns0:c r="Q229" s="2" t="inlineStr">
        <ns0:is>
          <ns0:t>所得税费用</ns0:t>
        </ns0:is>
      </ns0:c>
      <ns0:c r="R229" s="2" t="inlineStr">
        <ns0:is>
          <ns0:t>应交税费</ns0:t>
        </ns0:is>
      </ns0:c>
      <ns0:c r="S229" s="2">
        <ns0:v>12528.39</ns0:v>
      </ns0:c>
      <ns0:c r="T229" s="2">
        <ns0:v>12528.39</ns0:v>
      </ns0:c>
      <ns0:c r="U229" s="2"/>
      <ns0:c r="V229" s="2" t="inlineStr">
        <ns0:is>
          <ns0:t>V11-229</ns0:t>
        </ns0:is>
      </ns0:c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 t="inlineStr">
        <ns0:is>
          <ns0:t>2027-12</ns0:t>
        </ns0:is>
      </ns0:c>
      <ns0:c r="P230" s="2" t="inlineStr">
        <ns0:is>
          <ns0:t>V11-预算基础-12-8 收入结转（非现金）</ns0:t>
        </ns0:is>
      </ns0:c>
      <ns0:c r="Q230" s="2" t="inlineStr">
        <ns0:is>
          <ns0:t>主营业务收入</ns0:t>
        </ns0:is>
      </ns0:c>
      <ns0:c r="R230" s="2" t="inlineStr">
        <ns0:is>
          <ns0:t>本年利润</ns0:t>
        </ns0:is>
      </ns0:c>
      <ns0:c r="S230" s="2">
        <ns0:v>418062.06</ns0:v>
      </ns0:c>
      <ns0:c r="T230" s="2">
        <ns0:v>418062.06</ns0:v>
      </ns0:c>
      <ns0:c r="U230" s="2"/>
      <ns0:c r="V230" s="2" t="inlineStr">
        <ns0:is>
          <ns0:t>V11-230</ns0:t>
        </ns0:is>
      </ns0:c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 t="inlineStr">
        <ns0:is>
          <ns0:t>2027-12</ns0:t>
        </ns0:is>
      </ns0:c>
      <ns0:c r="P231" s="2" t="inlineStr">
        <ns0:is>
          <ns0:t>V11-预算基础-12-9 支出结转（非现金）</ns0:t>
        </ns0:is>
      </ns0:c>
      <ns0:c r="Q231" s="2" t="inlineStr">
        <ns0:is>
          <ns0:t>本年利润</ns0:t>
        </ns0:is>
      </ns0:c>
      <ns0:c r="R231" s="2" t="inlineStr">
        <ns0:is>
          <ns0:t>成本费用（演示合并）</ns0:t>
        </ns0:is>
      </ns0:c>
      <ns0:c r="S231" s="2">
        <ns0:v>365278.92</ns0:v>
      </ns0:c>
      <ns0:c r="T231" s="2">
        <ns0:v>365278.92</ns0:v>
      </ns0:c>
      <ns0:c r="U231" s="2"/>
      <ns0:c r="V231" s="2" t="inlineStr">
        <ns0:is>
          <ns0:t>V11-231</ns0:t>
        </ns0:is>
      </ns0:c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19032631.09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19032631.09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0.00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