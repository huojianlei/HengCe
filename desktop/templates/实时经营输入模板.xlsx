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45d04ea76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643b62bb27404dc6"/>
    <x:sheet xmlns:r="http://schemas.openxmlformats.org/officeDocument/2006/relationships" name="资产负债表" sheetId="2" r:id="R90d45a0e9b124746"/>
    <x:sheet xmlns:r="http://schemas.openxmlformats.org/officeDocument/2006/relationships" name="现金流量表" sheetId="3" r:id="Rae21bc955c0c44c1"/>
    <x:sheet xmlns:r="http://schemas.openxmlformats.org/officeDocument/2006/relationships" name="收入非主控" sheetId="4" r:id="Re4af3fcc85644bf9"/>
    <x:sheet xmlns:r="http://schemas.openxmlformats.org/officeDocument/2006/relationships" name="收入主控" sheetId="5" r:id="R9c24dd24b866443a"/>
    <x:sheet xmlns:r="http://schemas.openxmlformats.org/officeDocument/2006/relationships" name="税金及附加" sheetId="6" r:id="R9eeb0c81e9864726"/>
    <x:sheet xmlns:r="http://schemas.openxmlformats.org/officeDocument/2006/relationships" name="销售费用" sheetId="7" r:id="R007c1fa2c0f446b9"/>
    <x:sheet xmlns:r="http://schemas.openxmlformats.org/officeDocument/2006/relationships" name="管理费用" sheetId="8" r:id="Red5dbc473f22492b"/>
    <x:sheet xmlns:r="http://schemas.openxmlformats.org/officeDocument/2006/relationships" name="蓝恐龙费用" sheetId="9" r:id="R27c8d02184564ef0"/>
    <x:sheet xmlns:r="http://schemas.openxmlformats.org/officeDocument/2006/relationships" name="费用表月度汇总" sheetId="10" r:id="R989a769cc6e54495"/>
    <x:sheet xmlns:r="http://schemas.openxmlformats.org/officeDocument/2006/relationships" name="摊销明细" sheetId="11" r:id="R8b1a080494354673"/>
    <x:sheet xmlns:r="http://schemas.openxmlformats.org/officeDocument/2006/relationships" name="分录" sheetId="12" r:id="Rc5fa3ef0cdbc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6eaf304ee43d6" /><Relationship Type="http://schemas.openxmlformats.org/officeDocument/2006/relationships/theme" Target="/xl/theme/theme1.xml" Id="Rb3e683e22a55404a" /><Relationship Type="http://schemas.openxmlformats.org/officeDocument/2006/relationships/sharedStrings" Target="/xl/sharedStrings.xml" Id="R583dae68eaca4d5e" /><Relationship Type="http://schemas.openxmlformats.org/officeDocument/2006/relationships/worksheet" Target="/xl/worksheets/sheet1.xml" Id="R643b62bb27404dc6" /><Relationship Type="http://schemas.openxmlformats.org/officeDocument/2006/relationships/worksheet" Target="/xl/worksheets/sheet2.xml" Id="R90d45a0e9b124746" /><Relationship Type="http://schemas.openxmlformats.org/officeDocument/2006/relationships/worksheet" Target="/xl/worksheets/sheet3.xml" Id="Rae21bc955c0c44c1" /><Relationship Type="http://schemas.openxmlformats.org/officeDocument/2006/relationships/worksheet" Target="/xl/worksheets/sheet4.xml" Id="Re4af3fcc85644bf9" /><Relationship Type="http://schemas.openxmlformats.org/officeDocument/2006/relationships/worksheet" Target="/xl/worksheets/sheet5.xml" Id="R9c24dd24b866443a" /><Relationship Type="http://schemas.openxmlformats.org/officeDocument/2006/relationships/worksheet" Target="/xl/worksheets/sheet6.xml" Id="R9eeb0c81e9864726" /><Relationship Type="http://schemas.openxmlformats.org/officeDocument/2006/relationships/worksheet" Target="/xl/worksheets/sheet7.xml" Id="R007c1fa2c0f446b9" /><Relationship Type="http://schemas.openxmlformats.org/officeDocument/2006/relationships/worksheet" Target="/xl/worksheets/sheet8.xml" Id="Red5dbc473f22492b" /><Relationship Type="http://schemas.openxmlformats.org/officeDocument/2006/relationships/worksheet" Target="/xl/worksheets/sheet9.xml" Id="R27c8d02184564ef0" /><Relationship Type="http://schemas.openxmlformats.org/officeDocument/2006/relationships/worksheet" Target="/xl/worksheets/sheet10.xml" Id="R989a769cc6e54495" /><Relationship Type="http://schemas.openxmlformats.org/officeDocument/2006/relationships/worksheet" Target="/xl/worksheets/sheet11.xml" Id="R8b1a080494354673" /><Relationship Type="http://schemas.openxmlformats.org/officeDocument/2006/relationships/worksheet" Target="/xl/worksheets/sheet12.xml" Id="Rc5fa3ef0cdbc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0.25" hidden="0" customWidth="1"/>
    <x:col min="17" max="17" width="10.25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利润表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目</x:v>
      </x:c>
      <x:c r="B2" s="2" t="str">
        <x:v>行数</x:v>
      </x:c>
      <x:c r="C2" s="3" t="str">
        <x:v>主体甲 / 基础情景</x:v>
      </x:c>
      <x:c r="D2" s="3"/>
      <x:c r="E2" s="3"/>
      <x:c r="F2" s="3" t="str">
        <x:v>其他主体费用计入管理费用展示</x:v>
      </x:c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全年实时经营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一、营业收入</x:v>
      </x:c>
      <x:c r="B4" s="2"/>
      <x:c r="C4" s="3" t="n">
        <x:f>SUM(C61:N61)</x:f>
        <x:v>4782639.57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减：营业成本</x:v>
      </x:c>
      <x:c r="B5" s="2"/>
      <x:c r="C5" s="3" t="n">
        <x:f>SUM(C62:N62)</x:f>
        <x:v>1658465.86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营业税金及附加</x:v>
      </x:c>
      <x:c r="B6" s="2"/>
      <x:c r="C6" s="3" t="n">
        <x:f>SUM(C63:N63)</x:f>
        <x:v>29508.880000000005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销售费用</x:v>
      </x:c>
      <x:c r="B7" s="2"/>
      <x:c r="C7" s="3" t="n">
        <x:f>SUM(C64:N64)</x:f>
        <x:v>88632.63999999998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管理费用</x:v>
      </x:c>
      <x:c r="B8" s="2"/>
      <x:c r="C8" s="3" t="n">
        <x:f>SUM(C65:N66)</x:f>
        <x:v>173870.42999999996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财务费用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资产减值损失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加：公允价值变动收益（损失以“-”号填列）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投资收益（损失以“-”号填列）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其中:对联营企业和合营企业的投资收益</x:v>
      </x:c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二、营业利润（亏损以“-”号填列）</x:v>
      </x:c>
      <x:c r="B14" s="2"/>
      <x:c r="C14" s="3" t="n">
        <x:f>SUM(C67:N67)</x:f>
        <x:v>2832161.76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加：营业外收入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减：营业外支出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 t="str">
        <x:v>其中：非流动资产处置损失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 t="str">
        <x:v>三、利润总额（亏损总额以“-”号填列）</x:v>
      </x:c>
      <x:c r="B18" s="2"/>
      <x:c r="C18" s="3" t="n">
        <x:f>SUM(C67:N67)</x:f>
        <x:v>2832161.76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减：所得税费用</x:v>
      </x:c>
      <x:c r="B19" s="2"/>
      <x:c r="C19" s="3" t="n">
        <x:f>SUM(C68:N68)</x:f>
        <x:v>536269.81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四、净利润（净亏损以“-”号填列）</x:v>
      </x:c>
      <x:c r="B20" s="2"/>
      <x:c r="C20" s="3" t="n">
        <x:f>SUM(C69:N69)</x:f>
        <x:v>2295891.95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五、每股收益：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（一）基本每股收益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（二）稀释每股收益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实时经营月度勾稽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营业收入</x:v>
      </x:c>
      <x:c r="C61" s="3" t="n">
        <x:f>'收入非主控'!C33+'收入主控'!C33</x:f>
        <x:v>453623.39</x:v>
      </x:c>
      <x:c r="D61" s="3" t="n">
        <x:f>'收入非主控'!D33+'收入主控'!D33</x:f>
        <x:v>433776.12</x:v>
      </x:c>
      <x:c r="E61" s="3" t="n">
        <x:f>'收入非主控'!E33+'收入主控'!E33</x:f>
        <x:v>394247.13</x:v>
      </x:c>
      <x:c r="F61" s="3" t="n">
        <x:f>'收入非主控'!F33+'收入主控'!F33</x:f>
        <x:v>309649.58</x:v>
      </x:c>
      <x:c r="G61" s="3" t="n">
        <x:f>'收入非主控'!G33+'收入主控'!G33</x:f>
        <x:v>396279.52</x:v>
      </x:c>
      <x:c r="H61" s="3" t="n">
        <x:f>'收入非主控'!H33+'收入主控'!H33</x:f>
        <x:v>366789.2</x:v>
      </x:c>
      <x:c r="I61" s="3" t="n">
        <x:f>'收入非主控'!I33+'收入主控'!I33</x:f>
        <x:v>381686.93</x:v>
      </x:c>
      <x:c r="J61" s="3" t="n">
        <x:f>'收入非主控'!J33+'收入主控'!J33</x:f>
        <x:v>515478.19999999995</x:v>
      </x:c>
      <x:c r="K61" s="3" t="n">
        <x:f>'收入非主控'!K33+'收入主控'!K33</x:f>
        <x:v>313088.03</x:v>
      </x:c>
      <x:c r="L61" s="3" t="n">
        <x:f>'收入非主控'!L33+'收入主控'!L33</x:f>
        <x:v>413587.41000000003</x:v>
      </x:c>
      <x:c r="M61" s="3" t="n">
        <x:f>'收入非主控'!M33+'收入主控'!M33</x:f>
        <x:v>389998.64</x:v>
      </x:c>
      <x:c r="N61" s="3" t="n">
        <x:f>'收入非主控'!N33+'收入主控'!N33</x:f>
        <x:v>414435.42000000004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营业成本</x:v>
      </x:c>
      <x:c r="C62" s="3" t="n">
        <x:f>'收入非主控'!C36+'收入主控'!C36</x:f>
        <x:v>151583.47</x:v>
      </x:c>
      <x:c r="D62" s="3" t="n">
        <x:f>'收入非主控'!D36+'收入主控'!D36</x:f>
        <x:v>132035.38</x:v>
      </x:c>
      <x:c r="E62" s="3" t="n">
        <x:f>'收入非主控'!E36+'收入主控'!E36</x:f>
        <x:v>145015.41</x:v>
      </x:c>
      <x:c r="F62" s="3" t="n">
        <x:f>'收入非主控'!F36+'收入主控'!F36</x:f>
        <x:v>134097.1</x:v>
      </x:c>
      <x:c r="G62" s="3" t="n">
        <x:f>'收入非主控'!G36+'收入主控'!G36</x:f>
        <x:v>147664.22</x:v>
      </x:c>
      <x:c r="H62" s="3" t="n">
        <x:f>'收入非主控'!H36+'收入主控'!H36</x:f>
        <x:v>123067.41</x:v>
      </x:c>
      <x:c r="I62" s="3" t="n">
        <x:f>'收入非主控'!I36+'收入主控'!I36</x:f>
        <x:v>152793.74</x:v>
      </x:c>
      <x:c r="J62" s="3" t="n">
        <x:f>'收入非主控'!J36+'收入主控'!J36</x:f>
        <x:v>157095.35</x:v>
      </x:c>
      <x:c r="K62" s="3" t="n">
        <x:f>'收入非主控'!K36+'收入主控'!K36</x:f>
        <x:v>112343.38</x:v>
      </x:c>
      <x:c r="L62" s="3" t="n">
        <x:f>'收入非主控'!L36+'收入主控'!L36</x:f>
        <x:v>152963.52000000002</x:v>
      </x:c>
      <x:c r="M62" s="3" t="n">
        <x:f>'收入非主控'!M36+'收入主控'!M36</x:f>
        <x:v>143926.8</x:v>
      </x:c>
      <x:c r="N62" s="3" t="n">
        <x:f>'收入非主控'!N36+'收入主控'!N36</x:f>
        <x:v>105880.08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税金及附加</x:v>
      </x:c>
      <x:c r="C63" s="3" t="n">
        <x:f>'税金及附加'!C33</x:f>
        <x:v>2798.86</x:v>
      </x:c>
      <x:c r="D63" s="3" t="n">
        <x:f>'税金及附加'!D33</x:f>
        <x:v>2676.4</x:v>
      </x:c>
      <x:c r="E63" s="3" t="n">
        <x:f>'税金及附加'!E33</x:f>
        <x:v>2432.5</x:v>
      </x:c>
      <x:c r="F63" s="3" t="n">
        <x:f>'税金及附加'!F33</x:f>
        <x:v>1910.54</x:v>
      </x:c>
      <x:c r="G63" s="3" t="n">
        <x:f>'税金及附加'!G33</x:f>
        <x:v>2445.04</x:v>
      </x:c>
      <x:c r="H63" s="3" t="n">
        <x:f>'税金及附加'!H33</x:f>
        <x:v>2263.09</x:v>
      </x:c>
      <x:c r="I63" s="3" t="n">
        <x:f>'税金及附加'!I33</x:f>
        <x:v>2355.01</x:v>
      </x:c>
      <x:c r="J63" s="3" t="n">
        <x:f>'税金及附加'!J33</x:f>
        <x:v>3180.5</x:v>
      </x:c>
      <x:c r="K63" s="3" t="n">
        <x:f>'税金及附加'!K33</x:f>
        <x:v>1931.75</x:v>
      </x:c>
      <x:c r="L63" s="3" t="n">
        <x:f>'税金及附加'!L33</x:f>
        <x:v>2551.83</x:v>
      </x:c>
      <x:c r="M63" s="3" t="n">
        <x:f>'税金及附加'!M33</x:f>
        <x:v>2406.29</x:v>
      </x:c>
      <x:c r="N63" s="3" t="n">
        <x:f>'税金及附加'!N33</x:f>
        <x:v>2557.07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销售费用</x:v>
      </x:c>
      <x:c r="C64" s="3" t="n">
        <x:f>'销售费用'!C34</x:f>
        <x:v>7089.39</x:v>
      </x:c>
      <x:c r="D64" s="3" t="n">
        <x:f>'销售费用'!D34</x:f>
        <x:v>6794.2699999999995</x:v>
      </x:c>
      <x:c r="E64" s="3" t="n">
        <x:f>'销售费用'!E34</x:f>
        <x:v>7620.48</x:v>
      </x:c>
      <x:c r="F64" s="3" t="n">
        <x:f>'销售费用'!F34</x:f>
        <x:v>7977.800000000001</x:v>
      </x:c>
      <x:c r="G64" s="3" t="n">
        <x:f>'销售费用'!G34</x:f>
        <x:v>6532.14</x:v>
      </x:c>
      <x:c r="H64" s="3" t="n">
        <x:f>'销售费用'!H34</x:f>
        <x:v>7578.04</x:v>
      </x:c>
      <x:c r="I64" s="3" t="n">
        <x:f>'销售费用'!I34</x:f>
        <x:v>7333.169999999999</x:v>
      </x:c>
      <x:c r="J64" s="3" t="n">
        <x:f>'销售费用'!J34</x:f>
        <x:v>6578.1</x:v>
      </x:c>
      <x:c r="K64" s="3" t="n">
        <x:f>'销售费用'!K34</x:f>
        <x:v>8339.64</x:v>
      </x:c>
      <x:c r="L64" s="3" t="n">
        <x:f>'销售费用'!L34</x:f>
        <x:v>6826.179999999999</x:v>
      </x:c>
      <x:c r="M64" s="3" t="n">
        <x:f>'销售费用'!M34</x:f>
        <x:v>7771.179999999999</x:v>
      </x:c>
      <x:c r="N64" s="3" t="n">
        <x:f>'销售费用'!N34</x:f>
        <x:v>8192.250000000002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管理费用</x:v>
      </x:c>
      <x:c r="C65" s="3" t="n">
        <x:f>'管理费用'!C34</x:f>
        <x:v>6775.379999999999</x:v>
      </x:c>
      <x:c r="D65" s="3" t="n">
        <x:f>'管理费用'!D34</x:f>
        <x:v>7186.990000000001</x:v>
      </x:c>
      <x:c r="E65" s="3" t="n">
        <x:f>'管理费用'!E34</x:f>
        <x:v>6392.98</x:v>
      </x:c>
      <x:c r="F65" s="3" t="n">
        <x:f>'管理费用'!F34</x:f>
        <x:v>7312.11</x:v>
      </x:c>
      <x:c r="G65" s="3" t="n">
        <x:f>'管理费用'!G34</x:f>
        <x:v>7231.890000000001</x:v>
      </x:c>
      <x:c r="H65" s="3" t="n">
        <x:f>'管理费用'!H34</x:f>
        <x:v>6772.75</x:v>
      </x:c>
      <x:c r="I65" s="3" t="n">
        <x:f>'管理费用'!I34</x:f>
        <x:v>7413.429999999999</x:v>
      </x:c>
      <x:c r="J65" s="3" t="n">
        <x:f>'管理费用'!J34</x:f>
        <x:v>6268.039999999999</x:v>
      </x:c>
      <x:c r="K65" s="3" t="n">
        <x:f>'管理费用'!K34</x:f>
        <x:v>8477.449999999999</x:v>
      </x:c>
      <x:c r="L65" s="3" t="n">
        <x:f>'管理费用'!L34</x:f>
        <x:v>7671.8099999999995</x:v>
      </x:c>
      <x:c r="M65" s="3" t="n">
        <x:f>'管理费用'!M34</x:f>
        <x:v>7784.829999999999</x:v>
      </x:c>
      <x:c r="N65" s="3" t="n">
        <x:f>'管理费用'!N34</x:f>
        <x:v>9013.91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其他主体费用</x:v>
      </x:c>
      <x:c r="C66" s="3" t="n">
        <x:f>'蓝恐龙费用'!C34</x:f>
        <x:v>6726.79</x:v>
      </x:c>
      <x:c r="D66" s="3" t="n">
        <x:f>'蓝恐龙费用'!D34</x:f>
        <x:v>7351.449999999999</x:v>
      </x:c>
      <x:c r="E66" s="3" t="n">
        <x:f>'蓝恐龙费用'!E34</x:f>
        <x:v>7885.919999999998</x:v>
      </x:c>
      <x:c r="F66" s="3" t="n">
        <x:f>'蓝恐龙费用'!F34</x:f>
        <x:v>7897.040000000001</x:v>
      </x:c>
      <x:c r="G66" s="3" t="n">
        <x:f>'蓝恐龙费用'!G34</x:f>
        <x:v>7408.12</x:v>
      </x:c>
      <x:c r="H66" s="3" t="n">
        <x:f>'蓝恐龙费用'!H34</x:f>
        <x:v>6947.590000000003</x:v>
      </x:c>
      <x:c r="I66" s="3" t="n">
        <x:f>'蓝恐龙费用'!I34</x:f>
        <x:v>7529.5599999999995</x:v>
      </x:c>
      <x:c r="J66" s="3" t="n">
        <x:f>'蓝恐龙费用'!J34</x:f>
        <x:v>7605.079999999999</x:v>
      </x:c>
      <x:c r="K66" s="3" t="n">
        <x:f>'蓝恐龙费用'!K34</x:f>
        <x:v>7460.719999999999</x:v>
      </x:c>
      <x:c r="L66" s="3" t="n">
        <x:f>'蓝恐龙费用'!L34</x:f>
        <x:v>6376.190000000001</x:v>
      </x:c>
      <x:c r="M66" s="3" t="n">
        <x:f>'蓝恐龙费用'!M34</x:f>
        <x:v>6177.54</x:v>
      </x:c>
      <x:c r="N66" s="3" t="n">
        <x:f>'蓝恐龙费用'!N34</x:f>
        <x:v>6202.859999999999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税前利润</x:v>
      </x:c>
      <x:c r="C67" s="3" t="n">
        <x:f>C61-SUM(C62:C66)</x:f>
        <x:v>278649.5</x:v>
      </x:c>
      <x:c r="D67" s="3" t="n">
        <x:f>D61-SUM(D62:D66)</x:f>
        <x:v>277731.63</x:v>
      </x:c>
      <x:c r="E67" s="3" t="n">
        <x:f>E61-SUM(E62:E66)</x:f>
        <x:v>224899.83999999997</x:v>
      </x:c>
      <x:c r="F67" s="3" t="n">
        <x:f>F61-SUM(F62:F66)</x:f>
        <x:v>150454.99000000002</x:v>
      </x:c>
      <x:c r="G67" s="3" t="n">
        <x:f>G61-SUM(G62:G66)</x:f>
        <x:v>224998.11</x:v>
      </x:c>
      <x:c r="H67" s="3" t="n">
        <x:f>H61-SUM(H62:H66)</x:f>
        <x:v>220160.32</x:v>
      </x:c>
      <x:c r="I67" s="3" t="n">
        <x:f>I61-SUM(I62:I66)</x:f>
        <x:v>204262.02</x:v>
      </x:c>
      <x:c r="J67" s="3" t="n">
        <x:f>J61-SUM(J62:J66)</x:f>
        <x:v>334751.12999999995</x:v>
      </x:c>
      <x:c r="K67" s="3" t="n">
        <x:f>K61-SUM(K62:K66)</x:f>
        <x:v>174535.09000000003</x:v>
      </x:c>
      <x:c r="L67" s="3" t="n">
        <x:f>L61-SUM(L62:L66)</x:f>
        <x:v>237197.88000000003</x:v>
      </x:c>
      <x:c r="M67" s="3" t="n">
        <x:f>M61-SUM(M62:M66)</x:f>
        <x:v>221932.00000000003</x:v>
      </x:c>
      <x:c r="N67" s="3" t="n">
        <x:f>N61-SUM(N62:N66)</x:f>
        <x:v>282589.25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所得税费用</x:v>
      </x:c>
      <x:c r="C68" s="3" t="n">
        <x:f>ROUND(MAX(C67,0)*$C$200,2)</x:f>
        <x:v>52762.28</x:v>
      </x:c>
      <x:c r="D68" s="3" t="n">
        <x:f>ROUND(MAX(D67,0)*$C$200,2)</x:f>
        <x:v>52588.48</x:v>
      </x:c>
      <x:c r="E68" s="3" t="n">
        <x:f>ROUND(MAX(E67,0)*$C$200,2)</x:f>
        <x:v>42584.78</x:v>
      </x:c>
      <x:c r="F68" s="3" t="n">
        <x:f>ROUND(MAX(F67,0)*$C$200,2)</x:f>
        <x:v>28488.65</x:v>
      </x:c>
      <x:c r="G68" s="3" t="n">
        <x:f>ROUND(MAX(G67,0)*$C$200,2)</x:f>
        <x:v>42603.39</x:v>
      </x:c>
      <x:c r="H68" s="3" t="n">
        <x:f>ROUND(MAX(H67,0)*$C$200,2)</x:f>
        <x:v>41687.36</x:v>
      </x:c>
      <x:c r="I68" s="3" t="n">
        <x:f>ROUND(MAX(I67,0)*$C$200,2)</x:f>
        <x:v>38677.01</x:v>
      </x:c>
      <x:c r="J68" s="3" t="n">
        <x:f>ROUND(MAX(J67,0)*$C$200,2)</x:f>
        <x:v>63385.13</x:v>
      </x:c>
      <x:c r="K68" s="3" t="n">
        <x:f>ROUND(MAX(K67,0)*$C$200,2)</x:f>
        <x:v>33048.22</x:v>
      </x:c>
      <x:c r="L68" s="3" t="n">
        <x:f>ROUND(MAX(L67,0)*$C$200,2)</x:f>
        <x:v>44913.42</x:v>
      </x:c>
      <x:c r="M68" s="3" t="n">
        <x:f>ROUND(MAX(M67,0)*$C$200,2)</x:f>
        <x:v>42022.82</x:v>
      </x:c>
      <x:c r="N68" s="3" t="n">
        <x:f>ROUND(MAX(N67,0)*$C$200,2)</x:f>
        <x:v>53508.27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净利润</x:v>
      </x:c>
      <x:c r="C69" s="3" t="n">
        <x:f>C67-C68</x:f>
        <x:v>225887.22</x:v>
      </x:c>
      <x:c r="D69" s="3" t="n">
        <x:f>D67-D68</x:f>
        <x:v>225143.15</x:v>
      </x:c>
      <x:c r="E69" s="3" t="n">
        <x:f>E67-E68</x:f>
        <x:v>182315.05999999997</x:v>
      </x:c>
      <x:c r="F69" s="3" t="n">
        <x:f>F67-F68</x:f>
        <x:v>121966.34000000003</x:v>
      </x:c>
      <x:c r="G69" s="3" t="n">
        <x:f>G67-G68</x:f>
        <x:v>182394.71999999997</x:v>
      </x:c>
      <x:c r="H69" s="3" t="n">
        <x:f>H67-H68</x:f>
        <x:v>178472.96000000002</x:v>
      </x:c>
      <x:c r="I69" s="3" t="n">
        <x:f>I67-I68</x:f>
        <x:v>165585.00999999998</x:v>
      </x:c>
      <x:c r="J69" s="3" t="n">
        <x:f>J67-J68</x:f>
        <x:v>271365.99999999994</x:v>
      </x:c>
      <x:c r="K69" s="3" t="n">
        <x:f>K67-K68</x:f>
        <x:v>141486.87000000002</x:v>
      </x:c>
      <x:c r="L69" s="3" t="n">
        <x:f>L67-L68</x:f>
        <x:v>192284.46000000002</x:v>
      </x:c>
      <x:c r="M69" s="3" t="n">
        <x:f>M67-M68</x:f>
        <x:v>179909.18000000002</x:v>
      </x:c>
      <x:c r="N69" s="3" t="n">
        <x:f>N67-N68</x:f>
        <x:v>229080.98</x:v>
      </x:c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所得税率（演示假设）</x:v>
      </x:c>
      <x:c r="C200" s="4" t="n">
        <x:v>0.18935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  <x:mergeCell ref="C2:E2"/>
    <x:mergeCell ref="F2:H2"/>
    <x:mergeCell ref="A27:H27"/>
    <x:mergeCell ref="A2:A3"/>
    <x:mergeCell ref="B2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资 产 负 债 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资产</x:v>
      </x:c>
      <x:c r="B2" s="2" t="str">
        <x:v>行次</x:v>
      </x:c>
      <x:c r="C2" s="3" t="str">
        <x:v>年初数</x:v>
      </x:c>
      <x:c r="D2" s="3" t="str">
        <x:v>期末数</x:v>
      </x:c>
      <x:c r="E2" s="3" t="str">
        <x:v>负债和所有者权益        (或股东权益)</x:v>
      </x:c>
      <x:c r="F2" s="3" t="str">
        <x:v>行次</x:v>
      </x:c>
      <x:c r="G2" s="3" t="str">
        <x:v>全年实时经营</x:v>
      </x:c>
      <x:c r="H2" s="3" t="str">
        <x:v>非本次输入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流动资产：</x:v>
      </x:c>
      <x:c r="B3" s="2"/>
      <x:c r="C3" s="6" t="str">
        <x:v>全年实时经营</x:v>
      </x:c>
      <x:c r="D3" s="6" t="str">
        <x:v>非本次输入</x:v>
      </x:c>
      <x:c r="E3" s="6" t="str">
        <x:v>流动负债：</x:v>
      </x:c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货币资金</x:v>
      </x:c>
      <x:c r="B4" s="2"/>
      <x:c r="C4" s="3" t="n">
        <x:f>N61</x:f>
        <x:v>2463472.5100000002</x:v>
      </x:c>
      <x:c r="D4" s="3"/>
      <x:c r="E4" s="3" t="str">
        <x:v>短期借款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短期投资</x:v>
      </x:c>
      <x:c r="B5" s="2"/>
      <x:c r="C5" s="3"/>
      <x:c r="D5" s="3"/>
      <x:c r="E5" s="3" t="str">
        <x:v>应付票据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应收票据</x:v>
      </x:c>
      <x:c r="B6" s="2"/>
      <x:c r="C6" s="3"/>
      <x:c r="D6" s="3"/>
      <x:c r="E6" s="3" t="str">
        <x:v>应付账款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应收股利</x:v>
      </x:c>
      <x:c r="B7" s="2"/>
      <x:c r="C7" s="3"/>
      <x:c r="D7" s="3"/>
      <x:c r="E7" s="3" t="str">
        <x:v>预收账款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应收利息</x:v>
      </x:c>
      <x:c r="B8" s="2"/>
      <x:c r="C8" s="3"/>
      <x:c r="D8" s="3"/>
      <x:c r="E8" s="3" t="str">
        <x:v>应付工资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应收账款</x:v>
      </x:c>
      <x:c r="B9" s="2"/>
      <x:c r="C9" s="3"/>
      <x:c r="D9" s="3"/>
      <x:c r="E9" s="3" t="str">
        <x:v>应付福利费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其他应收款</x:v>
      </x:c>
      <x:c r="B10" s="2"/>
      <x:c r="C10" s="3"/>
      <x:c r="D10" s="3"/>
      <x:c r="E10" s="3" t="str">
        <x:v>应付利息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预付账款</x:v>
      </x:c>
      <x:c r="B11" s="2"/>
      <x:c r="C11" s="3"/>
      <x:c r="D11" s="3"/>
      <x:c r="E11" s="3" t="str">
        <x:v>应交税金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应收补贴款</x:v>
      </x:c>
      <x:c r="B12" s="2"/>
      <x:c r="C12" s="3"/>
      <x:c r="D12" s="3"/>
      <x:c r="E12" s="3" t="str">
        <x:v>其他应交款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存货</x:v>
      </x:c>
      <x:c r="B13" s="2"/>
      <x:c r="C13" s="3"/>
      <x:c r="D13" s="3"/>
      <x:c r="E13" s="3" t="str">
        <x:v>其他应付款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待摊费用</x:v>
      </x:c>
      <x:c r="B14" s="2"/>
      <x:c r="C14" s="3"/>
      <x:c r="D14" s="3"/>
      <x:c r="E14" s="3" t="str">
        <x:v>预提费用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一年内到期的长期债券投资</x:v>
      </x:c>
      <x:c r="B15" s="2"/>
      <x:c r="C15" s="3"/>
      <x:c r="D15" s="3"/>
      <x:c r="E15" s="3" t="str">
        <x:v>预计负债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其他流动资产</x:v>
      </x:c>
      <x:c r="B16" s="2"/>
      <x:c r="C16" s="3"/>
      <x:c r="D16" s="3"/>
      <x:c r="E16" s="3" t="str">
        <x:v>一年内到期的长期负债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 t="str">
        <x:v>流动资产合计</x:v>
      </x:c>
      <x:c r="B17" s="2"/>
      <x:c r="C17" s="3"/>
      <x:c r="D17" s="3"/>
      <x:c r="E17" s="3" t="str">
        <x:v>其他流动负债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 t="str">
        <x:v>长期资产：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长期股权投资</x:v>
      </x:c>
      <x:c r="B19" s="2"/>
      <x:c r="C19" s="3"/>
      <x:c r="D19" s="3"/>
      <x:c r="E19" s="3" t="str">
        <x:v>流动负债合计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长期债券投资</x:v>
      </x:c>
      <x:c r="B20" s="2"/>
      <x:c r="C20" s="3"/>
      <x:c r="D20" s="3"/>
      <x:c r="E20" s="3" t="str">
        <x:v>长期负债：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长期投资合计</x:v>
      </x:c>
      <x:c r="B21" s="2"/>
      <x:c r="C21" s="3"/>
      <x:c r="D21" s="3"/>
      <x:c r="E21" s="3" t="str">
        <x:v>长期借款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固定资产：</x:v>
      </x:c>
      <x:c r="B22" s="2"/>
      <x:c r="C22" s="3"/>
      <x:c r="D22" s="3"/>
      <x:c r="E22" s="3" t="str">
        <x:v>应付债券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固定资产原价</x:v>
      </x:c>
      <x:c r="B23" s="2"/>
      <x:c r="C23" s="3"/>
      <x:c r="D23" s="3"/>
      <x:c r="E23" s="3" t="str">
        <x:v>长期应付款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减：累计折旧</x:v>
      </x:c>
      <x:c r="B24" s="2"/>
      <x:c r="C24" s="3"/>
      <x:c r="D24" s="3"/>
      <x:c r="E24" s="3" t="str">
        <x:v>专项应付款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固定资产净值</x:v>
      </x:c>
      <x:c r="B25" s="2"/>
      <x:c r="C25" s="3"/>
      <x:c r="D25" s="3"/>
      <x:c r="E25" s="3" t="str">
        <x:v>其他长期负债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减：固定资产减值准备</x:v>
      </x:c>
      <x:c r="B26" s="2"/>
      <x:c r="C26" s="3"/>
      <x:c r="D26" s="3"/>
      <x:c r="E26" s="3" t="str">
        <x:v>长期负债合计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固定资产净额</x:v>
      </x:c>
      <x:c r="B27" s="2"/>
      <x:c r="C27" s="3"/>
      <x:c r="D27" s="3"/>
      <x:c r="E27" s="3" t="str">
        <x:v>递延税项：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工程物资</x:v>
      </x:c>
      <x:c r="B28" s="2"/>
      <x:c r="C28" s="3"/>
      <x:c r="D28" s="3"/>
      <x:c r="E28" s="3" t="str">
        <x:v>递延税款贷项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在建工程</x:v>
      </x:c>
      <x:c r="B29" s="2"/>
      <x:c r="C29" s="3"/>
      <x:c r="D29" s="3"/>
      <x:c r="E29" s="3" t="str">
        <x:v>负债合计</x:v>
      </x:c>
      <x:c r="F29" s="3"/>
      <x:c r="G29" s="3" t="n">
        <x:f>N64</x:f>
        <x:v>0</x:v>
      </x:c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固定资产清理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固定资产合计</x:v>
      </x:c>
      <x:c r="B31" s="2"/>
      <x:c r="C31" s="3"/>
      <x:c r="D31" s="3"/>
      <x:c r="E31" s="3" t="str">
        <x:v>所有者权益(或股东权益)：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无形资产及其他资产：</x:v>
      </x:c>
      <x:c r="B32" s="2"/>
      <x:c r="C32" s="3"/>
      <x:c r="D32" s="3"/>
      <x:c r="E32" s="3" t="str">
        <x:v>实收资本(或股本)</x:v>
      </x:c>
      <x:c r="F32" s="3"/>
      <x:c r="G32" s="3" t="n">
        <x:f>N65</x:f>
        <x:v>245780.58</x:v>
      </x:c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无形资产</x:v>
      </x:c>
      <x:c r="B33" s="2"/>
      <x:c r="C33" s="3"/>
      <x:c r="D33" s="3"/>
      <x:c r="E33" s="3" t="str">
        <x:v>减：已归还投资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长期待摊费用</x:v>
      </x:c>
      <x:c r="B34" s="2"/>
      <x:c r="C34" s="3" t="n">
        <x:f>N62</x:f>
        <x:v>78200.01999999999</x:v>
      </x:c>
      <x:c r="D34" s="3"/>
      <x:c r="E34" s="3" t="str">
        <x:v>实收资本(或股本)净额</x:v>
      </x:c>
      <x:c r="F34" s="3"/>
      <x:c r="G34" s="3" t="n">
        <x:f>N65</x:f>
        <x:v>245780.58</x:v>
      </x:c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其他长期资产</x:v>
      </x:c>
      <x:c r="B35" s="2"/>
      <x:c r="C35" s="3"/>
      <x:c r="D35" s="3"/>
      <x:c r="E35" s="3" t="str">
        <x:v>资本公积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无形资产及其他资产合计</x:v>
      </x:c>
      <x:c r="B36" s="2"/>
      <x:c r="C36" s="3"/>
      <x:c r="D36" s="3"/>
      <x:c r="E36" s="3" t="str">
        <x:v>盈余公积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 t="str">
        <x:v>其中：法定公益金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递延税款：</x:v>
      </x:c>
      <x:c r="B38" s="2"/>
      <x:c r="C38" s="3"/>
      <x:c r="D38" s="3"/>
      <x:c r="E38" s="3" t="str">
        <x:v>未分配利润</x:v>
      </x:c>
      <x:c r="F38" s="3"/>
      <x:c r="G38" s="3" t="n">
        <x:f>N66</x:f>
        <x:v>2295891.95</x:v>
      </x:c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递延税款借项</x:v>
      </x:c>
      <x:c r="B39" s="2"/>
      <x:c r="C39" s="3"/>
      <x:c r="D39" s="3"/>
      <x:c r="E39" s="3" t="str">
        <x:v>所有者权益(或股东权益)合计</x:v>
      </x:c>
      <x:c r="F39" s="3"/>
      <x:c r="G39" s="3" t="n">
        <x:f>N67</x:f>
        <x:v>2541672.5300000003</x:v>
      </x:c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资产总计</x:v>
      </x:c>
      <x:c r="B40" s="2"/>
      <x:c r="C40" s="3" t="n">
        <x:f>N63</x:f>
        <x:v>2541672.5300000003</x:v>
      </x:c>
      <x:c r="D40" s="3"/>
      <x:c r="E40" s="3" t="str">
        <x:v>负债和所有者权益(或股东权益)总计</x:v>
      </x:c>
      <x:c r="F40" s="3"/>
      <x:c r="G40" s="3" t="n">
        <x:f>N68</x:f>
        <x:v>2541672.5300000003</x:v>
      </x:c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实时经营月度勾稽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货币资金</x:v>
      </x:c>
      <x:c r="C61" s="3" t="n">
        <x:f>'现金流量表'!C68</x:f>
        <x:v>373917.58999999997</x:v>
      </x:c>
      <x:c r="D61" s="3" t="n">
        <x:f>'现金流量表'!D68</x:f>
        <x:v>600838.03</x:v>
      </x:c>
      <x:c r="E61" s="3" t="n">
        <x:f>'现金流量表'!E68</x:f>
        <x:v>784930.38</x:v>
      </x:c>
      <x:c r="F61" s="3" t="n">
        <x:f>'现金流量表'!F68</x:f>
        <x:v>908674.01</x:v>
      </x:c>
      <x:c r="G61" s="3" t="n">
        <x:f>'现金流量表'!G68</x:f>
        <x:v>1092846.02</x:v>
      </x:c>
      <x:c r="H61" s="3" t="n">
        <x:f>'现金流量表'!H68</x:f>
        <x:v>1273096.27</x:v>
      </x:c>
      <x:c r="I61" s="3" t="n">
        <x:f>'现金流量表'!I68</x:f>
        <x:v>1440458.57</x:v>
      </x:c>
      <x:c r="J61" s="3" t="n">
        <x:f>'现金流量表'!J68</x:f>
        <x:v>1713601.8599999999</x:v>
      </x:c>
      <x:c r="K61" s="3" t="n">
        <x:f>'现金流量表'!K68</x:f>
        <x:v>1856866.02</x:v>
      </x:c>
      <x:c r="L61" s="3" t="n">
        <x:f>'现金流量表'!L68</x:f>
        <x:v>2050927.77</x:v>
      </x:c>
      <x:c r="M61" s="3" t="n">
        <x:f>'现金流量表'!M68</x:f>
        <x:v>2232614.24</x:v>
      </x:c>
      <x:c r="N61" s="3" t="n">
        <x:f>'现金流量表'!N68</x:f>
        <x:v>2463472.5100000002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未摊销资产</x:v>
      </x:c>
      <x:c r="C62" s="3" t="n">
        <x:f>'摊销明细'!$C$31-SUM('现金流量表'!$C62:C62)</x:f>
        <x:v>97750.21</x:v>
      </x:c>
      <x:c r="D62" s="3" t="n">
        <x:f>'摊销明细'!$C$31-SUM('现金流量表'!$C62:D62)</x:f>
        <x:v>95972.92</x:v>
      </x:c>
      <x:c r="E62" s="3" t="n">
        <x:f>'摊销明细'!$C$31-SUM('现金流量表'!$C62:E62)</x:f>
        <x:v>94195.63</x:v>
      </x:c>
      <x:c r="F62" s="3" t="n">
        <x:f>'摊销明细'!$C$31-SUM('现金流量表'!$C62:F62)</x:f>
        <x:v>92418.34</x:v>
      </x:c>
      <x:c r="G62" s="3" t="n">
        <x:f>'摊销明细'!$C$31-SUM('现金流量表'!$C62:G62)</x:f>
        <x:v>90641.05</x:v>
      </x:c>
      <x:c r="H62" s="3" t="n">
        <x:f>'摊销明细'!$C$31-SUM('现金流量表'!$C62:H62)</x:f>
        <x:v>88863.76</x:v>
      </x:c>
      <x:c r="I62" s="3" t="n">
        <x:f>'摊销明细'!$C$31-SUM('现金流量表'!$C62:I62)</x:f>
        <x:v>87086.47</x:v>
      </x:c>
      <x:c r="J62" s="3" t="n">
        <x:f>'摊销明细'!$C$31-SUM('现金流量表'!$C62:J62)</x:f>
        <x:v>85309.18</x:v>
      </x:c>
      <x:c r="K62" s="3" t="n">
        <x:f>'摊销明细'!$C$31-SUM('现金流量表'!$C62:K62)</x:f>
        <x:v>83531.89</x:v>
      </x:c>
      <x:c r="L62" s="3" t="n">
        <x:f>'摊销明细'!$C$31-SUM('现金流量表'!$C62:L62)</x:f>
        <x:v>81754.59999999999</x:v>
      </x:c>
      <x:c r="M62" s="3" t="n">
        <x:f>'摊销明细'!$C$31-SUM('现金流量表'!$C62:M62)</x:f>
        <x:v>79977.31</x:v>
      </x:c>
      <x:c r="N62" s="3" t="n">
        <x:f>'摊销明细'!$C$31-SUM('现金流量表'!$C62:N62)</x:f>
        <x:v>78200.01999999999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资产总额</x:v>
      </x:c>
      <x:c r="C63" s="3" t="n">
        <x:f>SUM(C61:C62)</x:f>
        <x:v>471667.8</x:v>
      </x:c>
      <x:c r="D63" s="3" t="n">
        <x:f>SUM(D61:D62)</x:f>
        <x:v>696810.9500000001</x:v>
      </x:c>
      <x:c r="E63" s="3" t="n">
        <x:f>SUM(E61:E62)</x:f>
        <x:v>879126.01</x:v>
      </x:c>
      <x:c r="F63" s="3" t="n">
        <x:f>SUM(F61:F62)</x:f>
        <x:v>1001092.35</x:v>
      </x:c>
      <x:c r="G63" s="3" t="n">
        <x:f>SUM(G61:G62)</x:f>
        <x:v>1183487.07</x:v>
      </x:c>
      <x:c r="H63" s="3" t="n">
        <x:f>SUM(H61:H62)</x:f>
        <x:v>1361960.03</x:v>
      </x:c>
      <x:c r="I63" s="3" t="n">
        <x:f>SUM(I61:I62)</x:f>
        <x:v>1527545.04</x:v>
      </x:c>
      <x:c r="J63" s="3" t="n">
        <x:f>SUM(J61:J62)</x:f>
        <x:v>1798911.0399999998</x:v>
      </x:c>
      <x:c r="K63" s="3" t="n">
        <x:f>SUM(K61:K62)</x:f>
        <x:v>1940397.91</x:v>
      </x:c>
      <x:c r="L63" s="3" t="n">
        <x:f>SUM(L61:L62)</x:f>
        <x:v>2132682.37</x:v>
      </x:c>
      <x:c r="M63" s="3" t="n">
        <x:f>SUM(M61:M62)</x:f>
        <x:v>2312591.5500000003</x:v>
      </x:c>
      <x:c r="N63" s="3" t="n">
        <x:f>SUM(N61:N62)</x:f>
        <x:v>2541672.5300000003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负债总额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实收资本</x:v>
      </x:c>
      <x:c r="C65" s="3" t="n">
        <x:f>$C$200+'摊销明细'!$C$31</x:f>
        <x:v>245780.58</x:v>
      </x:c>
      <x:c r="D65" s="3" t="n">
        <x:f>$C$200+'摊销明细'!$C$31</x:f>
        <x:v>245780.58</x:v>
      </x:c>
      <x:c r="E65" s="3" t="n">
        <x:f>$C$200+'摊销明细'!$C$31</x:f>
        <x:v>245780.58</x:v>
      </x:c>
      <x:c r="F65" s="3" t="n">
        <x:f>$C$200+'摊销明细'!$C$31</x:f>
        <x:v>245780.58</x:v>
      </x:c>
      <x:c r="G65" s="3" t="n">
        <x:f>$C$200+'摊销明细'!$C$31</x:f>
        <x:v>245780.58</x:v>
      </x:c>
      <x:c r="H65" s="3" t="n">
        <x:f>$C$200+'摊销明细'!$C$31</x:f>
        <x:v>245780.58</x:v>
      </x:c>
      <x:c r="I65" s="3" t="n">
        <x:f>$C$200+'摊销明细'!$C$31</x:f>
        <x:v>245780.58</x:v>
      </x:c>
      <x:c r="J65" s="3" t="n">
        <x:f>$C$200+'摊销明细'!$C$31</x:f>
        <x:v>245780.58</x:v>
      </x:c>
      <x:c r="K65" s="3" t="n">
        <x:f>$C$200+'摊销明细'!$C$31</x:f>
        <x:v>245780.58</x:v>
      </x:c>
      <x:c r="L65" s="3" t="n">
        <x:f>$C$200+'摊销明细'!$C$31</x:f>
        <x:v>245780.58</x:v>
      </x:c>
      <x:c r="M65" s="3" t="n">
        <x:f>$C$200+'摊销明细'!$C$31</x:f>
        <x:v>245780.58</x:v>
      </x:c>
      <x:c r="N65" s="3" t="n">
        <x:f>$C$200+'摊销明细'!$C$31</x:f>
        <x:v>245780.58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累计未分配利润</x:v>
      </x:c>
      <x:c r="C66" s="3" t="n">
        <x:f>SUM('利润表'!$C69:C69)</x:f>
        <x:v>225887.22</x:v>
      </x:c>
      <x:c r="D66" s="3" t="n">
        <x:f>SUM('利润表'!$C69:D69)</x:f>
        <x:v>451030.37</x:v>
      </x:c>
      <x:c r="E66" s="3" t="n">
        <x:f>SUM('利润表'!$C69:E69)</x:f>
        <x:v>633345.4299999999</x:v>
      </x:c>
      <x:c r="F66" s="3" t="n">
        <x:f>SUM('利润表'!$C69:F69)</x:f>
        <x:v>755311.77</x:v>
      </x:c>
      <x:c r="G66" s="3" t="n">
        <x:f>SUM('利润表'!$C69:G69)</x:f>
        <x:v>937706.49</x:v>
      </x:c>
      <x:c r="H66" s="3" t="n">
        <x:f>SUM('利润表'!$C69:H69)</x:f>
        <x:v>1116179.45</x:v>
      </x:c>
      <x:c r="I66" s="3" t="n">
        <x:f>SUM('利润表'!$C69:I69)</x:f>
        <x:v>1281764.46</x:v>
      </x:c>
      <x:c r="J66" s="3" t="n">
        <x:f>SUM('利润表'!$C69:J69)</x:f>
        <x:v>1553130.46</x:v>
      </x:c>
      <x:c r="K66" s="3" t="n">
        <x:f>SUM('利润表'!$C69:K69)</x:f>
        <x:v>1694617.33</x:v>
      </x:c>
      <x:c r="L66" s="3" t="n">
        <x:f>SUM('利润表'!$C69:L69)</x:f>
        <x:v>1886901.79</x:v>
      </x:c>
      <x:c r="M66" s="3" t="n">
        <x:f>SUM('利润表'!$C69:M69)</x:f>
        <x:v>2066810.97</x:v>
      </x:c>
      <x:c r="N66" s="3" t="n">
        <x:f>SUM('利润表'!$C69:N69)</x:f>
        <x:v>2295891.95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所有者权益</x:v>
      </x:c>
      <x:c r="C67" s="3" t="n">
        <x:f>SUM(C65:C66)</x:f>
        <x:v>471667.8</x:v>
      </x:c>
      <x:c r="D67" s="3" t="n">
        <x:f>SUM(D65:D66)</x:f>
        <x:v>696810.95</x:v>
      </x:c>
      <x:c r="E67" s="3" t="n">
        <x:f>SUM(E65:E66)</x:f>
        <x:v>879126.0099999999</x:v>
      </x:c>
      <x:c r="F67" s="3" t="n">
        <x:f>SUM(F65:F66)</x:f>
        <x:v>1001092.35</x:v>
      </x:c>
      <x:c r="G67" s="3" t="n">
        <x:f>SUM(G65:G66)</x:f>
        <x:v>1183487.07</x:v>
      </x:c>
      <x:c r="H67" s="3" t="n">
        <x:f>SUM(H65:H66)</x:f>
        <x:v>1361960.03</x:v>
      </x:c>
      <x:c r="I67" s="3" t="n">
        <x:f>SUM(I65:I66)</x:f>
        <x:v>1527545.04</x:v>
      </x:c>
      <x:c r="J67" s="3" t="n">
        <x:f>SUM(J65:J66)</x:f>
        <x:v>1798911.04</x:v>
      </x:c>
      <x:c r="K67" s="3" t="n">
        <x:f>SUM(K65:K66)</x:f>
        <x:v>1940397.9100000001</x:v>
      </x:c>
      <x:c r="L67" s="3" t="n">
        <x:f>SUM(L65:L66)</x:f>
        <x:v>2132682.37</x:v>
      </x:c>
      <x:c r="M67" s="3" t="n">
        <x:f>SUM(M65:M66)</x:f>
        <x:v>2312591.55</x:v>
      </x:c>
      <x:c r="N67" s="3" t="n">
        <x:f>SUM(N65:N66)</x:f>
        <x:v>2541672.5300000003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负债及权益合计</x:v>
      </x:c>
      <x:c r="C68" s="3" t="n">
        <x:f>SUM(C64,C67)</x:f>
        <x:v>471667.8</x:v>
      </x:c>
      <x:c r="D68" s="3" t="n">
        <x:f>SUM(D64,D67)</x:f>
        <x:v>696810.95</x:v>
      </x:c>
      <x:c r="E68" s="3" t="n">
        <x:f>SUM(E64,E67)</x:f>
        <x:v>879126.0099999999</x:v>
      </x:c>
      <x:c r="F68" s="3" t="n">
        <x:f>SUM(F64,F67)</x:f>
        <x:v>1001092.35</x:v>
      </x:c>
      <x:c r="G68" s="3" t="n">
        <x:f>SUM(G64,G67)</x:f>
        <x:v>1183487.07</x:v>
      </x:c>
      <x:c r="H68" s="3" t="n">
        <x:f>SUM(H64,H67)</x:f>
        <x:v>1361960.03</x:v>
      </x:c>
      <x:c r="I68" s="3" t="n">
        <x:f>SUM(I64,I67)</x:f>
        <x:v>1527545.04</x:v>
      </x:c>
      <x:c r="J68" s="3" t="n">
        <x:f>SUM(J64,J67)</x:f>
        <x:v>1798911.04</x:v>
      </x:c>
      <x:c r="K68" s="3" t="n">
        <x:f>SUM(K64,K67)</x:f>
        <x:v>1940397.9100000001</x:v>
      </x:c>
      <x:c r="L68" s="3" t="n">
        <x:f>SUM(L64,L67)</x:f>
        <x:v>2132682.37</x:v>
      </x:c>
      <x:c r="M68" s="3" t="n">
        <x:f>SUM(M64,M67)</x:f>
        <x:v>2312591.55</x:v>
      </x:c>
      <x:c r="N68" s="3" t="n">
        <x:f>SUM(N64,N67)</x:f>
        <x:v>2541672.5300000003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期初现金（投入资本）</x:v>
      </x:c>
      <x:c r="C200" s="4" t="n">
        <x:v>146253.08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现金流量表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 目</x:v>
      </x:c>
      <x:c r="B2" s="2" t="str">
        <x:v>行次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一、经营活动产生的现金流量：</x:v>
      </x:c>
      <x:c r="B3" s="2"/>
      <x:c r="C3" s="6" t="str">
        <x:v>全年实时经营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销售商品、提供劳务收到的现金</x:v>
      </x:c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收到的税费返还</x:v>
      </x:c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收到其他与经营活动有关的现金</x:v>
      </x:c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经营活动现金流入小计</x:v>
      </x:c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购买商品、接受劳务支付的现金（04）</x:v>
      </x:c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支付给职工以及为职工支付的现金（05）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支付的各项税费（06）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支付其他与经营活动有关的现金（07）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经营活动现金流出小计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经营活动产生的现金流量净额</x:v>
      </x:c>
      <x:c r="B13" s="2"/>
      <x:c r="C13" s="3" t="n">
        <x:f>SUM(C63:N63)</x:f>
        <x:v>2317219.4300000006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二、投资活动产生的现金流量：</x:v>
      </x:c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收回投资收到的现金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取得投资收益收到的现金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 t="str">
        <x:v>处置固定资产、无形资产和其他长期资产收回的现金净额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 t="str">
        <x:v>处置子公司及其他营业单位收到的现金净额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收到其他与投资活动有关的现金</x:v>
      </x:c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投资活动现金流入小计</x:v>
      </x:c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购建固定资产、无形资产和其他长期资产支付的现金（13）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投资支付的现金（14）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取得子公司及其他营业单位支付的现金净额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支付其他与投资活动有关的现金</x:v>
      </x:c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投资活动现金流出小计</x:v>
      </x:c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投资活动产生的现金流量净额</x:v>
      </x:c>
      <x:c r="B26" s="2"/>
      <x:c r="C26" s="3" t="n">
        <x:f>SUM(C64:N64)</x:f>
        <x:v>0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三、筹资活动产生的现金流量：</x:v>
      </x:c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吸收投资收到的现金</x:v>
      </x:c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取得借款收到的现金</x:v>
      </x:c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收到其他与筹资活动有关的现金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筹资活动现金流入小计</x:v>
      </x:c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偿还债务支付的现金</x:v>
      </x:c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分配股利、利润或偿付利息支付的现金</x:v>
      </x:c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支付其他与筹资活动有关的现金</x:v>
      </x:c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筹资活动现金流出小计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筹资活动产生的现金流量净额</x:v>
      </x:c>
      <x:c r="B36" s="2"/>
      <x:c r="C36" s="3" t="n">
        <x:f>SUM(C65:N65)</x:f>
        <x:v>0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 t="str">
        <x:v>四、汇率变动对现金及现金等价物的影响</x:v>
      </x:c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五、现金及现金等价物净增加额</x:v>
      </x:c>
      <x:c r="B38" s="2"/>
      <x:c r="C38" s="3" t="n">
        <x:f>SUM(C66:N66)</x:f>
        <x:v>2317219.4300000006</x:v>
      </x:c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加：期初现金及现金等价物余额</x:v>
      </x:c>
      <x:c r="B39" s="2"/>
      <x:c r="C39" s="3" t="n">
        <x:f>C67</x:f>
        <x:v>146253.08</x:v>
      </x:c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六、期末现金及现金等价物余额</x:v>
      </x:c>
      <x:c r="B40" s="2"/>
      <x:c r="C40" s="3" t="n">
        <x:f>N68</x:f>
        <x:v>2463472.5100000002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实时经营月度勾稽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净利润</x:v>
      </x:c>
      <x:c r="C61" s="3" t="n">
        <x:f>'利润表'!C69</x:f>
        <x:v>225887.22</x:v>
      </x:c>
      <x:c r="D61" s="3" t="n">
        <x:f>'利润表'!D69</x:f>
        <x:v>225143.15</x:v>
      </x:c>
      <x:c r="E61" s="3" t="n">
        <x:f>'利润表'!E69</x:f>
        <x:v>182315.05999999997</x:v>
      </x:c>
      <x:c r="F61" s="3" t="n">
        <x:f>'利润表'!F69</x:f>
        <x:v>121966.34000000003</x:v>
      </x:c>
      <x:c r="G61" s="3" t="n">
        <x:f>'利润表'!G69</x:f>
        <x:v>182394.71999999997</x:v>
      </x:c>
      <x:c r="H61" s="3" t="n">
        <x:f>'利润表'!H69</x:f>
        <x:v>178472.96000000002</x:v>
      </x:c>
      <x:c r="I61" s="3" t="n">
        <x:f>'利润表'!I69</x:f>
        <x:v>165585.00999999998</x:v>
      </x:c>
      <x:c r="J61" s="3" t="n">
        <x:f>'利润表'!J69</x:f>
        <x:v>271365.99999999994</x:v>
      </x:c>
      <x:c r="K61" s="3" t="n">
        <x:f>'利润表'!K69</x:f>
        <x:v>141486.87000000002</x:v>
      </x:c>
      <x:c r="L61" s="3" t="n">
        <x:f>'利润表'!L69</x:f>
        <x:v>192284.46000000002</x:v>
      </x:c>
      <x:c r="M61" s="3" t="n">
        <x:f>'利润表'!M69</x:f>
        <x:v>179909.18000000002</x:v>
      </x:c>
      <x:c r="N61" s="3" t="n">
        <x:f>'利润表'!N69</x:f>
        <x:v>229080.98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折旧摊销加回</x:v>
      </x:c>
      <x:c r="C62" s="3" t="n">
        <x:f>'销售费用'!C20+'管理费用'!C20+'蓝恐龙费用'!C20</x:f>
        <x:v>1777.29</x:v>
      </x:c>
      <x:c r="D62" s="3" t="n">
        <x:f>'销售费用'!D20+'管理费用'!D20+'蓝恐龙费用'!D20</x:f>
        <x:v>1777.29</x:v>
      </x:c>
      <x:c r="E62" s="3" t="n">
        <x:f>'销售费用'!E20+'管理费用'!E20+'蓝恐龙费用'!E20</x:f>
        <x:v>1777.29</x:v>
      </x:c>
      <x:c r="F62" s="3" t="n">
        <x:f>'销售费用'!F20+'管理费用'!F20+'蓝恐龙费用'!F20</x:f>
        <x:v>1777.29</x:v>
      </x:c>
      <x:c r="G62" s="3" t="n">
        <x:f>'销售费用'!G20+'管理费用'!G20+'蓝恐龙费用'!G20</x:f>
        <x:v>1777.29</x:v>
      </x:c>
      <x:c r="H62" s="3" t="n">
        <x:f>'销售费用'!H20+'管理费用'!H20+'蓝恐龙费用'!H20</x:f>
        <x:v>1777.29</x:v>
      </x:c>
      <x:c r="I62" s="3" t="n">
        <x:f>'销售费用'!I20+'管理费用'!I20+'蓝恐龙费用'!I20</x:f>
        <x:v>1777.29</x:v>
      </x:c>
      <x:c r="J62" s="3" t="n">
        <x:f>'销售费用'!J20+'管理费用'!J20+'蓝恐龙费用'!J20</x:f>
        <x:v>1777.29</x:v>
      </x:c>
      <x:c r="K62" s="3" t="n">
        <x:f>'销售费用'!K20+'管理费用'!K20+'蓝恐龙费用'!K20</x:f>
        <x:v>1777.29</x:v>
      </x:c>
      <x:c r="L62" s="3" t="n">
        <x:f>'销售费用'!L20+'管理费用'!L20+'蓝恐龙费用'!L20</x:f>
        <x:v>1777.29</x:v>
      </x:c>
      <x:c r="M62" s="3" t="n">
        <x:f>'销售费用'!M20+'管理费用'!M20+'蓝恐龙费用'!M20</x:f>
        <x:v>1777.29</x:v>
      </x:c>
      <x:c r="N62" s="3" t="n">
        <x:f>'销售费用'!N20+'管理费用'!N20+'蓝恐龙费用'!N20</x:f>
        <x:v>1777.29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经营现金净流量</x:v>
      </x:c>
      <x:c r="C63" s="3" t="n">
        <x:f>SUM(C61:C62)</x:f>
        <x:v>227664.51</x:v>
      </x:c>
      <x:c r="D63" s="3" t="n">
        <x:f>SUM(D61:D62)</x:f>
        <x:v>226920.44</x:v>
      </x:c>
      <x:c r="E63" s="3" t="n">
        <x:f>SUM(E61:E62)</x:f>
        <x:v>184092.34999999998</x:v>
      </x:c>
      <x:c r="F63" s="3" t="n">
        <x:f>SUM(F61:F62)</x:f>
        <x:v>123743.63000000002</x:v>
      </x:c>
      <x:c r="G63" s="3" t="n">
        <x:f>SUM(G61:G62)</x:f>
        <x:v>184172.00999999998</x:v>
      </x:c>
      <x:c r="H63" s="3" t="n">
        <x:f>SUM(H61:H62)</x:f>
        <x:v>180250.25000000003</x:v>
      </x:c>
      <x:c r="I63" s="3" t="n">
        <x:f>SUM(I61:I62)</x:f>
        <x:v>167362.3</x:v>
      </x:c>
      <x:c r="J63" s="3" t="n">
        <x:f>SUM(J61:J62)</x:f>
        <x:v>273143.2899999999</x:v>
      </x:c>
      <x:c r="K63" s="3" t="n">
        <x:f>SUM(K61:K62)</x:f>
        <x:v>143264.16000000003</x:v>
      </x:c>
      <x:c r="L63" s="3" t="n">
        <x:f>SUM(L61:L62)</x:f>
        <x:v>194061.75000000003</x:v>
      </x:c>
      <x:c r="M63" s="3" t="n">
        <x:f>SUM(M61:M62)</x:f>
        <x:v>181686.47000000003</x:v>
      </x:c>
      <x:c r="N63" s="3" t="n">
        <x:f>SUM(N61:N62)</x:f>
        <x:v>230858.27000000002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投资现金净流量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筹资现金净流量</x:v>
      </x:c>
      <x:c r="C65" s="3" t="n">
        <x:f>0</x:f>
        <x:v>0</x:v>
      </x:c>
      <x:c r="D65" s="3" t="n">
        <x:f>0</x:f>
        <x:v>0</x:v>
      </x:c>
      <x:c r="E65" s="3" t="n">
        <x:f>0</x:f>
        <x:v>0</x:v>
      </x:c>
      <x:c r="F65" s="3" t="n">
        <x:f>0</x:f>
        <x:v>0</x:v>
      </x:c>
      <x:c r="G65" s="3" t="n">
        <x:f>0</x:f>
        <x:v>0</x:v>
      </x:c>
      <x:c r="H65" s="3" t="n">
        <x:f>0</x:f>
        <x:v>0</x:v>
      </x:c>
      <x:c r="I65" s="3" t="n">
        <x:f>0</x:f>
        <x:v>0</x:v>
      </x:c>
      <x:c r="J65" s="3" t="n">
        <x:f>0</x:f>
        <x:v>0</x:v>
      </x:c>
      <x:c r="K65" s="3" t="n">
        <x:f>0</x:f>
        <x:v>0</x:v>
      </x:c>
      <x:c r="L65" s="3" t="n">
        <x:f>0</x:f>
        <x:v>0</x:v>
      </x:c>
      <x:c r="M65" s="3" t="n">
        <x:f>0</x:f>
        <x:v>0</x:v>
      </x:c>
      <x:c r="N65" s="3" t="n">
        <x:f>0</x:f>
        <x:v>0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现金净增加</x:v>
      </x:c>
      <x:c r="C66" s="3" t="n">
        <x:f>SUM(C63:C65)</x:f>
        <x:v>227664.51</x:v>
      </x:c>
      <x:c r="D66" s="3" t="n">
        <x:f>SUM(D63:D65)</x:f>
        <x:v>226920.44</x:v>
      </x:c>
      <x:c r="E66" s="3" t="n">
        <x:f>SUM(E63:E65)</x:f>
        <x:v>184092.34999999998</x:v>
      </x:c>
      <x:c r="F66" s="3" t="n">
        <x:f>SUM(F63:F65)</x:f>
        <x:v>123743.63000000002</x:v>
      </x:c>
      <x:c r="G66" s="3" t="n">
        <x:f>SUM(G63:G65)</x:f>
        <x:v>184172.00999999998</x:v>
      </x:c>
      <x:c r="H66" s="3" t="n">
        <x:f>SUM(H63:H65)</x:f>
        <x:v>180250.25000000003</x:v>
      </x:c>
      <x:c r="I66" s="3" t="n">
        <x:f>SUM(I63:I65)</x:f>
        <x:v>167362.3</x:v>
      </x:c>
      <x:c r="J66" s="3" t="n">
        <x:f>SUM(J63:J65)</x:f>
        <x:v>273143.2899999999</x:v>
      </x:c>
      <x:c r="K66" s="3" t="n">
        <x:f>SUM(K63:K65)</x:f>
        <x:v>143264.16000000003</x:v>
      </x:c>
      <x:c r="L66" s="3" t="n">
        <x:f>SUM(L63:L65)</x:f>
        <x:v>194061.75000000003</x:v>
      </x:c>
      <x:c r="M66" s="3" t="n">
        <x:f>SUM(M63:M65)</x:f>
        <x:v>181686.47000000003</x:v>
      </x:c>
      <x:c r="N66" s="3" t="n">
        <x:f>SUM(N63:N65)</x:f>
        <x:v>230858.27000000002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期初现金</x:v>
      </x:c>
      <x:c r="C67" s="3" t="n">
        <x:f>'资产负债表'!$C$200</x:f>
        <x:v>146253.08</x:v>
      </x:c>
      <x:c r="D67" s="3" t="n">
        <x:f>C68</x:f>
        <x:v>373917.58999999997</x:v>
      </x:c>
      <x:c r="E67" s="3" t="n">
        <x:f>D68</x:f>
        <x:v>600838.03</x:v>
      </x:c>
      <x:c r="F67" s="3" t="n">
        <x:f>E68</x:f>
        <x:v>784930.38</x:v>
      </x:c>
      <x:c r="G67" s="3" t="n">
        <x:f>F68</x:f>
        <x:v>908674.01</x:v>
      </x:c>
      <x:c r="H67" s="3" t="n">
        <x:f>G68</x:f>
        <x:v>1092846.02</x:v>
      </x:c>
      <x:c r="I67" s="3" t="n">
        <x:f>H68</x:f>
        <x:v>1273096.27</x:v>
      </x:c>
      <x:c r="J67" s="3" t="n">
        <x:f>I68</x:f>
        <x:v>1440458.57</x:v>
      </x:c>
      <x:c r="K67" s="3" t="n">
        <x:f>J68</x:f>
        <x:v>1713601.8599999999</x:v>
      </x:c>
      <x:c r="L67" s="3" t="n">
        <x:f>K68</x:f>
        <x:v>1856866.02</x:v>
      </x:c>
      <x:c r="M67" s="3" t="n">
        <x:f>L68</x:f>
        <x:v>2050927.77</x:v>
      </x:c>
      <x:c r="N67" s="3" t="n">
        <x:f>M68</x:f>
        <x:v>2232614.24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期末现金</x:v>
      </x:c>
      <x:c r="C68" s="3" t="n">
        <x:f>SUM(C66:C67)</x:f>
        <x:v>373917.58999999997</x:v>
      </x:c>
      <x:c r="D68" s="3" t="n">
        <x:f>SUM(D66:D67)</x:f>
        <x:v>600838.03</x:v>
      </x:c>
      <x:c r="E68" s="3" t="n">
        <x:f>SUM(E66:E67)</x:f>
        <x:v>784930.38</x:v>
      </x:c>
      <x:c r="F68" s="3" t="n">
        <x:f>SUM(F66:F67)</x:f>
        <x:v>908674.01</x:v>
      </x:c>
      <x:c r="G68" s="3" t="n">
        <x:f>SUM(G66:G67)</x:f>
        <x:v>1092846.02</x:v>
      </x:c>
      <x:c r="H68" s="3" t="n">
        <x:f>SUM(H66:H67)</x:f>
        <x:v>1273096.27</x:v>
      </x:c>
      <x:c r="I68" s="3" t="n">
        <x:f>SUM(I66:I67)</x:f>
        <x:v>1440458.57</x:v>
      </x:c>
      <x:c r="J68" s="3" t="n">
        <x:f>SUM(J66:J67)</x:f>
        <x:v>1713601.8599999999</x:v>
      </x:c>
      <x:c r="K68" s="3" t="n">
        <x:f>SUM(K66:K67)</x:f>
        <x:v>1856866.02</x:v>
      </x:c>
      <x:c r="L68" s="3" t="n">
        <x:f>SUM(L66:L67)</x:f>
        <x:v>2050927.77</x:v>
      </x:c>
      <x:c r="M68" s="3" t="n">
        <x:f>SUM(M66:M67)</x:f>
        <x:v>2232614.24</x:v>
      </x:c>
      <x:c r="N68" s="3" t="n">
        <x:f>SUM(N66:N67)</x:f>
        <x:v>2463472.5100000002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.75" hidden="0" customWidth="1"/>
    <x:col min="17" max="17" width="14.875" hidden="0" customWidth="1"/>
    <x:col min="18" max="18" width="9" hidden="0" customWidth="1"/>
    <x:col min="19" max="19" width="12.875" hidden="0" customWidth="1"/>
    <x:col min="20" max="20" width="15.75" hidden="0" customWidth="1"/>
    <x:col min="21" max="21" width="15.75" hidden="0" customWidth="1"/>
    <x:col min="22" max="22" width="18.25" hidden="0" customWidth="1"/>
    <x:col min="50" max="50" width="20" hidden="0" customWidth="1"/>
    <x:col min="51" max="51" width="65" hidden="0" customWidth="1"/>
    <x:col min="23" max="23" width="18.875" hidden="0" customWidth="1"/>
    <x:col min="24" max="24" width="11.625" hidden="0" customWidth="1"/>
    <x:col min="25" max="25" width="18.25" hidden="0" customWidth="1"/>
    <x:col min="26" max="26" width="18.25" hidden="0" customWidth="1"/>
    <x:col min="27" max="27" width="13" hidden="0" customWidth="1"/>
    <x:col min="28" max="28" width="13" hidden="0" customWidth="1"/>
    <x:col min="29" max="29" width="13.125" hidden="0" customWidth="1"/>
    <x:col min="30" max="30" width="13.125" hidden="0" customWidth="1"/>
    <x:col min="31" max="31" width="11.625" hidden="0" customWidth="1"/>
    <x:col min="32" max="32" width="11.625" hidden="0" customWidth="1"/>
    <x:col min="33" max="33" width="11.125" hidden="0" customWidth="1"/>
    <x:col min="34" max="34" width="14.6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 t="str">
        <x:v>电视剧</x:v>
      </x:c>
      <x:c r="C3" s="6"/>
      <x:c r="D3" s="6" t="str">
        <x:v>项目名称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2487.26</x:v>
      </x:c>
      <x:c r="D31" s="4" t="n">
        <x:v>2282.91</x:v>
      </x:c>
      <x:c r="E31" s="4" t="n">
        <x:v>2256.28</x:v>
      </x:c>
      <x:c r="F31" s="4" t="n">
        <x:v>1946.88</x:v>
      </x:c>
      <x:c r="G31" s="4" t="n">
        <x:v>1753.58</x:v>
      </x:c>
      <x:c r="H31" s="4" t="n">
        <x:v>1523.91</x:v>
      </x:c>
      <x:c r="I31" s="4" t="n">
        <x:v>1829.92</x:v>
      </x:c>
      <x:c r="J31" s="4" t="n">
        <x:v>2425.33</x:v>
      </x:c>
      <x:c r="K31" s="4" t="n">
        <x:v>1616.03</x:v>
      </x:c>
      <x:c r="L31" s="4" t="n">
        <x:v>1550.67</x:v>
      </x:c>
      <x:c r="M31" s="4" t="n">
        <x:v>1717.67</x:v>
      </x:c>
      <x:c r="N31" s="4" t="n">
        <x:v>2398.97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122.87</x:v>
      </x:c>
      <x:c r="D32" s="4" t="n">
        <x:v>109.87</x:v>
      </x:c>
      <x:c r="E32" s="4" t="n">
        <x:v>102.06</x:v>
      </x:c>
      <x:c r="F32" s="4" t="n">
        <x:v>88.67</x:v>
      </x:c>
      <x:c r="G32" s="4" t="n">
        <x:v>95.08</x:v>
      </x:c>
      <x:c r="H32" s="4" t="n">
        <x:v>84.33</x:v>
      </x:c>
      <x:c r="I32" s="4" t="n">
        <x:v>108.81</x:v>
      </x:c>
      <x:c r="J32" s="4" t="n">
        <x:v>123.64</x:v>
      </x:c>
      <x:c r="K32" s="4" t="n">
        <x:v>81.93</x:v>
      </x:c>
      <x:c r="L32" s="4" t="n">
        <x:v>111.74</x:v>
      </x:c>
      <x:c r="M32" s="4" t="n">
        <x:v>109.09</x:v>
      </x:c>
      <x:c r="N32" s="4" t="n">
        <x:v>88.55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305609.64</x:v>
      </x:c>
      <x:c r="D33" s="3" t="n">
        <x:f>ROUND(D31*D32,2)</x:f>
        <x:v>250823.32</x:v>
      </x:c>
      <x:c r="E33" s="3" t="n">
        <x:f>ROUND(E31*E32,2)</x:f>
        <x:v>230275.94</x:v>
      </x:c>
      <x:c r="F33" s="3" t="n">
        <x:f>ROUND(F31*F32,2)</x:f>
        <x:v>172629.85</x:v>
      </x:c>
      <x:c r="G33" s="3" t="n">
        <x:f>ROUND(G31*G32,2)</x:f>
        <x:v>166730.39</x:v>
      </x:c>
      <x:c r="H33" s="3" t="n">
        <x:f>ROUND(H31*H32,2)</x:f>
        <x:v>128511.33</x:v>
      </x:c>
      <x:c r="I33" s="3" t="n">
        <x:f>ROUND(I31*I32,2)</x:f>
        <x:v>199113.6</x:v>
      </x:c>
      <x:c r="J33" s="3" t="n">
        <x:f>ROUND(J31*J32,2)</x:f>
        <x:v>299867.8</x:v>
      </x:c>
      <x:c r="K33" s="3" t="n">
        <x:f>ROUND(K31*K32,2)</x:f>
        <x:v>132401.34</x:v>
      </x:c>
      <x:c r="L33" s="3" t="n">
        <x:f>ROUND(L31*L32,2)</x:f>
        <x:v>173271.87</x:v>
      </x:c>
      <x:c r="M33" s="3" t="n">
        <x:f>ROUND(M31*M32,2)</x:f>
        <x:v>187380.62</x:v>
      </x:c>
      <x:c r="N33" s="3" t="n">
        <x:f>ROUND(N31*N32,2)</x:f>
        <x:v>212428.79</x:v>
      </x:c>
      <x:c r="O33" s="3" t="n">
        <x:f>SUM(C33:N33)</x:f>
        <x:v>2459044.49</x:v>
      </x:c>
      <x:c r="P33" s="2" t="str">
        <x:v>REV1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780.42</x:v>
      </x:c>
      <x:c r="D34" s="4" t="n">
        <x:v>563.21</x:v>
      </x:c>
      <x:c r="E34" s="4" t="n">
        <x:v>718.86</x:v>
      </x:c>
      <x:c r="F34" s="4" t="n">
        <x:v>801.57</x:v>
      </x:c>
      <x:c r="G34" s="4" t="n">
        <x:v>608.02</x:v>
      </x:c>
      <x:c r="H34" s="4" t="n">
        <x:v>666.65</x:v>
      </x:c>
      <x:c r="I34" s="4" t="n">
        <x:v>701.62</x:v>
      </x:c>
      <x:c r="J34" s="4" t="n">
        <x:v>694.14</x:v>
      </x:c>
      <x:c r="K34" s="4" t="n">
        <x:v>697.89</x:v>
      </x:c>
      <x:c r="L34" s="4" t="n">
        <x:v>660.73</x:v>
      </x:c>
      <x:c r="M34" s="4" t="n">
        <x:v>682.15</x:v>
      </x:c>
      <x:c r="N34" s="4" t="n">
        <x:v>597.29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122.87</x:v>
      </x:c>
      <x:c r="D35" s="3" t="n">
        <x:f>D32</x:f>
        <x:v>109.87</x:v>
      </x:c>
      <x:c r="E35" s="3" t="n">
        <x:f>E32</x:f>
        <x:v>102.06</x:v>
      </x:c>
      <x:c r="F35" s="3" t="n">
        <x:f>F32</x:f>
        <x:v>88.67</x:v>
      </x:c>
      <x:c r="G35" s="3" t="n">
        <x:f>G32</x:f>
        <x:v>95.08</x:v>
      </x:c>
      <x:c r="H35" s="3" t="n">
        <x:f>H32</x:f>
        <x:v>84.33</x:v>
      </x:c>
      <x:c r="I35" s="3" t="n">
        <x:f>I32</x:f>
        <x:v>108.81</x:v>
      </x:c>
      <x:c r="J35" s="3" t="n">
        <x:f>J32</x:f>
        <x:v>123.64</x:v>
      </x:c>
      <x:c r="K35" s="3" t="n">
        <x:f>K32</x:f>
        <x:v>81.93</x:v>
      </x:c>
      <x:c r="L35" s="3" t="n">
        <x:f>L32</x:f>
        <x:v>111.74</x:v>
      </x:c>
      <x:c r="M35" s="3" t="n">
        <x:f>M32</x:f>
        <x:v>109.09</x:v>
      </x:c>
      <x:c r="N35" s="3" t="n">
        <x:f>N32</x:f>
        <x:v>88.55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95890.21</x:v>
      </x:c>
      <x:c r="D36" s="3" t="n">
        <x:f>ROUND(D34*D35,2)</x:f>
        <x:v>61879.88</x:v>
      </x:c>
      <x:c r="E36" s="3" t="n">
        <x:f>ROUND(E34*E35,2)</x:f>
        <x:v>73366.85</x:v>
      </x:c>
      <x:c r="F36" s="3" t="n">
        <x:f>ROUND(F34*F35,2)</x:f>
        <x:v>71075.21</x:v>
      </x:c>
      <x:c r="G36" s="3" t="n">
        <x:f>ROUND(G34*G35,2)</x:f>
        <x:v>57810.54</x:v>
      </x:c>
      <x:c r="H36" s="3" t="n">
        <x:f>ROUND(H34*H35,2)</x:f>
        <x:v>56218.59</x:v>
      </x:c>
      <x:c r="I36" s="3" t="n">
        <x:f>ROUND(I34*I35,2)</x:f>
        <x:v>76343.27</x:v>
      </x:c>
      <x:c r="J36" s="3" t="n">
        <x:f>ROUND(J34*J35,2)</x:f>
        <x:v>85823.47</x:v>
      </x:c>
      <x:c r="K36" s="3" t="n">
        <x:f>ROUND(K34*K35,2)</x:f>
        <x:v>57178.13</x:v>
      </x:c>
      <x:c r="L36" s="3" t="n">
        <x:f>ROUND(L34*L35,2)</x:f>
        <x:v>73829.97</x:v>
      </x:c>
      <x:c r="M36" s="3" t="n">
        <x:f>ROUND(M34*M35,2)</x:f>
        <x:v>74415.74</x:v>
      </x:c>
      <x:c r="N36" s="3" t="n">
        <x:f>ROUND(N34*N35,2)</x:f>
        <x:v>52890.03</x:v>
      </x:c>
      <x:c r="O36" s="3" t="n">
        <x:f>SUM(C36:N36)</x:f>
        <x:v>836721.89</x:v>
      </x:c>
      <x:c r="P36" s="2" t="str">
        <x:v>COGS1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95890.21</x:v>
      </x:c>
      <x:c r="D37" s="3" t="n">
        <x:f>D36</x:f>
        <x:v>61879.88</x:v>
      </x:c>
      <x:c r="E37" s="3" t="n">
        <x:f>E36</x:f>
        <x:v>73366.85</x:v>
      </x:c>
      <x:c r="F37" s="3" t="n">
        <x:f>F36</x:f>
        <x:v>71075.21</x:v>
      </x:c>
      <x:c r="G37" s="3" t="n">
        <x:f>G36</x:f>
        <x:v>57810.54</x:v>
      </x:c>
      <x:c r="H37" s="3" t="n">
        <x:f>H36</x:f>
        <x:v>56218.59</x:v>
      </x:c>
      <x:c r="I37" s="3" t="n">
        <x:f>I36</x:f>
        <x:v>76343.27</x:v>
      </x:c>
      <x:c r="J37" s="3" t="n">
        <x:f>J36</x:f>
        <x:v>85823.47</x:v>
      </x:c>
      <x:c r="K37" s="3" t="n">
        <x:f>K36</x:f>
        <x:v>57178.13</x:v>
      </x:c>
      <x:c r="L37" s="3" t="n">
        <x:f>L36</x:f>
        <x:v>73829.97</x:v>
      </x:c>
      <x:c r="M37" s="3" t="n">
        <x:f>M36</x:f>
        <x:v>74415.74</x:v>
      </x:c>
      <x:c r="N37" s="3" t="n">
        <x:f>N36</x:f>
        <x:v>52890.03</x:v>
      </x:c>
      <x:c r="O37" s="3" t="n">
        <x:f>SUM(C37:N37)</x:f>
        <x:v>836721.89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N3:O3"/>
    <x:mergeCell ref="R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1.125" hidden="0" customWidth="1"/>
    <x:col min="18" max="18" width="11.125" hidden="0" customWidth="1"/>
    <x:col min="19" max="19" width="14.625" hidden="0" customWidth="1"/>
    <x:col min="20" max="20" width="17.25" hidden="0" customWidth="1"/>
    <x:col min="21" max="21" width="20" hidden="0" customWidth="1"/>
    <x:col min="22" max="22" width="17.25" hidden="0" customWidth="1"/>
    <x:col min="50" max="50" width="20" hidden="0" customWidth="1"/>
    <x:col min="51" max="51" width="65" hidden="0" customWidth="1"/>
    <x:col min="23" max="23" width="13" hidden="0" customWidth="1"/>
    <x:col min="24" max="24" width="13" hidden="0" customWidth="1"/>
    <x:col min="25" max="25" width="13" hidden="0" customWidth="1"/>
    <x:col min="26" max="26" width="17.25" hidden="0" customWidth="1"/>
    <x:col min="27" max="27" width="17.25" hidden="0" customWidth="1"/>
    <x:col min="28" max="28" width="17.25" hidden="0" customWidth="1"/>
    <x:col min="29" max="29" width="17.25" hidden="0" customWidth="1"/>
    <x:col min="30" max="30" width="17.25" hidden="0" customWidth="1"/>
    <x:col min="31" max="31" width="17.25" hidden="0" customWidth="1"/>
    <x:col min="32" max="32" width="16.1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项目名称</x:v>
      </x:c>
      <x:c r="C2" s="3"/>
      <x:c r="D2" s="3" t="str">
        <x:v>投资比例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 t="str">
        <x:v>成本</x:v>
      </x:c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1545.19</x:v>
      </x:c>
      <x:c r="D31" s="4" t="n">
        <x:v>2024.71</x:v>
      </x:c>
      <x:c r="E31" s="4" t="n">
        <x:v>1663.5</x:v>
      </x:c>
      <x:c r="F31" s="4" t="n">
        <x:v>1638.6</x:v>
      </x:c>
      <x:c r="G31" s="4" t="n">
        <x:v>2108.47</x:v>
      </x:c>
      <x:c r="H31" s="4" t="n">
        <x:v>2137.98</x:v>
      </x:c>
      <x:c r="I31" s="4" t="n">
        <x:v>1937.94</x:v>
      </x:c>
      <x:c r="J31" s="4" t="n">
        <x:v>2060.3</x:v>
      </x:c>
      <x:c r="K31" s="4" t="n">
        <x:v>1904.17</x:v>
      </x:c>
      <x:c r="L31" s="4" t="n">
        <x:v>2485.68</x:v>
      </x:c>
      <x:c r="M31" s="4" t="n">
        <x:v>2178.22</x:v>
      </x:c>
      <x:c r="N31" s="4" t="n">
        <x:v>2216.2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95.79</x:v>
      </x:c>
      <x:c r="D32" s="4" t="n">
        <x:v>90.36</x:v>
      </x:c>
      <x:c r="E32" s="4" t="n">
        <x:v>98.57</x:v>
      </x:c>
      <x:c r="F32" s="4" t="n">
        <x:v>83.62</x:v>
      </x:c>
      <x:c r="G32" s="4" t="n">
        <x:v>108.87</x:v>
      </x:c>
      <x:c r="H32" s="4" t="n">
        <x:v>111.45</x:v>
      </x:c>
      <x:c r="I32" s="4" t="n">
        <x:v>94.21</x:v>
      </x:c>
      <x:c r="J32" s="4" t="n">
        <x:v>104.65</x:v>
      </x:c>
      <x:c r="K32" s="4" t="n">
        <x:v>94.89</x:v>
      </x:c>
      <x:c r="L32" s="4" t="n">
        <x:v>96.68</x:v>
      </x:c>
      <x:c r="M32" s="4" t="n">
        <x:v>93.02</x:v>
      </x:c>
      <x:c r="N32" s="4" t="n">
        <x:v>91.15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148013.75</x:v>
      </x:c>
      <x:c r="D33" s="3" t="n">
        <x:f>ROUND(D31*D32,2)</x:f>
        <x:v>182952.8</x:v>
      </x:c>
      <x:c r="E33" s="3" t="n">
        <x:f>ROUND(E31*E32,2)</x:f>
        <x:v>163971.19</x:v>
      </x:c>
      <x:c r="F33" s="3" t="n">
        <x:f>ROUND(F31*F32,2)</x:f>
        <x:v>137019.73</x:v>
      </x:c>
      <x:c r="G33" s="3" t="n">
        <x:f>ROUND(G31*G32,2)</x:f>
        <x:v>229549.13</x:v>
      </x:c>
      <x:c r="H33" s="3" t="n">
        <x:f>ROUND(H31*H32,2)</x:f>
        <x:v>238277.87</x:v>
      </x:c>
      <x:c r="I33" s="3" t="n">
        <x:f>ROUND(I31*I32,2)</x:f>
        <x:v>182573.33</x:v>
      </x:c>
      <x:c r="J33" s="3" t="n">
        <x:f>ROUND(J31*J32,2)</x:f>
        <x:v>215610.4</x:v>
      </x:c>
      <x:c r="K33" s="3" t="n">
        <x:f>ROUND(K31*K32,2)</x:f>
        <x:v>180686.69</x:v>
      </x:c>
      <x:c r="L33" s="3" t="n">
        <x:f>ROUND(L31*L32,2)</x:f>
        <x:v>240315.54</x:v>
      </x:c>
      <x:c r="M33" s="3" t="n">
        <x:f>ROUND(M31*M32,2)</x:f>
        <x:v>202618.02</x:v>
      </x:c>
      <x:c r="N33" s="3" t="n">
        <x:f>ROUND(N31*N32,2)</x:f>
        <x:v>202006.63</x:v>
      </x:c>
      <x:c r="O33" s="3" t="n">
        <x:f>SUM(C33:N33)</x:f>
        <x:v>2323595.0799999996</x:v>
      </x:c>
      <x:c r="P33" s="2" t="str">
        <x:v>REV2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581.41</x:v>
      </x:c>
      <x:c r="D34" s="4" t="n">
        <x:v>776.4</x:v>
      </x:c>
      <x:c r="E34" s="4" t="n">
        <x:v>726.88</x:v>
      </x:c>
      <x:c r="F34" s="4" t="n">
        <x:v>753.67</x:v>
      </x:c>
      <x:c r="G34" s="4" t="n">
        <x:v>825.33</x:v>
      </x:c>
      <x:c r="H34" s="4" t="n">
        <x:v>599.81</x:v>
      </x:c>
      <x:c r="I34" s="4" t="n">
        <x:v>811.49</x:v>
      </x:c>
      <x:c r="J34" s="4" t="n">
        <x:v>681.05</x:v>
      </x:c>
      <x:c r="K34" s="4" t="n">
        <x:v>581.36</x:v>
      </x:c>
      <x:c r="L34" s="4" t="n">
        <x:v>818.51</x:v>
      </x:c>
      <x:c r="M34" s="4" t="n">
        <x:v>747.27</x:v>
      </x:c>
      <x:c r="N34" s="4" t="n">
        <x:v>581.35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95.79</x:v>
      </x:c>
      <x:c r="D35" s="3" t="n">
        <x:f>D32</x:f>
        <x:v>90.36</x:v>
      </x:c>
      <x:c r="E35" s="3" t="n">
        <x:f>E32</x:f>
        <x:v>98.57</x:v>
      </x:c>
      <x:c r="F35" s="3" t="n">
        <x:f>F32</x:f>
        <x:v>83.62</x:v>
      </x:c>
      <x:c r="G35" s="3" t="n">
        <x:f>G32</x:f>
        <x:v>108.87</x:v>
      </x:c>
      <x:c r="H35" s="3" t="n">
        <x:f>H32</x:f>
        <x:v>111.45</x:v>
      </x:c>
      <x:c r="I35" s="3" t="n">
        <x:f>I32</x:f>
        <x:v>94.21</x:v>
      </x:c>
      <x:c r="J35" s="3" t="n">
        <x:f>J32</x:f>
        <x:v>104.65</x:v>
      </x:c>
      <x:c r="K35" s="3" t="n">
        <x:f>K32</x:f>
        <x:v>94.89</x:v>
      </x:c>
      <x:c r="L35" s="3" t="n">
        <x:f>L32</x:f>
        <x:v>96.68</x:v>
      </x:c>
      <x:c r="M35" s="3" t="n">
        <x:f>M32</x:f>
        <x:v>93.02</x:v>
      </x:c>
      <x:c r="N35" s="3" t="n">
        <x:f>N32</x:f>
        <x:v>91.15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55693.26</x:v>
      </x:c>
      <x:c r="D36" s="3" t="n">
        <x:f>ROUND(D34*D35,2)</x:f>
        <x:v>70155.5</x:v>
      </x:c>
      <x:c r="E36" s="3" t="n">
        <x:f>ROUND(E34*E35,2)</x:f>
        <x:v>71648.56</x:v>
      </x:c>
      <x:c r="F36" s="3" t="n">
        <x:f>ROUND(F34*F35,2)</x:f>
        <x:v>63021.89</x:v>
      </x:c>
      <x:c r="G36" s="3" t="n">
        <x:f>ROUND(G34*G35,2)</x:f>
        <x:v>89853.68</x:v>
      </x:c>
      <x:c r="H36" s="3" t="n">
        <x:f>ROUND(H34*H35,2)</x:f>
        <x:v>66848.82</x:v>
      </x:c>
      <x:c r="I36" s="3" t="n">
        <x:f>ROUND(I34*I35,2)</x:f>
        <x:v>76450.47</x:v>
      </x:c>
      <x:c r="J36" s="3" t="n">
        <x:f>ROUND(J34*J35,2)</x:f>
        <x:v>71271.88</x:v>
      </x:c>
      <x:c r="K36" s="3" t="n">
        <x:f>ROUND(K34*K35,2)</x:f>
        <x:v>55165.25</x:v>
      </x:c>
      <x:c r="L36" s="3" t="n">
        <x:f>ROUND(L34*L35,2)</x:f>
        <x:v>79133.55</x:v>
      </x:c>
      <x:c r="M36" s="3" t="n">
        <x:f>ROUND(M34*M35,2)</x:f>
        <x:v>69511.06</x:v>
      </x:c>
      <x:c r="N36" s="3" t="n">
        <x:f>ROUND(N34*N35,2)</x:f>
        <x:v>52990.05</x:v>
      </x:c>
      <x:c r="O36" s="3" t="n">
        <x:f>SUM(C36:N36)</x:f>
        <x:v>821743.9700000002</x:v>
      </x:c>
      <x:c r="P36" s="2" t="str">
        <x:v>COGS2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55693.26</x:v>
      </x:c>
      <x:c r="D37" s="3" t="n">
        <x:f>D36</x:f>
        <x:v>70155.5</x:v>
      </x:c>
      <x:c r="E37" s="3" t="n">
        <x:f>E36</x:f>
        <x:v>71648.56</x:v>
      </x:c>
      <x:c r="F37" s="3" t="n">
        <x:f>F36</x:f>
        <x:v>63021.89</x:v>
      </x:c>
      <x:c r="G37" s="3" t="n">
        <x:f>G36</x:f>
        <x:v>89853.68</x:v>
      </x:c>
      <x:c r="H37" s="3" t="n">
        <x:f>H36</x:f>
        <x:v>66848.82</x:v>
      </x:c>
      <x:c r="I37" s="3" t="n">
        <x:f>I36</x:f>
        <x:v>76450.47</x:v>
      </x:c>
      <x:c r="J37" s="3" t="n">
        <x:f>J36</x:f>
        <x:v>71271.88</x:v>
      </x:c>
      <x:c r="K37" s="3" t="n">
        <x:f>K36</x:f>
        <x:v>55165.25</x:v>
      </x:c>
      <x:c r="L37" s="3" t="n">
        <x:f>L36</x:f>
        <x:v>79133.55</x:v>
      </x:c>
      <x:c r="M37" s="3" t="n">
        <x:f>M36</x:f>
        <x:v>69511.06</x:v>
      </x:c>
      <x:c r="N37" s="3" t="n">
        <x:f>N36</x:f>
        <x:v>52990.05</x:v>
      </x:c>
      <x:c r="O37" s="3" t="n">
        <x:f>SUM(C37:N37)</x:f>
        <x:v>821743.9700000002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L2:M2"/>
    <x:mergeCell ref="P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税金及附加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实时经营（月度，元）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综合附加率（演示假设）</x:v>
      </x:c>
      <x:c r="C31" s="4" t="n">
        <x:v>0.00617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计税收入</x:v>
      </x:c>
      <x:c r="C32" s="3" t="n">
        <x:f>'收入非主控'!C33+'收入主控'!C33</x:f>
        <x:v>453623.39</x:v>
      </x:c>
      <x:c r="D32" s="3" t="n">
        <x:f>'收入非主控'!D33+'收入主控'!D33</x:f>
        <x:v>433776.12</x:v>
      </x:c>
      <x:c r="E32" s="3" t="n">
        <x:f>'收入非主控'!E33+'收入主控'!E33</x:f>
        <x:v>394247.13</x:v>
      </x:c>
      <x:c r="F32" s="3" t="n">
        <x:f>'收入非主控'!F33+'收入主控'!F33</x:f>
        <x:v>309649.58</x:v>
      </x:c>
      <x:c r="G32" s="3" t="n">
        <x:f>'收入非主控'!G33+'收入主控'!G33</x:f>
        <x:v>396279.52</x:v>
      </x:c>
      <x:c r="H32" s="3" t="n">
        <x:f>'收入非主控'!H33+'收入主控'!H33</x:f>
        <x:v>366789.2</x:v>
      </x:c>
      <x:c r="I32" s="3" t="n">
        <x:f>'收入非主控'!I33+'收入主控'!I33</x:f>
        <x:v>381686.93</x:v>
      </x:c>
      <x:c r="J32" s="3" t="n">
        <x:f>'收入非主控'!J33+'收入主控'!J33</x:f>
        <x:v>515478.19999999995</x:v>
      </x:c>
      <x:c r="K32" s="3" t="n">
        <x:f>'收入非主控'!K33+'收入主控'!K33</x:f>
        <x:v>313088.03</x:v>
      </x:c>
      <x:c r="L32" s="3" t="n">
        <x:f>'收入非主控'!L33+'收入主控'!L33</x:f>
        <x:v>413587.41000000003</x:v>
      </x:c>
      <x:c r="M32" s="3" t="n">
        <x:f>'收入非主控'!M33+'收入主控'!M33</x:f>
        <x:v>389998.64</x:v>
      </x:c>
      <x:c r="N32" s="3" t="n">
        <x:f>'收入非主控'!N33+'收入主控'!N33</x:f>
        <x:v>414435.42000000004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税金及附加</x:v>
      </x:c>
      <x:c r="C33" s="3" t="n">
        <x:f>ROUND(C32*$C$31,2)</x:f>
        <x:v>2798.86</x:v>
      </x:c>
      <x:c r="D33" s="3" t="n">
        <x:f>ROUND(D32*$C$31,2)</x:f>
        <x:v>2676.4</x:v>
      </x:c>
      <x:c r="E33" s="3" t="n">
        <x:f>ROUND(E32*$C$31,2)</x:f>
        <x:v>2432.5</x:v>
      </x:c>
      <x:c r="F33" s="3" t="n">
        <x:f>ROUND(F32*$C$31,2)</x:f>
        <x:v>1910.54</x:v>
      </x:c>
      <x:c r="G33" s="3" t="n">
        <x:f>ROUND(G32*$C$31,2)</x:f>
        <x:v>2445.04</x:v>
      </x:c>
      <x:c r="H33" s="3" t="n">
        <x:f>ROUND(H32*$C$31,2)</x:f>
        <x:v>2263.09</x:v>
      </x:c>
      <x:c r="I33" s="3" t="n">
        <x:f>ROUND(I32*$C$31,2)</x:f>
        <x:v>2355.01</x:v>
      </x:c>
      <x:c r="J33" s="3" t="n">
        <x:f>ROUND(J32*$C$31,2)</x:f>
        <x:v>3180.5</x:v>
      </x:c>
      <x:c r="K33" s="3" t="n">
        <x:f>ROUND(K32*$C$31,2)</x:f>
        <x:v>1931.75</x:v>
      </x:c>
      <x:c r="L33" s="3" t="n">
        <x:f>ROUND(L32*$C$31,2)</x:f>
        <x:v>2551.83</x:v>
      </x:c>
      <x:c r="M33" s="3" t="n">
        <x:f>ROUND(M32*$C$31,2)</x:f>
        <x:v>2406.29</x:v>
      </x:c>
      <x:c r="N33" s="3" t="n">
        <x:f>ROUND(N32*$C$31,2)</x:f>
        <x:v>2557.07</x:v>
      </x:c>
      <x:c r="O33" s="3"/>
      <x:c r="P33" s="2" t="str">
        <x:v>TAX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.875" hidden="0" customWidth="1"/>
    <x:col min="17" max="17" width="9" hidden="0" customWidth="1"/>
    <x:col min="18" max="18" width="9.625" hidden="0" customWidth="1"/>
    <x:col min="19" max="19" width="9" hidden="0" customWidth="1"/>
    <x:col min="20" max="20" width="9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销售费用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实时经营（月度，元）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206.67</x:v>
      </x:c>
      <x:c r="D4" s="3" t="n">
        <x:f>ROUND(D204*D324,2)</x:f>
        <x:v>198.25</x:v>
      </x:c>
      <x:c r="E4" s="3" t="n">
        <x:f>ROUND(E204*E324,2)</x:f>
        <x:v>313.51</x:v>
      </x:c>
      <x:c r="F4" s="3" t="n">
        <x:f>ROUND(F204*F324,2)</x:f>
        <x:v>567.01</x:v>
      </x:c>
      <x:c r="G4" s="3" t="n">
        <x:f>ROUND(G204*G324,2)</x:f>
        <x:v>116.03</x:v>
      </x:c>
      <x:c r="H4" s="3" t="n">
        <x:f>ROUND(H204*H324,2)</x:f>
        <x:v>369.14</x:v>
      </x:c>
      <x:c r="I4" s="3" t="n">
        <x:f>ROUND(I204*I324,2)</x:f>
        <x:v>191.21</x:v>
      </x:c>
      <x:c r="J4" s="3" t="n">
        <x:f>ROUND(J204*J324,2)</x:f>
        <x:v>79.37</x:v>
      </x:c>
      <x:c r="K4" s="3" t="n">
        <x:f>ROUND(K204*K324,2)</x:f>
        <x:v>250.13</x:v>
      </x:c>
      <x:c r="L4" s="3" t="n">
        <x:f>ROUND(L204*L324,2)</x:f>
        <x:v>111.24</x:v>
      </x:c>
      <x:c r="M4" s="3" t="n">
        <x:f>ROUND(M204*M324,2)</x:f>
        <x:v>180.31</x:v>
      </x:c>
      <x:c r="N4" s="3" t="n">
        <x:f>ROUND(N204*N324,2)</x:f>
        <x:v>146.57</x:v>
      </x:c>
      <x:c r="O4" s="3" t="n">
        <x:f>SUM(C4:N4)</x:f>
        <x:v>2729.44</x:v>
      </x:c>
      <x:c r="P4" s="2" t="str">
        <x:v>EXP1.004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294.03</x:v>
      </x:c>
      <x:c r="D5" s="3" t="n">
        <x:f>ROUND(D205*D325,2)</x:f>
        <x:v>207.75</x:v>
      </x:c>
      <x:c r="E5" s="3" t="n">
        <x:f>ROUND(E205*E325,2)</x:f>
        <x:v>379.08</x:v>
      </x:c>
      <x:c r="F5" s="3" t="n">
        <x:f>ROUND(F205*F325,2)</x:f>
        <x:v>147.44</x:v>
      </x:c>
      <x:c r="G5" s="3" t="n">
        <x:f>ROUND(G205*G325,2)</x:f>
        <x:v>249.82</x:v>
      </x:c>
      <x:c r="H5" s="3" t="n">
        <x:f>ROUND(H205*H325,2)</x:f>
        <x:v>159.64</x:v>
      </x:c>
      <x:c r="I5" s="3" t="n">
        <x:f>ROUND(I205*I325,2)</x:f>
        <x:v>116.82</x:v>
      </x:c>
      <x:c r="J5" s="3" t="n">
        <x:f>ROUND(J205*J325,2)</x:f>
        <x:v>119.64</x:v>
      </x:c>
      <x:c r="K5" s="3" t="n">
        <x:f>ROUND(K205*K325,2)</x:f>
        <x:v>340.72</x:v>
      </x:c>
      <x:c r="L5" s="3" t="n">
        <x:f>ROUND(L205*L325,2)</x:f>
        <x:v>80.68</x:v>
      </x:c>
      <x:c r="M5" s="3" t="n">
        <x:f>ROUND(M205*M325,2)</x:f>
        <x:v>191.54</x:v>
      </x:c>
      <x:c r="N5" s="3" t="n">
        <x:f>ROUND(N205*N325,2)</x:f>
        <x:v>166.08</x:v>
      </x:c>
      <x:c r="O5" s="3" t="n">
        <x:f>SUM(C5:N5)</x:f>
        <x:v>2453.24</x:v>
      </x:c>
      <x:c r="P5" s="2" t="str">
        <x:v>EXP1.005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75.62</x:v>
      </x:c>
      <x:c r="D6" s="3" t="n">
        <x:f>ROUND(D206*D326,2)</x:f>
        <x:v>119.26</x:v>
      </x:c>
      <x:c r="E6" s="3" t="n">
        <x:f>ROUND(E206*E326,2)</x:f>
        <x:v>144.34</x:v>
      </x:c>
      <x:c r="F6" s="3" t="n">
        <x:f>ROUND(F206*F326,2)</x:f>
        <x:v>214.69</x:v>
      </x:c>
      <x:c r="G6" s="3" t="n">
        <x:f>ROUND(G206*G326,2)</x:f>
        <x:v>522.34</x:v>
      </x:c>
      <x:c r="H6" s="3" t="n">
        <x:f>ROUND(H206*H326,2)</x:f>
        <x:v>412.68</x:v>
      </x:c>
      <x:c r="I6" s="3" t="n">
        <x:f>ROUND(I206*I326,2)</x:f>
        <x:v>469.35</x:v>
      </x:c>
      <x:c r="J6" s="3" t="n">
        <x:f>ROUND(J206*J326,2)</x:f>
        <x:v>431.16</x:v>
      </x:c>
      <x:c r="K6" s="3" t="n">
        <x:f>ROUND(K206*K326,2)</x:f>
        <x:v>298.05</x:v>
      </x:c>
      <x:c r="L6" s="3" t="n">
        <x:f>ROUND(L206*L326,2)</x:f>
        <x:v>384.71</x:v>
      </x:c>
      <x:c r="M6" s="3" t="n">
        <x:f>ROUND(M206*M326,2)</x:f>
        <x:v>92.38</x:v>
      </x:c>
      <x:c r="N6" s="3" t="n">
        <x:f>ROUND(N206*N326,2)</x:f>
        <x:v>455.02</x:v>
      </x:c>
      <x:c r="O6" s="3" t="n">
        <x:f>SUM(C6:N6)</x:f>
        <x:v>3619.6000000000004</x:v>
      </x:c>
      <x:c r="P6" s="2" t="str">
        <x:v>EXP1.006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128.17</x:v>
      </x:c>
      <x:c r="D7" s="3" t="n">
        <x:f>ROUND(D207*D327,2)</x:f>
        <x:v>74.67</x:v>
      </x:c>
      <x:c r="E7" s="3" t="n">
        <x:f>ROUND(E207*E327,2)</x:f>
        <x:v>69.23</x:v>
      </x:c>
      <x:c r="F7" s="3" t="n">
        <x:f>ROUND(F207*F327,2)</x:f>
        <x:v>152.4</x:v>
      </x:c>
      <x:c r="G7" s="3" t="n">
        <x:f>ROUND(G207*G327,2)</x:f>
        <x:v>68.27</x:v>
      </x:c>
      <x:c r="H7" s="3" t="n">
        <x:f>ROUND(H207*H327,2)</x:f>
        <x:v>196.26</x:v>
      </x:c>
      <x:c r="I7" s="3" t="n">
        <x:f>ROUND(I207*I327,2)</x:f>
        <x:v>249.18</x:v>
      </x:c>
      <x:c r="J7" s="3" t="n">
        <x:f>ROUND(J207*J327,2)</x:f>
        <x:v>110.62</x:v>
      </x:c>
      <x:c r="K7" s="3" t="n">
        <x:f>ROUND(K207*K327,2)</x:f>
        <x:v>378.53</x:v>
      </x:c>
      <x:c r="L7" s="3" t="n">
        <x:f>ROUND(L207*L327,2)</x:f>
        <x:v>347.16</x:v>
      </x:c>
      <x:c r="M7" s="3" t="n">
        <x:f>ROUND(M207*M327,2)</x:f>
        <x:v>354.27</x:v>
      </x:c>
      <x:c r="N7" s="3" t="n">
        <x:f>ROUND(N207*N327,2)</x:f>
        <x:v>243.14</x:v>
      </x:c>
      <x:c r="O7" s="3" t="n">
        <x:f>SUM(C7:N7)</x:f>
        <x:v>2371.9</x:v>
      </x:c>
      <x:c r="P7" s="2" t="str">
        <x:v>EXP1.007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148.07</x:v>
      </x:c>
      <x:c r="D8" s="3" t="n">
        <x:f>ROUND(D208*D328,2)</x:f>
        <x:v>271.77</x:v>
      </x:c>
      <x:c r="E8" s="3" t="n">
        <x:f>ROUND(E208*E328,2)</x:f>
        <x:v>360.93</x:v>
      </x:c>
      <x:c r="F8" s="3" t="n">
        <x:f>ROUND(F208*F328,2)</x:f>
        <x:v>300.96</x:v>
      </x:c>
      <x:c r="G8" s="3" t="n">
        <x:f>ROUND(G208*G328,2)</x:f>
        <x:v>347.91</x:v>
      </x:c>
      <x:c r="H8" s="3" t="n">
        <x:f>ROUND(H208*H328,2)</x:f>
        <x:v>237.17</x:v>
      </x:c>
      <x:c r="I8" s="3" t="n">
        <x:f>ROUND(I208*I328,2)</x:f>
        <x:v>94.52</x:v>
      </x:c>
      <x:c r="J8" s="3" t="n">
        <x:f>ROUND(J208*J328,2)</x:f>
        <x:v>113.96</x:v>
      </x:c>
      <x:c r="K8" s="3" t="n">
        <x:f>ROUND(K208*K328,2)</x:f>
        <x:v>309.58</x:v>
      </x:c>
      <x:c r="L8" s="3" t="n">
        <x:f>ROUND(L208*L328,2)</x:f>
        <x:v>198.37</x:v>
      </x:c>
      <x:c r="M8" s="3" t="n">
        <x:f>ROUND(M208*M328,2)</x:f>
        <x:v>246.93</x:v>
      </x:c>
      <x:c r="N8" s="3" t="n">
        <x:f>ROUND(N208*N328,2)</x:f>
        <x:v>191.33</x:v>
      </x:c>
      <x:c r="O8" s="3" t="n">
        <x:f>SUM(C8:N8)</x:f>
        <x:v>2821.5</x:v>
      </x:c>
      <x:c r="P8" s="2" t="str">
        <x:v>EXP1.008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74.37</x:v>
      </x:c>
      <x:c r="D9" s="3" t="n">
        <x:f>ROUND(D209*D329,2)</x:f>
        <x:v>161.41</x:v>
      </x:c>
      <x:c r="E9" s="3" t="n">
        <x:f>ROUND(E209*E329,2)</x:f>
        <x:v>298.23</x:v>
      </x:c>
      <x:c r="F9" s="3" t="n">
        <x:f>ROUND(F209*F329,2)</x:f>
        <x:v>366.98</x:v>
      </x:c>
      <x:c r="G9" s="3" t="n">
        <x:f>ROUND(G209*G329,2)</x:f>
        <x:v>192.54</x:v>
      </x:c>
      <x:c r="H9" s="3" t="n">
        <x:f>ROUND(H209*H329,2)</x:f>
        <x:v>162.39</x:v>
      </x:c>
      <x:c r="I9" s="3" t="n">
        <x:f>ROUND(I209*I329,2)</x:f>
        <x:v>360.91</x:v>
      </x:c>
      <x:c r="J9" s="3" t="n">
        <x:f>ROUND(J209*J329,2)</x:f>
        <x:v>72.67</x:v>
      </x:c>
      <x:c r="K9" s="3" t="n">
        <x:f>ROUND(K209*K329,2)</x:f>
        <x:v>182.56</x:v>
      </x:c>
      <x:c r="L9" s="3" t="n">
        <x:f>ROUND(L209*L329,2)</x:f>
        <x:v>288.54</x:v>
      </x:c>
      <x:c r="M9" s="3" t="n">
        <x:f>ROUND(M209*M329,2)</x:f>
        <x:v>190.88</x:v>
      </x:c>
      <x:c r="N9" s="3" t="n">
        <x:f>ROUND(N209*N329,2)</x:f>
        <x:v>259.87</x:v>
      </x:c>
      <x:c r="O9" s="3" t="n">
        <x:f>SUM(C9:N9)</x:f>
        <x:v>2611.3500000000004</x:v>
      </x:c>
      <x:c r="P9" s="2" t="str">
        <x:v>EXP1.009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251.99</x:v>
      </x:c>
      <x:c r="D10" s="3" t="n">
        <x:f>ROUND(D210*D330,2)</x:f>
        <x:v>171.18</x:v>
      </x:c>
      <x:c r="E10" s="3" t="n">
        <x:f>ROUND(E210*E330,2)</x:f>
        <x:v>483.11</x:v>
      </x:c>
      <x:c r="F10" s="3" t="n">
        <x:f>ROUND(F210*F330,2)</x:f>
        <x:v>167.26</x:v>
      </x:c>
      <x:c r="G10" s="3" t="n">
        <x:f>ROUND(G210*G330,2)</x:f>
        <x:v>68.71</x:v>
      </x:c>
      <x:c r="H10" s="3" t="n">
        <x:f>ROUND(H210*H330,2)</x:f>
        <x:v>184.47</x:v>
      </x:c>
      <x:c r="I10" s="3" t="n">
        <x:f>ROUND(I210*I330,2)</x:f>
        <x:v>199.19</x:v>
      </x:c>
      <x:c r="J10" s="3" t="n">
        <x:f>ROUND(J210*J330,2)</x:f>
        <x:v>212.41</x:v>
      </x:c>
      <x:c r="K10" s="3" t="n">
        <x:f>ROUND(K210*K330,2)</x:f>
        <x:v>322.75</x:v>
      </x:c>
      <x:c r="L10" s="3" t="n">
        <x:f>ROUND(L210*L330,2)</x:f>
        <x:v>194.75</x:v>
      </x:c>
      <x:c r="M10" s="3" t="n">
        <x:f>ROUND(M210*M330,2)</x:f>
        <x:v>311.45</x:v>
      </x:c>
      <x:c r="N10" s="3" t="n">
        <x:f>ROUND(N210*N330,2)</x:f>
        <x:v>346.16</x:v>
      </x:c>
      <x:c r="O10" s="3" t="n">
        <x:f>SUM(C10:N10)</x:f>
        <x:v>2913.43</x:v>
      </x:c>
      <x:c r="P10" s="2" t="str">
        <x:v>EXP1.010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425.22</x:v>
      </x:c>
      <x:c r="D11" s="3" t="n">
        <x:f>ROUND(D211*D331,2)</x:f>
        <x:v>334.95</x:v>
      </x:c>
      <x:c r="E11" s="3" t="n">
        <x:f>ROUND(E211*E331,2)</x:f>
        <x:v>174.3</x:v>
      </x:c>
      <x:c r="F11" s="3" t="n">
        <x:f>ROUND(F211*F331,2)</x:f>
        <x:v>302.54</x:v>
      </x:c>
      <x:c r="G11" s="3" t="n">
        <x:f>ROUND(G211*G331,2)</x:f>
        <x:v>149.94</x:v>
      </x:c>
      <x:c r="H11" s="3" t="n">
        <x:f>ROUND(H211*H331,2)</x:f>
        <x:v>222.4</x:v>
      </x:c>
      <x:c r="I11" s="3" t="n">
        <x:f>ROUND(I211*I331,2)</x:f>
        <x:v>565.43</x:v>
      </x:c>
      <x:c r="J11" s="3" t="n">
        <x:f>ROUND(J211*J331,2)</x:f>
        <x:v>105.69</x:v>
      </x:c>
      <x:c r="K11" s="3" t="n">
        <x:f>ROUND(K211*K331,2)</x:f>
        <x:v>216.34</x:v>
      </x:c>
      <x:c r="L11" s="3" t="n">
        <x:f>ROUND(L211*L331,2)</x:f>
        <x:v>116.37</x:v>
      </x:c>
      <x:c r="M11" s="3" t="n">
        <x:f>ROUND(M211*M331,2)</x:f>
        <x:v>371.07</x:v>
      </x:c>
      <x:c r="N11" s="3" t="n">
        <x:f>ROUND(N211*N331,2)</x:f>
        <x:v>453.37</x:v>
      </x:c>
      <x:c r="O11" s="3" t="n">
        <x:f>SUM(C11:N11)</x:f>
        <x:v>3437.6200000000003</x:v>
      </x:c>
      <x:c r="P11" s="2" t="str">
        <x:v>EXP1.011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337.72</x:v>
      </x:c>
      <x:c r="D12" s="3" t="n">
        <x:f>ROUND(D212*D332,2)</x:f>
        <x:v>112.62</x:v>
      </x:c>
      <x:c r="E12" s="3" t="n">
        <x:f>ROUND(E212*E332,2)</x:f>
        <x:v>403.85</x:v>
      </x:c>
      <x:c r="F12" s="3" t="n">
        <x:f>ROUND(F212*F332,2)</x:f>
        <x:v>230.59</x:v>
      </x:c>
      <x:c r="G12" s="3" t="n">
        <x:f>ROUND(G212*G332,2)</x:f>
        <x:v>414.98</x:v>
      </x:c>
      <x:c r="H12" s="3" t="n">
        <x:f>ROUND(H212*H332,2)</x:f>
        <x:v>386.76</x:v>
      </x:c>
      <x:c r="I12" s="3" t="n">
        <x:f>ROUND(I212*I332,2)</x:f>
        <x:v>210.79</x:v>
      </x:c>
      <x:c r="J12" s="3" t="n">
        <x:f>ROUND(J212*J332,2)</x:f>
        <x:v>404.52</x:v>
      </x:c>
      <x:c r="K12" s="3" t="n">
        <x:f>ROUND(K212*K332,2)</x:f>
        <x:v>223.25</x:v>
      </x:c>
      <x:c r="L12" s="3" t="n">
        <x:f>ROUND(L212*L332,2)</x:f>
        <x:v>115.25</x:v>
      </x:c>
      <x:c r="M12" s="3" t="n">
        <x:f>ROUND(M212*M332,2)</x:f>
        <x:v>272.9</x:v>
      </x:c>
      <x:c r="N12" s="3" t="n">
        <x:f>ROUND(N212*N332,2)</x:f>
        <x:v>97.95</x:v>
      </x:c>
      <x:c r="O12" s="3" t="n">
        <x:f>SUM(C12:N12)</x:f>
        <x:v>3211.18</x:v>
      </x:c>
      <x:c r="P12" s="2" t="str">
        <x:v>EXP1.012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284.93</x:v>
      </x:c>
      <x:c r="D13" s="3" t="n">
        <x:f>ROUND(D213*D333,2)</x:f>
        <x:v>223.04</x:v>
      </x:c>
      <x:c r="E13" s="3" t="n">
        <x:f>ROUND(E213*E333,2)</x:f>
        <x:v>357.61</x:v>
      </x:c>
      <x:c r="F13" s="3" t="n">
        <x:f>ROUND(F213*F333,2)</x:f>
        <x:v>135.86</x:v>
      </x:c>
      <x:c r="G13" s="3" t="n">
        <x:f>ROUND(G213*G333,2)</x:f>
        <x:v>276.28</x:v>
      </x:c>
      <x:c r="H13" s="3" t="n">
        <x:f>ROUND(H213*H333,2)</x:f>
        <x:v>208.33</x:v>
      </x:c>
      <x:c r="I13" s="3" t="n">
        <x:f>ROUND(I213*I333,2)</x:f>
        <x:v>282.83</x:v>
      </x:c>
      <x:c r="J13" s="3" t="n">
        <x:f>ROUND(J213*J333,2)</x:f>
        <x:v>371.32</x:v>
      </x:c>
      <x:c r="K13" s="3" t="n">
        <x:f>ROUND(K213*K333,2)</x:f>
        <x:v>400.03</x:v>
      </x:c>
      <x:c r="L13" s="3" t="n">
        <x:f>ROUND(L213*L333,2)</x:f>
        <x:v>189.57</x:v>
      </x:c>
      <x:c r="M13" s="3" t="n">
        <x:f>ROUND(M213*M333,2)</x:f>
        <x:v>114.68</x:v>
      </x:c>
      <x:c r="N13" s="3" t="n">
        <x:f>ROUND(N213*N333,2)</x:f>
        <x:v>152.23</x:v>
      </x:c>
      <x:c r="O13" s="3" t="n">
        <x:f>SUM(C13:N13)</x:f>
        <x:v>2996.7099999999996</x:v>
      </x:c>
      <x:c r="P13" s="2" t="str">
        <x:v>EXP1.013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179.9</x:v>
      </x:c>
      <x:c r="D14" s="3" t="n">
        <x:f>ROUND(D214*D334,2)</x:f>
        <x:v>384.77</x:v>
      </x:c>
      <x:c r="E14" s="3" t="n">
        <x:f>ROUND(E214*E334,2)</x:f>
        <x:v>206.27</x:v>
      </x:c>
      <x:c r="F14" s="3" t="n">
        <x:f>ROUND(F214*F334,2)</x:f>
        <x:v>324.68</x:v>
      </x:c>
      <x:c r="G14" s="3" t="n">
        <x:f>ROUND(G214*G334,2)</x:f>
        <x:v>209.47</x:v>
      </x:c>
      <x:c r="H14" s="3" t="n">
        <x:f>ROUND(H214*H334,2)</x:f>
        <x:v>228.51</x:v>
      </x:c>
      <x:c r="I14" s="3" t="n">
        <x:f>ROUND(I214*I334,2)</x:f>
        <x:v>57.44</x:v>
      </x:c>
      <x:c r="J14" s="3" t="n">
        <x:f>ROUND(J214*J334,2)</x:f>
        <x:v>382.24</x:v>
      </x:c>
      <x:c r="K14" s="3" t="n">
        <x:f>ROUND(K214*K334,2)</x:f>
        <x:v>184.23</x:v>
      </x:c>
      <x:c r="L14" s="3" t="n">
        <x:f>ROUND(L214*L334,2)</x:f>
        <x:v>174.18</x:v>
      </x:c>
      <x:c r="M14" s="3" t="n">
        <x:f>ROUND(M214*M334,2)</x:f>
        <x:v>156.83</x:v>
      </x:c>
      <x:c r="N14" s="3" t="n">
        <x:f>ROUND(N214*N334,2)</x:f>
        <x:v>224.09</x:v>
      </x:c>
      <x:c r="O14" s="3" t="n">
        <x:f>SUM(C14:N14)</x:f>
        <x:v>2712.6099999999997</x:v>
      </x:c>
      <x:c r="P14" s="2" t="str">
        <x:v>EXP1.014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431.66</x:v>
      </x:c>
      <x:c r="D15" s="3" t="n">
        <x:f>ROUND(D215*D335,2)</x:f>
        <x:v>227.8</x:v>
      </x:c>
      <x:c r="E15" s="3" t="n">
        <x:f>ROUND(E215*E335,2)</x:f>
        <x:v>79.97</x:v>
      </x:c>
      <x:c r="F15" s="3" t="n">
        <x:f>ROUND(F215*F335,2)</x:f>
        <x:v>145.78</x:v>
      </x:c>
      <x:c r="G15" s="3" t="n">
        <x:f>ROUND(G215*G335,2)</x:f>
        <x:v>390.97</x:v>
      </x:c>
      <x:c r="H15" s="3" t="n">
        <x:f>ROUND(H215*H335,2)</x:f>
        <x:v>193.53</x:v>
      </x:c>
      <x:c r="I15" s="3" t="n">
        <x:f>ROUND(I215*I335,2)</x:f>
        <x:v>397.09</x:v>
      </x:c>
      <x:c r="J15" s="3" t="n">
        <x:f>ROUND(J215*J335,2)</x:f>
        <x:v>551.3</x:v>
      </x:c>
      <x:c r="K15" s="3" t="n">
        <x:f>ROUND(K215*K335,2)</x:f>
        <x:v>465.2</x:v>
      </x:c>
      <x:c r="L15" s="3" t="n">
        <x:f>ROUND(L215*L335,2)</x:f>
        <x:v>436.04</x:v>
      </x:c>
      <x:c r="M15" s="3" t="n">
        <x:f>ROUND(M215*M335,2)</x:f>
        <x:v>108.95</x:v>
      </x:c>
      <x:c r="N15" s="3" t="n">
        <x:f>ROUND(N215*N335,2)</x:f>
        <x:v>156.63</x:v>
      </x:c>
      <x:c r="O15" s="3" t="n">
        <x:f>SUM(C15:N15)</x:f>
        <x:v>3584.9199999999996</x:v>
      </x:c>
      <x:c r="P15" s="2" t="str">
        <x:v>EXP1.015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379.73</x:v>
      </x:c>
      <x:c r="D16" s="3" t="n">
        <x:f>ROUND(D216*D336,2)</x:f>
        <x:v>242.46</x:v>
      </x:c>
      <x:c r="E16" s="3" t="n">
        <x:f>ROUND(E216*E336,2)</x:f>
        <x:v>304.26</x:v>
      </x:c>
      <x:c r="F16" s="3" t="n">
        <x:f>ROUND(F216*F336,2)</x:f>
        <x:v>496.83</x:v>
      </x:c>
      <x:c r="G16" s="3" t="n">
        <x:f>ROUND(G216*G336,2)</x:f>
        <x:v>322.03</x:v>
      </x:c>
      <x:c r="H16" s="3" t="n">
        <x:f>ROUND(H216*H336,2)</x:f>
        <x:v>443.83</x:v>
      </x:c>
      <x:c r="I16" s="3" t="n">
        <x:f>ROUND(I216*I336,2)</x:f>
        <x:v>339.07</x:v>
      </x:c>
      <x:c r="J16" s="3" t="n">
        <x:f>ROUND(J216*J336,2)</x:f>
        <x:v>102.69</x:v>
      </x:c>
      <x:c r="K16" s="3" t="n">
        <x:f>ROUND(K216*K336,2)</x:f>
        <x:v>195.78</x:v>
      </x:c>
      <x:c r="L16" s="3" t="n">
        <x:f>ROUND(L216*L336,2)</x:f>
        <x:v>112.32</x:v>
      </x:c>
      <x:c r="M16" s="3" t="n">
        <x:f>ROUND(M216*M336,2)</x:f>
        <x:v>297.74</x:v>
      </x:c>
      <x:c r="N16" s="3" t="n">
        <x:f>ROUND(N216*N336,2)</x:f>
        <x:v>385.46</x:v>
      </x:c>
      <x:c r="O16" s="3" t="n">
        <x:f>SUM(C16:N16)</x:f>
        <x:v>3622.2000000000007</x:v>
      </x:c>
      <x:c r="P16" s="2" t="str">
        <x:v>EXP1.016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ROUND(C217*C337,2)</x:f>
        <x:v>155.05</x:v>
      </x:c>
      <x:c r="D17" s="3" t="n">
        <x:f>ROUND(D217*D337,2)</x:f>
        <x:v>206.44</x:v>
      </x:c>
      <x:c r="E17" s="3" t="n">
        <x:f>ROUND(E217*E337,2)</x:f>
        <x:v>340.02</x:v>
      </x:c>
      <x:c r="F17" s="3" t="n">
        <x:f>ROUND(F217*F337,2)</x:f>
        <x:v>253.75</x:v>
      </x:c>
      <x:c r="G17" s="3" t="n">
        <x:f>ROUND(G217*G337,2)</x:f>
        <x:v>78.56</x:v>
      </x:c>
      <x:c r="H17" s="3" t="n">
        <x:f>ROUND(H217*H337,2)</x:f>
        <x:v>186.26</x:v>
      </x:c>
      <x:c r="I17" s="3" t="n">
        <x:f>ROUND(I217*I337,2)</x:f>
        <x:v>109.26</x:v>
      </x:c>
      <x:c r="J17" s="3" t="n">
        <x:f>ROUND(J217*J337,2)</x:f>
        <x:v>231.49</x:v>
      </x:c>
      <x:c r="K17" s="3" t="n">
        <x:f>ROUND(K217*K337,2)</x:f>
        <x:v>231.42</x:v>
      </x:c>
      <x:c r="L17" s="3" t="n">
        <x:f>ROUND(L217*L337,2)</x:f>
        <x:v>263.7</x:v>
      </x:c>
      <x:c r="M17" s="3" t="n">
        <x:f>ROUND(M217*M337,2)</x:f>
        <x:v>483.77</x:v>
      </x:c>
      <x:c r="N17" s="3" t="n">
        <x:f>ROUND(N217*N337,2)</x:f>
        <x:v>259.58</x:v>
      </x:c>
      <x:c r="O17" s="3" t="n">
        <x:f>SUM(C17:N17)</x:f>
        <x:v>2799.2999999999997</x:v>
      </x:c>
      <x:c r="P17" s="2" t="str">
        <x:v>EXP1.017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289.02</x:v>
      </x:c>
      <x:c r="D18" s="3" t="n">
        <x:f>ROUND(D218*D338,2)</x:f>
        <x:v>145.21</x:v>
      </x:c>
      <x:c r="E18" s="3" t="n">
        <x:f>ROUND(E218*E338,2)</x:f>
        <x:v>275.77</x:v>
      </x:c>
      <x:c r="F18" s="3" t="n">
        <x:f>ROUND(F218*F338,2)</x:f>
        <x:v>163.79</x:v>
      </x:c>
      <x:c r="G18" s="3" t="n">
        <x:f>ROUND(G218*G338,2)</x:f>
        <x:v>235.16</x:v>
      </x:c>
      <x:c r="H18" s="3" t="n">
        <x:f>ROUND(H218*H338,2)</x:f>
        <x:v>141.03</x:v>
      </x:c>
      <x:c r="I18" s="3" t="n">
        <x:f>ROUND(I218*I338,2)</x:f>
        <x:v>248.02</x:v>
      </x:c>
      <x:c r="J18" s="3" t="n">
        <x:f>ROUND(J218*J338,2)</x:f>
        <x:v>199.53</x:v>
      </x:c>
      <x:c r="K18" s="3" t="n">
        <x:f>ROUND(K218*K338,2)</x:f>
        <x:v>311.22</x:v>
      </x:c>
      <x:c r="L18" s="3" t="n">
        <x:f>ROUND(L218*L338,2)</x:f>
        <x:v>225.54</x:v>
      </x:c>
      <x:c r="M18" s="3" t="n">
        <x:f>ROUND(M218*M338,2)</x:f>
        <x:v>164.34</x:v>
      </x:c>
      <x:c r="N18" s="3" t="n">
        <x:f>ROUND(N218*N338,2)</x:f>
        <x:v>408.71</x:v>
      </x:c>
      <x:c r="O18" s="3" t="n">
        <x:f>SUM(C18:N18)</x:f>
        <x:v>2807.34</x:v>
      </x:c>
      <x:c r="P18" s="2" t="str">
        <x:v>EXP1.018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184.03</x:v>
      </x:c>
      <x:c r="D19" s="3" t="n">
        <x:f>ROUND(D219*D339,2)</x:f>
        <x:v>167.08</x:v>
      </x:c>
      <x:c r="E19" s="3" t="n">
        <x:f>ROUND(E219*E339,2)</x:f>
        <x:v>234.26</x:v>
      </x:c>
      <x:c r="F19" s="3" t="n">
        <x:f>ROUND(F219*F339,2)</x:f>
        <x:v>256.08</x:v>
      </x:c>
      <x:c r="G19" s="3" t="n">
        <x:f>ROUND(G219*G339,2)</x:f>
        <x:v>165.69</x:v>
      </x:c>
      <x:c r="H19" s="3" t="n">
        <x:f>ROUND(H219*H339,2)</x:f>
        <x:v>187.14</x:v>
      </x:c>
      <x:c r="I19" s="3" t="n">
        <x:f>ROUND(I219*I339,2)</x:f>
        <x:v>180.13</x:v>
      </x:c>
      <x:c r="J19" s="3" t="n">
        <x:f>ROUND(J219*J339,2)</x:f>
        <x:v>121.25</x:v>
      </x:c>
      <x:c r="K19" s="3" t="n">
        <x:f>ROUND(K219*K339,2)</x:f>
        <x:v>546.53</x:v>
      </x:c>
      <x:c r="L19" s="3" t="n">
        <x:f>ROUND(L219*L339,2)</x:f>
        <x:v>274.39</x:v>
      </x:c>
      <x:c r="M19" s="3" t="n">
        <x:f>ROUND(M219*M339,2)</x:f>
        <x:v>341.58</x:v>
      </x:c>
      <x:c r="N19" s="3" t="n">
        <x:f>ROUND(N219*N339,2)</x:f>
        <x:v>323.2</x:v>
      </x:c>
      <x:c r="O19" s="3" t="n">
        <x:f>SUM(C19:N19)</x:f>
        <x:v>2981.36</x:v>
      </x:c>
      <x:c r="P19" s="2" t="str">
        <x:v>EXP1.019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592.43</x:v>
      </x:c>
      <x:c r="D20" s="3" t="n">
        <x:f>ROUND('摊销明细'!D33/3,2)</x:f>
        <x:v>592.43</x:v>
      </x:c>
      <x:c r="E20" s="3" t="n">
        <x:f>ROUND('摊销明细'!E33/3,2)</x:f>
        <x:v>592.43</x:v>
      </x:c>
      <x:c r="F20" s="3" t="n">
        <x:f>ROUND('摊销明细'!F33/3,2)</x:f>
        <x:v>592.43</x:v>
      </x:c>
      <x:c r="G20" s="3" t="n">
        <x:f>ROUND('摊销明细'!G33/3,2)</x:f>
        <x:v>592.43</x:v>
      </x:c>
      <x:c r="H20" s="3" t="n">
        <x:f>ROUND('摊销明细'!H33/3,2)</x:f>
        <x:v>592.43</x:v>
      </x:c>
      <x:c r="I20" s="3" t="n">
        <x:f>ROUND('摊销明细'!I33/3,2)</x:f>
        <x:v>592.43</x:v>
      </x:c>
      <x:c r="J20" s="3" t="n">
        <x:f>ROUND('摊销明细'!J33/3,2)</x:f>
        <x:v>592.43</x:v>
      </x:c>
      <x:c r="K20" s="3" t="n">
        <x:f>ROUND('摊销明细'!K33/3,2)</x:f>
        <x:v>592.43</x:v>
      </x:c>
      <x:c r="L20" s="3" t="n">
        <x:f>ROUND('摊销明细'!L33/3,2)</x:f>
        <x:v>592.43</x:v>
      </x:c>
      <x:c r="M20" s="3" t="n">
        <x:f>ROUND('摊销明细'!M33/3,2)</x:f>
        <x:v>592.43</x:v>
      </x:c>
      <x:c r="N20" s="3" t="n">
        <x:f>ROUND('摊销明细'!N33/3,2)</x:f>
        <x:v>592.43</x:v>
      </x:c>
      <x:c r="O20" s="3" t="n">
        <x:f>SUM(C20:N20)</x:f>
        <x:v>7109.160000000001</x:v>
      </x:c>
      <x:c r="P20" s="2" t="str">
        <x:v>EXP1.020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176.17</x:v>
      </x:c>
      <x:c r="D21" s="3" t="n">
        <x:f>ROUND(D221*D341,2)</x:f>
        <x:v>184.31</x:v>
      </x:c>
      <x:c r="E21" s="3" t="n">
        <x:f>ROUND(E221*E341,2)</x:f>
        <x:v>250.66</x:v>
      </x:c>
      <x:c r="F21" s="3" t="n">
        <x:f>ROUND(F221*F341,2)</x:f>
        <x:v>148.73</x:v>
      </x:c>
      <x:c r="G21" s="3" t="n">
        <x:f>ROUND(G221*G341,2)</x:f>
        <x:v>148.66</x:v>
      </x:c>
      <x:c r="H21" s="3" t="n">
        <x:f>ROUND(H221*H341,2)</x:f>
        <x:v>97.67</x:v>
      </x:c>
      <x:c r="I21" s="3" t="n">
        <x:f>ROUND(I221*I341,2)</x:f>
        <x:v>239.6</x:v>
      </x:c>
      <x:c r="J21" s="3" t="n">
        <x:f>ROUND(J221*J341,2)</x:f>
        <x:v>105.24</x:v>
      </x:c>
      <x:c r="K21" s="3" t="n">
        <x:f>ROUND(K221*K341,2)</x:f>
        <x:v>507.89</x:v>
      </x:c>
      <x:c r="L21" s="3" t="n">
        <x:f>ROUND(L221*L341,2)</x:f>
        <x:v>142.85</x:v>
      </x:c>
      <x:c r="M21" s="3" t="n">
        <x:f>ROUND(M221*M341,2)</x:f>
        <x:v>430.64</x:v>
      </x:c>
      <x:c r="N21" s="3" t="n">
        <x:f>ROUND(N221*N341,2)</x:f>
        <x:v>168.12</x:v>
      </x:c>
      <x:c r="O21" s="3" t="n">
        <x:f>SUM(C21:N21)</x:f>
        <x:v>2600.5399999999995</x:v>
      </x:c>
      <x:c r="P21" s="2" t="str">
        <x:v>EXP1.021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290.44</x:v>
      </x:c>
      <x:c r="D22" s="3" t="n">
        <x:f>ROUND(D222*D342,2)</x:f>
        <x:v>120.56</x:v>
      </x:c>
      <x:c r="E22" s="3" t="n">
        <x:f>ROUND(E222*E342,2)</x:f>
        <x:v>218.61</x:v>
      </x:c>
      <x:c r="F22" s="3" t="n">
        <x:f>ROUND(F222*F342,2)</x:f>
        <x:v>227.92</x:v>
      </x:c>
      <x:c r="G22" s="3" t="n">
        <x:f>ROUND(G222*G342,2)</x:f>
        <x:v>399.99</x:v>
      </x:c>
      <x:c r="H22" s="3" t="n">
        <x:f>ROUND(H222*H342,2)</x:f>
        <x:v>79.83</x:v>
      </x:c>
      <x:c r="I22" s="3" t="n">
        <x:f>ROUND(I222*I342,2)</x:f>
        <x:v>534.4</x:v>
      </x:c>
      <x:c r="J22" s="3" t="n">
        <x:f>ROUND(J222*J342,2)</x:f>
        <x:v>189.67</x:v>
      </x:c>
      <x:c r="K22" s="3" t="n">
        <x:f>ROUND(K222*K342,2)</x:f>
        <x:v>271.48</x:v>
      </x:c>
      <x:c r="L22" s="3" t="n">
        <x:f>ROUND(L222*L342,2)</x:f>
        <x:v>197.44</x:v>
      </x:c>
      <x:c r="M22" s="3" t="n">
        <x:f>ROUND(M222*M342,2)</x:f>
        <x:v>268.18</x:v>
      </x:c>
      <x:c r="N22" s="3" t="n">
        <x:f>ROUND(N222*N342,2)</x:f>
        <x:v>238.97</x:v>
      </x:c>
      <x:c r="O22" s="3" t="n">
        <x:f>SUM(C22:N22)</x:f>
        <x:v>3037.49</x:v>
      </x:c>
      <x:c r="P22" s="2" t="str">
        <x:v>EXP1.022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295.83</x:v>
      </x:c>
      <x:c r="D23" s="3" t="n">
        <x:f>ROUND(D223*D343,2)</x:f>
        <x:v>105.46</x:v>
      </x:c>
      <x:c r="E23" s="3" t="n">
        <x:f>ROUND(E223*E343,2)</x:f>
        <x:v>254.27</x:v>
      </x:c>
      <x:c r="F23" s="3" t="n">
        <x:f>ROUND(F223*F343,2)</x:f>
        <x:v>299</x:v>
      </x:c>
      <x:c r="G23" s="3" t="n">
        <x:f>ROUND(G223*G343,2)</x:f>
        <x:v>120.37</x:v>
      </x:c>
      <x:c r="H23" s="3" t="n">
        <x:f>ROUND(H223*H343,2)</x:f>
        <x:v>386.28</x:v>
      </x:c>
      <x:c r="I23" s="3" t="n">
        <x:f>ROUND(I223*I343,2)</x:f>
        <x:v>114.12</x:v>
      </x:c>
      <x:c r="J23" s="3" t="n">
        <x:f>ROUND(J223*J343,2)</x:f>
        <x:v>91.03</x:v>
      </x:c>
      <x:c r="K23" s="3" t="n">
        <x:f>ROUND(K223*K343,2)</x:f>
        <x:v>71.89</x:v>
      </x:c>
      <x:c r="L23" s="3" t="n">
        <x:f>ROUND(L223*L343,2)</x:f>
        <x:v>316.13</x:v>
      </x:c>
      <x:c r="M23" s="3" t="n">
        <x:f>ROUND(M223*M343,2)</x:f>
        <x:v>363.39</x:v>
      </x:c>
      <x:c r="N23" s="3" t="n">
        <x:f>ROUND(N223*N343,2)</x:f>
        <x:v>487.81</x:v>
      </x:c>
      <x:c r="O23" s="3" t="n">
        <x:f>SUM(C23:N23)</x:f>
        <x:v>2905.58</x:v>
      </x:c>
      <x:c r="P23" s="2" t="str">
        <x:v>EXP1.023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94.71</x:v>
      </x:c>
      <x:c r="D24" s="3" t="n">
        <x:f>ROUND(D224*D344,2)</x:f>
        <x:v>383.74</x:v>
      </x:c>
      <x:c r="E24" s="3" t="n">
        <x:f>ROUND(E224*E344,2)</x:f>
        <x:v>542.16</x:v>
      </x:c>
      <x:c r="F24" s="3" t="n">
        <x:f>ROUND(F224*F344,2)</x:f>
        <x:v>346.42</x:v>
      </x:c>
      <x:c r="G24" s="3" t="n">
        <x:f>ROUND(G224*G344,2)</x:f>
        <x:v>265.31</x:v>
      </x:c>
      <x:c r="H24" s="3" t="n">
        <x:f>ROUND(H224*H344,2)</x:f>
        <x:v>109.04</x:v>
      </x:c>
      <x:c r="I24" s="3" t="n">
        <x:f>ROUND(I224*I344,2)</x:f>
        <x:v>146.4</x:v>
      </x:c>
      <x:c r="J24" s="3" t="n">
        <x:f>ROUND(J224*J344,2)</x:f>
        <x:v>227.43</x:v>
      </x:c>
      <x:c r="K24" s="3" t="n">
        <x:f>ROUND(K224*K344,2)</x:f>
        <x:v>191.29</x:v>
      </x:c>
      <x:c r="L24" s="3" t="n">
        <x:f>ROUND(L224*L344,2)</x:f>
        <x:v>322.28</x:v>
      </x:c>
      <x:c r="M24" s="3" t="n">
        <x:f>ROUND(M224*M344,2)</x:f>
        <x:v>409.36</x:v>
      </x:c>
      <x:c r="N24" s="3" t="n">
        <x:f>ROUND(N224*N344,2)</x:f>
        <x:v>530.94</x:v>
      </x:c>
      <x:c r="O24" s="3" t="n">
        <x:f>SUM(C24:N24)</x:f>
        <x:v>3569.08</x:v>
      </x:c>
      <x:c r="P24" s="2" t="str">
        <x:v>EXP1.024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134</x:v>
      </x:c>
      <x:c r="D25" s="3" t="n">
        <x:f>ROUND(D225*D345,2)</x:f>
        <x:v>406.79</x:v>
      </x:c>
      <x:c r="E25" s="3" t="n">
        <x:f>ROUND(E225*E345,2)</x:f>
        <x:v>293.78</x:v>
      </x:c>
      <x:c r="F25" s="3" t="n">
        <x:f>ROUND(F225*F345,2)</x:f>
        <x:v>180.25</x:v>
      </x:c>
      <x:c r="G25" s="3" t="n">
        <x:f>ROUND(G225*G345,2)</x:f>
        <x:v>86.56</x:v>
      </x:c>
      <x:c r="H25" s="3" t="n">
        <x:f>ROUND(H225*H345,2)</x:f>
        <x:v>522.81</x:v>
      </x:c>
      <x:c r="I25" s="3" t="n">
        <x:f>ROUND(I225*I345,2)</x:f>
        <x:v>145.78</x:v>
      </x:c>
      <x:c r="J25" s="3" t="n">
        <x:f>ROUND(J225*J345,2)</x:f>
        <x:v>303.97</x:v>
      </x:c>
      <x:c r="K25" s="3" t="n">
        <x:f>ROUND(K225*K345,2)</x:f>
        <x:v>250.19</x:v>
      </x:c>
      <x:c r="L25" s="3" t="n">
        <x:f>ROUND(L225*L345,2)</x:f>
        <x:v>115.26</x:v>
      </x:c>
      <x:c r="M25" s="3" t="n">
        <x:f>ROUND(M225*M345,2)</x:f>
        <x:v>570.54</x:v>
      </x:c>
      <x:c r="N25" s="3" t="n">
        <x:f>ROUND(N225*N345,2)</x:f>
        <x:v>360.75</x:v>
      </x:c>
      <x:c r="O25" s="3" t="n">
        <x:f>SUM(C25:N25)</x:f>
        <x:v>3370.68</x:v>
      </x:c>
      <x:c r="P25" s="2" t="str">
        <x:v>EXP1.025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349.93</x:v>
      </x:c>
      <x:c r="D26" s="3" t="n">
        <x:f>ROUND(D226*D346,2)</x:f>
        <x:v>204.7</x:v>
      </x:c>
      <x:c r="E26" s="3" t="n">
        <x:f>ROUND(E226*E346,2)</x:f>
        <x:v>109.06</x:v>
      </x:c>
      <x:c r="F26" s="3" t="n">
        <x:f>ROUND(F226*F346,2)</x:f>
        <x:v>130.35</x:v>
      </x:c>
      <x:c r="G26" s="3" t="n">
        <x:f>ROUND(G226*G346,2)</x:f>
        <x:v>152.76</x:v>
      </x:c>
      <x:c r="H26" s="3" t="n">
        <x:f>ROUND(H226*H346,2)</x:f>
        <x:v>156.18</x:v>
      </x:c>
      <x:c r="I26" s="3" t="n">
        <x:f>ROUND(I226*I346,2)</x:f>
        <x:v>146.19</x:v>
      </x:c>
      <x:c r="J26" s="3" t="n">
        <x:f>ROUND(J226*J346,2)</x:f>
        <x:v>81.75</x:v>
      </x:c>
      <x:c r="K26" s="3" t="n">
        <x:f>ROUND(K226*K346,2)</x:f>
        <x:v>270.27</x:v>
      </x:c>
      <x:c r="L26" s="3" t="n">
        <x:f>ROUND(L226*L346,2)</x:f>
        <x:v>54.53</x:v>
      </x:c>
      <x:c r="M26" s="3" t="n">
        <x:f>ROUND(M226*M346,2)</x:f>
        <x:v>304.44</x:v>
      </x:c>
      <x:c r="N26" s="3" t="n">
        <x:f>ROUND(N226*N346,2)</x:f>
        <x:v>273.96</x:v>
      </x:c>
      <x:c r="O26" s="3" t="n">
        <x:f>SUM(C26:N26)</x:f>
        <x:v>2234.12</x:v>
      </x:c>
      <x:c r="P26" s="2" t="str">
        <x:v>EXP1.026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255.92</x:v>
      </x:c>
      <x:c r="D27" s="3" t="n">
        <x:f>ROUND(D227*D347,2)</x:f>
        <x:v>190.86</x:v>
      </x:c>
      <x:c r="E27" s="3" t="n">
        <x:f>ROUND(E227*E347,2)</x:f>
        <x:v>149.3</x:v>
      </x:c>
      <x:c r="F27" s="3" t="n">
        <x:f>ROUND(F227*F347,2)</x:f>
        <x:v>452.43</x:v>
      </x:c>
      <x:c r="G27" s="3" t="n">
        <x:f>ROUND(G227*G347,2)</x:f>
        <x:v>59.53</x:v>
      </x:c>
      <x:c r="H27" s="3" t="n">
        <x:f>ROUND(H227*H347,2)</x:f>
        <x:v>388.87</x:v>
      </x:c>
      <x:c r="I27" s="3" t="n">
        <x:f>ROUND(I227*I347,2)</x:f>
        <x:v>382.66</x:v>
      </x:c>
      <x:c r="J27" s="3" t="n">
        <x:f>ROUND(J227*J347,2)</x:f>
        <x:v>224.21</x:v>
      </x:c>
      <x:c r="K27" s="3" t="n">
        <x:f>ROUND(K227*K347,2)</x:f>
        <x:v>87.74</x:v>
      </x:c>
      <x:c r="L27" s="3" t="n">
        <x:f>ROUND(L227*L347,2)</x:f>
        <x:v>266.41</x:v>
      </x:c>
      <x:c r="M27" s="3" t="n">
        <x:f>ROUND(M227*M347,2)</x:f>
        <x:v>232.65</x:v>
      </x:c>
      <x:c r="N27" s="3" t="n">
        <x:f>ROUND(N227*N347,2)</x:f>
        <x:v>343.21</x:v>
      </x:c>
      <x:c r="O27" s="3" t="n">
        <x:f>SUM(C27:N27)</x:f>
        <x:v>3033.7899999999995</x:v>
      </x:c>
      <x:c r="P27" s="2" t="str">
        <x:v>EXP1.027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163.37</x:v>
      </x:c>
      <x:c r="D28" s="3" t="n">
        <x:f>ROUND(D228*D348,2)</x:f>
        <x:v>220.34</x:v>
      </x:c>
      <x:c r="E28" s="3" t="n">
        <x:f>ROUND(E228*E348,2)</x:f>
        <x:v>206.13</x:v>
      </x:c>
      <x:c r="F28" s="3" t="n">
        <x:f>ROUND(F228*F348,2)</x:f>
        <x:v>138.83</x:v>
      </x:c>
      <x:c r="G28" s="3" t="n">
        <x:f>ROUND(G228*G348,2)</x:f>
        <x:v>207.39</x:v>
      </x:c>
      <x:c r="H28" s="3" t="n">
        <x:f>ROUND(H228*H348,2)</x:f>
        <x:v>228.62</x:v>
      </x:c>
      <x:c r="I28" s="3" t="n">
        <x:f>ROUND(I228*I348,2)</x:f>
        <x:v>360.48</x:v>
      </x:c>
      <x:c r="J28" s="3" t="n">
        <x:f>ROUND(J228*J348,2)</x:f>
        <x:v>299.41</x:v>
      </x:c>
      <x:c r="K28" s="3" t="n">
        <x:f>ROUND(K228*K348,2)</x:f>
        <x:v>226.96</x:v>
      </x:c>
      <x:c r="L28" s="3" t="n">
        <x:f>ROUND(L228*L348,2)</x:f>
        <x:v>474.72</x:v>
      </x:c>
      <x:c r="M28" s="3" t="n">
        <x:f>ROUND(M228*M348,2)</x:f>
        <x:v>115.52</x:v>
      </x:c>
      <x:c r="N28" s="3" t="n">
        <x:f>ROUND(N228*N348,2)</x:f>
        <x:v>263.95</x:v>
      </x:c>
      <x:c r="O28" s="3" t="n">
        <x:f>SUM(C28:N28)</x:f>
        <x:v>2905.72</x:v>
      </x:c>
      <x:c r="P28" s="2" t="str">
        <x:v>EXP1.028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EXP1.029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326.48</x:v>
      </x:c>
      <x:c r="D30" s="6" t="n">
        <x:f>ROUND(D230*D350,2)</x:f>
        <x:v>110.83</x:v>
      </x:c>
      <x:c r="E30" s="6" t="n">
        <x:f>ROUND(E230*E350,2)</x:f>
        <x:v>128.69</x:v>
      </x:c>
      <x:c r="F30" s="6" t="n">
        <x:f>ROUND(F230*F350,2)</x:f>
        <x:v>315.37</x:v>
      </x:c>
      <x:c r="G30" s="6" t="n">
        <x:f>ROUND(G230*G350,2)</x:f>
        <x:v>196.89</x:v>
      </x:c>
      <x:c r="H30" s="6" t="n">
        <x:f>ROUND(H230*H350,2)</x:f>
        <x:v>549.8</x:v>
      </x:c>
      <x:c r="I30" s="6" t="n">
        <x:f>ROUND(I230*I350,2)</x:f>
        <x:v>203.66</x:v>
      </x:c>
      <x:c r="J30" s="6" t="n">
        <x:f>ROUND(J230*J350,2)</x:f>
        <x:v>178.32</x:v>
      </x:c>
      <x:c r="K30" s="6" t="n">
        <x:f>ROUND(K230*K350,2)</x:f>
        <x:v>152.38</x:v>
      </x:c>
      <x:c r="L30" s="6" t="n">
        <x:f>ROUND(L230*L350,2)</x:f>
        <x:v>334.11</x:v>
      </x:c>
      <x:c r="M30" s="6" t="n">
        <x:f>ROUND(M230*M350,2)</x:f>
        <x:v>155.69</x:v>
      </x:c>
      <x:c r="N30" s="6" t="n">
        <x:f>ROUND(N230*N350,2)</x:f>
        <x:v>157.09</x:v>
      </x:c>
      <x:c r="O30" s="6" t="n">
        <x:f>SUM(C30:N30)</x:f>
        <x:v>2809.3100000000004</x:v>
      </x:c>
      <x:c r="P30" s="2" t="str">
        <x:v>EXP1.030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127.4</x:v>
      </x:c>
      <x:c r="D31" s="3" t="n">
        <x:f>ROUND(D231*D351,2)</x:f>
        <x:v>177.5</x:v>
      </x:c>
      <x:c r="E31" s="3" t="n">
        <x:f>ROUND(E231*E351,2)</x:f>
        <x:v>150.19</x:v>
      </x:c>
      <x:c r="F31" s="3" t="n">
        <x:f>ROUND(F231*F351,2)</x:f>
        <x:v>366.25</x:v>
      </x:c>
      <x:c r="G31" s="3" t="n">
        <x:f>ROUND(G231*G351,2)</x:f>
        <x:v>144.42</x:v>
      </x:c>
      <x:c r="H31" s="3" t="n">
        <x:f>ROUND(H231*H351,2)</x:f>
        <x:v>268.77</x:v>
      </x:c>
      <x:c r="I31" s="3" t="n">
        <x:f>ROUND(I231*I351,2)</x:f>
        <x:v>210.05</x:v>
      </x:c>
      <x:c r="J31" s="3" t="n">
        <x:f>ROUND(J231*J351,2)</x:f>
        <x:v>98.64</x:v>
      </x:c>
      <x:c r="K31" s="3" t="n">
        <x:f>ROUND(K231*K351,2)</x:f>
        <x:v>367.17</x:v>
      </x:c>
      <x:c r="L31" s="3" t="n">
        <x:f>ROUND(L231*L351,2)</x:f>
        <x:v>122.47</x:v>
      </x:c>
      <x:c r="M31" s="3" t="n">
        <x:f>ROUND(M231*M351,2)</x:f>
        <x:v>201.02</x:v>
      </x:c>
      <x:c r="N31" s="3" t="n">
        <x:f>ROUND(N231*N351,2)</x:f>
        <x:v>126.59</x:v>
      </x:c>
      <x:c r="O31" s="3" t="n">
        <x:f>SUM(C31:N31)</x:f>
        <x:v>2360.4700000000003</x:v>
      </x:c>
      <x:c r="P31" s="2" t="str">
        <x:v>EXP1.031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231.79</x:v>
      </x:c>
      <x:c r="D32" s="3" t="n">
        <x:f>ROUND(D232*D352,2)</x:f>
        <x:v>416.75</x:v>
      </x:c>
      <x:c r="E32" s="3" t="n">
        <x:f>ROUND(E232*E352,2)</x:f>
        <x:v>193.03</x:v>
      </x:c>
      <x:c r="F32" s="3" t="n">
        <x:f>ROUND(F232*F352,2)</x:f>
        <x:v>446.14</x:v>
      </x:c>
      <x:c r="G32" s="3" t="n">
        <x:f>ROUND(G232*G352,2)</x:f>
        <x:v>198.2</x:v>
      </x:c>
      <x:c r="H32" s="3" t="n">
        <x:f>ROUND(H232*H352,2)</x:f>
        <x:v>152.22</x:v>
      </x:c>
      <x:c r="I32" s="3" t="n">
        <x:f>ROUND(I232*I352,2)</x:f>
        <x:v>84.95</x:v>
      </x:c>
      <x:c r="J32" s="3" t="n">
        <x:f>ROUND(J232*J352,2)</x:f>
        <x:v>368.82</x:v>
      </x:c>
      <x:c r="K32" s="3" t="n">
        <x:f>ROUND(K232*K352,2)</x:f>
        <x:v>174.25</x:v>
      </x:c>
      <x:c r="L32" s="3" t="n">
        <x:f>ROUND(L232*L352,2)</x:f>
        <x:v>220.92</x:v>
      </x:c>
      <x:c r="M32" s="3" t="n">
        <x:f>ROUND(M232*M352,2)</x:f>
        <x:v>181.58</x:v>
      </x:c>
      <x:c r="N32" s="3" t="n">
        <x:f>ROUND(N232*N352,2)</x:f>
        <x:v>229.41</x:v>
      </x:c>
      <x:c r="O32" s="3" t="n">
        <x:f>SUM(C32:N32)</x:f>
        <x:v>2898.06</x:v>
      </x:c>
      <x:c r="P32" s="2" t="str">
        <x:v>EXP1.032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204.74</x:v>
      </x:c>
      <x:c r="D33" s="3" t="n">
        <x:f>ROUND(D233*D353,2)</x:f>
        <x:v>431.34</x:v>
      </x:c>
      <x:c r="E33" s="3" t="n">
        <x:f>ROUND(E233*E353,2)</x:f>
        <x:v>107.43</x:v>
      </x:c>
      <x:c r="F33" s="3" t="n">
        <x:f>ROUND(F233*F353,2)</x:f>
        <x:v>107.04</x:v>
      </x:c>
      <x:c r="G33" s="3" t="n">
        <x:f>ROUND(G233*G353,2)</x:f>
        <x:v>150.93</x:v>
      </x:c>
      <x:c r="H33" s="3" t="n">
        <x:f>ROUND(H233*H353,2)</x:f>
        <x:v>125.98</x:v>
      </x:c>
      <x:c r="I33" s="3" t="n">
        <x:f>ROUND(I233*I353,2)</x:f>
        <x:v>101.21</x:v>
      </x:c>
      <x:c r="J33" s="3" t="n">
        <x:f>ROUND(J233*J353,2)</x:f>
        <x:v>207.32</x:v>
      </x:c>
      <x:c r="K33" s="3" t="n">
        <x:f>ROUND(K233*K353,2)</x:f>
        <x:v>319.38</x:v>
      </x:c>
      <x:c r="L33" s="3" t="n">
        <x:f>ROUND(L233*L353,2)</x:f>
        <x:v>153.82</x:v>
      </x:c>
      <x:c r="M33" s="3" t="n">
        <x:f>ROUND(M233*M353,2)</x:f>
        <x:v>66.12</x:v>
      </x:c>
      <x:c r="N33" s="3" t="n">
        <x:f>ROUND(N233*N353,2)</x:f>
        <x:v>149.63</x:v>
      </x:c>
      <x:c r="O33" s="3" t="n">
        <x:f>SUM(C33:N33)</x:f>
        <x:v>2124.94</x:v>
      </x:c>
      <x:c r="P33" s="2" t="str">
        <x:v>EXP1.033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7089.39</x:v>
      </x:c>
      <x:c r="D34" s="3" t="n">
        <x:f>SUM(D4:D33)</x:f>
        <x:v>6794.2699999999995</x:v>
      </x:c>
      <x:c r="E34" s="3" t="n">
        <x:f>SUM(E4:E33)</x:f>
        <x:v>7620.48</x:v>
      </x:c>
      <x:c r="F34" s="3" t="n">
        <x:f>SUM(F4:F33)</x:f>
        <x:v>7977.800000000001</x:v>
      </x:c>
      <x:c r="G34" s="3" t="n">
        <x:f>SUM(G4:G33)</x:f>
        <x:v>6532.14</x:v>
      </x:c>
      <x:c r="H34" s="3" t="n">
        <x:f>SUM(H4:H33)</x:f>
        <x:v>7578.04</x:v>
      </x:c>
      <x:c r="I34" s="3" t="n">
        <x:f>SUM(I4:I33)</x:f>
        <x:v>7333.169999999999</x:v>
      </x:c>
      <x:c r="J34" s="3" t="n">
        <x:f>SUM(J4:J33)</x:f>
        <x:v>6578.1</x:v>
      </x:c>
      <x:c r="K34" s="3" t="n">
        <x:f>SUM(K4:K33)</x:f>
        <x:v>8339.64</x:v>
      </x:c>
      <x:c r="L34" s="3" t="n">
        <x:f>SUM(L4:L33)</x:f>
        <x:v>6826.179999999999</x:v>
      </x:c>
      <x:c r="M34" s="3" t="n">
        <x:f>SUM(M4:M33)</x:f>
        <x:v>7771.179999999999</x:v>
      </x:c>
      <x:c r="N34" s="3" t="n">
        <x:f>SUM(N4:N33)</x:f>
        <x:v>8192.250000000002</x:v>
      </x:c>
      <x:c r="O34" s="3" t="n">
        <x:f>SUM(C34:N34)</x:f>
        <x:v>88632.63999999998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37.17</x:v>
      </x:c>
      <x:c r="D204" s="4" t="n">
        <x:v>30.36</x:v>
      </x:c>
      <x:c r="E204" s="4" t="n">
        <x:v>38.14</x:v>
      </x:c>
      <x:c r="F204" s="4" t="n">
        <x:v>64.95</x:v>
      </x:c>
      <x:c r="G204" s="4" t="n">
        <x:v>44.8</x:v>
      </x:c>
      <x:c r="H204" s="4" t="n">
        <x:v>55.93</x:v>
      </x:c>
      <x:c r="I204" s="4" t="n">
        <x:v>60.51</x:v>
      </x:c>
      <x:c r="J204" s="4" t="n">
        <x:v>18.33</x:v>
      </x:c>
      <x:c r="K204" s="4" t="n">
        <x:v>46.15</x:v>
      </x:c>
      <x:c r="L204" s="4" t="n">
        <x:v>39.03</x:v>
      </x:c>
      <x:c r="M204" s="4" t="n">
        <x:v>30.51</x:v>
      </x:c>
      <x:c r="N204" s="4" t="n">
        <x:v>29.67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57.88</x:v>
      </x:c>
      <x:c r="D205" s="4" t="n">
        <x:v>50.92</x:v>
      </x:c>
      <x:c r="E205" s="4" t="n">
        <x:v>56.16</x:v>
      </x:c>
      <x:c r="F205" s="4" t="n">
        <x:v>62.21</x:v>
      </x:c>
      <x:c r="G205" s="4" t="n">
        <x:v>62.3</x:v>
      </x:c>
      <x:c r="H205" s="4" t="n">
        <x:v>56.41</x:v>
      </x:c>
      <x:c r="I205" s="4" t="n">
        <x:v>17.89</x:v>
      </x:c>
      <x:c r="J205" s="4" t="n">
        <x:v>37.74</x:v>
      </x:c>
      <x:c r="K205" s="4" t="n">
        <x:v>47.72</x:v>
      </x:c>
      <x:c r="L205" s="4" t="n">
        <x:v>32.93</x:v>
      </x:c>
      <x:c r="M205" s="4" t="n">
        <x:v>24.4</x:v>
      </x:c>
      <x:c r="N205" s="4" t="n">
        <x:v>27.96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23.34</x:v>
      </x:c>
      <x:c r="D206" s="4" t="n">
        <x:v>32.32</x:v>
      </x:c>
      <x:c r="E206" s="4" t="n">
        <x:v>19.22</x:v>
      </x:c>
      <x:c r="F206" s="4" t="n">
        <x:v>35.08</x:v>
      </x:c>
      <x:c r="G206" s="4" t="n">
        <x:v>60.95</x:v>
      </x:c>
      <x:c r="H206" s="4" t="n">
        <x:v>47.11</x:v>
      </x:c>
      <x:c r="I206" s="4" t="n">
        <x:v>62.58</x:v>
      </x:c>
      <x:c r="J206" s="4" t="n">
        <x:v>53.23</x:v>
      </x:c>
      <x:c r="K206" s="4" t="n">
        <x:v>37.35</x:v>
      </x:c>
      <x:c r="L206" s="4" t="n">
        <x:v>47.79</x:v>
      </x:c>
      <x:c r="M206" s="4" t="n">
        <x:v>27.25</x:v>
      </x:c>
      <x:c r="N206" s="4" t="n">
        <x:v>55.02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50.46</x:v>
      </x:c>
      <x:c r="D207" s="4" t="n">
        <x:v>23.19</x:v>
      </x:c>
      <x:c r="E207" s="4" t="n">
        <x:v>19.95</x:v>
      </x:c>
      <x:c r="F207" s="4" t="n">
        <x:v>59.07</x:v>
      </x:c>
      <x:c r="G207" s="4" t="n">
        <x:v>27.64</x:v>
      </x:c>
      <x:c r="H207" s="4" t="n">
        <x:v>44.91</x:v>
      </x:c>
      <x:c r="I207" s="4" t="n">
        <x:v>44.18</x:v>
      </x:c>
      <x:c r="J207" s="4" t="n">
        <x:v>27.18</x:v>
      </x:c>
      <x:c r="K207" s="4" t="n">
        <x:v>60.18</x:v>
      </x:c>
      <x:c r="L207" s="4" t="n">
        <x:v>52.52</x:v>
      </x:c>
      <x:c r="M207" s="4" t="n">
        <x:v>45.95</x:v>
      </x:c>
      <x:c r="N207" s="4" t="n">
        <x:v>66.98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37.87</x:v>
      </x:c>
      <x:c r="D208" s="4" t="n">
        <x:v>46.22</x:v>
      </x:c>
      <x:c r="E208" s="4" t="n">
        <x:v>63.1</x:v>
      </x:c>
      <x:c r="F208" s="4" t="n">
        <x:v>45.6</x:v>
      </x:c>
      <x:c r="G208" s="4" t="n">
        <x:v>40.93</x:v>
      </x:c>
      <x:c r="H208" s="4" t="n">
        <x:v>33.93</x:v>
      </x:c>
      <x:c r="I208" s="4" t="n">
        <x:v>21.93</x:v>
      </x:c>
      <x:c r="J208" s="4" t="n">
        <x:v>21.38</x:v>
      </x:c>
      <x:c r="K208" s="4" t="n">
        <x:v>66.15</x:v>
      </x:c>
      <x:c r="L208" s="4" t="n">
        <x:v>23.9</x:v>
      </x:c>
      <x:c r="M208" s="4" t="n">
        <x:v>31.06</x:v>
      </x:c>
      <x:c r="N208" s="4" t="n">
        <x:v>29.48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19.78</x:v>
      </x:c>
      <x:c r="D209" s="4" t="n">
        <x:v>31.16</x:v>
      </x:c>
      <x:c r="E209" s="4" t="n">
        <x:v>36.91</x:v>
      </x:c>
      <x:c r="F209" s="4" t="n">
        <x:v>64.61</x:v>
      </x:c>
      <x:c r="G209" s="4" t="n">
        <x:v>22.31</x:v>
      </x:c>
      <x:c r="H209" s="4" t="n">
        <x:v>49.06</x:v>
      </x:c>
      <x:c r="I209" s="4" t="n">
        <x:v>52.23</x:v>
      </x:c>
      <x:c r="J209" s="4" t="n">
        <x:v>18.26</x:v>
      </x:c>
      <x:c r="K209" s="4" t="n">
        <x:v>26.69</x:v>
      </x:c>
      <x:c r="L209" s="4" t="n">
        <x:v>59.74</x:v>
      </x:c>
      <x:c r="M209" s="4" t="n">
        <x:v>34.27</x:v>
      </x:c>
      <x:c r="N209" s="4" t="n">
        <x:v>59.33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57.27</x:v>
      </x:c>
      <x:c r="D210" s="4" t="n">
        <x:v>54</x:v>
      </x:c>
      <x:c r="E210" s="4" t="n">
        <x:v>57.24</x:v>
      </x:c>
      <x:c r="F210" s="4" t="n">
        <x:v>43.22</x:v>
      </x:c>
      <x:c r="G210" s="4" t="n">
        <x:v>24.54</x:v>
      </x:c>
      <x:c r="H210" s="4" t="n">
        <x:v>33.91</x:v>
      </x:c>
      <x:c r="I210" s="4" t="n">
        <x:v>45.27</x:v>
      </x:c>
      <x:c r="J210" s="4" t="n">
        <x:v>24.67</x:v>
      </x:c>
      <x:c r="K210" s="4" t="n">
        <x:v>54.61</x:v>
      </x:c>
      <x:c r="L210" s="4" t="n">
        <x:v>31.77</x:v>
      </x:c>
      <x:c r="M210" s="4" t="n">
        <x:v>36.3</x:v>
      </x:c>
      <x:c r="N210" s="4" t="n">
        <x:v>46.34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55.95</x:v>
      </x:c>
      <x:c r="D211" s="4" t="n">
        <x:v>58.05</x:v>
      </x:c>
      <x:c r="E211" s="4" t="n">
        <x:v>46.11</x:v>
      </x:c>
      <x:c r="F211" s="4" t="n">
        <x:v>37.03</x:v>
      </x:c>
      <x:c r="G211" s="4" t="n">
        <x:v>17.64</x:v>
      </x:c>
      <x:c r="H211" s="4" t="n">
        <x:v>55.05</x:v>
      </x:c>
      <x:c r="I211" s="4" t="n">
        <x:v>64.62</x:v>
      </x:c>
      <x:c r="J211" s="4" t="n">
        <x:v>32.42</x:v>
      </x:c>
      <x:c r="K211" s="4" t="n">
        <x:v>34.34</x:v>
      </x:c>
      <x:c r="L211" s="4" t="n">
        <x:v>36.71</x:v>
      </x:c>
      <x:c r="M211" s="4" t="n">
        <x:v>46.5</x:v>
      </x:c>
      <x:c r="N211" s="4" t="n">
        <x:v>55.56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66.09</x:v>
      </x:c>
      <x:c r="D212" s="4" t="n">
        <x:v>23.03</x:v>
      </x:c>
      <x:c r="E212" s="4" t="n">
        <x:v>59.83</x:v>
      </x:c>
      <x:c r="F212" s="4" t="n">
        <x:v>64.23</x:v>
      </x:c>
      <x:c r="G212" s="4" t="n">
        <x:v>50.24</x:v>
      </x:c>
      <x:c r="H212" s="4" t="n">
        <x:v>53.42</x:v>
      </x:c>
      <x:c r="I212" s="4" t="n">
        <x:v>58.88</x:v>
      </x:c>
      <x:c r="J212" s="4" t="n">
        <x:v>52.74</x:v>
      </x:c>
      <x:c r="K212" s="4" t="n">
        <x:v>58.29</x:v>
      </x:c>
      <x:c r="L212" s="4" t="n">
        <x:v>35.03</x:v>
      </x:c>
      <x:c r="M212" s="4" t="n">
        <x:v>52.08</x:v>
      </x:c>
      <x:c r="N212" s="4" t="n">
        <x:v>34.01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63.6</x:v>
      </x:c>
      <x:c r="D213" s="4" t="n">
        <x:v>66.58</x:v>
      </x:c>
      <x:c r="E213" s="4" t="n">
        <x:v>50.51</x:v>
      </x:c>
      <x:c r="F213" s="4" t="n">
        <x:v>18.87</x:v>
      </x:c>
      <x:c r="G213" s="4" t="n">
        <x:v>64.4</x:v>
      </x:c>
      <x:c r="H213" s="4" t="n">
        <x:v>33.93</x:v>
      </x:c>
      <x:c r="I213" s="4" t="n">
        <x:v>62.85</x:v>
      </x:c>
      <x:c r="J213" s="4" t="n">
        <x:v>61.99</x:v>
      </x:c>
      <x:c r="K213" s="4" t="n">
        <x:v>48.08</x:v>
      </x:c>
      <x:c r="L213" s="4" t="n">
        <x:v>55.92</x:v>
      </x:c>
      <x:c r="M213" s="4" t="n">
        <x:v>43.44</x:v>
      </x:c>
      <x:c r="N213" s="4" t="n">
        <x:v>53.79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58.41</x:v>
      </x:c>
      <x:c r="D214" s="4" t="n">
        <x:v>49.52</x:v>
      </x:c>
      <x:c r="E214" s="4" t="n">
        <x:v>27.07</x:v>
      </x:c>
      <x:c r="F214" s="4" t="n">
        <x:v>65.46</x:v>
      </x:c>
      <x:c r="G214" s="4" t="n">
        <x:v>37.14</x:v>
      </x:c>
      <x:c r="H214" s="4" t="n">
        <x:v>48.31</x:v>
      </x:c>
      <x:c r="I214" s="4" t="n">
        <x:v>19.02</x:v>
      </x:c>
      <x:c r="J214" s="4" t="n">
        <x:v>67.06</x:v>
      </x:c>
      <x:c r="K214" s="4" t="n">
        <x:v>58.3</x:v>
      </x:c>
      <x:c r="L214" s="4" t="n">
        <x:v>50.93</x:v>
      </x:c>
      <x:c r="M214" s="4" t="n">
        <x:v>20.69</x:v>
      </x:c>
      <x:c r="N214" s="4" t="n">
        <x:v>28.62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53.89</x:v>
      </x:c>
      <x:c r="D215" s="4" t="n">
        <x:v>40.39</x:v>
      </x:c>
      <x:c r="E215" s="4" t="n">
        <x:v>25.88</x:v>
      </x:c>
      <x:c r="F215" s="4" t="n">
        <x:v>29.57</x:v>
      </x:c>
      <x:c r="G215" s="4" t="n">
        <x:v>58.97</x:v>
      </x:c>
      <x:c r="H215" s="4" t="n">
        <x:v>35.06</x:v>
      </x:c>
      <x:c r="I215" s="4" t="n">
        <x:v>51.37</x:v>
      </x:c>
      <x:c r="J215" s="4" t="n">
        <x:v>64.48</x:v>
      </x:c>
      <x:c r="K215" s="4" t="n">
        <x:v>57.15</x:v>
      </x:c>
      <x:c r="L215" s="4" t="n">
        <x:v>64.03</x:v>
      </x:c>
      <x:c r="M215" s="4" t="n">
        <x:v>20.44</x:v>
      </x:c>
      <x:c r="N215" s="4" t="n">
        <x:v>24.06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63.5</x:v>
      </x:c>
      <x:c r="D216" s="4" t="n">
        <x:v>39.36</x:v>
      </x:c>
      <x:c r="E216" s="4" t="n">
        <x:v>36.88</x:v>
      </x:c>
      <x:c r="F216" s="4" t="n">
        <x:v>58.45</x:v>
      </x:c>
      <x:c r="G216" s="4" t="n">
        <x:v>49.09</x:v>
      </x:c>
      <x:c r="H216" s="4" t="n">
        <x:v>67.76</x:v>
      </x:c>
      <x:c r="I216" s="4" t="n">
        <x:v>48.3</x:v>
      </x:c>
      <x:c r="J216" s="4" t="n">
        <x:v>45.24</x:v>
      </x:c>
      <x:c r="K216" s="4" t="n">
        <x:v>62.55</x:v>
      </x:c>
      <x:c r="L216" s="4" t="n">
        <x:v>25.47</x:v>
      </x:c>
      <x:c r="M216" s="4" t="n">
        <x:v>40.29</x:v>
      </x:c>
      <x:c r="N216" s="4" t="n">
        <x:v>49.93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64.07</x:v>
      </x:c>
      <x:c r="D217" s="4" t="n">
        <x:v>62.18</x:v>
      </x:c>
      <x:c r="E217" s="4" t="n">
        <x:v>45.64</x:v>
      </x:c>
      <x:c r="F217" s="4" t="n">
        <x:v>46.56</x:v>
      </x:c>
      <x:c r="G217" s="4" t="n">
        <x:v>27.76</x:v>
      </x:c>
      <x:c r="H217" s="4" t="n">
        <x:v>25.87</x:v>
      </x:c>
      <x:c r="I217" s="4" t="n">
        <x:v>19.83</x:v>
      </x:c>
      <x:c r="J217" s="4" t="n">
        <x:v>27.17</x:v>
      </x:c>
      <x:c r="K217" s="4" t="n">
        <x:v>28.5</x:v>
      </x:c>
      <x:c r="L217" s="4" t="n">
        <x:v>63.85</x:v>
      </x:c>
      <x:c r="M217" s="4" t="n">
        <x:v>59.14</x:v>
      </x:c>
      <x:c r="N217" s="4" t="n">
        <x:v>54.42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37.39</x:v>
      </x:c>
      <x:c r="D218" s="4" t="n">
        <x:v>49.73</x:v>
      </x:c>
      <x:c r="E218" s="4" t="n">
        <x:v>47.06</x:v>
      </x:c>
      <x:c r="F218" s="4" t="n">
        <x:v>24.52</x:v>
      </x:c>
      <x:c r="G218" s="4" t="n">
        <x:v>40.13</x:v>
      </x:c>
      <x:c r="H218" s="4" t="n">
        <x:v>24.83</x:v>
      </x:c>
      <x:c r="I218" s="4" t="n">
        <x:v>58.22</x:v>
      </x:c>
      <x:c r="J218" s="4" t="n">
        <x:v>34.58</x:v>
      </x:c>
      <x:c r="K218" s="4" t="n">
        <x:v>66.5</x:v>
      </x:c>
      <x:c r="L218" s="4" t="n">
        <x:v>60.63</x:v>
      </x:c>
      <x:c r="M218" s="4" t="n">
        <x:v>38.76</x:v>
      </x:c>
      <x:c r="N218" s="4" t="n">
        <x:v>67.78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25.92</x:v>
      </x:c>
      <x:c r="D219" s="4" t="n">
        <x:v>22.1</x:v>
      </x:c>
      <x:c r="E219" s="4" t="n">
        <x:v>36.32</x:v>
      </x:c>
      <x:c r="F219" s="4" t="n">
        <x:v>33</x:v>
      </x:c>
      <x:c r="G219" s="4" t="n">
        <x:v>20.38</x:v>
      </x:c>
      <x:c r="H219" s="4" t="n">
        <x:v>49.64</x:v>
      </x:c>
      <x:c r="I219" s="4" t="n">
        <x:v>43.51</x:v>
      </x:c>
      <x:c r="J219" s="4" t="n">
        <x:v>21.46</x:v>
      </x:c>
      <x:c r="K219" s="4" t="n">
        <x:v>66.65</x:v>
      </x:c>
      <x:c r="L219" s="4" t="n">
        <x:v>58.63</x:v>
      </x:c>
      <x:c r="M219" s="4" t="n">
        <x:v>46.41</x:v>
      </x:c>
      <x:c r="N219" s="4" t="n">
        <x:v>65.96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21.59</x:v>
      </x:c>
      <x:c r="D221" s="4" t="n">
        <x:v>39.98</x:v>
      </x:c>
      <x:c r="E221" s="4" t="n">
        <x:v>37.19</x:v>
      </x:c>
      <x:c r="F221" s="4" t="n">
        <x:v>40.09</x:v>
      </x:c>
      <x:c r="G221" s="4" t="n">
        <x:v>36.17</x:v>
      </x:c>
      <x:c r="H221" s="4" t="n">
        <x:v>18.71</x:v>
      </x:c>
      <x:c r="I221" s="4" t="n">
        <x:v>48.6</x:v>
      </x:c>
      <x:c r="J221" s="4" t="n">
        <x:v>43.31</x:v>
      </x:c>
      <x:c r="K221" s="4" t="n">
        <x:v>65.96</x:v>
      </x:c>
      <x:c r="L221" s="4" t="n">
        <x:v>45.35</x:v>
      </x:c>
      <x:c r="M221" s="4" t="n">
        <x:v>66.87</x:v>
      </x:c>
      <x:c r="N221" s="4" t="n">
        <x:v>19.92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38.52</x:v>
      </x:c>
      <x:c r="D222" s="4" t="n">
        <x:v>23.5</x:v>
      </x:c>
      <x:c r="E222" s="4" t="n">
        <x:v>57.68</x:v>
      </x:c>
      <x:c r="F222" s="4" t="n">
        <x:v>35.78</x:v>
      </x:c>
      <x:c r="G222" s="4" t="n">
        <x:v>57.97</x:v>
      </x:c>
      <x:c r="H222" s="4" t="n">
        <x:v>31.68</x:v>
      </x:c>
      <x:c r="I222" s="4" t="n">
        <x:v>62.65</x:v>
      </x:c>
      <x:c r="J222" s="4" t="n">
        <x:v>29.18</x:v>
      </x:c>
      <x:c r="K222" s="4" t="n">
        <x:v>51.71</x:v>
      </x:c>
      <x:c r="L222" s="4" t="n">
        <x:v>22.31</x:v>
      </x:c>
      <x:c r="M222" s="4" t="n">
        <x:v>38.81</x:v>
      </x:c>
      <x:c r="N222" s="4" t="n">
        <x:v>30.52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38.37</x:v>
      </x:c>
      <x:c r="D223" s="4" t="n">
        <x:v>33.8</x:v>
      </x:c>
      <x:c r="E223" s="4" t="n">
        <x:v>37.12</x:v>
      </x:c>
      <x:c r="F223" s="4" t="n">
        <x:v>64.44</x:v>
      </x:c>
      <x:c r="G223" s="4" t="n">
        <x:v>27.11</x:v>
      </x:c>
      <x:c r="H223" s="4" t="n">
        <x:v>65.14</x:v>
      </x:c>
      <x:c r="I223" s="4" t="n">
        <x:v>48.98</x:v>
      </x:c>
      <x:c r="J223" s="4" t="n">
        <x:v>21.83</x:v>
      </x:c>
      <x:c r="K223" s="4" t="n">
        <x:v>20.08</x:v>
      </x:c>
      <x:c r="L223" s="4" t="n">
        <x:v>49.55</x:v>
      </x:c>
      <x:c r="M223" s="4" t="n">
        <x:v>64.43</x:v>
      </x:c>
      <x:c r="N223" s="4" t="n">
        <x:v>65.39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26.09</x:v>
      </x:c>
      <x:c r="D224" s="4" t="n">
        <x:v>47.67</x:v>
      </x:c>
      <x:c r="E224" s="4" t="n">
        <x:v>61.89</x:v>
      </x:c>
      <x:c r="F224" s="4" t="n">
        <x:v>47.65</x:v>
      </x:c>
      <x:c r="G224" s="4" t="n">
        <x:v>40.63</x:v>
      </x:c>
      <x:c r="H224" s="4" t="n">
        <x:v>34.29</x:v>
      </x:c>
      <x:c r="I224" s="4" t="n">
        <x:v>36.06</x:v>
      </x:c>
      <x:c r="J224" s="4" t="n">
        <x:v>63.35</x:v>
      </x:c>
      <x:c r="K224" s="4" t="n">
        <x:v>35.49</x:v>
      </x:c>
      <x:c r="L224" s="4" t="n">
        <x:v>64.2</x:v>
      </x:c>
      <x:c r="M224" s="4" t="n">
        <x:v>47.49</x:v>
      </x:c>
      <x:c r="N224" s="4" t="n">
        <x:v>62.39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29.91</x:v>
      </x:c>
      <x:c r="D225" s="4" t="n">
        <x:v>53.88</x:v>
      </x:c>
      <x:c r="E225" s="4" t="n">
        <x:v>40.69</x:v>
      </x:c>
      <x:c r="F225" s="4" t="n">
        <x:v>44.18</x:v>
      </x:c>
      <x:c r="G225" s="4" t="n">
        <x:v>31.59</x:v>
      </x:c>
      <x:c r="H225" s="4" t="n">
        <x:v>63.68</x:v>
      </x:c>
      <x:c r="I225" s="4" t="n">
        <x:v>37</x:v>
      </x:c>
      <x:c r="J225" s="4" t="n">
        <x:v>59.72</x:v>
      </x:c>
      <x:c r="K225" s="4" t="n">
        <x:v>45.99</x:v>
      </x:c>
      <x:c r="L225" s="4" t="n">
        <x:v>28.96</x:v>
      </x:c>
      <x:c r="M225" s="4" t="n">
        <x:v>67.6</x:v>
      </x:c>
      <x:c r="N225" s="4" t="n">
        <x:v>67.81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59.11</x:v>
      </x:c>
      <x:c r="D226" s="4" t="n">
        <x:v>62.41</x:v>
      </x:c>
      <x:c r="E226" s="4" t="n">
        <x:v>17.59</x:v>
      </x:c>
      <x:c r="F226" s="4" t="n">
        <x:v>23.07</x:v>
      </x:c>
      <x:c r="G226" s="4" t="n">
        <x:v>34.25</x:v>
      </x:c>
      <x:c r="H226" s="4" t="n">
        <x:v>39.34</x:v>
      </x:c>
      <x:c r="I226" s="4" t="n">
        <x:v>44.57</x:v>
      </x:c>
      <x:c r="J226" s="4" t="n">
        <x:v>19.51</x:v>
      </x:c>
      <x:c r="K226" s="4" t="n">
        <x:v>40.52</x:v>
      </x:c>
      <x:c r="L226" s="4" t="n">
        <x:v>19.83</x:v>
      </x:c>
      <x:c r="M226" s="4" t="n">
        <x:v>47.2</x:v>
      </x:c>
      <x:c r="N226" s="4" t="n">
        <x:v>55.57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46.53</x:v>
      </x:c>
      <x:c r="D227" s="4" t="n">
        <x:v>47.01</x:v>
      </x:c>
      <x:c r="E227" s="4" t="n">
        <x:v>34.72</x:v>
      </x:c>
      <x:c r="F227" s="4" t="n">
        <x:v>64.54</x:v>
      </x:c>
      <x:c r="G227" s="4" t="n">
        <x:v>21.49</x:v>
      </x:c>
      <x:c r="H227" s="4" t="n">
        <x:v>46.02</x:v>
      </x:c>
      <x:c r="I227" s="4" t="n">
        <x:v>62.12</x:v>
      </x:c>
      <x:c r="J227" s="4" t="n">
        <x:v>25.86</x:v>
      </x:c>
      <x:c r="K227" s="4" t="n">
        <x:v>20.89</x:v>
      </x:c>
      <x:c r="L227" s="4" t="n">
        <x:v>64.04</x:v>
      </x:c>
      <x:c r="M227" s="4" t="n">
        <x:v>26.99</x:v>
      </x:c>
      <x:c r="N227" s="4" t="n">
        <x:v>46.38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43.8</x:v>
      </x:c>
      <x:c r="D228" s="4" t="n">
        <x:v>42.05</x:v>
      </x:c>
      <x:c r="E228" s="4" t="n">
        <x:v>63.62</x:v>
      </x:c>
      <x:c r="F228" s="4" t="n">
        <x:v>24.97</x:v>
      </x:c>
      <x:c r="G228" s="4" t="n">
        <x:v>39.13</x:v>
      </x:c>
      <x:c r="H228" s="4" t="n">
        <x:v>58.62</x:v>
      </x:c>
      <x:c r="I228" s="4" t="n">
        <x:v>42.66</x:v>
      </x:c>
      <x:c r="J228" s="4" t="n">
        <x:v>56.28</x:v>
      </x:c>
      <x:c r="K228" s="4" t="n">
        <x:v>43.23</x:v>
      </x:c>
      <x:c r="L228" s="4" t="n">
        <x:v>54.13</x:v>
      </x:c>
      <x:c r="M228" s="4" t="n">
        <x:v>33.58</x:v>
      </x:c>
      <x:c r="N228" s="4" t="n">
        <x:v>30.2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58.72</x:v>
      </x:c>
      <x:c r="D230" s="4" t="n">
        <x:v>24.85</x:v>
      </x:c>
      <x:c r="E230" s="4" t="n">
        <x:v>57.45</x:v>
      </x:c>
      <x:c r="F230" s="4" t="n">
        <x:v>41.66</x:v>
      </x:c>
      <x:c r="G230" s="4" t="n">
        <x:v>37.36</x:v>
      </x:c>
      <x:c r="H230" s="4" t="n">
        <x:v>62.62</x:v>
      </x:c>
      <x:c r="I230" s="4" t="n">
        <x:v>32.69</x:v>
      </x:c>
      <x:c r="J230" s="4" t="n">
        <x:v>29.87</x:v>
      </x:c>
      <x:c r="K230" s="4" t="n">
        <x:v>33.49</x:v>
      </x:c>
      <x:c r="L230" s="4" t="n">
        <x:v>65.9</x:v>
      </x:c>
      <x:c r="M230" s="4" t="n">
        <x:v>65.97</x:v>
      </x:c>
      <x:c r="N230" s="4" t="n">
        <x:v>18.33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35.39</x:v>
      </x:c>
      <x:c r="D231" s="4" t="n">
        <x:v>22.16</x:v>
      </x:c>
      <x:c r="E231" s="4" t="n">
        <x:v>32.16</x:v>
      </x:c>
      <x:c r="F231" s="4" t="n">
        <x:v>59.36</x:v>
      </x:c>
      <x:c r="G231" s="4" t="n">
        <x:v>22.53</x:v>
      </x:c>
      <x:c r="H231" s="4" t="n">
        <x:v>46.18</x:v>
      </x:c>
      <x:c r="I231" s="4" t="n">
        <x:v>29.71</x:v>
      </x:c>
      <x:c r="J231" s="4" t="n">
        <x:v>32.77</x:v>
      </x:c>
      <x:c r="K231" s="4" t="n">
        <x:v>60.79</x:v>
      </x:c>
      <x:c r="L231" s="4" t="n">
        <x:v>23.02</x:v>
      </x:c>
      <x:c r="M231" s="4" t="n">
        <x:v>50.89</x:v>
      </x:c>
      <x:c r="N231" s="4" t="n">
        <x:v>57.28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42.22</x:v>
      </x:c>
      <x:c r="D232" s="4" t="n">
        <x:v>53.43</x:v>
      </x:c>
      <x:c r="E232" s="4" t="n">
        <x:v>25.91</x:v>
      </x:c>
      <x:c r="F232" s="4" t="n">
        <x:v>62.31</x:v>
      </x:c>
      <x:c r="G232" s="4" t="n">
        <x:v>31.56</x:v>
      </x:c>
      <x:c r="H232" s="4" t="n">
        <x:v>38.15</x:v>
      </x:c>
      <x:c r="I232" s="4" t="n">
        <x:v>24.27</x:v>
      </x:c>
      <x:c r="J232" s="4" t="n">
        <x:v>44.49</x:v>
      </x:c>
      <x:c r="K232" s="4" t="n">
        <x:v>34.1</x:v>
      </x:c>
      <x:c r="L232" s="4" t="n">
        <x:v>63.3</x:v>
      </x:c>
      <x:c r="M232" s="4" t="n">
        <x:v>23.4</x:v>
      </x:c>
      <x:c r="N232" s="4" t="n">
        <x:v>52.02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33.73</x:v>
      </x:c>
      <x:c r="D233" s="4" t="n">
        <x:v>55.3</x:v>
      </x:c>
      <x:c r="E233" s="4" t="n">
        <x:v>48.39</x:v>
      </x:c>
      <x:c r="F233" s="4" t="n">
        <x:v>31.67</x:v>
      </x:c>
      <x:c r="G233" s="4" t="n">
        <x:v>30.49</x:v>
      </x:c>
      <x:c r="H233" s="4" t="n">
        <x:v>32.22</x:v>
      </x:c>
      <x:c r="I233" s="4" t="n">
        <x:v>17.42</x:v>
      </x:c>
      <x:c r="J233" s="4" t="n">
        <x:v>44.3</x:v>
      </x:c>
      <x:c r="K233" s="4" t="n">
        <x:v>58.71</x:v>
      </x:c>
      <x:c r="L233" s="4" t="n">
        <x:v>48.22</x:v>
      </x:c>
      <x:c r="M233" s="4" t="n">
        <x:v>18.47</x:v>
      </x:c>
      <x:c r="N233" s="4" t="n">
        <x:v>37.5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5.56</x:v>
      </x:c>
      <x:c r="D324" s="4" t="n">
        <x:v>6.53</x:v>
      </x:c>
      <x:c r="E324" s="4" t="n">
        <x:v>8.22</x:v>
      </x:c>
      <x:c r="F324" s="4" t="n">
        <x:v>8.73</x:v>
      </x:c>
      <x:c r="G324" s="4" t="n">
        <x:v>2.59</x:v>
      </x:c>
      <x:c r="H324" s="4" t="n">
        <x:v>6.6</x:v>
      </x:c>
      <x:c r="I324" s="4" t="n">
        <x:v>3.16</x:v>
      </x:c>
      <x:c r="J324" s="4" t="n">
        <x:v>4.33</x:v>
      </x:c>
      <x:c r="K324" s="4" t="n">
        <x:v>5.42</x:v>
      </x:c>
      <x:c r="L324" s="4" t="n">
        <x:v>2.85</x:v>
      </x:c>
      <x:c r="M324" s="4" t="n">
        <x:v>5.91</x:v>
      </x:c>
      <x:c r="N324" s="4" t="n">
        <x:v>4.94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5.08</x:v>
      </x:c>
      <x:c r="D325" s="4" t="n">
        <x:v>4.08</x:v>
      </x:c>
      <x:c r="E325" s="4" t="n">
        <x:v>6.75</x:v>
      </x:c>
      <x:c r="F325" s="4" t="n">
        <x:v>2.37</x:v>
      </x:c>
      <x:c r="G325" s="4" t="n">
        <x:v>4.01</x:v>
      </x:c>
      <x:c r="H325" s="4" t="n">
        <x:v>2.83</x:v>
      </x:c>
      <x:c r="I325" s="4" t="n">
        <x:v>6.53</x:v>
      </x:c>
      <x:c r="J325" s="4" t="n">
        <x:v>3.17</x:v>
      </x:c>
      <x:c r="K325" s="4" t="n">
        <x:v>7.14</x:v>
      </x:c>
      <x:c r="L325" s="4" t="n">
        <x:v>2.45</x:v>
      </x:c>
      <x:c r="M325" s="4" t="n">
        <x:v>7.85</x:v>
      </x:c>
      <x:c r="N325" s="4" t="n">
        <x:v>5.94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3.24</x:v>
      </x:c>
      <x:c r="D326" s="4" t="n">
        <x:v>3.69</x:v>
      </x:c>
      <x:c r="E326" s="4" t="n">
        <x:v>7.51</x:v>
      </x:c>
      <x:c r="F326" s="4" t="n">
        <x:v>6.12</x:v>
      </x:c>
      <x:c r="G326" s="4" t="n">
        <x:v>8.57</x:v>
      </x:c>
      <x:c r="H326" s="4" t="n">
        <x:v>8.76</x:v>
      </x:c>
      <x:c r="I326" s="4" t="n">
        <x:v>7.5</x:v>
      </x:c>
      <x:c r="J326" s="4" t="n">
        <x:v>8.1</x:v>
      </x:c>
      <x:c r="K326" s="4" t="n">
        <x:v>7.98</x:v>
      </x:c>
      <x:c r="L326" s="4" t="n">
        <x:v>8.05</x:v>
      </x:c>
      <x:c r="M326" s="4" t="n">
        <x:v>3.39</x:v>
      </x:c>
      <x:c r="N326" s="4" t="n">
        <x:v>8.27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2.54</x:v>
      </x:c>
      <x:c r="D327" s="4" t="n">
        <x:v>3.22</x:v>
      </x:c>
      <x:c r="E327" s="4" t="n">
        <x:v>3.47</x:v>
      </x:c>
      <x:c r="F327" s="4" t="n">
        <x:v>2.58</x:v>
      </x:c>
      <x:c r="G327" s="4" t="n">
        <x:v>2.47</x:v>
      </x:c>
      <x:c r="H327" s="4" t="n">
        <x:v>4.37</x:v>
      </x:c>
      <x:c r="I327" s="4" t="n">
        <x:v>5.64</x:v>
      </x:c>
      <x:c r="J327" s="4" t="n">
        <x:v>4.07</x:v>
      </x:c>
      <x:c r="K327" s="4" t="n">
        <x:v>6.29</x:v>
      </x:c>
      <x:c r="L327" s="4" t="n">
        <x:v>6.61</x:v>
      </x:c>
      <x:c r="M327" s="4" t="n">
        <x:v>7.71</x:v>
      </x:c>
      <x:c r="N327" s="4" t="n">
        <x:v>3.63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3.91</x:v>
      </x:c>
      <x:c r="D328" s="4" t="n">
        <x:v>5.88</x:v>
      </x:c>
      <x:c r="E328" s="4" t="n">
        <x:v>5.72</x:v>
      </x:c>
      <x:c r="F328" s="4" t="n">
        <x:v>6.6</x:v>
      </x:c>
      <x:c r="G328" s="4" t="n">
        <x:v>8.5</x:v>
      </x:c>
      <x:c r="H328" s="4" t="n">
        <x:v>6.99</x:v>
      </x:c>
      <x:c r="I328" s="4" t="n">
        <x:v>4.31</x:v>
      </x:c>
      <x:c r="J328" s="4" t="n">
        <x:v>5.33</x:v>
      </x:c>
      <x:c r="K328" s="4" t="n">
        <x:v>4.68</x:v>
      </x:c>
      <x:c r="L328" s="4" t="n">
        <x:v>8.3</x:v>
      </x:c>
      <x:c r="M328" s="4" t="n">
        <x:v>7.95</x:v>
      </x:c>
      <x:c r="N328" s="4" t="n">
        <x:v>6.49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3.76</x:v>
      </x:c>
      <x:c r="D329" s="4" t="n">
        <x:v>5.18</x:v>
      </x:c>
      <x:c r="E329" s="4" t="n">
        <x:v>8.08</x:v>
      </x:c>
      <x:c r="F329" s="4" t="n">
        <x:v>5.68</x:v>
      </x:c>
      <x:c r="G329" s="4" t="n">
        <x:v>8.63</x:v>
      </x:c>
      <x:c r="H329" s="4" t="n">
        <x:v>3.31</x:v>
      </x:c>
      <x:c r="I329" s="4" t="n">
        <x:v>6.91</x:v>
      </x:c>
      <x:c r="J329" s="4" t="n">
        <x:v>3.98</x:v>
      </x:c>
      <x:c r="K329" s="4" t="n">
        <x:v>6.84</x:v>
      </x:c>
      <x:c r="L329" s="4" t="n">
        <x:v>4.83</x:v>
      </x:c>
      <x:c r="M329" s="4" t="n">
        <x:v>5.57</x:v>
      </x:c>
      <x:c r="N329" s="4" t="n">
        <x:v>4.38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4.4</x:v>
      </x:c>
      <x:c r="D330" s="4" t="n">
        <x:v>3.17</x:v>
      </x:c>
      <x:c r="E330" s="4" t="n">
        <x:v>8.44</x:v>
      </x:c>
      <x:c r="F330" s="4" t="n">
        <x:v>3.87</x:v>
      </x:c>
      <x:c r="G330" s="4" t="n">
        <x:v>2.8</x:v>
      </x:c>
      <x:c r="H330" s="4" t="n">
        <x:v>5.44</x:v>
      </x:c>
      <x:c r="I330" s="4" t="n">
        <x:v>4.4</x:v>
      </x:c>
      <x:c r="J330" s="4" t="n">
        <x:v>8.61</x:v>
      </x:c>
      <x:c r="K330" s="4" t="n">
        <x:v>5.91</x:v>
      </x:c>
      <x:c r="L330" s="4" t="n">
        <x:v>6.13</x:v>
      </x:c>
      <x:c r="M330" s="4" t="n">
        <x:v>8.58</x:v>
      </x:c>
      <x:c r="N330" s="4" t="n">
        <x:v>7.47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7.6</x:v>
      </x:c>
      <x:c r="D331" s="4" t="n">
        <x:v>5.77</x:v>
      </x:c>
      <x:c r="E331" s="4" t="n">
        <x:v>3.78</x:v>
      </x:c>
      <x:c r="F331" s="4" t="n">
        <x:v>8.17</x:v>
      </x:c>
      <x:c r="G331" s="4" t="n">
        <x:v>8.5</x:v>
      </x:c>
      <x:c r="H331" s="4" t="n">
        <x:v>4.04</x:v>
      </x:c>
      <x:c r="I331" s="4" t="n">
        <x:v>8.75</x:v>
      </x:c>
      <x:c r="J331" s="4" t="n">
        <x:v>3.26</x:v>
      </x:c>
      <x:c r="K331" s="4" t="n">
        <x:v>6.3</x:v>
      </x:c>
      <x:c r="L331" s="4" t="n">
        <x:v>3.17</x:v>
      </x:c>
      <x:c r="M331" s="4" t="n">
        <x:v>7.98</x:v>
      </x:c>
      <x:c r="N331" s="4" t="n">
        <x:v>8.16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5.11</x:v>
      </x:c>
      <x:c r="D332" s="4" t="n">
        <x:v>4.89</x:v>
      </x:c>
      <x:c r="E332" s="4" t="n">
        <x:v>6.75</x:v>
      </x:c>
      <x:c r="F332" s="4" t="n">
        <x:v>3.59</x:v>
      </x:c>
      <x:c r="G332" s="4" t="n">
        <x:v>8.26</x:v>
      </x:c>
      <x:c r="H332" s="4" t="n">
        <x:v>7.24</x:v>
      </x:c>
      <x:c r="I332" s="4" t="n">
        <x:v>3.58</x:v>
      </x:c>
      <x:c r="J332" s="4" t="n">
        <x:v>7.67</x:v>
      </x:c>
      <x:c r="K332" s="4" t="n">
        <x:v>3.83</x:v>
      </x:c>
      <x:c r="L332" s="4" t="n">
        <x:v>3.29</x:v>
      </x:c>
      <x:c r="M332" s="4" t="n">
        <x:v>5.24</x:v>
      </x:c>
      <x:c r="N332" s="4" t="n">
        <x:v>2.88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4.48</x:v>
      </x:c>
      <x:c r="D333" s="4" t="n">
        <x:v>3.35</x:v>
      </x:c>
      <x:c r="E333" s="4" t="n">
        <x:v>7.08</x:v>
      </x:c>
      <x:c r="F333" s="4" t="n">
        <x:v>7.2</x:v>
      </x:c>
      <x:c r="G333" s="4" t="n">
        <x:v>4.29</x:v>
      </x:c>
      <x:c r="H333" s="4" t="n">
        <x:v>6.14</x:v>
      </x:c>
      <x:c r="I333" s="4" t="n">
        <x:v>4.5</x:v>
      </x:c>
      <x:c r="J333" s="4" t="n">
        <x:v>5.99</x:v>
      </x:c>
      <x:c r="K333" s="4" t="n">
        <x:v>8.32</x:v>
      </x:c>
      <x:c r="L333" s="4" t="n">
        <x:v>3.39</x:v>
      </x:c>
      <x:c r="M333" s="4" t="n">
        <x:v>2.64</x:v>
      </x:c>
      <x:c r="N333" s="4" t="n">
        <x:v>2.83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3.08</x:v>
      </x:c>
      <x:c r="D334" s="4" t="n">
        <x:v>7.77</x:v>
      </x:c>
      <x:c r="E334" s="4" t="n">
        <x:v>7.62</x:v>
      </x:c>
      <x:c r="F334" s="4" t="n">
        <x:v>4.96</x:v>
      </x:c>
      <x:c r="G334" s="4" t="n">
        <x:v>5.64</x:v>
      </x:c>
      <x:c r="H334" s="4" t="n">
        <x:v>4.73</x:v>
      </x:c>
      <x:c r="I334" s="4" t="n">
        <x:v>3.02</x:v>
      </x:c>
      <x:c r="J334" s="4" t="n">
        <x:v>5.7</x:v>
      </x:c>
      <x:c r="K334" s="4" t="n">
        <x:v>3.16</x:v>
      </x:c>
      <x:c r="L334" s="4" t="n">
        <x:v>3.42</x:v>
      </x:c>
      <x:c r="M334" s="4" t="n">
        <x:v>7.58</x:v>
      </x:c>
      <x:c r="N334" s="4" t="n">
        <x:v>7.83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8.01</x:v>
      </x:c>
      <x:c r="D335" s="4" t="n">
        <x:v>5.64</x:v>
      </x:c>
      <x:c r="E335" s="4" t="n">
        <x:v>3.09</x:v>
      </x:c>
      <x:c r="F335" s="4" t="n">
        <x:v>4.93</x:v>
      </x:c>
      <x:c r="G335" s="4" t="n">
        <x:v>6.63</x:v>
      </x:c>
      <x:c r="H335" s="4" t="n">
        <x:v>5.52</x:v>
      </x:c>
      <x:c r="I335" s="4" t="n">
        <x:v>7.73</x:v>
      </x:c>
      <x:c r="J335" s="4" t="n">
        <x:v>8.55</x:v>
      </x:c>
      <x:c r="K335" s="4" t="n">
        <x:v>8.14</x:v>
      </x:c>
      <x:c r="L335" s="4" t="n">
        <x:v>6.81</x:v>
      </x:c>
      <x:c r="M335" s="4" t="n">
        <x:v>5.33</x:v>
      </x:c>
      <x:c r="N335" s="4" t="n">
        <x:v>6.51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5.98</x:v>
      </x:c>
      <x:c r="D336" s="4" t="n">
        <x:v>6.16</x:v>
      </x:c>
      <x:c r="E336" s="4" t="n">
        <x:v>8.25</x:v>
      </x:c>
      <x:c r="F336" s="4" t="n">
        <x:v>8.5</x:v>
      </x:c>
      <x:c r="G336" s="4" t="n">
        <x:v>6.56</x:v>
      </x:c>
      <x:c r="H336" s="4" t="n">
        <x:v>6.55</x:v>
      </x:c>
      <x:c r="I336" s="4" t="n">
        <x:v>7.02</x:v>
      </x:c>
      <x:c r="J336" s="4" t="n">
        <x:v>2.27</x:v>
      </x:c>
      <x:c r="K336" s="4" t="n">
        <x:v>3.13</x:v>
      </x:c>
      <x:c r="L336" s="4" t="n">
        <x:v>4.41</x:v>
      </x:c>
      <x:c r="M336" s="4" t="n">
        <x:v>7.39</x:v>
      </x:c>
      <x:c r="N336" s="4" t="n">
        <x:v>7.72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2.42</x:v>
      </x:c>
      <x:c r="D337" s="4" t="n">
        <x:v>3.32</x:v>
      </x:c>
      <x:c r="E337" s="4" t="n">
        <x:v>7.45</x:v>
      </x:c>
      <x:c r="F337" s="4" t="n">
        <x:v>5.45</x:v>
      </x:c>
      <x:c r="G337" s="4" t="n">
        <x:v>2.83</x:v>
      </x:c>
      <x:c r="H337" s="4" t="n">
        <x:v>7.2</x:v>
      </x:c>
      <x:c r="I337" s="4" t="n">
        <x:v>5.51</x:v>
      </x:c>
      <x:c r="J337" s="4" t="n">
        <x:v>8.52</x:v>
      </x:c>
      <x:c r="K337" s="4" t="n">
        <x:v>8.12</x:v>
      </x:c>
      <x:c r="L337" s="4" t="n">
        <x:v>4.13</x:v>
      </x:c>
      <x:c r="M337" s="4" t="n">
        <x:v>8.18</x:v>
      </x:c>
      <x:c r="N337" s="4" t="n">
        <x:v>4.77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7.73</x:v>
      </x:c>
      <x:c r="D338" s="4" t="n">
        <x:v>2.92</x:v>
      </x:c>
      <x:c r="E338" s="4" t="n">
        <x:v>5.86</x:v>
      </x:c>
      <x:c r="F338" s="4" t="n">
        <x:v>6.68</x:v>
      </x:c>
      <x:c r="G338" s="4" t="n">
        <x:v>5.86</x:v>
      </x:c>
      <x:c r="H338" s="4" t="n">
        <x:v>5.68</x:v>
      </x:c>
      <x:c r="I338" s="4" t="n">
        <x:v>4.26</x:v>
      </x:c>
      <x:c r="J338" s="4" t="n">
        <x:v>5.77</x:v>
      </x:c>
      <x:c r="K338" s="4" t="n">
        <x:v>4.68</x:v>
      </x:c>
      <x:c r="L338" s="4" t="n">
        <x:v>3.72</x:v>
      </x:c>
      <x:c r="M338" s="4" t="n">
        <x:v>4.24</x:v>
      </x:c>
      <x:c r="N338" s="4" t="n">
        <x:v>6.03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7.1</x:v>
      </x:c>
      <x:c r="D339" s="4" t="n">
        <x:v>7.56</x:v>
      </x:c>
      <x:c r="E339" s="4" t="n">
        <x:v>6.45</x:v>
      </x:c>
      <x:c r="F339" s="4" t="n">
        <x:v>7.76</x:v>
      </x:c>
      <x:c r="G339" s="4" t="n">
        <x:v>8.13</x:v>
      </x:c>
      <x:c r="H339" s="4" t="n">
        <x:v>3.77</x:v>
      </x:c>
      <x:c r="I339" s="4" t="n">
        <x:v>4.14</x:v>
      </x:c>
      <x:c r="J339" s="4" t="n">
        <x:v>5.65</x:v>
      </x:c>
      <x:c r="K339" s="4" t="n">
        <x:v>8.2</x:v>
      </x:c>
      <x:c r="L339" s="4" t="n">
        <x:v>4.68</x:v>
      </x:c>
      <x:c r="M339" s="4" t="n">
        <x:v>7.36</x:v>
      </x:c>
      <x:c r="N339" s="4" t="n">
        <x:v>4.9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8.16</x:v>
      </x:c>
      <x:c r="D341" s="4" t="n">
        <x:v>4.61</x:v>
      </x:c>
      <x:c r="E341" s="4" t="n">
        <x:v>6.74</x:v>
      </x:c>
      <x:c r="F341" s="4" t="n">
        <x:v>3.71</x:v>
      </x:c>
      <x:c r="G341" s="4" t="n">
        <x:v>4.11</x:v>
      </x:c>
      <x:c r="H341" s="4" t="n">
        <x:v>5.22</x:v>
      </x:c>
      <x:c r="I341" s="4" t="n">
        <x:v>4.93</x:v>
      </x:c>
      <x:c r="J341" s="4" t="n">
        <x:v>2.43</x:v>
      </x:c>
      <x:c r="K341" s="4" t="n">
        <x:v>7.7</x:v>
      </x:c>
      <x:c r="L341" s="4" t="n">
        <x:v>3.15</x:v>
      </x:c>
      <x:c r="M341" s="4" t="n">
        <x:v>6.44</x:v>
      </x:c>
      <x:c r="N341" s="4" t="n">
        <x:v>8.44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7.54</x:v>
      </x:c>
      <x:c r="D342" s="4" t="n">
        <x:v>5.13</x:v>
      </x:c>
      <x:c r="E342" s="4" t="n">
        <x:v>3.79</x:v>
      </x:c>
      <x:c r="F342" s="4" t="n">
        <x:v>6.37</x:v>
      </x:c>
      <x:c r="G342" s="4" t="n">
        <x:v>6.9</x:v>
      </x:c>
      <x:c r="H342" s="4" t="n">
        <x:v>2.52</x:v>
      </x:c>
      <x:c r="I342" s="4" t="n">
        <x:v>8.53</x:v>
      </x:c>
      <x:c r="J342" s="4" t="n">
        <x:v>6.5</x:v>
      </x:c>
      <x:c r="K342" s="4" t="n">
        <x:v>5.25</x:v>
      </x:c>
      <x:c r="L342" s="4" t="n">
        <x:v>8.85</x:v>
      </x:c>
      <x:c r="M342" s="4" t="n">
        <x:v>6.91</x:v>
      </x:c>
      <x:c r="N342" s="4" t="n">
        <x:v>7.83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7.71</x:v>
      </x:c>
      <x:c r="D343" s="4" t="n">
        <x:v>3.12</x:v>
      </x:c>
      <x:c r="E343" s="4" t="n">
        <x:v>6.85</x:v>
      </x:c>
      <x:c r="F343" s="4" t="n">
        <x:v>4.64</x:v>
      </x:c>
      <x:c r="G343" s="4" t="n">
        <x:v>4.44</x:v>
      </x:c>
      <x:c r="H343" s="4" t="n">
        <x:v>5.93</x:v>
      </x:c>
      <x:c r="I343" s="4" t="n">
        <x:v>2.33</x:v>
      </x:c>
      <x:c r="J343" s="4" t="n">
        <x:v>4.17</x:v>
      </x:c>
      <x:c r="K343" s="4" t="n">
        <x:v>3.58</x:v>
      </x:c>
      <x:c r="L343" s="4" t="n">
        <x:v>6.38</x:v>
      </x:c>
      <x:c r="M343" s="4" t="n">
        <x:v>5.64</x:v>
      </x:c>
      <x:c r="N343" s="4" t="n">
        <x:v>7.46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3.63</x:v>
      </x:c>
      <x:c r="D344" s="4" t="n">
        <x:v>8.05</x:v>
      </x:c>
      <x:c r="E344" s="4" t="n">
        <x:v>8.76</x:v>
      </x:c>
      <x:c r="F344" s="4" t="n">
        <x:v>7.27</x:v>
      </x:c>
      <x:c r="G344" s="4" t="n">
        <x:v>6.53</x:v>
      </x:c>
      <x:c r="H344" s="4" t="n">
        <x:v>3.18</x:v>
      </x:c>
      <x:c r="I344" s="4" t="n">
        <x:v>4.06</x:v>
      </x:c>
      <x:c r="J344" s="4" t="n">
        <x:v>3.59</x:v>
      </x:c>
      <x:c r="K344" s="4" t="n">
        <x:v>5.39</x:v>
      </x:c>
      <x:c r="L344" s="4" t="n">
        <x:v>5.02</x:v>
      </x:c>
      <x:c r="M344" s="4" t="n">
        <x:v>8.62</x:v>
      </x:c>
      <x:c r="N344" s="4" t="n">
        <x:v>8.51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4.48</x:v>
      </x:c>
      <x:c r="D345" s="4" t="n">
        <x:v>7.55</x:v>
      </x:c>
      <x:c r="E345" s="4" t="n">
        <x:v>7.22</x:v>
      </x:c>
      <x:c r="F345" s="4" t="n">
        <x:v>4.08</x:v>
      </x:c>
      <x:c r="G345" s="4" t="n">
        <x:v>2.74</x:v>
      </x:c>
      <x:c r="H345" s="4" t="n">
        <x:v>8.21</x:v>
      </x:c>
      <x:c r="I345" s="4" t="n">
        <x:v>3.94</x:v>
      </x:c>
      <x:c r="J345" s="4" t="n">
        <x:v>5.09</x:v>
      </x:c>
      <x:c r="K345" s="4" t="n">
        <x:v>5.44</x:v>
      </x:c>
      <x:c r="L345" s="4" t="n">
        <x:v>3.98</x:v>
      </x:c>
      <x:c r="M345" s="4" t="n">
        <x:v>8.44</x:v>
      </x:c>
      <x:c r="N345" s="4" t="n">
        <x:v>5.32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5.92</x:v>
      </x:c>
      <x:c r="D346" s="4" t="n">
        <x:v>3.28</x:v>
      </x:c>
      <x:c r="E346" s="4" t="n">
        <x:v>6.2</x:v>
      </x:c>
      <x:c r="F346" s="4" t="n">
        <x:v>5.65</x:v>
      </x:c>
      <x:c r="G346" s="4" t="n">
        <x:v>4.46</x:v>
      </x:c>
      <x:c r="H346" s="4" t="n">
        <x:v>3.97</x:v>
      </x:c>
      <x:c r="I346" s="4" t="n">
        <x:v>3.28</x:v>
      </x:c>
      <x:c r="J346" s="4" t="n">
        <x:v>4.19</x:v>
      </x:c>
      <x:c r="K346" s="4" t="n">
        <x:v>6.67</x:v>
      </x:c>
      <x:c r="L346" s="4" t="n">
        <x:v>2.75</x:v>
      </x:c>
      <x:c r="M346" s="4" t="n">
        <x:v>6.45</x:v>
      </x:c>
      <x:c r="N346" s="4" t="n">
        <x:v>4.93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5.5</x:v>
      </x:c>
      <x:c r="D347" s="4" t="n">
        <x:v>4.06</x:v>
      </x:c>
      <x:c r="E347" s="4" t="n">
        <x:v>4.3</x:v>
      </x:c>
      <x:c r="F347" s="4" t="n">
        <x:v>7.01</x:v>
      </x:c>
      <x:c r="G347" s="4" t="n">
        <x:v>2.77</x:v>
      </x:c>
      <x:c r="H347" s="4" t="n">
        <x:v>8.45</x:v>
      </x:c>
      <x:c r="I347" s="4" t="n">
        <x:v>6.16</x:v>
      </x:c>
      <x:c r="J347" s="4" t="n">
        <x:v>8.67</x:v>
      </x:c>
      <x:c r="K347" s="4" t="n">
        <x:v>4.2</x:v>
      </x:c>
      <x:c r="L347" s="4" t="n">
        <x:v>4.16</x:v>
      </x:c>
      <x:c r="M347" s="4" t="n">
        <x:v>8.62</x:v>
      </x:c>
      <x:c r="N347" s="4" t="n">
        <x:v>7.4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3.73</x:v>
      </x:c>
      <x:c r="D348" s="4" t="n">
        <x:v>5.24</x:v>
      </x:c>
      <x:c r="E348" s="4" t="n">
        <x:v>3.24</x:v>
      </x:c>
      <x:c r="F348" s="4" t="n">
        <x:v>5.56</x:v>
      </x:c>
      <x:c r="G348" s="4" t="n">
        <x:v>5.3</x:v>
      </x:c>
      <x:c r="H348" s="4" t="n">
        <x:v>3.9</x:v>
      </x:c>
      <x:c r="I348" s="4" t="n">
        <x:v>8.45</x:v>
      </x:c>
      <x:c r="J348" s="4" t="n">
        <x:v>5.32</x:v>
      </x:c>
      <x:c r="K348" s="4" t="n">
        <x:v>5.25</x:v>
      </x:c>
      <x:c r="L348" s="4" t="n">
        <x:v>8.77</x:v>
      </x:c>
      <x:c r="M348" s="4" t="n">
        <x:v>3.44</x:v>
      </x:c>
      <x:c r="N348" s="4" t="n">
        <x:v>8.74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5.56</x:v>
      </x:c>
      <x:c r="D350" s="4" t="n">
        <x:v>4.46</x:v>
      </x:c>
      <x:c r="E350" s="4" t="n">
        <x:v>2.24</x:v>
      </x:c>
      <x:c r="F350" s="4" t="n">
        <x:v>7.57</x:v>
      </x:c>
      <x:c r="G350" s="4" t="n">
        <x:v>5.27</x:v>
      </x:c>
      <x:c r="H350" s="4" t="n">
        <x:v>8.78</x:v>
      </x:c>
      <x:c r="I350" s="4" t="n">
        <x:v>6.23</x:v>
      </x:c>
      <x:c r="J350" s="4" t="n">
        <x:v>5.97</x:v>
      </x:c>
      <x:c r="K350" s="4" t="n">
        <x:v>4.55</x:v>
      </x:c>
      <x:c r="L350" s="4" t="n">
        <x:v>5.07</x:v>
      </x:c>
      <x:c r="M350" s="4" t="n">
        <x:v>2.36</x:v>
      </x:c>
      <x:c r="N350" s="4" t="n">
        <x:v>8.57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3.6</x:v>
      </x:c>
      <x:c r="D351" s="4" t="n">
        <x:v>8.01</x:v>
      </x:c>
      <x:c r="E351" s="4" t="n">
        <x:v>4.67</x:v>
      </x:c>
      <x:c r="F351" s="4" t="n">
        <x:v>6.17</x:v>
      </x:c>
      <x:c r="G351" s="4" t="n">
        <x:v>6.41</x:v>
      </x:c>
      <x:c r="H351" s="4" t="n">
        <x:v>5.82</x:v>
      </x:c>
      <x:c r="I351" s="4" t="n">
        <x:v>7.07</x:v>
      </x:c>
      <x:c r="J351" s="4" t="n">
        <x:v>3.01</x:v>
      </x:c>
      <x:c r="K351" s="4" t="n">
        <x:v>6.04</x:v>
      </x:c>
      <x:c r="L351" s="4" t="n">
        <x:v>5.32</x:v>
      </x:c>
      <x:c r="M351" s="4" t="n">
        <x:v>3.95</x:v>
      </x:c>
      <x:c r="N351" s="4" t="n">
        <x:v>2.21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5.49</x:v>
      </x:c>
      <x:c r="D352" s="4" t="n">
        <x:v>7.8</x:v>
      </x:c>
      <x:c r="E352" s="4" t="n">
        <x:v>7.45</x:v>
      </x:c>
      <x:c r="F352" s="4" t="n">
        <x:v>7.16</x:v>
      </x:c>
      <x:c r="G352" s="4" t="n">
        <x:v>6.28</x:v>
      </x:c>
      <x:c r="H352" s="4" t="n">
        <x:v>3.99</x:v>
      </x:c>
      <x:c r="I352" s="4" t="n">
        <x:v>3.5</x:v>
      </x:c>
      <x:c r="J352" s="4" t="n">
        <x:v>8.29</x:v>
      </x:c>
      <x:c r="K352" s="4" t="n">
        <x:v>5.11</x:v>
      </x:c>
      <x:c r="L352" s="4" t="n">
        <x:v>3.49</x:v>
      </x:c>
      <x:c r="M352" s="4" t="n">
        <x:v>7.76</x:v>
      </x:c>
      <x:c r="N352" s="4" t="n">
        <x:v>4.41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6.07</x:v>
      </x:c>
      <x:c r="D353" s="4" t="n">
        <x:v>7.8</x:v>
      </x:c>
      <x:c r="E353" s="4" t="n">
        <x:v>2.22</x:v>
      </x:c>
      <x:c r="F353" s="4" t="n">
        <x:v>3.38</x:v>
      </x:c>
      <x:c r="G353" s="4" t="n">
        <x:v>4.95</x:v>
      </x:c>
      <x:c r="H353" s="4" t="n">
        <x:v>3.91</x:v>
      </x:c>
      <x:c r="I353" s="4" t="n">
        <x:v>5.81</x:v>
      </x:c>
      <x:c r="J353" s="4" t="n">
        <x:v>4.68</x:v>
      </x:c>
      <x:c r="K353" s="4" t="n">
        <x:v>5.44</x:v>
      </x:c>
      <x:c r="L353" s="4" t="n">
        <x:v>3.19</x:v>
      </x:c>
      <x:c r="M353" s="4" t="n">
        <x:v>3.58</x:v>
      </x:c>
      <x:c r="N353" s="4" t="n">
        <x:v>3.99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9" hidden="0" customWidth="1"/>
    <x:col min="19" max="19" width="9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管理费用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实时经营（月度，元）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208.13</x:v>
      </x:c>
      <x:c r="D4" s="3" t="n">
        <x:f>ROUND(D204*D324,2)</x:f>
        <x:v>237.35</x:v>
      </x:c>
      <x:c r="E4" s="3" t="n">
        <x:f>ROUND(E204*E324,2)</x:f>
        <x:v>233.84</x:v>
      </x:c>
      <x:c r="F4" s="3" t="n">
        <x:f>ROUND(F204*F324,2)</x:f>
        <x:v>347.93</x:v>
      </x:c>
      <x:c r="G4" s="3" t="n">
        <x:f>ROUND(G204*G324,2)</x:f>
        <x:v>159.41</x:v>
      </x:c>
      <x:c r="H4" s="3" t="n">
        <x:f>ROUND(H204*H324,2)</x:f>
        <x:v>76.56</x:v>
      </x:c>
      <x:c r="I4" s="3" t="n">
        <x:f>ROUND(I204*I324,2)</x:f>
        <x:v>240.09</x:v>
      </x:c>
      <x:c r="J4" s="3" t="n">
        <x:f>ROUND(J204*J324,2)</x:f>
        <x:v>227.42</x:v>
      </x:c>
      <x:c r="K4" s="3" t="n">
        <x:f>ROUND(K204*K324,2)</x:f>
        <x:v>529.47</x:v>
      </x:c>
      <x:c r="L4" s="3" t="n">
        <x:f>ROUND(L204*L324,2)</x:f>
        <x:v>134.54</x:v>
      </x:c>
      <x:c r="M4" s="3" t="n">
        <x:f>ROUND(M204*M324,2)</x:f>
        <x:v>197.71</x:v>
      </x:c>
      <x:c r="N4" s="3" t="n">
        <x:f>ROUND(N204*N324,2)</x:f>
        <x:v>360.81</x:v>
      </x:c>
      <x:c r="O4" s="3" t="n">
        <x:f>SUM(C4:N4)</x:f>
        <x:v>2953.2599999999998</x:v>
      </x:c>
      <x:c r="P4" s="2" t="str">
        <x:v>EXP2.004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175.11</x:v>
      </x:c>
      <x:c r="D5" s="3" t="n">
        <x:f>ROUND(D205*D325,2)</x:f>
        <x:v>565.59</x:v>
      </x:c>
      <x:c r="E5" s="3" t="n">
        <x:f>ROUND(E205*E325,2)</x:f>
        <x:v>148.68</x:v>
      </x:c>
      <x:c r="F5" s="3" t="n">
        <x:f>ROUND(F205*F325,2)</x:f>
        <x:v>202.36</x:v>
      </x:c>
      <x:c r="G5" s="3" t="n">
        <x:f>ROUND(G205*G325,2)</x:f>
        <x:v>272.71</x:v>
      </x:c>
      <x:c r="H5" s="3" t="n">
        <x:f>ROUND(H205*H325,2)</x:f>
        <x:v>335.53</x:v>
      </x:c>
      <x:c r="I5" s="3" t="n">
        <x:f>ROUND(I205*I325,2)</x:f>
        <x:v>124.62</x:v>
      </x:c>
      <x:c r="J5" s="3" t="n">
        <x:f>ROUND(J205*J325,2)</x:f>
        <x:v>127.39</x:v>
      </x:c>
      <x:c r="K5" s="3" t="n">
        <x:f>ROUND(K205*K325,2)</x:f>
        <x:v>409.58</x:v>
      </x:c>
      <x:c r="L5" s="3" t="n">
        <x:f>ROUND(L205*L325,2)</x:f>
        <x:v>103.1</x:v>
      </x:c>
      <x:c r="M5" s="3" t="n">
        <x:f>ROUND(M205*M325,2)</x:f>
        <x:v>229.69</x:v>
      </x:c>
      <x:c r="N5" s="3" t="n">
        <x:f>ROUND(N205*N325,2)</x:f>
        <x:v>272.05</x:v>
      </x:c>
      <x:c r="O5" s="3" t="n">
        <x:f>SUM(C5:N5)</x:f>
        <x:v>2966.4100000000008</x:v>
      </x:c>
      <x:c r="P5" s="2" t="str">
        <x:v>EXP2.005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332.1</x:v>
      </x:c>
      <x:c r="D6" s="3" t="n">
        <x:f>ROUND(D206*D326,2)</x:f>
        <x:v>209.76</x:v>
      </x:c>
      <x:c r="E6" s="3" t="n">
        <x:f>ROUND(E206*E326,2)</x:f>
        <x:v>199.17</x:v>
      </x:c>
      <x:c r="F6" s="3" t="n">
        <x:f>ROUND(F206*F326,2)</x:f>
        <x:v>191.09</x:v>
      </x:c>
      <x:c r="G6" s="3" t="n">
        <x:f>ROUND(G206*G326,2)</x:f>
        <x:v>271.5</x:v>
      </x:c>
      <x:c r="H6" s="3" t="n">
        <x:f>ROUND(H206*H326,2)</x:f>
        <x:v>145.68</x:v>
      </x:c>
      <x:c r="I6" s="3" t="n">
        <x:f>ROUND(I206*I326,2)</x:f>
        <x:v>347.26</x:v>
      </x:c>
      <x:c r="J6" s="3" t="n">
        <x:f>ROUND(J206*J326,2)</x:f>
        <x:v>175.62</x:v>
      </x:c>
      <x:c r="K6" s="3" t="n">
        <x:f>ROUND(K206*K326,2)</x:f>
        <x:v>358.64</x:v>
      </x:c>
      <x:c r="L6" s="3" t="n">
        <x:f>ROUND(L206*L326,2)</x:f>
        <x:v>219.18</x:v>
      </x:c>
      <x:c r="M6" s="3" t="n">
        <x:f>ROUND(M206*M326,2)</x:f>
        <x:v>137.19</x:v>
      </x:c>
      <x:c r="N6" s="3" t="n">
        <x:f>ROUND(N206*N326,2)</x:f>
        <x:v>172.28</x:v>
      </x:c>
      <x:c r="O6" s="3" t="n">
        <x:f>SUM(C6:N6)</x:f>
        <x:v>2759.47</x:v>
      </x:c>
      <x:c r="P6" s="2" t="str">
        <x:v>EXP2.006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89.81</x:v>
      </x:c>
      <x:c r="D7" s="3" t="n">
        <x:f>ROUND(D207*D327,2)</x:f>
        <x:v>382.77</x:v>
      </x:c>
      <x:c r="E7" s="3" t="n">
        <x:f>ROUND(E207*E327,2)</x:f>
        <x:v>75.29</x:v>
      </x:c>
      <x:c r="F7" s="3" t="n">
        <x:f>ROUND(F207*F327,2)</x:f>
        <x:v>295.35</x:v>
      </x:c>
      <x:c r="G7" s="3" t="n">
        <x:f>ROUND(G207*G327,2)</x:f>
        <x:v>163.54</x:v>
      </x:c>
      <x:c r="H7" s="3" t="n">
        <x:f>ROUND(H207*H327,2)</x:f>
        <x:v>229.11</x:v>
      </x:c>
      <x:c r="I7" s="3" t="n">
        <x:f>ROUND(I207*I327,2)</x:f>
        <x:v>91.84</x:v>
      </x:c>
      <x:c r="J7" s="3" t="n">
        <x:f>ROUND(J207*J327,2)</x:f>
        <x:v>271.81</x:v>
      </x:c>
      <x:c r="K7" s="3" t="n">
        <x:f>ROUND(K207*K327,2)</x:f>
        <x:v>460.79</x:v>
      </x:c>
      <x:c r="L7" s="3" t="n">
        <x:f>ROUND(L207*L327,2)</x:f>
        <x:v>84.16</x:v>
      </x:c>
      <x:c r="M7" s="3" t="n">
        <x:f>ROUND(M207*M327,2)</x:f>
        <x:v>275.95</x:v>
      </x:c>
      <x:c r="N7" s="3" t="n">
        <x:f>ROUND(N207*N327,2)</x:f>
        <x:v>106.28</x:v>
      </x:c>
      <x:c r="O7" s="3" t="n">
        <x:f>SUM(C7:N7)</x:f>
        <x:v>2526.7</x:v>
      </x:c>
      <x:c r="P7" s="2" t="str">
        <x:v>EXP2.007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303.56</x:v>
      </x:c>
      <x:c r="D8" s="3" t="n">
        <x:f>ROUND(D208*D328,2)</x:f>
        <x:v>240.23</x:v>
      </x:c>
      <x:c r="E8" s="3" t="n">
        <x:f>ROUND(E208*E328,2)</x:f>
        <x:v>263.9</x:v>
      </x:c>
      <x:c r="F8" s="3" t="n">
        <x:f>ROUND(F208*F328,2)</x:f>
        <x:v>54.41</x:v>
      </x:c>
      <x:c r="G8" s="3" t="n">
        <x:f>ROUND(G208*G328,2)</x:f>
        <x:v>249.3</x:v>
      </x:c>
      <x:c r="H8" s="3" t="n">
        <x:f>ROUND(H208*H328,2)</x:f>
        <x:v>60.26</x:v>
      </x:c>
      <x:c r="I8" s="3" t="n">
        <x:f>ROUND(I208*I328,2)</x:f>
        <x:v>402.02</x:v>
      </x:c>
      <x:c r="J8" s="3" t="n">
        <x:f>ROUND(J208*J328,2)</x:f>
        <x:v>333.69</x:v>
      </x:c>
      <x:c r="K8" s="3" t="n">
        <x:f>ROUND(K208*K328,2)</x:f>
        <x:v>113.29</x:v>
      </x:c>
      <x:c r="L8" s="3" t="n">
        <x:f>ROUND(L208*L328,2)</x:f>
        <x:v>533.67</x:v>
      </x:c>
      <x:c r="M8" s="3" t="n">
        <x:f>ROUND(M208*M328,2)</x:f>
        <x:v>250.47</x:v>
      </x:c>
      <x:c r="N8" s="3" t="n">
        <x:f>ROUND(N208*N328,2)</x:f>
        <x:v>426.22</x:v>
      </x:c>
      <x:c r="O8" s="3" t="n">
        <x:f>SUM(C8:N8)</x:f>
        <x:v>3231.0199999999995</x:v>
      </x:c>
      <x:c r="P8" s="2" t="str">
        <x:v>EXP2.008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151.84</x:v>
      </x:c>
      <x:c r="D9" s="3" t="n">
        <x:f>ROUND(D209*D329,2)</x:f>
        <x:v>185.53</x:v>
      </x:c>
      <x:c r="E9" s="3" t="n">
        <x:f>ROUND(E209*E329,2)</x:f>
        <x:v>64.8</x:v>
      </x:c>
      <x:c r="F9" s="3" t="n">
        <x:f>ROUND(F209*F329,2)</x:f>
        <x:v>146.13</x:v>
      </x:c>
      <x:c r="G9" s="3" t="n">
        <x:f>ROUND(G209*G329,2)</x:f>
        <x:v>344.04</x:v>
      </x:c>
      <x:c r="H9" s="3" t="n">
        <x:f>ROUND(H209*H329,2)</x:f>
        <x:v>476.55</x:v>
      </x:c>
      <x:c r="I9" s="3" t="n">
        <x:f>ROUND(I209*I329,2)</x:f>
        <x:v>255.66</x:v>
      </x:c>
      <x:c r="J9" s="3" t="n">
        <x:f>ROUND(J209*J329,2)</x:f>
        <x:v>127.04</x:v>
      </x:c>
      <x:c r="K9" s="3" t="n">
        <x:f>ROUND(K209*K329,2)</x:f>
        <x:v>58.82</x:v>
      </x:c>
      <x:c r="L9" s="3" t="n">
        <x:f>ROUND(L209*L329,2)</x:f>
        <x:v>128.2</x:v>
      </x:c>
      <x:c r="M9" s="3" t="n">
        <x:f>ROUND(M209*M329,2)</x:f>
        <x:v>171.7</x:v>
      </x:c>
      <x:c r="N9" s="3" t="n">
        <x:f>ROUND(N209*N329,2)</x:f>
        <x:v>214.61</x:v>
      </x:c>
      <x:c r="O9" s="3" t="n">
        <x:f>SUM(C9:N9)</x:f>
        <x:v>2324.92</x:v>
      </x:c>
      <x:c r="P9" s="2" t="str">
        <x:v>EXP2.009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162.23</x:v>
      </x:c>
      <x:c r="D10" s="3" t="n">
        <x:f>ROUND(D210*D330,2)</x:f>
        <x:v>193.11</x:v>
      </x:c>
      <x:c r="E10" s="3" t="n">
        <x:f>ROUND(E210*E330,2)</x:f>
        <x:v>234.63</x:v>
      </x:c>
      <x:c r="F10" s="3" t="n">
        <x:f>ROUND(F210*F330,2)</x:f>
        <x:v>119.16</x:v>
      </x:c>
      <x:c r="G10" s="3" t="n">
        <x:f>ROUND(G210*G330,2)</x:f>
        <x:v>337.95</x:v>
      </x:c>
      <x:c r="H10" s="3" t="n">
        <x:f>ROUND(H210*H330,2)</x:f>
        <x:v>222.54</x:v>
      </x:c>
      <x:c r="I10" s="3" t="n">
        <x:f>ROUND(I210*I330,2)</x:f>
        <x:v>235.54</x:v>
      </x:c>
      <x:c r="J10" s="3" t="n">
        <x:f>ROUND(J210*J330,2)</x:f>
        <x:v>189.05</x:v>
      </x:c>
      <x:c r="K10" s="3" t="n">
        <x:f>ROUND(K210*K330,2)</x:f>
        <x:v>317.98</x:v>
      </x:c>
      <x:c r="L10" s="3" t="n">
        <x:f>ROUND(L210*L330,2)</x:f>
        <x:v>244.38</x:v>
      </x:c>
      <x:c r="M10" s="3" t="n">
        <x:f>ROUND(M210*M330,2)</x:f>
        <x:v>323.85</x:v>
      </x:c>
      <x:c r="N10" s="3" t="n">
        <x:f>ROUND(N210*N330,2)</x:f>
        <x:v>411.68</x:v>
      </x:c>
      <x:c r="O10" s="3" t="n">
        <x:f>SUM(C10:N10)</x:f>
        <x:v>2992.0999999999995</x:v>
      </x:c>
      <x:c r="P10" s="2" t="str">
        <x:v>EXP2.010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243.6</x:v>
      </x:c>
      <x:c r="D11" s="3" t="n">
        <x:f>ROUND(D211*D331,2)</x:f>
        <x:v>255.85</x:v>
      </x:c>
      <x:c r="E11" s="3" t="n">
        <x:f>ROUND(E211*E331,2)</x:f>
        <x:v>239.39</x:v>
      </x:c>
      <x:c r="F11" s="3" t="n">
        <x:f>ROUND(F211*F331,2)</x:f>
        <x:v>204.45</x:v>
      </x:c>
      <x:c r="G11" s="3" t="n">
        <x:f>ROUND(G211*G331,2)</x:f>
        <x:v>182.62</x:v>
      </x:c>
      <x:c r="H11" s="3" t="n">
        <x:f>ROUND(H211*H331,2)</x:f>
        <x:v>100.8</x:v>
      </x:c>
      <x:c r="I11" s="3" t="n">
        <x:f>ROUND(I211*I331,2)</x:f>
        <x:v>137.6</x:v>
      </x:c>
      <x:c r="J11" s="3" t="n">
        <x:f>ROUND(J211*J331,2)</x:f>
        <x:v>263.26</x:v>
      </x:c>
      <x:c r="K11" s="3" t="n">
        <x:f>ROUND(K211*K331,2)</x:f>
        <x:v>227.44</x:v>
      </x:c>
      <x:c r="L11" s="3" t="n">
        <x:f>ROUND(L211*L331,2)</x:f>
        <x:v>235.35</x:v>
      </x:c>
      <x:c r="M11" s="3" t="n">
        <x:f>ROUND(M211*M331,2)</x:f>
        <x:v>346.11</x:v>
      </x:c>
      <x:c r="N11" s="3" t="n">
        <x:f>ROUND(N211*N331,2)</x:f>
        <x:v>310.54</x:v>
      </x:c>
      <x:c r="O11" s="3" t="n">
        <x:f>SUM(C11:N11)</x:f>
        <x:v>2747.0099999999998</x:v>
      </x:c>
      <x:c r="P11" s="2" t="str">
        <x:v>EXP2.011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280.72</x:v>
      </x:c>
      <x:c r="D12" s="3" t="n">
        <x:f>ROUND(D212*D332,2)</x:f>
        <x:v>42.09</x:v>
      </x:c>
      <x:c r="E12" s="3" t="n">
        <x:f>ROUND(E212*E332,2)</x:f>
        <x:v>116.74</x:v>
      </x:c>
      <x:c r="F12" s="3" t="n">
        <x:f>ROUND(F212*F332,2)</x:f>
        <x:v>106.51</x:v>
      </x:c>
      <x:c r="G12" s="3" t="n">
        <x:f>ROUND(G212*G332,2)</x:f>
        <x:v>261.1</x:v>
      </x:c>
      <x:c r="H12" s="3" t="n">
        <x:f>ROUND(H212*H332,2)</x:f>
        <x:v>264.88</x:v>
      </x:c>
      <x:c r="I12" s="3" t="n">
        <x:f>ROUND(I212*I332,2)</x:f>
        <x:v>246.04</x:v>
      </x:c>
      <x:c r="J12" s="3" t="n">
        <x:f>ROUND(J212*J332,2)</x:f>
        <x:v>127.36</x:v>
      </x:c>
      <x:c r="K12" s="3" t="n">
        <x:f>ROUND(K212*K332,2)</x:f>
        <x:v>161.71</x:v>
      </x:c>
      <x:c r="L12" s="3" t="n">
        <x:f>ROUND(L212*L332,2)</x:f>
        <x:v>483.61</x:v>
      </x:c>
      <x:c r="M12" s="3" t="n">
        <x:f>ROUND(M212*M332,2)</x:f>
        <x:v>151.91</x:v>
      </x:c>
      <x:c r="N12" s="3" t="n">
        <x:f>ROUND(N212*N332,2)</x:f>
        <x:v>97.7</x:v>
      </x:c>
      <x:c r="O12" s="3" t="n">
        <x:f>SUM(C12:N12)</x:f>
        <x:v>2340.3699999999994</x:v>
      </x:c>
      <x:c r="P12" s="2" t="str">
        <x:v>EXP2.012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328.88</x:v>
      </x:c>
      <x:c r="D13" s="3" t="n">
        <x:f>ROUND(D213*D333,2)</x:f>
        <x:v>116.83</x:v>
      </x:c>
      <x:c r="E13" s="3" t="n">
        <x:f>ROUND(E213*E333,2)</x:f>
        <x:v>170.97</x:v>
      </x:c>
      <x:c r="F13" s="3" t="n">
        <x:f>ROUND(F213*F333,2)</x:f>
        <x:v>455.75</x:v>
      </x:c>
      <x:c r="G13" s="3" t="n">
        <x:f>ROUND(G213*G333,2)</x:f>
        <x:v>148.12</x:v>
      </x:c>
      <x:c r="H13" s="3" t="n">
        <x:f>ROUND(H213*H333,2)</x:f>
        <x:v>352.91</x:v>
      </x:c>
      <x:c r="I13" s="3" t="n">
        <x:f>ROUND(I213*I333,2)</x:f>
        <x:v>126.58</x:v>
      </x:c>
      <x:c r="J13" s="3" t="n">
        <x:f>ROUND(J213*J333,2)</x:f>
        <x:v>84.07</x:v>
      </x:c>
      <x:c r="K13" s="3" t="n">
        <x:f>ROUND(K213*K333,2)</x:f>
        <x:v>350.32</x:v>
      </x:c>
      <x:c r="L13" s="3" t="n">
        <x:f>ROUND(L213*L333,2)</x:f>
        <x:v>141.35</x:v>
      </x:c>
      <x:c r="M13" s="3" t="n">
        <x:f>ROUND(M213*M333,2)</x:f>
        <x:v>344.83</x:v>
      </x:c>
      <x:c r="N13" s="3" t="n">
        <x:f>ROUND(N213*N333,2)</x:f>
        <x:v>387.86</x:v>
      </x:c>
      <x:c r="O13" s="3" t="n">
        <x:f>SUM(C13:N13)</x:f>
        <x:v>3008.47</x:v>
      </x:c>
      <x:c r="P13" s="2" t="str">
        <x:v>EXP2.013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101.68</x:v>
      </x:c>
      <x:c r="D14" s="3" t="n">
        <x:f>ROUND(D214*D334,2)</x:f>
        <x:v>138.38</x:v>
      </x:c>
      <x:c r="E14" s="3" t="n">
        <x:f>ROUND(E214*E334,2)</x:f>
        <x:v>199.92</x:v>
      </x:c>
      <x:c r="F14" s="3" t="n">
        <x:f>ROUND(F214*F334,2)</x:f>
        <x:v>487.2</x:v>
      </x:c>
      <x:c r="G14" s="3" t="n">
        <x:f>ROUND(G214*G334,2)</x:f>
        <x:v>121.62</x:v>
      </x:c>
      <x:c r="H14" s="3" t="n">
        <x:f>ROUND(H214*H334,2)</x:f>
        <x:v>76.41</x:v>
      </x:c>
      <x:c r="I14" s="3" t="n">
        <x:f>ROUND(I214*I334,2)</x:f>
        <x:v>481.58</x:v>
      </x:c>
      <x:c r="J14" s="3" t="n">
        <x:f>ROUND(J214*J334,2)</x:f>
        <x:v>271.14</x:v>
      </x:c>
      <x:c r="K14" s="3" t="n">
        <x:f>ROUND(K214*K334,2)</x:f>
        <x:v>550.03</x:v>
      </x:c>
      <x:c r="L14" s="3" t="n">
        <x:f>ROUND(L214*L334,2)</x:f>
        <x:v>298</x:v>
      </x:c>
      <x:c r="M14" s="3" t="n">
        <x:f>ROUND(M214*M334,2)</x:f>
        <x:v>434.27</x:v>
      </x:c>
      <x:c r="N14" s="3" t="n">
        <x:f>ROUND(N214*N334,2)</x:f>
        <x:v>274.38</x:v>
      </x:c>
      <x:c r="O14" s="3" t="n">
        <x:f>SUM(C14:N14)</x:f>
        <x:v>3434.61</x:v>
      </x:c>
      <x:c r="P14" s="2" t="str">
        <x:v>EXP2.014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107.6</x:v>
      </x:c>
      <x:c r="D15" s="3" t="n">
        <x:f>ROUND(D215*D335,2)</x:f>
        <x:v>415.08</x:v>
      </x:c>
      <x:c r="E15" s="3" t="n">
        <x:f>ROUND(E215*E335,2)</x:f>
        <x:v>233.11</x:v>
      </x:c>
      <x:c r="F15" s="3" t="n">
        <x:f>ROUND(F215*F335,2)</x:f>
        <x:v>293.01</x:v>
      </x:c>
      <x:c r="G15" s="3" t="n">
        <x:f>ROUND(G215*G335,2)</x:f>
        <x:v>218.35</x:v>
      </x:c>
      <x:c r="H15" s="3" t="n">
        <x:f>ROUND(H215*H335,2)</x:f>
        <x:v>331.29</x:v>
      </x:c>
      <x:c r="I15" s="3" t="n">
        <x:f>ROUND(I215*I335,2)</x:f>
        <x:v>304.11</x:v>
      </x:c>
      <x:c r="J15" s="3" t="n">
        <x:f>ROUND(J215*J335,2)</x:f>
        <x:v>132.29</x:v>
      </x:c>
      <x:c r="K15" s="3" t="n">
        <x:f>ROUND(K215*K335,2)</x:f>
        <x:v>358.41</x:v>
      </x:c>
      <x:c r="L15" s="3" t="n">
        <x:f>ROUND(L215*L335,2)</x:f>
        <x:v>273.4</x:v>
      </x:c>
      <x:c r="M15" s="3" t="n">
        <x:f>ROUND(M215*M335,2)</x:f>
        <x:v>377.14</x:v>
      </x:c>
      <x:c r="N15" s="3" t="n">
        <x:f>ROUND(N215*N335,2)</x:f>
        <x:v>304.94</x:v>
      </x:c>
      <x:c r="O15" s="3" t="n">
        <x:f>SUM(C15:N15)</x:f>
        <x:v>3348.7299999999996</x:v>
      </x:c>
      <x:c r="P15" s="2" t="str">
        <x:v>EXP2.015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140.06</x:v>
      </x:c>
      <x:c r="D16" s="3" t="n">
        <x:f>ROUND(D216*D336,2)</x:f>
        <x:v>104.02</x:v>
      </x:c>
      <x:c r="E16" s="3" t="n">
        <x:f>ROUND(E216*E336,2)</x:f>
        <x:v>193.66</x:v>
      </x:c>
      <x:c r="F16" s="3" t="n">
        <x:f>ROUND(F216*F336,2)</x:f>
        <x:v>324.85</x:v>
      </x:c>
      <x:c r="G16" s="3" t="n">
        <x:f>ROUND(G216*G336,2)</x:f>
        <x:v>143.82</x:v>
      </x:c>
      <x:c r="H16" s="3" t="n">
        <x:f>ROUND(H216*H336,2)</x:f>
        <x:v>519.7</x:v>
      </x:c>
      <x:c r="I16" s="3" t="n">
        <x:f>ROUND(I216*I336,2)</x:f>
        <x:v>197.04</x:v>
      </x:c>
      <x:c r="J16" s="3" t="n">
        <x:f>ROUND(J216*J336,2)</x:f>
        <x:v>195.7</x:v>
      </x:c>
      <x:c r="K16" s="3" t="n">
        <x:f>ROUND(K216*K336,2)</x:f>
        <x:v>128.7</x:v>
      </x:c>
      <x:c r="L16" s="3" t="n">
        <x:f>ROUND(L216*L336,2)</x:f>
        <x:v>406.03</x:v>
      </x:c>
      <x:c r="M16" s="3" t="n">
        <x:f>ROUND(M216*M336,2)</x:f>
        <x:v>108.38</x:v>
      </x:c>
      <x:c r="N16" s="3" t="n">
        <x:f>ROUND(N216*N336,2)</x:f>
        <x:v>513.06</x:v>
      </x:c>
      <x:c r="O16" s="3" t="n">
        <x:f>SUM(C16:N16)</x:f>
        <x:v>2975.02</x:v>
      </x:c>
      <x:c r="P16" s="2" t="str">
        <x:v>EXP2.016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ROUND(C217*C337,2)</x:f>
        <x:v>252.95</x:v>
      </x:c>
      <x:c r="D17" s="3" t="n">
        <x:f>ROUND(D217*D337,2)</x:f>
        <x:v>201.67</x:v>
      </x:c>
      <x:c r="E17" s="3" t="n">
        <x:f>ROUND(E217*E337,2)</x:f>
        <x:v>231.14</x:v>
      </x:c>
      <x:c r="F17" s="3" t="n">
        <x:f>ROUND(F217*F337,2)</x:f>
        <x:v>358.1</x:v>
      </x:c>
      <x:c r="G17" s="3" t="n">
        <x:f>ROUND(G217*G337,2)</x:f>
        <x:v>209.27</x:v>
      </x:c>
      <x:c r="H17" s="3" t="n">
        <x:f>ROUND(H217*H337,2)</x:f>
        <x:v>221.71</x:v>
      </x:c>
      <x:c r="I17" s="3" t="n">
        <x:f>ROUND(I217*I337,2)</x:f>
        <x:v>292.82</x:v>
      </x:c>
      <x:c r="J17" s="3" t="n">
        <x:f>ROUND(J217*J337,2)</x:f>
        <x:v>119.61</x:v>
      </x:c>
      <x:c r="K17" s="3" t="n">
        <x:f>ROUND(K217*K337,2)</x:f>
        <x:v>193.78</x:v>
      </x:c>
      <x:c r="L17" s="3" t="n">
        <x:f>ROUND(L217*L337,2)</x:f>
        <x:v>237.44</x:v>
      </x:c>
      <x:c r="M17" s="3" t="n">
        <x:f>ROUND(M217*M337,2)</x:f>
        <x:v>392.55</x:v>
      </x:c>
      <x:c r="N17" s="3" t="n">
        <x:f>ROUND(N217*N337,2)</x:f>
        <x:v>218.38</x:v>
      </x:c>
      <x:c r="O17" s="3" t="n">
        <x:f>SUM(C17:N17)</x:f>
        <x:v>2929.4200000000005</x:v>
      </x:c>
      <x:c r="P17" s="2" t="str">
        <x:v>EXP2.017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123.72</x:v>
      </x:c>
      <x:c r="D18" s="3" t="n">
        <x:f>ROUND(D218*D338,2)</x:f>
        <x:v>400.83</x:v>
      </x:c>
      <x:c r="E18" s="3" t="n">
        <x:f>ROUND(E218*E338,2)</x:f>
        <x:v>262.49</x:v>
      </x:c>
      <x:c r="F18" s="3" t="n">
        <x:f>ROUND(F218*F338,2)</x:f>
        <x:v>155.87</x:v>
      </x:c>
      <x:c r="G18" s="3" t="n">
        <x:f>ROUND(G218*G338,2)</x:f>
        <x:v>178.84</x:v>
      </x:c>
      <x:c r="H18" s="3" t="n">
        <x:f>ROUND(H218*H338,2)</x:f>
        <x:v>257.68</x:v>
      </x:c>
      <x:c r="I18" s="3" t="n">
        <x:f>ROUND(I218*I338,2)</x:f>
        <x:v>142.3</x:v>
      </x:c>
      <x:c r="J18" s="3" t="n">
        <x:f>ROUND(J218*J338,2)</x:f>
        <x:v>205.98</x:v>
      </x:c>
      <x:c r="K18" s="3" t="n">
        <x:f>ROUND(K218*K338,2)</x:f>
        <x:v>179.34</x:v>
      </x:c>
      <x:c r="L18" s="3" t="n">
        <x:f>ROUND(L218*L338,2)</x:f>
        <x:v>87.08</x:v>
      </x:c>
      <x:c r="M18" s="3" t="n">
        <x:f>ROUND(M218*M338,2)</x:f>
        <x:v>148.89</x:v>
      </x:c>
      <x:c r="N18" s="3" t="n">
        <x:f>ROUND(N218*N338,2)</x:f>
        <x:v>371.1</x:v>
      </x:c>
      <x:c r="O18" s="3" t="n">
        <x:f>SUM(C18:N18)</x:f>
        <x:v>2514.12</x:v>
      </x:c>
      <x:c r="P18" s="2" t="str">
        <x:v>EXP2.018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219.9</x:v>
      </x:c>
      <x:c r="D19" s="3" t="n">
        <x:f>ROUND(D219*D339,2)</x:f>
        <x:v>295.98</x:v>
      </x:c>
      <x:c r="E19" s="3" t="n">
        <x:f>ROUND(E219*E339,2)</x:f>
        <x:v>202.33</x:v>
      </x:c>
      <x:c r="F19" s="3" t="n">
        <x:f>ROUND(F219*F339,2)</x:f>
        <x:v>100</x:v>
      </x:c>
      <x:c r="G19" s="3" t="n">
        <x:f>ROUND(G219*G339,2)</x:f>
        <x:v>142.35</x:v>
      </x:c>
      <x:c r="H19" s="3" t="n">
        <x:f>ROUND(H219*H339,2)</x:f>
        <x:v>242.57</x:v>
      </x:c>
      <x:c r="I19" s="3" t="n">
        <x:f>ROUND(I219*I339,2)</x:f>
        <x:v>263.18</x:v>
      </x:c>
      <x:c r="J19" s="3" t="n">
        <x:f>ROUND(J219*J339,2)</x:f>
        <x:v>225.24</x:v>
      </x:c>
      <x:c r="K19" s="3" t="n">
        <x:f>ROUND(K219*K339,2)</x:f>
        <x:v>299.4</x:v>
      </x:c>
      <x:c r="L19" s="3" t="n">
        <x:f>ROUND(L219*L339,2)</x:f>
        <x:v>205.81</x:v>
      </x:c>
      <x:c r="M19" s="3" t="n">
        <x:f>ROUND(M219*M339,2)</x:f>
        <x:v>122.89</x:v>
      </x:c>
      <x:c r="N19" s="3" t="n">
        <x:f>ROUND(N219*N339,2)</x:f>
        <x:v>203</x:v>
      </x:c>
      <x:c r="O19" s="3" t="n">
        <x:f>SUM(C19:N19)</x:f>
        <x:v>2522.65</x:v>
      </x:c>
      <x:c r="P19" s="2" t="str">
        <x:v>EXP2.019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592.43</x:v>
      </x:c>
      <x:c r="D20" s="3" t="n">
        <x:f>ROUND('摊销明细'!D33/3,2)</x:f>
        <x:v>592.43</x:v>
      </x:c>
      <x:c r="E20" s="3" t="n">
        <x:f>ROUND('摊销明细'!E33/3,2)</x:f>
        <x:v>592.43</x:v>
      </x:c>
      <x:c r="F20" s="3" t="n">
        <x:f>ROUND('摊销明细'!F33/3,2)</x:f>
        <x:v>592.43</x:v>
      </x:c>
      <x:c r="G20" s="3" t="n">
        <x:f>ROUND('摊销明细'!G33/3,2)</x:f>
        <x:v>592.43</x:v>
      </x:c>
      <x:c r="H20" s="3" t="n">
        <x:f>ROUND('摊销明细'!H33/3,2)</x:f>
        <x:v>592.43</x:v>
      </x:c>
      <x:c r="I20" s="3" t="n">
        <x:f>ROUND('摊销明细'!I33/3,2)</x:f>
        <x:v>592.43</x:v>
      </x:c>
      <x:c r="J20" s="3" t="n">
        <x:f>ROUND('摊销明细'!J33/3,2)</x:f>
        <x:v>592.43</x:v>
      </x:c>
      <x:c r="K20" s="3" t="n">
        <x:f>ROUND('摊销明细'!K33/3,2)</x:f>
        <x:v>592.43</x:v>
      </x:c>
      <x:c r="L20" s="3" t="n">
        <x:f>ROUND('摊销明细'!L33/3,2)</x:f>
        <x:v>592.43</x:v>
      </x:c>
      <x:c r="M20" s="3" t="n">
        <x:f>ROUND('摊销明细'!M33/3,2)</x:f>
        <x:v>592.43</x:v>
      </x:c>
      <x:c r="N20" s="3" t="n">
        <x:f>ROUND('摊销明细'!N33/3,2)</x:f>
        <x:v>592.43</x:v>
      </x:c>
      <x:c r="O20" s="3" t="n">
        <x:f>SUM(C20:N20)</x:f>
        <x:v>7109.160000000001</x:v>
      </x:c>
      <x:c r="P20" s="2" t="str">
        <x:v>EXP2.020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416.84</x:v>
      </x:c>
      <x:c r="D21" s="3" t="n">
        <x:f>ROUND(D221*D341,2)</x:f>
        <x:v>191.05</x:v>
      </x:c>
      <x:c r="E21" s="3" t="n">
        <x:f>ROUND(E221*E341,2)</x:f>
        <x:v>458.11</x:v>
      </x:c>
      <x:c r="F21" s="3" t="n">
        <x:f>ROUND(F221*F341,2)</x:f>
        <x:v>165.19</x:v>
      </x:c>
      <x:c r="G21" s="3" t="n">
        <x:f>ROUND(G221*G341,2)</x:f>
        <x:v>252.46</x:v>
      </x:c>
      <x:c r="H21" s="3" t="n">
        <x:f>ROUND(H221*H341,2)</x:f>
        <x:v>238.94</x:v>
      </x:c>
      <x:c r="I21" s="3" t="n">
        <x:f>ROUND(I221*I341,2)</x:f>
        <x:v>321.42</x:v>
      </x:c>
      <x:c r="J21" s="3" t="n">
        <x:f>ROUND(J221*J341,2)</x:f>
        <x:v>133.88</x:v>
      </x:c>
      <x:c r="K21" s="3" t="n">
        <x:f>ROUND(K221*K341,2)</x:f>
        <x:v>403.15</x:v>
      </x:c>
      <x:c r="L21" s="3" t="n">
        <x:f>ROUND(L221*L341,2)</x:f>
        <x:v>537.55</x:v>
      </x:c>
      <x:c r="M21" s="3" t="n">
        <x:f>ROUND(M221*M341,2)</x:f>
        <x:v>394.11</x:v>
      </x:c>
      <x:c r="N21" s="3" t="n">
        <x:f>ROUND(N221*N341,2)</x:f>
        <x:v>236.41</x:v>
      </x:c>
      <x:c r="O21" s="3" t="n">
        <x:f>SUM(C21:N21)</x:f>
        <x:v>3749.11</x:v>
      </x:c>
      <x:c r="P21" s="2" t="str">
        <x:v>EXP2.021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48.91</x:v>
      </x:c>
      <x:c r="D22" s="3" t="n">
        <x:f>ROUND(D222*D342,2)</x:f>
        <x:v>88.06</x:v>
      </x:c>
      <x:c r="E22" s="3" t="n">
        <x:f>ROUND(E222*E342,2)</x:f>
        <x:v>132.97</x:v>
      </x:c>
      <x:c r="F22" s="3" t="n">
        <x:f>ROUND(F222*F342,2)</x:f>
        <x:v>297.1</x:v>
      </x:c>
      <x:c r="G22" s="3" t="n">
        <x:f>ROUND(G222*G342,2)</x:f>
        <x:v>187.64</x:v>
      </x:c>
      <x:c r="H22" s="3" t="n">
        <x:f>ROUND(H222*H342,2)</x:f>
        <x:v>343.61</x:v>
      </x:c>
      <x:c r="I22" s="3" t="n">
        <x:f>ROUND(I222*I342,2)</x:f>
        <x:v>183.17</x:v>
      </x:c>
      <x:c r="J22" s="3" t="n">
        <x:f>ROUND(J222*J342,2)</x:f>
        <x:v>160.51</x:v>
      </x:c>
      <x:c r="K22" s="3" t="n">
        <x:f>ROUND(K222*K342,2)</x:f>
        <x:v>287.63</x:v>
      </x:c>
      <x:c r="L22" s="3" t="n">
        <x:f>ROUND(L222*L342,2)</x:f>
        <x:v>243.19</x:v>
      </x:c>
      <x:c r="M22" s="3" t="n">
        <x:f>ROUND(M222*M342,2)</x:f>
        <x:v>163.25</x:v>
      </x:c>
      <x:c r="N22" s="3" t="n">
        <x:f>ROUND(N222*N342,2)</x:f>
        <x:v>262.83</x:v>
      </x:c>
      <x:c r="O22" s="3" t="n">
        <x:f>SUM(C22:N22)</x:f>
        <x:v>2398.87</x:v>
      </x:c>
      <x:c r="P22" s="2" t="str">
        <x:v>EXP2.022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224.6</x:v>
      </x:c>
      <x:c r="D23" s="3" t="n">
        <x:f>ROUND(D223*D343,2)</x:f>
        <x:v>451.85</x:v>
      </x:c>
      <x:c r="E23" s="3" t="n">
        <x:f>ROUND(E223*E343,2)</x:f>
        <x:v>70.64</x:v>
      </x:c>
      <x:c r="F23" s="3" t="n">
        <x:f>ROUND(F223*F343,2)</x:f>
        <x:v>139.07</x:v>
      </x:c>
      <x:c r="G23" s="3" t="n">
        <x:f>ROUND(G223*G343,2)</x:f>
        <x:v>574.6</x:v>
      </x:c>
      <x:c r="H23" s="3" t="n">
        <x:f>ROUND(H223*H343,2)</x:f>
        <x:v>93.74</x:v>
      </x:c>
      <x:c r="I23" s="3" t="n">
        <x:f>ROUND(I223*I343,2)</x:f>
        <x:v>176.26</x:v>
      </x:c>
      <x:c r="J23" s="3" t="n">
        <x:f>ROUND(J223*J343,2)</x:f>
        <x:v>130.4</x:v>
      </x:c>
      <x:c r="K23" s="3" t="n">
        <x:f>ROUND(K223*K343,2)</x:f>
        <x:v>190.41</x:v>
      </x:c>
      <x:c r="L23" s="3" t="n">
        <x:f>ROUND(L223*L343,2)</x:f>
        <x:v>226.76</x:v>
      </x:c>
      <x:c r="M23" s="3" t="n">
        <x:f>ROUND(M223*M343,2)</x:f>
        <x:v>324.26</x:v>
      </x:c>
      <x:c r="N23" s="3" t="n">
        <x:f>ROUND(N223*N343,2)</x:f>
        <x:v>134.76</x:v>
      </x:c>
      <x:c r="O23" s="3" t="n">
        <x:f>SUM(C23:N23)</x:f>
        <x:v>2737.3500000000004</x:v>
      </x:c>
      <x:c r="P23" s="2" t="str">
        <x:v>EXP2.023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272.04</x:v>
      </x:c>
      <x:c r="D24" s="3" t="n">
        <x:f>ROUND(D224*D344,2)</x:f>
        <x:v>295.62</x:v>
      </x:c>
      <x:c r="E24" s="3" t="n">
        <x:f>ROUND(E224*E344,2)</x:f>
        <x:v>162.38</x:v>
      </x:c>
      <x:c r="F24" s="3" t="n">
        <x:f>ROUND(F224*F344,2)</x:f>
        <x:v>447.79</x:v>
      </x:c>
      <x:c r="G24" s="3" t="n">
        <x:f>ROUND(G224*G344,2)</x:f>
        <x:v>120.72</x:v>
      </x:c>
      <x:c r="H24" s="3" t="n">
        <x:f>ROUND(H224*H344,2)</x:f>
        <x:v>118.51</x:v>
      </x:c>
      <x:c r="I24" s="3" t="n">
        <x:f>ROUND(I224*I344,2)</x:f>
        <x:v>391.5</x:v>
      </x:c>
      <x:c r="J24" s="3" t="n">
        <x:f>ROUND(J224*J344,2)</x:f>
        <x:v>359.09</x:v>
      </x:c>
      <x:c r="K24" s="3" t="n">
        <x:f>ROUND(K224*K344,2)</x:f>
        <x:v>488.72</x:v>
      </x:c>
      <x:c r="L24" s="3" t="n">
        <x:f>ROUND(L224*L344,2)</x:f>
        <x:v>365.87</x:v>
      </x:c>
      <x:c r="M24" s="3" t="n">
        <x:f>ROUND(M224*M344,2)</x:f>
        <x:v>164.99</x:v>
      </x:c>
      <x:c r="N24" s="3" t="n">
        <x:f>ROUND(N224*N344,2)</x:f>
        <x:v>178.55</x:v>
      </x:c>
      <x:c r="O24" s="3" t="n">
        <x:f>SUM(C24:N24)</x:f>
        <x:v>3365.7799999999997</x:v>
      </x:c>
      <x:c r="P24" s="2" t="str">
        <x:v>EXP2.024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110.48</x:v>
      </x:c>
      <x:c r="D25" s="3" t="n">
        <x:f>ROUND(D225*D345,2)</x:f>
        <x:v>140.61</x:v>
      </x:c>
      <x:c r="E25" s="3" t="n">
        <x:f>ROUND(E225*E345,2)</x:f>
        <x:v>56.41</x:v>
      </x:c>
      <x:c r="F25" s="3" t="n">
        <x:f>ROUND(F225*F345,2)</x:f>
        <x:v>201.23</x:v>
      </x:c>
      <x:c r="G25" s="3" t="n">
        <x:f>ROUND(G225*G345,2)</x:f>
        <x:v>339.6</x:v>
      </x:c>
      <x:c r="H25" s="3" t="n">
        <x:f>ROUND(H225*H345,2)</x:f>
        <x:v>216.26</x:v>
      </x:c>
      <x:c r="I25" s="3" t="n">
        <x:f>ROUND(I225*I345,2)</x:f>
        <x:v>186.16</x:v>
      </x:c>
      <x:c r="J25" s="3" t="n">
        <x:f>ROUND(J225*J345,2)</x:f>
        <x:v>411.9</x:v>
      </x:c>
      <x:c r="K25" s="3" t="n">
        <x:f>ROUND(K225*K345,2)</x:f>
        <x:v>140.77</x:v>
      </x:c>
      <x:c r="L25" s="3" t="n">
        <x:f>ROUND(L225*L345,2)</x:f>
        <x:v>145.94</x:v>
      </x:c>
      <x:c r="M25" s="3" t="n">
        <x:f>ROUND(M225*M345,2)</x:f>
        <x:v>389.75</x:v>
      </x:c>
      <x:c r="N25" s="3" t="n">
        <x:f>ROUND(N225*N345,2)</x:f>
        <x:v>352.75</x:v>
      </x:c>
      <x:c r="O25" s="3" t="n">
        <x:f>SUM(C25:N25)</x:f>
        <x:v>2691.86</x:v>
      </x:c>
      <x:c r="P25" s="2" t="str">
        <x:v>EXP2.025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387.81</x:v>
      </x:c>
      <x:c r="D26" s="3" t="n">
        <x:f>ROUND(D226*D346,2)</x:f>
        <x:v>101.83</x:v>
      </x:c>
      <x:c r="E26" s="3" t="n">
        <x:f>ROUND(E226*E346,2)</x:f>
        <x:v>375.41</x:v>
      </x:c>
      <x:c r="F26" s="3" t="n">
        <x:f>ROUND(F226*F346,2)</x:f>
        <x:v>434.19</x:v>
      </x:c>
      <x:c r="G26" s="3" t="n">
        <x:f>ROUND(G226*G346,2)</x:f>
        <x:v>424.92</x:v>
      </x:c>
      <x:c r="H26" s="3" t="n">
        <x:f>ROUND(H226*H346,2)</x:f>
        <x:v>209.75</x:v>
      </x:c>
      <x:c r="I26" s="3" t="n">
        <x:f>ROUND(I226*I346,2)</x:f>
        <x:v>323.28</x:v>
      </x:c>
      <x:c r="J26" s="3" t="n">
        <x:f>ROUND(J226*J346,2)</x:f>
        <x:v>157.48</x:v>
      </x:c>
      <x:c r="K26" s="3" t="n">
        <x:f>ROUND(K226*K346,2)</x:f>
        <x:v>58.48</x:v>
      </x:c>
      <x:c r="L26" s="3" t="n">
        <x:f>ROUND(L226*L346,2)</x:f>
        <x:v>391.15</x:v>
      </x:c>
      <x:c r="M26" s="3" t="n">
        <x:f>ROUND(M226*M346,2)</x:f>
        <x:v>318.23</x:v>
      </x:c>
      <x:c r="N26" s="3" t="n">
        <x:f>ROUND(N226*N346,2)</x:f>
        <x:v>416.16</x:v>
      </x:c>
      <x:c r="O26" s="3" t="n">
        <x:f>SUM(C26:N26)</x:f>
        <x:v>3598.69</x:v>
      </x:c>
      <x:c r="P26" s="2" t="str">
        <x:v>EXP2.026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105.33</x:v>
      </x:c>
      <x:c r="D27" s="3" t="n">
        <x:f>ROUND(D227*D347,2)</x:f>
        <x:v>78.84</x:v>
      </x:c>
      <x:c r="E27" s="3" t="n">
        <x:f>ROUND(E227*E347,2)</x:f>
        <x:v>92.06</x:v>
      </x:c>
      <x:c r="F27" s="3" t="n">
        <x:f>ROUND(F227*F347,2)</x:f>
        <x:v>78.61</x:v>
      </x:c>
      <x:c r="G27" s="3" t="n">
        <x:f>ROUND(G227*G347,2)</x:f>
        <x:v>417.38</x:v>
      </x:c>
      <x:c r="H27" s="3" t="n">
        <x:f>ROUND(H227*H347,2)</x:f>
        <x:v>54.6</x:v>
      </x:c>
      <x:c r="I27" s="3" t="n">
        <x:f>ROUND(I227*I347,2)</x:f>
        <x:v>280.17</x:v>
      </x:c>
      <x:c r="J27" s="3" t="n">
        <x:f>ROUND(J227*J347,2)</x:f>
        <x:v>127.37</x:v>
      </x:c>
      <x:c r="K27" s="3" t="n">
        <x:f>ROUND(K227*K347,2)</x:f>
        <x:v>277.21</x:v>
      </x:c>
      <x:c r="L27" s="3" t="n">
        <x:f>ROUND(L227*L347,2)</x:f>
        <x:v>190.43</x:v>
      </x:c>
      <x:c r="M27" s="3" t="n">
        <x:f>ROUND(M227*M347,2)</x:f>
        <x:v>90.43</x:v>
      </x:c>
      <x:c r="N27" s="3" t="n">
        <x:f>ROUND(N227*N347,2)</x:f>
        <x:v>565.39</x:v>
      </x:c>
      <x:c r="O27" s="3" t="n">
        <x:f>SUM(C27:N27)</x:f>
        <x:v>2357.82</x:v>
      </x:c>
      <x:c r="P27" s="2" t="str">
        <x:v>EXP2.027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447.72</x:v>
      </x:c>
      <x:c r="D28" s="3" t="n">
        <x:f>ROUND(D228*D348,2)</x:f>
        <x:v>254.25</x:v>
      </x:c>
      <x:c r="E28" s="3" t="n">
        <x:f>ROUND(E228*E348,2)</x:f>
        <x:v>214.62</x:v>
      </x:c>
      <x:c r="F28" s="3" t="n">
        <x:f>ROUND(F228*F348,2)</x:f>
        <x:v>182.31</x:v>
      </x:c>
      <x:c r="G28" s="3" t="n">
        <x:f>ROUND(G228*G348,2)</x:f>
        <x:v>264.27</x:v>
      </x:c>
      <x:c r="H28" s="3" t="n">
        <x:f>ROUND(H228*H348,2)</x:f>
        <x:v>234.93</x:v>
      </x:c>
      <x:c r="I28" s="3" t="n">
        <x:f>ROUND(I228*I348,2)</x:f>
        <x:v>273.96</x:v>
      </x:c>
      <x:c r="J28" s="3" t="n">
        <x:f>ROUND(J228*J348,2)</x:f>
        <x:v>318.23</x:v>
      </x:c>
      <x:c r="K28" s="3" t="n">
        <x:f>ROUND(K228*K348,2)</x:f>
        <x:v>149.13</x:v>
      </x:c>
      <x:c r="L28" s="3" t="n">
        <x:f>ROUND(L228*L348,2)</x:f>
        <x:v>182.41</x:v>
      </x:c>
      <x:c r="M28" s="3" t="n">
        <x:f>ROUND(M228*M348,2)</x:f>
        <x:v>162.34</x:v>
      </x:c>
      <x:c r="N28" s="3" t="n">
        <x:f>ROUND(N228*N348,2)</x:f>
        <x:v>83.58</x:v>
      </x:c>
      <x:c r="O28" s="3" t="n">
        <x:f>SUM(C28:N28)</x:f>
        <x:v>2767.75</x:v>
      </x:c>
      <x:c r="P28" s="2" t="str">
        <x:v>EXP2.028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EXP2.029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558.95</x:v>
      </x:c>
      <x:c r="D30" s="6" t="n">
        <x:f>ROUND(D230*D350,2)</x:f>
        <x:v>96.38</x:v>
      </x:c>
      <x:c r="E30" s="6" t="n">
        <x:f>ROUND(E230*E350,2)</x:f>
        <x:v>177.22</x:v>
      </x:c>
      <x:c r="F30" s="6" t="n">
        <x:f>ROUND(F230*F350,2)</x:f>
        <x:v>247.37</x:v>
      </x:c>
      <x:c r="G30" s="6" t="n">
        <x:f>ROUND(G230*G350,2)</x:f>
        <x:v>78.82</x:v>
      </x:c>
      <x:c r="H30" s="6" t="n">
        <x:f>ROUND(H230*H350,2)</x:f>
        <x:v>218.52</x:v>
      </x:c>
      <x:c r="I30" s="6" t="n">
        <x:f>ROUND(I230*I350,2)</x:f>
        <x:v>326.4</x:v>
      </x:c>
      <x:c r="J30" s="6" t="n">
        <x:f>ROUND(J230*J350,2)</x:f>
        <x:v>235.1</x:v>
      </x:c>
      <x:c r="K30" s="6" t="n">
        <x:f>ROUND(K230*K350,2)</x:f>
        <x:v>169.09</x:v>
      </x:c>
      <x:c r="L30" s="6" t="n">
        <x:f>ROUND(L230*L350,2)</x:f>
        <x:v>385.5</x:v>
      </x:c>
      <x:c r="M30" s="6" t="n">
        <x:f>ROUND(M230*M350,2)</x:f>
        <x:v>317.9</x:v>
      </x:c>
      <x:c r="N30" s="6" t="n">
        <x:f>ROUND(N230*N350,2)</x:f>
        <x:v>384.92</x:v>
      </x:c>
      <x:c r="O30" s="6" t="n">
        <x:f>SUM(C30:N30)</x:f>
        <x:v>3196.17</x:v>
      </x:c>
      <x:c r="P30" s="2" t="str">
        <x:v>EXP2.030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131.45</x:v>
      </x:c>
      <x:c r="D31" s="3" t="n">
        <x:f>ROUND(D231*D351,2)</x:f>
        <x:v>339.99</x:v>
      </x:c>
      <x:c r="E31" s="3" t="n">
        <x:f>ROUND(E231*E351,2)</x:f>
        <x:v>390.94</x:v>
      </x:c>
      <x:c r="F31" s="3" t="n">
        <x:f>ROUND(F231*F351,2)</x:f>
        <x:v>122.27</x:v>
      </x:c>
      <x:c r="G31" s="3" t="n">
        <x:f>ROUND(G231*G351,2)</x:f>
        <x:v>162.72</x:v>
      </x:c>
      <x:c r="H31" s="3" t="n">
        <x:f>ROUND(H231*H351,2)</x:f>
        <x:v>156.72</x:v>
      </x:c>
      <x:c r="I31" s="3" t="n">
        <x:f>ROUND(I231*I351,2)</x:f>
        <x:v>186.12</x:v>
      </x:c>
      <x:c r="J31" s="3" t="n">
        <x:f>ROUND(J231*J351,2)</x:f>
        <x:v>158.48</x:v>
      </x:c>
      <x:c r="K31" s="3" t="n">
        <x:f>ROUND(K231*K351,2)</x:f>
        <x:v>234.99</x:v>
      </x:c>
      <x:c r="L31" s="3" t="n">
        <x:f>ROUND(L231*L351,2)</x:f>
        <x:v>154.56</x:v>
      </x:c>
      <x:c r="M31" s="3" t="n">
        <x:f>ROUND(M231*M351,2)</x:f>
        <x:v>143.08</x:v>
      </x:c>
      <x:c r="N31" s="3" t="n">
        <x:f>ROUND(N231*N351,2)</x:f>
        <x:v>308.61</x:v>
      </x:c>
      <x:c r="O31" s="3" t="n">
        <x:f>SUM(C31:N31)</x:f>
        <x:v>2489.9300000000003</x:v>
      </x:c>
      <x:c r="P31" s="2" t="str">
        <x:v>EXP2.031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119.97</x:v>
      </x:c>
      <x:c r="D32" s="3" t="n">
        <x:f>ROUND(D232*D352,2)</x:f>
        <x:v>345.79</x:v>
      </x:c>
      <x:c r="E32" s="3" t="n">
        <x:f>ROUND(E232*E352,2)</x:f>
        <x:v>229.24</x:v>
      </x:c>
      <x:c r="F32" s="3" t="n">
        <x:f>ROUND(F232*F352,2)</x:f>
        <x:v>451.24</x:v>
      </x:c>
      <x:c r="G32" s="3" t="n">
        <x:f>ROUND(G232*G352,2)</x:f>
        <x:v>141.94</x:v>
      </x:c>
      <x:c r="H32" s="3" t="n">
        <x:f>ROUND(H232*H352,2)</x:f>
        <x:v>223.33</x:v>
      </x:c>
      <x:c r="I32" s="3" t="n">
        <x:f>ROUND(I232*I352,2)</x:f>
        <x:v>150.8</x:v>
      </x:c>
      <x:c r="J32" s="3" t="n">
        <x:f>ROUND(J232*J352,2)</x:f>
        <x:v>230.79</x:v>
      </x:c>
      <x:c r="K32" s="3" t="n">
        <x:f>ROUND(K232*K352,2)</x:f>
        <x:v>339.26</x:v>
      </x:c>
      <x:c r="L32" s="3" t="n">
        <x:f>ROUND(L232*L352,2)</x:f>
        <x:v>326.11</x:v>
      </x:c>
      <x:c r="M32" s="3" t="n">
        <x:f>ROUND(M232*M352,2)</x:f>
        <x:v>382.33</x:v>
      </x:c>
      <x:c r="N32" s="3" t="n">
        <x:f>ROUND(N232*N352,2)</x:f>
        <x:v>395.47</x:v>
      </x:c>
      <x:c r="O32" s="3" t="n">
        <x:f>SUM(C32:N32)</x:f>
        <x:v>3336.2699999999995</x:v>
      </x:c>
      <x:c r="P32" s="2" t="str">
        <x:v>EXP2.032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136.96</x:v>
      </x:c>
      <x:c r="D33" s="3" t="n">
        <x:f>ROUND(D233*D353,2)</x:f>
        <x:v>225.22</x:v>
      </x:c>
      <x:c r="E33" s="3" t="n">
        <x:f>ROUND(E233*E353,2)</x:f>
        <x:v>370.49</x:v>
      </x:c>
      <x:c r="F33" s="3" t="n">
        <x:f>ROUND(F233*F353,2)</x:f>
        <x:v>111.14</x:v>
      </x:c>
      <x:c r="G33" s="3" t="n">
        <x:f>ROUND(G233*G353,2)</x:f>
        <x:v>269.85</x:v>
      </x:c>
      <x:c r="H33" s="3" t="n">
        <x:f>ROUND(H233*H353,2)</x:f>
        <x:v>157.23</x:v>
      </x:c>
      <x:c r="I33" s="3" t="n">
        <x:f>ROUND(I233*I353,2)</x:f>
        <x:v>133.48</x:v>
      </x:c>
      <x:c r="J33" s="3" t="n">
        <x:f>ROUND(J233*J353,2)</x:f>
        <x:v>175.71</x:v>
      </x:c>
      <x:c r="K33" s="3" t="n">
        <x:f>ROUND(K233*K353,2)</x:f>
        <x:v>448.48</x:v>
      </x:c>
      <x:c r="L33" s="3" t="n">
        <x:f>ROUND(L233*L353,2)</x:f>
        <x:v>114.61</x:v>
      </x:c>
      <x:c r="M33" s="3" t="n">
        <x:f>ROUND(M233*M353,2)</x:f>
        <x:v>328.2</x:v>
      </x:c>
      <x:c r="N33" s="3" t="n">
        <x:f>ROUND(N233*N353,2)</x:f>
        <x:v>457.16</x:v>
      </x:c>
      <x:c r="O33" s="3" t="n">
        <x:f>SUM(C33:N33)</x:f>
        <x:v>2928.5299999999997</x:v>
      </x:c>
      <x:c r="P33" s="2" t="str">
        <x:v>EXP2.033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6775.379999999999</x:v>
      </x:c>
      <x:c r="D34" s="3" t="n">
        <x:f>SUM(D4:D33)</x:f>
        <x:v>7186.990000000001</x:v>
      </x:c>
      <x:c r="E34" s="3" t="n">
        <x:f>SUM(E4:E33)</x:f>
        <x:v>6392.98</x:v>
      </x:c>
      <x:c r="F34" s="3" t="n">
        <x:f>SUM(F4:F33)</x:f>
        <x:v>7312.11</x:v>
      </x:c>
      <x:c r="G34" s="3" t="n">
        <x:f>SUM(G4:G33)</x:f>
        <x:v>7231.890000000001</x:v>
      </x:c>
      <x:c r="H34" s="3" t="n">
        <x:f>SUM(H4:H33)</x:f>
        <x:v>6772.75</x:v>
      </x:c>
      <x:c r="I34" s="3" t="n">
        <x:f>SUM(I4:I33)</x:f>
        <x:v>7413.429999999999</x:v>
      </x:c>
      <x:c r="J34" s="3" t="n">
        <x:f>SUM(J4:J33)</x:f>
        <x:v>6268.039999999999</x:v>
      </x:c>
      <x:c r="K34" s="3" t="n">
        <x:f>SUM(K4:K33)</x:f>
        <x:v>8477.449999999999</x:v>
      </x:c>
      <x:c r="L34" s="3" t="n">
        <x:f>SUM(L4:L33)</x:f>
        <x:v>7671.8099999999995</x:v>
      </x:c>
      <x:c r="M34" s="3" t="n">
        <x:f>SUM(M4:M33)</x:f>
        <x:v>7784.829999999999</x:v>
      </x:c>
      <x:c r="N34" s="3" t="n">
        <x:f>SUM(N4:N33)</x:f>
        <x:v>9013.91</x:v>
      </x:c>
      <x:c r="O34" s="3" t="n">
        <x:f>SUM(C34:N34)</x:f>
        <x:v>88301.57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37.5</x:v>
      </x:c>
      <x:c r="D204" s="4" t="n">
        <x:v>26.85</x:v>
      </x:c>
      <x:c r="E204" s="4" t="n">
        <x:v>44.12</x:v>
      </x:c>
      <x:c r="F204" s="4" t="n">
        <x:v>41.42</x:v>
      </x:c>
      <x:c r="G204" s="4" t="n">
        <x:v>42.51</x:v>
      </x:c>
      <x:c r="H204" s="4" t="n">
        <x:v>17.93</x:v>
      </x:c>
      <x:c r="I204" s="4" t="n">
        <x:v>28.48</x:v>
      </x:c>
      <x:c r="J204" s="4" t="n">
        <x:v>29.42</x:v>
      </x:c>
      <x:c r="K204" s="4" t="n">
        <x:v>59.76</x:v>
      </x:c>
      <x:c r="L204" s="4" t="n">
        <x:v>59.53</x:v>
      </x:c>
      <x:c r="M204" s="4" t="n">
        <x:v>38.69</x:v>
      </x:c>
      <x:c r="N204" s="4" t="n">
        <x:v>47.35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32.19</x:v>
      </x:c>
      <x:c r="D205" s="4" t="n">
        <x:v>66.54</x:v>
      </x:c>
      <x:c r="E205" s="4" t="n">
        <x:v>54.66</x:v>
      </x:c>
      <x:c r="F205" s="4" t="n">
        <x:v>23.18</x:v>
      </x:c>
      <x:c r="G205" s="4" t="n">
        <x:v>52.85</x:v>
      </x:c>
      <x:c r="H205" s="4" t="n">
        <x:v>55.46</x:v>
      </x:c>
      <x:c r="I205" s="4" t="n">
        <x:v>18.49</x:v>
      </x:c>
      <x:c r="J205" s="4" t="n">
        <x:v>50.55</x:v>
      </x:c>
      <x:c r="K205" s="4" t="n">
        <x:v>50.88</x:v>
      </x:c>
      <x:c r="L205" s="4" t="n">
        <x:v>37.49</x:v>
      </x:c>
      <x:c r="M205" s="4" t="n">
        <x:v>44.95</x:v>
      </x:c>
      <x:c r="N205" s="4" t="n">
        <x:v>52.62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54</x:v>
      </x:c>
      <x:c r="D206" s="4" t="n">
        <x:v>42.12</x:v>
      </x:c>
      <x:c r="E206" s="4" t="n">
        <x:v>44.96</x:v>
      </x:c>
      <x:c r="F206" s="4" t="n">
        <x:v>52.21</x:v>
      </x:c>
      <x:c r="G206" s="4" t="n">
        <x:v>65.58</x:v>
      </x:c>
      <x:c r="H206" s="4" t="n">
        <x:v>41.27</x:v>
      </x:c>
      <x:c r="I206" s="4" t="n">
        <x:v>47.57</x:v>
      </x:c>
      <x:c r="J206" s="4" t="n">
        <x:v>20.54</x:v>
      </x:c>
      <x:c r="K206" s="4" t="n">
        <x:v>67.54</x:v>
      </x:c>
      <x:c r="L206" s="4" t="n">
        <x:v>36.05</x:v>
      </x:c>
      <x:c r="M206" s="4" t="n">
        <x:v>58.63</x:v>
      </x:c>
      <x:c r="N206" s="4" t="n">
        <x:v>42.33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37.42</x:v>
      </x:c>
      <x:c r="D207" s="4" t="n">
        <x:v>54.14</x:v>
      </x:c>
      <x:c r="E207" s="4" t="n">
        <x:v>31.77</x:v>
      </x:c>
      <x:c r="F207" s="4" t="n">
        <x:v>52.93</x:v>
      </x:c>
      <x:c r="G207" s="4" t="n">
        <x:v>26.42</x:v>
      </x:c>
      <x:c r="H207" s="4" t="n">
        <x:v>47.83</x:v>
      </x:c>
      <x:c r="I207" s="4" t="n">
        <x:v>28</x:v>
      </x:c>
      <x:c r="J207" s="4" t="n">
        <x:v>56.51</x:v>
      </x:c>
      <x:c r="K207" s="4" t="n">
        <x:v>54.21</x:v>
      </x:c>
      <x:c r="L207" s="4" t="n">
        <x:v>26.3</x:v>
      </x:c>
      <x:c r="M207" s="4" t="n">
        <x:v>36.55</x:v>
      </x:c>
      <x:c r="N207" s="4" t="n">
        <x:v>23.41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58.49</x:v>
      </x:c>
      <x:c r="D208" s="4" t="n">
        <x:v>32.03</x:v>
      </x:c>
      <x:c r="E208" s="4" t="n">
        <x:v>64.84</x:v>
      </x:c>
      <x:c r="F208" s="4" t="n">
        <x:v>21.17</x:v>
      </x:c>
      <x:c r="G208" s="4" t="n">
        <x:v>28.59</x:v>
      </x:c>
      <x:c r="H208" s="4" t="n">
        <x:v>18.6</x:v>
      </x:c>
      <x:c r="I208" s="4" t="n">
        <x:v>52.21</x:v>
      </x:c>
      <x:c r="J208" s="4" t="n">
        <x:v>45.4</x:v>
      </x:c>
      <x:c r="K208" s="4" t="n">
        <x:v>32.37</x:v>
      </x:c>
      <x:c r="L208" s="4" t="n">
        <x:v>63.76</x:v>
      </x:c>
      <x:c r="M208" s="4" t="n">
        <x:v>45.79</x:v>
      </x:c>
      <x:c r="N208" s="4" t="n">
        <x:v>63.05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64.89</x:v>
      </x:c>
      <x:c r="D209" s="4" t="n">
        <x:v>57.44</x:v>
      </x:c>
      <x:c r="E209" s="4" t="n">
        <x:v>17.9</x:v>
      </x:c>
      <x:c r="F209" s="4" t="n">
        <x:v>20.64</x:v>
      </x:c>
      <x:c r="G209" s="4" t="n">
        <x:v>50.52</x:v>
      </x:c>
      <x:c r="H209" s="4" t="n">
        <x:v>55.22</x:v>
      </x:c>
      <x:c r="I209" s="4" t="n">
        <x:v>48.42</x:v>
      </x:c>
      <x:c r="J209" s="4" t="n">
        <x:v>18.2</x:v>
      </x:c>
      <x:c r="K209" s="4" t="n">
        <x:v>22.71</x:v>
      </x:c>
      <x:c r="L209" s="4" t="n">
        <x:v>36.42</x:v>
      </x:c>
      <x:c r="M209" s="4" t="n">
        <x:v>38.07</x:v>
      </x:c>
      <x:c r="N209" s="4" t="n">
        <x:v>36.19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26.86</x:v>
      </x:c>
      <x:c r="D210" s="4" t="n">
        <x:v>44.19</x:v>
      </x:c>
      <x:c r="E210" s="4" t="n">
        <x:v>51.68</x:v>
      </x:c>
      <x:c r="F210" s="4" t="n">
        <x:v>30.32</x:v>
      </x:c>
      <x:c r="G210" s="4" t="n">
        <x:v>50.82</x:v>
      </x:c>
      <x:c r="H210" s="4" t="n">
        <x:v>43.38</x:v>
      </x:c>
      <x:c r="I210" s="4" t="n">
        <x:v>39.72</x:v>
      </x:c>
      <x:c r="J210" s="4" t="n">
        <x:v>61.78</x:v>
      </x:c>
      <x:c r="K210" s="4" t="n">
        <x:v>59.77</x:v>
      </x:c>
      <x:c r="L210" s="4" t="n">
        <x:v>56.05</x:v>
      </x:c>
      <x:c r="M210" s="4" t="n">
        <x:v>62.04</x:v>
      </x:c>
      <x:c r="N210" s="4" t="n">
        <x:v>67.71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29.89</x:v>
      </x:c>
      <x:c r="D211" s="4" t="n">
        <x:v>52.97</x:v>
      </x:c>
      <x:c r="E211" s="4" t="n">
        <x:v>35.89</x:v>
      </x:c>
      <x:c r="F211" s="4" t="n">
        <x:v>54.23</x:v>
      </x:c>
      <x:c r="G211" s="4" t="n">
        <x:v>60.67</x:v>
      </x:c>
      <x:c r="H211" s="4" t="n">
        <x:v>21.77</x:v>
      </x:c>
      <x:c r="I211" s="4" t="n">
        <x:v>36.21</x:v>
      </x:c>
      <x:c r="J211" s="4" t="n">
        <x:v>43.3</x:v>
      </x:c>
      <x:c r="K211" s="4" t="n">
        <x:v>37.97</x:v>
      </x:c>
      <x:c r="L211" s="4" t="n">
        <x:v>54.86</x:v>
      </x:c>
      <x:c r="M211" s="4" t="n">
        <x:v>44.66</x:v>
      </x:c>
      <x:c r="N211" s="4" t="n">
        <x:v>42.54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40.16</x:v>
      </x:c>
      <x:c r="D212" s="4" t="n">
        <x:v>17.32</x:v>
      </x:c>
      <x:c r="E212" s="4" t="n">
        <x:v>38.15</x:v>
      </x:c>
      <x:c r="F212" s="4" t="n">
        <x:v>25.24</x:v>
      </x:c>
      <x:c r="G212" s="4" t="n">
        <x:v>33.56</x:v>
      </x:c>
      <x:c r="H212" s="4" t="n">
        <x:v>39.3</x:v>
      </x:c>
      <x:c r="I212" s="4" t="n">
        <x:v>60.75</x:v>
      </x:c>
      <x:c r="J212" s="4" t="n">
        <x:v>22.99</x:v>
      </x:c>
      <x:c r="K212" s="4" t="n">
        <x:v>28.37</x:v>
      </x:c>
      <x:c r="L212" s="4" t="n">
        <x:v>58.69</x:v>
      </x:c>
      <x:c r="M212" s="4" t="n">
        <x:v>44.81</x:v>
      </x:c>
      <x:c r="N212" s="4" t="n">
        <x:v>22.88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54.36</x:v>
      </x:c>
      <x:c r="D213" s="4" t="n">
        <x:v>47.3</x:v>
      </x:c>
      <x:c r="E213" s="4" t="n">
        <x:v>30.64</x:v>
      </x:c>
      <x:c r="F213" s="4" t="n">
        <x:v>64.83</x:v>
      </x:c>
      <x:c r="G213" s="4" t="n">
        <x:v>37.69</x:v>
      </x:c>
      <x:c r="H213" s="4" t="n">
        <x:v>54.63</x:v>
      </x:c>
      <x:c r="I213" s="4" t="n">
        <x:v>39.31</x:v>
      </x:c>
      <x:c r="J213" s="4" t="n">
        <x:v>38.74</x:v>
      </x:c>
      <x:c r="K213" s="4" t="n">
        <x:v>39.9</x:v>
      </x:c>
      <x:c r="L213" s="4" t="n">
        <x:v>29.82</x:v>
      </x:c>
      <x:c r="M213" s="4" t="n">
        <x:v>43.43</x:v>
      </x:c>
      <x:c r="N213" s="4" t="n">
        <x:v>45.63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46.01</x:v>
      </x:c>
      <x:c r="D214" s="4" t="n">
        <x:v>23.14</x:v>
      </x:c>
      <x:c r="E214" s="4" t="n">
        <x:v>47.6</x:v>
      </x:c>
      <x:c r="F214" s="4" t="n">
        <x:v>55.49</x:v>
      </x:c>
      <x:c r="G214" s="4" t="n">
        <x:v>48.07</x:v>
      </x:c>
      <x:c r="H214" s="4" t="n">
        <x:v>18.96</x:v>
      </x:c>
      <x:c r="I214" s="4" t="n">
        <x:v>66.06</x:v>
      </x:c>
      <x:c r="J214" s="4" t="n">
        <x:v>32.55</x:v>
      </x:c>
      <x:c r="K214" s="4" t="n">
        <x:v>62.01</x:v>
      </x:c>
      <x:c r="L214" s="4" t="n">
        <x:v>65.35</x:v>
      </x:c>
      <x:c r="M214" s="4" t="n">
        <x:v>58.37</x:v>
      </x:c>
      <x:c r="N214" s="4" t="n">
        <x:v>34.82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27.52</x:v>
      </x:c>
      <x:c r="D215" s="4" t="n">
        <x:v>53.49</x:v>
      </x:c>
      <x:c r="E215" s="4" t="n">
        <x:v>34.23</x:v>
      </x:c>
      <x:c r="F215" s="4" t="n">
        <x:v>43.28</x:v>
      </x:c>
      <x:c r="G215" s="4" t="n">
        <x:v>67.6</x:v>
      </x:c>
      <x:c r="H215" s="4" t="n">
        <x:v>50.89</x:v>
      </x:c>
      <x:c r="I215" s="4" t="n">
        <x:v>40.93</x:v>
      </x:c>
      <x:c r="J215" s="4" t="n">
        <x:v>43.95</x:v>
      </x:c>
      <x:c r="K215" s="4" t="n">
        <x:v>51.57</x:v>
      </x:c>
      <x:c r="L215" s="4" t="n">
        <x:v>33.67</x:v>
      </x:c>
      <x:c r="M215" s="4" t="n">
        <x:v>56.97</x:v>
      </x:c>
      <x:c r="N215" s="4" t="n">
        <x:v>50.57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19.03</x:v>
      </x:c>
      <x:c r="D216" s="4" t="n">
        <x:v>37.69</x:v>
      </x:c>
      <x:c r="E216" s="4" t="n">
        <x:v>36.13</x:v>
      </x:c>
      <x:c r="F216" s="4" t="n">
        <x:v>53.08</x:v>
      </x:c>
      <x:c r="G216" s="4" t="n">
        <x:v>25.32</x:v>
      </x:c>
      <x:c r="H216" s="4" t="n">
        <x:v>64.24</x:v>
      </x:c>
      <x:c r="I216" s="4" t="n">
        <x:v>44.18</x:v>
      </x:c>
      <x:c r="J216" s="4" t="n">
        <x:v>44.68</x:v>
      </x:c>
      <x:c r="K216" s="4" t="n">
        <x:v>45.8</x:v>
      </x:c>
      <x:c r="L216" s="4" t="n">
        <x:v>54.5</x:v>
      </x:c>
      <x:c r="M216" s="4" t="n">
        <x:v>36.49</x:v>
      </x:c>
      <x:c r="N216" s="4" t="n">
        <x:v>58.77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29.9</x:v>
      </x:c>
      <x:c r="D217" s="4" t="n">
        <x:v>65.69</x:v>
      </x:c>
      <x:c r="E217" s="4" t="n">
        <x:v>55.83</x:v>
      </x:c>
      <x:c r="F217" s="4" t="n">
        <x:v>51.6</x:v>
      </x:c>
      <x:c r="G217" s="4" t="n">
        <x:v>23.62</x:v>
      </x:c>
      <x:c r="H217" s="4" t="n">
        <x:v>25.75</x:v>
      </x:c>
      <x:c r="I217" s="4" t="n">
        <x:v>43.64</x:v>
      </x:c>
      <x:c r="J217" s="4" t="n">
        <x:v>53.88</x:v>
      </x:c>
      <x:c r="K217" s="4" t="n">
        <x:v>66.82</x:v>
      </x:c>
      <x:c r="L217" s="4" t="n">
        <x:v>36.14</x:v>
      </x:c>
      <x:c r="M217" s="4" t="n">
        <x:v>54.22</x:v>
      </x:c>
      <x:c r="N217" s="4" t="n">
        <x:v>43.94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23.3</x:v>
      </x:c>
      <x:c r="D218" s="4" t="n">
        <x:v>62.24</x:v>
      </x:c>
      <x:c r="E218" s="4" t="n">
        <x:v>49.34</x:v>
      </x:c>
      <x:c r="F218" s="4" t="n">
        <x:v>53.38</x:v>
      </x:c>
      <x:c r="G218" s="4" t="n">
        <x:v>45.74</x:v>
      </x:c>
      <x:c r="H218" s="4" t="n">
        <x:v>33.95</x:v>
      </x:c>
      <x:c r="I218" s="4" t="n">
        <x:v>22.66</x:v>
      </x:c>
      <x:c r="J218" s="4" t="n">
        <x:v>23.84</x:v>
      </x:c>
      <x:c r="K218" s="4" t="n">
        <x:v>49.27</x:v>
      </x:c>
      <x:c r="L218" s="4" t="n">
        <x:v>33.62</x:v>
      </x:c>
      <x:c r="M218" s="4" t="n">
        <x:v>52.06</x:v>
      </x:c>
      <x:c r="N218" s="4" t="n">
        <x:v>51.83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51.14</x:v>
      </x:c>
      <x:c r="D219" s="4" t="n">
        <x:v>37.09</x:v>
      </x:c>
      <x:c r="E219" s="4" t="n">
        <x:v>52.69</x:v>
      </x:c>
      <x:c r="F219" s="4" t="n">
        <x:v>21.74</x:v>
      </x:c>
      <x:c r="G219" s="4" t="n">
        <x:v>34.3</x:v>
      </x:c>
      <x:c r="H219" s="4" t="n">
        <x:v>46.38</x:v>
      </x:c>
      <x:c r="I219" s="4" t="n">
        <x:v>65.96</x:v>
      </x:c>
      <x:c r="J219" s="4" t="n">
        <x:v>45.78</x:v>
      </x:c>
      <x:c r="K219" s="4" t="n">
        <x:v>40.35</x:v>
      </x:c>
      <x:c r="L219" s="4" t="n">
        <x:v>27.85</x:v>
      </x:c>
      <x:c r="M219" s="4" t="n">
        <x:v>28.78</x:v>
      </x:c>
      <x:c r="N219" s="4" t="n">
        <x:v>45.11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64.03</x:v>
      </x:c>
      <x:c r="D221" s="4" t="n">
        <x:v>56.69</x:v>
      </x:c>
      <x:c r="E221" s="4" t="n">
        <x:v>60.04</x:v>
      </x:c>
      <x:c r="F221" s="4" t="n">
        <x:v>45.76</x:v>
      </x:c>
      <x:c r="G221" s="4" t="n">
        <x:v>56.86</x:v>
      </x:c>
      <x:c r="H221" s="4" t="n">
        <x:v>64.23</x:v>
      </x:c>
      <x:c r="I221" s="4" t="n">
        <x:v>52.52</x:v>
      </x:c>
      <x:c r="J221" s="4" t="n">
        <x:v>53.55</x:v>
      </x:c>
      <x:c r="K221" s="4" t="n">
        <x:v>54.48</x:v>
      </x:c>
      <x:c r="L221" s="4" t="n">
        <x:v>65</x:v>
      </x:c>
      <x:c r="M221" s="4" t="n">
        <x:v>54.21</x:v>
      </x:c>
      <x:c r="N221" s="4" t="n">
        <x:v>28.69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19.41</x:v>
      </x:c>
      <x:c r="D222" s="4" t="n">
        <x:v>31.79</x:v>
      </x:c>
      <x:c r="E222" s="4" t="n">
        <x:v>25.62</x:v>
      </x:c>
      <x:c r="F222" s="4" t="n">
        <x:v>50.7</x:v>
      </x:c>
      <x:c r="G222" s="4" t="n">
        <x:v>37.23</x:v>
      </x:c>
      <x:c r="H222" s="4" t="n">
        <x:v>61.25</x:v>
      </x:c>
      <x:c r="I222" s="4" t="n">
        <x:v>32.42</x:v>
      </x:c>
      <x:c r="J222" s="4" t="n">
        <x:v>53.15</x:v>
      </x:c>
      <x:c r="K222" s="4" t="n">
        <x:v>61.46</x:v>
      </x:c>
      <x:c r="L222" s="4" t="n">
        <x:v>28.51</x:v>
      </x:c>
      <x:c r="M222" s="4" t="n">
        <x:v>25.31</x:v>
      </x:c>
      <x:c r="N222" s="4" t="n">
        <x:v>40.94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29.63</x:v>
      </x:c>
      <x:c r="D223" s="4" t="n">
        <x:v>53.41</x:v>
      </x:c>
      <x:c r="E223" s="4" t="n">
        <x:v>18.16</x:v>
      </x:c>
      <x:c r="F223" s="4" t="n">
        <x:v>19.05</x:v>
      </x:c>
      <x:c r="G223" s="4" t="n">
        <x:v>66.97</x:v>
      </x:c>
      <x:c r="H223" s="4" t="n">
        <x:v>39.89</x:v>
      </x:c>
      <x:c r="I223" s="4" t="n">
        <x:v>50.65</x:v>
      </x:c>
      <x:c r="J223" s="4" t="n">
        <x:v>19.97</x:v>
      </x:c>
      <x:c r="K223" s="4" t="n">
        <x:v>63.05</x:v>
      </x:c>
      <x:c r="L223" s="4" t="n">
        <x:v>25.71</x:v>
      </x:c>
      <x:c r="M223" s="4" t="n">
        <x:v>52.3</x:v>
      </x:c>
      <x:c r="N223" s="4" t="n">
        <x:v>18.31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66.03</x:v>
      </x:c>
      <x:c r="D224" s="4" t="n">
        <x:v>45.55</x:v>
      </x:c>
      <x:c r="E224" s="4" t="n">
        <x:v>19.54</x:v>
      </x:c>
      <x:c r="F224" s="4" t="n">
        <x:v>62.28</x:v>
      </x:c>
      <x:c r="G224" s="4" t="n">
        <x:v>39.71</x:v>
      </x:c>
      <x:c r="H224" s="4" t="n">
        <x:v>31.27</x:v>
      </x:c>
      <x:c r="I224" s="4" t="n">
        <x:v>57.07</x:v>
      </x:c>
      <x:c r="J224" s="4" t="n">
        <x:v>44.06</x:v>
      </x:c>
      <x:c r="K224" s="4" t="n">
        <x:v>60.56</x:v>
      </x:c>
      <x:c r="L224" s="4" t="n">
        <x:v>63.63</x:v>
      </x:c>
      <x:c r="M224" s="4" t="n">
        <x:v>38.73</x:v>
      </x:c>
      <x:c r="N224" s="4" t="n">
        <x:v>57.97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27.9</x:v>
      </x:c>
      <x:c r="D225" s="4" t="n">
        <x:v>28.01</x:v>
      </x:c>
      <x:c r="E225" s="4" t="n">
        <x:v>18.08</x:v>
      </x:c>
      <x:c r="F225" s="4" t="n">
        <x:v>27.12</x:v>
      </x:c>
      <x:c r="G225" s="4" t="n">
        <x:v>44.92</x:v>
      </x:c>
      <x:c r="H225" s="4" t="n">
        <x:v>51.49</x:v>
      </x:c>
      <x:c r="I225" s="4" t="n">
        <x:v>51.71</x:v>
      </x:c>
      <x:c r="J225" s="4" t="n">
        <x:v>64.36</x:v>
      </x:c>
      <x:c r="K225" s="4" t="n">
        <x:v>61.47</x:v>
      </x:c>
      <x:c r="L225" s="4" t="n">
        <x:v>64.86</x:v>
      </x:c>
      <x:c r="M225" s="4" t="n">
        <x:v>45.32</x:v>
      </x:c>
      <x:c r="N225" s="4" t="n">
        <x:v>54.02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44.12</x:v>
      </x:c>
      <x:c r="D226" s="4" t="n">
        <x:v>21.17</x:v>
      </x:c>
      <x:c r="E226" s="4" t="n">
        <x:v>56.88</x:v>
      </x:c>
      <x:c r="F226" s="4" t="n">
        <x:v>58.28</x:v>
      </x:c>
      <x:c r="G226" s="4" t="n">
        <x:v>52.72</x:v>
      </x:c>
      <x:c r="H226" s="4" t="n">
        <x:v>37.19</x:v>
      </x:c>
      <x:c r="I226" s="4" t="n">
        <x:v>64.27</x:v>
      </x:c>
      <x:c r="J226" s="4" t="n">
        <x:v>49.06</x:v>
      </x:c>
      <x:c r="K226" s="4" t="n">
        <x:v>17.83</x:v>
      </x:c>
      <x:c r="L226" s="4" t="n">
        <x:v>47.24</x:v>
      </x:c>
      <x:c r="M226" s="4" t="n">
        <x:v>44.57</x:v>
      </x:c>
      <x:c r="N226" s="4" t="n">
        <x:v>58.78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20.94</x:v>
      </x:c>
      <x:c r="D227" s="4" t="n">
        <x:v>27.76</x:v>
      </x:c>
      <x:c r="E227" s="4" t="n">
        <x:v>38.52</x:v>
      </x:c>
      <x:c r="F227" s="4" t="n">
        <x:v>27.2</x:v>
      </x:c>
      <x:c r="G227" s="4" t="n">
        <x:v>50.9</x:v>
      </x:c>
      <x:c r="H227" s="4" t="n">
        <x:v>18.51</x:v>
      </x:c>
      <x:c r="I227" s="4" t="n">
        <x:v>34.76</x:v>
      </x:c>
      <x:c r="J227" s="4" t="n">
        <x:v>17.52</x:v>
      </x:c>
      <x:c r="K227" s="4" t="n">
        <x:v>58.36</x:v>
      </x:c>
      <x:c r="L227" s="4" t="n">
        <x:v>28.17</x:v>
      </x:c>
      <x:c r="M227" s="4" t="n">
        <x:v>21.48</x:v>
      </x:c>
      <x:c r="N227" s="4" t="n">
        <x:v>67.63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59.3</x:v>
      </x:c>
      <x:c r="D228" s="4" t="n">
        <x:v>35.51</x:v>
      </x:c>
      <x:c r="E228" s="4" t="n">
        <x:v>28.24</x:v>
      </x:c>
      <x:c r="F228" s="4" t="n">
        <x:v>29.74</x:v>
      </x:c>
      <x:c r="G228" s="4" t="n">
        <x:v>52.96</x:v>
      </x:c>
      <x:c r="H228" s="4" t="n">
        <x:v>48.54</x:v>
      </x:c>
      <x:c r="I228" s="4" t="n">
        <x:v>34.9</x:v>
      </x:c>
      <x:c r="J228" s="4" t="n">
        <x:v>44.57</x:v>
      </x:c>
      <x:c r="K228" s="4" t="n">
        <x:v>61.37</x:v>
      </x:c>
      <x:c r="L228" s="4" t="n">
        <x:v>30.3</x:v>
      </x:c>
      <x:c r="M228" s="4" t="n">
        <x:v>36.98</x:v>
      </x:c>
      <x:c r="N228" s="4" t="n">
        <x:v>19.62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63.88</x:v>
      </x:c>
      <x:c r="D230" s="4" t="n">
        <x:v>24.84</x:v>
      </x:c>
      <x:c r="E230" s="4" t="n">
        <x:v>25.39</x:v>
      </x:c>
      <x:c r="F230" s="4" t="n">
        <x:v>48.22</x:v>
      </x:c>
      <x:c r="G230" s="4" t="n">
        <x:v>35.99</x:v>
      </x:c>
      <x:c r="H230" s="4" t="n">
        <x:v>29.53</x:v>
      </x:c>
      <x:c r="I230" s="4" t="n">
        <x:v>65.94</x:v>
      </x:c>
      <x:c r="J230" s="4" t="n">
        <x:v>56.38</x:v>
      </x:c>
      <x:c r="K230" s="4" t="n">
        <x:v>40.55</x:v>
      </x:c>
      <x:c r="L230" s="4" t="n">
        <x:v>60.9</x:v>
      </x:c>
      <x:c r="M230" s="4" t="n">
        <x:v>57.28</x:v>
      </x:c>
      <x:c r="N230" s="4" t="n">
        <x:v>63.31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43.24</x:v>
      </x:c>
      <x:c r="D231" s="4" t="n">
        <x:v>39.58</x:v>
      </x:c>
      <x:c r="E231" s="4" t="n">
        <x:v>46.32</x:v>
      </x:c>
      <x:c r="F231" s="4" t="n">
        <x:v>20.31</x:v>
      </x:c>
      <x:c r="G231" s="4" t="n">
        <x:v>32.74</x:v>
      </x:c>
      <x:c r="H231" s="4" t="n">
        <x:v>21.95</x:v>
      </x:c>
      <x:c r="I231" s="4" t="n">
        <x:v>27.82</x:v>
      </x:c>
      <x:c r="J231" s="4" t="n">
        <x:v>33.79</x:v>
      </x:c>
      <x:c r="K231" s="4" t="n">
        <x:v>33.19</x:v>
      </x:c>
      <x:c r="L231" s="4" t="n">
        <x:v>59.22</x:v>
      </x:c>
      <x:c r="M231" s="4" t="n">
        <x:v>42.71</x:v>
      </x:c>
      <x:c r="N231" s="4" t="n">
        <x:v>37.96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32.78</x:v>
      </x:c>
      <x:c r="D232" s="4" t="n">
        <x:v>44.56</x:v>
      </x:c>
      <x:c r="E232" s="4" t="n">
        <x:v>63.5</x:v>
      </x:c>
      <x:c r="F232" s="4" t="n">
        <x:v>64.74</x:v>
      </x:c>
      <x:c r="G232" s="4" t="n">
        <x:v>39.87</x:v>
      </x:c>
      <x:c r="H232" s="4" t="n">
        <x:v>61.02</x:v>
      </x:c>
      <x:c r="I232" s="4" t="n">
        <x:v>22.44</x:v>
      </x:c>
      <x:c r="J232" s="4" t="n">
        <x:v>47.39</x:v>
      </x:c>
      <x:c r="K232" s="4" t="n">
        <x:v>60.26</x:v>
      </x:c>
      <x:c r="L232" s="4" t="n">
        <x:v>50.56</x:v>
      </x:c>
      <x:c r="M232" s="4" t="n">
        <x:v>56.81</x:v>
      </x:c>
      <x:c r="N232" s="4" t="n">
        <x:v>47.59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39.13</x:v>
      </x:c>
      <x:c r="D233" s="4" t="n">
        <x:v>41.63</x:v>
      </x:c>
      <x:c r="E233" s="4" t="n">
        <x:v>43.13</x:v>
      </x:c>
      <x:c r="F233" s="4" t="n">
        <x:v>18.71</x:v>
      </x:c>
      <x:c r="G233" s="4" t="n">
        <x:v>41.01</x:v>
      </x:c>
      <x:c r="H233" s="4" t="n">
        <x:v>30.59</x:v>
      </x:c>
      <x:c r="I233" s="4" t="n">
        <x:v>45.4</x:v>
      </x:c>
      <x:c r="J233" s="4" t="n">
        <x:v>24.54</x:v>
      </x:c>
      <x:c r="K233" s="4" t="n">
        <x:v>52.27</x:v>
      </x:c>
      <x:c r="L233" s="4" t="n">
        <x:v>44.25</x:v>
      </x:c>
      <x:c r="M233" s="4" t="n">
        <x:v>50.03</x:v>
      </x:c>
      <x:c r="N233" s="4" t="n">
        <x:v>52.79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5.55</x:v>
      </x:c>
      <x:c r="D324" s="4" t="n">
        <x:v>8.84</x:v>
      </x:c>
      <x:c r="E324" s="4" t="n">
        <x:v>5.3</x:v>
      </x:c>
      <x:c r="F324" s="4" t="n">
        <x:v>8.4</x:v>
      </x:c>
      <x:c r="G324" s="4" t="n">
        <x:v>3.75</x:v>
      </x:c>
      <x:c r="H324" s="4" t="n">
        <x:v>4.27</x:v>
      </x:c>
      <x:c r="I324" s="4" t="n">
        <x:v>8.43</x:v>
      </x:c>
      <x:c r="J324" s="4" t="n">
        <x:v>7.73</x:v>
      </x:c>
      <x:c r="K324" s="4" t="n">
        <x:v>8.86</x:v>
      </x:c>
      <x:c r="L324" s="4" t="n">
        <x:v>2.26</x:v>
      </x:c>
      <x:c r="M324" s="4" t="n">
        <x:v>5.11</x:v>
      </x:c>
      <x:c r="N324" s="4" t="n">
        <x:v>7.62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5.44</x:v>
      </x:c>
      <x:c r="D325" s="4" t="n">
        <x:v>8.5</x:v>
      </x:c>
      <x:c r="E325" s="4" t="n">
        <x:v>2.72</x:v>
      </x:c>
      <x:c r="F325" s="4" t="n">
        <x:v>8.73</x:v>
      </x:c>
      <x:c r="G325" s="4" t="n">
        <x:v>5.16</x:v>
      </x:c>
      <x:c r="H325" s="4" t="n">
        <x:v>6.05</x:v>
      </x:c>
      <x:c r="I325" s="4" t="n">
        <x:v>6.74</x:v>
      </x:c>
      <x:c r="J325" s="4" t="n">
        <x:v>2.52</x:v>
      </x:c>
      <x:c r="K325" s="4" t="n">
        <x:v>8.05</x:v>
      </x:c>
      <x:c r="L325" s="4" t="n">
        <x:v>2.75</x:v>
      </x:c>
      <x:c r="M325" s="4" t="n">
        <x:v>5.11</x:v>
      </x:c>
      <x:c r="N325" s="4" t="n">
        <x:v>5.17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6.15</x:v>
      </x:c>
      <x:c r="D326" s="4" t="n">
        <x:v>4.98</x:v>
      </x:c>
      <x:c r="E326" s="4" t="n">
        <x:v>4.43</x:v>
      </x:c>
      <x:c r="F326" s="4" t="n">
        <x:v>3.66</x:v>
      </x:c>
      <x:c r="G326" s="4" t="n">
        <x:v>4.14</x:v>
      </x:c>
      <x:c r="H326" s="4" t="n">
        <x:v>3.53</x:v>
      </x:c>
      <x:c r="I326" s="4" t="n">
        <x:v>7.3</x:v>
      </x:c>
      <x:c r="J326" s="4" t="n">
        <x:v>8.55</x:v>
      </x:c>
      <x:c r="K326" s="4" t="n">
        <x:v>5.31</x:v>
      </x:c>
      <x:c r="L326" s="4" t="n">
        <x:v>6.08</x:v>
      </x:c>
      <x:c r="M326" s="4" t="n">
        <x:v>2.34</x:v>
      </x:c>
      <x:c r="N326" s="4" t="n">
        <x:v>4.07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2.4</x:v>
      </x:c>
      <x:c r="D327" s="4" t="n">
        <x:v>7.07</x:v>
      </x:c>
      <x:c r="E327" s="4" t="n">
        <x:v>2.37</x:v>
      </x:c>
      <x:c r="F327" s="4" t="n">
        <x:v>5.58</x:v>
      </x:c>
      <x:c r="G327" s="4" t="n">
        <x:v>6.19</x:v>
      </x:c>
      <x:c r="H327" s="4" t="n">
        <x:v>4.79</x:v>
      </x:c>
      <x:c r="I327" s="4" t="n">
        <x:v>3.28</x:v>
      </x:c>
      <x:c r="J327" s="4" t="n">
        <x:v>4.81</x:v>
      </x:c>
      <x:c r="K327" s="4" t="n">
        <x:v>8.5</x:v>
      </x:c>
      <x:c r="L327" s="4" t="n">
        <x:v>3.2</x:v>
      </x:c>
      <x:c r="M327" s="4" t="n">
        <x:v>7.55</x:v>
      </x:c>
      <x:c r="N327" s="4" t="n">
        <x:v>4.54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5.19</x:v>
      </x:c>
      <x:c r="D328" s="4" t="n">
        <x:v>7.5</x:v>
      </x:c>
      <x:c r="E328" s="4" t="n">
        <x:v>4.07</x:v>
      </x:c>
      <x:c r="F328" s="4" t="n">
        <x:v>2.57</x:v>
      </x:c>
      <x:c r="G328" s="4" t="n">
        <x:v>8.72</x:v>
      </x:c>
      <x:c r="H328" s="4" t="n">
        <x:v>3.24</x:v>
      </x:c>
      <x:c r="I328" s="4" t="n">
        <x:v>7.7</x:v>
      </x:c>
      <x:c r="J328" s="4" t="n">
        <x:v>7.35</x:v>
      </x:c>
      <x:c r="K328" s="4" t="n">
        <x:v>3.5</x:v>
      </x:c>
      <x:c r="L328" s="4" t="n">
        <x:v>8.37</x:v>
      </x:c>
      <x:c r="M328" s="4" t="n">
        <x:v>5.47</x:v>
      </x:c>
      <x:c r="N328" s="4" t="n">
        <x:v>6.76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2.34</x:v>
      </x:c>
      <x:c r="D329" s="4" t="n">
        <x:v>3.23</x:v>
      </x:c>
      <x:c r="E329" s="4" t="n">
        <x:v>3.62</x:v>
      </x:c>
      <x:c r="F329" s="4" t="n">
        <x:v>7.08</x:v>
      </x:c>
      <x:c r="G329" s="4" t="n">
        <x:v>6.81</x:v>
      </x:c>
      <x:c r="H329" s="4" t="n">
        <x:v>8.63</x:v>
      </x:c>
      <x:c r="I329" s="4" t="n">
        <x:v>5.28</x:v>
      </x:c>
      <x:c r="J329" s="4" t="n">
        <x:v>6.98</x:v>
      </x:c>
      <x:c r="K329" s="4" t="n">
        <x:v>2.59</x:v>
      </x:c>
      <x:c r="L329" s="4" t="n">
        <x:v>3.52</x:v>
      </x:c>
      <x:c r="M329" s="4" t="n">
        <x:v>4.51</x:v>
      </x:c>
      <x:c r="N329" s="4" t="n">
        <x:v>5.93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6.04</x:v>
      </x:c>
      <x:c r="D330" s="4" t="n">
        <x:v>4.37</x:v>
      </x:c>
      <x:c r="E330" s="4" t="n">
        <x:v>4.54</x:v>
      </x:c>
      <x:c r="F330" s="4" t="n">
        <x:v>3.93</x:v>
      </x:c>
      <x:c r="G330" s="4" t="n">
        <x:v>6.65</x:v>
      </x:c>
      <x:c r="H330" s="4" t="n">
        <x:v>5.13</x:v>
      </x:c>
      <x:c r="I330" s="4" t="n">
        <x:v>5.93</x:v>
      </x:c>
      <x:c r="J330" s="4" t="n">
        <x:v>3.06</x:v>
      </x:c>
      <x:c r="K330" s="4" t="n">
        <x:v>5.32</x:v>
      </x:c>
      <x:c r="L330" s="4" t="n">
        <x:v>4.36</x:v>
      </x:c>
      <x:c r="M330" s="4" t="n">
        <x:v>5.22</x:v>
      </x:c>
      <x:c r="N330" s="4" t="n">
        <x:v>6.08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8.15</x:v>
      </x:c>
      <x:c r="D331" s="4" t="n">
        <x:v>4.83</x:v>
      </x:c>
      <x:c r="E331" s="4" t="n">
        <x:v>6.67</x:v>
      </x:c>
      <x:c r="F331" s="4" t="n">
        <x:v>3.77</x:v>
      </x:c>
      <x:c r="G331" s="4" t="n">
        <x:v>3.01</x:v>
      </x:c>
      <x:c r="H331" s="4" t="n">
        <x:v>4.63</x:v>
      </x:c>
      <x:c r="I331" s="4" t="n">
        <x:v>3.8</x:v>
      </x:c>
      <x:c r="J331" s="4" t="n">
        <x:v>6.08</x:v>
      </x:c>
      <x:c r="K331" s="4" t="n">
        <x:v>5.99</x:v>
      </x:c>
      <x:c r="L331" s="4" t="n">
        <x:v>4.29</x:v>
      </x:c>
      <x:c r="M331" s="4" t="n">
        <x:v>7.75</x:v>
      </x:c>
      <x:c r="N331" s="4" t="n">
        <x:v>7.3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6.99</x:v>
      </x:c>
      <x:c r="D332" s="4" t="n">
        <x:v>2.43</x:v>
      </x:c>
      <x:c r="E332" s="4" t="n">
        <x:v>3.06</x:v>
      </x:c>
      <x:c r="F332" s="4" t="n">
        <x:v>4.22</x:v>
      </x:c>
      <x:c r="G332" s="4" t="n">
        <x:v>7.78</x:v>
      </x:c>
      <x:c r="H332" s="4" t="n">
        <x:v>6.74</x:v>
      </x:c>
      <x:c r="I332" s="4" t="n">
        <x:v>4.05</x:v>
      </x:c>
      <x:c r="J332" s="4" t="n">
        <x:v>5.54</x:v>
      </x:c>
      <x:c r="K332" s="4" t="n">
        <x:v>5.7</x:v>
      </x:c>
      <x:c r="L332" s="4" t="n">
        <x:v>8.24</x:v>
      </x:c>
      <x:c r="M332" s="4" t="n">
        <x:v>3.39</x:v>
      </x:c>
      <x:c r="N332" s="4" t="n">
        <x:v>4.27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6.05</x:v>
      </x:c>
      <x:c r="D333" s="4" t="n">
        <x:v>2.47</x:v>
      </x:c>
      <x:c r="E333" s="4" t="n">
        <x:v>5.58</x:v>
      </x:c>
      <x:c r="F333" s="4" t="n">
        <x:v>7.03</x:v>
      </x:c>
      <x:c r="G333" s="4" t="n">
        <x:v>3.93</x:v>
      </x:c>
      <x:c r="H333" s="4" t="n">
        <x:v>6.46</x:v>
      </x:c>
      <x:c r="I333" s="4" t="n">
        <x:v>3.22</x:v>
      </x:c>
      <x:c r="J333" s="4" t="n">
        <x:v>2.17</x:v>
      </x:c>
      <x:c r="K333" s="4" t="n">
        <x:v>8.78</x:v>
      </x:c>
      <x:c r="L333" s="4" t="n">
        <x:v>4.74</x:v>
      </x:c>
      <x:c r="M333" s="4" t="n">
        <x:v>7.94</x:v>
      </x:c>
      <x:c r="N333" s="4" t="n">
        <x:v>8.5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2.21</x:v>
      </x:c>
      <x:c r="D334" s="4" t="n">
        <x:v>5.98</x:v>
      </x:c>
      <x:c r="E334" s="4" t="n">
        <x:v>4.2</x:v>
      </x:c>
      <x:c r="F334" s="4" t="n">
        <x:v>8.78</x:v>
      </x:c>
      <x:c r="G334" s="4" t="n">
        <x:v>2.53</x:v>
      </x:c>
      <x:c r="H334" s="4" t="n">
        <x:v>4.03</x:v>
      </x:c>
      <x:c r="I334" s="4" t="n">
        <x:v>7.29</x:v>
      </x:c>
      <x:c r="J334" s="4" t="n">
        <x:v>8.33</x:v>
      </x:c>
      <x:c r="K334" s="4" t="n">
        <x:v>8.87</x:v>
      </x:c>
      <x:c r="L334" s="4" t="n">
        <x:v>4.56</x:v>
      </x:c>
      <x:c r="M334" s="4" t="n">
        <x:v>7.44</x:v>
      </x:c>
      <x:c r="N334" s="4" t="n">
        <x:v>7.88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3.91</x:v>
      </x:c>
      <x:c r="D335" s="4" t="n">
        <x:v>7.76</x:v>
      </x:c>
      <x:c r="E335" s="4" t="n">
        <x:v>6.81</x:v>
      </x:c>
      <x:c r="F335" s="4" t="n">
        <x:v>6.77</x:v>
      </x:c>
      <x:c r="G335" s="4" t="n">
        <x:v>3.23</x:v>
      </x:c>
      <x:c r="H335" s="4" t="n">
        <x:v>6.51</x:v>
      </x:c>
      <x:c r="I335" s="4" t="n">
        <x:v>7.43</x:v>
      </x:c>
      <x:c r="J335" s="4" t="n">
        <x:v>3.01</x:v>
      </x:c>
      <x:c r="K335" s="4" t="n">
        <x:v>6.95</x:v>
      </x:c>
      <x:c r="L335" s="4" t="n">
        <x:v>8.12</x:v>
      </x:c>
      <x:c r="M335" s="4" t="n">
        <x:v>6.62</x:v>
      </x:c>
      <x:c r="N335" s="4" t="n">
        <x:v>6.03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7.36</x:v>
      </x:c>
      <x:c r="D336" s="4" t="n">
        <x:v>2.76</x:v>
      </x:c>
      <x:c r="E336" s="4" t="n">
        <x:v>5.36</x:v>
      </x:c>
      <x:c r="F336" s="4" t="n">
        <x:v>6.12</x:v>
      </x:c>
      <x:c r="G336" s="4" t="n">
        <x:v>5.68</x:v>
      </x:c>
      <x:c r="H336" s="4" t="n">
        <x:v>8.09</x:v>
      </x:c>
      <x:c r="I336" s="4" t="n">
        <x:v>4.46</x:v>
      </x:c>
      <x:c r="J336" s="4" t="n">
        <x:v>4.38</x:v>
      </x:c>
      <x:c r="K336" s="4" t="n">
        <x:v>2.81</x:v>
      </x:c>
      <x:c r="L336" s="4" t="n">
        <x:v>7.45</x:v>
      </x:c>
      <x:c r="M336" s="4" t="n">
        <x:v>2.97</x:v>
      </x:c>
      <x:c r="N336" s="4" t="n">
        <x:v>8.73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8.46</x:v>
      </x:c>
      <x:c r="D337" s="4" t="n">
        <x:v>3.07</x:v>
      </x:c>
      <x:c r="E337" s="4" t="n">
        <x:v>4.14</x:v>
      </x:c>
      <x:c r="F337" s="4" t="n">
        <x:v>6.94</x:v>
      </x:c>
      <x:c r="G337" s="4" t="n">
        <x:v>8.86</x:v>
      </x:c>
      <x:c r="H337" s="4" t="n">
        <x:v>8.61</x:v>
      </x:c>
      <x:c r="I337" s="4" t="n">
        <x:v>6.71</x:v>
      </x:c>
      <x:c r="J337" s="4" t="n">
        <x:v>2.22</x:v>
      </x:c>
      <x:c r="K337" s="4" t="n">
        <x:v>2.9</x:v>
      </x:c>
      <x:c r="L337" s="4" t="n">
        <x:v>6.57</x:v>
      </x:c>
      <x:c r="M337" s="4" t="n">
        <x:v>7.24</x:v>
      </x:c>
      <x:c r="N337" s="4" t="n">
        <x:v>4.97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5.31</x:v>
      </x:c>
      <x:c r="D338" s="4" t="n">
        <x:v>6.44</x:v>
      </x:c>
      <x:c r="E338" s="4" t="n">
        <x:v>5.32</x:v>
      </x:c>
      <x:c r="F338" s="4" t="n">
        <x:v>2.92</x:v>
      </x:c>
      <x:c r="G338" s="4" t="n">
        <x:v>3.91</x:v>
      </x:c>
      <x:c r="H338" s="4" t="n">
        <x:v>7.59</x:v>
      </x:c>
      <x:c r="I338" s="4" t="n">
        <x:v>6.28</x:v>
      </x:c>
      <x:c r="J338" s="4" t="n">
        <x:v>8.64</x:v>
      </x:c>
      <x:c r="K338" s="4" t="n">
        <x:v>3.64</x:v>
      </x:c>
      <x:c r="L338" s="4" t="n">
        <x:v>2.59</x:v>
      </x:c>
      <x:c r="M338" s="4" t="n">
        <x:v>2.86</x:v>
      </x:c>
      <x:c r="N338" s="4" t="n">
        <x:v>7.16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4.3</x:v>
      </x:c>
      <x:c r="D339" s="4" t="n">
        <x:v>7.98</x:v>
      </x:c>
      <x:c r="E339" s="4" t="n">
        <x:v>3.84</x:v>
      </x:c>
      <x:c r="F339" s="4" t="n">
        <x:v>4.6</x:v>
      </x:c>
      <x:c r="G339" s="4" t="n">
        <x:v>4.15</x:v>
      </x:c>
      <x:c r="H339" s="4" t="n">
        <x:v>5.23</x:v>
      </x:c>
      <x:c r="I339" s="4" t="n">
        <x:v>3.99</x:v>
      </x:c>
      <x:c r="J339" s="4" t="n">
        <x:v>4.92</x:v>
      </x:c>
      <x:c r="K339" s="4" t="n">
        <x:v>7.42</x:v>
      </x:c>
      <x:c r="L339" s="4" t="n">
        <x:v>7.39</x:v>
      </x:c>
      <x:c r="M339" s="4" t="n">
        <x:v>4.27</x:v>
      </x:c>
      <x:c r="N339" s="4" t="n">
        <x:v>4.5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6.51</x:v>
      </x:c>
      <x:c r="D341" s="4" t="n">
        <x:v>3.37</x:v>
      </x:c>
      <x:c r="E341" s="4" t="n">
        <x:v>7.63</x:v>
      </x:c>
      <x:c r="F341" s="4" t="n">
        <x:v>3.61</x:v>
      </x:c>
      <x:c r="G341" s="4" t="n">
        <x:v>4.44</x:v>
      </x:c>
      <x:c r="H341" s="4" t="n">
        <x:v>3.72</x:v>
      </x:c>
      <x:c r="I341" s="4" t="n">
        <x:v>6.12</x:v>
      </x:c>
      <x:c r="J341" s="4" t="n">
        <x:v>2.5</x:v>
      </x:c>
      <x:c r="K341" s="4" t="n">
        <x:v>7.4</x:v>
      </x:c>
      <x:c r="L341" s="4" t="n">
        <x:v>8.27</x:v>
      </x:c>
      <x:c r="M341" s="4" t="n">
        <x:v>7.27</x:v>
      </x:c>
      <x:c r="N341" s="4" t="n">
        <x:v>8.24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2.52</x:v>
      </x:c>
      <x:c r="D342" s="4" t="n">
        <x:v>2.77</x:v>
      </x:c>
      <x:c r="E342" s="4" t="n">
        <x:v>5.19</x:v>
      </x:c>
      <x:c r="F342" s="4" t="n">
        <x:v>5.86</x:v>
      </x:c>
      <x:c r="G342" s="4" t="n">
        <x:v>5.04</x:v>
      </x:c>
      <x:c r="H342" s="4" t="n">
        <x:v>5.61</x:v>
      </x:c>
      <x:c r="I342" s="4" t="n">
        <x:v>5.65</x:v>
      </x:c>
      <x:c r="J342" s="4" t="n">
        <x:v>3.02</x:v>
      </x:c>
      <x:c r="K342" s="4" t="n">
        <x:v>4.68</x:v>
      </x:c>
      <x:c r="L342" s="4" t="n">
        <x:v>8.53</x:v>
      </x:c>
      <x:c r="M342" s="4" t="n">
        <x:v>6.45</x:v>
      </x:c>
      <x:c r="N342" s="4" t="n">
        <x:v>6.42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7.58</x:v>
      </x:c>
      <x:c r="D343" s="4" t="n">
        <x:v>8.46</x:v>
      </x:c>
      <x:c r="E343" s="4" t="n">
        <x:v>3.89</x:v>
      </x:c>
      <x:c r="F343" s="4" t="n">
        <x:v>7.3</x:v>
      </x:c>
      <x:c r="G343" s="4" t="n">
        <x:v>8.58</x:v>
      </x:c>
      <x:c r="H343" s="4" t="n">
        <x:v>2.35</x:v>
      </x:c>
      <x:c r="I343" s="4" t="n">
        <x:v>3.48</x:v>
      </x:c>
      <x:c r="J343" s="4" t="n">
        <x:v>6.53</x:v>
      </x:c>
      <x:c r="K343" s="4" t="n">
        <x:v>3.02</x:v>
      </x:c>
      <x:c r="L343" s="4" t="n">
        <x:v>8.82</x:v>
      </x:c>
      <x:c r="M343" s="4" t="n">
        <x:v>6.2</x:v>
      </x:c>
      <x:c r="N343" s="4" t="n">
        <x:v>7.36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4.12</x:v>
      </x:c>
      <x:c r="D344" s="4" t="n">
        <x:v>6.49</x:v>
      </x:c>
      <x:c r="E344" s="4" t="n">
        <x:v>8.31</x:v>
      </x:c>
      <x:c r="F344" s="4" t="n">
        <x:v>7.19</x:v>
      </x:c>
      <x:c r="G344" s="4" t="n">
        <x:v>3.04</x:v>
      </x:c>
      <x:c r="H344" s="4" t="n">
        <x:v>3.79</x:v>
      </x:c>
      <x:c r="I344" s="4" t="n">
        <x:v>6.86</x:v>
      </x:c>
      <x:c r="J344" s="4" t="n">
        <x:v>8.15</x:v>
      </x:c>
      <x:c r="K344" s="4" t="n">
        <x:v>8.07</x:v>
      </x:c>
      <x:c r="L344" s="4" t="n">
        <x:v>5.75</x:v>
      </x:c>
      <x:c r="M344" s="4" t="n">
        <x:v>4.26</x:v>
      </x:c>
      <x:c r="N344" s="4" t="n">
        <x:v>3.08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3.96</x:v>
      </x:c>
      <x:c r="D345" s="4" t="n">
        <x:v>5.02</x:v>
      </x:c>
      <x:c r="E345" s="4" t="n">
        <x:v>3.12</x:v>
      </x:c>
      <x:c r="F345" s="4" t="n">
        <x:v>7.42</x:v>
      </x:c>
      <x:c r="G345" s="4" t="n">
        <x:v>7.56</x:v>
      </x:c>
      <x:c r="H345" s="4" t="n">
        <x:v>4.2</x:v>
      </x:c>
      <x:c r="I345" s="4" t="n">
        <x:v>3.6</x:v>
      </x:c>
      <x:c r="J345" s="4" t="n">
        <x:v>6.4</x:v>
      </x:c>
      <x:c r="K345" s="4" t="n">
        <x:v>2.29</x:v>
      </x:c>
      <x:c r="L345" s="4" t="n">
        <x:v>2.25</x:v>
      </x:c>
      <x:c r="M345" s="4" t="n">
        <x:v>8.6</x:v>
      </x:c>
      <x:c r="N345" s="4" t="n">
        <x:v>6.53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8.79</x:v>
      </x:c>
      <x:c r="D346" s="4" t="n">
        <x:v>4.81</x:v>
      </x:c>
      <x:c r="E346" s="4" t="n">
        <x:v>6.6</x:v>
      </x:c>
      <x:c r="F346" s="4" t="n">
        <x:v>7.45</x:v>
      </x:c>
      <x:c r="G346" s="4" t="n">
        <x:v>8.06</x:v>
      </x:c>
      <x:c r="H346" s="4" t="n">
        <x:v>5.64</x:v>
      </x:c>
      <x:c r="I346" s="4" t="n">
        <x:v>5.03</x:v>
      </x:c>
      <x:c r="J346" s="4" t="n">
        <x:v>3.21</x:v>
      </x:c>
      <x:c r="K346" s="4" t="n">
        <x:v>3.28</x:v>
      </x:c>
      <x:c r="L346" s="4" t="n">
        <x:v>8.28</x:v>
      </x:c>
      <x:c r="M346" s="4" t="n">
        <x:v>7.14</x:v>
      </x:c>
      <x:c r="N346" s="4" t="n">
        <x:v>7.08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5.03</x:v>
      </x:c>
      <x:c r="D347" s="4" t="n">
        <x:v>2.84</x:v>
      </x:c>
      <x:c r="E347" s="4" t="n">
        <x:v>2.39</x:v>
      </x:c>
      <x:c r="F347" s="4" t="n">
        <x:v>2.89</x:v>
      </x:c>
      <x:c r="G347" s="4" t="n">
        <x:v>8.2</x:v>
      </x:c>
      <x:c r="H347" s="4" t="n">
        <x:v>2.95</x:v>
      </x:c>
      <x:c r="I347" s="4" t="n">
        <x:v>8.06</x:v>
      </x:c>
      <x:c r="J347" s="4" t="n">
        <x:v>7.27</x:v>
      </x:c>
      <x:c r="K347" s="4" t="n">
        <x:v>4.75</x:v>
      </x:c>
      <x:c r="L347" s="4" t="n">
        <x:v>6.76</x:v>
      </x:c>
      <x:c r="M347" s="4" t="n">
        <x:v>4.21</x:v>
      </x:c>
      <x:c r="N347" s="4" t="n">
        <x:v>8.36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7.55</x:v>
      </x:c>
      <x:c r="D348" s="4" t="n">
        <x:v>7.16</x:v>
      </x:c>
      <x:c r="E348" s="4" t="n">
        <x:v>7.6</x:v>
      </x:c>
      <x:c r="F348" s="4" t="n">
        <x:v>6.13</x:v>
      </x:c>
      <x:c r="G348" s="4" t="n">
        <x:v>4.99</x:v>
      </x:c>
      <x:c r="H348" s="4" t="n">
        <x:v>4.84</x:v>
      </x:c>
      <x:c r="I348" s="4" t="n">
        <x:v>7.85</x:v>
      </x:c>
      <x:c r="J348" s="4" t="n">
        <x:v>7.14</x:v>
      </x:c>
      <x:c r="K348" s="4" t="n">
        <x:v>2.43</x:v>
      </x:c>
      <x:c r="L348" s="4" t="n">
        <x:v>6.02</x:v>
      </x:c>
      <x:c r="M348" s="4" t="n">
        <x:v>4.39</x:v>
      </x:c>
      <x:c r="N348" s="4" t="n">
        <x:v>4.26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8.75</x:v>
      </x:c>
      <x:c r="D350" s="4" t="n">
        <x:v>3.88</x:v>
      </x:c>
      <x:c r="E350" s="4" t="n">
        <x:v>6.98</x:v>
      </x:c>
      <x:c r="F350" s="4" t="n">
        <x:v>5.13</x:v>
      </x:c>
      <x:c r="G350" s="4" t="n">
        <x:v>2.19</x:v>
      </x:c>
      <x:c r="H350" s="4" t="n">
        <x:v>7.4</x:v>
      </x:c>
      <x:c r="I350" s="4" t="n">
        <x:v>4.95</x:v>
      </x:c>
      <x:c r="J350" s="4" t="n">
        <x:v>4.17</x:v>
      </x:c>
      <x:c r="K350" s="4" t="n">
        <x:v>4.17</x:v>
      </x:c>
      <x:c r="L350" s="4" t="n">
        <x:v>6.33</x:v>
      </x:c>
      <x:c r="M350" s="4" t="n">
        <x:v>5.55</x:v>
      </x:c>
      <x:c r="N350" s="4" t="n">
        <x:v>6.08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3.04</x:v>
      </x:c>
      <x:c r="D351" s="4" t="n">
        <x:v>8.59</x:v>
      </x:c>
      <x:c r="E351" s="4" t="n">
        <x:v>8.44</x:v>
      </x:c>
      <x:c r="F351" s="4" t="n">
        <x:v>6.02</x:v>
      </x:c>
      <x:c r="G351" s="4" t="n">
        <x:v>4.97</x:v>
      </x:c>
      <x:c r="H351" s="4" t="n">
        <x:v>7.14</x:v>
      </x:c>
      <x:c r="I351" s="4" t="n">
        <x:v>6.69</x:v>
      </x:c>
      <x:c r="J351" s="4" t="n">
        <x:v>4.69</x:v>
      </x:c>
      <x:c r="K351" s="4" t="n">
        <x:v>7.08</x:v>
      </x:c>
      <x:c r="L351" s="4" t="n">
        <x:v>2.61</x:v>
      </x:c>
      <x:c r="M351" s="4" t="n">
        <x:v>3.35</x:v>
      </x:c>
      <x:c r="N351" s="4" t="n">
        <x:v>8.13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3.66</x:v>
      </x:c>
      <x:c r="D352" s="4" t="n">
        <x:v>7.76</x:v>
      </x:c>
      <x:c r="E352" s="4" t="n">
        <x:v>3.61</x:v>
      </x:c>
      <x:c r="F352" s="4" t="n">
        <x:v>6.97</x:v>
      </x:c>
      <x:c r="G352" s="4" t="n">
        <x:v>3.56</x:v>
      </x:c>
      <x:c r="H352" s="4" t="n">
        <x:v>3.66</x:v>
      </x:c>
      <x:c r="I352" s="4" t="n">
        <x:v>6.72</x:v>
      </x:c>
      <x:c r="J352" s="4" t="n">
        <x:v>4.87</x:v>
      </x:c>
      <x:c r="K352" s="4" t="n">
        <x:v>5.63</x:v>
      </x:c>
      <x:c r="L352" s="4" t="n">
        <x:v>6.45</x:v>
      </x:c>
      <x:c r="M352" s="4" t="n">
        <x:v>6.73</x:v>
      </x:c>
      <x:c r="N352" s="4" t="n">
        <x:v>8.31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3.5</x:v>
      </x:c>
      <x:c r="D353" s="4" t="n">
        <x:v>5.41</x:v>
      </x:c>
      <x:c r="E353" s="4" t="n">
        <x:v>8.59</x:v>
      </x:c>
      <x:c r="F353" s="4" t="n">
        <x:v>5.94</x:v>
      </x:c>
      <x:c r="G353" s="4" t="n">
        <x:v>6.58</x:v>
      </x:c>
      <x:c r="H353" s="4" t="n">
        <x:v>5.14</x:v>
      </x:c>
      <x:c r="I353" s="4" t="n">
        <x:v>2.94</x:v>
      </x:c>
      <x:c r="J353" s="4" t="n">
        <x:v>7.16</x:v>
      </x:c>
      <x:c r="K353" s="4" t="n">
        <x:v>8.58</x:v>
      </x:c>
      <x:c r="L353" s="4" t="n">
        <x:v>2.59</x:v>
      </x:c>
      <x:c r="M353" s="4" t="n">
        <x:v>6.56</x:v>
      </x:c>
      <x:c r="N353" s="4" t="n">
        <x:v>8.66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其他主体费用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实时经营（月度，元）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349.99</x:v>
      </x:c>
      <x:c r="D4" s="3" t="n">
        <x:f>ROUND(D204*D324,2)</x:f>
        <x:v>343.12</x:v>
      </x:c>
      <x:c r="E4" s="3" t="n">
        <x:f>ROUND(E204*E324,2)</x:f>
        <x:v>201.64</x:v>
      </x:c>
      <x:c r="F4" s="3" t="n">
        <x:f>ROUND(F204*F324,2)</x:f>
        <x:v>104.44</x:v>
      </x:c>
      <x:c r="G4" s="3" t="n">
        <x:f>ROUND(G204*G324,2)</x:f>
        <x:v>486.41</x:v>
      </x:c>
      <x:c r="H4" s="3" t="n">
        <x:f>ROUND(H204*H324,2)</x:f>
        <x:v>114.43</x:v>
      </x:c>
      <x:c r="I4" s="3" t="n">
        <x:f>ROUND(I204*I324,2)</x:f>
        <x:v>329.14</x:v>
      </x:c>
      <x:c r="J4" s="3" t="n">
        <x:f>ROUND(J204*J324,2)</x:f>
        <x:v>346.86</x:v>
      </x:c>
      <x:c r="K4" s="3" t="n">
        <x:f>ROUND(K204*K324,2)</x:f>
        <x:v>292.17</x:v>
      </x:c>
      <x:c r="L4" s="3" t="n">
        <x:f>ROUND(L204*L324,2)</x:f>
        <x:v>256.15</x:v>
      </x:c>
      <x:c r="M4" s="3" t="n">
        <x:f>ROUND(M204*M324,2)</x:f>
        <x:v>157.94</x:v>
      </x:c>
      <x:c r="N4" s="3" t="n">
        <x:f>ROUND(N204*N324,2)</x:f>
        <x:v>125.87</x:v>
      </x:c>
      <x:c r="O4" s="3" t="n">
        <x:f>SUM(C4:N4)</x:f>
        <x:v>3108.1600000000003</x:v>
      </x:c>
      <x:c r="P4" s="2" t="str">
        <x:v>EXP3.004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196.84</x:v>
      </x:c>
      <x:c r="D5" s="3" t="n">
        <x:f>ROUND(D205*D325,2)</x:f>
        <x:v>364.46</x:v>
      </x:c>
      <x:c r="E5" s="3" t="n">
        <x:f>ROUND(E205*E325,2)</x:f>
        <x:v>449.45</x:v>
      </x:c>
      <x:c r="F5" s="3" t="n">
        <x:f>ROUND(F205*F325,2)</x:f>
        <x:v>284.34</x:v>
      </x:c>
      <x:c r="G5" s="3" t="n">
        <x:f>ROUND(G205*G325,2)</x:f>
        <x:v>193.81</x:v>
      </x:c>
      <x:c r="H5" s="3" t="n">
        <x:f>ROUND(H205*H325,2)</x:f>
        <x:v>166.76</x:v>
      </x:c>
      <x:c r="I5" s="3" t="n">
        <x:f>ROUND(I205*I325,2)</x:f>
        <x:v>456.12</x:v>
      </x:c>
      <x:c r="J5" s="3" t="n">
        <x:f>ROUND(J205*J325,2)</x:f>
        <x:v>166.23</x:v>
      </x:c>
      <x:c r="K5" s="3" t="n">
        <x:f>ROUND(K205*K325,2)</x:f>
        <x:v>355.97</x:v>
      </x:c>
      <x:c r="L5" s="3" t="n">
        <x:f>ROUND(L205*L325,2)</x:f>
        <x:v>249.71</x:v>
      </x:c>
      <x:c r="M5" s="3" t="n">
        <x:f>ROUND(M205*M325,2)</x:f>
        <x:v>182.45</x:v>
      </x:c>
      <x:c r="N5" s="3" t="n">
        <x:f>ROUND(N205*N325,2)</x:f>
        <x:v>53.86</x:v>
      </x:c>
      <x:c r="O5" s="3" t="n">
        <x:f>SUM(C5:N5)</x:f>
        <x:v>3119.9999999999995</x:v>
      </x:c>
      <x:c r="P5" s="2" t="str">
        <x:v>EXP3.005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132.77</x:v>
      </x:c>
      <x:c r="D6" s="3" t="n">
        <x:f>ROUND(D206*D326,2)</x:f>
        <x:v>326.12</x:v>
      </x:c>
      <x:c r="E6" s="3" t="n">
        <x:f>ROUND(E206*E326,2)</x:f>
        <x:v>129.01</x:v>
      </x:c>
      <x:c r="F6" s="3" t="n">
        <x:f>ROUND(F206*F326,2)</x:f>
        <x:v>221.61</x:v>
      </x:c>
      <x:c r="G6" s="3" t="n">
        <x:f>ROUND(G206*G326,2)</x:f>
        <x:v>204.93</x:v>
      </x:c>
      <x:c r="H6" s="3" t="n">
        <x:f>ROUND(H206*H326,2)</x:f>
        <x:v>277.71</x:v>
      </x:c>
      <x:c r="I6" s="3" t="n">
        <x:f>ROUND(I206*I326,2)</x:f>
        <x:v>180.32</x:v>
      </x:c>
      <x:c r="J6" s="3" t="n">
        <x:f>ROUND(J206*J326,2)</x:f>
        <x:v>146.86</x:v>
      </x:c>
      <x:c r="K6" s="3" t="n">
        <x:f>ROUND(K206*K326,2)</x:f>
        <x:v>73.7</x:v>
      </x:c>
      <x:c r="L6" s="3" t="n">
        <x:f>ROUND(L206*L326,2)</x:f>
        <x:v>293.44</x:v>
      </x:c>
      <x:c r="M6" s="3" t="n">
        <x:f>ROUND(M206*M326,2)</x:f>
        <x:v>231.07</x:v>
      </x:c>
      <x:c r="N6" s="3" t="n">
        <x:f>ROUND(N206*N326,2)</x:f>
        <x:v>71.18</x:v>
      </x:c>
      <x:c r="O6" s="3" t="n">
        <x:f>SUM(C6:N6)</x:f>
        <x:v>2288.72</x:v>
      </x:c>
      <x:c r="P6" s="2" t="str">
        <x:v>EXP3.006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299.76</x:v>
      </x:c>
      <x:c r="D7" s="3" t="n">
        <x:f>ROUND(D207*D327,2)</x:f>
        <x:v>95.97</x:v>
      </x:c>
      <x:c r="E7" s="3" t="n">
        <x:f>ROUND(E207*E327,2)</x:f>
        <x:v>266.34</x:v>
      </x:c>
      <x:c r="F7" s="3" t="n">
        <x:f>ROUND(F207*F327,2)</x:f>
        <x:v>232.86</x:v>
      </x:c>
      <x:c r="G7" s="3" t="n">
        <x:f>ROUND(G207*G327,2)</x:f>
        <x:v>187.92</x:v>
      </x:c>
      <x:c r="H7" s="3" t="n">
        <x:f>ROUND(H207*H327,2)</x:f>
        <x:v>159.96</x:v>
      </x:c>
      <x:c r="I7" s="3" t="n">
        <x:f>ROUND(I207*I327,2)</x:f>
        <x:v>230.26</x:v>
      </x:c>
      <x:c r="J7" s="3" t="n">
        <x:f>ROUND(J207*J327,2)</x:f>
        <x:v>170.27</x:v>
      </x:c>
      <x:c r="K7" s="3" t="n">
        <x:f>ROUND(K207*K327,2)</x:f>
        <x:v>273.2</x:v>
      </x:c>
      <x:c r="L7" s="3" t="n">
        <x:f>ROUND(L207*L327,2)</x:f>
        <x:v>145.84</x:v>
      </x:c>
      <x:c r="M7" s="3" t="n">
        <x:f>ROUND(M207*M327,2)</x:f>
        <x:v>72.85</x:v>
      </x:c>
      <x:c r="N7" s="3" t="n">
        <x:f>ROUND(N207*N327,2)</x:f>
        <x:v>309.75</x:v>
      </x:c>
      <x:c r="O7" s="3" t="n">
        <x:f>SUM(C7:N7)</x:f>
        <x:v>2444.98</x:v>
      </x:c>
      <x:c r="P7" s="2" t="str">
        <x:v>EXP3.007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294.9</x:v>
      </x:c>
      <x:c r="D8" s="3" t="n">
        <x:f>ROUND(D208*D328,2)</x:f>
        <x:v>222.74</x:v>
      </x:c>
      <x:c r="E8" s="3" t="n">
        <x:f>ROUND(E208*E328,2)</x:f>
        <x:v>358.09</x:v>
      </x:c>
      <x:c r="F8" s="3" t="n">
        <x:f>ROUND(F208*F328,2)</x:f>
        <x:v>166.41</x:v>
      </x:c>
      <x:c r="G8" s="3" t="n">
        <x:f>ROUND(G208*G328,2)</x:f>
        <x:v>236.49</x:v>
      </x:c>
      <x:c r="H8" s="3" t="n">
        <x:f>ROUND(H208*H328,2)</x:f>
        <x:v>194.18</x:v>
      </x:c>
      <x:c r="I8" s="3" t="n">
        <x:f>ROUND(I208*I328,2)</x:f>
        <x:v>199.65</x:v>
      </x:c>
      <x:c r="J8" s="3" t="n">
        <x:f>ROUND(J208*J328,2)</x:f>
        <x:v>426.74</x:v>
      </x:c>
      <x:c r="K8" s="3" t="n">
        <x:f>ROUND(K208*K328,2)</x:f>
        <x:v>251.75</x:v>
      </x:c>
      <x:c r="L8" s="3" t="n">
        <x:f>ROUND(L208*L328,2)</x:f>
        <x:v>304.73</x:v>
      </x:c>
      <x:c r="M8" s="3" t="n">
        <x:f>ROUND(M208*M328,2)</x:f>
        <x:v>108.37</x:v>
      </x:c>
      <x:c r="N8" s="3" t="n">
        <x:f>ROUND(N208*N328,2)</x:f>
        <x:v>170.35</x:v>
      </x:c>
      <x:c r="O8" s="3" t="n">
        <x:f>SUM(C8:N8)</x:f>
        <x:v>2934.4</x:v>
      </x:c>
      <x:c r="P8" s="2" t="str">
        <x:v>EXP3.008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336.69</x:v>
      </x:c>
      <x:c r="D9" s="3" t="n">
        <x:f>ROUND(D209*D329,2)</x:f>
        <x:v>155.6</x:v>
      </x:c>
      <x:c r="E9" s="3" t="n">
        <x:f>ROUND(E209*E329,2)</x:f>
        <x:v>362.58</x:v>
      </x:c>
      <x:c r="F9" s="3" t="n">
        <x:f>ROUND(F209*F329,2)</x:f>
        <x:v>190.37</x:v>
      </x:c>
      <x:c r="G9" s="3" t="n">
        <x:f>ROUND(G209*G329,2)</x:f>
        <x:v>130.68</x:v>
      </x:c>
      <x:c r="H9" s="3" t="n">
        <x:f>ROUND(H209*H329,2)</x:f>
        <x:v>126.13</x:v>
      </x:c>
      <x:c r="I9" s="3" t="n">
        <x:f>ROUND(I209*I329,2)</x:f>
        <x:v>429.61</x:v>
      </x:c>
      <x:c r="J9" s="3" t="n">
        <x:f>ROUND(J209*J329,2)</x:f>
        <x:v>452.43</x:v>
      </x:c>
      <x:c r="K9" s="3" t="n">
        <x:f>ROUND(K209*K329,2)</x:f>
        <x:v>366.26</x:v>
      </x:c>
      <x:c r="L9" s="3" t="n">
        <x:f>ROUND(L209*L329,2)</x:f>
        <x:v>152.11</x:v>
      </x:c>
      <x:c r="M9" s="3" t="n">
        <x:f>ROUND(M209*M329,2)</x:f>
        <x:v>250.61</x:v>
      </x:c>
      <x:c r="N9" s="3" t="n">
        <x:f>ROUND(N209*N329,2)</x:f>
        <x:v>408.71</x:v>
      </x:c>
      <x:c r="O9" s="3" t="n">
        <x:f>SUM(C9:N9)</x:f>
        <x:v>3361.7799999999997</x:v>
      </x:c>
      <x:c r="P9" s="2" t="str">
        <x:v>EXP3.009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175.26</x:v>
      </x:c>
      <x:c r="D10" s="3" t="n">
        <x:f>ROUND(D210*D330,2)</x:f>
        <x:v>145.12</x:v>
      </x:c>
      <x:c r="E10" s="3" t="n">
        <x:f>ROUND(E210*E330,2)</x:f>
        <x:v>211.43</x:v>
      </x:c>
      <x:c r="F10" s="3" t="n">
        <x:f>ROUND(F210*F330,2)</x:f>
        <x:v>276.53</x:v>
      </x:c>
      <x:c r="G10" s="3" t="n">
        <x:f>ROUND(G210*G330,2)</x:f>
        <x:v>338.45</x:v>
      </x:c>
      <x:c r="H10" s="3" t="n">
        <x:f>ROUND(H210*H330,2)</x:f>
        <x:v>330.97</x:v>
      </x:c>
      <x:c r="I10" s="3" t="n">
        <x:f>ROUND(I210*I330,2)</x:f>
        <x:v>399.51</x:v>
      </x:c>
      <x:c r="J10" s="3" t="n">
        <x:f>ROUND(J210*J330,2)</x:f>
        <x:v>84.81</x:v>
      </x:c>
      <x:c r="K10" s="3" t="n">
        <x:f>ROUND(K210*K330,2)</x:f>
        <x:v>400.83</x:v>
      </x:c>
      <x:c r="L10" s="3" t="n">
        <x:f>ROUND(L210*L330,2)</x:f>
        <x:v>224.72</x:v>
      </x:c>
      <x:c r="M10" s="3" t="n">
        <x:f>ROUND(M210*M330,2)</x:f>
        <x:v>255.82</x:v>
      </x:c>
      <x:c r="N10" s="3" t="n">
        <x:f>ROUND(N210*N330,2)</x:f>
        <x:v>121.31</x:v>
      </x:c>
      <x:c r="O10" s="3" t="n">
        <x:f>SUM(C10:N10)</x:f>
        <x:v>2964.7599999999998</x:v>
      </x:c>
      <x:c r="P10" s="2" t="str">
        <x:v>EXP3.010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254.87</x:v>
      </x:c>
      <x:c r="D11" s="3" t="n">
        <x:f>ROUND(D211*D331,2)</x:f>
        <x:v>170.24</x:v>
      </x:c>
      <x:c r="E11" s="3" t="n">
        <x:f>ROUND(E211*E331,2)</x:f>
        <x:v>454.34</x:v>
      </x:c>
      <x:c r="F11" s="3" t="n">
        <x:f>ROUND(F211*F331,2)</x:f>
        <x:v>272.53</x:v>
      </x:c>
      <x:c r="G11" s="3" t="n">
        <x:f>ROUND(G211*G331,2)</x:f>
        <x:v>348.68</x:v>
      </x:c>
      <x:c r="H11" s="3" t="n">
        <x:f>ROUND(H211*H331,2)</x:f>
        <x:v>201.24</x:v>
      </x:c>
      <x:c r="I11" s="3" t="n">
        <x:f>ROUND(I211*I331,2)</x:f>
        <x:v>189.89</x:v>
      </x:c>
      <x:c r="J11" s="3" t="n">
        <x:f>ROUND(J211*J331,2)</x:f>
        <x:v>123.75</x:v>
      </x:c>
      <x:c r="K11" s="3" t="n">
        <x:f>ROUND(K211*K331,2)</x:f>
        <x:v>326.77</x:v>
      </x:c>
      <x:c r="L11" s="3" t="n">
        <x:f>ROUND(L211*L331,2)</x:f>
        <x:v>139.25</x:v>
      </x:c>
      <x:c r="M11" s="3" t="n">
        <x:f>ROUND(M211*M331,2)</x:f>
        <x:v>281.98</x:v>
      </x:c>
      <x:c r="N11" s="3" t="n">
        <x:f>ROUND(N211*N331,2)</x:f>
        <x:v>114.03</x:v>
      </x:c>
      <x:c r="O11" s="3" t="n">
        <x:f>SUM(C11:N11)</x:f>
        <x:v>2877.57</x:v>
      </x:c>
      <x:c r="P11" s="2" t="str">
        <x:v>EXP3.011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254.23</x:v>
      </x:c>
      <x:c r="D12" s="3" t="n">
        <x:f>ROUND(D212*D332,2)</x:f>
        <x:v>65.36</x:v>
      </x:c>
      <x:c r="E12" s="3" t="n">
        <x:f>ROUND(E212*E332,2)</x:f>
        <x:v>250.55</x:v>
      </x:c>
      <x:c r="F12" s="3" t="n">
        <x:f>ROUND(F212*F332,2)</x:f>
        <x:v>386.72</x:v>
      </x:c>
      <x:c r="G12" s="3" t="n">
        <x:f>ROUND(G212*G332,2)</x:f>
        <x:v>385.14</x:v>
      </x:c>
      <x:c r="H12" s="3" t="n">
        <x:f>ROUND(H212*H332,2)</x:f>
        <x:v>65.97</x:v>
      </x:c>
      <x:c r="I12" s="3" t="n">
        <x:f>ROUND(I212*I332,2)</x:f>
        <x:v>358.39</x:v>
      </x:c>
      <x:c r="J12" s="3" t="n">
        <x:f>ROUND(J212*J332,2)</x:f>
        <x:v>167.46</x:v>
      </x:c>
      <x:c r="K12" s="3" t="n">
        <x:f>ROUND(K212*K332,2)</x:f>
        <x:v>544.74</x:v>
      </x:c>
      <x:c r="L12" s="3" t="n">
        <x:f>ROUND(L212*L332,2)</x:f>
        <x:v>195.38</x:v>
      </x:c>
      <x:c r="M12" s="3" t="n">
        <x:f>ROUND(M212*M332,2)</x:f>
        <x:v>230.17</x:v>
      </x:c>
      <x:c r="N12" s="3" t="n">
        <x:f>ROUND(N212*N332,2)</x:f>
        <x:v>128.49</x:v>
      </x:c>
      <x:c r="O12" s="3" t="n">
        <x:f>SUM(C12:N12)</x:f>
        <x:v>3032.6000000000004</x:v>
      </x:c>
      <x:c r="P12" s="2" t="str">
        <x:v>EXP3.012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108.41</x:v>
      </x:c>
      <x:c r="D13" s="3" t="n">
        <x:f>ROUND(D213*D333,2)</x:f>
        <x:v>134.58</x:v>
      </x:c>
      <x:c r="E13" s="3" t="n">
        <x:f>ROUND(E213*E333,2)</x:f>
        <x:v>154.21</x:v>
      </x:c>
      <x:c r="F13" s="3" t="n">
        <x:f>ROUND(F213*F333,2)</x:f>
        <x:v>165.71</x:v>
      </x:c>
      <x:c r="G13" s="3" t="n">
        <x:f>ROUND(G213*G333,2)</x:f>
        <x:v>106.06</x:v>
      </x:c>
      <x:c r="H13" s="3" t="n">
        <x:f>ROUND(H213*H333,2)</x:f>
        <x:v>219.92</x:v>
      </x:c>
      <x:c r="I13" s="3" t="n">
        <x:f>ROUND(I213*I333,2)</x:f>
        <x:v>123.1</x:v>
      </x:c>
      <x:c r="J13" s="3" t="n">
        <x:f>ROUND(J213*J333,2)</x:f>
        <x:v>279.18</x:v>
      </x:c>
      <x:c r="K13" s="3" t="n">
        <x:f>ROUND(K213*K333,2)</x:f>
        <x:v>180.06</x:v>
      </x:c>
      <x:c r="L13" s="3" t="n">
        <x:f>ROUND(L213*L333,2)</x:f>
        <x:v>254.41</x:v>
      </x:c>
      <x:c r="M13" s="3" t="n">
        <x:f>ROUND(M213*M333,2)</x:f>
        <x:v>121.42</x:v>
      </x:c>
      <x:c r="N13" s="3" t="n">
        <x:f>ROUND(N213*N333,2)</x:f>
        <x:v>177.15</x:v>
      </x:c>
      <x:c r="O13" s="3" t="n">
        <x:f>SUM(C13:N13)</x:f>
        <x:v>2024.2100000000003</x:v>
      </x:c>
      <x:c r="P13" s="2" t="str">
        <x:v>EXP3.013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116.24</x:v>
      </x:c>
      <x:c r="D14" s="3" t="n">
        <x:f>ROUND(D214*D334,2)</x:f>
        <x:v>259.19</x:v>
      </x:c>
      <x:c r="E14" s="3" t="n">
        <x:f>ROUND(E214*E334,2)</x:f>
        <x:v>539.75</x:v>
      </x:c>
      <x:c r="F14" s="3" t="n">
        <x:f>ROUND(F214*F334,2)</x:f>
        <x:v>263.89</x:v>
      </x:c>
      <x:c r="G14" s="3" t="n">
        <x:f>ROUND(G214*G334,2)</x:f>
        <x:v>395.2</x:v>
      </x:c>
      <x:c r="H14" s="3" t="n">
        <x:f>ROUND(H214*H334,2)</x:f>
        <x:v>233.37</x:v>
      </x:c>
      <x:c r="I14" s="3" t="n">
        <x:f>ROUND(I214*I334,2)</x:f>
        <x:v>64.47</x:v>
      </x:c>
      <x:c r="J14" s="3" t="n">
        <x:f>ROUND(J214*J334,2)</x:f>
        <x:v>286.16</x:v>
      </x:c>
      <x:c r="K14" s="3" t="n">
        <x:f>ROUND(K214*K334,2)</x:f>
        <x:v>89.25</x:v>
      </x:c>
      <x:c r="L14" s="3" t="n">
        <x:f>ROUND(L214*L334,2)</x:f>
        <x:v>183.94</x:v>
      </x:c>
      <x:c r="M14" s="3" t="n">
        <x:f>ROUND(M214*M334,2)</x:f>
        <x:v>329.89</x:v>
      </x:c>
      <x:c r="N14" s="3" t="n">
        <x:f>ROUND(N214*N334,2)</x:f>
        <x:v>72.77</x:v>
      </x:c>
      <x:c r="O14" s="3" t="n">
        <x:f>SUM(C14:N14)</x:f>
        <x:v>2834.1200000000003</x:v>
      </x:c>
      <x:c r="P14" s="2" t="str">
        <x:v>EXP3.014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142.24</x:v>
      </x:c>
      <x:c r="D15" s="3" t="n">
        <x:f>ROUND(D215*D335,2)</x:f>
        <x:v>166.41</x:v>
      </x:c>
      <x:c r="E15" s="3" t="n">
        <x:f>ROUND(E215*E335,2)</x:f>
        <x:v>138.98</x:v>
      </x:c>
      <x:c r="F15" s="3" t="n">
        <x:f>ROUND(F215*F335,2)</x:f>
        <x:v>212.36</x:v>
      </x:c>
      <x:c r="G15" s="3" t="n">
        <x:f>ROUND(G215*G335,2)</x:f>
        <x:v>401.23</x:v>
      </x:c>
      <x:c r="H15" s="3" t="n">
        <x:f>ROUND(H215*H335,2)</x:f>
        <x:v>375.88</x:v>
      </x:c>
      <x:c r="I15" s="3" t="n">
        <x:f>ROUND(I215*I335,2)</x:f>
        <x:v>323.91</x:v>
      </x:c>
      <x:c r="J15" s="3" t="n">
        <x:f>ROUND(J215*J335,2)</x:f>
        <x:v>71.06</x:v>
      </x:c>
      <x:c r="K15" s="3" t="n">
        <x:f>ROUND(K215*K335,2)</x:f>
        <x:v>391.58</x:v>
      </x:c>
      <x:c r="L15" s="3" t="n">
        <x:f>ROUND(L215*L335,2)</x:f>
        <x:v>102.86</x:v>
      </x:c>
      <x:c r="M15" s="3" t="n">
        <x:f>ROUND(M215*M335,2)</x:f>
        <x:v>154.42</x:v>
      </x:c>
      <x:c r="N15" s="3" t="n">
        <x:f>ROUND(N215*N335,2)</x:f>
        <x:v>99.48</x:v>
      </x:c>
      <x:c r="O15" s="3" t="n">
        <x:f>SUM(C15:N15)</x:f>
        <x:v>2580.4100000000003</x:v>
      </x:c>
      <x:c r="P15" s="2" t="str">
        <x:v>EXP3.015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272.83</x:v>
      </x:c>
      <x:c r="D16" s="3" t="n">
        <x:f>ROUND(D216*D336,2)</x:f>
        <x:v>159.67</x:v>
      </x:c>
      <x:c r="E16" s="3" t="n">
        <x:f>ROUND(E216*E336,2)</x:f>
        <x:v>96.63</x:v>
      </x:c>
      <x:c r="F16" s="3" t="n">
        <x:f>ROUND(F216*F336,2)</x:f>
        <x:v>258.91</x:v>
      </x:c>
      <x:c r="G16" s="3" t="n">
        <x:f>ROUND(G216*G336,2)</x:f>
        <x:v>261.77</x:v>
      </x:c>
      <x:c r="H16" s="3" t="n">
        <x:f>ROUND(H216*H336,2)</x:f>
        <x:v>140.03</x:v>
      </x:c>
      <x:c r="I16" s="3" t="n">
        <x:f>ROUND(I216*I336,2)</x:f>
        <x:v>342.28</x:v>
      </x:c>
      <x:c r="J16" s="3" t="n">
        <x:f>ROUND(J216*J336,2)</x:f>
        <x:v>177.53</x:v>
      </x:c>
      <x:c r="K16" s="3" t="n">
        <x:f>ROUND(K216*K336,2)</x:f>
        <x:v>333.12</x:v>
      </x:c>
      <x:c r="L16" s="3" t="n">
        <x:f>ROUND(L216*L336,2)</x:f>
        <x:v>184.51</x:v>
      </x:c>
      <x:c r="M16" s="3" t="n">
        <x:f>ROUND(M216*M336,2)</x:f>
        <x:v>285.89</x:v>
      </x:c>
      <x:c r="N16" s="3" t="n">
        <x:f>ROUND(N216*N336,2)</x:f>
        <x:v>208.95</x:v>
      </x:c>
      <x:c r="O16" s="3" t="n">
        <x:f>SUM(C16:N16)</x:f>
        <x:v>2722.1199999999994</x:v>
      </x:c>
      <x:c r="P16" s="2" t="str">
        <x:v>EXP3.016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ROUND(C217*C337,2)</x:f>
        <x:v>127.85</x:v>
      </x:c>
      <x:c r="D17" s="3" t="n">
        <x:f>ROUND(D217*D337,2)</x:f>
        <x:v>80.7</x:v>
      </x:c>
      <x:c r="E17" s="3" t="n">
        <x:f>ROUND(E217*E337,2)</x:f>
        <x:v>132.02</x:v>
      </x:c>
      <x:c r="F17" s="3" t="n">
        <x:f>ROUND(F217*F337,2)</x:f>
        <x:v>157.41</x:v>
      </x:c>
      <x:c r="G17" s="3" t="n">
        <x:f>ROUND(G217*G337,2)</x:f>
        <x:v>332.95</x:v>
      </x:c>
      <x:c r="H17" s="3" t="n">
        <x:f>ROUND(H217*H337,2)</x:f>
        <x:v>167.62</x:v>
      </x:c>
      <x:c r="I17" s="3" t="n">
        <x:f>ROUND(I217*I337,2)</x:f>
        <x:v>212.57</x:v>
      </x:c>
      <x:c r="J17" s="3" t="n">
        <x:f>ROUND(J217*J337,2)</x:f>
        <x:v>319.99</x:v>
      </x:c>
      <x:c r="K17" s="3" t="n">
        <x:f>ROUND(K217*K337,2)</x:f>
        <x:v>271.8</x:v>
      </x:c>
      <x:c r="L17" s="3" t="n">
        <x:f>ROUND(L217*L337,2)</x:f>
        <x:v>176.62</x:v>
      </x:c>
      <x:c r="M17" s="3" t="n">
        <x:f>ROUND(M217*M337,2)</x:f>
        <x:v>126.14</x:v>
      </x:c>
      <x:c r="N17" s="3" t="n">
        <x:f>ROUND(N217*N337,2)</x:f>
        <x:v>199.91</x:v>
      </x:c>
      <x:c r="O17" s="3" t="n">
        <x:f>SUM(C17:N17)</x:f>
        <x:v>2305.58</x:v>
      </x:c>
      <x:c r="P17" s="2" t="str">
        <x:v>EXP3.017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438.82</x:v>
      </x:c>
      <x:c r="D18" s="3" t="n">
        <x:f>ROUND(D218*D338,2)</x:f>
        <x:v>270.3</x:v>
      </x:c>
      <x:c r="E18" s="3" t="n">
        <x:f>ROUND(E218*E338,2)</x:f>
        <x:v>163.41</x:v>
      </x:c>
      <x:c r="F18" s="3" t="n">
        <x:f>ROUND(F218*F338,2)</x:f>
        <x:v>446.01</x:v>
      </x:c>
      <x:c r="G18" s="3" t="n">
        <x:f>ROUND(G218*G338,2)</x:f>
        <x:v>181.8</x:v>
      </x:c>
      <x:c r="H18" s="3" t="n">
        <x:f>ROUND(H218*H338,2)</x:f>
        <x:v>186.24</x:v>
      </x:c>
      <x:c r="I18" s="3" t="n">
        <x:f>ROUND(I218*I338,2)</x:f>
        <x:v>238.49</x:v>
      </x:c>
      <x:c r="J18" s="3" t="n">
        <x:f>ROUND(J218*J338,2)</x:f>
        <x:v>266.06</x:v>
      </x:c>
      <x:c r="K18" s="3" t="n">
        <x:f>ROUND(K218*K338,2)</x:f>
        <x:v>96.09</x:v>
      </x:c>
      <x:c r="L18" s="3" t="n">
        <x:f>ROUND(L218*L338,2)</x:f>
        <x:v>298.46</x:v>
      </x:c>
      <x:c r="M18" s="3" t="n">
        <x:f>ROUND(M218*M338,2)</x:f>
        <x:v>72.59</x:v>
      </x:c>
      <x:c r="N18" s="3" t="n">
        <x:f>ROUND(N218*N338,2)</x:f>
        <x:v>162.62</x:v>
      </x:c>
      <x:c r="O18" s="3" t="n">
        <x:f>SUM(C18:N18)</x:f>
        <x:v>2820.8900000000003</x:v>
      </x:c>
      <x:c r="P18" s="2" t="str">
        <x:v>EXP3.018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370.52</x:v>
      </x:c>
      <x:c r="D19" s="3" t="n">
        <x:f>ROUND(D219*D339,2)</x:f>
        <x:v>238.38</x:v>
      </x:c>
      <x:c r="E19" s="3" t="n">
        <x:f>ROUND(E219*E339,2)</x:f>
        <x:v>188.96</x:v>
      </x:c>
      <x:c r="F19" s="3" t="n">
        <x:f>ROUND(F219*F339,2)</x:f>
        <x:v>302.05</x:v>
      </x:c>
      <x:c r="G19" s="3" t="n">
        <x:f>ROUND(G219*G339,2)</x:f>
        <x:v>132.94</x:v>
      </x:c>
      <x:c r="H19" s="3" t="n">
        <x:f>ROUND(H219*H339,2)</x:f>
        <x:v>291.98</x:v>
      </x:c>
      <x:c r="I19" s="3" t="n">
        <x:f>ROUND(I219*I339,2)</x:f>
        <x:v>228.37</x:v>
      </x:c>
      <x:c r="J19" s="3" t="n">
        <x:f>ROUND(J219*J339,2)</x:f>
        <x:v>74.95</x:v>
      </x:c>
      <x:c r="K19" s="3" t="n">
        <x:f>ROUND(K219*K339,2)</x:f>
        <x:v>205.19</x:v>
      </x:c>
      <x:c r="L19" s="3" t="n">
        <x:f>ROUND(L219*L339,2)</x:f>
        <x:v>139.78</x:v>
      </x:c>
      <x:c r="M19" s="3" t="n">
        <x:f>ROUND(M219*M339,2)</x:f>
        <x:v>198.03</x:v>
      </x:c>
      <x:c r="N19" s="3" t="n">
        <x:f>ROUND(N219*N339,2)</x:f>
        <x:v>174.47</x:v>
      </x:c>
      <x:c r="O19" s="3" t="n">
        <x:f>SUM(C19:N19)</x:f>
        <x:v>2545.6200000000003</x:v>
      </x:c>
      <x:c r="P19" s="2" t="str">
        <x:v>EXP3.019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592.43</x:v>
      </x:c>
      <x:c r="D20" s="3" t="n">
        <x:f>ROUND('摊销明细'!D33/3,2)</x:f>
        <x:v>592.43</x:v>
      </x:c>
      <x:c r="E20" s="3" t="n">
        <x:f>ROUND('摊销明细'!E33/3,2)</x:f>
        <x:v>592.43</x:v>
      </x:c>
      <x:c r="F20" s="3" t="n">
        <x:f>ROUND('摊销明细'!F33/3,2)</x:f>
        <x:v>592.43</x:v>
      </x:c>
      <x:c r="G20" s="3" t="n">
        <x:f>ROUND('摊销明细'!G33/3,2)</x:f>
        <x:v>592.43</x:v>
      </x:c>
      <x:c r="H20" s="3" t="n">
        <x:f>ROUND('摊销明细'!H33/3,2)</x:f>
        <x:v>592.43</x:v>
      </x:c>
      <x:c r="I20" s="3" t="n">
        <x:f>ROUND('摊销明细'!I33/3,2)</x:f>
        <x:v>592.43</x:v>
      </x:c>
      <x:c r="J20" s="3" t="n">
        <x:f>ROUND('摊销明细'!J33/3,2)</x:f>
        <x:v>592.43</x:v>
      </x:c>
      <x:c r="K20" s="3" t="n">
        <x:f>ROUND('摊销明细'!K33/3,2)</x:f>
        <x:v>592.43</x:v>
      </x:c>
      <x:c r="L20" s="3" t="n">
        <x:f>ROUND('摊销明细'!L33/3,2)</x:f>
        <x:v>592.43</x:v>
      </x:c>
      <x:c r="M20" s="3" t="n">
        <x:f>ROUND('摊销明细'!M33/3,2)</x:f>
        <x:v>592.43</x:v>
      </x:c>
      <x:c r="N20" s="3" t="n">
        <x:f>ROUND('摊销明细'!N33/3,2)</x:f>
        <x:v>592.43</x:v>
      </x:c>
      <x:c r="O20" s="3" t="n">
        <x:f>SUM(C20:N20)</x:f>
        <x:v>7109.160000000001</x:v>
      </x:c>
      <x:c r="P20" s="2" t="str">
        <x:v>EXP3.020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75.72</x:v>
      </x:c>
      <x:c r="D21" s="3" t="n">
        <x:f>ROUND(D221*D341,2)</x:f>
        <x:v>212.94</x:v>
      </x:c>
      <x:c r="E21" s="3" t="n">
        <x:f>ROUND(E221*E341,2)</x:f>
        <x:v>282.35</x:v>
      </x:c>
      <x:c r="F21" s="3" t="n">
        <x:f>ROUND(F221*F341,2)</x:f>
        <x:v>359.12</x:v>
      </x:c>
      <x:c r="G21" s="3" t="n">
        <x:f>ROUND(G221*G341,2)</x:f>
        <x:v>88.26</x:v>
      </x:c>
      <x:c r="H21" s="3" t="n">
        <x:f>ROUND(H221*H341,2)</x:f>
        <x:v>348.73</x:v>
      </x:c>
      <x:c r="I21" s="3" t="n">
        <x:f>ROUND(I221*I341,2)</x:f>
        <x:v>245.73</x:v>
      </x:c>
      <x:c r="J21" s="3" t="n">
        <x:f>ROUND(J221*J341,2)</x:f>
        <x:v>117.54</x:v>
      </x:c>
      <x:c r="K21" s="3" t="n">
        <x:f>ROUND(K221*K341,2)</x:f>
        <x:v>138.8</x:v>
      </x:c>
      <x:c r="L21" s="3" t="n">
        <x:f>ROUND(L221*L341,2)</x:f>
        <x:v>309.02</x:v>
      </x:c>
      <x:c r="M21" s="3" t="n">
        <x:f>ROUND(M221*M341,2)</x:f>
        <x:v>322.94</x:v>
      </x:c>
      <x:c r="N21" s="3" t="n">
        <x:f>ROUND(N221*N341,2)</x:f>
        <x:v>276.66</x:v>
      </x:c>
      <x:c r="O21" s="3" t="n">
        <x:f>SUM(C21:N21)</x:f>
        <x:v>2777.81</x:v>
      </x:c>
      <x:c r="P21" s="2" t="str">
        <x:v>EXP3.021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147.45</x:v>
      </x:c>
      <x:c r="D22" s="3" t="n">
        <x:f>ROUND(D222*D342,2)</x:f>
        <x:v>319.15</x:v>
      </x:c>
      <x:c r="E22" s="3" t="n">
        <x:f>ROUND(E222*E342,2)</x:f>
        <x:v>59.16</x:v>
      </x:c>
      <x:c r="F22" s="3" t="n">
        <x:f>ROUND(F222*F342,2)</x:f>
        <x:v>135.26</x:v>
      </x:c>
      <x:c r="G22" s="3" t="n">
        <x:f>ROUND(G222*G342,2)</x:f>
        <x:v>250.74</x:v>
      </x:c>
      <x:c r="H22" s="3" t="n">
        <x:f>ROUND(H222*H342,2)</x:f>
        <x:v>51.59</x:v>
      </x:c>
      <x:c r="I22" s="3" t="n">
        <x:f>ROUND(I222*I342,2)</x:f>
        <x:v>83.14</x:v>
      </x:c>
      <x:c r="J22" s="3" t="n">
        <x:f>ROUND(J222*J342,2)</x:f>
        <x:v>321.4</x:v>
      </x:c>
      <x:c r="K22" s="3" t="n">
        <x:f>ROUND(K222*K342,2)</x:f>
        <x:v>292.63</x:v>
      </x:c>
      <x:c r="L22" s="3" t="n">
        <x:f>ROUND(L222*L342,2)</x:f>
        <x:v>64.74</x:v>
      </x:c>
      <x:c r="M22" s="3" t="n">
        <x:f>ROUND(M222*M342,2)</x:f>
        <x:v>119.01</x:v>
      </x:c>
      <x:c r="N22" s="3" t="n">
        <x:f>ROUND(N222*N342,2)</x:f>
        <x:v>437.14</x:v>
      </x:c>
      <x:c r="O22" s="3" t="n">
        <x:f>SUM(C22:N22)</x:f>
        <x:v>2281.41</x:v>
      </x:c>
      <x:c r="P22" s="2" t="str">
        <x:v>EXP3.022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297.34</x:v>
      </x:c>
      <x:c r="D23" s="3" t="n">
        <x:f>ROUND(D223*D343,2)</x:f>
        <x:v>194.53</x:v>
      </x:c>
      <x:c r="E23" s="3" t="n">
        <x:f>ROUND(E223*E343,2)</x:f>
        <x:v>241.35</x:v>
      </x:c>
      <x:c r="F23" s="3" t="n">
        <x:f>ROUND(F223*F343,2)</x:f>
        <x:v>237.36</x:v>
      </x:c>
      <x:c r="G23" s="3" t="n">
        <x:f>ROUND(G223*G343,2)</x:f>
        <x:v>52.5</x:v>
      </x:c>
      <x:c r="H23" s="3" t="n">
        <x:f>ROUND(H223*H343,2)</x:f>
        <x:v>217.22</x:v>
      </x:c>
      <x:c r="I23" s="3" t="n">
        <x:f>ROUND(I223*I343,2)</x:f>
        <x:v>320.21</x:v>
      </x:c>
      <x:c r="J23" s="3" t="n">
        <x:f>ROUND(J223*J343,2)</x:f>
        <x:v>414.67</x:v>
      </x:c>
      <x:c r="K23" s="3" t="n">
        <x:f>ROUND(K223*K343,2)</x:f>
        <x:v>183.65</x:v>
      </x:c>
      <x:c r="L23" s="3" t="n">
        <x:f>ROUND(L223*L343,2)</x:f>
        <x:v>197.84</x:v>
      </x:c>
      <x:c r="M23" s="3" t="n">
        <x:f>ROUND(M223*M343,2)</x:f>
        <x:v>312.01</x:v>
      </x:c>
      <x:c r="N23" s="3" t="n">
        <x:f>ROUND(N223*N343,2)</x:f>
        <x:v>230.17</x:v>
      </x:c>
      <x:c r="O23" s="3" t="n">
        <x:f>SUM(C23:N23)</x:f>
        <x:v>2898.8500000000004</x:v>
      </x:c>
      <x:c r="P23" s="2" t="str">
        <x:v>EXP3.023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155.1</x:v>
      </x:c>
      <x:c r="D24" s="3" t="n">
        <x:f>ROUND(D224*D344,2)</x:f>
        <x:v>429.91</x:v>
      </x:c>
      <x:c r="E24" s="3" t="n">
        <x:f>ROUND(E224*E344,2)</x:f>
        <x:v>317.68</x:v>
      </x:c>
      <x:c r="F24" s="3" t="n">
        <x:f>ROUND(F224*F344,2)</x:f>
        <x:v>495.5</x:v>
      </x:c>
      <x:c r="G24" s="3" t="n">
        <x:f>ROUND(G224*G344,2)</x:f>
        <x:v>192.19</x:v>
      </x:c>
      <x:c r="H24" s="3" t="n">
        <x:f>ROUND(H224*H344,2)</x:f>
        <x:v>295.23</x:v>
      </x:c>
      <x:c r="I24" s="3" t="n">
        <x:f>ROUND(I224*I344,2)</x:f>
        <x:v>130.55</x:v>
      </x:c>
      <x:c r="J24" s="3" t="n">
        <x:f>ROUND(J224*J344,2)</x:f>
        <x:v>236.06</x:v>
      </x:c>
      <x:c r="K24" s="3" t="n">
        <x:f>ROUND(K224*K344,2)</x:f>
        <x:v>326.8</x:v>
      </x:c>
      <x:c r="L24" s="3" t="n">
        <x:f>ROUND(L224*L344,2)</x:f>
        <x:v>196.8</x:v>
      </x:c>
      <x:c r="M24" s="3" t="n">
        <x:f>ROUND(M224*M344,2)</x:f>
        <x:v>299.17</x:v>
      </x:c>
      <x:c r="N24" s="3" t="n">
        <x:f>ROUND(N224*N344,2)</x:f>
        <x:v>90.57</x:v>
      </x:c>
      <x:c r="O24" s="3" t="n">
        <x:f>SUM(C24:N24)</x:f>
        <x:v>3165.560000000001</x:v>
      </x:c>
      <x:c r="P24" s="2" t="str">
        <x:v>EXP3.024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294.55</x:v>
      </x:c>
      <x:c r="D25" s="3" t="n">
        <x:f>ROUND(D225*D345,2)</x:f>
        <x:v>365.07</x:v>
      </x:c>
      <x:c r="E25" s="3" t="n">
        <x:f>ROUND(E225*E345,2)</x:f>
        <x:v>398.87</x:v>
      </x:c>
      <x:c r="F25" s="3" t="n">
        <x:f>ROUND(F225*F345,2)</x:f>
        <x:v>526.12</x:v>
      </x:c>
      <x:c r="G25" s="3" t="n">
        <x:f>ROUND(G225*G345,2)</x:f>
        <x:v>242.39</x:v>
      </x:c>
      <x:c r="H25" s="3" t="n">
        <x:f>ROUND(H225*H345,2)</x:f>
        <x:v>186.68</x:v>
      </x:c>
      <x:c r="I25" s="3" t="n">
        <x:f>ROUND(I225*I345,2)</x:f>
        <x:v>212.45</x:v>
      </x:c>
      <x:c r="J25" s="3" t="n">
        <x:f>ROUND(J225*J345,2)</x:f>
        <x:v>458.88</x:v>
      </x:c>
      <x:c r="K25" s="3" t="n">
        <x:f>ROUND(K225*K345,2)</x:f>
        <x:v>315.11</x:v>
      </x:c>
      <x:c r="L25" s="3" t="n">
        <x:f>ROUND(L225*L345,2)</x:f>
        <x:v>157.95</x:v>
      </x:c>
      <x:c r="M25" s="3" t="n">
        <x:f>ROUND(M225*M345,2)</x:f>
        <x:v>122.57</x:v>
      </x:c>
      <x:c r="N25" s="3" t="n">
        <x:f>ROUND(N225*N345,2)</x:f>
        <x:v>387.32</x:v>
      </x:c>
      <x:c r="O25" s="3" t="n">
        <x:f>SUM(C25:N25)</x:f>
        <x:v>3667.9600000000005</x:v>
      </x:c>
      <x:c r="P25" s="2" t="str">
        <x:v>EXP3.025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104.87</x:v>
      </x:c>
      <x:c r="D26" s="3" t="n">
        <x:f>ROUND(D226*D346,2)</x:f>
        <x:v>167.19</x:v>
      </x:c>
      <x:c r="E26" s="3" t="n">
        <x:f>ROUND(E226*E346,2)</x:f>
        <x:v>169.08</x:v>
      </x:c>
      <x:c r="F26" s="3" t="n">
        <x:f>ROUND(F226*F346,2)</x:f>
        <x:v>185.64</x:v>
      </x:c>
      <x:c r="G26" s="3" t="n">
        <x:f>ROUND(G226*G346,2)</x:f>
        <x:v>325.46</x:v>
      </x:c>
      <x:c r="H26" s="3" t="n">
        <x:f>ROUND(H226*H346,2)</x:f>
        <x:v>332.08</x:v>
      </x:c>
      <x:c r="I26" s="3" t="n">
        <x:f>ROUND(I226*I346,2)</x:f>
        <x:v>81.87</x:v>
      </x:c>
      <x:c r="J26" s="3" t="n">
        <x:f>ROUND(J226*J346,2)</x:f>
        <x:v>408.07</x:v>
      </x:c>
      <x:c r="K26" s="3" t="n">
        <x:f>ROUND(K226*K346,2)</x:f>
        <x:v>215.54</x:v>
      </x:c>
      <x:c r="L26" s="3" t="n">
        <x:f>ROUND(L226*L346,2)</x:f>
        <x:v>84.84</x:v>
      </x:c>
      <x:c r="M26" s="3" t="n">
        <x:f>ROUND(M226*M346,2)</x:f>
        <x:v>96.57</x:v>
      </x:c>
      <x:c r="N26" s="3" t="n">
        <x:f>ROUND(N226*N346,2)</x:f>
        <x:v>220.97</x:v>
      </x:c>
      <x:c r="O26" s="3" t="n">
        <x:f>SUM(C26:N26)</x:f>
        <x:v>2392.18</x:v>
      </x:c>
      <x:c r="P26" s="2" t="str">
        <x:v>EXP3.026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124.38</x:v>
      </x:c>
      <x:c r="D27" s="3" t="n">
        <x:f>ROUND(D227*D347,2)</x:f>
        <x:v>250.51</x:v>
      </x:c>
      <x:c r="E27" s="3" t="n">
        <x:f>ROUND(E227*E347,2)</x:f>
        <x:v>469.94</x:v>
      </x:c>
      <x:c r="F27" s="3" t="n">
        <x:f>ROUND(F227*F347,2)</x:f>
        <x:v>126.68</x:v>
      </x:c>
      <x:c r="G27" s="3" t="n">
        <x:f>ROUND(G227*G347,2)</x:f>
        <x:v>156.99</x:v>
      </x:c>
      <x:c r="H27" s="3" t="n">
        <x:f>ROUND(H227*H347,2)</x:f>
        <x:v>187.24</x:v>
      </x:c>
      <x:c r="I27" s="3" t="n">
        <x:f>ROUND(I227*I347,2)</x:f>
        <x:v>132.26</x:v>
      </x:c>
      <x:c r="J27" s="3" t="n">
        <x:f>ROUND(J227*J347,2)</x:f>
        <x:v>150.97</x:v>
      </x:c>
      <x:c r="K27" s="3" t="n">
        <x:f>ROUND(K227*K347,2)</x:f>
        <x:v>253.1</x:v>
      </x:c>
      <x:c r="L27" s="3" t="n">
        <x:f>ROUND(L227*L347,2)</x:f>
        <x:v>274.99</x:v>
      </x:c>
      <x:c r="M27" s="3" t="n">
        <x:f>ROUND(M227*M347,2)</x:f>
        <x:v>221.06</x:v>
      </x:c>
      <x:c r="N27" s="3" t="n">
        <x:f>ROUND(N227*N347,2)</x:f>
        <x:v>199.7</x:v>
      </x:c>
      <x:c r="O27" s="3" t="n">
        <x:f>SUM(C27:N27)</x:f>
        <x:v>2547.8199999999997</x:v>
      </x:c>
      <x:c r="P27" s="2" t="str">
        <x:v>EXP3.027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307.28</x:v>
      </x:c>
      <x:c r="D28" s="3" t="n">
        <x:f>ROUND(D228*D348,2)</x:f>
        <x:v>110.02</x:v>
      </x:c>
      <x:c r="E28" s="3" t="n">
        <x:f>ROUND(E228*E348,2)</x:f>
        <x:v>258.82</x:v>
      </x:c>
      <x:c r="F28" s="3" t="n">
        <x:f>ROUND(F228*F348,2)</x:f>
        <x:v>507.22</x:v>
      </x:c>
      <x:c r="G28" s="3" t="n">
        <x:f>ROUND(G228*G348,2)</x:f>
        <x:v>216.58</x:v>
      </x:c>
      <x:c r="H28" s="3" t="n">
        <x:f>ROUND(H228*H348,2)</x:f>
        <x:v>219.06</x:v>
      </x:c>
      <x:c r="I28" s="3" t="n">
        <x:f>ROUND(I228*I348,2)</x:f>
        <x:v>290.43</x:v>
      </x:c>
      <x:c r="J28" s="3" t="n">
        <x:f>ROUND(J228*J348,2)</x:f>
        <x:v>407.75</x:v>
      </x:c>
      <x:c r="K28" s="3" t="n">
        <x:f>ROUND(K228*K348,2)</x:f>
        <x:v>182.57</x:v>
      </x:c>
      <x:c r="L28" s="3" t="n">
        <x:f>ROUND(L228*L348,2)</x:f>
        <x:v>140.08</x:v>
      </x:c>
      <x:c r="M28" s="3" t="n">
        <x:f>ROUND(M228*M348,2)</x:f>
        <x:v>360.46</x:v>
      </x:c>
      <x:c r="N28" s="3" t="n">
        <x:f>ROUND(N228*N348,2)</x:f>
        <x:v>379.83</x:v>
      </x:c>
      <x:c r="O28" s="3" t="n">
        <x:f>SUM(C28:N28)</x:f>
        <x:v>3380.1</x:v>
      </x:c>
      <x:c r="P28" s="2" t="str">
        <x:v>EXP3.028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EXP3.029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152.91</x:v>
      </x:c>
      <x:c r="D30" s="6" t="n">
        <x:f>ROUND(D230*D350,2)</x:f>
        <x:v>367.67</x:v>
      </x:c>
      <x:c r="E30" s="6" t="n">
        <x:f>ROUND(E230*E350,2)</x:f>
        <x:v>394.94</x:v>
      </x:c>
      <x:c r="F30" s="6" t="n">
        <x:f>ROUND(F230*F350,2)</x:f>
        <x:v>135.51</x:v>
      </x:c>
      <x:c r="G30" s="6" t="n">
        <x:f>ROUND(G230*G350,2)</x:f>
        <x:v>238.3</x:v>
      </x:c>
      <x:c r="H30" s="6" t="n">
        <x:f>ROUND(H230*H350,2)</x:f>
        <x:v>448.75</x:v>
      </x:c>
      <x:c r="I30" s="6" t="n">
        <x:f>ROUND(I230*I350,2)</x:f>
        <x:v>300.35</x:v>
      </x:c>
      <x:c r="J30" s="6" t="n">
        <x:f>ROUND(J230*J350,2)</x:f>
        <x:v>256.19</x:v>
      </x:c>
      <x:c r="K30" s="6" t="n">
        <x:f>ROUND(K230*K350,2)</x:f>
        <x:v>83.25</x:v>
      </x:c>
      <x:c r="L30" s="6" t="n">
        <x:f>ROUND(L230*L350,2)</x:f>
        <x:v>159.02</x:v>
      </x:c>
      <x:c r="M30" s="6" t="n">
        <x:f>ROUND(M230*M350,2)</x:f>
        <x:v>254.25</x:v>
      </x:c>
      <x:c r="N30" s="6" t="n">
        <x:f>ROUND(N230*N350,2)</x:f>
        <x:v>312.95</x:v>
      </x:c>
      <x:c r="O30" s="6" t="n">
        <x:f>SUM(C30:N30)</x:f>
        <x:v>3104.0899999999997</x:v>
      </x:c>
      <x:c r="P30" s="2" t="str">
        <x:v>EXP3.030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195.36</x:v>
      </x:c>
      <x:c r="D31" s="3" t="n">
        <x:f>ROUND(D231*D351,2)</x:f>
        <x:v>268.61</x:v>
      </x:c>
      <x:c r="E31" s="3" t="n">
        <x:f>ROUND(E231*E351,2)</x:f>
        <x:v>109.19</x:v>
      </x:c>
      <x:c r="F31" s="3" t="n">
        <x:f>ROUND(F231*F351,2)</x:f>
        <x:v>199.64</x:v>
      </x:c>
      <x:c r="G31" s="3" t="n">
        <x:f>ROUND(G231*G351,2)</x:f>
        <x:v>108.13</x:v>
      </x:c>
      <x:c r="H31" s="3" t="n">
        <x:f>ROUND(H231*H351,2)</x:f>
        <x:v>244.03</x:v>
      </x:c>
      <x:c r="I31" s="3" t="n">
        <x:f>ROUND(I231*I351,2)</x:f>
        <x:v>281.94</x:v>
      </x:c>
      <x:c r="J31" s="3" t="n">
        <x:f>ROUND(J231*J351,2)</x:f>
        <x:v>136.87</x:v>
      </x:c>
      <x:c r="K31" s="3" t="n">
        <x:f>ROUND(K231*K351,2)</x:f>
        <x:v>208.07</x:v>
      </x:c>
      <x:c r="L31" s="3" t="n">
        <x:f>ROUND(L231*L351,2)</x:f>
        <x:v>80.85</x:v>
      </x:c>
      <x:c r="M31" s="3" t="n">
        <x:f>ROUND(M231*M351,2)</x:f>
        <x:v>115.66</x:v>
      </x:c>
      <x:c r="N31" s="3" t="n">
        <x:f>ROUND(N231*N351,2)</x:f>
        <x:v>256.55</x:v>
      </x:c>
      <x:c r="O31" s="3" t="n">
        <x:f>SUM(C31:N31)</x:f>
        <x:v>2204.9</x:v>
      </x:c>
      <x:c r="P31" s="2" t="str">
        <x:v>EXP3.031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152.64</x:v>
      </x:c>
      <x:c r="D32" s="3" t="n">
        <x:f>ROUND(D232*D352,2)</x:f>
        <x:v>434.8</x:v>
      </x:c>
      <x:c r="E32" s="3" t="n">
        <x:f>ROUND(E232*E352,2)</x:f>
        <x:v>340.19</x:v>
      </x:c>
      <x:c r="F32" s="3" t="n">
        <x:f>ROUND(F232*F352,2)</x:f>
        <x:v>60.74</x:v>
      </x:c>
      <x:c r="G32" s="3" t="n">
        <x:f>ROUND(G232*G352,2)</x:f>
        <x:v>158.51</x:v>
      </x:c>
      <x:c r="H32" s="3" t="n">
        <x:f>ROUND(H232*H352,2)</x:f>
        <x:v>84.02</x:v>
      </x:c>
      <x:c r="I32" s="3" t="n">
        <x:f>ROUND(I232*I352,2)</x:f>
        <x:v>420.17</x:v>
      </x:c>
      <x:c r="J32" s="3" t="n">
        <x:f>ROUND(J232*J352,2)</x:f>
        <x:v>197.63</x:v>
      </x:c>
      <x:c r="K32" s="3" t="n">
        <x:f>ROUND(K232*K352,2)</x:f>
        <x:v>67.72</x:v>
      </x:c>
      <x:c r="L32" s="3" t="n">
        <x:f>ROUND(L232*L352,2)</x:f>
        <x:v>361.51</x:v>
      </x:c>
      <x:c r="M32" s="3" t="n">
        <x:f>ROUND(M232*M352,2)</x:f>
        <x:v>137.29</x:v>
      </x:c>
      <x:c r="N32" s="3" t="n">
        <x:f>ROUND(N232*N352,2)</x:f>
        <x:v>176.1</x:v>
      </x:c>
      <x:c r="O32" s="3" t="n">
        <x:f>SUM(C32:N32)</x:f>
        <x:v>2591.32</x:v>
      </x:c>
      <x:c r="P32" s="2" t="str">
        <x:v>EXP3.032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254.54</x:v>
      </x:c>
      <x:c r="D33" s="3" t="n">
        <x:f>ROUND(D233*D353,2)</x:f>
        <x:v>440.66</x:v>
      </x:c>
      <x:c r="E33" s="3" t="n">
        <x:f>ROUND(E233*E353,2)</x:f>
        <x:v>154.53</x:v>
      </x:c>
      <x:c r="F33" s="3" t="n">
        <x:f>ROUND(F233*F353,2)</x:f>
        <x:v>393.67</x:v>
      </x:c>
      <x:c r="G33" s="3" t="n">
        <x:f>ROUND(G233*G353,2)</x:f>
        <x:v>461.18</x:v>
      </x:c>
      <x:c r="H33" s="3" t="n">
        <x:f>ROUND(H233*H353,2)</x:f>
        <x:v>488.14</x:v>
      </x:c>
      <x:c r="I33" s="3" t="n">
        <x:f>ROUND(I233*I353,2)</x:f>
        <x:v>131.95</x:v>
      </x:c>
      <x:c r="J33" s="3" t="n">
        <x:f>ROUND(J233*J353,2)</x:f>
        <x:v>346.28</x:v>
      </x:c>
      <x:c r="K33" s="3" t="n">
        <x:f>ROUND(K233*K353,2)</x:f>
        <x:v>148.57</x:v>
      </x:c>
      <x:c r="L33" s="3" t="n">
        <x:f>ROUND(L233*L353,2)</x:f>
        <x:v>454.21</x:v>
      </x:c>
      <x:c r="M33" s="3" t="n">
        <x:f>ROUND(M233*M353,2)</x:f>
        <x:v>164.48</x:v>
      </x:c>
      <x:c r="N33" s="3" t="n">
        <x:f>ROUND(N233*N353,2)</x:f>
        <x:v>43.57</x:v>
      </x:c>
      <x:c r="O33" s="3" t="n">
        <x:f>SUM(C33:N33)</x:f>
        <x:v>3481.78</x:v>
      </x:c>
      <x:c r="P33" s="2" t="str">
        <x:v>EXP3.033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6726.79</x:v>
      </x:c>
      <x:c r="D34" s="3" t="n">
        <x:f>SUM(D4:D33)</x:f>
        <x:v>7351.449999999999</x:v>
      </x:c>
      <x:c r="E34" s="3" t="n">
        <x:f>SUM(E4:E33)</x:f>
        <x:v>7885.919999999998</x:v>
      </x:c>
      <x:c r="F34" s="3" t="n">
        <x:f>SUM(F4:F33)</x:f>
        <x:v>7897.040000000001</x:v>
      </x:c>
      <x:c r="G34" s="3" t="n">
        <x:f>SUM(G4:G33)</x:f>
        <x:v>7408.12</x:v>
      </x:c>
      <x:c r="H34" s="3" t="n">
        <x:f>SUM(H4:H33)</x:f>
        <x:v>6947.590000000003</x:v>
      </x:c>
      <x:c r="I34" s="3" t="n">
        <x:f>SUM(I4:I33)</x:f>
        <x:v>7529.5599999999995</x:v>
      </x:c>
      <x:c r="J34" s="3" t="n">
        <x:f>SUM(J4:J33)</x:f>
        <x:v>7605.079999999999</x:v>
      </x:c>
      <x:c r="K34" s="3" t="n">
        <x:f>SUM(K4:K33)</x:f>
        <x:v>7460.719999999999</x:v>
      </x:c>
      <x:c r="L34" s="3" t="n">
        <x:f>SUM(L4:L33)</x:f>
        <x:v>6376.190000000001</x:v>
      </x:c>
      <x:c r="M34" s="3" t="n">
        <x:f>SUM(M4:M33)</x:f>
        <x:v>6177.54</x:v>
      </x:c>
      <x:c r="N34" s="3" t="n">
        <x:f>SUM(N4:N33)</x:f>
        <x:v>6202.859999999999</x:v>
      </x:c>
      <x:c r="O34" s="3" t="n">
        <x:f>SUM(C34:N34)</x:f>
        <x:v>85568.86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43.64</x:v>
      </x:c>
      <x:c r="D204" s="4" t="n">
        <x:v>67.41</x:v>
      </x:c>
      <x:c r="E204" s="4" t="n">
        <x:v>32.84</x:v>
      </x:c>
      <x:c r="F204" s="4" t="n">
        <x:v>41.28</x:v>
      </x:c>
      <x:c r="G204" s="4" t="n">
        <x:v>57.36</x:v>
      </x:c>
      <x:c r="H204" s="4" t="n">
        <x:v>23.79</x:v>
      </x:c>
      <x:c r="I204" s="4" t="n">
        <x:v>44.12</x:v>
      </x:c>
      <x:c r="J204" s="4" t="n">
        <x:v>47.32</x:v>
      </x:c>
      <x:c r="K204" s="4" t="n">
        <x:v>43.22</x:v>
      </x:c>
      <x:c r="L204" s="4" t="n">
        <x:v>56.05</x:v>
      </x:c>
      <x:c r="M204" s="4" t="n">
        <x:v>23.09</x:v>
      </x:c>
      <x:c r="N204" s="4" t="n">
        <x:v>32.44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28.04</x:v>
      </x:c>
      <x:c r="D205" s="4" t="n">
        <x:v>50.76</x:v>
      </x:c>
      <x:c r="E205" s="4" t="n">
        <x:v>52.14</x:v>
      </x:c>
      <x:c r="F205" s="4" t="n">
        <x:v>43.61</x:v>
      </x:c>
      <x:c r="G205" s="4" t="n">
        <x:v>22.99</x:v>
      </x:c>
      <x:c r="H205" s="4" t="n">
        <x:v>58.72</x:v>
      </x:c>
      <x:c r="I205" s="4" t="n">
        <x:v>54.3</x:v>
      </x:c>
      <x:c r="J205" s="4" t="n">
        <x:v>32.34</x:v>
      </x:c>
      <x:c r="K205" s="4" t="n">
        <x:v>51.59</x:v>
      </x:c>
      <x:c r="L205" s="4" t="n">
        <x:v>51.7</x:v>
      </x:c>
      <x:c r="M205" s="4" t="n">
        <x:v>45.05</x:v>
      </x:c>
      <x:c r="N205" s="4" t="n">
        <x:v>24.26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29.57</x:v>
      </x:c>
      <x:c r="D206" s="4" t="n">
        <x:v>63.82</x:v>
      </x:c>
      <x:c r="E206" s="4" t="n">
        <x:v>26.01</x:v>
      </x:c>
      <x:c r="F206" s="4" t="n">
        <x:v>44.68</x:v>
      </x:c>
      <x:c r="G206" s="4" t="n">
        <x:v>64.24</x:v>
      </x:c>
      <x:c r="H206" s="4" t="n">
        <x:v>40.72</x:v>
      </x:c>
      <x:c r="I206" s="4" t="n">
        <x:v>30.93</x:v>
      </x:c>
      <x:c r="J206" s="4" t="n">
        <x:v>20.95</x:v>
      </x:c>
      <x:c r="K206" s="4" t="n">
        <x:v>25.59</x:v>
      </x:c>
      <x:c r="L206" s="4" t="n">
        <x:v>61.26</x:v>
      </x:c>
      <x:c r="M206" s="4" t="n">
        <x:v>55.28</x:v>
      </x:c>
      <x:c r="N206" s="4" t="n">
        <x:v>18.02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50.98</x:v>
      </x:c>
      <x:c r="D207" s="4" t="n">
        <x:v>36.63</x:v>
      </x:c>
      <x:c r="E207" s="4" t="n">
        <x:v>32.52</x:v>
      </x:c>
      <x:c r="F207" s="4" t="n">
        <x:v>49.65</x:v>
      </x:c>
      <x:c r="G207" s="4" t="n">
        <x:v>27</x:v>
      </x:c>
      <x:c r="H207" s="4" t="n">
        <x:v>40.19</x:v>
      </x:c>
      <x:c r="I207" s="4" t="n">
        <x:v>33.42</x:v>
      </x:c>
      <x:c r="J207" s="4" t="n">
        <x:v>64.74</x:v>
      </x:c>
      <x:c r="K207" s="4" t="n">
        <x:v>39.71</x:v>
      </x:c>
      <x:c r="L207" s="4" t="n">
        <x:v>30.51</x:v>
      </x:c>
      <x:c r="M207" s="4" t="n">
        <x:v>28.91</x:v>
      </x:c>
      <x:c r="N207" s="4" t="n">
        <x:v>49.96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43.95</x:v>
      </x:c>
      <x:c r="D208" s="4" t="n">
        <x:v>31.73</x:v>
      </x:c>
      <x:c r="E208" s="4" t="n">
        <x:v>42.63</x:v>
      </x:c>
      <x:c r="F208" s="4" t="n">
        <x:v>34.96</x:v>
      </x:c>
      <x:c r="G208" s="4" t="n">
        <x:v>32.44</x:v>
      </x:c>
      <x:c r="H208" s="4" t="n">
        <x:v>27.86</x:v>
      </x:c>
      <x:c r="I208" s="4" t="n">
        <x:v>39.77</x:v>
      </x:c>
      <x:c r="J208" s="4" t="n">
        <x:v>52.88</x:v>
      </x:c>
      <x:c r="K208" s="4" t="n">
        <x:v>42.67</x:v>
      </x:c>
      <x:c r="L208" s="4" t="n">
        <x:v>48.37</x:v>
      </x:c>
      <x:c r="M208" s="4" t="n">
        <x:v>22.53</x:v>
      </x:c>
      <x:c r="N208" s="4" t="n">
        <x:v>61.72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53.19</x:v>
      </x:c>
      <x:c r="D209" s="4" t="n">
        <x:v>66.78</x:v>
      </x:c>
      <x:c r="E209" s="4" t="n">
        <x:v>47.96</x:v>
      </x:c>
      <x:c r="F209" s="4" t="n">
        <x:v>29.56</x:v>
      </x:c>
      <x:c r="G209" s="4" t="n">
        <x:v>34.03</x:v>
      </x:c>
      <x:c r="H209" s="4" t="n">
        <x:v>36.14</x:v>
      </x:c>
      <x:c r="I209" s="4" t="n">
        <x:v>60.68</x:v>
      </x:c>
      <x:c r="J209" s="4" t="n">
        <x:v>58.91</x:v>
      </x:c>
      <x:c r="K209" s="4" t="n">
        <x:v>60.24</x:v>
      </x:c>
      <x:c r="L209" s="4" t="n">
        <x:v>35.54</x:v>
      </x:c>
      <x:c r="M209" s="4" t="n">
        <x:v>67.55</x:v>
      </x:c>
      <x:c r="N209" s="4" t="n">
        <x:v>50.21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20.03</x:v>
      </x:c>
      <x:c r="D210" s="4" t="n">
        <x:v>25.73</x:v>
      </x:c>
      <x:c r="E210" s="4" t="n">
        <x:v>53.8</x:v>
      </x:c>
      <x:c r="F210" s="4" t="n">
        <x:v>49.38</x:v>
      </x:c>
      <x:c r="G210" s="4" t="n">
        <x:v>57.56</x:v>
      </x:c>
      <x:c r="H210" s="4" t="n">
        <x:v>47.69</x:v>
      </x:c>
      <x:c r="I210" s="4" t="n">
        <x:v>46.08</x:v>
      </x:c>
      <x:c r="J210" s="4" t="n">
        <x:v>31.18</x:v>
      </x:c>
      <x:c r="K210" s="4" t="n">
        <x:v>60.64</x:v>
      </x:c>
      <x:c r="L210" s="4" t="n">
        <x:v>28.02</x:v>
      </x:c>
      <x:c r="M210" s="4" t="n">
        <x:v>59.91</x:v>
      </x:c>
      <x:c r="N210" s="4" t="n">
        <x:v>25.92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47.55</x:v>
      </x:c>
      <x:c r="D211" s="4" t="n">
        <x:v>31.82</x:v>
      </x:c>
      <x:c r="E211" s="4" t="n">
        <x:v>56.58</x:v>
      </x:c>
      <x:c r="F211" s="4" t="n">
        <x:v>37.18</x:v>
      </x:c>
      <x:c r="G211" s="4" t="n">
        <x:v>56.42</x:v>
      </x:c>
      <x:c r="H211" s="4" t="n">
        <x:v>23.9</x:v>
      </x:c>
      <x:c r="I211" s="4" t="n">
        <x:v>63.51</x:v>
      </x:c>
      <x:c r="J211" s="4" t="n">
        <x:v>34.47</x:v>
      </x:c>
      <x:c r="K211" s="4" t="n">
        <x:v>56.83</x:v>
      </x:c>
      <x:c r="L211" s="4" t="n">
        <x:v>19.95</x:v>
      </x:c>
      <x:c r="M211" s="4" t="n">
        <x:v>64.38</x:v>
      </x:c>
      <x:c r="N211" s="4" t="n">
        <x:v>45.07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33.54</x:v>
      </x:c>
      <x:c r="D212" s="4" t="n">
        <x:v>29.18</x:v>
      </x:c>
      <x:c r="E212" s="4" t="n">
        <x:v>54.35</x:v>
      </x:c>
      <x:c r="F212" s="4" t="n">
        <x:v>61.58</x:v>
      </x:c>
      <x:c r="G212" s="4" t="n">
        <x:v>62.12</x:v>
      </x:c>
      <x:c r="H212" s="4" t="n">
        <x:v>28.56</x:v>
      </x:c>
      <x:c r="I212" s="4" t="n">
        <x:v>54.8</x:v>
      </x:c>
      <x:c r="J212" s="4" t="n">
        <x:v>66.19</x:v>
      </x:c>
      <x:c r="K212" s="4" t="n">
        <x:v>64.39</x:v>
      </x:c>
      <x:c r="L212" s="4" t="n">
        <x:v>38.69</x:v>
      </x:c>
      <x:c r="M212" s="4" t="n">
        <x:v>66.91</x:v>
      </x:c>
      <x:c r="N212" s="4" t="n">
        <x:v>23.32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48.18</x:v>
      </x:c>
      <x:c r="D213" s="4" t="n">
        <x:v>26.03</x:v>
      </x:c>
      <x:c r="E213" s="4" t="n">
        <x:v>18.67</x:v>
      </x:c>
      <x:c r="F213" s="4" t="n">
        <x:v>42.93</x:v>
      </x:c>
      <x:c r="G213" s="4" t="n">
        <x:v>47.35</x:v>
      </x:c>
      <x:c r="H213" s="4" t="n">
        <x:v>32.58</x:v>
      </x:c>
      <x:c r="I213" s="4" t="n">
        <x:v>23.95</x:v>
      </x:c>
      <x:c r="J213" s="4" t="n">
        <x:v>54</x:v>
      </x:c>
      <x:c r="K213" s="4" t="n">
        <x:v>27.96</x:v>
      </x:c>
      <x:c r="L213" s="4" t="n">
        <x:v>58.62</x:v>
      </x:c>
      <x:c r="M213" s="4" t="n">
        <x:v>25.67</x:v>
      </x:c>
      <x:c r="N213" s="4" t="n">
        <x:v>21.19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31.5</x:v>
      </x:c>
      <x:c r="D214" s="4" t="n">
        <x:v>66.46</x:v>
      </x:c>
      <x:c r="E214" s="4" t="n">
        <x:v>63.5</x:v>
      </x:c>
      <x:c r="F214" s="4" t="n">
        <x:v>52.05</x:v>
      </x:c>
      <x:c r="G214" s="4" t="n">
        <x:v>64.26</x:v>
      </x:c>
      <x:c r="H214" s="4" t="n">
        <x:v>57.34</x:v>
      </x:c>
      <x:c r="I214" s="4" t="n">
        <x:v>27.67</x:v>
      </x:c>
      <x:c r="J214" s="4" t="n">
        <x:v>58.88</x:v>
      </x:c>
      <x:c r="K214" s="4" t="n">
        <x:v>18.95</x:v>
      </x:c>
      <x:c r="L214" s="4" t="n">
        <x:v>61.52</x:v>
      </x:c>
      <x:c r="M214" s="4" t="n">
        <x:v>55.35</x:v>
      </x:c>
      <x:c r="N214" s="4" t="n">
        <x:v>18.95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64.07</x:v>
      </x:c>
      <x:c r="D215" s="4" t="n">
        <x:v>26.33</x:v>
      </x:c>
      <x:c r="E215" s="4" t="n">
        <x:v>47.76</x:v>
      </x:c>
      <x:c r="F215" s="4" t="n">
        <x:v>54.59</x:v>
      </x:c>
      <x:c r="G215" s="4" t="n">
        <x:v>57.4</x:v>
      </x:c>
      <x:c r="H215" s="4" t="n">
        <x:v>56.78</x:v>
      </x:c>
      <x:c r="I215" s="4" t="n">
        <x:v>57.43</x:v>
      </x:c>
      <x:c r="J215" s="4" t="n">
        <x:v>17.59</x:v>
      </x:c>
      <x:c r="K215" s="4" t="n">
        <x:v>52.35</x:v>
      </x:c>
      <x:c r="L215" s="4" t="n">
        <x:v>18.5</x:v>
      </x:c>
      <x:c r="M215" s="4" t="n">
        <x:v>30.16</x:v>
      </x:c>
      <x:c r="N215" s="4" t="n">
        <x:v>33.05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60.9</x:v>
      </x:c>
      <x:c r="D216" s="4" t="n">
        <x:v>45.62</x:v>
      </x:c>
      <x:c r="E216" s="4" t="n">
        <x:v>19.72</x:v>
      </x:c>
      <x:c r="F216" s="4" t="n">
        <x:v>39.71</x:v>
      </x:c>
      <x:c r="G216" s="4" t="n">
        <x:v>30.02</x:v>
      </x:c>
      <x:c r="H216" s="4" t="n">
        <x:v>63.94</x:v>
      </x:c>
      <x:c r="I216" s="4" t="n">
        <x:v>60.58</x:v>
      </x:c>
      <x:c r="J216" s="4" t="n">
        <x:v>20.22</x:v>
      </x:c>
      <x:c r="K216" s="4" t="n">
        <x:v>58.96</x:v>
      </x:c>
      <x:c r="L216" s="4" t="n">
        <x:v>58.39</x:v>
      </x:c>
      <x:c r="M216" s="4" t="n">
        <x:v>66.64</x:v>
      </x:c>
      <x:c r="N216" s="4" t="n">
        <x:v>38.91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58.38</x:v>
      </x:c>
      <x:c r="D217" s="4" t="n">
        <x:v>37.19</x:v>
      </x:c>
      <x:c r="E217" s="4" t="n">
        <x:v>26.67</x:v>
      </x:c>
      <x:c r="F217" s="4" t="n">
        <x:v>41.1</x:v>
      </x:c>
      <x:c r="G217" s="4" t="n">
        <x:v>51.46</x:v>
      </x:c>
      <x:c r="H217" s="4" t="n">
        <x:v>52.71</x:v>
      </x:c>
      <x:c r="I217" s="4" t="n">
        <x:v>27.75</x:v>
      </x:c>
      <x:c r="J217" s="4" t="n">
        <x:v>53.6</x:v>
      </x:c>
      <x:c r="K217" s="4" t="n">
        <x:v>49.24</x:v>
      </x:c>
      <x:c r="L217" s="4" t="n">
        <x:v>66.65</x:v>
      </x:c>
      <x:c r="M217" s="4" t="n">
        <x:v>22.13</x:v>
      </x:c>
      <x:c r="N217" s="4" t="n">
        <x:v>60.58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62.51</x:v>
      </x:c>
      <x:c r="D218" s="4" t="n">
        <x:v>50.43</x:v>
      </x:c>
      <x:c r="E218" s="4" t="n">
        <x:v>49.22</x:v>
      </x:c>
      <x:c r="F218" s="4" t="n">
        <x:v>59.31</x:v>
      </x:c>
      <x:c r="G218" s="4" t="n">
        <x:v>57.35</x:v>
      </x:c>
      <x:c r="H218" s="4" t="n">
        <x:v>42.04</x:v>
      </x:c>
      <x:c r="I218" s="4" t="n">
        <x:v>45.34</x:v>
      </x:c>
      <x:c r="J218" s="4" t="n">
        <x:v>50.39</x:v>
      </x:c>
      <x:c r="K218" s="4" t="n">
        <x:v>18.99</x:v>
      </x:c>
      <x:c r="L218" s="4" t="n">
        <x:v>60.54</x:v>
      </x:c>
      <x:c r="M218" s="4" t="n">
        <x:v>26.59</x:v>
      </x:c>
      <x:c r="N218" s="4" t="n">
        <x:v>53.67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61.65</x:v>
      </x:c>
      <x:c r="D219" s="4" t="n">
        <x:v>32.88</x:v>
      </x:c>
      <x:c r="E219" s="4" t="n">
        <x:v>25.57</x:v>
      </x:c>
      <x:c r="F219" s="4" t="n">
        <x:v>56.99</x:v>
      </x:c>
      <x:c r="G219" s="4" t="n">
        <x:v>34.62</x:v>
      </x:c>
      <x:c r="H219" s="4" t="n">
        <x:v>52.14</x:v>
      </x:c>
      <x:c r="I219" s="4" t="n">
        <x:v>56.11</x:v>
      </x:c>
      <x:c r="J219" s="4" t="n">
        <x:v>19.17</x:v>
      </x:c>
      <x:c r="K219" s="4" t="n">
        <x:v>62.18</x:v>
      </x:c>
      <x:c r="L219" s="4" t="n">
        <x:v>34.77</x:v>
      </x:c>
      <x:c r="M219" s="4" t="n">
        <x:v>33.91</x:v>
      </x:c>
      <x:c r="N219" s="4" t="n">
        <x:v>42.45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17.65</x:v>
      </x:c>
      <x:c r="D221" s="4" t="n">
        <x:v>57.55</x:v>
      </x:c>
      <x:c r="E221" s="4" t="n">
        <x:v>52.19</x:v>
      </x:c>
      <x:c r="F221" s="4" t="n">
        <x:v>53.52</x:v>
      </x:c>
      <x:c r="G221" s="4" t="n">
        <x:v>18.05</x:v>
      </x:c>
      <x:c r="H221" s="4" t="n">
        <x:v>43.16</x:v>
      </x:c>
      <x:c r="I221" s="4" t="n">
        <x:v>56.36</x:v>
      </x:c>
      <x:c r="J221" s="4" t="n">
        <x:v>52.71</x:v>
      </x:c>
      <x:c r="K221" s="4" t="n">
        <x:v>51.79</x:v>
      </x:c>
      <x:c r="L221" s="4" t="n">
        <x:v>44.02</x:v>
      </x:c>
      <x:c r="M221" s="4" t="n">
        <x:v>60.59</x:v>
      </x:c>
      <x:c r="N221" s="4" t="n">
        <x:v>47.7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25.12</x:v>
      </x:c>
      <x:c r="D222" s="4" t="n">
        <x:v>51.31</x:v>
      </x:c>
      <x:c r="E222" s="4" t="n">
        <x:v>17.45</x:v>
      </x:c>
      <x:c r="F222" s="4" t="n">
        <x:v>32.36</x:v>
      </x:c>
      <x:c r="G222" s="4" t="n">
        <x:v>41.72</x:v>
      </x:c>
      <x:c r="H222" s="4" t="n">
        <x:v>18.04</x:v>
      </x:c>
      <x:c r="I222" s="4" t="n">
        <x:v>22.17</x:v>
      </x:c>
      <x:c r="J222" s="4" t="n">
        <x:v>42.91</x:v>
      </x:c>
      <x:c r="K222" s="4" t="n">
        <x:v>53.4</x:v>
      </x:c>
      <x:c r="L222" s="4" t="n">
        <x:v>27.55</x:v>
      </x:c>
      <x:c r="M222" s="4" t="n">
        <x:v>17.95</x:v>
      </x:c>
      <x:c r="N222" s="4" t="n">
        <x:v>60.63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35.23</x:v>
      </x:c>
      <x:c r="D223" s="4" t="n">
        <x:v>51.6</x:v>
      </x:c>
      <x:c r="E223" s="4" t="n">
        <x:v>65.23</x:v>
      </x:c>
      <x:c r="F223" s="4" t="n">
        <x:v>53.22</x:v>
      </x:c>
      <x:c r="G223" s="4" t="n">
        <x:v>19.23</x:v>
      </x:c>
      <x:c r="H223" s="4" t="n">
        <x:v>58.55</x:v>
      </x:c>
      <x:c r="I223" s="4" t="n">
        <x:v>62.42</x:v>
      </x:c>
      <x:c r="J223" s="4" t="n">
        <x:v>48.67</x:v>
      </x:c>
      <x:c r="K223" s="4" t="n">
        <x:v>24.75</x:v>
      </x:c>
      <x:c r="L223" s="4" t="n">
        <x:v>44.26</x:v>
      </x:c>
      <x:c r="M223" s="4" t="n">
        <x:v>42.05</x:v>
      </x:c>
      <x:c r="N223" s="4" t="n">
        <x:v>55.33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60.35</x:v>
      </x:c>
      <x:c r="D224" s="4" t="n">
        <x:v>51.18</x:v>
      </x:c>
      <x:c r="E224" s="4" t="n">
        <x:v>59.38</x:v>
      </x:c>
      <x:c r="F224" s="4" t="n">
        <x:v>67.05</x:v>
      </x:c>
      <x:c r="G224" s="4" t="n">
        <x:v>56.86</x:v>
      </x:c>
      <x:c r="H224" s="4" t="n">
        <x:v>34.17</x:v>
      </x:c>
      <x:c r="I224" s="4" t="n">
        <x:v>23.48</x:v>
      </x:c>
      <x:c r="J224" s="4" t="n">
        <x:v>38.89</x:v>
      </x:c>
      <x:c r="K224" s="4" t="n">
        <x:v>46.42</x:v>
      </x:c>
      <x:c r="L224" s="4" t="n">
        <x:v>28.44</x:v>
      </x:c>
      <x:c r="M224" s="4" t="n">
        <x:v>39.73</x:v>
      </x:c>
      <x:c r="N224" s="4" t="n">
        <x:v>27.53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66.64</x:v>
      </x:c>
      <x:c r="D225" s="4" t="n">
        <x:v>49.67</x:v>
      </x:c>
      <x:c r="E225" s="4" t="n">
        <x:v>50.49</x:v>
      </x:c>
      <x:c r="F225" s="4" t="n">
        <x:v>63.16</x:v>
      </x:c>
      <x:c r="G225" s="4" t="n">
        <x:v>28.55</x:v>
      </x:c>
      <x:c r="H225" s="4" t="n">
        <x:v>22.85</x:v>
      </x:c>
      <x:c r="I225" s="4" t="n">
        <x:v>63.99</x:v>
      </x:c>
      <x:c r="J225" s="4" t="n">
        <x:v>54.37</x:v>
      </x:c>
      <x:c r="K225" s="4" t="n">
        <x:v>59.01</x:v>
      </x:c>
      <x:c r="L225" s="4" t="n">
        <x:v>32.77</x:v>
      </x:c>
      <x:c r="M225" s="4" t="n">
        <x:v>45.23</x:v>
      </x:c>
      <x:c r="N225" s="4" t="n">
        <x:v>46.22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23.1</x:v>
      </x:c>
      <x:c r="D226" s="4" t="n">
        <x:v>21.11</x:v>
      </x:c>
      <x:c r="E226" s="4" t="n">
        <x:v>65.03</x:v>
      </x:c>
      <x:c r="F226" s="4" t="n">
        <x:v>35.36</x:v>
      </x:c>
      <x:c r="G226" s="4" t="n">
        <x:v>58.96</x:v>
      </x:c>
      <x:c r="H226" s="4" t="n">
        <x:v>40.01</x:v>
      </x:c>
      <x:c r="I226" s="4" t="n">
        <x:v>31.49</x:v>
      </x:c>
      <x:c r="J226" s="4" t="n">
        <x:v>67.45</x:v>
      </x:c>
      <x:c r="K226" s="4" t="n">
        <x:v>30.02</x:v>
      </x:c>
      <x:c r="L226" s="4" t="n">
        <x:v>24.59</x:v>
      </x:c>
      <x:c r="M226" s="4" t="n">
        <x:v>27.67</x:v>
      </x:c>
      <x:c r="N226" s="4" t="n">
        <x:v>29.74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52.04</x:v>
      </x:c>
      <x:c r="D227" s="4" t="n">
        <x:v>31.59</x:v>
      </x:c>
      <x:c r="E227" s="4" t="n">
        <x:v>57.38</x:v>
      </x:c>
      <x:c r="F227" s="4" t="n">
        <x:v>27.72</x:v>
      </x:c>
      <x:c r="G227" s="4" t="n">
        <x:v>17.88</x:v>
      </x:c>
      <x:c r="H227" s="4" t="n">
        <x:v>44.58</x:v>
      </x:c>
      <x:c r="I227" s="4" t="n">
        <x:v>40.08</x:v>
      </x:c>
      <x:c r="J227" s="4" t="n">
        <x:v>34.39</x:v>
      </x:c>
      <x:c r="K227" s="4" t="n">
        <x:v>35.3</x:v>
      </x:c>
      <x:c r="L227" s="4" t="n">
        <x:v>51.4</x:v>
      </x:c>
      <x:c r="M227" s="4" t="n">
        <x:v>45.3</x:v>
      </x:c>
      <x:c r="N227" s="4" t="n">
        <x:v>33.45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65.24</x:v>
      </x:c>
      <x:c r="D228" s="4" t="n">
        <x:v>33.04</x:v>
      </x:c>
      <x:c r="E228" s="4" t="n">
        <x:v>36.66</x:v>
      </x:c>
      <x:c r="F228" s="4" t="n">
        <x:v>60.6</x:v>
      </x:c>
      <x:c r="G228" s="4" t="n">
        <x:v>25.42</x:v>
      </x:c>
      <x:c r="H228" s="4" t="n">
        <x:v>60.18</x:v>
      </x:c>
      <x:c r="I228" s="4" t="n">
        <x:v>41.97</x:v>
      </x:c>
      <x:c r="J228" s="4" t="n">
        <x:v>57.51</x:v>
      </x:c>
      <x:c r="K228" s="4" t="n">
        <x:v>54.99</x:v>
      </x:c>
      <x:c r="L228" s="4" t="n">
        <x:v>20.39</x:v>
      </x:c>
      <x:c r="M228" s="4" t="n">
        <x:v>48.19</x:v>
      </x:c>
      <x:c r="N228" s="4" t="n">
        <x:v>54.03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20.2</x:v>
      </x:c>
      <x:c r="D230" s="4" t="n">
        <x:v>45.73</x:v>
      </x:c>
      <x:c r="E230" s="4" t="n">
        <x:v>46.03</x:v>
      </x:c>
      <x:c r="F230" s="4" t="n">
        <x:v>25.91</x:v>
      </x:c>
      <x:c r="G230" s="4" t="n">
        <x:v>28.78</x:v>
      </x:c>
      <x:c r="H230" s="4" t="n">
        <x:v>53.55</x:v>
      </x:c>
      <x:c r="I230" s="4" t="n">
        <x:v>44.3</x:v>
      </x:c>
      <x:c r="J230" s="4" t="n">
        <x:v>37.62</x:v>
      </x:c>
      <x:c r="K230" s="4" t="n">
        <x:v>22.5</x:v>
      </x:c>
      <x:c r="L230" s="4" t="n">
        <x:v>31.49</x:v>
      </x:c>
      <x:c r="M230" s="4" t="n">
        <x:v>43.02</x:v>
      </x:c>
      <x:c r="N230" s="4" t="n">
        <x:v>53.68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56.79</x:v>
      </x:c>
      <x:c r="D231" s="4" t="n">
        <x:v>31.75</x:v>
      </x:c>
      <x:c r="E231" s="4" t="n">
        <x:v>28.66</x:v>
      </x:c>
      <x:c r="F231" s="4" t="n">
        <x:v>52.4</x:v>
      </x:c>
      <x:c r="G231" s="4" t="n">
        <x:v>34.77</x:v>
      </x:c>
      <x:c r="H231" s="4" t="n">
        <x:v>38.07</x:v>
      </x:c>
      <x:c r="I231" s="4" t="n">
        <x:v>31.93</x:v>
      </x:c>
      <x:c r="J231" s="4" t="n">
        <x:v>59.77</x:v>
      </x:c>
      <x:c r="K231" s="4" t="n">
        <x:v>28.62</x:v>
      </x:c>
      <x:c r="L231" s="4" t="n">
        <x:v>22.15</x:v>
      </x:c>
      <x:c r="M231" s="4" t="n">
        <x:v>32.58</x:v>
      </x:c>
      <x:c r="N231" s="4" t="n">
        <x:v>61.23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18.66</x:v>
      </x:c>
      <x:c r="D232" s="4" t="n">
        <x:v>50.15</x:v>
      </x:c>
      <x:c r="E232" s="4" t="n">
        <x:v>59.37</x:v>
      </x:c>
      <x:c r="F232" s="4" t="n">
        <x:v>19.1</x:v>
      </x:c>
      <x:c r="G232" s="4" t="n">
        <x:v>35.54</x:v>
      </x:c>
      <x:c r="H232" s="4" t="n">
        <x:v>28.1</x:v>
      </x:c>
      <x:c r="I232" s="4" t="n">
        <x:v>64.05</x:v>
      </x:c>
      <x:c r="J232" s="4" t="n">
        <x:v>42.32</x:v>
      </x:c>
      <x:c r="K232" s="4" t="n">
        <x:v>21.43</x:v>
      </x:c>
      <x:c r="L232" s="4" t="n">
        <x:v>50.49</x:v>
      </x:c>
      <x:c r="M232" s="4" t="n">
        <x:v>37.51</x:v>
      </x:c>
      <x:c r="N232" s="4" t="n">
        <x:v>42.23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30.23</x:v>
      </x:c>
      <x:c r="D233" s="4" t="n">
        <x:v>60.53</x:v>
      </x:c>
      <x:c r="E233" s="4" t="n">
        <x:v>47.99</x:v>
      </x:c>
      <x:c r="F233" s="4" t="n">
        <x:v>52.7</x:v>
      </x:c>
      <x:c r="G233" s="4" t="n">
        <x:v>53.07</x:v>
      </x:c>
      <x:c r="H233" s="4" t="n">
        <x:v>56.76</x:v>
      </x:c>
      <x:c r="I233" s="4" t="n">
        <x:v>55.21</x:v>
      </x:c>
      <x:c r="J233" s="4" t="n">
        <x:v>50.04</x:v>
      </x:c>
      <x:c r="K233" s="4" t="n">
        <x:v>61.14</x:v>
      </x:c>
      <x:c r="L233" s="4" t="n">
        <x:v>62.05</x:v>
      </x:c>
      <x:c r="M233" s="4" t="n">
        <x:v>46.86</x:v>
      </x:c>
      <x:c r="N233" s="4" t="n">
        <x:v>18.54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8.02</x:v>
      </x:c>
      <x:c r="D324" s="4" t="n">
        <x:v>5.09</x:v>
      </x:c>
      <x:c r="E324" s="4" t="n">
        <x:v>6.14</x:v>
      </x:c>
      <x:c r="F324" s="4" t="n">
        <x:v>2.53</x:v>
      </x:c>
      <x:c r="G324" s="4" t="n">
        <x:v>8.48</x:v>
      </x:c>
      <x:c r="H324" s="4" t="n">
        <x:v>4.81</x:v>
      </x:c>
      <x:c r="I324" s="4" t="n">
        <x:v>7.46</x:v>
      </x:c>
      <x:c r="J324" s="4" t="n">
        <x:v>7.33</x:v>
      </x:c>
      <x:c r="K324" s="4" t="n">
        <x:v>6.76</x:v>
      </x:c>
      <x:c r="L324" s="4" t="n">
        <x:v>4.57</x:v>
      </x:c>
      <x:c r="M324" s="4" t="n">
        <x:v>6.84</x:v>
      </x:c>
      <x:c r="N324" s="4" t="n">
        <x:v>3.88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7.02</x:v>
      </x:c>
      <x:c r="D325" s="4" t="n">
        <x:v>7.18</x:v>
      </x:c>
      <x:c r="E325" s="4" t="n">
        <x:v>8.62</x:v>
      </x:c>
      <x:c r="F325" s="4" t="n">
        <x:v>6.52</x:v>
      </x:c>
      <x:c r="G325" s="4" t="n">
        <x:v>8.43</x:v>
      </x:c>
      <x:c r="H325" s="4" t="n">
        <x:v>2.84</x:v>
      </x:c>
      <x:c r="I325" s="4" t="n">
        <x:v>8.4</x:v>
      </x:c>
      <x:c r="J325" s="4" t="n">
        <x:v>5.14</x:v>
      </x:c>
      <x:c r="K325" s="4" t="n">
        <x:v>6.9</x:v>
      </x:c>
      <x:c r="L325" s="4" t="n">
        <x:v>4.83</x:v>
      </x:c>
      <x:c r="M325" s="4" t="n">
        <x:v>4.05</x:v>
      </x:c>
      <x:c r="N325" s="4" t="n">
        <x:v>2.22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4.49</x:v>
      </x:c>
      <x:c r="D326" s="4" t="n">
        <x:v>5.11</x:v>
      </x:c>
      <x:c r="E326" s="4" t="n">
        <x:v>4.96</x:v>
      </x:c>
      <x:c r="F326" s="4" t="n">
        <x:v>4.96</x:v>
      </x:c>
      <x:c r="G326" s="4" t="n">
        <x:v>3.19</x:v>
      </x:c>
      <x:c r="H326" s="4" t="n">
        <x:v>6.82</x:v>
      </x:c>
      <x:c r="I326" s="4" t="n">
        <x:v>5.83</x:v>
      </x:c>
      <x:c r="J326" s="4" t="n">
        <x:v>7.01</x:v>
      </x:c>
      <x:c r="K326" s="4" t="n">
        <x:v>2.88</x:v>
      </x:c>
      <x:c r="L326" s="4" t="n">
        <x:v>4.79</x:v>
      </x:c>
      <x:c r="M326" s="4" t="n">
        <x:v>4.18</x:v>
      </x:c>
      <x:c r="N326" s="4" t="n">
        <x:v>3.95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5.88</x:v>
      </x:c>
      <x:c r="D327" s="4" t="n">
        <x:v>2.62</x:v>
      </x:c>
      <x:c r="E327" s="4" t="n">
        <x:v>8.19</x:v>
      </x:c>
      <x:c r="F327" s="4" t="n">
        <x:v>4.69</x:v>
      </x:c>
      <x:c r="G327" s="4" t="n">
        <x:v>6.96</x:v>
      </x:c>
      <x:c r="H327" s="4" t="n">
        <x:v>3.98</x:v>
      </x:c>
      <x:c r="I327" s="4" t="n">
        <x:v>6.89</x:v>
      </x:c>
      <x:c r="J327" s="4" t="n">
        <x:v>2.63</x:v>
      </x:c>
      <x:c r="K327" s="4" t="n">
        <x:v>6.88</x:v>
      </x:c>
      <x:c r="L327" s="4" t="n">
        <x:v>4.78</x:v>
      </x:c>
      <x:c r="M327" s="4" t="n">
        <x:v>2.52</x:v>
      </x:c>
      <x:c r="N327" s="4" t="n">
        <x:v>6.2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6.71</x:v>
      </x:c>
      <x:c r="D328" s="4" t="n">
        <x:v>7.02</x:v>
      </x:c>
      <x:c r="E328" s="4" t="n">
        <x:v>8.4</x:v>
      </x:c>
      <x:c r="F328" s="4" t="n">
        <x:v>4.76</x:v>
      </x:c>
      <x:c r="G328" s="4" t="n">
        <x:v>7.29</x:v>
      </x:c>
      <x:c r="H328" s="4" t="n">
        <x:v>6.97</x:v>
      </x:c>
      <x:c r="I328" s="4" t="n">
        <x:v>5.02</x:v>
      </x:c>
      <x:c r="J328" s="4" t="n">
        <x:v>8.07</x:v>
      </x:c>
      <x:c r="K328" s="4" t="n">
        <x:v>5.9</x:v>
      </x:c>
      <x:c r="L328" s="4" t="n">
        <x:v>6.3</x:v>
      </x:c>
      <x:c r="M328" s="4" t="n">
        <x:v>4.81</x:v>
      </x:c>
      <x:c r="N328" s="4" t="n">
        <x:v>2.76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6.33</x:v>
      </x:c>
      <x:c r="D329" s="4" t="n">
        <x:v>2.33</x:v>
      </x:c>
      <x:c r="E329" s="4" t="n">
        <x:v>7.56</x:v>
      </x:c>
      <x:c r="F329" s="4" t="n">
        <x:v>6.44</x:v>
      </x:c>
      <x:c r="G329" s="4" t="n">
        <x:v>3.84</x:v>
      </x:c>
      <x:c r="H329" s="4" t="n">
        <x:v>3.49</x:v>
      </x:c>
      <x:c r="I329" s="4" t="n">
        <x:v>7.08</x:v>
      </x:c>
      <x:c r="J329" s="4" t="n">
        <x:v>7.68</x:v>
      </x:c>
      <x:c r="K329" s="4" t="n">
        <x:v>6.08</x:v>
      </x:c>
      <x:c r="L329" s="4" t="n">
        <x:v>4.28</x:v>
      </x:c>
      <x:c r="M329" s="4" t="n">
        <x:v>3.71</x:v>
      </x:c>
      <x:c r="N329" s="4" t="n">
        <x:v>8.14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8.75</x:v>
      </x:c>
      <x:c r="D330" s="4" t="n">
        <x:v>5.64</x:v>
      </x:c>
      <x:c r="E330" s="4" t="n">
        <x:v>3.93</x:v>
      </x:c>
      <x:c r="F330" s="4" t="n">
        <x:v>5.6</x:v>
      </x:c>
      <x:c r="G330" s="4" t="n">
        <x:v>5.88</x:v>
      </x:c>
      <x:c r="H330" s="4" t="n">
        <x:v>6.94</x:v>
      </x:c>
      <x:c r="I330" s="4" t="n">
        <x:v>8.67</x:v>
      </x:c>
      <x:c r="J330" s="4" t="n">
        <x:v>2.72</x:v>
      </x:c>
      <x:c r="K330" s="4" t="n">
        <x:v>6.61</x:v>
      </x:c>
      <x:c r="L330" s="4" t="n">
        <x:v>8.02</x:v>
      </x:c>
      <x:c r="M330" s="4" t="n">
        <x:v>4.27</x:v>
      </x:c>
      <x:c r="N330" s="4" t="n">
        <x:v>4.68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5.36</x:v>
      </x:c>
      <x:c r="D331" s="4" t="n">
        <x:v>5.35</x:v>
      </x:c>
      <x:c r="E331" s="4" t="n">
        <x:v>8.03</x:v>
      </x:c>
      <x:c r="F331" s="4" t="n">
        <x:v>7.33</x:v>
      </x:c>
      <x:c r="G331" s="4" t="n">
        <x:v>6.18</x:v>
      </x:c>
      <x:c r="H331" s="4" t="n">
        <x:v>8.42</x:v>
      </x:c>
      <x:c r="I331" s="4" t="n">
        <x:v>2.99</x:v>
      </x:c>
      <x:c r="J331" s="4" t="n">
        <x:v>3.59</x:v>
      </x:c>
      <x:c r="K331" s="4" t="n">
        <x:v>5.75</x:v>
      </x:c>
      <x:c r="L331" s="4" t="n">
        <x:v>6.98</x:v>
      </x:c>
      <x:c r="M331" s="4" t="n">
        <x:v>4.38</x:v>
      </x:c>
      <x:c r="N331" s="4" t="n">
        <x:v>2.53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7.58</x:v>
      </x:c>
      <x:c r="D332" s="4" t="n">
        <x:v>2.24</x:v>
      </x:c>
      <x:c r="E332" s="4" t="n">
        <x:v>4.61</x:v>
      </x:c>
      <x:c r="F332" s="4" t="n">
        <x:v>6.28</x:v>
      </x:c>
      <x:c r="G332" s="4" t="n">
        <x:v>6.2</x:v>
      </x:c>
      <x:c r="H332" s="4" t="n">
        <x:v>2.31</x:v>
      </x:c>
      <x:c r="I332" s="4" t="n">
        <x:v>6.54</x:v>
      </x:c>
      <x:c r="J332" s="4" t="n">
        <x:v>2.53</x:v>
      </x:c>
      <x:c r="K332" s="4" t="n">
        <x:v>8.46</x:v>
      </x:c>
      <x:c r="L332" s="4" t="n">
        <x:v>5.05</x:v>
      </x:c>
      <x:c r="M332" s="4" t="n">
        <x:v>3.44</x:v>
      </x:c>
      <x:c r="N332" s="4" t="n">
        <x:v>5.51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2.25</x:v>
      </x:c>
      <x:c r="D333" s="4" t="n">
        <x:v>5.17</x:v>
      </x:c>
      <x:c r="E333" s="4" t="n">
        <x:v>8.26</x:v>
      </x:c>
      <x:c r="F333" s="4" t="n">
        <x:v>3.86</x:v>
      </x:c>
      <x:c r="G333" s="4" t="n">
        <x:v>2.24</x:v>
      </x:c>
      <x:c r="H333" s="4" t="n">
        <x:v>6.75</x:v>
      </x:c>
      <x:c r="I333" s="4" t="n">
        <x:v>5.14</x:v>
      </x:c>
      <x:c r="J333" s="4" t="n">
        <x:v>5.17</x:v>
      </x:c>
      <x:c r="K333" s="4" t="n">
        <x:v>6.44</x:v>
      </x:c>
      <x:c r="L333" s="4" t="n">
        <x:v>4.34</x:v>
      </x:c>
      <x:c r="M333" s="4" t="n">
        <x:v>4.73</x:v>
      </x:c>
      <x:c r="N333" s="4" t="n">
        <x:v>8.36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3.69</x:v>
      </x:c>
      <x:c r="D334" s="4" t="n">
        <x:v>3.9</x:v>
      </x:c>
      <x:c r="E334" s="4" t="n">
        <x:v>8.5</x:v>
      </x:c>
      <x:c r="F334" s="4" t="n">
        <x:v>5.07</x:v>
      </x:c>
      <x:c r="G334" s="4" t="n">
        <x:v>6.15</x:v>
      </x:c>
      <x:c r="H334" s="4" t="n">
        <x:v>4.07</x:v>
      </x:c>
      <x:c r="I334" s="4" t="n">
        <x:v>2.33</x:v>
      </x:c>
      <x:c r="J334" s="4" t="n">
        <x:v>4.86</x:v>
      </x:c>
      <x:c r="K334" s="4" t="n">
        <x:v>4.71</x:v>
      </x:c>
      <x:c r="L334" s="4" t="n">
        <x:v>2.99</x:v>
      </x:c>
      <x:c r="M334" s="4" t="n">
        <x:v>5.96</x:v>
      </x:c>
      <x:c r="N334" s="4" t="n">
        <x:v>3.84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2.22</x:v>
      </x:c>
      <x:c r="D335" s="4" t="n">
        <x:v>6.32</x:v>
      </x:c>
      <x:c r="E335" s="4" t="n">
        <x:v>2.91</x:v>
      </x:c>
      <x:c r="F335" s="4" t="n">
        <x:v>3.89</x:v>
      </x:c>
      <x:c r="G335" s="4" t="n">
        <x:v>6.99</x:v>
      </x:c>
      <x:c r="H335" s="4" t="n">
        <x:v>6.62</x:v>
      </x:c>
      <x:c r="I335" s="4" t="n">
        <x:v>5.64</x:v>
      </x:c>
      <x:c r="J335" s="4" t="n">
        <x:v>4.04</x:v>
      </x:c>
      <x:c r="K335" s="4" t="n">
        <x:v>7.48</x:v>
      </x:c>
      <x:c r="L335" s="4" t="n">
        <x:v>5.56</x:v>
      </x:c>
      <x:c r="M335" s="4" t="n">
        <x:v>5.12</x:v>
      </x:c>
      <x:c r="N335" s="4" t="n">
        <x:v>3.01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4.48</x:v>
      </x:c>
      <x:c r="D336" s="4" t="n">
        <x:v>3.5</x:v>
      </x:c>
      <x:c r="E336" s="4" t="n">
        <x:v>4.9</x:v>
      </x:c>
      <x:c r="F336" s="4" t="n">
        <x:v>6.52</x:v>
      </x:c>
      <x:c r="G336" s="4" t="n">
        <x:v>8.72</x:v>
      </x:c>
      <x:c r="H336" s="4" t="n">
        <x:v>2.19</x:v>
      </x:c>
      <x:c r="I336" s="4" t="n">
        <x:v>5.65</x:v>
      </x:c>
      <x:c r="J336" s="4" t="n">
        <x:v>8.78</x:v>
      </x:c>
      <x:c r="K336" s="4" t="n">
        <x:v>5.65</x:v>
      </x:c>
      <x:c r="L336" s="4" t="n">
        <x:v>3.16</x:v>
      </x:c>
      <x:c r="M336" s="4" t="n">
        <x:v>4.29</x:v>
      </x:c>
      <x:c r="N336" s="4" t="n">
        <x:v>5.37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2.19</x:v>
      </x:c>
      <x:c r="D337" s="4" t="n">
        <x:v>2.17</x:v>
      </x:c>
      <x:c r="E337" s="4" t="n">
        <x:v>4.95</x:v>
      </x:c>
      <x:c r="F337" s="4" t="n">
        <x:v>3.83</x:v>
      </x:c>
      <x:c r="G337" s="4" t="n">
        <x:v>6.47</x:v>
      </x:c>
      <x:c r="H337" s="4" t="n">
        <x:v>3.18</x:v>
      </x:c>
      <x:c r="I337" s="4" t="n">
        <x:v>7.66</x:v>
      </x:c>
      <x:c r="J337" s="4" t="n">
        <x:v>5.97</x:v>
      </x:c>
      <x:c r="K337" s="4" t="n">
        <x:v>5.52</x:v>
      </x:c>
      <x:c r="L337" s="4" t="n">
        <x:v>2.65</x:v>
      </x:c>
      <x:c r="M337" s="4" t="n">
        <x:v>5.7</x:v>
      </x:c>
      <x:c r="N337" s="4" t="n">
        <x:v>3.3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7.02</x:v>
      </x:c>
      <x:c r="D338" s="4" t="n">
        <x:v>5.36</x:v>
      </x:c>
      <x:c r="E338" s="4" t="n">
        <x:v>3.32</x:v>
      </x:c>
      <x:c r="F338" s="4" t="n">
        <x:v>7.52</x:v>
      </x:c>
      <x:c r="G338" s="4" t="n">
        <x:v>3.17</x:v>
      </x:c>
      <x:c r="H338" s="4" t="n">
        <x:v>4.43</x:v>
      </x:c>
      <x:c r="I338" s="4" t="n">
        <x:v>5.26</x:v>
      </x:c>
      <x:c r="J338" s="4" t="n">
        <x:v>5.28</x:v>
      </x:c>
      <x:c r="K338" s="4" t="n">
        <x:v>5.06</x:v>
      </x:c>
      <x:c r="L338" s="4" t="n">
        <x:v>4.93</x:v>
      </x:c>
      <x:c r="M338" s="4" t="n">
        <x:v>2.73</x:v>
      </x:c>
      <x:c r="N338" s="4" t="n">
        <x:v>3.03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6.01</x:v>
      </x:c>
      <x:c r="D339" s="4" t="n">
        <x:v>7.25</x:v>
      </x:c>
      <x:c r="E339" s="4" t="n">
        <x:v>7.39</x:v>
      </x:c>
      <x:c r="F339" s="4" t="n">
        <x:v>5.3</x:v>
      </x:c>
      <x:c r="G339" s="4" t="n">
        <x:v>3.84</x:v>
      </x:c>
      <x:c r="H339" s="4" t="n">
        <x:v>5.6</x:v>
      </x:c>
      <x:c r="I339" s="4" t="n">
        <x:v>4.07</x:v>
      </x:c>
      <x:c r="J339" s="4" t="n">
        <x:v>3.91</x:v>
      </x:c>
      <x:c r="K339" s="4" t="n">
        <x:v>3.3</x:v>
      </x:c>
      <x:c r="L339" s="4" t="n">
        <x:v>4.02</x:v>
      </x:c>
      <x:c r="M339" s="4" t="n">
        <x:v>5.84</x:v>
      </x:c>
      <x:c r="N339" s="4" t="n">
        <x:v>4.11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4.29</x:v>
      </x:c>
      <x:c r="D341" s="4" t="n">
        <x:v>3.7</x:v>
      </x:c>
      <x:c r="E341" s="4" t="n">
        <x:v>5.41</x:v>
      </x:c>
      <x:c r="F341" s="4" t="n">
        <x:v>6.71</x:v>
      </x:c>
      <x:c r="G341" s="4" t="n">
        <x:v>4.89</x:v>
      </x:c>
      <x:c r="H341" s="4" t="n">
        <x:v>8.08</x:v>
      </x:c>
      <x:c r="I341" s="4" t="n">
        <x:v>4.36</x:v>
      </x:c>
      <x:c r="J341" s="4" t="n">
        <x:v>2.23</x:v>
      </x:c>
      <x:c r="K341" s="4" t="n">
        <x:v>2.68</x:v>
      </x:c>
      <x:c r="L341" s="4" t="n">
        <x:v>7.02</x:v>
      </x:c>
      <x:c r="M341" s="4" t="n">
        <x:v>5.33</x:v>
      </x:c>
      <x:c r="N341" s="4" t="n">
        <x:v>5.8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5.87</x:v>
      </x:c>
      <x:c r="D342" s="4" t="n">
        <x:v>6.22</x:v>
      </x:c>
      <x:c r="E342" s="4" t="n">
        <x:v>3.39</x:v>
      </x:c>
      <x:c r="F342" s="4" t="n">
        <x:v>4.18</x:v>
      </x:c>
      <x:c r="G342" s="4" t="n">
        <x:v>6.01</x:v>
      </x:c>
      <x:c r="H342" s="4" t="n">
        <x:v>2.86</x:v>
      </x:c>
      <x:c r="I342" s="4" t="n">
        <x:v>3.75</x:v>
      </x:c>
      <x:c r="J342" s="4" t="n">
        <x:v>7.49</x:v>
      </x:c>
      <x:c r="K342" s="4" t="n">
        <x:v>5.48</x:v>
      </x:c>
      <x:c r="L342" s="4" t="n">
        <x:v>2.35</x:v>
      </x:c>
      <x:c r="M342" s="4" t="n">
        <x:v>6.63</x:v>
      </x:c>
      <x:c r="N342" s="4" t="n">
        <x:v>7.21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8.44</x:v>
      </x:c>
      <x:c r="D343" s="4" t="n">
        <x:v>3.77</x:v>
      </x:c>
      <x:c r="E343" s="4" t="n">
        <x:v>3.7</x:v>
      </x:c>
      <x:c r="F343" s="4" t="n">
        <x:v>4.46</x:v>
      </x:c>
      <x:c r="G343" s="4" t="n">
        <x:v>2.73</x:v>
      </x:c>
      <x:c r="H343" s="4" t="n">
        <x:v>3.71</x:v>
      </x:c>
      <x:c r="I343" s="4" t="n">
        <x:v>5.13</x:v>
      </x:c>
      <x:c r="J343" s="4" t="n">
        <x:v>8.52</x:v>
      </x:c>
      <x:c r="K343" s="4" t="n">
        <x:v>7.42</x:v>
      </x:c>
      <x:c r="L343" s="4" t="n">
        <x:v>4.47</x:v>
      </x:c>
      <x:c r="M343" s="4" t="n">
        <x:v>7.42</x:v>
      </x:c>
      <x:c r="N343" s="4" t="n">
        <x:v>4.16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2.57</x:v>
      </x:c>
      <x:c r="D344" s="4" t="n">
        <x:v>8.4</x:v>
      </x:c>
      <x:c r="E344" s="4" t="n">
        <x:v>5.35</x:v>
      </x:c>
      <x:c r="F344" s="4" t="n">
        <x:v>7.39</x:v>
      </x:c>
      <x:c r="G344" s="4" t="n">
        <x:v>3.38</x:v>
      </x:c>
      <x:c r="H344" s="4" t="n">
        <x:v>8.64</x:v>
      </x:c>
      <x:c r="I344" s="4" t="n">
        <x:v>5.56</x:v>
      </x:c>
      <x:c r="J344" s="4" t="n">
        <x:v>6.07</x:v>
      </x:c>
      <x:c r="K344" s="4" t="n">
        <x:v>7.04</x:v>
      </x:c>
      <x:c r="L344" s="4" t="n">
        <x:v>6.92</x:v>
      </x:c>
      <x:c r="M344" s="4" t="n">
        <x:v>7.53</x:v>
      </x:c>
      <x:c r="N344" s="4" t="n">
        <x:v>3.29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4.42</x:v>
      </x:c>
      <x:c r="D345" s="4" t="n">
        <x:v>7.35</x:v>
      </x:c>
      <x:c r="E345" s="4" t="n">
        <x:v>7.9</x:v>
      </x:c>
      <x:c r="F345" s="4" t="n">
        <x:v>8.33</x:v>
      </x:c>
      <x:c r="G345" s="4" t="n">
        <x:v>8.49</x:v>
      </x:c>
      <x:c r="H345" s="4" t="n">
        <x:v>8.17</x:v>
      </x:c>
      <x:c r="I345" s="4" t="n">
        <x:v>3.32</x:v>
      </x:c>
      <x:c r="J345" s="4" t="n">
        <x:v>8.44</x:v>
      </x:c>
      <x:c r="K345" s="4" t="n">
        <x:v>5.34</x:v>
      </x:c>
      <x:c r="L345" s="4" t="n">
        <x:v>4.82</x:v>
      </x:c>
      <x:c r="M345" s="4" t="n">
        <x:v>2.71</x:v>
      </x:c>
      <x:c r="N345" s="4" t="n">
        <x:v>8.38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4.54</x:v>
      </x:c>
      <x:c r="D346" s="4" t="n">
        <x:v>7.92</x:v>
      </x:c>
      <x:c r="E346" s="4" t="n">
        <x:v>2.6</x:v>
      </x:c>
      <x:c r="F346" s="4" t="n">
        <x:v>5.25</x:v>
      </x:c>
      <x:c r="G346" s="4" t="n">
        <x:v>5.52</x:v>
      </x:c>
      <x:c r="H346" s="4" t="n">
        <x:v>8.3</x:v>
      </x:c>
      <x:c r="I346" s="4" t="n">
        <x:v>2.6</x:v>
      </x:c>
      <x:c r="J346" s="4" t="n">
        <x:v>6.05</x:v>
      </x:c>
      <x:c r="K346" s="4" t="n">
        <x:v>7.18</x:v>
      </x:c>
      <x:c r="L346" s="4" t="n">
        <x:v>3.45</x:v>
      </x:c>
      <x:c r="M346" s="4" t="n">
        <x:v>3.49</x:v>
      </x:c>
      <x:c r="N346" s="4" t="n">
        <x:v>7.43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2.39</x:v>
      </x:c>
      <x:c r="D347" s="4" t="n">
        <x:v>7.93</x:v>
      </x:c>
      <x:c r="E347" s="4" t="n">
        <x:v>8.19</x:v>
      </x:c>
      <x:c r="F347" s="4" t="n">
        <x:v>4.57</x:v>
      </x:c>
      <x:c r="G347" s="4" t="n">
        <x:v>8.78</x:v>
      </x:c>
      <x:c r="H347" s="4" t="n">
        <x:v>4.2</x:v>
      </x:c>
      <x:c r="I347" s="4" t="n">
        <x:v>3.3</x:v>
      </x:c>
      <x:c r="J347" s="4" t="n">
        <x:v>4.39</x:v>
      </x:c>
      <x:c r="K347" s="4" t="n">
        <x:v>7.17</x:v>
      </x:c>
      <x:c r="L347" s="4" t="n">
        <x:v>5.35</x:v>
      </x:c>
      <x:c r="M347" s="4" t="n">
        <x:v>4.88</x:v>
      </x:c>
      <x:c r="N347" s="4" t="n">
        <x:v>5.97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4.71</x:v>
      </x:c>
      <x:c r="D348" s="4" t="n">
        <x:v>3.33</x:v>
      </x:c>
      <x:c r="E348" s="4" t="n">
        <x:v>7.06</x:v>
      </x:c>
      <x:c r="F348" s="4" t="n">
        <x:v>8.37</x:v>
      </x:c>
      <x:c r="G348" s="4" t="n">
        <x:v>8.52</x:v>
      </x:c>
      <x:c r="H348" s="4" t="n">
        <x:v>3.64</x:v>
      </x:c>
      <x:c r="I348" s="4" t="n">
        <x:v>6.92</x:v>
      </x:c>
      <x:c r="J348" s="4" t="n">
        <x:v>7.09</x:v>
      </x:c>
      <x:c r="K348" s="4" t="n">
        <x:v>3.32</x:v>
      </x:c>
      <x:c r="L348" s="4" t="n">
        <x:v>6.87</x:v>
      </x:c>
      <x:c r="M348" s="4" t="n">
        <x:v>7.48</x:v>
      </x:c>
      <x:c r="N348" s="4" t="n">
        <x:v>7.03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7.57</x:v>
      </x:c>
      <x:c r="D350" s="4" t="n">
        <x:v>8.04</x:v>
      </x:c>
      <x:c r="E350" s="4" t="n">
        <x:v>8.58</x:v>
      </x:c>
      <x:c r="F350" s="4" t="n">
        <x:v>5.23</x:v>
      </x:c>
      <x:c r="G350" s="4" t="n">
        <x:v>8.28</x:v>
      </x:c>
      <x:c r="H350" s="4" t="n">
        <x:v>8.38</x:v>
      </x:c>
      <x:c r="I350" s="4" t="n">
        <x:v>6.78</x:v>
      </x:c>
      <x:c r="J350" s="4" t="n">
        <x:v>6.81</x:v>
      </x:c>
      <x:c r="K350" s="4" t="n">
        <x:v>3.7</x:v>
      </x:c>
      <x:c r="L350" s="4" t="n">
        <x:v>5.05</x:v>
      </x:c>
      <x:c r="M350" s="4" t="n">
        <x:v>5.91</x:v>
      </x:c>
      <x:c r="N350" s="4" t="n">
        <x:v>5.83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3.44</x:v>
      </x:c>
      <x:c r="D351" s="4" t="n">
        <x:v>8.46</x:v>
      </x:c>
      <x:c r="E351" s="4" t="n">
        <x:v>3.81</x:v>
      </x:c>
      <x:c r="F351" s="4" t="n">
        <x:v>3.81</x:v>
      </x:c>
      <x:c r="G351" s="4" t="n">
        <x:v>3.11</x:v>
      </x:c>
      <x:c r="H351" s="4" t="n">
        <x:v>6.41</x:v>
      </x:c>
      <x:c r="I351" s="4" t="n">
        <x:v>8.83</x:v>
      </x:c>
      <x:c r="J351" s="4" t="n">
        <x:v>2.29</x:v>
      </x:c>
      <x:c r="K351" s="4" t="n">
        <x:v>7.27</x:v>
      </x:c>
      <x:c r="L351" s="4" t="n">
        <x:v>3.65</x:v>
      </x:c>
      <x:c r="M351" s="4" t="n">
        <x:v>3.55</x:v>
      </x:c>
      <x:c r="N351" s="4" t="n">
        <x:v>4.19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8.18</x:v>
      </x:c>
      <x:c r="D352" s="4" t="n">
        <x:v>8.67</x:v>
      </x:c>
      <x:c r="E352" s="4" t="n">
        <x:v>5.73</x:v>
      </x:c>
      <x:c r="F352" s="4" t="n">
        <x:v>3.18</x:v>
      </x:c>
      <x:c r="G352" s="4" t="n">
        <x:v>4.46</x:v>
      </x:c>
      <x:c r="H352" s="4" t="n">
        <x:v>2.99</x:v>
      </x:c>
      <x:c r="I352" s="4" t="n">
        <x:v>6.56</x:v>
      </x:c>
      <x:c r="J352" s="4" t="n">
        <x:v>4.67</x:v>
      </x:c>
      <x:c r="K352" s="4" t="n">
        <x:v>3.16</x:v>
      </x:c>
      <x:c r="L352" s="4" t="n">
        <x:v>7.16</x:v>
      </x:c>
      <x:c r="M352" s="4" t="n">
        <x:v>3.66</x:v>
      </x:c>
      <x:c r="N352" s="4" t="n">
        <x:v>4.17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8.42</x:v>
      </x:c>
      <x:c r="D353" s="4" t="n">
        <x:v>7.28</x:v>
      </x:c>
      <x:c r="E353" s="4" t="n">
        <x:v>3.22</x:v>
      </x:c>
      <x:c r="F353" s="4" t="n">
        <x:v>7.47</x:v>
      </x:c>
      <x:c r="G353" s="4" t="n">
        <x:v>8.69</x:v>
      </x:c>
      <x:c r="H353" s="4" t="n">
        <x:v>8.6</x:v>
      </x:c>
      <x:c r="I353" s="4" t="n">
        <x:v>2.39</x:v>
      </x:c>
      <x:c r="J353" s="4" t="n">
        <x:v>6.92</x:v>
      </x:c>
      <x:c r="K353" s="4" t="n">
        <x:v>2.43</x:v>
      </x:c>
      <x:c r="L353" s="4" t="n">
        <x:v>7.32</x:v>
      </x:c>
      <x:c r="M353" s="4" t="n">
        <x:v>3.51</x:v>
      </x:c>
      <x:c r="N353" s="4" t="n">
        <x:v>2.35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'销售费用'!C4+'管理费用'!C4+'蓝恐龙费用'!C4</x:f>
        <x:v>764.79</x:v>
      </x:c>
      <x:c r="D4" s="3" t="n">
        <x:f>'销售费用'!D4+'管理费用'!D4+'蓝恐龙费用'!D4</x:f>
        <x:v>778.72</x:v>
      </x:c>
      <x:c r="E4" s="3" t="n">
        <x:f>'销售费用'!E4+'管理费用'!E4+'蓝恐龙费用'!E4</x:f>
        <x:v>748.99</x:v>
      </x:c>
      <x:c r="F4" s="3" t="n">
        <x:f>'销售费用'!F4+'管理费用'!F4+'蓝恐龙费用'!F4</x:f>
        <x:v>1019.3800000000001</x:v>
      </x:c>
      <x:c r="G4" s="3" t="n">
        <x:f>'销售费用'!G4+'管理费用'!G4+'蓝恐龙费用'!G4</x:f>
        <x:v>761.85</x:v>
      </x:c>
      <x:c r="H4" s="3" t="n">
        <x:f>'销售费用'!H4+'管理费用'!H4+'蓝恐龙费用'!H4</x:f>
        <x:v>560.13</x:v>
      </x:c>
      <x:c r="I4" s="3" t="n">
        <x:f>'销售费用'!I4+'管理费用'!I4+'蓝恐龙费用'!I4</x:f>
        <x:v>760.44</x:v>
      </x:c>
      <x:c r="J4" s="3" t="n">
        <x:f>'销售费用'!J4+'管理费用'!J4+'蓝恐龙费用'!J4</x:f>
        <x:v>653.65</x:v>
      </x:c>
      <x:c r="K4" s="3" t="n">
        <x:f>'销售费用'!K4+'管理费用'!K4+'蓝恐龙费用'!K4</x:f>
        <x:v>1071.77</x:v>
      </x:c>
      <x:c r="L4" s="3" t="n">
        <x:f>'销售费用'!L4+'管理费用'!L4+'蓝恐龙费用'!L4</x:f>
        <x:v>501.92999999999995</x:v>
      </x:c>
      <x:c r="M4" s="3" t="n">
        <x:f>'销售费用'!M4+'管理费用'!M4+'蓝恐龙费用'!M4</x:f>
        <x:v>535.96</x:v>
      </x:c>
      <x:c r="N4" s="3" t="n">
        <x:f>'销售费用'!N4+'管理费用'!N4+'蓝恐龙费用'!N4</x:f>
        <x:v>633.25</x:v>
      </x:c>
      <x:c r="O4" s="3" t="n">
        <x:f>SUM(C4:N4)</x:f>
        <x:v>8790.86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'销售费用'!C5+'管理费用'!C5+'蓝恐龙费用'!C5</x:f>
        <x:v>665.98</x:v>
      </x:c>
      <x:c r="D5" s="3" t="n">
        <x:f>'销售费用'!D5+'管理费用'!D5+'蓝恐龙费用'!D5</x:f>
        <x:v>1137.8</x:v>
      </x:c>
      <x:c r="E5" s="3" t="n">
        <x:f>'销售费用'!E5+'管理费用'!E5+'蓝恐龙费用'!E5</x:f>
        <x:v>977.21</x:v>
      </x:c>
      <x:c r="F5" s="3" t="n">
        <x:f>'销售费用'!F5+'管理费用'!F5+'蓝恐龙费用'!F5</x:f>
        <x:v>634.14</x:v>
      </x:c>
      <x:c r="G5" s="3" t="n">
        <x:f>'销售费用'!G5+'管理费用'!G5+'蓝恐龙费用'!G5</x:f>
        <x:v>716.3399999999999</x:v>
      </x:c>
      <x:c r="H5" s="3" t="n">
        <x:f>'销售费用'!H5+'管理费用'!H5+'蓝恐龙费用'!H5</x:f>
        <x:v>661.93</x:v>
      </x:c>
      <x:c r="I5" s="3" t="n">
        <x:f>'销售费用'!I5+'管理费用'!I5+'蓝恐龙费用'!I5</x:f>
        <x:v>697.56</x:v>
      </x:c>
      <x:c r="J5" s="3" t="n">
        <x:f>'销售费用'!J5+'管理费用'!J5+'蓝恐龙费用'!J5</x:f>
        <x:v>413.26</x:v>
      </x:c>
      <x:c r="K5" s="3" t="n">
        <x:f>'销售费用'!K5+'管理费用'!K5+'蓝恐龙费用'!K5</x:f>
        <x:v>1106.27</x:v>
      </x:c>
      <x:c r="L5" s="3" t="n">
        <x:f>'销售费用'!L5+'管理费用'!L5+'蓝恐龙费用'!L5</x:f>
        <x:v>433.49</x:v>
      </x:c>
      <x:c r="M5" s="3" t="n">
        <x:f>'销售费用'!M5+'管理费用'!M5+'蓝恐龙费用'!M5</x:f>
        <x:v>603.6800000000001</x:v>
      </x:c>
      <x:c r="N5" s="3" t="n">
        <x:f>'销售费用'!N5+'管理费用'!N5+'蓝恐龙费用'!N5</x:f>
        <x:v>491.99</x:v>
      </x:c>
      <x:c r="O5" s="3" t="n">
        <x:f>SUM(C5:N5)</x:f>
        <x:v>8539.65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'销售费用'!C6+'管理费用'!C6+'蓝恐龙费用'!C6</x:f>
        <x:v>540.49</x:v>
      </x:c>
      <x:c r="D6" s="3" t="n">
        <x:f>'销售费用'!D6+'管理费用'!D6+'蓝恐龙费用'!D6</x:f>
        <x:v>655.14</x:v>
      </x:c>
      <x:c r="E6" s="3" t="n">
        <x:f>'销售费用'!E6+'管理费用'!E6+'蓝恐龙费用'!E6</x:f>
        <x:v>472.52</x:v>
      </x:c>
      <x:c r="F6" s="3" t="n">
        <x:f>'销售费用'!F6+'管理费用'!F6+'蓝恐龙费用'!F6</x:f>
        <x:v>627.39</x:v>
      </x:c>
      <x:c r="G6" s="3" t="n">
        <x:f>'销售费用'!G6+'管理费用'!G6+'蓝恐龙费用'!G6</x:f>
        <x:v>998.77</x:v>
      </x:c>
      <x:c r="H6" s="3" t="n">
        <x:f>'销售费用'!H6+'管理费用'!H6+'蓝恐龙费用'!H6</x:f>
        <x:v>836.0699999999999</x:v>
      </x:c>
      <x:c r="I6" s="3" t="n">
        <x:f>'销售费用'!I6+'管理费用'!I6+'蓝恐龙费用'!I6</x:f>
        <x:v>996.9300000000001</x:v>
      </x:c>
      <x:c r="J6" s="3" t="n">
        <x:f>'销售费用'!J6+'管理费用'!J6+'蓝恐龙费用'!J6</x:f>
        <x:v>753.64</x:v>
      </x:c>
      <x:c r="K6" s="3" t="n">
        <x:f>'销售费用'!K6+'管理费用'!K6+'蓝恐龙费用'!K6</x:f>
        <x:v>730.3900000000001</x:v>
      </x:c>
      <x:c r="L6" s="3" t="n">
        <x:f>'销售费用'!L6+'管理费用'!L6+'蓝恐龙费用'!L6</x:f>
        <x:v>897.3299999999999</x:v>
      </x:c>
      <x:c r="M6" s="3" t="n">
        <x:f>'销售费用'!M6+'管理费用'!M6+'蓝恐龙费用'!M6</x:f>
        <x:v>460.64</x:v>
      </x:c>
      <x:c r="N6" s="3" t="n">
        <x:f>'销售费用'!N6+'管理费用'!N6+'蓝恐龙费用'!N6</x:f>
        <x:v>698.48</x:v>
      </x:c>
      <x:c r="O6" s="3" t="n">
        <x:f>SUM(C6:N6)</x:f>
        <x:v>8667.79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'销售费用'!C7+'管理费用'!C7+'蓝恐龙费用'!C7</x:f>
        <x:v>517.74</x:v>
      </x:c>
      <x:c r="D7" s="3" t="n">
        <x:f>'销售费用'!D7+'管理费用'!D7+'蓝恐龙费用'!D7</x:f>
        <x:v>553.41</x:v>
      </x:c>
      <x:c r="E7" s="3" t="n">
        <x:f>'销售费用'!E7+'管理费用'!E7+'蓝恐龙费用'!E7</x:f>
        <x:v>410.86</x:v>
      </x:c>
      <x:c r="F7" s="3" t="n">
        <x:f>'销售费用'!F7+'管理费用'!F7+'蓝恐龙费用'!F7</x:f>
        <x:v>680.61</x:v>
      </x:c>
      <x:c r="G7" s="3" t="n">
        <x:f>'销售费用'!G7+'管理费用'!G7+'蓝恐龙费用'!G7</x:f>
        <x:v>419.73</x:v>
      </x:c>
      <x:c r="H7" s="3" t="n">
        <x:f>'销售费用'!H7+'管理费用'!H7+'蓝恐龙费用'!H7</x:f>
        <x:v>585.33</x:v>
      </x:c>
      <x:c r="I7" s="3" t="n">
        <x:f>'销售费用'!I7+'管理费用'!I7+'蓝恐龙费用'!I7</x:f>
        <x:v>571.28</x:v>
      </x:c>
      <x:c r="J7" s="3" t="n">
        <x:f>'销售费用'!J7+'管理费用'!J7+'蓝恐龙费用'!J7</x:f>
        <x:v>552.7</x:v>
      </x:c>
      <x:c r="K7" s="3" t="n">
        <x:f>'销售费用'!K7+'管理费用'!K7+'蓝恐龙费用'!K7</x:f>
        <x:v>1112.52</x:v>
      </x:c>
      <x:c r="L7" s="3" t="n">
        <x:f>'销售费用'!L7+'管理费用'!L7+'蓝恐龙费用'!L7</x:f>
        <x:v>577.1600000000001</x:v>
      </x:c>
      <x:c r="M7" s="3" t="n">
        <x:f>'销售费用'!M7+'管理费用'!M7+'蓝恐龙费用'!M7</x:f>
        <x:v>703.07</x:v>
      </x:c>
      <x:c r="N7" s="3" t="n">
        <x:f>'销售费用'!N7+'管理费用'!N7+'蓝恐龙费用'!N7</x:f>
        <x:v>659.17</x:v>
      </x:c>
      <x:c r="O7" s="3" t="n">
        <x:f>SUM(C7:N7)</x:f>
        <x:v>7343.58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'销售费用'!C8+'管理费用'!C8+'蓝恐龙费用'!C8</x:f>
        <x:v>746.53</x:v>
      </x:c>
      <x:c r="D8" s="3" t="n">
        <x:f>'销售费用'!D8+'管理费用'!D8+'蓝恐龙费用'!D8</x:f>
        <x:v>734.74</x:v>
      </x:c>
      <x:c r="E8" s="3" t="n">
        <x:f>'销售费用'!E8+'管理费用'!E8+'蓝恐龙费用'!E8</x:f>
        <x:v>982.9199999999998</x:v>
      </x:c>
      <x:c r="F8" s="3" t="n">
        <x:f>'销售费用'!F8+'管理费用'!F8+'蓝恐龙费用'!F8</x:f>
        <x:v>521.78</x:v>
      </x:c>
      <x:c r="G8" s="3" t="n">
        <x:f>'销售费用'!G8+'管理费用'!G8+'蓝恐龙费用'!G8</x:f>
        <x:v>833.7</x:v>
      </x:c>
      <x:c r="H8" s="3" t="n">
        <x:f>'销售费用'!H8+'管理费用'!H8+'蓝恐龙费用'!H8</x:f>
        <x:v>491.61</x:v>
      </x:c>
      <x:c r="I8" s="3" t="n">
        <x:f>'销售费用'!I8+'管理费用'!I8+'蓝恐龙费用'!I8</x:f>
        <x:v>696.1899999999999</x:v>
      </x:c>
      <x:c r="J8" s="3" t="n">
        <x:f>'销售费用'!J8+'管理费用'!J8+'蓝恐龙费用'!J8</x:f>
        <x:v>874.39</x:v>
      </x:c>
      <x:c r="K8" s="3" t="n">
        <x:f>'销售费用'!K8+'管理费用'!K8+'蓝恐龙费用'!K8</x:f>
        <x:v>674.62</x:v>
      </x:c>
      <x:c r="L8" s="3" t="n">
        <x:f>'销售费用'!L8+'管理费用'!L8+'蓝恐龙费用'!L8</x:f>
        <x:v>1036.77</x:v>
      </x:c>
      <x:c r="M8" s="3" t="n">
        <x:f>'销售费用'!M8+'管理费用'!M8+'蓝恐龙费用'!M8</x:f>
        <x:v>605.77</x:v>
      </x:c>
      <x:c r="N8" s="3" t="n">
        <x:f>'销售费用'!N8+'管理费用'!N8+'蓝恐龙费用'!N8</x:f>
        <x:v>787.9000000000001</x:v>
      </x:c>
      <x:c r="O8" s="3" t="n">
        <x:f>SUM(C8:N8)</x:f>
        <x:v>8986.919999999998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'销售费用'!C9+'管理费用'!C9+'蓝恐龙费用'!C9</x:f>
        <x:v>562.9</x:v>
      </x:c>
      <x:c r="D9" s="3" t="n">
        <x:f>'销售费用'!D9+'管理费用'!D9+'蓝恐龙费用'!D9</x:f>
        <x:v>502.53999999999996</x:v>
      </x:c>
      <x:c r="E9" s="3" t="n">
        <x:f>'销售费用'!E9+'管理费用'!E9+'蓝恐龙费用'!E9</x:f>
        <x:v>725.61</x:v>
      </x:c>
      <x:c r="F9" s="3" t="n">
        <x:f>'销售费用'!F9+'管理费用'!F9+'蓝恐龙费用'!F9</x:f>
        <x:v>703.48</x:v>
      </x:c>
      <x:c r="G9" s="3" t="n">
        <x:f>'销售费用'!G9+'管理费用'!G9+'蓝恐龙费用'!G9</x:f>
        <x:v>667.26</x:v>
      </x:c>
      <x:c r="H9" s="3" t="n">
        <x:f>'销售费用'!H9+'管理费用'!H9+'蓝恐龙费用'!H9</x:f>
        <x:v>765.07</x:v>
      </x:c>
      <x:c r="I9" s="3" t="n">
        <x:f>'销售费用'!I9+'管理费用'!I9+'蓝恐龙费用'!I9</x:f>
        <x:v>1046.18</x:v>
      </x:c>
      <x:c r="J9" s="3" t="n">
        <x:f>'销售费用'!J9+'管理费用'!J9+'蓝恐龙费用'!J9</x:f>
        <x:v>652.14</x:v>
      </x:c>
      <x:c r="K9" s="3" t="n">
        <x:f>'销售费用'!K9+'管理费用'!K9+'蓝恐龙费用'!K9</x:f>
        <x:v>607.64</x:v>
      </x:c>
      <x:c r="L9" s="3" t="n">
        <x:f>'销售费用'!L9+'管理费用'!L9+'蓝恐龙费用'!L9</x:f>
        <x:v>568.85</x:v>
      </x:c>
      <x:c r="M9" s="3" t="n">
        <x:f>'销售费用'!M9+'管理费用'!M9+'蓝恐龙费用'!M9</x:f>
        <x:v>613.19</x:v>
      </x:c>
      <x:c r="N9" s="3" t="n">
        <x:f>'销售费用'!N9+'管理费用'!N9+'蓝恐龙费用'!N9</x:f>
        <x:v>883.19</x:v>
      </x:c>
      <x:c r="O9" s="3" t="n">
        <x:f>SUM(C9:N9)</x:f>
        <x:v>8298.050000000001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'销售费用'!C10+'管理费用'!C10+'蓝恐龙费用'!C10</x:f>
        <x:v>589.48</x:v>
      </x:c>
      <x:c r="D10" s="3" t="n">
        <x:f>'销售费用'!D10+'管理费用'!D10+'蓝恐龙费用'!D10</x:f>
        <x:v>509.41</x:v>
      </x:c>
      <x:c r="E10" s="3" t="n">
        <x:f>'销售费用'!E10+'管理费用'!E10+'蓝恐龙费用'!E10</x:f>
        <x:v>929.1700000000001</x:v>
      </x:c>
      <x:c r="F10" s="3" t="n">
        <x:f>'销售费用'!F10+'管理费用'!F10+'蓝恐龙费用'!F10</x:f>
        <x:v>562.9499999999999</x:v>
      </x:c>
      <x:c r="G10" s="3" t="n">
        <x:f>'销售费用'!G10+'管理费用'!G10+'蓝恐龙费用'!G10</x:f>
        <x:v>745.1099999999999</x:v>
      </x:c>
      <x:c r="H10" s="3" t="n">
        <x:f>'销售费用'!H10+'管理费用'!H10+'蓝恐龙费用'!H10</x:f>
        <x:v>737.98</x:v>
      </x:c>
      <x:c r="I10" s="3" t="n">
        <x:f>'销售费用'!I10+'管理费用'!I10+'蓝恐龙费用'!I10</x:f>
        <x:v>834.24</x:v>
      </x:c>
      <x:c r="J10" s="3" t="n">
        <x:f>'销售费用'!J10+'管理费用'!J10+'蓝恐龙费用'!J10</x:f>
        <x:v>486.27000000000004</x:v>
      </x:c>
      <x:c r="K10" s="3" t="n">
        <x:f>'销售费用'!K10+'管理费用'!K10+'蓝恐龙费用'!K10</x:f>
        <x:v>1041.56</x:v>
      </x:c>
      <x:c r="L10" s="3" t="n">
        <x:f>'销售费用'!L10+'管理费用'!L10+'蓝恐龙费用'!L10</x:f>
        <x:v>663.85</x:v>
      </x:c>
      <x:c r="M10" s="3" t="n">
        <x:f>'销售费用'!M10+'管理费用'!M10+'蓝恐龙费用'!M10</x:f>
        <x:v>891.1199999999999</x:v>
      </x:c>
      <x:c r="N10" s="3" t="n">
        <x:f>'销售费用'!N10+'管理费用'!N10+'蓝恐龙费用'!N10</x:f>
        <x:v>879.1500000000001</x:v>
      </x:c>
      <x:c r="O10" s="3" t="n">
        <x:f>SUM(C10:N10)</x:f>
        <x:v>8870.29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'销售费用'!C11+'管理费用'!C11+'蓝恐龙费用'!C11</x:f>
        <x:v>923.69</x:v>
      </x:c>
      <x:c r="D11" s="3" t="n">
        <x:f>'销售费用'!D11+'管理费用'!D11+'蓝恐龙费用'!D11</x:f>
        <x:v>761.04</x:v>
      </x:c>
      <x:c r="E11" s="3" t="n">
        <x:f>'销售费用'!E11+'管理费用'!E11+'蓝恐龙费用'!E11</x:f>
        <x:v>868.03</x:v>
      </x:c>
      <x:c r="F11" s="3" t="n">
        <x:f>'销售费用'!F11+'管理费用'!F11+'蓝恐龙费用'!F11</x:f>
        <x:v>779.52</x:v>
      </x:c>
      <x:c r="G11" s="3" t="n">
        <x:f>'销售费用'!G11+'管理费用'!G11+'蓝恐龙费用'!G11</x:f>
        <x:v>681.24</x:v>
      </x:c>
      <x:c r="H11" s="3" t="n">
        <x:f>'销售费用'!H11+'管理费用'!H11+'蓝恐龙费用'!H11</x:f>
        <x:v>524.44</x:v>
      </x:c>
      <x:c r="I11" s="3" t="n">
        <x:f>'销售费用'!I11+'管理费用'!I11+'蓝恐龙费用'!I11</x:f>
        <x:v>892.92</x:v>
      </x:c>
      <x:c r="J11" s="3" t="n">
        <x:f>'销售费用'!J11+'管理费用'!J11+'蓝恐龙费用'!J11</x:f>
        <x:v>492.7</x:v>
      </x:c>
      <x:c r="K11" s="3" t="n">
        <x:f>'销售费用'!K11+'管理费用'!K11+'蓝恐龙费用'!K11</x:f>
        <x:v>770.55</x:v>
      </x:c>
      <x:c r="L11" s="3" t="n">
        <x:f>'销售费用'!L11+'管理费用'!L11+'蓝恐龙费用'!L11</x:f>
        <x:v>490.97</x:v>
      </x:c>
      <x:c r="M11" s="3" t="n">
        <x:f>'销售费用'!M11+'管理费用'!M11+'蓝恐龙费用'!M11</x:f>
        <x:v>999.1600000000001</x:v>
      </x:c>
      <x:c r="N11" s="3" t="n">
        <x:f>'销售费用'!N11+'管理费用'!N11+'蓝恐龙费用'!N11</x:f>
        <x:v>877.94</x:v>
      </x:c>
      <x:c r="O11" s="3" t="n">
        <x:f>SUM(C11:N11)</x:f>
        <x:v>9062.2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'销售费用'!C12+'管理费用'!C12+'蓝恐龙费用'!C12</x:f>
        <x:v>872.6700000000001</x:v>
      </x:c>
      <x:c r="D12" s="3" t="n">
        <x:f>'销售费用'!D12+'管理费用'!D12+'蓝恐龙费用'!D12</x:f>
        <x:v>220.07</x:v>
      </x:c>
      <x:c r="E12" s="3" t="n">
        <x:f>'销售费用'!E12+'管理费用'!E12+'蓝恐龙费用'!E12</x:f>
        <x:v>771.1400000000001</x:v>
      </x:c>
      <x:c r="F12" s="3" t="n">
        <x:f>'销售费用'!F12+'管理费用'!F12+'蓝恐龙费用'!F12</x:f>
        <x:v>723.82</x:v>
      </x:c>
      <x:c r="G12" s="3" t="n">
        <x:f>'销售费用'!G12+'管理费用'!G12+'蓝恐龙费用'!G12</x:f>
        <x:v>1061.22</x:v>
      </x:c>
      <x:c r="H12" s="3" t="n">
        <x:f>'销售费用'!H12+'管理费用'!H12+'蓝恐龙费用'!H12</x:f>
        <x:v>717.61</x:v>
      </x:c>
      <x:c r="I12" s="3" t="n">
        <x:f>'销售费用'!I12+'管理费用'!I12+'蓝恐龙费用'!I12</x:f>
        <x:v>815.22</x:v>
      </x:c>
      <x:c r="J12" s="3" t="n">
        <x:f>'销售费用'!J12+'管理费用'!J12+'蓝恐龙费用'!J12</x:f>
        <x:v>699.34</x:v>
      </x:c>
      <x:c r="K12" s="3" t="n">
        <x:f>'销售费用'!K12+'管理费用'!K12+'蓝恐龙费用'!K12</x:f>
        <x:v>929.7</x:v>
      </x:c>
      <x:c r="L12" s="3" t="n">
        <x:f>'销售费用'!L12+'管理费用'!L12+'蓝恐龙费用'!L12</x:f>
        <x:v>794.24</x:v>
      </x:c>
      <x:c r="M12" s="3" t="n">
        <x:f>'销售费用'!M12+'管理费用'!M12+'蓝恐龙费用'!M12</x:f>
        <x:v>654.9799999999999</x:v>
      </x:c>
      <x:c r="N12" s="3" t="n">
        <x:f>'销售费用'!N12+'管理费用'!N12+'蓝恐龙费用'!N12</x:f>
        <x:v>324.14</x:v>
      </x:c>
      <x:c r="O12" s="3" t="n">
        <x:f>SUM(C12:N12)</x:f>
        <x:v>8584.15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'销售费用'!C13+'管理费用'!C13+'蓝恐龙费用'!C13</x:f>
        <x:v>722.2199999999999</x:v>
      </x:c>
      <x:c r="D13" s="3" t="n">
        <x:f>'销售费用'!D13+'管理费用'!D13+'蓝恐龙费用'!D13</x:f>
        <x:v>474.45000000000005</x:v>
      </x:c>
      <x:c r="E13" s="3" t="n">
        <x:f>'销售费用'!E13+'管理费用'!E13+'蓝恐龙费用'!E13</x:f>
        <x:v>682.7900000000001</x:v>
      </x:c>
      <x:c r="F13" s="3" t="n">
        <x:f>'销售费用'!F13+'管理费用'!F13+'蓝恐龙费用'!F13</x:f>
        <x:v>757.32</x:v>
      </x:c>
      <x:c r="G13" s="3" t="n">
        <x:f>'销售费用'!G13+'管理费用'!G13+'蓝恐龙费用'!G13</x:f>
        <x:v>530.46</x:v>
      </x:c>
      <x:c r="H13" s="3" t="n">
        <x:f>'销售费用'!H13+'管理费用'!H13+'蓝恐龙费用'!H13</x:f>
        <x:v>781.16</x:v>
      </x:c>
      <x:c r="I13" s="3" t="n">
        <x:f>'销售费用'!I13+'管理费用'!I13+'蓝恐龙费用'!I13</x:f>
        <x:v>532.51</x:v>
      </x:c>
      <x:c r="J13" s="3" t="n">
        <x:f>'销售费用'!J13+'管理费用'!J13+'蓝恐龙费用'!J13</x:f>
        <x:v>734.5699999999999</x:v>
      </x:c>
      <x:c r="K13" s="3" t="n">
        <x:f>'销售费用'!K13+'管理费用'!K13+'蓝恐龙费用'!K13</x:f>
        <x:v>930.4099999999999</x:v>
      </x:c>
      <x:c r="L13" s="3" t="n">
        <x:f>'销售费用'!L13+'管理费用'!L13+'蓝恐龙费用'!L13</x:f>
        <x:v>585.3299999999999</x:v>
      </x:c>
      <x:c r="M13" s="3" t="n">
        <x:f>'销售费用'!M13+'管理费用'!M13+'蓝恐龙费用'!M13</x:f>
        <x:v>580.93</x:v>
      </x:c>
      <x:c r="N13" s="3" t="n">
        <x:f>'销售费用'!N13+'管理费用'!N13+'蓝恐龙费用'!N13</x:f>
        <x:v>717.24</x:v>
      </x:c>
      <x:c r="O13" s="3" t="n">
        <x:f>SUM(C13:N13)</x:f>
        <x:v>8029.389999999999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'销售费用'!C14+'管理费用'!C14+'蓝恐龙费用'!C14</x:f>
        <x:v>397.82000000000005</x:v>
      </x:c>
      <x:c r="D14" s="3" t="n">
        <x:f>'销售费用'!D14+'管理费用'!D14+'蓝恐龙费用'!D14</x:f>
        <x:v>782.3399999999999</x:v>
      </x:c>
      <x:c r="E14" s="3" t="n">
        <x:f>'销售费用'!E14+'管理费用'!E14+'蓝恐龙费用'!E14</x:f>
        <x:v>945.94</x:v>
      </x:c>
      <x:c r="F14" s="3" t="n">
        <x:f>'销售费用'!F14+'管理费用'!F14+'蓝恐龙费用'!F14</x:f>
        <x:v>1075.77</x:v>
      </x:c>
      <x:c r="G14" s="3" t="n">
        <x:f>'销售费用'!G14+'管理费用'!G14+'蓝恐龙费用'!G14</x:f>
        <x:v>726.29</x:v>
      </x:c>
      <x:c r="H14" s="3" t="n">
        <x:f>'销售费用'!H14+'管理费用'!H14+'蓝恐龙费用'!H14</x:f>
        <x:v>538.29</x:v>
      </x:c>
      <x:c r="I14" s="3" t="n">
        <x:f>'销售费用'!I14+'管理费用'!I14+'蓝恐龙费用'!I14</x:f>
        <x:v>603.49</x:v>
      </x:c>
      <x:c r="J14" s="3" t="n">
        <x:f>'销售费用'!J14+'管理费用'!J14+'蓝恐龙费用'!J14</x:f>
        <x:v>939.54</x:v>
      </x:c>
      <x:c r="K14" s="3" t="n">
        <x:f>'销售费用'!K14+'管理费用'!K14+'蓝恐龙费用'!K14</x:f>
        <x:v>823.51</x:v>
      </x:c>
      <x:c r="L14" s="3" t="n">
        <x:f>'销售费用'!L14+'管理费用'!L14+'蓝恐龙费用'!L14</x:f>
        <x:v>656.12</x:v>
      </x:c>
      <x:c r="M14" s="3" t="n">
        <x:f>'销售费用'!M14+'管理费用'!M14+'蓝恐龙费用'!M14</x:f>
        <x:v>920.99</x:v>
      </x:c>
      <x:c r="N14" s="3" t="n">
        <x:f>'销售费用'!N14+'管理费用'!N14+'蓝恐龙费用'!N14</x:f>
        <x:v>571.24</x:v>
      </x:c>
      <x:c r="O14" s="3" t="n">
        <x:f>SUM(C14:N14)</x:f>
        <x:v>8981.34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'销售费用'!C15+'管理费用'!C15+'蓝恐龙费用'!C15</x:f>
        <x:v>681.5</x:v>
      </x:c>
      <x:c r="D15" s="3" t="n">
        <x:f>'销售费用'!D15+'管理费用'!D15+'蓝恐龙费用'!D15</x:f>
        <x:v>809.29</x:v>
      </x:c>
      <x:c r="E15" s="3" t="n">
        <x:f>'销售费用'!E15+'管理费用'!E15+'蓝恐龙费用'!E15</x:f>
        <x:v>452.06000000000006</x:v>
      </x:c>
      <x:c r="F15" s="3" t="n">
        <x:f>'销售费用'!F15+'管理费用'!F15+'蓝恐龙费用'!F15</x:f>
        <x:v>651.15</x:v>
      </x:c>
      <x:c r="G15" s="3" t="n">
        <x:f>'销售费用'!G15+'管理费用'!G15+'蓝恐龙费用'!G15</x:f>
        <x:v>1010.5500000000001</x:v>
      </x:c>
      <x:c r="H15" s="3" t="n">
        <x:f>'销售费用'!H15+'管理费用'!H15+'蓝恐龙费用'!H15</x:f>
        <x:v>900.7</x:v>
      </x:c>
      <x:c r="I15" s="3" t="n">
        <x:f>'销售费用'!I15+'管理费用'!I15+'蓝恐龙费用'!I15</x:f>
        <x:v>1025.1100000000001</x:v>
      </x:c>
      <x:c r="J15" s="3" t="n">
        <x:f>'销售费用'!J15+'管理费用'!J15+'蓝恐龙费用'!J15</x:f>
        <x:v>754.6499999999999</x:v>
      </x:c>
      <x:c r="K15" s="3" t="n">
        <x:f>'销售费用'!K15+'管理费用'!K15+'蓝恐龙费用'!K15</x:f>
        <x:v>1215.19</x:v>
      </x:c>
      <x:c r="L15" s="3" t="n">
        <x:f>'销售费用'!L15+'管理费用'!L15+'蓝恐龙费用'!L15</x:f>
        <x:v>812.3000000000001</x:v>
      </x:c>
      <x:c r="M15" s="3" t="n">
        <x:f>'销售费用'!M15+'管理费用'!M15+'蓝恐龙费用'!M15</x:f>
        <x:v>640.51</x:v>
      </x:c>
      <x:c r="N15" s="3" t="n">
        <x:f>'销售费用'!N15+'管理费用'!N15+'蓝恐龙费用'!N15</x:f>
        <x:v>561.05</x:v>
      </x:c>
      <x:c r="O15" s="3" t="n">
        <x:f>SUM(C15:N15)</x:f>
        <x:v>9514.06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'销售费用'!C16+'管理费用'!C16+'蓝恐龙费用'!C16</x:f>
        <x:v>792.6199999999999</x:v>
      </x:c>
      <x:c r="D16" s="3" t="n">
        <x:f>'销售费用'!D16+'管理费用'!D16+'蓝恐龙费用'!D16</x:f>
        <x:v>506.15</x:v>
      </x:c>
      <x:c r="E16" s="3" t="n">
        <x:f>'销售费用'!E16+'管理费用'!E16+'蓝恐龙费用'!E16</x:f>
        <x:v>594.55</x:v>
      </x:c>
      <x:c r="F16" s="3" t="n">
        <x:f>'销售费用'!F16+'管理费用'!F16+'蓝恐龙费用'!F16</x:f>
        <x:v>1080.5900000000001</x:v>
      </x:c>
      <x:c r="G16" s="3" t="n">
        <x:f>'销售费用'!G16+'管理费用'!G16+'蓝恐龙费用'!G16</x:f>
        <x:v>727.6199999999999</x:v>
      </x:c>
      <x:c r="H16" s="3" t="n">
        <x:f>'销售费用'!H16+'管理费用'!H16+'蓝恐龙费用'!H16</x:f>
        <x:v>1103.56</x:v>
      </x:c>
      <x:c r="I16" s="3" t="n">
        <x:f>'销售费用'!I16+'管理费用'!I16+'蓝恐龙费用'!I16</x:f>
        <x:v>878.39</x:v>
      </x:c>
      <x:c r="J16" s="3" t="n">
        <x:f>'销售费用'!J16+'管理费用'!J16+'蓝恐龙费用'!J16</x:f>
        <x:v>475.91999999999996</x:v>
      </x:c>
      <x:c r="K16" s="3" t="n">
        <x:f>'销售费用'!K16+'管理费用'!K16+'蓝恐龙费用'!K16</x:f>
        <x:v>657.6</x:v>
      </x:c>
      <x:c r="L16" s="3" t="n">
        <x:f>'销售费用'!L16+'管理费用'!L16+'蓝恐龙费用'!L16</x:f>
        <x:v>702.8599999999999</x:v>
      </x:c>
      <x:c r="M16" s="3" t="n">
        <x:f>'销售费用'!M16+'管理费用'!M16+'蓝恐龙费用'!M16</x:f>
        <x:v>692.01</x:v>
      </x:c>
      <x:c r="N16" s="3" t="n">
        <x:f>'销售费用'!N16+'管理费用'!N16+'蓝恐龙费用'!N16</x:f>
        <x:v>1107.47</x:v>
      </x:c>
      <x:c r="O16" s="3" t="n">
        <x:f>SUM(C16:N16)</x:f>
        <x:v>9319.34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'销售费用'!C17+'管理费用'!C17+'蓝恐龙费用'!C17</x:f>
        <x:v>535.85</x:v>
      </x:c>
      <x:c r="D17" s="3" t="n">
        <x:f>'销售费用'!D17+'管理费用'!D17+'蓝恐龙费用'!D17</x:f>
        <x:v>488.81</x:v>
      </x:c>
      <x:c r="E17" s="3" t="n">
        <x:f>'销售费用'!E17+'管理费用'!E17+'蓝恐龙费用'!E17</x:f>
        <x:v>703.18</x:v>
      </x:c>
      <x:c r="F17" s="3" t="n">
        <x:f>'销售费用'!F17+'管理费用'!F17+'蓝恐龙费用'!F17</x:f>
        <x:v>769.26</x:v>
      </x:c>
      <x:c r="G17" s="3" t="n">
        <x:f>'销售费用'!G17+'管理费用'!G17+'蓝恐龙费用'!G17</x:f>
        <x:v>620.78</x:v>
      </x:c>
      <x:c r="H17" s="3" t="n">
        <x:f>'销售费用'!H17+'管理费用'!H17+'蓝恐龙费用'!H17</x:f>
        <x:v>575.59</x:v>
      </x:c>
      <x:c r="I17" s="3" t="n">
        <x:f>'销售费用'!I17+'管理费用'!I17+'蓝恐龙费用'!I17</x:f>
        <x:v>614.65</x:v>
      </x:c>
      <x:c r="J17" s="3" t="n">
        <x:f>'销售费用'!J17+'管理费用'!J17+'蓝恐龙费用'!J17</x:f>
        <x:v>671.09</x:v>
      </x:c>
      <x:c r="K17" s="3" t="n">
        <x:f>'销售费用'!K17+'管理费用'!K17+'蓝恐龙费用'!K17</x:f>
        <x:v>697</x:v>
      </x:c>
      <x:c r="L17" s="3" t="n">
        <x:f>'销售费用'!L17+'管理费用'!L17+'蓝恐龙费用'!L17</x:f>
        <x:v>677.76</x:v>
      </x:c>
      <x:c r="M17" s="3" t="n">
        <x:f>'销售费用'!M17+'管理费用'!M17+'蓝恐龙费用'!M17</x:f>
        <x:v>1002.4599999999999</x:v>
      </x:c>
      <x:c r="N17" s="3" t="n">
        <x:f>'销售费用'!N17+'管理费用'!N17+'蓝恐龙费用'!N17</x:f>
        <x:v>677.87</x:v>
      </x:c>
      <x:c r="O17" s="3" t="n">
        <x:f>SUM(C17:N17)</x:f>
        <x:v>8034.3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'销售费用'!C18+'管理费用'!C18+'蓝恐龙费用'!C18</x:f>
        <x:v>851.56</x:v>
      </x:c>
      <x:c r="D18" s="3" t="n">
        <x:f>'销售费用'!D18+'管理费用'!D18+'蓝恐龙费用'!D18</x:f>
        <x:v>816.3399999999999</x:v>
      </x:c>
      <x:c r="E18" s="3" t="n">
        <x:f>'销售费用'!E18+'管理费用'!E18+'蓝恐龙费用'!E18</x:f>
        <x:v>701.67</x:v>
      </x:c>
      <x:c r="F18" s="3" t="n">
        <x:f>'销售费用'!F18+'管理费用'!F18+'蓝恐龙费用'!F18</x:f>
        <x:v>765.67</x:v>
      </x:c>
      <x:c r="G18" s="3" t="n">
        <x:f>'销售费用'!G18+'管理费用'!G18+'蓝恐龙费用'!G18</x:f>
        <x:v>595.8</x:v>
      </x:c>
      <x:c r="H18" s="3" t="n">
        <x:f>'销售费用'!H18+'管理费用'!H18+'蓝恐龙费用'!H18</x:f>
        <x:v>584.95</x:v>
      </x:c>
      <x:c r="I18" s="3" t="n">
        <x:f>'销售费用'!I18+'管理费用'!I18+'蓝恐龙费用'!I18</x:f>
        <x:v>628.8100000000001</x:v>
      </x:c>
      <x:c r="J18" s="3" t="n">
        <x:f>'销售费用'!J18+'管理费用'!J18+'蓝恐龙费用'!J18</x:f>
        <x:v>671.5699999999999</x:v>
      </x:c>
      <x:c r="K18" s="3" t="n">
        <x:f>'销售费用'!K18+'管理费用'!K18+'蓝恐龙费用'!K18</x:f>
        <x:v>586.6500000000001</x:v>
      </x:c>
      <x:c r="L18" s="3" t="n">
        <x:f>'销售费用'!L18+'管理费用'!L18+'蓝恐龙费用'!L18</x:f>
        <x:v>611.0799999999999</x:v>
      </x:c>
      <x:c r="M18" s="3" t="n">
        <x:f>'销售费用'!M18+'管理费用'!M18+'蓝恐龙费用'!M18</x:f>
        <x:v>385.82000000000005</x:v>
      </x:c>
      <x:c r="N18" s="3" t="n">
        <x:f>'销售费用'!N18+'管理费用'!N18+'蓝恐龙费用'!N18</x:f>
        <x:v>942.43</x:v>
      </x:c>
      <x:c r="O18" s="3" t="n">
        <x:f>SUM(C18:N18)</x:f>
        <x:v>8142.35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'销售费用'!C19+'管理费用'!C19+'蓝恐龙费用'!C19</x:f>
        <x:v>774.45</x:v>
      </x:c>
      <x:c r="D19" s="3" t="n">
        <x:f>'销售费用'!D19+'管理费用'!D19+'蓝恐龙费用'!D19</x:f>
        <x:v>701.44</x:v>
      </x:c>
      <x:c r="E19" s="3" t="n">
        <x:f>'销售费用'!E19+'管理费用'!E19+'蓝恐龙费用'!E19</x:f>
        <x:v>625.5500000000001</x:v>
      </x:c>
      <x:c r="F19" s="3" t="n">
        <x:f>'销售费用'!F19+'管理费用'!F19+'蓝恐龙费用'!F19</x:f>
        <x:v>658.13</x:v>
      </x:c>
      <x:c r="G19" s="3" t="n">
        <x:f>'销售费用'!G19+'管理费用'!G19+'蓝恐龙费用'!G19</x:f>
        <x:v>440.97999999999996</x:v>
      </x:c>
      <x:c r="H19" s="3" t="n">
        <x:f>'销售费用'!H19+'管理费用'!H19+'蓝恐龙费用'!H19</x:f>
        <x:v>721.69</x:v>
      </x:c>
      <x:c r="I19" s="3" t="n">
        <x:f>'销售费用'!I19+'管理费用'!I19+'蓝恐龙费用'!I19</x:f>
        <x:v>671.6800000000001</x:v>
      </x:c>
      <x:c r="J19" s="3" t="n">
        <x:f>'销售费用'!J19+'管理费用'!J19+'蓝恐龙费用'!J19</x:f>
        <x:v>421.44</x:v>
      </x:c>
      <x:c r="K19" s="3" t="n">
        <x:f>'销售费用'!K19+'管理费用'!K19+'蓝恐龙费用'!K19</x:f>
        <x:v>1051.12</x:v>
      </x:c>
      <x:c r="L19" s="3" t="n">
        <x:f>'销售费用'!L19+'管理费用'!L19+'蓝恐龙费用'!L19</x:f>
        <x:v>619.98</x:v>
      </x:c>
      <x:c r="M19" s="3" t="n">
        <x:f>'销售费用'!M19+'管理费用'!M19+'蓝恐龙费用'!M19</x:f>
        <x:v>662.5</x:v>
      </x:c>
      <x:c r="N19" s="3" t="n">
        <x:f>'销售费用'!N19+'管理费用'!N19+'蓝恐龙费用'!N19</x:f>
        <x:v>700.6700000000001</x:v>
      </x:c>
      <x:c r="O19" s="3" t="n">
        <x:f>SUM(C19:N19)</x:f>
        <x:v>8049.629999999999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'销售费用'!C20+'管理费用'!C20+'蓝恐龙费用'!C20</x:f>
        <x:v>1777.29</x:v>
      </x:c>
      <x:c r="D20" s="3" t="n">
        <x:f>'销售费用'!D20+'管理费用'!D20+'蓝恐龙费用'!D20</x:f>
        <x:v>1777.29</x:v>
      </x:c>
      <x:c r="E20" s="3" t="n">
        <x:f>'销售费用'!E20+'管理费用'!E20+'蓝恐龙费用'!E20</x:f>
        <x:v>1777.29</x:v>
      </x:c>
      <x:c r="F20" s="3" t="n">
        <x:f>'销售费用'!F20+'管理费用'!F20+'蓝恐龙费用'!F20</x:f>
        <x:v>1777.29</x:v>
      </x:c>
      <x:c r="G20" s="3" t="n">
        <x:f>'销售费用'!G20+'管理费用'!G20+'蓝恐龙费用'!G20</x:f>
        <x:v>1777.29</x:v>
      </x:c>
      <x:c r="H20" s="3" t="n">
        <x:f>'销售费用'!H20+'管理费用'!H20+'蓝恐龙费用'!H20</x:f>
        <x:v>1777.29</x:v>
      </x:c>
      <x:c r="I20" s="3" t="n">
        <x:f>'销售费用'!I20+'管理费用'!I20+'蓝恐龙费用'!I20</x:f>
        <x:v>1777.29</x:v>
      </x:c>
      <x:c r="J20" s="3" t="n">
        <x:f>'销售费用'!J20+'管理费用'!J20+'蓝恐龙费用'!J20</x:f>
        <x:v>1777.29</x:v>
      </x:c>
      <x:c r="K20" s="3" t="n">
        <x:f>'销售费用'!K20+'管理费用'!K20+'蓝恐龙费用'!K20</x:f>
        <x:v>1777.29</x:v>
      </x:c>
      <x:c r="L20" s="3" t="n">
        <x:f>'销售费用'!L20+'管理费用'!L20+'蓝恐龙费用'!L20</x:f>
        <x:v>1777.29</x:v>
      </x:c>
      <x:c r="M20" s="3" t="n">
        <x:f>'销售费用'!M20+'管理费用'!M20+'蓝恐龙费用'!M20</x:f>
        <x:v>1777.29</x:v>
      </x:c>
      <x:c r="N20" s="3" t="n">
        <x:f>'销售费用'!N20+'管理费用'!N20+'蓝恐龙费用'!N20</x:f>
        <x:v>1777.29</x:v>
      </x:c>
      <x:c r="O20" s="3" t="n">
        <x:f>SUM(C20:N20)</x:f>
        <x:v>21327.480000000007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'销售费用'!C21+'管理费用'!C21+'蓝恐龙费用'!C21</x:f>
        <x:v>668.73</x:v>
      </x:c>
      <x:c r="D21" s="3" t="n">
        <x:f>'销售费用'!D21+'管理费用'!D21+'蓝恐龙费用'!D21</x:f>
        <x:v>588.3</x:v>
      </x:c>
      <x:c r="E21" s="3" t="n">
        <x:f>'销售费用'!E21+'管理费用'!E21+'蓝恐龙费用'!E21</x:f>
        <x:v>991.12</x:v>
      </x:c>
      <x:c r="F21" s="3" t="n">
        <x:f>'销售费用'!F21+'管理费用'!F21+'蓝恐龙费用'!F21</x:f>
        <x:v>673.04</x:v>
      </x:c>
      <x:c r="G21" s="3" t="n">
        <x:f>'销售费用'!G21+'管理费用'!G21+'蓝恐龙费用'!G21</x:f>
        <x:v>489.38</x:v>
      </x:c>
      <x:c r="H21" s="3" t="n">
        <x:f>'销售费用'!H21+'管理费用'!H21+'蓝恐龙费用'!H21</x:f>
        <x:v>685.34</x:v>
      </x:c>
      <x:c r="I21" s="3" t="n">
        <x:f>'销售费用'!I21+'管理费用'!I21+'蓝恐龙费用'!I21</x:f>
        <x:v>806.75</x:v>
      </x:c>
      <x:c r="J21" s="3" t="n">
        <x:f>'销售费用'!J21+'管理费用'!J21+'蓝恐龙费用'!J21</x:f>
        <x:v>356.66</x:v>
      </x:c>
      <x:c r="K21" s="3" t="n">
        <x:f>'销售费用'!K21+'管理费用'!K21+'蓝恐龙费用'!K21</x:f>
        <x:v>1049.84</x:v>
      </x:c>
      <x:c r="L21" s="3" t="n">
        <x:f>'销售费用'!L21+'管理费用'!L21+'蓝恐龙费用'!L21</x:f>
        <x:v>989.42</x:v>
      </x:c>
      <x:c r="M21" s="3" t="n">
        <x:f>'销售费用'!M21+'管理费用'!M21+'蓝恐龙费用'!M21</x:f>
        <x:v>1147.69</x:v>
      </x:c>
      <x:c r="N21" s="3" t="n">
        <x:f>'销售费用'!N21+'管理费用'!N21+'蓝恐龙费用'!N21</x:f>
        <x:v>681.19</x:v>
      </x:c>
      <x:c r="O21" s="3" t="n">
        <x:f>SUM(C21:N21)</x:f>
        <x:v>9127.460000000001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'销售费用'!C22+'管理费用'!C22+'蓝恐龙费用'!C22</x:f>
        <x:v>486.8</x:v>
      </x:c>
      <x:c r="D22" s="3" t="n">
        <x:f>'销售费用'!D22+'管理费用'!D22+'蓝恐龙费用'!D22</x:f>
        <x:v>527.77</x:v>
      </x:c>
      <x:c r="E22" s="3" t="n">
        <x:f>'销售费用'!E22+'管理费用'!E22+'蓝恐龙费用'!E22</x:f>
        <x:v>410.74</x:v>
      </x:c>
      <x:c r="F22" s="3" t="n">
        <x:f>'销售费用'!F22+'管理费用'!F22+'蓝恐龙费用'!F22</x:f>
        <x:v>660.28</x:v>
      </x:c>
      <x:c r="G22" s="3" t="n">
        <x:f>'销售费用'!G22+'管理费用'!G22+'蓝恐龙费用'!G22</x:f>
        <x:v>838.37</x:v>
      </x:c>
      <x:c r="H22" s="3" t="n">
        <x:f>'销售费用'!H22+'管理费用'!H22+'蓝恐龙费用'!H22</x:f>
        <x:v>475.03</x:v>
      </x:c>
      <x:c r="I22" s="3" t="n">
        <x:f>'销售费用'!I22+'管理费用'!I22+'蓝恐龙费用'!I22</x:f>
        <x:v>800.7099999999999</x:v>
      </x:c>
      <x:c r="J22" s="3" t="n">
        <x:f>'销售费用'!J22+'管理费用'!J22+'蓝恐龙费用'!J22</x:f>
        <x:v>671.5799999999999</x:v>
      </x:c>
      <x:c r="K22" s="3" t="n">
        <x:f>'销售费用'!K22+'管理费用'!K22+'蓝恐龙费用'!K22</x:f>
        <x:v>851.74</x:v>
      </x:c>
      <x:c r="L22" s="3" t="n">
        <x:f>'销售费用'!L22+'管理费用'!L22+'蓝恐龙费用'!L22</x:f>
        <x:v>505.37</x:v>
      </x:c>
      <x:c r="M22" s="3" t="n">
        <x:f>'销售费用'!M22+'管理费用'!M22+'蓝恐龙费用'!M22</x:f>
        <x:v>550.44</x:v>
      </x:c>
      <x:c r="N22" s="3" t="n">
        <x:f>'销售费用'!N22+'管理费用'!N22+'蓝恐龙费用'!N22</x:f>
        <x:v>938.9399999999999</x:v>
      </x:c>
      <x:c r="O22" s="3" t="n">
        <x:f>SUM(C22:N22)</x:f>
        <x:v>7717.7699999999995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'销售费用'!C23+'管理费用'!C23+'蓝恐龙费用'!C23</x:f>
        <x:v>817.77</x:v>
      </x:c>
      <x:c r="D23" s="3" t="n">
        <x:f>'销售费用'!D23+'管理费用'!D23+'蓝恐龙费用'!D23</x:f>
        <x:v>751.84</x:v>
      </x:c>
      <x:c r="E23" s="3" t="n">
        <x:f>'销售费用'!E23+'管理费用'!E23+'蓝恐龙费用'!E23</x:f>
        <x:v>566.26</x:v>
      </x:c>
      <x:c r="F23" s="3" t="n">
        <x:f>'销售费用'!F23+'管理费用'!F23+'蓝恐龙费用'!F23</x:f>
        <x:v>675.4300000000001</x:v>
      </x:c>
      <x:c r="G23" s="3" t="n">
        <x:f>'销售费用'!G23+'管理费用'!G23+'蓝恐龙费用'!G23</x:f>
        <x:v>747.47</x:v>
      </x:c>
      <x:c r="H23" s="3" t="n">
        <x:f>'销售费用'!H23+'管理费用'!H23+'蓝恐龙费用'!H23</x:f>
        <x:v>697.24</x:v>
      </x:c>
      <x:c r="I23" s="3" t="n">
        <x:f>'销售费用'!I23+'管理费用'!I23+'蓝恐龙费用'!I23</x:f>
        <x:v>610.5899999999999</x:v>
      </x:c>
      <x:c r="J23" s="3" t="n">
        <x:f>'销售费用'!J23+'管理费用'!J23+'蓝恐龙费用'!J23</x:f>
        <x:v>636.1</x:v>
      </x:c>
      <x:c r="K23" s="3" t="n">
        <x:f>'销售费用'!K23+'管理费用'!K23+'蓝恐龙费用'!K23</x:f>
        <x:v>445.95000000000005</x:v>
      </x:c>
      <x:c r="L23" s="3" t="n">
        <x:f>'销售费用'!L23+'管理费用'!L23+'蓝恐龙费用'!L23</x:f>
        <x:v>740.73</x:v>
      </x:c>
      <x:c r="M23" s="3" t="n">
        <x:f>'销售费用'!M23+'管理费用'!M23+'蓝恐龙费用'!M23</x:f>
        <x:v>999.66</x:v>
      </x:c>
      <x:c r="N23" s="3" t="n">
        <x:f>'销售费用'!N23+'管理费用'!N23+'蓝恐龙费用'!N23</x:f>
        <x:v>852.7399999999999</x:v>
      </x:c>
      <x:c r="O23" s="3" t="n">
        <x:f>SUM(C23:N23)</x:f>
        <x:v>8541.78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'销售费用'!C24+'管理费用'!C24+'蓝恐龙费用'!C24</x:f>
        <x:v>521.85</x:v>
      </x:c>
      <x:c r="D24" s="3" t="n">
        <x:f>'销售费用'!D24+'管理费用'!D24+'蓝恐龙费用'!D24</x:f>
        <x:v>1109.27</x:v>
      </x:c>
      <x:c r="E24" s="3" t="n">
        <x:f>'销售费用'!E24+'管理费用'!E24+'蓝恐龙费用'!E24</x:f>
        <x:v>1022.22</x:v>
      </x:c>
      <x:c r="F24" s="3" t="n">
        <x:f>'销售费用'!F24+'管理费用'!F24+'蓝恐龙费用'!F24</x:f>
        <x:v>1289.71</x:v>
      </x:c>
      <x:c r="G24" s="3" t="n">
        <x:f>'销售费用'!G24+'管理费用'!G24+'蓝恐龙费用'!G24</x:f>
        <x:v>578.22</x:v>
      </x:c>
      <x:c r="H24" s="3" t="n">
        <x:f>'销售费用'!H24+'管理费用'!H24+'蓝恐龙费用'!H24</x:f>
        <x:v>522.78</x:v>
      </x:c>
      <x:c r="I24" s="3" t="n">
        <x:f>'销售费用'!I24+'管理费用'!I24+'蓝恐龙费用'!I24</x:f>
        <x:v>668.45</x:v>
      </x:c>
      <x:c r="J24" s="3" t="n">
        <x:f>'销售费用'!J24+'管理费用'!J24+'蓝恐龙费用'!J24</x:f>
        <x:v>822.5799999999999</x:v>
      </x:c>
      <x:c r="K24" s="3" t="n">
        <x:f>'销售费用'!K24+'管理费用'!K24+'蓝恐龙费用'!K24</x:f>
        <x:v>1006.81</x:v>
      </x:c>
      <x:c r="L24" s="3" t="n">
        <x:f>'销售费用'!L24+'管理费用'!L24+'蓝恐龙费用'!L24</x:f>
        <x:v>884.95</x:v>
      </x:c>
      <x:c r="M24" s="3" t="n">
        <x:f>'销售费用'!M24+'管理费用'!M24+'蓝恐龙费用'!M24</x:f>
        <x:v>873.52</x:v>
      </x:c>
      <x:c r="N24" s="3" t="n">
        <x:f>'销售费用'!N24+'管理费用'!N24+'蓝恐龙费用'!N24</x:f>
        <x:v>800.06</x:v>
      </x:c>
      <x:c r="O24" s="3" t="n">
        <x:f>SUM(C24:N24)</x:f>
        <x:v>10100.42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'销售费用'!C25+'管理费用'!C25+'蓝恐龙费用'!C25</x:f>
        <x:v>539.03</x:v>
      </x:c>
      <x:c r="D25" s="3" t="n">
        <x:f>'销售费用'!D25+'管理费用'!D25+'蓝恐龙费用'!D25</x:f>
        <x:v>912.47</x:v>
      </x:c>
      <x:c r="E25" s="3" t="n">
        <x:f>'销售费用'!E25+'管理费用'!E25+'蓝恐龙费用'!E25</x:f>
        <x:v>749.06</x:v>
      </x:c>
      <x:c r="F25" s="3" t="n">
        <x:f>'销售费用'!F25+'管理费用'!F25+'蓝恐龙费用'!F25</x:f>
        <x:v>907.6</x:v>
      </x:c>
      <x:c r="G25" s="3" t="n">
        <x:f>'销售费用'!G25+'管理费用'!G25+'蓝恐龙费用'!G25</x:f>
        <x:v>668.55</x:v>
      </x:c>
      <x:c r="H25" s="3" t="n">
        <x:f>'销售费用'!H25+'管理费用'!H25+'蓝恐龙费用'!H25</x:f>
        <x:v>925.75</x:v>
      </x:c>
      <x:c r="I25" s="3" t="n">
        <x:f>'销售费用'!I25+'管理费用'!I25+'蓝恐龙费用'!I25</x:f>
        <x:v>544.39</x:v>
      </x:c>
      <x:c r="J25" s="3" t="n">
        <x:f>'销售费用'!J25+'管理费用'!J25+'蓝恐龙费用'!J25</x:f>
        <x:v>1174.75</x:v>
      </x:c>
      <x:c r="K25" s="3" t="n">
        <x:f>'销售费用'!K25+'管理费用'!K25+'蓝恐龙费用'!K25</x:f>
        <x:v>706.07</x:v>
      </x:c>
      <x:c r="L25" s="3" t="n">
        <x:f>'销售费用'!L25+'管理费用'!L25+'蓝恐龙费用'!L25</x:f>
        <x:v>419.15</x:v>
      </x:c>
      <x:c r="M25" s="3" t="n">
        <x:f>'销售费用'!M25+'管理费用'!M25+'蓝恐龙费用'!M25</x:f>
        <x:v>1082.86</x:v>
      </x:c>
      <x:c r="N25" s="3" t="n">
        <x:f>'销售费用'!N25+'管理费用'!N25+'蓝恐龙费用'!N25</x:f>
        <x:v>1100.82</x:v>
      </x:c>
      <x:c r="O25" s="3" t="n">
        <x:f>SUM(C25:N25)</x:f>
        <x:v>9730.5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'销售费用'!C26+'管理费用'!C26+'蓝恐龙费用'!C26</x:f>
        <x:v>842.61</x:v>
      </x:c>
      <x:c r="D26" s="3" t="n">
        <x:f>'销售费用'!D26+'管理费用'!D26+'蓝恐龙费用'!D26</x:f>
        <x:v>473.71999999999997</x:v>
      </x:c>
      <x:c r="E26" s="3" t="n">
        <x:f>'销售费用'!E26+'管理费用'!E26+'蓝恐龙费用'!E26</x:f>
        <x:v>653.5500000000001</x:v>
      </x:c>
      <x:c r="F26" s="3" t="n">
        <x:f>'销售费用'!F26+'管理费用'!F26+'蓝恐龙费用'!F26</x:f>
        <x:v>750.18</x:v>
      </x:c>
      <x:c r="G26" s="3" t="n">
        <x:f>'销售费用'!G26+'管理费用'!G26+'蓝恐龙费用'!G26</x:f>
        <x:v>903.1400000000001</x:v>
      </x:c>
      <x:c r="H26" s="3" t="n">
        <x:f>'销售费用'!H26+'管理费用'!H26+'蓝恐龙费用'!H26</x:f>
        <x:v>698.01</x:v>
      </x:c>
      <x:c r="I26" s="3" t="n">
        <x:f>'销售费用'!I26+'管理费用'!I26+'蓝恐龙费用'!I26</x:f>
        <x:v>551.3399999999999</x:v>
      </x:c>
      <x:c r="J26" s="3" t="n">
        <x:f>'销售费用'!J26+'管理费用'!J26+'蓝恐龙费用'!J26</x:f>
        <x:v>647.3</x:v>
      </x:c>
      <x:c r="K26" s="3" t="n">
        <x:f>'销售费用'!K26+'管理费用'!K26+'蓝恐龙费用'!K26</x:f>
        <x:v>544.29</x:v>
      </x:c>
      <x:c r="L26" s="3" t="n">
        <x:f>'销售费用'!L26+'管理费用'!L26+'蓝恐龙费用'!L26</x:f>
        <x:v>530.52</x:v>
      </x:c>
      <x:c r="M26" s="3" t="n">
        <x:f>'销售费用'!M26+'管理费用'!M26+'蓝恐龙费用'!M26</x:f>
        <x:v>719.24</x:v>
      </x:c>
      <x:c r="N26" s="3" t="n">
        <x:f>'销售费用'!N26+'管理费用'!N26+'蓝恐龙费用'!N26</x:f>
        <x:v>911.09</x:v>
      </x:c>
      <x:c r="O26" s="3" t="n">
        <x:f>SUM(C26:N26)</x:f>
        <x:v>8224.99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'销售费用'!C27+'管理费用'!C27+'蓝恐龙费用'!C27</x:f>
        <x:v>485.63</x:v>
      </x:c>
      <x:c r="D27" s="3" t="n">
        <x:f>'销售费用'!D27+'管理费用'!D27+'蓝恐龙费用'!D27</x:f>
        <x:v>520.21</x:v>
      </x:c>
      <x:c r="E27" s="3" t="n">
        <x:f>'销售费用'!E27+'管理费用'!E27+'蓝恐龙费用'!E27</x:f>
        <x:v>711.3</x:v>
      </x:c>
      <x:c r="F27" s="3" t="n">
        <x:f>'销售费用'!F27+'管理费用'!F27+'蓝恐龙费用'!F27</x:f>
        <x:v>657.72</x:v>
      </x:c>
      <x:c r="G27" s="3" t="n">
        <x:f>'销售费用'!G27+'管理费用'!G27+'蓝恐龙费用'!G27</x:f>
        <x:v>633.9</x:v>
      </x:c>
      <x:c r="H27" s="3" t="n">
        <x:f>'销售费用'!H27+'管理费用'!H27+'蓝恐龙费用'!H27</x:f>
        <x:v>630.71</x:v>
      </x:c>
      <x:c r="I27" s="3" t="n">
        <x:f>'销售费用'!I27+'管理费用'!I27+'蓝恐龙费用'!I27</x:f>
        <x:v>795.09</x:v>
      </x:c>
      <x:c r="J27" s="3" t="n">
        <x:f>'销售费用'!J27+'管理费用'!J27+'蓝恐龙费用'!J27</x:f>
        <x:v>502.55000000000007</x:v>
      </x:c>
      <x:c r="K27" s="3" t="n">
        <x:f>'销售费用'!K27+'管理费用'!K27+'蓝恐龙费用'!K27</x:f>
        <x:v>618.05</x:v>
      </x:c>
      <x:c r="L27" s="3" t="n">
        <x:f>'销售费用'!L27+'管理费用'!L27+'蓝恐龙费用'!L27</x:f>
        <x:v>731.83</x:v>
      </x:c>
      <x:c r="M27" s="3" t="n">
        <x:f>'销售费用'!M27+'管理费用'!M27+'蓝恐龙费用'!M27</x:f>
        <x:v>544.1400000000001</x:v>
      </x:c>
      <x:c r="N27" s="3" t="n">
        <x:f>'销售费用'!N27+'管理费用'!N27+'蓝恐龙费用'!N27</x:f>
        <x:v>1108.3</x:v>
      </x:c>
      <x:c r="O27" s="3" t="n">
        <x:f>SUM(C27:N27)</x:f>
        <x:v>7939.43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'销售费用'!C28+'管理费用'!C28+'蓝恐龙费用'!C28</x:f>
        <x:v>918.37</x:v>
      </x:c>
      <x:c r="D28" s="3" t="n">
        <x:f>'销售费用'!D28+'管理费用'!D28+'蓝恐龙费用'!D28</x:f>
        <x:v>584.61</x:v>
      </x:c>
      <x:c r="E28" s="3" t="n">
        <x:f>'销售费用'!E28+'管理费用'!E28+'蓝恐龙费用'!E28</x:f>
        <x:v>679.5699999999999</x:v>
      </x:c>
      <x:c r="F28" s="3" t="n">
        <x:f>'销售费用'!F28+'管理费用'!F28+'蓝恐龙费用'!F28</x:f>
        <x:v>828.36</x:v>
      </x:c>
      <x:c r="G28" s="3" t="n">
        <x:f>'销售费用'!G28+'管理费用'!G28+'蓝恐龙费用'!G28</x:f>
        <x:v>688.24</x:v>
      </x:c>
      <x:c r="H28" s="3" t="n">
        <x:f>'销售费用'!H28+'管理费用'!H28+'蓝恐龙费用'!H28</x:f>
        <x:v>682.61</x:v>
      </x:c>
      <x:c r="I28" s="3" t="n">
        <x:f>'销售费用'!I28+'管理费用'!I28+'蓝恐龙费用'!I28</x:f>
        <x:v>924.8700000000001</x:v>
      </x:c>
      <x:c r="J28" s="3" t="n">
        <x:f>'销售费用'!J28+'管理费用'!J28+'蓝恐龙费用'!J28</x:f>
        <x:v>1025.39</x:v>
      </x:c>
      <x:c r="K28" s="3" t="n">
        <x:f>'销售费用'!K28+'管理费用'!K28+'蓝恐龙费用'!K28</x:f>
        <x:v>558.6600000000001</x:v>
      </x:c>
      <x:c r="L28" s="3" t="n">
        <x:f>'销售费用'!L28+'管理费用'!L28+'蓝恐龙费用'!L28</x:f>
        <x:v>797.21</x:v>
      </x:c>
      <x:c r="M28" s="3" t="n">
        <x:f>'销售费用'!M28+'管理费用'!M28+'蓝恐龙费用'!M28</x:f>
        <x:v>638.3199999999999</x:v>
      </x:c>
      <x:c r="N28" s="3" t="n">
        <x:f>'销售费用'!N28+'管理费用'!N28+'蓝恐龙费用'!N28</x:f>
        <x:v>727.3599999999999</x:v>
      </x:c>
      <x:c r="O28" s="3" t="n">
        <x:f>SUM(C28:N28)</x:f>
        <x:v>9053.570000000002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'销售费用'!C29+'管理费用'!C29+'蓝恐龙费用'!C29</x:f>
        <x:v>0</x:v>
      </x:c>
      <x:c r="D29" s="3" t="n">
        <x:f>'销售费用'!D29+'管理费用'!D29+'蓝恐龙费用'!D29</x:f>
        <x:v>0</x:v>
      </x:c>
      <x:c r="E29" s="3" t="n">
        <x:f>'销售费用'!E29+'管理费用'!E29+'蓝恐龙费用'!E29</x:f>
        <x:v>0</x:v>
      </x:c>
      <x:c r="F29" s="3" t="n">
        <x:f>'销售费用'!F29+'管理费用'!F29+'蓝恐龙费用'!F29</x:f>
        <x:v>0</x:v>
      </x:c>
      <x:c r="G29" s="3" t="n">
        <x:f>'销售费用'!G29+'管理费用'!G29+'蓝恐龙费用'!G29</x:f>
        <x:v>0</x:v>
      </x:c>
      <x:c r="H29" s="3" t="n">
        <x:f>'销售费用'!H29+'管理费用'!H29+'蓝恐龙费用'!H29</x:f>
        <x:v>0</x:v>
      </x:c>
      <x:c r="I29" s="3" t="n">
        <x:f>'销售费用'!I29+'管理费用'!I29+'蓝恐龙费用'!I29</x:f>
        <x:v>0</x:v>
      </x:c>
      <x:c r="J29" s="3" t="n">
        <x:f>'销售费用'!J29+'管理费用'!J29+'蓝恐龙费用'!J29</x:f>
        <x:v>0</x:v>
      </x:c>
      <x:c r="K29" s="3" t="n">
        <x:f>'销售费用'!K29+'管理费用'!K29+'蓝恐龙费用'!K29</x:f>
        <x:v>0</x:v>
      </x:c>
      <x:c r="L29" s="3" t="n">
        <x:f>'销售费用'!L29+'管理费用'!L29+'蓝恐龙费用'!L29</x:f>
        <x:v>0</x:v>
      </x:c>
      <x:c r="M29" s="3" t="n">
        <x:f>'销售费用'!M29+'管理费用'!M29+'蓝恐龙费用'!M29</x:f>
        <x:v>0</x:v>
      </x:c>
      <x:c r="N29" s="3" t="n">
        <x:f>'销售费用'!N29+'管理费用'!N29+'蓝恐龙费用'!N29</x:f>
        <x:v>0</x:v>
      </x:c>
      <x:c r="O29" s="3" t="n">
        <x:f>SUM(C29:N29)</x:f>
        <x:v>0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'销售费用'!C30+'管理费用'!C30+'蓝恐龙费用'!C30</x:f>
        <x:v>1038.3400000000001</x:v>
      </x:c>
      <x:c r="D30" s="6" t="n">
        <x:f>'销售费用'!D30+'管理费用'!D30+'蓝恐龙费用'!D30</x:f>
        <x:v>574.88</x:v>
      </x:c>
      <x:c r="E30" s="6" t="n">
        <x:f>'销售费用'!E30+'管理费用'!E30+'蓝恐龙费用'!E30</x:f>
        <x:v>700.8499999999999</x:v>
      </x:c>
      <x:c r="F30" s="6" t="n">
        <x:f>'销售费用'!F30+'管理费用'!F30+'蓝恐龙费用'!F30</x:f>
        <x:v>698.25</x:v>
      </x:c>
      <x:c r="G30" s="6" t="n">
        <x:f>'销售费用'!G30+'管理费用'!G30+'蓝恐龙费用'!G30</x:f>
        <x:v>514.01</x:v>
      </x:c>
      <x:c r="H30" s="6" t="n">
        <x:f>'销售费用'!H30+'管理费用'!H30+'蓝恐龙费用'!H30</x:f>
        <x:v>1217.07</x:v>
      </x:c>
      <x:c r="I30" s="6" t="n">
        <x:f>'销售费用'!I30+'管理费用'!I30+'蓝恐龙费用'!I30</x:f>
        <x:v>830.41</x:v>
      </x:c>
      <x:c r="J30" s="6" t="n">
        <x:f>'销售费用'!J30+'管理费用'!J30+'蓝恐龙费用'!J30</x:f>
        <x:v>669.6099999999999</x:v>
      </x:c>
      <x:c r="K30" s="6" t="n">
        <x:f>'销售费用'!K30+'管理费用'!K30+'蓝恐龙费用'!K30</x:f>
        <x:v>404.72</x:v>
      </x:c>
      <x:c r="L30" s="6" t="n">
        <x:f>'销售费用'!L30+'管理费用'!L30+'蓝恐龙费用'!L30</x:f>
        <x:v>878.63</x:v>
      </x:c>
      <x:c r="M30" s="6" t="n">
        <x:f>'销售费用'!M30+'管理费用'!M30+'蓝恐龙费用'!M30</x:f>
        <x:v>727.8399999999999</x:v>
      </x:c>
      <x:c r="N30" s="6" t="n">
        <x:f>'销售费用'!N30+'管理费用'!N30+'蓝恐龙费用'!N30</x:f>
        <x:v>854.96</x:v>
      </x:c>
      <x:c r="O30" s="6" t="n">
        <x:f>SUM(C30:N30)</x:f>
        <x:v>9109.57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'销售费用'!C31+'管理费用'!C31+'蓝恐龙费用'!C31</x:f>
        <x:v>454.21000000000004</x:v>
      </x:c>
      <x:c r="D31" s="3" t="n">
        <x:f>'销售费用'!D31+'管理费用'!D31+'蓝恐龙费用'!D31</x:f>
        <x:v>786.1</x:v>
      </x:c>
      <x:c r="E31" s="3" t="n">
        <x:f>'销售费用'!E31+'管理费用'!E31+'蓝恐龙费用'!E31</x:f>
        <x:v>650.3199999999999</x:v>
      </x:c>
      <x:c r="F31" s="3" t="n">
        <x:f>'销售费用'!F31+'管理费用'!F31+'蓝恐龙费用'!F31</x:f>
        <x:v>688.16</x:v>
      </x:c>
      <x:c r="G31" s="3" t="n">
        <x:f>'销售费用'!G31+'管理费用'!G31+'蓝恐龙费用'!G31</x:f>
        <x:v>415.27</x:v>
      </x:c>
      <x:c r="H31" s="3" t="n">
        <x:f>'销售费用'!H31+'管理费用'!H31+'蓝恐龙费用'!H31</x:f>
        <x:v>669.52</x:v>
      </x:c>
      <x:c r="I31" s="3" t="n">
        <x:f>'销售费用'!I31+'管理费用'!I31+'蓝恐龙费用'!I31</x:f>
        <x:v>678.11</x:v>
      </x:c>
      <x:c r="J31" s="3" t="n">
        <x:f>'销售费用'!J31+'管理费用'!J31+'蓝恐龙费用'!J31</x:f>
        <x:v>393.99</x:v>
      </x:c>
      <x:c r="K31" s="3" t="n">
        <x:f>'销售费用'!K31+'管理费用'!K31+'蓝恐龙费用'!K31</x:f>
        <x:v>810.23</x:v>
      </x:c>
      <x:c r="L31" s="3" t="n">
        <x:f>'销售费用'!L31+'管理费用'!L31+'蓝恐龙费用'!L31</x:f>
        <x:v>357.88</x:v>
      </x:c>
      <x:c r="M31" s="3" t="n">
        <x:f>'销售费用'!M31+'管理费用'!M31+'蓝恐龙费用'!M31</x:f>
        <x:v>459.76</x:v>
      </x:c>
      <x:c r="N31" s="3" t="n">
        <x:f>'销售费用'!N31+'管理费用'!N31+'蓝恐龙费用'!N31</x:f>
        <x:v>691.75</x:v>
      </x:c>
      <x:c r="O31" s="3" t="n">
        <x:f>SUM(C31:N31)</x:f>
        <x:v>7055.3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'销售费用'!C32+'管理费用'!C32+'蓝恐龙费用'!C32</x:f>
        <x:v>504.4</x:v>
      </x:c>
      <x:c r="D32" s="3" t="n">
        <x:f>'销售费用'!D32+'管理费用'!D32+'蓝恐龙费用'!D32</x:f>
        <x:v>1197.34</x:v>
      </x:c>
      <x:c r="E32" s="3" t="n">
        <x:f>'销售费用'!E32+'管理费用'!E32+'蓝恐龙费用'!E32</x:f>
        <x:v>762.46</x:v>
      </x:c>
      <x:c r="F32" s="3" t="n">
        <x:f>'销售费用'!F32+'管理费用'!F32+'蓝恐龙费用'!F32</x:f>
        <x:v>958.12</x:v>
      </x:c>
      <x:c r="G32" s="3" t="n">
        <x:f>'销售费用'!G32+'管理费用'!G32+'蓝恐龙费用'!G32</x:f>
        <x:v>498.65</x:v>
      </x:c>
      <x:c r="H32" s="3" t="n">
        <x:f>'销售费用'!H32+'管理费用'!H32+'蓝恐龙费用'!H32</x:f>
        <x:v>459.57</x:v>
      </x:c>
      <x:c r="I32" s="3" t="n">
        <x:f>'销售费用'!I32+'管理费用'!I32+'蓝恐龙费用'!I32</x:f>
        <x:v>655.9200000000001</x:v>
      </x:c>
      <x:c r="J32" s="3" t="n">
        <x:f>'销售费用'!J32+'管理费用'!J32+'蓝恐龙费用'!J32</x:f>
        <x:v>797.24</x:v>
      </x:c>
      <x:c r="K32" s="3" t="n">
        <x:f>'销售费用'!K32+'管理费用'!K32+'蓝恐龙费用'!K32</x:f>
        <x:v>581.23</x:v>
      </x:c>
      <x:c r="L32" s="3" t="n">
        <x:f>'销售费用'!L32+'管理费用'!L32+'蓝恐龙费用'!L32</x:f>
        <x:v>908.54</x:v>
      </x:c>
      <x:c r="M32" s="3" t="n">
        <x:f>'销售费用'!M32+'管理费用'!M32+'蓝恐龙费用'!M32</x:f>
        <x:v>701.1999999999999</x:v>
      </x:c>
      <x:c r="N32" s="3" t="n">
        <x:f>'销售费用'!N32+'管理费用'!N32+'蓝恐龙费用'!N32</x:f>
        <x:v>800.98</x:v>
      </x:c>
      <x:c r="O32" s="3" t="n">
        <x:f>SUM(C32:N32)</x:f>
        <x:v>8825.65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'销售费用'!C33+'管理费用'!C33+'蓝恐龙费用'!C33</x:f>
        <x:v>596.24</x:v>
      </x:c>
      <x:c r="D33" s="3" t="n">
        <x:f>'销售费用'!D33+'管理费用'!D33+'蓝恐龙费用'!D33</x:f>
        <x:v>1097.22</x:v>
      </x:c>
      <x:c r="E33" s="3" t="n">
        <x:f>'销售费用'!E33+'管理费用'!E33+'蓝恐龙费用'!E33</x:f>
        <x:v>632.45</x:v>
      </x:c>
      <x:c r="F33" s="3" t="n">
        <x:f>'销售费用'!F33+'管理费用'!F33+'蓝恐龙费用'!F33</x:f>
        <x:v>611.85</x:v>
      </x:c>
      <x:c r="G33" s="3" t="n">
        <x:f>'销售费用'!G33+'管理费用'!G33+'蓝恐龙费用'!G33</x:f>
        <x:v>881.96</x:v>
      </x:c>
      <x:c r="H33" s="3" t="n">
        <x:f>'销售费用'!H33+'管理费用'!H33+'蓝恐龙费用'!H33</x:f>
        <x:v>771.3499999999999</x:v>
      </x:c>
      <x:c r="I33" s="3" t="n">
        <x:f>'销售费用'!I33+'管理费用'!I33+'蓝恐龙费用'!I33</x:f>
        <x:v>366.64</x:v>
      </x:c>
      <x:c r="J33" s="3" t="n">
        <x:f>'销售费用'!J33+'管理费用'!J33+'蓝恐龙费用'!J33</x:f>
        <x:v>729.31</x:v>
      </x:c>
      <x:c r="K33" s="3" t="n">
        <x:f>'销售费用'!K33+'管理费用'!K33+'蓝恐龙费用'!K33</x:f>
        <x:v>916.4300000000001</x:v>
      </x:c>
      <x:c r="L33" s="3" t="n">
        <x:f>'销售费用'!L33+'管理费用'!L33+'蓝恐龙费用'!L33</x:f>
        <x:v>722.64</x:v>
      </x:c>
      <x:c r="M33" s="3" t="n">
        <x:f>'销售费用'!M33+'管理费用'!M33+'蓝恐龙费用'!M33</x:f>
        <x:v>558.8</x:v>
      </x:c>
      <x:c r="N33" s="3" t="n">
        <x:f>'销售费用'!N33+'管理费用'!N33+'蓝恐龙费用'!N33</x:f>
        <x:v>650.36</x:v>
      </x:c>
      <x:c r="O33" s="3" t="n">
        <x:f>SUM(C33:N33)</x:f>
        <x:v>8535.250000000002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20591.560000000005</x:v>
      </x:c>
      <x:c r="D34" s="3" t="n">
        <x:f>SUM(D4:D33)</x:f>
        <x:v>21332.71</x:v>
      </x:c>
      <x:c r="E34" s="3" t="n">
        <x:f>SUM(E4:E33)</x:f>
        <x:v>21899.379999999997</x:v>
      </x:c>
      <x:c r="F34" s="3" t="n">
        <x:f>SUM(F4:F33)</x:f>
        <x:v>23186.95</x:v>
      </x:c>
      <x:c r="G34" s="3" t="n">
        <x:f>SUM(G4:G33)</x:f>
        <x:v>21172.149999999998</x:v>
      </x:c>
      <x:c r="H34" s="3" t="n">
        <x:f>SUM(H4:H33)</x:f>
        <x:v>21298.38</x:v>
      </x:c>
      <x:c r="I34" s="3" t="n">
        <x:f>SUM(I4:I33)</x:f>
        <x:v>22276.159999999996</x:v>
      </x:c>
      <x:c r="J34" s="3" t="n">
        <x:f>SUM(J4:J33)</x:f>
        <x:v>20451.220000000005</x:v>
      </x:c>
      <x:c r="K34" s="3" t="n">
        <x:f>SUM(K4:K33)</x:f>
        <x:v>24277.810000000005</x:v>
      </x:c>
      <x:c r="L34" s="3" t="n">
        <x:f>SUM(L4:L33)</x:f>
        <x:v>20874.180000000004</x:v>
      </x:c>
      <x:c r="M34" s="3" t="n">
        <x:f>SUM(M4:M33)</x:f>
        <x:v>21733.55</x:v>
      </x:c>
      <x:c r="N34" s="3" t="n">
        <x:f>SUM(N4:N33)</x:f>
        <x:v>23409.02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实时经营月度勾稽</x:v>
      </x:c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2:B42"/>
    <x:mergeCell ref="A43:B43"/>
    <x:mergeCell ref="A44:B44"/>
    <x:mergeCell ref="A45:B45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日期</x:v>
      </x:c>
      <x:c r="C2" s="3"/>
      <x:c r="D2" s="3"/>
      <x:c r="E2" s="3"/>
      <x:c r="F2" s="3"/>
      <x:c r="G2" s="3"/>
      <x:c r="H2" s="3" t="str">
        <x:v>金额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摘要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 t="str">
        <x:v>合计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实时经营内部底稿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摊销资产原值</x:v>
      </x:c>
      <x:c r="C31" s="4" t="n">
        <x:v>99527.5</x:v>
      </x:c>
      <x:c r="D31" s="3" t="n">
        <x:f>$C$31</x:f>
        <x:v>99527.5</x:v>
      </x:c>
      <x:c r="E31" s="3" t="n">
        <x:f>$C$31</x:f>
        <x:v>99527.5</x:v>
      </x:c>
      <x:c r="F31" s="3" t="n">
        <x:f>$C$31</x:f>
        <x:v>99527.5</x:v>
      </x:c>
      <x:c r="G31" s="3" t="n">
        <x:f>$C$31</x:f>
        <x:v>99527.5</x:v>
      </x:c>
      <x:c r="H31" s="3" t="n">
        <x:f>$C$31</x:f>
        <x:v>99527.5</x:v>
      </x:c>
      <x:c r="I31" s="3" t="n">
        <x:f>$C$31</x:f>
        <x:v>99527.5</x:v>
      </x:c>
      <x:c r="J31" s="3" t="n">
        <x:f>$C$31</x:f>
        <x:v>99527.5</x:v>
      </x:c>
      <x:c r="K31" s="3" t="n">
        <x:f>$C$31</x:f>
        <x:v>99527.5</x:v>
      </x:c>
      <x:c r="L31" s="3" t="n">
        <x:f>$C$31</x:f>
        <x:v>99527.5</x:v>
      </x:c>
      <x:c r="M31" s="3" t="n">
        <x:f>$C$31</x:f>
        <x:v>99527.5</x:v>
      </x:c>
      <x:c r="N31" s="3" t="n">
        <x:f>$C$31</x:f>
        <x:v>99527.5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摊销月数</x:v>
      </x:c>
      <x:c r="C32" s="4" t="n">
        <x:v>56</x:v>
      </x:c>
      <x:c r="D32" s="3" t="n">
        <x:f>$C$32</x:f>
        <x:v>56</x:v>
      </x:c>
      <x:c r="E32" s="3" t="n">
        <x:f>$C$32</x:f>
        <x:v>56</x:v>
      </x:c>
      <x:c r="F32" s="3" t="n">
        <x:f>$C$32</x:f>
        <x:v>56</x:v>
      </x:c>
      <x:c r="G32" s="3" t="n">
        <x:f>$C$32</x:f>
        <x:v>56</x:v>
      </x:c>
      <x:c r="H32" s="3" t="n">
        <x:f>$C$32</x:f>
        <x:v>56</x:v>
      </x:c>
      <x:c r="I32" s="3" t="n">
        <x:f>$C$32</x:f>
        <x:v>56</x:v>
      </x:c>
      <x:c r="J32" s="3" t="n">
        <x:f>$C$32</x:f>
        <x:v>56</x:v>
      </x:c>
      <x:c r="K32" s="3" t="n">
        <x:f>$C$32</x:f>
        <x:v>56</x:v>
      </x:c>
      <x:c r="L32" s="3" t="n">
        <x:f>$C$32</x:f>
        <x:v>56</x:v>
      </x:c>
      <x:c r="M32" s="3" t="n">
        <x:f>$C$32</x:f>
        <x:v>56</x:v>
      </x:c>
      <x:c r="N32" s="3" t="n">
        <x:f>$C$32</x:f>
        <x:v>56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本月摊销</x:v>
      </x:c>
      <x:c r="C33" s="3" t="n">
        <x:f>ROUND(C31/C32,2)</x:f>
        <x:v>1777.28</x:v>
      </x:c>
      <x:c r="D33" s="3" t="n">
        <x:f>ROUND(D31/D32,2)</x:f>
        <x:v>1777.28</x:v>
      </x:c>
      <x:c r="E33" s="3" t="n">
        <x:f>ROUND(E31/E32,2)</x:f>
        <x:v>1777.28</x:v>
      </x:c>
      <x:c r="F33" s="3" t="n">
        <x:f>ROUND(F31/F32,2)</x:f>
        <x:v>1777.28</x:v>
      </x:c>
      <x:c r="G33" s="3" t="n">
        <x:f>ROUND(G31/G32,2)</x:f>
        <x:v>1777.28</x:v>
      </x:c>
      <x:c r="H33" s="3" t="n">
        <x:f>ROUND(H31/H32,2)</x:f>
        <x:v>1777.28</x:v>
      </x:c>
      <x:c r="I33" s="3" t="n">
        <x:f>ROUND(I31/I32,2)</x:f>
        <x:v>1777.28</x:v>
      </x:c>
      <x:c r="J33" s="3" t="n">
        <x:f>ROUND(J31/J32,2)</x:f>
        <x:v>1777.28</x:v>
      </x:c>
      <x:c r="K33" s="3" t="n">
        <x:f>ROUND(K31/K32,2)</x:f>
        <x:v>1777.28</x:v>
      </x:c>
      <x:c r="L33" s="3" t="n">
        <x:f>ROUND(L31/L32,2)</x:f>
        <x:v>1777.28</x:v>
      </x:c>
      <x:c r="M33" s="3" t="n">
        <x:f>ROUND(M31/M32,2)</x:f>
        <x:v>1777.28</x:v>
      </x:c>
      <x:c r="N33" s="3" t="n">
        <x:f>ROUND(N31/N32,2)</x:f>
        <x:v>1777.28</x:v>
      </x:c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累计已摊销</x:v>
      </x:c>
      <x:c r="C34" s="3" t="n">
        <x:f>SUM($C33:C33)</x:f>
        <x:v>1777.28</x:v>
      </x:c>
      <x:c r="D34" s="3" t="n">
        <x:f>SUM($C33:D33)</x:f>
        <x:v>3554.56</x:v>
      </x:c>
      <x:c r="E34" s="3" t="n">
        <x:f>SUM($C33:E33)</x:f>
        <x:v>5331.84</x:v>
      </x:c>
      <x:c r="F34" s="3" t="n">
        <x:f>SUM($C33:F33)</x:f>
        <x:v>7109.12</x:v>
      </x:c>
      <x:c r="G34" s="3" t="n">
        <x:f>SUM($C33:G33)</x:f>
        <x:v>8886.4</x:v>
      </x:c>
      <x:c r="H34" s="3" t="n">
        <x:f>SUM($C33:H33)</x:f>
        <x:v>10663.68</x:v>
      </x:c>
      <x:c r="I34" s="3" t="n">
        <x:f>SUM($C33:I33)</x:f>
        <x:v>12440.960000000001</x:v>
      </x:c>
      <x:c r="J34" s="3" t="n">
        <x:f>SUM($C33:J33)</x:f>
        <x:v>14218.240000000002</x:v>
      </x:c>
      <x:c r="K34" s="3" t="n">
        <x:f>SUM($C33:K33)</x:f>
        <x:v>15995.520000000002</x:v>
      </x:c>
      <x:c r="L34" s="3" t="n">
        <x:f>SUM($C33:L33)</x:f>
        <x:v>17772.800000000003</x:v>
      </x:c>
      <x:c r="M34" s="3" t="n">
        <x:f>SUM($C33:M33)</x:f>
        <x:v>19550.08</x:v>
      </x:c>
      <x:c r="N34" s="3" t="n">
        <x:f>SUM($C33:N33)</x:f>
        <x:v>21327.36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尚未摊销</x:v>
      </x:c>
      <x:c r="C35" s="3" t="n">
        <x:f>C31-C34</x:f>
        <x:v>97750.22</x:v>
      </x:c>
      <x:c r="D35" s="3" t="n">
        <x:f>D31-D34</x:f>
        <x:v>95972.94</x:v>
      </x:c>
      <x:c r="E35" s="3" t="n">
        <x:f>E31-E34</x:f>
        <x:v>94195.66</x:v>
      </x:c>
      <x:c r="F35" s="3" t="n">
        <x:f>F31-F34</x:f>
        <x:v>92418.38</x:v>
      </x:c>
      <x:c r="G35" s="3" t="n">
        <x:f>G31-G34</x:f>
        <x:v>90641.1</x:v>
      </x:c>
      <x:c r="H35" s="3" t="n">
        <x:f>H31-H34</x:f>
        <x:v>88863.82</x:v>
      </x:c>
      <x:c r="I35" s="3" t="n">
        <x:f>I31-I34</x:f>
        <x:v>87086.54</x:v>
      </x:c>
      <x:c r="J35" s="3" t="n">
        <x:f>J31-J34</x:f>
        <x:v>85309.26</x:v>
      </x:c>
      <x:c r="K35" s="3" t="n">
        <x:f>K31-K34</x:f>
        <x:v>83531.98</x:v>
      </x:c>
      <x:c r="L35" s="3" t="n">
        <x:f>L31-L34</x:f>
        <x:v>81754.7</x:v>
      </x:c>
      <x:c r="M35" s="3" t="n">
        <x:f>M31-M34</x:f>
        <x:v>79977.42</x:v>
      </x:c>
      <x:c r="N35" s="3" t="n">
        <x:f>N31-N34</x:f>
        <x:v>78200.14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摊销起始日</x:v>
      </x:c>
      <x:c r="C36" s="3" t="str">
        <x:v>2027-01-01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7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摘要</x:v>
      </x:c>
      <x:c r="B1" s="2" t="str">
        <x:v>科目</x:v>
      </x:c>
      <x:c r="C1" s="3" t="str">
        <x:v>借方</x:v>
      </x:c>
      <x:c r="D1" s="3" t="str">
        <x:v>贷方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管理费用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财务费用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财务费用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财务费用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财务费用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财务费用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管理费用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管理费用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 t="str">
        <x:v>管理费用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 t="str">
        <x:v>管理费用</x:v>
      </x:c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 t="str">
        <x:v>管理费用</x:v>
      </x:c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 t="str">
        <x:v>管理费用</x:v>
      </x:c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管理费用</x:v>
      </x:c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 t="str">
        <x:v>利息支出</x:v>
      </x:c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 t="str">
        <x:v>财务费用</x:v>
      </x:c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 t="str">
        <x:v>期间</x:v>
      </x:c>
      <x:c r="B150" s="2" t="str">
        <x:v>科目</x:v>
      </x:c>
      <x:c r="C150" s="3" t="str">
        <x:v>借方</x:v>
      </x:c>
      <x:c r="D150" s="3" t="str">
        <x:v>贷方</x:v>
      </x:c>
      <x:c r="E150" s="3" t="str">
        <x:v>说明</x:v>
      </x:c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 t="str">
        <x:v>2027-01</x:v>
      </x:c>
      <x:c r="B151" s="2" t="str">
        <x:v>银行存款</x:v>
      </x:c>
      <x:c r="C151" s="3" t="n">
        <x:f>'利润表'!C61</x:f>
        <x:v>453623.39</x:v>
      </x:c>
      <x:c r="D151" s="3" t="n">
        <x:f>0</x:f>
        <x:v>0</x:v>
      </x:c>
      <x:c r="E151" s="3" t="str">
        <x:v>占位收入分录，非完整总账</x:v>
      </x:c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 t="str">
        <x:v>主营业务收入</x:v>
      </x:c>
      <x:c r="C152" s="3" t="n">
        <x:f>0</x:f>
        <x:v>0</x:v>
      </x:c>
      <x:c r="D152" s="3" t="n">
        <x:f>C151</x:f>
        <x:v>453623.39</x:v>
      </x:c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 t="str">
        <x:v>2027-02</x:v>
      </x:c>
      <x:c r="B153" s="2" t="str">
        <x:v>银行存款</x:v>
      </x:c>
      <x:c r="C153" s="3" t="n">
        <x:f>'利润表'!D61</x:f>
        <x:v>433776.12</x:v>
      </x:c>
      <x:c r="D153" s="3" t="n">
        <x:f>0</x:f>
        <x:v>0</x:v>
      </x:c>
      <x:c r="E153" s="3" t="str">
        <x:v>占位收入分录，非完整总账</x:v>
      </x:c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 t="str">
        <x:v>主营业务收入</x:v>
      </x:c>
      <x:c r="C154" s="3" t="n">
        <x:f>0</x:f>
        <x:v>0</x:v>
      </x:c>
      <x:c r="D154" s="3" t="n">
        <x:f>C153</x:f>
        <x:v>433776.12</x:v>
      </x:c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 t="str">
        <x:v>2027-03</x:v>
      </x:c>
      <x:c r="B155" s="2" t="str">
        <x:v>银行存款</x:v>
      </x:c>
      <x:c r="C155" s="3" t="n">
        <x:f>'利润表'!E61</x:f>
        <x:v>394247.13</x:v>
      </x:c>
      <x:c r="D155" s="3" t="n">
        <x:f>0</x:f>
        <x:v>0</x:v>
      </x:c>
      <x:c r="E155" s="3" t="str">
        <x:v>占位收入分录，非完整总账</x:v>
      </x:c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 t="str">
        <x:v>主营业务收入</x:v>
      </x:c>
      <x:c r="C156" s="3" t="n">
        <x:f>0</x:f>
        <x:v>0</x:v>
      </x:c>
      <x:c r="D156" s="3" t="n">
        <x:f>C155</x:f>
        <x:v>394247.13</x:v>
      </x:c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 t="str">
        <x:v>2027-04</x:v>
      </x:c>
      <x:c r="B157" s="2" t="str">
        <x:v>银行存款</x:v>
      </x:c>
      <x:c r="C157" s="3" t="n">
        <x:f>'利润表'!F61</x:f>
        <x:v>309649.58</x:v>
      </x:c>
      <x:c r="D157" s="3" t="n">
        <x:f>0</x:f>
        <x:v>0</x:v>
      </x:c>
      <x:c r="E157" s="3" t="str">
        <x:v>占位收入分录，非完整总账</x:v>
      </x:c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 t="str">
        <x:v>主营业务收入</x:v>
      </x:c>
      <x:c r="C158" s="3" t="n">
        <x:f>0</x:f>
        <x:v>0</x:v>
      </x:c>
      <x:c r="D158" s="3" t="n">
        <x:f>C157</x:f>
        <x:v>309649.58</x:v>
      </x:c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 t="str">
        <x:v>2027-05</x:v>
      </x:c>
      <x:c r="B159" s="2" t="str">
        <x:v>银行存款</x:v>
      </x:c>
      <x:c r="C159" s="3" t="n">
        <x:f>'利润表'!G61</x:f>
        <x:v>396279.52</x:v>
      </x:c>
      <x:c r="D159" s="3" t="n">
        <x:f>0</x:f>
        <x:v>0</x:v>
      </x:c>
      <x:c r="E159" s="3" t="str">
        <x:v>占位收入分录，非完整总账</x:v>
      </x:c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 t="str">
        <x:v>主营业务收入</x:v>
      </x:c>
      <x:c r="C160" s="3" t="n">
        <x:f>0</x:f>
        <x:v>0</x:v>
      </x:c>
      <x:c r="D160" s="3" t="n">
        <x:f>C159</x:f>
        <x:v>396279.52</x:v>
      </x:c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 t="str">
        <x:v>2027-06</x:v>
      </x:c>
      <x:c r="B161" s="2" t="str">
        <x:v>银行存款</x:v>
      </x:c>
      <x:c r="C161" s="3" t="n">
        <x:f>'利润表'!H61</x:f>
        <x:v>366789.2</x:v>
      </x:c>
      <x:c r="D161" s="3" t="n">
        <x:f>0</x:f>
        <x:v>0</x:v>
      </x:c>
      <x:c r="E161" s="3" t="str">
        <x:v>占位收入分录，非完整总账</x:v>
      </x:c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 t="str">
        <x:v>主营业务收入</x:v>
      </x:c>
      <x:c r="C162" s="3" t="n">
        <x:f>0</x:f>
        <x:v>0</x:v>
      </x:c>
      <x:c r="D162" s="3" t="n">
        <x:f>C161</x:f>
        <x:v>366789.2</x:v>
      </x:c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 t="str">
        <x:v>2027-07</x:v>
      </x:c>
      <x:c r="B163" s="2" t="str">
        <x:v>银行存款</x:v>
      </x:c>
      <x:c r="C163" s="3" t="n">
        <x:f>'利润表'!I61</x:f>
        <x:v>381686.93</x:v>
      </x:c>
      <x:c r="D163" s="3" t="n">
        <x:f>0</x:f>
        <x:v>0</x:v>
      </x:c>
      <x:c r="E163" s="3" t="str">
        <x:v>占位收入分录，非完整总账</x:v>
      </x:c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 t="str">
        <x:v>主营业务收入</x:v>
      </x:c>
      <x:c r="C164" s="3" t="n">
        <x:f>0</x:f>
        <x:v>0</x:v>
      </x:c>
      <x:c r="D164" s="3" t="n">
        <x:f>C163</x:f>
        <x:v>381686.93</x:v>
      </x:c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 t="str">
        <x:v>2027-08</x:v>
      </x:c>
      <x:c r="B165" s="2" t="str">
        <x:v>银行存款</x:v>
      </x:c>
      <x:c r="C165" s="3" t="n">
        <x:f>'利润表'!J61</x:f>
        <x:v>515478.19999999995</x:v>
      </x:c>
      <x:c r="D165" s="3" t="n">
        <x:f>0</x:f>
        <x:v>0</x:v>
      </x:c>
      <x:c r="E165" s="3" t="str">
        <x:v>占位收入分录，非完整总账</x:v>
      </x:c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 t="str">
        <x:v>主营业务收入</x:v>
      </x:c>
      <x:c r="C166" s="3" t="n">
        <x:f>0</x:f>
        <x:v>0</x:v>
      </x:c>
      <x:c r="D166" s="3" t="n">
        <x:f>C165</x:f>
        <x:v>515478.19999999995</x:v>
      </x:c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 t="str">
        <x:v>2027-09</x:v>
      </x:c>
      <x:c r="B167" s="2" t="str">
        <x:v>银行存款</x:v>
      </x:c>
      <x:c r="C167" s="3" t="n">
        <x:f>'利润表'!K61</x:f>
        <x:v>313088.03</x:v>
      </x:c>
      <x:c r="D167" s="3" t="n">
        <x:f>0</x:f>
        <x:v>0</x:v>
      </x:c>
      <x:c r="E167" s="3" t="str">
        <x:v>占位收入分录，非完整总账</x:v>
      </x:c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 t="str">
        <x:v>主营业务收入</x:v>
      </x:c>
      <x:c r="C168" s="3" t="n">
        <x:f>0</x:f>
        <x:v>0</x:v>
      </x:c>
      <x:c r="D168" s="3" t="n">
        <x:f>C167</x:f>
        <x:v>313088.03</x:v>
      </x:c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 t="str">
        <x:v>2027-10</x:v>
      </x:c>
      <x:c r="B169" s="2" t="str">
        <x:v>银行存款</x:v>
      </x:c>
      <x:c r="C169" s="3" t="n">
        <x:f>'利润表'!L61</x:f>
        <x:v>413587.41000000003</x:v>
      </x:c>
      <x:c r="D169" s="3" t="n">
        <x:f>0</x:f>
        <x:v>0</x:v>
      </x:c>
      <x:c r="E169" s="3" t="str">
        <x:v>占位收入分录，非完整总账</x:v>
      </x:c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 t="str">
        <x:v>主营业务收入</x:v>
      </x:c>
      <x:c r="C170" s="3" t="n">
        <x:f>0</x:f>
        <x:v>0</x:v>
      </x:c>
      <x:c r="D170" s="3" t="n">
        <x:f>C169</x:f>
        <x:v>413587.41000000003</x:v>
      </x:c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 t="str">
        <x:v>2027-11</x:v>
      </x:c>
      <x:c r="B171" s="2" t="str">
        <x:v>银行存款</x:v>
      </x:c>
      <x:c r="C171" s="3" t="n">
        <x:f>'利润表'!M61</x:f>
        <x:v>389998.64</x:v>
      </x:c>
      <x:c r="D171" s="3" t="n">
        <x:f>0</x:f>
        <x:v>0</x:v>
      </x:c>
      <x:c r="E171" s="3" t="str">
        <x:v>占位收入分录，非完整总账</x:v>
      </x:c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 t="str">
        <x:v>主营业务收入</x:v>
      </x:c>
      <x:c r="C172" s="3" t="n">
        <x:f>0</x:f>
        <x:v>0</x:v>
      </x:c>
      <x:c r="D172" s="3" t="n">
        <x:f>C171</x:f>
        <x:v>389998.64</x:v>
      </x:c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 t="str">
        <x:v>2027-12</x:v>
      </x:c>
      <x:c r="B173" s="2" t="str">
        <x:v>银行存款</x:v>
      </x:c>
      <x:c r="C173" s="3" t="n">
        <x:f>'利润表'!N61</x:f>
        <x:v>414435.42000000004</x:v>
      </x:c>
      <x:c r="D173" s="3" t="n">
        <x:f>0</x:f>
        <x:v>0</x:v>
      </x:c>
      <x:c r="E173" s="3" t="str">
        <x:v>占位收入分录，非完整总账</x:v>
      </x:c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 t="str">
        <x:v>主营业务收入</x:v>
      </x:c>
      <x:c r="C174" s="3" t="n">
        <x:f>0</x:f>
        <x:v>0</x:v>
      </x:c>
      <x:c r="D174" s="3" t="n">
        <x:f>C173</x:f>
        <x:v>414435.42000000004</x:v>
      </x:c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