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35b32f7cc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f414777375414dac"/>
    <x:sheet xmlns:r="http://schemas.openxmlformats.org/officeDocument/2006/relationships" name="资产负债表" sheetId="2" r:id="R00c0f526b23b43c4"/>
    <x:sheet xmlns:r="http://schemas.openxmlformats.org/officeDocument/2006/relationships" name="现金流量表" sheetId="3" r:id="Rccbc93688e7a497d"/>
    <x:sheet xmlns:r="http://schemas.openxmlformats.org/officeDocument/2006/relationships" name="收入非主控" sheetId="4" r:id="Ra2a83754d2244b73"/>
    <x:sheet xmlns:r="http://schemas.openxmlformats.org/officeDocument/2006/relationships" name="收入主控" sheetId="5" r:id="Red42a0f6e957476f"/>
    <x:sheet xmlns:r="http://schemas.openxmlformats.org/officeDocument/2006/relationships" name="税金及附加" sheetId="6" r:id="R0f7b400d563f44ab"/>
    <x:sheet xmlns:r="http://schemas.openxmlformats.org/officeDocument/2006/relationships" name="销售费用" sheetId="7" r:id="R39efd9f0c3294386"/>
    <x:sheet xmlns:r="http://schemas.openxmlformats.org/officeDocument/2006/relationships" name="管理费用" sheetId="8" r:id="R373373aede304fa3"/>
    <x:sheet xmlns:r="http://schemas.openxmlformats.org/officeDocument/2006/relationships" name="蓝恐龙费用" sheetId="9" r:id="R41ca02ad8afe4fdc"/>
    <x:sheet xmlns:r="http://schemas.openxmlformats.org/officeDocument/2006/relationships" name="费用表月度汇总" sheetId="10" r:id="R79efa3ebd04a4966"/>
    <x:sheet xmlns:r="http://schemas.openxmlformats.org/officeDocument/2006/relationships" name="摊销明细" sheetId="11" r:id="R8b0c6f9619c64f08"/>
    <x:sheet xmlns:r="http://schemas.openxmlformats.org/officeDocument/2006/relationships" name="分录" sheetId="12" r:id="Rf22370c557d4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d0a177816467f" /><Relationship Type="http://schemas.openxmlformats.org/officeDocument/2006/relationships/theme" Target="/xl/theme/theme1.xml" Id="Rd49473a9c7ec4176" /><Relationship Type="http://schemas.openxmlformats.org/officeDocument/2006/relationships/sharedStrings" Target="/xl/sharedStrings.xml" Id="R546b070d7c944874" /><Relationship Type="http://schemas.openxmlformats.org/officeDocument/2006/relationships/worksheet" Target="/xl/worksheets/sheet1.xml" Id="Rf414777375414dac" /><Relationship Type="http://schemas.openxmlformats.org/officeDocument/2006/relationships/worksheet" Target="/xl/worksheets/sheet2.xml" Id="R00c0f526b23b43c4" /><Relationship Type="http://schemas.openxmlformats.org/officeDocument/2006/relationships/worksheet" Target="/xl/worksheets/sheet3.xml" Id="Rccbc93688e7a497d" /><Relationship Type="http://schemas.openxmlformats.org/officeDocument/2006/relationships/worksheet" Target="/xl/worksheets/sheet4.xml" Id="Ra2a83754d2244b73" /><Relationship Type="http://schemas.openxmlformats.org/officeDocument/2006/relationships/worksheet" Target="/xl/worksheets/sheet5.xml" Id="Red42a0f6e957476f" /><Relationship Type="http://schemas.openxmlformats.org/officeDocument/2006/relationships/worksheet" Target="/xl/worksheets/sheet6.xml" Id="R0f7b400d563f44ab" /><Relationship Type="http://schemas.openxmlformats.org/officeDocument/2006/relationships/worksheet" Target="/xl/worksheets/sheet7.xml" Id="R39efd9f0c3294386" /><Relationship Type="http://schemas.openxmlformats.org/officeDocument/2006/relationships/worksheet" Target="/xl/worksheets/sheet8.xml" Id="R373373aede304fa3" /><Relationship Type="http://schemas.openxmlformats.org/officeDocument/2006/relationships/worksheet" Target="/xl/worksheets/sheet9.xml" Id="R41ca02ad8afe4fdc" /><Relationship Type="http://schemas.openxmlformats.org/officeDocument/2006/relationships/worksheet" Target="/xl/worksheets/sheet10.xml" Id="R79efa3ebd04a4966" /><Relationship Type="http://schemas.openxmlformats.org/officeDocument/2006/relationships/worksheet" Target="/xl/worksheets/sheet11.xml" Id="R8b0c6f9619c64f08" /><Relationship Type="http://schemas.openxmlformats.org/officeDocument/2006/relationships/worksheet" Target="/xl/worksheets/sheet12.xml" Id="Rf22370c557d4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0.25" hidden="0" customWidth="1"/>
    <x:col min="17" max="17" width="10.2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利润表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目</x:v>
      </x:c>
      <x:c r="B2" s="2" t="str">
        <x:v>行数</x:v>
      </x:c>
      <x:c r="C2" s="3" t="str">
        <x:v>主体甲 / 基础情景</x:v>
      </x:c>
      <x:c r="D2" s="3"/>
      <x:c r="E2" s="3"/>
      <x:c r="F2" s="3" t="str">
        <x:v>其他主体费用计入管理费用展示</x:v>
      </x:c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全年预算基础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一、营业收入</x:v>
      </x:c>
      <x:c r="B4" s="2"/>
      <x:c r="C4" s="3" t="n">
        <x:f>SUM(C61:N61)</x:f>
        <x:v>5124327.67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减：营业成本</x:v>
      </x:c>
      <x:c r="B5" s="2"/>
      <x:c r="C5" s="3" t="n">
        <x:f>SUM(C62:N62)</x:f>
        <x:v>1734457.4400000002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营业税金及附加</x:v>
      </x:c>
      <x:c r="B6" s="2"/>
      <x:c r="C6" s="3" t="n">
        <x:f>SUM(C63:N63)</x:f>
        <x:v>37920.020000000004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销售费用</x:v>
      </x:c>
      <x:c r="B7" s="2"/>
      <x:c r="C7" s="3" t="n">
        <x:f>SUM(C64:N64)</x:f>
        <x:v>86545.10999999999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管理费用</x:v>
      </x:c>
      <x:c r="B8" s="2"/>
      <x:c r="C8" s="3" t="n">
        <x:f>SUM(C65:N66)</x:f>
        <x:v>175149.57000000004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财务费用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资产减值损失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加：公允价值变动收益（损失以“-”号填列）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投资收益（损失以“-”号填列）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其中:对联营企业和合营企业的投资收益</x:v>
      </x:c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二、营业利润（亏损以“-”号填列）</x:v>
      </x:c>
      <x:c r="B14" s="2"/>
      <x:c r="C14" s="3" t="n">
        <x:f>SUM(C67:N67)</x:f>
        <x:v>3090255.5299999993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加：营业外收入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减：营业外支出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其中：非流动资产处置损失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三、利润总额（亏损总额以“-”号填列）</x:v>
      </x:c>
      <x:c r="B18" s="2"/>
      <x:c r="C18" s="3" t="n">
        <x:f>SUM(C67:N67)</x:f>
        <x:v>3090255.5299999993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减：所得税费用</x:v>
      </x:c>
      <x:c r="B19" s="2"/>
      <x:c r="C19" s="3" t="n">
        <x:f>SUM(C68:N68)</x:f>
        <x:v>627785.41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四、净利润（净亏损以“-”号填列）</x:v>
      </x:c>
      <x:c r="B20" s="2"/>
      <x:c r="C20" s="3" t="n">
        <x:f>SUM(C69:N69)</x:f>
        <x:v>2462470.1199999996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五、每股收益：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（一）基本每股收益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（二）稀释每股收益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营业收入</x:v>
      </x:c>
      <x:c r="C61" s="3" t="n">
        <x:f>'收入非主控'!C33+'收入主控'!C33</x:f>
        <x:v>438813.83999999997</x:v>
      </x:c>
      <x:c r="D61" s="3" t="n">
        <x:f>'收入非主控'!D33+'收入主控'!D33</x:f>
        <x:v>433508.55</x:v>
      </x:c>
      <x:c r="E61" s="3" t="n">
        <x:f>'收入非主控'!E33+'收入主控'!E33</x:f>
        <x:v>509987.06</x:v>
      </x:c>
      <x:c r="F61" s="3" t="n">
        <x:f>'收入非主控'!F33+'收入主控'!F33</x:f>
        <x:v>374094.65</x:v>
      </x:c>
      <x:c r="G61" s="3" t="n">
        <x:f>'收入非主控'!G33+'收入主控'!G33</x:f>
        <x:v>533340.76</x:v>
      </x:c>
      <x:c r="H61" s="3" t="n">
        <x:f>'收入非主控'!H33+'收入主控'!H33</x:f>
        <x:v>423595.80000000005</x:v>
      </x:c>
      <x:c r="I61" s="3" t="n">
        <x:f>'收入非主控'!I33+'收入主控'!I33</x:f>
        <x:v>414333.12</x:v>
      </x:c>
      <x:c r="J61" s="3" t="n">
        <x:f>'收入非主控'!J33+'收入主控'!J33</x:f>
        <x:v>492539.47</x:v>
      </x:c>
      <x:c r="K61" s="3" t="n">
        <x:f>'收入非主控'!K33+'收入主控'!K33</x:f>
        <x:v>361868.72</x:v>
      </x:c>
      <x:c r="L61" s="3" t="n">
        <x:f>'收入非主控'!L33+'收入主控'!L33</x:f>
        <x:v>378025.33999999997</x:v>
      </x:c>
      <x:c r="M61" s="3" t="n">
        <x:f>'收入非主控'!M33+'收入主控'!M33</x:f>
        <x:v>337727.4</x:v>
      </x:c>
      <x:c r="N61" s="3" t="n">
        <x:f>'收入非主控'!N33+'收入主控'!N33</x:f>
        <x:v>426492.95999999996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营业成本</x:v>
      </x:c>
      <x:c r="C62" s="3" t="n">
        <x:f>'收入非主控'!C36+'收入主控'!C36</x:f>
        <x:v>153621.66</x:v>
      </x:c>
      <x:c r="D62" s="3" t="n">
        <x:f>'收入非主控'!D36+'收入主控'!D36</x:f>
        <x:v>167268.84</x:v>
      </x:c>
      <x:c r="E62" s="3" t="n">
        <x:f>'收入非主控'!E36+'收入主控'!E36</x:f>
        <x:v>187616.16999999998</x:v>
      </x:c>
      <x:c r="F62" s="3" t="n">
        <x:f>'收入非主控'!F36+'收入主控'!F36</x:f>
        <x:v>128676.69</x:v>
      </x:c>
      <x:c r="G62" s="3" t="n">
        <x:f>'收入非主控'!G36+'收入主控'!G36</x:f>
        <x:v>135537.1</x:v>
      </x:c>
      <x:c r="H62" s="3" t="n">
        <x:f>'收入非主控'!H36+'收入主控'!H36</x:f>
        <x:v>138061.88999999998</x:v>
      </x:c>
      <x:c r="I62" s="3" t="n">
        <x:f>'收入非主控'!I36+'收入主控'!I36</x:f>
        <x:v>148533.21000000002</x:v>
      </x:c>
      <x:c r="J62" s="3" t="n">
        <x:f>'收入非主控'!J36+'收入主控'!J36</x:f>
        <x:v>127596.28</x:v>
      </x:c>
      <x:c r="K62" s="3" t="n">
        <x:f>'收入非主控'!K36+'收入主控'!K36</x:f>
        <x:v>129597.32</x:v>
      </x:c>
      <x:c r="L62" s="3" t="n">
        <x:f>'收入非主控'!L36+'收入主控'!L36</x:f>
        <x:v>120032.02</x:v>
      </x:c>
      <x:c r="M62" s="3" t="n">
        <x:f>'收入非主控'!M36+'收入主控'!M36</x:f>
        <x:v>135236.53</x:v>
      </x:c>
      <x:c r="N62" s="3" t="n">
        <x:f>'收入非主控'!N36+'收入主控'!N36</x:f>
        <x:v>162679.73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税金及附加</x:v>
      </x:c>
      <x:c r="C63" s="3" t="n">
        <x:f>'税金及附加'!C33</x:f>
        <x:v>3247.22</x:v>
      </x:c>
      <x:c r="D63" s="3" t="n">
        <x:f>'税金及附加'!D33</x:f>
        <x:v>3207.96</x:v>
      </x:c>
      <x:c r="E63" s="3" t="n">
        <x:f>'税金及附加'!E33</x:f>
        <x:v>3773.9</x:v>
      </x:c>
      <x:c r="F63" s="3" t="n">
        <x:f>'税金及附加'!F33</x:f>
        <x:v>2768.3</x:v>
      </x:c>
      <x:c r="G63" s="3" t="n">
        <x:f>'税金及附加'!G33</x:f>
        <x:v>3946.72</x:v>
      </x:c>
      <x:c r="H63" s="3" t="n">
        <x:f>'税金及附加'!H33</x:f>
        <x:v>3134.61</x:v>
      </x:c>
      <x:c r="I63" s="3" t="n">
        <x:f>'税金及附加'!I33</x:f>
        <x:v>3066.07</x:v>
      </x:c>
      <x:c r="J63" s="3" t="n">
        <x:f>'税金及附加'!J33</x:f>
        <x:v>3644.79</x:v>
      </x:c>
      <x:c r="K63" s="3" t="n">
        <x:f>'税金及附加'!K33</x:f>
        <x:v>2677.83</x:v>
      </x:c>
      <x:c r="L63" s="3" t="n">
        <x:f>'税金及附加'!L33</x:f>
        <x:v>2797.39</x:v>
      </x:c>
      <x:c r="M63" s="3" t="n">
        <x:f>'税金及附加'!M33</x:f>
        <x:v>2499.18</x:v>
      </x:c>
      <x:c r="N63" s="3" t="n">
        <x:f>'税金及附加'!N33</x:f>
        <x:v>3156.05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销售费用</x:v>
      </x:c>
      <x:c r="C64" s="3" t="n">
        <x:f>'销售费用'!C34</x:f>
        <x:v>6682.639999999999</x:v>
      </x:c>
      <x:c r="D64" s="3" t="n">
        <x:f>'销售费用'!D34</x:f>
        <x:v>6710.880000000003</x:v>
      </x:c>
      <x:c r="E64" s="3" t="n">
        <x:f>'销售费用'!E34</x:f>
        <x:v>7689.05</x:v>
      </x:c>
      <x:c r="F64" s="3" t="n">
        <x:f>'销售费用'!F34</x:f>
        <x:v>6387.639999999999</x:v>
      </x:c>
      <x:c r="G64" s="3" t="n">
        <x:f>'销售费用'!G34</x:f>
        <x:v>7624.22</x:v>
      </x:c>
      <x:c r="H64" s="3" t="n">
        <x:f>'销售费用'!H34</x:f>
        <x:v>6019.709999999999</x:v>
      </x:c>
      <x:c r="I64" s="3" t="n">
        <x:f>'销售费用'!I34</x:f>
        <x:v>8409.93</x:v>
      </x:c>
      <x:c r="J64" s="3" t="n">
        <x:f>'销售费用'!J34</x:f>
        <x:v>7110.209999999998</x:v>
      </x:c>
      <x:c r="K64" s="3" t="n">
        <x:f>'销售费用'!K34</x:f>
        <x:v>7262.339999999998</x:v>
      </x:c>
      <x:c r="L64" s="3" t="n">
        <x:f>'销售费用'!L34</x:f>
        <x:v>7631.8099999999995</x:v>
      </x:c>
      <x:c r="M64" s="3" t="n">
        <x:f>'销售费用'!M34</x:f>
        <x:v>7188.929999999999</x:v>
      </x:c>
      <x:c r="N64" s="3" t="n">
        <x:f>'销售费用'!N34</x:f>
        <x:v>7827.75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管理费用</x:v>
      </x:c>
      <x:c r="C65" s="3" t="n">
        <x:f>'管理费用'!C34</x:f>
        <x:v>7229.37</x:v>
      </x:c>
      <x:c r="D65" s="3" t="n">
        <x:f>'管理费用'!D34</x:f>
        <x:v>7642.030000000002</x:v>
      </x:c>
      <x:c r="E65" s="3" t="n">
        <x:f>'管理费用'!E34</x:f>
        <x:v>7846.85</x:v>
      </x:c>
      <x:c r="F65" s="3" t="n">
        <x:f>'管理费用'!F34</x:f>
        <x:v>7408.47</x:v>
      </x:c>
      <x:c r="G65" s="3" t="n">
        <x:f>'管理费用'!G34</x:f>
        <x:v>7318.300000000002</x:v>
      </x:c>
      <x:c r="H65" s="3" t="n">
        <x:f>'管理费用'!H34</x:f>
        <x:v>6696.14</x:v>
      </x:c>
      <x:c r="I65" s="3" t="n">
        <x:f>'管理费用'!I34</x:f>
        <x:v>7100</x:v>
      </x:c>
      <x:c r="J65" s="3" t="n">
        <x:f>'管理费用'!J34</x:f>
        <x:v>6869.450000000002</x:v>
      </x:c>
      <x:c r="K65" s="3" t="n">
        <x:f>'管理费用'!K34</x:f>
        <x:v>6714.9</x:v>
      </x:c>
      <x:c r="L65" s="3" t="n">
        <x:f>'管理费用'!L34</x:f>
        <x:v>6729.85</x:v>
      </x:c>
      <x:c r="M65" s="3" t="n">
        <x:f>'管理费用'!M34</x:f>
        <x:v>7282.789999999996</x:v>
      </x:c>
      <x:c r="N65" s="3" t="n">
        <x:f>'管理费用'!N34</x:f>
        <x:v>8482.65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其他主体费用</x:v>
      </x:c>
      <x:c r="C66" s="3" t="n">
        <x:f>'蓝恐龙费用'!C34</x:f>
        <x:v>6303.219999999999</x:v>
      </x:c>
      <x:c r="D66" s="3" t="n">
        <x:f>'蓝恐龙费用'!D34</x:f>
        <x:v>6874.91</x:v>
      </x:c>
      <x:c r="E66" s="3" t="n">
        <x:f>'蓝恐龙费用'!E34</x:f>
        <x:v>6944.67</x:v>
      </x:c>
      <x:c r="F66" s="3" t="n">
        <x:f>'蓝恐龙费用'!F34</x:f>
        <x:v>7423.91</x:v>
      </x:c>
      <x:c r="G66" s="3" t="n">
        <x:f>'蓝恐龙费用'!G34</x:f>
        <x:v>7932.4000000000015</x:v>
      </x:c>
      <x:c r="H66" s="3" t="n">
        <x:f>'蓝恐龙费用'!H34</x:f>
        <x:v>6913.249999999999</x:v>
      </x:c>
      <x:c r="I66" s="3" t="n">
        <x:f>'蓝恐龙费用'!I34</x:f>
        <x:v>8189.349999999999</x:v>
      </x:c>
      <x:c r="J66" s="3" t="n">
        <x:f>'蓝恐龙费用'!J34</x:f>
        <x:v>7034.069999999999</x:v>
      </x:c>
      <x:c r="K66" s="3" t="n">
        <x:f>'蓝恐龙费用'!K34</x:f>
        <x:v>7822.82</x:v>
      </x:c>
      <x:c r="L66" s="3" t="n">
        <x:f>'蓝恐龙费用'!L34</x:f>
        <x:v>7164.929999999999</x:v>
      </x:c>
      <x:c r="M66" s="3" t="n">
        <x:f>'蓝恐龙费用'!M34</x:f>
        <x:v>6857.3600000000015</x:v>
      </x:c>
      <x:c r="N66" s="3" t="n">
        <x:f>'蓝恐龙费用'!N34</x:f>
        <x:v>8367.88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税前利润</x:v>
      </x:c>
      <x:c r="C67" s="3" t="n">
        <x:f>C61-SUM(C62:C66)</x:f>
        <x:v>261729.72999999995</x:v>
      </x:c>
      <x:c r="D67" s="3" t="n">
        <x:f>D61-SUM(D62:D66)</x:f>
        <x:v>241803.93</x:v>
      </x:c>
      <x:c r="E67" s="3" t="n">
        <x:f>E61-SUM(E62:E66)</x:f>
        <x:v>296116.42000000004</x:v>
      </x:c>
      <x:c r="F67" s="3" t="n">
        <x:f>F61-SUM(F62:F66)</x:f>
        <x:v>221429.64</x:v>
      </x:c>
      <x:c r="G67" s="3" t="n">
        <x:f>G61-SUM(G62:G66)</x:f>
        <x:v>370982.02</x:v>
      </x:c>
      <x:c r="H67" s="3" t="n">
        <x:f>H61-SUM(H62:H66)</x:f>
        <x:v>262770.20000000007</x:v>
      </x:c>
      <x:c r="I67" s="3" t="n">
        <x:f>I61-SUM(I62:I66)</x:f>
        <x:v>239034.55999999997</x:v>
      </x:c>
      <x:c r="J67" s="3" t="n">
        <x:f>J61-SUM(J62:J66)</x:f>
        <x:v>340284.6699999999</x:v>
      </x:c>
      <x:c r="K67" s="3" t="n">
        <x:f>K61-SUM(K62:K66)</x:f>
        <x:v>207793.50999999998</x:v>
      </x:c>
      <x:c r="L67" s="3" t="n">
        <x:f>L61-SUM(L62:L66)</x:f>
        <x:v>233669.33999999997</x:v>
      </x:c>
      <x:c r="M67" s="3" t="n">
        <x:f>M61-SUM(M62:M66)</x:f>
        <x:v>178662.61000000002</x:v>
      </x:c>
      <x:c r="N67" s="3" t="n">
        <x:f>N61-SUM(N62:N66)</x:f>
        <x:v>235978.89999999997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所得税费用</x:v>
      </x:c>
      <x:c r="C68" s="3" t="n">
        <x:f>ROUND(MAX(C67,0)*$C$200,2)</x:f>
        <x:v>53170.39</x:v>
      </x:c>
      <x:c r="D68" s="3" t="n">
        <x:f>ROUND(MAX(D67,0)*$C$200,2)</x:f>
        <x:v>49122.47</x:v>
      </x:c>
      <x:c r="E68" s="3" t="n">
        <x:f>ROUND(MAX(E67,0)*$C$200,2)</x:f>
        <x:v>60156.05</x:v>
      </x:c>
      <x:c r="F68" s="3" t="n">
        <x:f>ROUND(MAX(F67,0)*$C$200,2)</x:f>
        <x:v>44983.43</x:v>
      </x:c>
      <x:c r="G68" s="3" t="n">
        <x:f>ROUND(MAX(G67,0)*$C$200,2)</x:f>
        <x:v>75365</x:v>
      </x:c>
      <x:c r="H68" s="3" t="n">
        <x:f>ROUND(MAX(H67,0)*$C$200,2)</x:f>
        <x:v>53381.77</x:v>
      </x:c>
      <x:c r="I68" s="3" t="n">
        <x:f>ROUND(MAX(I67,0)*$C$200,2)</x:f>
        <x:v>48559.87</x:v>
      </x:c>
      <x:c r="J68" s="3" t="n">
        <x:f>ROUND(MAX(J67,0)*$C$200,2)</x:f>
        <x:v>69128.83</x:v>
      </x:c>
      <x:c r="K68" s="3" t="n">
        <x:f>ROUND(MAX(K67,0)*$C$200,2)</x:f>
        <x:v>42213.25</x:v>
      </x:c>
      <x:c r="L68" s="3" t="n">
        <x:f>ROUND(MAX(L67,0)*$C$200,2)</x:f>
        <x:v>47469.93</x:v>
      </x:c>
      <x:c r="M68" s="3" t="n">
        <x:f>ROUND(MAX(M67,0)*$C$200,2)</x:f>
        <x:v>36295.31</x:v>
      </x:c>
      <x:c r="N68" s="3" t="n">
        <x:f>ROUND(MAX(N67,0)*$C$200,2)</x:f>
        <x:v>47939.11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净利润</x:v>
      </x:c>
      <x:c r="C69" s="3" t="n">
        <x:f>C67-C68</x:f>
        <x:v>208559.33999999997</x:v>
      </x:c>
      <x:c r="D69" s="3" t="n">
        <x:f>D67-D68</x:f>
        <x:v>192681.46</x:v>
      </x:c>
      <x:c r="E69" s="3" t="n">
        <x:f>E67-E68</x:f>
        <x:v>235960.37000000005</x:v>
      </x:c>
      <x:c r="F69" s="3" t="n">
        <x:f>F67-F68</x:f>
        <x:v>176446.21000000002</x:v>
      </x:c>
      <x:c r="G69" s="3" t="n">
        <x:f>G67-G68</x:f>
        <x:v>295617.02</x:v>
      </x:c>
      <x:c r="H69" s="3" t="n">
        <x:f>H67-H68</x:f>
        <x:v>209388.43000000008</x:v>
      </x:c>
      <x:c r="I69" s="3" t="n">
        <x:f>I67-I68</x:f>
        <x:v>190474.68999999997</x:v>
      </x:c>
      <x:c r="J69" s="3" t="n">
        <x:f>J67-J68</x:f>
        <x:v>271155.8399999999</x:v>
      </x:c>
      <x:c r="K69" s="3" t="n">
        <x:f>K67-K68</x:f>
        <x:v>165580.25999999998</x:v>
      </x:c>
      <x:c r="L69" s="3" t="n">
        <x:f>L67-L68</x:f>
        <x:v>186199.40999999997</x:v>
      </x:c>
      <x:c r="M69" s="3" t="n">
        <x:f>M67-M68</x:f>
        <x:v>142367.30000000002</x:v>
      </x:c>
      <x:c r="N69" s="3" t="n">
        <x:f>N67-N68</x:f>
        <x:v>188039.78999999998</x:v>
      </x:c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所得税率（演示假设）</x:v>
      </x:c>
      <x:c r="C200" s="4" t="n">
        <x:v>0.20315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  <x:mergeCell ref="C2:E2"/>
    <x:mergeCell ref="F2:H2"/>
    <x:mergeCell ref="A27:H27"/>
    <x:mergeCell ref="A2:A3"/>
    <x:mergeCell ref="B2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资 产 负 债 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资产</x:v>
      </x:c>
      <x:c r="B2" s="2" t="str">
        <x:v>行次</x:v>
      </x:c>
      <x:c r="C2" s="3" t="str">
        <x:v>年初数</x:v>
      </x:c>
      <x:c r="D2" s="3" t="str">
        <x:v>期末数</x:v>
      </x:c>
      <x:c r="E2" s="3" t="str">
        <x:v>负债和所有者权益        (或股东权益)</x:v>
      </x:c>
      <x:c r="F2" s="3" t="str">
        <x:v>行次</x:v>
      </x:c>
      <x:c r="G2" s="3" t="str">
        <x:v>全年预算基础</x:v>
      </x:c>
      <x:c r="H2" s="3" t="str">
        <x:v>非本次输入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流动资产：</x:v>
      </x:c>
      <x:c r="B3" s="2"/>
      <x:c r="C3" s="6" t="str">
        <x:v>全年预算基础</x:v>
      </x:c>
      <x:c r="D3" s="6" t="str">
        <x:v>非本次输入</x:v>
      </x:c>
      <x:c r="E3" s="6" t="str">
        <x:v>流动负债：</x:v>
      </x:c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货币资金</x:v>
      </x:c>
      <x:c r="B4" s="2"/>
      <x:c r="C4" s="3" t="n">
        <x:f>N61</x:f>
        <x:v>2618036.64</x:v>
      </x:c>
      <x:c r="D4" s="3"/>
      <x:c r="E4" s="3" t="str">
        <x:v>短期借款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短期投资</x:v>
      </x:c>
      <x:c r="B5" s="2"/>
      <x:c r="C5" s="3"/>
      <x:c r="D5" s="3"/>
      <x:c r="E5" s="3" t="str">
        <x:v>应付票据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应收票据</x:v>
      </x:c>
      <x:c r="B6" s="2"/>
      <x:c r="C6" s="3"/>
      <x:c r="D6" s="3"/>
      <x:c r="E6" s="3" t="str">
        <x:v>应付账款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应收股利</x:v>
      </x:c>
      <x:c r="B7" s="2"/>
      <x:c r="C7" s="3"/>
      <x:c r="D7" s="3"/>
      <x:c r="E7" s="3" t="str">
        <x:v>预收账款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应收利息</x:v>
      </x:c>
      <x:c r="B8" s="2"/>
      <x:c r="C8" s="3"/>
      <x:c r="D8" s="3"/>
      <x:c r="E8" s="3" t="str">
        <x:v>应付工资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应收账款</x:v>
      </x:c>
      <x:c r="B9" s="2"/>
      <x:c r="C9" s="3"/>
      <x:c r="D9" s="3"/>
      <x:c r="E9" s="3" t="str">
        <x:v>应付福利费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其他应收款</x:v>
      </x:c>
      <x:c r="B10" s="2"/>
      <x:c r="C10" s="3"/>
      <x:c r="D10" s="3"/>
      <x:c r="E10" s="3" t="str">
        <x:v>应付利息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预付账款</x:v>
      </x:c>
      <x:c r="B11" s="2"/>
      <x:c r="C11" s="3"/>
      <x:c r="D11" s="3"/>
      <x:c r="E11" s="3" t="str">
        <x:v>应交税金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应收补贴款</x:v>
      </x:c>
      <x:c r="B12" s="2"/>
      <x:c r="C12" s="3"/>
      <x:c r="D12" s="3"/>
      <x:c r="E12" s="3" t="str">
        <x:v>其他应交款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存货</x:v>
      </x:c>
      <x:c r="B13" s="2"/>
      <x:c r="C13" s="3"/>
      <x:c r="D13" s="3"/>
      <x:c r="E13" s="3" t="str">
        <x:v>其他应付款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待摊费用</x:v>
      </x:c>
      <x:c r="B14" s="2"/>
      <x:c r="C14" s="3"/>
      <x:c r="D14" s="3"/>
      <x:c r="E14" s="3" t="str">
        <x:v>预提费用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一年内到期的长期债券投资</x:v>
      </x:c>
      <x:c r="B15" s="2"/>
      <x:c r="C15" s="3"/>
      <x:c r="D15" s="3"/>
      <x:c r="E15" s="3" t="str">
        <x:v>预计负债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其他流动资产</x:v>
      </x:c>
      <x:c r="B16" s="2"/>
      <x:c r="C16" s="3"/>
      <x:c r="D16" s="3"/>
      <x:c r="E16" s="3" t="str">
        <x:v>一年内到期的长期负债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流动资产合计</x:v>
      </x:c>
      <x:c r="B17" s="2"/>
      <x:c r="C17" s="3"/>
      <x:c r="D17" s="3"/>
      <x:c r="E17" s="3" t="str">
        <x:v>其他流动负债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长期资产：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长期股权投资</x:v>
      </x:c>
      <x:c r="B19" s="2"/>
      <x:c r="C19" s="3"/>
      <x:c r="D19" s="3"/>
      <x:c r="E19" s="3" t="str">
        <x:v>流动负债合计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长期债券投资</x:v>
      </x:c>
      <x:c r="B20" s="2"/>
      <x:c r="C20" s="3"/>
      <x:c r="D20" s="3"/>
      <x:c r="E20" s="3" t="str">
        <x:v>长期负债：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长期投资合计</x:v>
      </x:c>
      <x:c r="B21" s="2"/>
      <x:c r="C21" s="3"/>
      <x:c r="D21" s="3"/>
      <x:c r="E21" s="3" t="str">
        <x:v>长期借款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固定资产：</x:v>
      </x:c>
      <x:c r="B22" s="2"/>
      <x:c r="C22" s="3"/>
      <x:c r="D22" s="3"/>
      <x:c r="E22" s="3" t="str">
        <x:v>应付债券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固定资产原价</x:v>
      </x:c>
      <x:c r="B23" s="2"/>
      <x:c r="C23" s="3"/>
      <x:c r="D23" s="3"/>
      <x:c r="E23" s="3" t="str">
        <x:v>长期应付款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减：累计折旧</x:v>
      </x:c>
      <x:c r="B24" s="2"/>
      <x:c r="C24" s="3"/>
      <x:c r="D24" s="3"/>
      <x:c r="E24" s="3" t="str">
        <x:v>专项应付款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固定资产净值</x:v>
      </x:c>
      <x:c r="B25" s="2"/>
      <x:c r="C25" s="3"/>
      <x:c r="D25" s="3"/>
      <x:c r="E25" s="3" t="str">
        <x:v>其他长期负债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减：固定资产减值准备</x:v>
      </x:c>
      <x:c r="B26" s="2"/>
      <x:c r="C26" s="3"/>
      <x:c r="D26" s="3"/>
      <x:c r="E26" s="3" t="str">
        <x:v>长期负债合计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固定资产净额</x:v>
      </x:c>
      <x:c r="B27" s="2"/>
      <x:c r="C27" s="3"/>
      <x:c r="D27" s="3"/>
      <x:c r="E27" s="3" t="str">
        <x:v>递延税项：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工程物资</x:v>
      </x:c>
      <x:c r="B28" s="2"/>
      <x:c r="C28" s="3"/>
      <x:c r="D28" s="3"/>
      <x:c r="E28" s="3" t="str">
        <x:v>递延税款贷项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在建工程</x:v>
      </x:c>
      <x:c r="B29" s="2"/>
      <x:c r="C29" s="3"/>
      <x:c r="D29" s="3"/>
      <x:c r="E29" s="3" t="str">
        <x:v>负债合计</x:v>
      </x:c>
      <x:c r="F29" s="3"/>
      <x:c r="G29" s="3" t="n">
        <x:f>N64</x:f>
        <x:v>0</x:v>
      </x:c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固定资产清理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固定资产合计</x:v>
      </x:c>
      <x:c r="B31" s="2"/>
      <x:c r="C31" s="3"/>
      <x:c r="D31" s="3"/>
      <x:c r="E31" s="3" t="str">
        <x:v>所有者权益(或股东权益)：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无形资产及其他资产：</x:v>
      </x:c>
      <x:c r="B32" s="2"/>
      <x:c r="C32" s="3"/>
      <x:c r="D32" s="3"/>
      <x:c r="E32" s="3" t="str">
        <x:v>实收资本(或股本)</x:v>
      </x:c>
      <x:c r="F32" s="3"/>
      <x:c r="G32" s="3" t="n">
        <x:f>N65</x:f>
        <x:v>225351.38</x:v>
      </x:c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无形资产</x:v>
      </x:c>
      <x:c r="B33" s="2"/>
      <x:c r="C33" s="3"/>
      <x:c r="D33" s="3"/>
      <x:c r="E33" s="3" t="str">
        <x:v>减：已归还投资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长期待摊费用</x:v>
      </x:c>
      <x:c r="B34" s="2"/>
      <x:c r="C34" s="3" t="n">
        <x:f>N62</x:f>
        <x:v>69784.86</x:v>
      </x:c>
      <x:c r="D34" s="3"/>
      <x:c r="E34" s="3" t="str">
        <x:v>实收资本(或股本)净额</x:v>
      </x:c>
      <x:c r="F34" s="3"/>
      <x:c r="G34" s="3" t="n">
        <x:f>N65</x:f>
        <x:v>225351.38</x:v>
      </x:c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其他长期资产</x:v>
      </x:c>
      <x:c r="B35" s="2"/>
      <x:c r="C35" s="3"/>
      <x:c r="D35" s="3"/>
      <x:c r="E35" s="3" t="str">
        <x:v>资本公积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无形资产及其他资产合计</x:v>
      </x:c>
      <x:c r="B36" s="2"/>
      <x:c r="C36" s="3"/>
      <x:c r="D36" s="3"/>
      <x:c r="E36" s="3" t="str">
        <x:v>盈余公积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 t="str">
        <x:v>其中：法定公益金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递延税款：</x:v>
      </x:c>
      <x:c r="B38" s="2"/>
      <x:c r="C38" s="3"/>
      <x:c r="D38" s="3"/>
      <x:c r="E38" s="3" t="str">
        <x:v>未分配利润</x:v>
      </x:c>
      <x:c r="F38" s="3"/>
      <x:c r="G38" s="3" t="n">
        <x:f>N66</x:f>
        <x:v>2462470.1199999996</x:v>
      </x:c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递延税款借项</x:v>
      </x:c>
      <x:c r="B39" s="2"/>
      <x:c r="C39" s="3"/>
      <x:c r="D39" s="3"/>
      <x:c r="E39" s="3" t="str">
        <x:v>所有者权益(或股东权益)合计</x:v>
      </x:c>
      <x:c r="F39" s="3"/>
      <x:c r="G39" s="3" t="n">
        <x:f>N67</x:f>
        <x:v>2687821.4999999995</x:v>
      </x:c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资产总计</x:v>
      </x:c>
      <x:c r="B40" s="2"/>
      <x:c r="C40" s="3" t="n">
        <x:f>N63</x:f>
        <x:v>2687821.5</x:v>
      </x:c>
      <x:c r="D40" s="3"/>
      <x:c r="E40" s="3" t="str">
        <x:v>负债和所有者权益(或股东权益)总计</x:v>
      </x:c>
      <x:c r="F40" s="3"/>
      <x:c r="G40" s="3" t="n">
        <x:f>N68</x:f>
        <x:v>2687821.4999999995</x:v>
      </x:c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货币资金</x:v>
      </x:c>
      <x:c r="C61" s="3" t="n">
        <x:f>'现金流量表'!C68</x:f>
        <x:v>346273.85</x:v>
      </x:c>
      <x:c r="D61" s="3" t="n">
        <x:f>'现金流量表'!D68</x:f>
        <x:v>540578.22</x:v>
      </x:c>
      <x:c r="E61" s="3" t="n">
        <x:f>'现金流量表'!E68</x:f>
        <x:v>778161.5</x:v>
      </x:c>
      <x:c r="F61" s="3" t="n">
        <x:f>'现金流量表'!F68</x:f>
        <x:v>956230.62</x:v>
      </x:c>
      <x:c r="G61" s="3" t="n">
        <x:f>'现金流量表'!G68</x:f>
        <x:v>1253470.55</x:v>
      </x:c>
      <x:c r="H61" s="3" t="n">
        <x:f>'现金流量表'!H68</x:f>
        <x:v>1464481.8900000001</x:v>
      </x:c>
      <x:c r="I61" s="3" t="n">
        <x:f>'现金流量表'!I68</x:f>
        <x:v>1656579.4900000002</x:v>
      </x:c>
      <x:c r="J61" s="3" t="n">
        <x:f>'现金流量表'!J68</x:f>
        <x:v>1929358.2400000002</x:v>
      </x:c>
      <x:c r="K61" s="3" t="n">
        <x:f>'现金流量表'!K68</x:f>
        <x:v>2096561.4100000001</x:v>
      </x:c>
      <x:c r="L61" s="3" t="n">
        <x:f>'现金流量表'!L68</x:f>
        <x:v>2284383.73</x:v>
      </x:c>
      <x:c r="M61" s="3" t="n">
        <x:f>'现金流量表'!M68</x:f>
        <x:v>2428373.94</x:v>
      </x:c>
      <x:c r="N61" s="3" t="n">
        <x:f>'现金流量表'!N68</x:f>
        <x:v>2618036.64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未摊销资产</x:v>
      </x:c>
      <x:c r="C62" s="3" t="n">
        <x:f>'摊销明细'!$C$31-SUM('现金流量表'!$C62:C62)</x:f>
        <x:v>87636.87</x:v>
      </x:c>
      <x:c r="D62" s="3" t="n">
        <x:f>'摊销明细'!$C$31-SUM('现金流量表'!$C62:D62)</x:f>
        <x:v>86013.95999999999</x:v>
      </x:c>
      <x:c r="E62" s="3" t="n">
        <x:f>'摊销明细'!$C$31-SUM('现金流量表'!$C62:E62)</x:f>
        <x:v>84391.05</x:v>
      </x:c>
      <x:c r="F62" s="3" t="n">
        <x:f>'摊销明细'!$C$31-SUM('现金流量表'!$C62:F62)</x:f>
        <x:v>82768.14</x:v>
      </x:c>
      <x:c r="G62" s="3" t="n">
        <x:f>'摊销明细'!$C$31-SUM('现金流量表'!$C62:G62)</x:f>
        <x:v>81145.23</x:v>
      </x:c>
      <x:c r="H62" s="3" t="n">
        <x:f>'摊销明细'!$C$31-SUM('现金流量表'!$C62:H62)</x:f>
        <x:v>79522.31999999999</x:v>
      </x:c>
      <x:c r="I62" s="3" t="n">
        <x:f>'摊销明细'!$C$31-SUM('现金流量表'!$C62:I62)</x:f>
        <x:v>77899.41</x:v>
      </x:c>
      <x:c r="J62" s="3" t="n">
        <x:f>'摊销明细'!$C$31-SUM('现金流量表'!$C62:J62)</x:f>
        <x:v>76276.5</x:v>
      </x:c>
      <x:c r="K62" s="3" t="n">
        <x:f>'摊销明细'!$C$31-SUM('现金流量表'!$C62:K62)</x:f>
        <x:v>74653.59</x:v>
      </x:c>
      <x:c r="L62" s="3" t="n">
        <x:f>'摊销明细'!$C$31-SUM('现金流量表'!$C62:L62)</x:f>
        <x:v>73030.68</x:v>
      </x:c>
      <x:c r="M62" s="3" t="n">
        <x:f>'摊销明细'!$C$31-SUM('现金流量表'!$C62:M62)</x:f>
        <x:v>71407.76999999999</x:v>
      </x:c>
      <x:c r="N62" s="3" t="n">
        <x:f>'摊销明细'!$C$31-SUM('现金流量表'!$C62:N62)</x:f>
        <x:v>69784.86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资产总额</x:v>
      </x:c>
      <x:c r="C63" s="3" t="n">
        <x:f>SUM(C61:C62)</x:f>
        <x:v>433910.72</x:v>
      </x:c>
      <x:c r="D63" s="3" t="n">
        <x:f>SUM(D61:D62)</x:f>
        <x:v>626592.1799999999</x:v>
      </x:c>
      <x:c r="E63" s="3" t="n">
        <x:f>SUM(E61:E62)</x:f>
        <x:v>862552.55</x:v>
      </x:c>
      <x:c r="F63" s="3" t="n">
        <x:f>SUM(F61:F62)</x:f>
        <x:v>1038998.76</x:v>
      </x:c>
      <x:c r="G63" s="3" t="n">
        <x:f>SUM(G61:G62)</x:f>
        <x:v>1334615.78</x:v>
      </x:c>
      <x:c r="H63" s="3" t="n">
        <x:f>SUM(H61:H62)</x:f>
        <x:v>1544004.2100000002</x:v>
      </x:c>
      <x:c r="I63" s="3" t="n">
        <x:f>SUM(I61:I62)</x:f>
        <x:v>1734478.9000000001</x:v>
      </x:c>
      <x:c r="J63" s="3" t="n">
        <x:f>SUM(J61:J62)</x:f>
        <x:v>2005634.7400000002</x:v>
      </x:c>
      <x:c r="K63" s="3" t="n">
        <x:f>SUM(K61:K62)</x:f>
        <x:v>2171215</x:v>
      </x:c>
      <x:c r="L63" s="3" t="n">
        <x:f>SUM(L61:L62)</x:f>
        <x:v>2357414.41</x:v>
      </x:c>
      <x:c r="M63" s="3" t="n">
        <x:f>SUM(M61:M62)</x:f>
        <x:v>2499781.71</x:v>
      </x:c>
      <x:c r="N63" s="3" t="n">
        <x:f>SUM(N61:N62)</x:f>
        <x:v>2687821.5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负债总额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实收资本</x:v>
      </x:c>
      <x:c r="C65" s="3" t="n">
        <x:f>$C$200+'摊销明细'!$C$31</x:f>
        <x:v>225351.38</x:v>
      </x:c>
      <x:c r="D65" s="3" t="n">
        <x:f>$C$200+'摊销明细'!$C$31</x:f>
        <x:v>225351.38</x:v>
      </x:c>
      <x:c r="E65" s="3" t="n">
        <x:f>$C$200+'摊销明细'!$C$31</x:f>
        <x:v>225351.38</x:v>
      </x:c>
      <x:c r="F65" s="3" t="n">
        <x:f>$C$200+'摊销明细'!$C$31</x:f>
        <x:v>225351.38</x:v>
      </x:c>
      <x:c r="G65" s="3" t="n">
        <x:f>$C$200+'摊销明细'!$C$31</x:f>
        <x:v>225351.38</x:v>
      </x:c>
      <x:c r="H65" s="3" t="n">
        <x:f>$C$200+'摊销明细'!$C$31</x:f>
        <x:v>225351.38</x:v>
      </x:c>
      <x:c r="I65" s="3" t="n">
        <x:f>$C$200+'摊销明细'!$C$31</x:f>
        <x:v>225351.38</x:v>
      </x:c>
      <x:c r="J65" s="3" t="n">
        <x:f>$C$200+'摊销明细'!$C$31</x:f>
        <x:v>225351.38</x:v>
      </x:c>
      <x:c r="K65" s="3" t="n">
        <x:f>$C$200+'摊销明细'!$C$31</x:f>
        <x:v>225351.38</x:v>
      </x:c>
      <x:c r="L65" s="3" t="n">
        <x:f>$C$200+'摊销明细'!$C$31</x:f>
        <x:v>225351.38</x:v>
      </x:c>
      <x:c r="M65" s="3" t="n">
        <x:f>$C$200+'摊销明细'!$C$31</x:f>
        <x:v>225351.38</x:v>
      </x:c>
      <x:c r="N65" s="3" t="n">
        <x:f>$C$200+'摊销明细'!$C$31</x:f>
        <x:v>225351.38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累计未分配利润</x:v>
      </x:c>
      <x:c r="C66" s="3" t="n">
        <x:f>SUM('利润表'!$C69:C69)</x:f>
        <x:v>208559.33999999997</x:v>
      </x:c>
      <x:c r="D66" s="3" t="n">
        <x:f>SUM('利润表'!$C69:D69)</x:f>
        <x:v>401240.79999999993</x:v>
      </x:c>
      <x:c r="E66" s="3" t="n">
        <x:f>SUM('利润表'!$C69:E69)</x:f>
        <x:v>637201.1699999999</x:v>
      </x:c>
      <x:c r="F66" s="3" t="n">
        <x:f>SUM('利润表'!$C69:F69)</x:f>
        <x:v>813647.3799999999</x:v>
      </x:c>
      <x:c r="G66" s="3" t="n">
        <x:f>SUM('利润表'!$C69:G69)</x:f>
        <x:v>1109264.4</x:v>
      </x:c>
      <x:c r="H66" s="3" t="n">
        <x:f>SUM('利润表'!$C69:H69)</x:f>
        <x:v>1318652.83</x:v>
      </x:c>
      <x:c r="I66" s="3" t="n">
        <x:f>SUM('利润表'!$C69:I69)</x:f>
        <x:v>1509127.52</x:v>
      </x:c>
      <x:c r="J66" s="3" t="n">
        <x:f>SUM('利润表'!$C69:J69)</x:f>
        <x:v>1780283.3599999999</x:v>
      </x:c>
      <x:c r="K66" s="3" t="n">
        <x:f>SUM('利润表'!$C69:K69)</x:f>
        <x:v>1945863.6199999999</x:v>
      </x:c>
      <x:c r="L66" s="3" t="n">
        <x:f>SUM('利润表'!$C69:L69)</x:f>
        <x:v>2132063.03</x:v>
      </x:c>
      <x:c r="M66" s="3" t="n">
        <x:f>SUM('利润表'!$C69:M69)</x:f>
        <x:v>2274430.3299999996</x:v>
      </x:c>
      <x:c r="N66" s="3" t="n">
        <x:f>SUM('利润表'!$C69:N69)</x:f>
        <x:v>2462470.1199999996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所有者权益</x:v>
      </x:c>
      <x:c r="C67" s="3" t="n">
        <x:f>SUM(C65:C66)</x:f>
        <x:v>433910.72</x:v>
      </x:c>
      <x:c r="D67" s="3" t="n">
        <x:f>SUM(D65:D66)</x:f>
        <x:v>626592.1799999999</x:v>
      </x:c>
      <x:c r="E67" s="3" t="n">
        <x:f>SUM(E65:E66)</x:f>
        <x:v>862552.5499999999</x:v>
      </x:c>
      <x:c r="F67" s="3" t="n">
        <x:f>SUM(F65:F66)</x:f>
        <x:v>1038998.7599999999</x:v>
      </x:c>
      <x:c r="G67" s="3" t="n">
        <x:f>SUM(G65:G66)</x:f>
        <x:v>1334615.7799999998</x:v>
      </x:c>
      <x:c r="H67" s="3" t="n">
        <x:f>SUM(H65:H66)</x:f>
        <x:v>1544004.21</x:v>
      </x:c>
      <x:c r="I67" s="3" t="n">
        <x:f>SUM(I65:I66)</x:f>
        <x:v>1734478.9</x:v>
      </x:c>
      <x:c r="J67" s="3" t="n">
        <x:f>SUM(J65:J66)</x:f>
        <x:v>2005634.7399999998</x:v>
      </x:c>
      <x:c r="K67" s="3" t="n">
        <x:f>SUM(K65:K66)</x:f>
        <x:v>2171215</x:v>
      </x:c>
      <x:c r="L67" s="3" t="n">
        <x:f>SUM(L65:L66)</x:f>
        <x:v>2357414.4099999997</x:v>
      </x:c>
      <x:c r="M67" s="3" t="n">
        <x:f>SUM(M65:M66)</x:f>
        <x:v>2499781.7099999995</x:v>
      </x:c>
      <x:c r="N67" s="3" t="n">
        <x:f>SUM(N65:N66)</x:f>
        <x:v>2687821.4999999995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负债及权益合计</x:v>
      </x:c>
      <x:c r="C68" s="3" t="n">
        <x:f>SUM(C64,C67)</x:f>
        <x:v>433910.72</x:v>
      </x:c>
      <x:c r="D68" s="3" t="n">
        <x:f>SUM(D64,D67)</x:f>
        <x:v>626592.1799999999</x:v>
      </x:c>
      <x:c r="E68" s="3" t="n">
        <x:f>SUM(E64,E67)</x:f>
        <x:v>862552.5499999999</x:v>
      </x:c>
      <x:c r="F68" s="3" t="n">
        <x:f>SUM(F64,F67)</x:f>
        <x:v>1038998.7599999999</x:v>
      </x:c>
      <x:c r="G68" s="3" t="n">
        <x:f>SUM(G64,G67)</x:f>
        <x:v>1334615.7799999998</x:v>
      </x:c>
      <x:c r="H68" s="3" t="n">
        <x:f>SUM(H64,H67)</x:f>
        <x:v>1544004.21</x:v>
      </x:c>
      <x:c r="I68" s="3" t="n">
        <x:f>SUM(I64,I67)</x:f>
        <x:v>1734478.9</x:v>
      </x:c>
      <x:c r="J68" s="3" t="n">
        <x:f>SUM(J64,J67)</x:f>
        <x:v>2005634.7399999998</x:v>
      </x:c>
      <x:c r="K68" s="3" t="n">
        <x:f>SUM(K64,K67)</x:f>
        <x:v>2171215</x:v>
      </x:c>
      <x:c r="L68" s="3" t="n">
        <x:f>SUM(L64,L67)</x:f>
        <x:v>2357414.4099999997</x:v>
      </x:c>
      <x:c r="M68" s="3" t="n">
        <x:f>SUM(M64,M67)</x:f>
        <x:v>2499781.7099999995</x:v>
      </x:c>
      <x:c r="N68" s="3" t="n">
        <x:f>SUM(N64,N67)</x:f>
        <x:v>2687821.4999999995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期初现金（投入资本）</x:v>
      </x:c>
      <x:c r="C200" s="4" t="n">
        <x:v>136091.6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现金流量表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 目</x:v>
      </x:c>
      <x:c r="B2" s="2" t="str">
        <x:v>行次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一、经营活动产生的现金流量：</x:v>
      </x:c>
      <x:c r="B3" s="2"/>
      <x:c r="C3" s="6" t="str">
        <x:v>全年预算基础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销售商品、提供劳务收到的现金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收到的税费返还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收到其他与经营活动有关的现金</x:v>
      </x:c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经营活动现金流入小计</x:v>
      </x:c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购买商品、接受劳务支付的现金（04）</x:v>
      </x:c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支付给职工以及为职工支付的现金（05）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支付的各项税费（06）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支付其他与经营活动有关的现金（07）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经营活动现金流出小计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经营活动产生的现金流量净额</x:v>
      </x:c>
      <x:c r="B13" s="2"/>
      <x:c r="C13" s="3" t="n">
        <x:f>SUM(C63:N63)</x:f>
        <x:v>2481945.04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二、投资活动产生的现金流量：</x:v>
      </x:c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收回投资收到的现金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取得投资收益收到的现金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处置固定资产、无形资产和其他长期资产收回的现金净额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处置子公司及其他营业单位收到的现金净额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收到其他与投资活动有关的现金</x:v>
      </x:c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投资活动现金流入小计</x:v>
      </x:c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购建固定资产、无形资产和其他长期资产支付的现金（13）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投资支付的现金（14）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取得子公司及其他营业单位支付的现金净额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支付其他与投资活动有关的现金</x:v>
      </x:c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投资活动现金流出小计</x:v>
      </x:c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投资活动产生的现金流量净额</x:v>
      </x:c>
      <x:c r="B26" s="2"/>
      <x:c r="C26" s="3" t="n">
        <x:f>SUM(C64:N64)</x:f>
        <x:v>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三、筹资活动产生的现金流量：</x:v>
      </x:c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吸收投资收到的现金</x:v>
      </x:c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取得借款收到的现金</x:v>
      </x:c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收到其他与筹资活动有关的现金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筹资活动现金流入小计</x:v>
      </x:c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偿还债务支付的现金</x:v>
      </x:c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分配股利、利润或偿付利息支付的现金</x:v>
      </x:c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支付其他与筹资活动有关的现金</x:v>
      </x:c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筹资活动现金流出小计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筹资活动产生的现金流量净额</x:v>
      </x:c>
      <x:c r="B36" s="2"/>
      <x:c r="C36" s="3" t="n">
        <x:f>SUM(C65:N65)</x:f>
        <x:v>0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 t="str">
        <x:v>四、汇率变动对现金及现金等价物的影响</x:v>
      </x:c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五、现金及现金等价物净增加额</x:v>
      </x:c>
      <x:c r="B38" s="2"/>
      <x:c r="C38" s="3" t="n">
        <x:f>SUM(C66:N66)</x:f>
        <x:v>2481945.04</x:v>
      </x:c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加：期初现金及现金等价物余额</x:v>
      </x:c>
      <x:c r="B39" s="2"/>
      <x:c r="C39" s="3" t="n">
        <x:f>C67</x:f>
        <x:v>136091.6</x:v>
      </x:c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六、期末现金及现金等价物余额</x:v>
      </x:c>
      <x:c r="B40" s="2"/>
      <x:c r="C40" s="3" t="n">
        <x:f>N68</x:f>
        <x:v>2618036.64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净利润</x:v>
      </x:c>
      <x:c r="C61" s="3" t="n">
        <x:f>'利润表'!C69</x:f>
        <x:v>208559.33999999997</x:v>
      </x:c>
      <x:c r="D61" s="3" t="n">
        <x:f>'利润表'!D69</x:f>
        <x:v>192681.46</x:v>
      </x:c>
      <x:c r="E61" s="3" t="n">
        <x:f>'利润表'!E69</x:f>
        <x:v>235960.37000000005</x:v>
      </x:c>
      <x:c r="F61" s="3" t="n">
        <x:f>'利润表'!F69</x:f>
        <x:v>176446.21000000002</x:v>
      </x:c>
      <x:c r="G61" s="3" t="n">
        <x:f>'利润表'!G69</x:f>
        <x:v>295617.02</x:v>
      </x:c>
      <x:c r="H61" s="3" t="n">
        <x:f>'利润表'!H69</x:f>
        <x:v>209388.43000000008</x:v>
      </x:c>
      <x:c r="I61" s="3" t="n">
        <x:f>'利润表'!I69</x:f>
        <x:v>190474.68999999997</x:v>
      </x:c>
      <x:c r="J61" s="3" t="n">
        <x:f>'利润表'!J69</x:f>
        <x:v>271155.8399999999</x:v>
      </x:c>
      <x:c r="K61" s="3" t="n">
        <x:f>'利润表'!K69</x:f>
        <x:v>165580.25999999998</x:v>
      </x:c>
      <x:c r="L61" s="3" t="n">
        <x:f>'利润表'!L69</x:f>
        <x:v>186199.40999999997</x:v>
      </x:c>
      <x:c r="M61" s="3" t="n">
        <x:f>'利润表'!M69</x:f>
        <x:v>142367.30000000002</x:v>
      </x:c>
      <x:c r="N61" s="3" t="n">
        <x:f>'利润表'!N69</x:f>
        <x:v>188039.78999999998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折旧摊销加回</x:v>
      </x:c>
      <x:c r="C62" s="3" t="n">
        <x:f>'销售费用'!C20+'管理费用'!C20+'蓝恐龙费用'!C20</x:f>
        <x:v>1622.91</x:v>
      </x:c>
      <x:c r="D62" s="3" t="n">
        <x:f>'销售费用'!D20+'管理费用'!D20+'蓝恐龙费用'!D20</x:f>
        <x:v>1622.91</x:v>
      </x:c>
      <x:c r="E62" s="3" t="n">
        <x:f>'销售费用'!E20+'管理费用'!E20+'蓝恐龙费用'!E20</x:f>
        <x:v>1622.91</x:v>
      </x:c>
      <x:c r="F62" s="3" t="n">
        <x:f>'销售费用'!F20+'管理费用'!F20+'蓝恐龙费用'!F20</x:f>
        <x:v>1622.91</x:v>
      </x:c>
      <x:c r="G62" s="3" t="n">
        <x:f>'销售费用'!G20+'管理费用'!G20+'蓝恐龙费用'!G20</x:f>
        <x:v>1622.91</x:v>
      </x:c>
      <x:c r="H62" s="3" t="n">
        <x:f>'销售费用'!H20+'管理费用'!H20+'蓝恐龙费用'!H20</x:f>
        <x:v>1622.91</x:v>
      </x:c>
      <x:c r="I62" s="3" t="n">
        <x:f>'销售费用'!I20+'管理费用'!I20+'蓝恐龙费用'!I20</x:f>
        <x:v>1622.91</x:v>
      </x:c>
      <x:c r="J62" s="3" t="n">
        <x:f>'销售费用'!J20+'管理费用'!J20+'蓝恐龙费用'!J20</x:f>
        <x:v>1622.91</x:v>
      </x:c>
      <x:c r="K62" s="3" t="n">
        <x:f>'销售费用'!K20+'管理费用'!K20+'蓝恐龙费用'!K20</x:f>
        <x:v>1622.91</x:v>
      </x:c>
      <x:c r="L62" s="3" t="n">
        <x:f>'销售费用'!L20+'管理费用'!L20+'蓝恐龙费用'!L20</x:f>
        <x:v>1622.91</x:v>
      </x:c>
      <x:c r="M62" s="3" t="n">
        <x:f>'销售费用'!M20+'管理费用'!M20+'蓝恐龙费用'!M20</x:f>
        <x:v>1622.91</x:v>
      </x:c>
      <x:c r="N62" s="3" t="n">
        <x:f>'销售费用'!N20+'管理费用'!N20+'蓝恐龙费用'!N20</x:f>
        <x:v>1622.91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经营现金净流量</x:v>
      </x:c>
      <x:c r="C63" s="3" t="n">
        <x:f>SUM(C61:C62)</x:f>
        <x:v>210182.24999999997</x:v>
      </x:c>
      <x:c r="D63" s="3" t="n">
        <x:f>SUM(D61:D62)</x:f>
        <x:v>194304.37</x:v>
      </x:c>
      <x:c r="E63" s="3" t="n">
        <x:f>SUM(E61:E62)</x:f>
        <x:v>237583.28000000006</x:v>
      </x:c>
      <x:c r="F63" s="3" t="n">
        <x:f>SUM(F61:F62)</x:f>
        <x:v>178069.12000000002</x:v>
      </x:c>
      <x:c r="G63" s="3" t="n">
        <x:f>SUM(G61:G62)</x:f>
        <x:v>297239.93</x:v>
      </x:c>
      <x:c r="H63" s="3" t="n">
        <x:f>SUM(H61:H62)</x:f>
        <x:v>211011.34000000008</x:v>
      </x:c>
      <x:c r="I63" s="3" t="n">
        <x:f>SUM(I61:I62)</x:f>
        <x:v>192097.59999999998</x:v>
      </x:c>
      <x:c r="J63" s="3" t="n">
        <x:f>SUM(J61:J62)</x:f>
        <x:v>272778.7499999999</x:v>
      </x:c>
      <x:c r="K63" s="3" t="n">
        <x:f>SUM(K61:K62)</x:f>
        <x:v>167203.16999999998</x:v>
      </x:c>
      <x:c r="L63" s="3" t="n">
        <x:f>SUM(L61:L62)</x:f>
        <x:v>187822.31999999998</x:v>
      </x:c>
      <x:c r="M63" s="3" t="n">
        <x:f>SUM(M61:M62)</x:f>
        <x:v>143990.21000000002</x:v>
      </x:c>
      <x:c r="N63" s="3" t="n">
        <x:f>SUM(N61:N62)</x:f>
        <x:v>189662.69999999998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投资现金净流量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筹资现金净流量</x:v>
      </x:c>
      <x:c r="C65" s="3" t="n">
        <x:f>0</x:f>
        <x:v>0</x:v>
      </x:c>
      <x:c r="D65" s="3" t="n">
        <x:f>0</x:f>
        <x:v>0</x:v>
      </x:c>
      <x:c r="E65" s="3" t="n">
        <x:f>0</x:f>
        <x:v>0</x:v>
      </x:c>
      <x:c r="F65" s="3" t="n">
        <x:f>0</x:f>
        <x:v>0</x:v>
      </x:c>
      <x:c r="G65" s="3" t="n">
        <x:f>0</x:f>
        <x:v>0</x:v>
      </x:c>
      <x:c r="H65" s="3" t="n">
        <x:f>0</x:f>
        <x:v>0</x:v>
      </x:c>
      <x:c r="I65" s="3" t="n">
        <x:f>0</x:f>
        <x:v>0</x:v>
      </x:c>
      <x:c r="J65" s="3" t="n">
        <x:f>0</x:f>
        <x:v>0</x:v>
      </x:c>
      <x:c r="K65" s="3" t="n">
        <x:f>0</x:f>
        <x:v>0</x:v>
      </x:c>
      <x:c r="L65" s="3" t="n">
        <x:f>0</x:f>
        <x:v>0</x:v>
      </x:c>
      <x:c r="M65" s="3" t="n">
        <x:f>0</x:f>
        <x:v>0</x:v>
      </x:c>
      <x:c r="N65" s="3" t="n">
        <x:f>0</x:f>
        <x:v>0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现金净增加</x:v>
      </x:c>
      <x:c r="C66" s="3" t="n">
        <x:f>SUM(C63:C65)</x:f>
        <x:v>210182.24999999997</x:v>
      </x:c>
      <x:c r="D66" s="3" t="n">
        <x:f>SUM(D63:D65)</x:f>
        <x:v>194304.37</x:v>
      </x:c>
      <x:c r="E66" s="3" t="n">
        <x:f>SUM(E63:E65)</x:f>
        <x:v>237583.28000000006</x:v>
      </x:c>
      <x:c r="F66" s="3" t="n">
        <x:f>SUM(F63:F65)</x:f>
        <x:v>178069.12000000002</x:v>
      </x:c>
      <x:c r="G66" s="3" t="n">
        <x:f>SUM(G63:G65)</x:f>
        <x:v>297239.93</x:v>
      </x:c>
      <x:c r="H66" s="3" t="n">
        <x:f>SUM(H63:H65)</x:f>
        <x:v>211011.34000000008</x:v>
      </x:c>
      <x:c r="I66" s="3" t="n">
        <x:f>SUM(I63:I65)</x:f>
        <x:v>192097.59999999998</x:v>
      </x:c>
      <x:c r="J66" s="3" t="n">
        <x:f>SUM(J63:J65)</x:f>
        <x:v>272778.7499999999</x:v>
      </x:c>
      <x:c r="K66" s="3" t="n">
        <x:f>SUM(K63:K65)</x:f>
        <x:v>167203.16999999998</x:v>
      </x:c>
      <x:c r="L66" s="3" t="n">
        <x:f>SUM(L63:L65)</x:f>
        <x:v>187822.31999999998</x:v>
      </x:c>
      <x:c r="M66" s="3" t="n">
        <x:f>SUM(M63:M65)</x:f>
        <x:v>143990.21000000002</x:v>
      </x:c>
      <x:c r="N66" s="3" t="n">
        <x:f>SUM(N63:N65)</x:f>
        <x:v>189662.69999999998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期初现金</x:v>
      </x:c>
      <x:c r="C67" s="3" t="n">
        <x:f>'资产负债表'!$C$200</x:f>
        <x:v>136091.6</x:v>
      </x:c>
      <x:c r="D67" s="3" t="n">
        <x:f>C68</x:f>
        <x:v>346273.85</x:v>
      </x:c>
      <x:c r="E67" s="3" t="n">
        <x:f>D68</x:f>
        <x:v>540578.22</x:v>
      </x:c>
      <x:c r="F67" s="3" t="n">
        <x:f>E68</x:f>
        <x:v>778161.5</x:v>
      </x:c>
      <x:c r="G67" s="3" t="n">
        <x:f>F68</x:f>
        <x:v>956230.62</x:v>
      </x:c>
      <x:c r="H67" s="3" t="n">
        <x:f>G68</x:f>
        <x:v>1253470.55</x:v>
      </x:c>
      <x:c r="I67" s="3" t="n">
        <x:f>H68</x:f>
        <x:v>1464481.8900000001</x:v>
      </x:c>
      <x:c r="J67" s="3" t="n">
        <x:f>I68</x:f>
        <x:v>1656579.4900000002</x:v>
      </x:c>
      <x:c r="K67" s="3" t="n">
        <x:f>J68</x:f>
        <x:v>1929358.2400000002</x:v>
      </x:c>
      <x:c r="L67" s="3" t="n">
        <x:f>K68</x:f>
        <x:v>2096561.4100000001</x:v>
      </x:c>
      <x:c r="M67" s="3" t="n">
        <x:f>L68</x:f>
        <x:v>2284383.73</x:v>
      </x:c>
      <x:c r="N67" s="3" t="n">
        <x:f>M68</x:f>
        <x:v>2428373.94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期末现金</x:v>
      </x:c>
      <x:c r="C68" s="3" t="n">
        <x:f>SUM(C66:C67)</x:f>
        <x:v>346273.85</x:v>
      </x:c>
      <x:c r="D68" s="3" t="n">
        <x:f>SUM(D66:D67)</x:f>
        <x:v>540578.22</x:v>
      </x:c>
      <x:c r="E68" s="3" t="n">
        <x:f>SUM(E66:E67)</x:f>
        <x:v>778161.5</x:v>
      </x:c>
      <x:c r="F68" s="3" t="n">
        <x:f>SUM(F66:F67)</x:f>
        <x:v>956230.62</x:v>
      </x:c>
      <x:c r="G68" s="3" t="n">
        <x:f>SUM(G66:G67)</x:f>
        <x:v>1253470.55</x:v>
      </x:c>
      <x:c r="H68" s="3" t="n">
        <x:f>SUM(H66:H67)</x:f>
        <x:v>1464481.8900000001</x:v>
      </x:c>
      <x:c r="I68" s="3" t="n">
        <x:f>SUM(I66:I67)</x:f>
        <x:v>1656579.4900000002</x:v>
      </x:c>
      <x:c r="J68" s="3" t="n">
        <x:f>SUM(J66:J67)</x:f>
        <x:v>1929358.2400000002</x:v>
      </x:c>
      <x:c r="K68" s="3" t="n">
        <x:f>SUM(K66:K67)</x:f>
        <x:v>2096561.4100000001</x:v>
      </x:c>
      <x:c r="L68" s="3" t="n">
        <x:f>SUM(L66:L67)</x:f>
        <x:v>2284383.73</x:v>
      </x:c>
      <x:c r="M68" s="3" t="n">
        <x:f>SUM(M66:M67)</x:f>
        <x:v>2428373.94</x:v>
      </x:c>
      <x:c r="N68" s="3" t="n">
        <x:f>SUM(N66:N67)</x:f>
        <x:v>2618036.64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.75" hidden="0" customWidth="1"/>
    <x:col min="17" max="17" width="14.875" hidden="0" customWidth="1"/>
    <x:col min="18" max="18" width="9" hidden="0" customWidth="1"/>
    <x:col min="19" max="19" width="12.875" hidden="0" customWidth="1"/>
    <x:col min="20" max="20" width="15.75" hidden="0" customWidth="1"/>
    <x:col min="21" max="21" width="15.75" hidden="0" customWidth="1"/>
    <x:col min="22" max="22" width="18.25" hidden="0" customWidth="1"/>
    <x:col min="50" max="50" width="20" hidden="0" customWidth="1"/>
    <x:col min="51" max="51" width="65" hidden="0" customWidth="1"/>
    <x:col min="23" max="23" width="18.875" hidden="0" customWidth="1"/>
    <x:col min="24" max="24" width="11.625" hidden="0" customWidth="1"/>
    <x:col min="25" max="25" width="18.25" hidden="0" customWidth="1"/>
    <x:col min="26" max="26" width="18.25" hidden="0" customWidth="1"/>
    <x:col min="27" max="27" width="13" hidden="0" customWidth="1"/>
    <x:col min="28" max="28" width="13" hidden="0" customWidth="1"/>
    <x:col min="29" max="29" width="13.125" hidden="0" customWidth="1"/>
    <x:col min="30" max="30" width="13.125" hidden="0" customWidth="1"/>
    <x:col min="31" max="31" width="11.625" hidden="0" customWidth="1"/>
    <x:col min="32" max="32" width="11.625" hidden="0" customWidth="1"/>
    <x:col min="33" max="33" width="11.125" hidden="0" customWidth="1"/>
    <x:col min="34" max="34" width="14.6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 t="str">
        <x:v>电视剧</x:v>
      </x:c>
      <x:c r="C3" s="6"/>
      <x:c r="D3" s="6" t="str">
        <x:v>项目名称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2313.44</x:v>
      </x:c>
      <x:c r="D31" s="4" t="n">
        <x:v>2148.44</x:v>
      </x:c>
      <x:c r="E31" s="4" t="n">
        <x:v>2442.32</x:v>
      </x:c>
      <x:c r="F31" s="4" t="n">
        <x:v>1632.57</x:v>
      </x:c>
      <x:c r="G31" s="4" t="n">
        <x:v>2326.89</x:v>
      </x:c>
      <x:c r="H31" s="4" t="n">
        <x:v>2212.43</x:v>
      </x:c>
      <x:c r="I31" s="4" t="n">
        <x:v>1710.11</x:v>
      </x:c>
      <x:c r="J31" s="4" t="n">
        <x:v>2430.3</x:v>
      </x:c>
      <x:c r="K31" s="4" t="n">
        <x:v>2284.15</x:v>
      </x:c>
      <x:c r="L31" s="4" t="n">
        <x:v>1718.55</x:v>
      </x:c>
      <x:c r="M31" s="4" t="n">
        <x:v>1505.94</x:v>
      </x:c>
      <x:c r="N31" s="4" t="n">
        <x:v>1728.54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123.28</x:v>
      </x:c>
      <x:c r="D32" s="4" t="n">
        <x:v>119.32</x:v>
      </x:c>
      <x:c r="E32" s="4" t="n">
        <x:v>103.42</x:v>
      </x:c>
      <x:c r="F32" s="4" t="n">
        <x:v>95.21</x:v>
      </x:c>
      <x:c r="G32" s="4" t="n">
        <x:v>110.56</x:v>
      </x:c>
      <x:c r="H32" s="4" t="n">
        <x:v>108.73</x:v>
      </x:c>
      <x:c r="I32" s="4" t="n">
        <x:v>105.1</x:v>
      </x:c>
      <x:c r="J32" s="4" t="n">
        <x:v>114.73</x:v>
      </x:c>
      <x:c r="K32" s="4" t="n">
        <x:v>87.19</x:v>
      </x:c>
      <x:c r="L32" s="4" t="n">
        <x:v>83.27</x:v>
      </x:c>
      <x:c r="M32" s="4" t="n">
        <x:v>112.73</x:v>
      </x:c>
      <x:c r="N32" s="4" t="n">
        <x:v>121.28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285200.88</x:v>
      </x:c>
      <x:c r="D33" s="3" t="n">
        <x:f>ROUND(D31*D32,2)</x:f>
        <x:v>256351.86</x:v>
      </x:c>
      <x:c r="E33" s="3" t="n">
        <x:f>ROUND(E31*E32,2)</x:f>
        <x:v>252584.73</x:v>
      </x:c>
      <x:c r="F33" s="3" t="n">
        <x:f>ROUND(F31*F32,2)</x:f>
        <x:v>155436.99</x:v>
      </x:c>
      <x:c r="G33" s="3" t="n">
        <x:f>ROUND(G31*G32,2)</x:f>
        <x:v>257260.96</x:v>
      </x:c>
      <x:c r="H33" s="3" t="n">
        <x:f>ROUND(H31*H32,2)</x:f>
        <x:v>240557.51</x:v>
      </x:c>
      <x:c r="I33" s="3" t="n">
        <x:f>ROUND(I31*I32,2)</x:f>
        <x:v>179732.56</x:v>
      </x:c>
      <x:c r="J33" s="3" t="n">
        <x:f>ROUND(J31*J32,2)</x:f>
        <x:v>278828.32</x:v>
      </x:c>
      <x:c r="K33" s="3" t="n">
        <x:f>ROUND(K31*K32,2)</x:f>
        <x:v>199155.04</x:v>
      </x:c>
      <x:c r="L33" s="3" t="n">
        <x:f>ROUND(L31*L32,2)</x:f>
        <x:v>143103.66</x:v>
      </x:c>
      <x:c r="M33" s="3" t="n">
        <x:f>ROUND(M31*M32,2)</x:f>
        <x:v>169764.62</x:v>
      </x:c>
      <x:c r="N33" s="3" t="n">
        <x:f>ROUND(N31*N32,2)</x:f>
        <x:v>209637.33</x:v>
      </x:c>
      <x:c r="O33" s="3" t="n">
        <x:f>SUM(C33:N33)</x:f>
        <x:v>2627614.4600000004</x:v>
      </x:c>
      <x:c r="P33" s="2" t="str">
        <x:v>REV1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807.29</x:v>
      </x:c>
      <x:c r="D34" s="4" t="n">
        <x:v>818.42</x:v>
      </x:c>
      <x:c r="E34" s="4" t="n">
        <x:v>800.01</x:v>
      </x:c>
      <x:c r="F34" s="4" t="n">
        <x:v>709.15</x:v>
      </x:c>
      <x:c r="G34" s="4" t="n">
        <x:v>620.44</x:v>
      </x:c>
      <x:c r="H34" s="4" t="n">
        <x:v>700.23</x:v>
      </x:c>
      <x:c r="I34" s="4" t="n">
        <x:v>666.65</x:v>
      </x:c>
      <x:c r="J34" s="4" t="n">
        <x:v>590.29</x:v>
      </x:c>
      <x:c r="K34" s="4" t="n">
        <x:v>743.65</x:v>
      </x:c>
      <x:c r="L34" s="4" t="n">
        <x:v>652.08</x:v>
      </x:c>
      <x:c r="M34" s="4" t="n">
        <x:v>594.26</x:v>
      </x:c>
      <x:c r="N34" s="4" t="n">
        <x:v>702.02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123.28</x:v>
      </x:c>
      <x:c r="D35" s="3" t="n">
        <x:f>D32</x:f>
        <x:v>119.32</x:v>
      </x:c>
      <x:c r="E35" s="3" t="n">
        <x:f>E32</x:f>
        <x:v>103.42</x:v>
      </x:c>
      <x:c r="F35" s="3" t="n">
        <x:f>F32</x:f>
        <x:v>95.21</x:v>
      </x:c>
      <x:c r="G35" s="3" t="n">
        <x:f>G32</x:f>
        <x:v>110.56</x:v>
      </x:c>
      <x:c r="H35" s="3" t="n">
        <x:f>H32</x:f>
        <x:v>108.73</x:v>
      </x:c>
      <x:c r="I35" s="3" t="n">
        <x:f>I32</x:f>
        <x:v>105.1</x:v>
      </x:c>
      <x:c r="J35" s="3" t="n">
        <x:f>J32</x:f>
        <x:v>114.73</x:v>
      </x:c>
      <x:c r="K35" s="3" t="n">
        <x:f>K32</x:f>
        <x:v>87.19</x:v>
      </x:c>
      <x:c r="L35" s="3" t="n">
        <x:f>L32</x:f>
        <x:v>83.27</x:v>
      </x:c>
      <x:c r="M35" s="3" t="n">
        <x:f>M32</x:f>
        <x:v>112.73</x:v>
      </x:c>
      <x:c r="N35" s="3" t="n">
        <x:f>N32</x:f>
        <x:v>121.28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99522.71</x:v>
      </x:c>
      <x:c r="D36" s="3" t="n">
        <x:f>ROUND(D34*D35,2)</x:f>
        <x:v>97653.87</x:v>
      </x:c>
      <x:c r="E36" s="3" t="n">
        <x:f>ROUND(E34*E35,2)</x:f>
        <x:v>82737.03</x:v>
      </x:c>
      <x:c r="F36" s="3" t="n">
        <x:f>ROUND(F34*F35,2)</x:f>
        <x:v>67518.17</x:v>
      </x:c>
      <x:c r="G36" s="3" t="n">
        <x:f>ROUND(G34*G35,2)</x:f>
        <x:v>68595.85</x:v>
      </x:c>
      <x:c r="H36" s="3" t="n">
        <x:f>ROUND(H34*H35,2)</x:f>
        <x:v>76136.01</x:v>
      </x:c>
      <x:c r="I36" s="3" t="n">
        <x:f>ROUND(I34*I35,2)</x:f>
        <x:v>70064.91</x:v>
      </x:c>
      <x:c r="J36" s="3" t="n">
        <x:f>ROUND(J34*J35,2)</x:f>
        <x:v>67723.97</x:v>
      </x:c>
      <x:c r="K36" s="3" t="n">
        <x:f>ROUND(K34*K35,2)</x:f>
        <x:v>64838.84</x:v>
      </x:c>
      <x:c r="L36" s="3" t="n">
        <x:f>ROUND(L34*L35,2)</x:f>
        <x:v>54298.7</x:v>
      </x:c>
      <x:c r="M36" s="3" t="n">
        <x:f>ROUND(M34*M35,2)</x:f>
        <x:v>66990.93</x:v>
      </x:c>
      <x:c r="N36" s="3" t="n">
        <x:f>ROUND(N34*N35,2)</x:f>
        <x:v>85140.99</x:v>
      </x:c>
      <x:c r="O36" s="3" t="n">
        <x:f>SUM(C36:N36)</x:f>
        <x:v>901221.98</x:v>
      </x:c>
      <x:c r="P36" s="2" t="str">
        <x:v>COGS1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99522.71</x:v>
      </x:c>
      <x:c r="D37" s="3" t="n">
        <x:f>D36</x:f>
        <x:v>97653.87</x:v>
      </x:c>
      <x:c r="E37" s="3" t="n">
        <x:f>E36</x:f>
        <x:v>82737.03</x:v>
      </x:c>
      <x:c r="F37" s="3" t="n">
        <x:f>F36</x:f>
        <x:v>67518.17</x:v>
      </x:c>
      <x:c r="G37" s="3" t="n">
        <x:f>G36</x:f>
        <x:v>68595.85</x:v>
      </x:c>
      <x:c r="H37" s="3" t="n">
        <x:f>H36</x:f>
        <x:v>76136.01</x:v>
      </x:c>
      <x:c r="I37" s="3" t="n">
        <x:f>I36</x:f>
        <x:v>70064.91</x:v>
      </x:c>
      <x:c r="J37" s="3" t="n">
        <x:f>J36</x:f>
        <x:v>67723.97</x:v>
      </x:c>
      <x:c r="K37" s="3" t="n">
        <x:f>K36</x:f>
        <x:v>64838.84</x:v>
      </x:c>
      <x:c r="L37" s="3" t="n">
        <x:f>L36</x:f>
        <x:v>54298.7</x:v>
      </x:c>
      <x:c r="M37" s="3" t="n">
        <x:f>M36</x:f>
        <x:v>66990.93</x:v>
      </x:c>
      <x:c r="N37" s="3" t="n">
        <x:f>N36</x:f>
        <x:v>85140.99</x:v>
      </x:c>
      <x:c r="O37" s="3" t="n">
        <x:f>SUM(C37:N37)</x:f>
        <x:v>901221.98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N3:O3"/>
    <x:mergeCell ref="R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1.125" hidden="0" customWidth="1"/>
    <x:col min="18" max="18" width="11.125" hidden="0" customWidth="1"/>
    <x:col min="19" max="19" width="14.625" hidden="0" customWidth="1"/>
    <x:col min="20" max="20" width="17.25" hidden="0" customWidth="1"/>
    <x:col min="21" max="21" width="20" hidden="0" customWidth="1"/>
    <x:col min="22" max="22" width="17.25" hidden="0" customWidth="1"/>
    <x:col min="50" max="50" width="20" hidden="0" customWidth="1"/>
    <x:col min="51" max="51" width="65" hidden="0" customWidth="1"/>
    <x:col min="23" max="23" width="13" hidden="0" customWidth="1"/>
    <x:col min="24" max="24" width="13" hidden="0" customWidth="1"/>
    <x:col min="25" max="25" width="13" hidden="0" customWidth="1"/>
    <x:col min="26" max="26" width="17.25" hidden="0" customWidth="1"/>
    <x:col min="27" max="27" width="17.25" hidden="0" customWidth="1"/>
    <x:col min="28" max="28" width="17.25" hidden="0" customWidth="1"/>
    <x:col min="29" max="29" width="17.25" hidden="0" customWidth="1"/>
    <x:col min="30" max="30" width="17.25" hidden="0" customWidth="1"/>
    <x:col min="31" max="31" width="17.25" hidden="0" customWidth="1"/>
    <x:col min="32" max="32" width="16.1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项目名称</x:v>
      </x:c>
      <x:c r="C2" s="3"/>
      <x:c r="D2" s="3" t="str">
        <x:v>投资比例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成本</x:v>
      </x:c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1818.12</x:v>
      </x:c>
      <x:c r="D31" s="4" t="n">
        <x:v>1765.74</x:v>
      </x:c>
      <x:c r="E31" s="4" t="n">
        <x:v>2026.79</x:v>
      </x:c>
      <x:c r="F31" s="4" t="n">
        <x:v>2211.12</x:v>
      </x:c>
      <x:c r="G31" s="4" t="n">
        <x:v>2357.44</x:v>
      </x:c>
      <x:c r="H31" s="4" t="n">
        <x:v>1888.94</x:v>
      </x:c>
      <x:c r="I31" s="4" t="n">
        <x:v>1919.18</x:v>
      </x:c>
      <x:c r="J31" s="4" t="n">
        <x:v>1965.16</x:v>
      </x:c>
      <x:c r="K31" s="4" t="n">
        <x:v>1847.13</x:v>
      </x:c>
      <x:c r="L31" s="4" t="n">
        <x:v>2488.05</x:v>
      </x:c>
      <x:c r="M31" s="4" t="n">
        <x:v>1630.39</x:v>
      </x:c>
      <x:c r="N31" s="4" t="n">
        <x:v>1773.58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84.49</x:v>
      </x:c>
      <x:c r="D32" s="4" t="n">
        <x:v>100.33</x:v>
      </x:c>
      <x:c r="E32" s="4" t="n">
        <x:v>127</x:v>
      </x:c>
      <x:c r="F32" s="4" t="n">
        <x:v>98.89</x:v>
      </x:c>
      <x:c r="G32" s="4" t="n">
        <x:v>117.11</x:v>
      </x:c>
      <x:c r="H32" s="4" t="n">
        <x:v>96.9</x:v>
      </x:c>
      <x:c r="I32" s="4" t="n">
        <x:v>122.24</x:v>
      </x:c>
      <x:c r="J32" s="4" t="n">
        <x:v>108.75</x:v>
      </x:c>
      <x:c r="K32" s="4" t="n">
        <x:v>88.09</x:v>
      </x:c>
      <x:c r="L32" s="4" t="n">
        <x:v>94.42</x:v>
      </x:c>
      <x:c r="M32" s="4" t="n">
        <x:v>103.02</x:v>
      </x:c>
      <x:c r="N32" s="4" t="n">
        <x:v>122.27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153612.96</x:v>
      </x:c>
      <x:c r="D33" s="3" t="n">
        <x:f>ROUND(D31*D32,2)</x:f>
        <x:v>177156.69</x:v>
      </x:c>
      <x:c r="E33" s="3" t="n">
        <x:f>ROUND(E31*E32,2)</x:f>
        <x:v>257402.33</x:v>
      </x:c>
      <x:c r="F33" s="3" t="n">
        <x:f>ROUND(F31*F32,2)</x:f>
        <x:v>218657.66</x:v>
      </x:c>
      <x:c r="G33" s="3" t="n">
        <x:f>ROUND(G31*G32,2)</x:f>
        <x:v>276079.8</x:v>
      </x:c>
      <x:c r="H33" s="3" t="n">
        <x:f>ROUND(H31*H32,2)</x:f>
        <x:v>183038.29</x:v>
      </x:c>
      <x:c r="I33" s="3" t="n">
        <x:f>ROUND(I31*I32,2)</x:f>
        <x:v>234600.56</x:v>
      </x:c>
      <x:c r="J33" s="3" t="n">
        <x:f>ROUND(J31*J32,2)</x:f>
        <x:v>213711.15</x:v>
      </x:c>
      <x:c r="K33" s="3" t="n">
        <x:f>ROUND(K31*K32,2)</x:f>
        <x:v>162713.68</x:v>
      </x:c>
      <x:c r="L33" s="3" t="n">
        <x:f>ROUND(L31*L32,2)</x:f>
        <x:v>234921.68</x:v>
      </x:c>
      <x:c r="M33" s="3" t="n">
        <x:f>ROUND(M31*M32,2)</x:f>
        <x:v>167962.78</x:v>
      </x:c>
      <x:c r="N33" s="3" t="n">
        <x:f>ROUND(N31*N32,2)</x:f>
        <x:v>216855.63</x:v>
      </x:c>
      <x:c r="O33" s="3" t="n">
        <x:f>SUM(C33:N33)</x:f>
        <x:v>2496713.2099999995</x:v>
      </x:c>
      <x:c r="P33" s="2" t="str">
        <x:v>REV2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640.3</x:v>
      </x:c>
      <x:c r="D34" s="4" t="n">
        <x:v>693.86</x:v>
      </x:c>
      <x:c r="E34" s="4" t="n">
        <x:v>825.82</x:v>
      </x:c>
      <x:c r="F34" s="4" t="n">
        <x:v>618.45</x:v>
      </x:c>
      <x:c r="G34" s="4" t="n">
        <x:v>571.61</x:v>
      </x:c>
      <x:c r="H34" s="4" t="n">
        <x:v>639.07</x:v>
      </x:c>
      <x:c r="I34" s="4" t="n">
        <x:v>641.92</x:v>
      </x:c>
      <x:c r="J34" s="4" t="n">
        <x:v>550.55</x:v>
      </x:c>
      <x:c r="K34" s="4" t="n">
        <x:v>735.14</x:v>
      </x:c>
      <x:c r="L34" s="4" t="n">
        <x:v>696.18</x:v>
      </x:c>
      <x:c r="M34" s="4" t="n">
        <x:v>662.45</x:v>
      </x:c>
      <x:c r="N34" s="4" t="n">
        <x:v>634.16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84.49</x:v>
      </x:c>
      <x:c r="D35" s="3" t="n">
        <x:f>D32</x:f>
        <x:v>100.33</x:v>
      </x:c>
      <x:c r="E35" s="3" t="n">
        <x:f>E32</x:f>
        <x:v>127</x:v>
      </x:c>
      <x:c r="F35" s="3" t="n">
        <x:f>F32</x:f>
        <x:v>98.89</x:v>
      </x:c>
      <x:c r="G35" s="3" t="n">
        <x:f>G32</x:f>
        <x:v>117.11</x:v>
      </x:c>
      <x:c r="H35" s="3" t="n">
        <x:f>H32</x:f>
        <x:v>96.9</x:v>
      </x:c>
      <x:c r="I35" s="3" t="n">
        <x:f>I32</x:f>
        <x:v>122.24</x:v>
      </x:c>
      <x:c r="J35" s="3" t="n">
        <x:f>J32</x:f>
        <x:v>108.75</x:v>
      </x:c>
      <x:c r="K35" s="3" t="n">
        <x:f>K32</x:f>
        <x:v>88.09</x:v>
      </x:c>
      <x:c r="L35" s="3" t="n">
        <x:f>L32</x:f>
        <x:v>94.42</x:v>
      </x:c>
      <x:c r="M35" s="3" t="n">
        <x:f>M32</x:f>
        <x:v>103.02</x:v>
      </x:c>
      <x:c r="N35" s="3" t="n">
        <x:f>N32</x:f>
        <x:v>122.27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54098.95</x:v>
      </x:c>
      <x:c r="D36" s="3" t="n">
        <x:f>ROUND(D34*D35,2)</x:f>
        <x:v>69614.97</x:v>
      </x:c>
      <x:c r="E36" s="3" t="n">
        <x:f>ROUND(E34*E35,2)</x:f>
        <x:v>104879.14</x:v>
      </x:c>
      <x:c r="F36" s="3" t="n">
        <x:f>ROUND(F34*F35,2)</x:f>
        <x:v>61158.52</x:v>
      </x:c>
      <x:c r="G36" s="3" t="n">
        <x:f>ROUND(G34*G35,2)</x:f>
        <x:v>66941.25</x:v>
      </x:c>
      <x:c r="H36" s="3" t="n">
        <x:f>ROUND(H34*H35,2)</x:f>
        <x:v>61925.88</x:v>
      </x:c>
      <x:c r="I36" s="3" t="n">
        <x:f>ROUND(I34*I35,2)</x:f>
        <x:v>78468.3</x:v>
      </x:c>
      <x:c r="J36" s="3" t="n">
        <x:f>ROUND(J34*J35,2)</x:f>
        <x:v>59872.31</x:v>
      </x:c>
      <x:c r="K36" s="3" t="n">
        <x:f>ROUND(K34*K35,2)</x:f>
        <x:v>64758.48</x:v>
      </x:c>
      <x:c r="L36" s="3" t="n">
        <x:f>ROUND(L34*L35,2)</x:f>
        <x:v>65733.32</x:v>
      </x:c>
      <x:c r="M36" s="3" t="n">
        <x:f>ROUND(M34*M35,2)</x:f>
        <x:v>68245.6</x:v>
      </x:c>
      <x:c r="N36" s="3" t="n">
        <x:f>ROUND(N34*N35,2)</x:f>
        <x:v>77538.74</x:v>
      </x:c>
      <x:c r="O36" s="3" t="n">
        <x:f>SUM(C36:N36)</x:f>
        <x:v>833235.4600000001</x:v>
      </x:c>
      <x:c r="P36" s="2" t="str">
        <x:v>COGS2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54098.95</x:v>
      </x:c>
      <x:c r="D37" s="3" t="n">
        <x:f>D36</x:f>
        <x:v>69614.97</x:v>
      </x:c>
      <x:c r="E37" s="3" t="n">
        <x:f>E36</x:f>
        <x:v>104879.14</x:v>
      </x:c>
      <x:c r="F37" s="3" t="n">
        <x:f>F36</x:f>
        <x:v>61158.52</x:v>
      </x:c>
      <x:c r="G37" s="3" t="n">
        <x:f>G36</x:f>
        <x:v>66941.25</x:v>
      </x:c>
      <x:c r="H37" s="3" t="n">
        <x:f>H36</x:f>
        <x:v>61925.88</x:v>
      </x:c>
      <x:c r="I37" s="3" t="n">
        <x:f>I36</x:f>
        <x:v>78468.3</x:v>
      </x:c>
      <x:c r="J37" s="3" t="n">
        <x:f>J36</x:f>
        <x:v>59872.31</x:v>
      </x:c>
      <x:c r="K37" s="3" t="n">
        <x:f>K36</x:f>
        <x:v>64758.48</x:v>
      </x:c>
      <x:c r="L37" s="3" t="n">
        <x:f>L36</x:f>
        <x:v>65733.32</x:v>
      </x:c>
      <x:c r="M37" s="3" t="n">
        <x:f>M36</x:f>
        <x:v>68245.6</x:v>
      </x:c>
      <x:c r="N37" s="3" t="n">
        <x:f>N36</x:f>
        <x:v>77538.74</x:v>
      </x:c>
      <x:c r="O37" s="3" t="n">
        <x:f>SUM(C37:N37)</x:f>
        <x:v>833235.4600000001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L2:M2"/>
    <x:mergeCell ref="P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税金及附加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综合附加率（演示假设）</x:v>
      </x:c>
      <x:c r="C31" s="4" t="n">
        <x:v>0.0074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计税收入</x:v>
      </x:c>
      <x:c r="C32" s="3" t="n">
        <x:f>'收入非主控'!C33+'收入主控'!C33</x:f>
        <x:v>438813.83999999997</x:v>
      </x:c>
      <x:c r="D32" s="3" t="n">
        <x:f>'收入非主控'!D33+'收入主控'!D33</x:f>
        <x:v>433508.55</x:v>
      </x:c>
      <x:c r="E32" s="3" t="n">
        <x:f>'收入非主控'!E33+'收入主控'!E33</x:f>
        <x:v>509987.06</x:v>
      </x:c>
      <x:c r="F32" s="3" t="n">
        <x:f>'收入非主控'!F33+'收入主控'!F33</x:f>
        <x:v>374094.65</x:v>
      </x:c>
      <x:c r="G32" s="3" t="n">
        <x:f>'收入非主控'!G33+'收入主控'!G33</x:f>
        <x:v>533340.76</x:v>
      </x:c>
      <x:c r="H32" s="3" t="n">
        <x:f>'收入非主控'!H33+'收入主控'!H33</x:f>
        <x:v>423595.80000000005</x:v>
      </x:c>
      <x:c r="I32" s="3" t="n">
        <x:f>'收入非主控'!I33+'收入主控'!I33</x:f>
        <x:v>414333.12</x:v>
      </x:c>
      <x:c r="J32" s="3" t="n">
        <x:f>'收入非主控'!J33+'收入主控'!J33</x:f>
        <x:v>492539.47</x:v>
      </x:c>
      <x:c r="K32" s="3" t="n">
        <x:f>'收入非主控'!K33+'收入主控'!K33</x:f>
        <x:v>361868.72</x:v>
      </x:c>
      <x:c r="L32" s="3" t="n">
        <x:f>'收入非主控'!L33+'收入主控'!L33</x:f>
        <x:v>378025.33999999997</x:v>
      </x:c>
      <x:c r="M32" s="3" t="n">
        <x:f>'收入非主控'!M33+'收入主控'!M33</x:f>
        <x:v>337727.4</x:v>
      </x:c>
      <x:c r="N32" s="3" t="n">
        <x:f>'收入非主控'!N33+'收入主控'!N33</x:f>
        <x:v>426492.95999999996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税金及附加</x:v>
      </x:c>
      <x:c r="C33" s="3" t="n">
        <x:f>ROUND(C32*$C$31,2)</x:f>
        <x:v>3247.22</x:v>
      </x:c>
      <x:c r="D33" s="3" t="n">
        <x:f>ROUND(D32*$C$31,2)</x:f>
        <x:v>3207.96</x:v>
      </x:c>
      <x:c r="E33" s="3" t="n">
        <x:f>ROUND(E32*$C$31,2)</x:f>
        <x:v>3773.9</x:v>
      </x:c>
      <x:c r="F33" s="3" t="n">
        <x:f>ROUND(F32*$C$31,2)</x:f>
        <x:v>2768.3</x:v>
      </x:c>
      <x:c r="G33" s="3" t="n">
        <x:f>ROUND(G32*$C$31,2)</x:f>
        <x:v>3946.72</x:v>
      </x:c>
      <x:c r="H33" s="3" t="n">
        <x:f>ROUND(H32*$C$31,2)</x:f>
        <x:v>3134.61</x:v>
      </x:c>
      <x:c r="I33" s="3" t="n">
        <x:f>ROUND(I32*$C$31,2)</x:f>
        <x:v>3066.07</x:v>
      </x:c>
      <x:c r="J33" s="3" t="n">
        <x:f>ROUND(J32*$C$31,2)</x:f>
        <x:v>3644.79</x:v>
      </x:c>
      <x:c r="K33" s="3" t="n">
        <x:f>ROUND(K32*$C$31,2)</x:f>
        <x:v>2677.83</x:v>
      </x:c>
      <x:c r="L33" s="3" t="n">
        <x:f>ROUND(L32*$C$31,2)</x:f>
        <x:v>2797.39</x:v>
      </x:c>
      <x:c r="M33" s="3" t="n">
        <x:f>ROUND(M32*$C$31,2)</x:f>
        <x:v>2499.18</x:v>
      </x:c>
      <x:c r="N33" s="3" t="n">
        <x:f>ROUND(N32*$C$31,2)</x:f>
        <x:v>3156.05</x:v>
      </x:c>
      <x:c r="O33" s="3"/>
      <x:c r="P33" s="2" t="str">
        <x:v>TAX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.875" hidden="0" customWidth="1"/>
    <x:col min="17" max="17" width="9" hidden="0" customWidth="1"/>
    <x:col min="18" max="18" width="9.625" hidden="0" customWidth="1"/>
    <x:col min="19" max="19" width="9" hidden="0" customWidth="1"/>
    <x:col min="20" max="20" width="9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销售费用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64.65</x:v>
      </x:c>
      <x:c r="D4" s="3" t="n">
        <x:f>ROUND(D204*D324,2)</x:f>
        <x:v>102.84</x:v>
      </x:c>
      <x:c r="E4" s="3" t="n">
        <x:f>ROUND(E204*E324,2)</x:f>
        <x:v>336.62</x:v>
      </x:c>
      <x:c r="F4" s="3" t="n">
        <x:f>ROUND(F204*F324,2)</x:f>
        <x:v>49.27</x:v>
      </x:c>
      <x:c r="G4" s="3" t="n">
        <x:f>ROUND(G204*G324,2)</x:f>
        <x:v>282.69</x:v>
      </x:c>
      <x:c r="H4" s="3" t="n">
        <x:f>ROUND(H204*H324,2)</x:f>
        <x:v>160.45</x:v>
      </x:c>
      <x:c r="I4" s="3" t="n">
        <x:f>ROUND(I204*I324,2)</x:f>
        <x:v>297.64</x:v>
      </x:c>
      <x:c r="J4" s="3" t="n">
        <x:f>ROUND(J204*J324,2)</x:f>
        <x:v>430.45</x:v>
      </x:c>
      <x:c r="K4" s="3" t="n">
        <x:f>ROUND(K204*K324,2)</x:f>
        <x:v>252.12</x:v>
      </x:c>
      <x:c r="L4" s="3" t="n">
        <x:f>ROUND(L204*L324,2)</x:f>
        <x:v>322.1</x:v>
      </x:c>
      <x:c r="M4" s="3" t="n">
        <x:f>ROUND(M204*M324,2)</x:f>
        <x:v>113.1</x:v>
      </x:c>
      <x:c r="N4" s="3" t="n">
        <x:f>ROUND(N204*N324,2)</x:f>
        <x:v>122.38</x:v>
      </x:c>
      <x:c r="O4" s="3" t="n">
        <x:f>SUM(C4:N4)</x:f>
        <x:v>2534.31</x:v>
      </x:c>
      <x:c r="P4" s="2" t="str">
        <x:v>EXP1.004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313.79</x:v>
      </x:c>
      <x:c r="D5" s="3" t="n">
        <x:f>ROUND(D205*D325,2)</x:f>
        <x:v>75.11</x:v>
      </x:c>
      <x:c r="E5" s="3" t="n">
        <x:f>ROUND(E205*E325,2)</x:f>
        <x:v>393.33</x:v>
      </x:c>
      <x:c r="F5" s="3" t="n">
        <x:f>ROUND(F205*F325,2)</x:f>
        <x:v>221.07</x:v>
      </x:c>
      <x:c r="G5" s="3" t="n">
        <x:f>ROUND(G205*G325,2)</x:f>
        <x:v>438.18</x:v>
      </x:c>
      <x:c r="H5" s="3" t="n">
        <x:f>ROUND(H205*H325,2)</x:f>
        <x:v>182.42</x:v>
      </x:c>
      <x:c r="I5" s="3" t="n">
        <x:f>ROUND(I205*I325,2)</x:f>
        <x:v>315.37</x:v>
      </x:c>
      <x:c r="J5" s="3" t="n">
        <x:f>ROUND(J205*J325,2)</x:f>
        <x:v>77.48</x:v>
      </x:c>
      <x:c r="K5" s="3" t="n">
        <x:f>ROUND(K205*K325,2)</x:f>
        <x:v>424.57</x:v>
      </x:c>
      <x:c r="L5" s="3" t="n">
        <x:f>ROUND(L205*L325,2)</x:f>
        <x:v>109.09</x:v>
      </x:c>
      <x:c r="M5" s="3" t="n">
        <x:f>ROUND(M205*M325,2)</x:f>
        <x:v>118.46</x:v>
      </x:c>
      <x:c r="N5" s="3" t="n">
        <x:f>ROUND(N205*N325,2)</x:f>
        <x:v>126.86</x:v>
      </x:c>
      <x:c r="O5" s="3" t="n">
        <x:f>SUM(C5:N5)</x:f>
        <x:v>2795.7300000000005</x:v>
      </x:c>
      <x:c r="P5" s="2" t="str">
        <x:v>EXP1.005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229.55</x:v>
      </x:c>
      <x:c r="D6" s="3" t="n">
        <x:f>ROUND(D206*D326,2)</x:f>
        <x:v>175.04</x:v>
      </x:c>
      <x:c r="E6" s="3" t="n">
        <x:f>ROUND(E206*E326,2)</x:f>
        <x:v>118.7</x:v>
      </x:c>
      <x:c r="F6" s="3" t="n">
        <x:f>ROUND(F206*F326,2)</x:f>
        <x:v>118.44</x:v>
      </x:c>
      <x:c r="G6" s="3" t="n">
        <x:f>ROUND(G206*G326,2)</x:f>
        <x:v>425.15</x:v>
      </x:c>
      <x:c r="H6" s="3" t="n">
        <x:f>ROUND(H206*H326,2)</x:f>
        <x:v>143.03</x:v>
      </x:c>
      <x:c r="I6" s="3" t="n">
        <x:f>ROUND(I206*I326,2)</x:f>
        <x:v>264.41</x:v>
      </x:c>
      <x:c r="J6" s="3" t="n">
        <x:f>ROUND(J206*J326,2)</x:f>
        <x:v>377.52</x:v>
      </x:c>
      <x:c r="K6" s="3" t="n">
        <x:f>ROUND(K206*K326,2)</x:f>
        <x:v>240.9</x:v>
      </x:c>
      <x:c r="L6" s="3" t="n">
        <x:f>ROUND(L206*L326,2)</x:f>
        <x:v>190.4</x:v>
      </x:c>
      <x:c r="M6" s="3" t="n">
        <x:f>ROUND(M206*M326,2)</x:f>
        <x:v>222.99</x:v>
      </x:c>
      <x:c r="N6" s="3" t="n">
        <x:f>ROUND(N206*N326,2)</x:f>
        <x:v>161.42</x:v>
      </x:c>
      <x:c r="O6" s="3" t="n">
        <x:f>SUM(C6:N6)</x:f>
        <x:v>2667.55</x:v>
      </x:c>
      <x:c r="P6" s="2" t="str">
        <x:v>EXP1.006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242.15</x:v>
      </x:c>
      <x:c r="D7" s="3" t="n">
        <x:f>ROUND(D207*D327,2)</x:f>
        <x:v>189.38</x:v>
      </x:c>
      <x:c r="E7" s="3" t="n">
        <x:f>ROUND(E207*E327,2)</x:f>
        <x:v>123.54</x:v>
      </x:c>
      <x:c r="F7" s="3" t="n">
        <x:f>ROUND(F207*F327,2)</x:f>
        <x:v>262.31</x:v>
      </x:c>
      <x:c r="G7" s="3" t="n">
        <x:f>ROUND(G207*G327,2)</x:f>
        <x:v>436.46</x:v>
      </x:c>
      <x:c r="H7" s="3" t="n">
        <x:f>ROUND(H207*H327,2)</x:f>
        <x:v>128.06</x:v>
      </x:c>
      <x:c r="I7" s="3" t="n">
        <x:f>ROUND(I207*I327,2)</x:f>
        <x:v>503.85</x:v>
      </x:c>
      <x:c r="J7" s="3" t="n">
        <x:f>ROUND(J207*J327,2)</x:f>
        <x:v>335.38</x:v>
      </x:c>
      <x:c r="K7" s="3" t="n">
        <x:f>ROUND(K207*K327,2)</x:f>
        <x:v>138.02</x:v>
      </x:c>
      <x:c r="L7" s="3" t="n">
        <x:f>ROUND(L207*L327,2)</x:f>
        <x:v>83.77</x:v>
      </x:c>
      <x:c r="M7" s="3" t="n">
        <x:f>ROUND(M207*M327,2)</x:f>
        <x:v>369.61</x:v>
      </x:c>
      <x:c r="N7" s="3" t="n">
        <x:f>ROUND(N207*N327,2)</x:f>
        <x:v>319.5</x:v>
      </x:c>
      <x:c r="O7" s="3" t="n">
        <x:f>SUM(C7:N7)</x:f>
        <x:v>3132.03</x:v>
      </x:c>
      <x:c r="P7" s="2" t="str">
        <x:v>EXP1.007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434.69</x:v>
      </x:c>
      <x:c r="D8" s="3" t="n">
        <x:f>ROUND(D208*D328,2)</x:f>
        <x:v>383.76</x:v>
      </x:c>
      <x:c r="E8" s="3" t="n">
        <x:f>ROUND(E208*E328,2)</x:f>
        <x:v>171.14</x:v>
      </x:c>
      <x:c r="F8" s="3" t="n">
        <x:f>ROUND(F208*F328,2)</x:f>
        <x:v>108.88</x:v>
      </x:c>
      <x:c r="G8" s="3" t="n">
        <x:f>ROUND(G208*G328,2)</x:f>
        <x:v>194.38</x:v>
      </x:c>
      <x:c r="H8" s="3" t="n">
        <x:f>ROUND(H208*H328,2)</x:f>
        <x:v>312.04</x:v>
      </x:c>
      <x:c r="I8" s="3" t="n">
        <x:f>ROUND(I208*I328,2)</x:f>
        <x:v>120.41</x:v>
      </x:c>
      <x:c r="J8" s="3" t="n">
        <x:f>ROUND(J208*J328,2)</x:f>
        <x:v>127.5</x:v>
      </x:c>
      <x:c r="K8" s="3" t="n">
        <x:f>ROUND(K208*K328,2)</x:f>
        <x:v>297.31</x:v>
      </x:c>
      <x:c r="L8" s="3" t="n">
        <x:f>ROUND(L208*L328,2)</x:f>
        <x:v>213.06</x:v>
      </x:c>
      <x:c r="M8" s="3" t="n">
        <x:f>ROUND(M208*M328,2)</x:f>
        <x:v>210.72</x:v>
      </x:c>
      <x:c r="N8" s="3" t="n">
        <x:f>ROUND(N208*N328,2)</x:f>
        <x:v>168.56</x:v>
      </x:c>
      <x:c r="O8" s="3" t="n">
        <x:f>SUM(C8:N8)</x:f>
        <x:v>2742.45</x:v>
      </x:c>
      <x:c r="P8" s="2" t="str">
        <x:v>EXP1.008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113.16</x:v>
      </x:c>
      <x:c r="D9" s="3" t="n">
        <x:f>ROUND(D209*D329,2)</x:f>
        <x:v>314.01</x:v>
      </x:c>
      <x:c r="E9" s="3" t="n">
        <x:f>ROUND(E209*E329,2)</x:f>
        <x:v>263.47</x:v>
      </x:c>
      <x:c r="F9" s="3" t="n">
        <x:f>ROUND(F209*F329,2)</x:f>
        <x:v>137.65</x:v>
      </x:c>
      <x:c r="G9" s="3" t="n">
        <x:f>ROUND(G209*G329,2)</x:f>
        <x:v>267.9</x:v>
      </x:c>
      <x:c r="H9" s="3" t="n">
        <x:f>ROUND(H209*H329,2)</x:f>
        <x:v>266.21</x:v>
      </x:c>
      <x:c r="I9" s="3" t="n">
        <x:f>ROUND(I209*I329,2)</x:f>
        <x:v>196.31</x:v>
      </x:c>
      <x:c r="J9" s="3" t="n">
        <x:f>ROUND(J209*J329,2)</x:f>
        <x:v>127.16</x:v>
      </x:c>
      <x:c r="K9" s="3" t="n">
        <x:f>ROUND(K209*K329,2)</x:f>
        <x:v>150.86</x:v>
      </x:c>
      <x:c r="L9" s="3" t="n">
        <x:f>ROUND(L209*L329,2)</x:f>
        <x:v>141.22</x:v>
      </x:c>
      <x:c r="M9" s="3" t="n">
        <x:f>ROUND(M209*M329,2)</x:f>
        <x:v>325.61</x:v>
      </x:c>
      <x:c r="N9" s="3" t="n">
        <x:f>ROUND(N209*N329,2)</x:f>
        <x:v>403.15</x:v>
      </x:c>
      <x:c r="O9" s="3" t="n">
        <x:f>SUM(C9:N9)</x:f>
        <x:v>2706.71</x:v>
      </x:c>
      <x:c r="P9" s="2" t="str">
        <x:v>EXP1.009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171.64</x:v>
      </x:c>
      <x:c r="D10" s="3" t="n">
        <x:f>ROUND(D210*D330,2)</x:f>
        <x:v>418.55</x:v>
      </x:c>
      <x:c r="E10" s="3" t="n">
        <x:f>ROUND(E210*E330,2)</x:f>
        <x:v>420.04</x:v>
      </x:c>
      <x:c r="F10" s="3" t="n">
        <x:f>ROUND(F210*F330,2)</x:f>
        <x:v>306.99</x:v>
      </x:c>
      <x:c r="G10" s="3" t="n">
        <x:f>ROUND(G210*G330,2)</x:f>
        <x:v>47.61</x:v>
      </x:c>
      <x:c r="H10" s="3" t="n">
        <x:f>ROUND(H210*H330,2)</x:f>
        <x:v>339.75</x:v>
      </x:c>
      <x:c r="I10" s="3" t="n">
        <x:f>ROUND(I210*I330,2)</x:f>
        <x:v>158.35</x:v>
      </x:c>
      <x:c r="J10" s="3" t="n">
        <x:f>ROUND(J210*J330,2)</x:f>
        <x:v>262.34</x:v>
      </x:c>
      <x:c r="K10" s="3" t="n">
        <x:f>ROUND(K210*K330,2)</x:f>
        <x:v>297.18</x:v>
      </x:c>
      <x:c r="L10" s="3" t="n">
        <x:f>ROUND(L210*L330,2)</x:f>
        <x:v>417.06</x:v>
      </x:c>
      <x:c r="M10" s="3" t="n">
        <x:f>ROUND(M210*M330,2)</x:f>
        <x:v>138.74</x:v>
      </x:c>
      <x:c r="N10" s="3" t="n">
        <x:f>ROUND(N210*N330,2)</x:f>
        <x:v>226.38</x:v>
      </x:c>
      <x:c r="O10" s="3" t="n">
        <x:f>SUM(C10:N10)</x:f>
        <x:v>3204.63</x:v>
      </x:c>
      <x:c r="P10" s="2" t="str">
        <x:v>EXP1.010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169.05</x:v>
      </x:c>
      <x:c r="D11" s="3" t="n">
        <x:f>ROUND(D211*D331,2)</x:f>
        <x:v>410.62</x:v>
      </x:c>
      <x:c r="E11" s="3" t="n">
        <x:f>ROUND(E211*E331,2)</x:f>
        <x:v>219.73</x:v>
      </x:c>
      <x:c r="F11" s="3" t="n">
        <x:f>ROUND(F211*F331,2)</x:f>
        <x:v>188.19</x:v>
      </x:c>
      <x:c r="G11" s="3" t="n">
        <x:f>ROUND(G211*G331,2)</x:f>
        <x:v>274.72</x:v>
      </x:c>
      <x:c r="H11" s="3" t="n">
        <x:f>ROUND(H211*H331,2)</x:f>
        <x:v>579.31</x:v>
      </x:c>
      <x:c r="I11" s="3" t="n">
        <x:f>ROUND(I211*I331,2)</x:f>
        <x:v>416.98</x:v>
      </x:c>
      <x:c r="J11" s="3" t="n">
        <x:f>ROUND(J211*J331,2)</x:f>
        <x:v>172</x:v>
      </x:c>
      <x:c r="K11" s="3" t="n">
        <x:f>ROUND(K211*K331,2)</x:f>
        <x:v>104.57</x:v>
      </x:c>
      <x:c r="L11" s="3" t="n">
        <x:f>ROUND(L211*L331,2)</x:f>
        <x:v>74.2</x:v>
      </x:c>
      <x:c r="M11" s="3" t="n">
        <x:f>ROUND(M211*M331,2)</x:f>
        <x:v>238.42</x:v>
      </x:c>
      <x:c r="N11" s="3" t="n">
        <x:f>ROUND(N211*N331,2)</x:f>
        <x:v>421.16</x:v>
      </x:c>
      <x:c r="O11" s="3" t="n">
        <x:f>SUM(C11:N11)</x:f>
        <x:v>3268.9500000000003</x:v>
      </x:c>
      <x:c r="P11" s="2" t="str">
        <x:v>EXP1.011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169.51</x:v>
      </x:c>
      <x:c r="D12" s="3" t="n">
        <x:f>ROUND(D212*D332,2)</x:f>
        <x:v>103.38</x:v>
      </x:c>
      <x:c r="E12" s="3" t="n">
        <x:f>ROUND(E212*E332,2)</x:f>
        <x:v>510.08</x:v>
      </x:c>
      <x:c r="F12" s="3" t="n">
        <x:f>ROUND(F212*F332,2)</x:f>
        <x:v>227.32</x:v>
      </x:c>
      <x:c r="G12" s="3" t="n">
        <x:f>ROUND(G212*G332,2)</x:f>
        <x:v>288.1</x:v>
      </x:c>
      <x:c r="H12" s="3" t="n">
        <x:f>ROUND(H212*H332,2)</x:f>
        <x:v>408.26</x:v>
      </x:c>
      <x:c r="I12" s="3" t="n">
        <x:f>ROUND(I212*I332,2)</x:f>
        <x:v>141.9</x:v>
      </x:c>
      <x:c r="J12" s="3" t="n">
        <x:f>ROUND(J212*J332,2)</x:f>
        <x:v>99.72</x:v>
      </x:c>
      <x:c r="K12" s="3" t="n">
        <x:f>ROUND(K212*K332,2)</x:f>
        <x:v>232.59</x:v>
      </x:c>
      <x:c r="L12" s="3" t="n">
        <x:f>ROUND(L212*L332,2)</x:f>
        <x:v>473.25</x:v>
      </x:c>
      <x:c r="M12" s="3" t="n">
        <x:f>ROUND(M212*M332,2)</x:f>
        <x:v>405.47</x:v>
      </x:c>
      <x:c r="N12" s="3" t="n">
        <x:f>ROUND(N212*N332,2)</x:f>
        <x:v>139.01</x:v>
      </x:c>
      <x:c r="O12" s="3" t="n">
        <x:f>SUM(C12:N12)</x:f>
        <x:v>3198.59</x:v>
      </x:c>
      <x:c r="P12" s="2" t="str">
        <x:v>EXP1.012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594.82</x:v>
      </x:c>
      <x:c r="D13" s="3" t="n">
        <x:f>ROUND(D213*D333,2)</x:f>
        <x:v>134.14</x:v>
      </x:c>
      <x:c r="E13" s="3" t="n">
        <x:f>ROUND(E213*E333,2)</x:f>
        <x:v>141.01</x:v>
      </x:c>
      <x:c r="F13" s="3" t="n">
        <x:f>ROUND(F213*F333,2)</x:f>
        <x:v>230.28</x:v>
      </x:c>
      <x:c r="G13" s="3" t="n">
        <x:f>ROUND(G213*G333,2)</x:f>
        <x:v>95.49</x:v>
      </x:c>
      <x:c r="H13" s="3" t="n">
        <x:f>ROUND(H213*H333,2)</x:f>
        <x:v>105.6</x:v>
      </x:c>
      <x:c r="I13" s="3" t="n">
        <x:f>ROUND(I213*I333,2)</x:f>
        <x:v>277.72</x:v>
      </x:c>
      <x:c r="J13" s="3" t="n">
        <x:f>ROUND(J213*J333,2)</x:f>
        <x:v>159.21</x:v>
      </x:c>
      <x:c r="K13" s="3" t="n">
        <x:f>ROUND(K213*K333,2)</x:f>
        <x:v>195.04</x:v>
      </x:c>
      <x:c r="L13" s="3" t="n">
        <x:f>ROUND(L213*L333,2)</x:f>
        <x:v>445.2</x:v>
      </x:c>
      <x:c r="M13" s="3" t="n">
        <x:f>ROUND(M213*M333,2)</x:f>
        <x:v>137.14</x:v>
      </x:c>
      <x:c r="N13" s="3" t="n">
        <x:f>ROUND(N213*N333,2)</x:f>
        <x:v>185.53</x:v>
      </x:c>
      <x:c r="O13" s="3" t="n">
        <x:f>SUM(C13:N13)</x:f>
        <x:v>2701.18</x:v>
      </x:c>
      <x:c r="P13" s="2" t="str">
        <x:v>EXP1.013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60.01</x:v>
      </x:c>
      <x:c r="D14" s="3" t="n">
        <x:f>ROUND(D214*D334,2)</x:f>
        <x:v>317.12</x:v>
      </x:c>
      <x:c r="E14" s="3" t="n">
        <x:f>ROUND(E214*E334,2)</x:f>
        <x:v>383.8</x:v>
      </x:c>
      <x:c r="F14" s="3" t="n">
        <x:f>ROUND(F214*F334,2)</x:f>
        <x:v>308.05</x:v>
      </x:c>
      <x:c r="G14" s="3" t="n">
        <x:f>ROUND(G214*G334,2)</x:f>
        <x:v>47.47</x:v>
      </x:c>
      <x:c r="H14" s="3" t="n">
        <x:f>ROUND(H214*H334,2)</x:f>
        <x:v>199.76</x:v>
      </x:c>
      <x:c r="I14" s="3" t="n">
        <x:f>ROUND(I214*I334,2)</x:f>
        <x:v>373.87</x:v>
      </x:c>
      <x:c r="J14" s="3" t="n">
        <x:f>ROUND(J214*J334,2)</x:f>
        <x:v>200.38</x:v>
      </x:c>
      <x:c r="K14" s="3" t="n">
        <x:f>ROUND(K214*K334,2)</x:f>
        <x:v>414.99</x:v>
      </x:c>
      <x:c r="L14" s="3" t="n">
        <x:f>ROUND(L214*L334,2)</x:f>
        <x:v>234.06</x:v>
      </x:c>
      <x:c r="M14" s="3" t="n">
        <x:f>ROUND(M214*M334,2)</x:f>
        <x:v>217.96</x:v>
      </x:c>
      <x:c r="N14" s="3" t="n">
        <x:f>ROUND(N214*N334,2)</x:f>
        <x:v>118.73</x:v>
      </x:c>
      <x:c r="O14" s="3" t="n">
        <x:f>SUM(C14:N14)</x:f>
        <x:v>2876.2</x:v>
      </x:c>
      <x:c r="P14" s="2" t="str">
        <x:v>EXP1.014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241.77</x:v>
      </x:c>
      <x:c r="D15" s="3" t="n">
        <x:f>ROUND(D215*D335,2)</x:f>
        <x:v>162.57</x:v>
      </x:c>
      <x:c r="E15" s="3" t="n">
        <x:f>ROUND(E215*E335,2)</x:f>
        <x:v>338.58</x:v>
      </x:c>
      <x:c r="F15" s="3" t="n">
        <x:f>ROUND(F215*F335,2)</x:f>
        <x:v>66.14</x:v>
      </x:c>
      <x:c r="G15" s="3" t="n">
        <x:f>ROUND(G215*G335,2)</x:f>
        <x:v>83.36</x:v>
      </x:c>
      <x:c r="H15" s="3" t="n">
        <x:f>ROUND(H215*H335,2)</x:f>
        <x:v>125.14</x:v>
      </x:c>
      <x:c r="I15" s="3" t="n">
        <x:f>ROUND(I215*I335,2)</x:f>
        <x:v>105.92</x:v>
      </x:c>
      <x:c r="J15" s="3" t="n">
        <x:f>ROUND(J215*J335,2)</x:f>
        <x:v>195.21</x:v>
      </x:c>
      <x:c r="K15" s="3" t="n">
        <x:f>ROUND(K215*K335,2)</x:f>
        <x:v>118.14</x:v>
      </x:c>
      <x:c r="L15" s="3" t="n">
        <x:f>ROUND(L215*L335,2)</x:f>
        <x:v>241.9</x:v>
      </x:c>
      <x:c r="M15" s="3" t="n">
        <x:f>ROUND(M215*M335,2)</x:f>
        <x:v>225.79</x:v>
      </x:c>
      <x:c r="N15" s="3" t="n">
        <x:f>ROUND(N215*N335,2)</x:f>
        <x:v>358.97</x:v>
      </x:c>
      <x:c r="O15" s="3" t="n">
        <x:f>SUM(C15:N15)</x:f>
        <x:v>2263.4900000000002</x:v>
      </x:c>
      <x:c r="P15" s="2" t="str">
        <x:v>EXP1.015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254.42</x:v>
      </x:c>
      <x:c r="D16" s="3" t="n">
        <x:f>ROUND(D216*D336,2)</x:f>
        <x:v>117.31</x:v>
      </x:c>
      <x:c r="E16" s="3" t="n">
        <x:f>ROUND(E216*E336,2)</x:f>
        <x:v>273.32</x:v>
      </x:c>
      <x:c r="F16" s="3" t="n">
        <x:f>ROUND(F216*F336,2)</x:f>
        <x:v>386.61</x:v>
      </x:c>
      <x:c r="G16" s="3" t="n">
        <x:f>ROUND(G216*G336,2)</x:f>
        <x:v>148.99</x:v>
      </x:c>
      <x:c r="H16" s="3" t="n">
        <x:f>ROUND(H216*H336,2)</x:f>
        <x:v>259.96</x:v>
      </x:c>
      <x:c r="I16" s="3" t="n">
        <x:f>ROUND(I216*I336,2)</x:f>
        <x:v>89.85</x:v>
      </x:c>
      <x:c r="J16" s="3" t="n">
        <x:f>ROUND(J216*J336,2)</x:f>
        <x:v>252.41</x:v>
      </x:c>
      <x:c r="K16" s="3" t="n">
        <x:f>ROUND(K216*K336,2)</x:f>
        <x:v>225.94</x:v>
      </x:c>
      <x:c r="L16" s="3" t="n">
        <x:f>ROUND(L216*L336,2)</x:f>
        <x:v>394.68</x:v>
      </x:c>
      <x:c r="M16" s="3" t="n">
        <x:f>ROUND(M216*M336,2)</x:f>
        <x:v>142.35</x:v>
      </x:c>
      <x:c r="N16" s="3" t="n">
        <x:f>ROUND(N216*N336,2)</x:f>
        <x:v>438.12</x:v>
      </x:c>
      <x:c r="O16" s="3" t="n">
        <x:f>SUM(C16:N16)</x:f>
        <x:v>2983.9599999999996</x:v>
      </x:c>
      <x:c r="P16" s="2" t="str">
        <x:v>EXP1.016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158.39</x:v>
      </x:c>
      <x:c r="D17" s="3" t="n">
        <x:f>ROUND(D217*D337,2)</x:f>
        <x:v>274.57</x:v>
      </x:c>
      <x:c r="E17" s="3" t="n">
        <x:f>ROUND(E217*E337,2)</x:f>
        <x:v>329.95</x:v>
      </x:c>
      <x:c r="F17" s="3" t="n">
        <x:f>ROUND(F217*F337,2)</x:f>
        <x:v>125.43</x:v>
      </x:c>
      <x:c r="G17" s="3" t="n">
        <x:f>ROUND(G217*G337,2)</x:f>
        <x:v>162.81</x:v>
      </x:c>
      <x:c r="H17" s="3" t="n">
        <x:f>ROUND(H217*H337,2)</x:f>
        <x:v>160.53</x:v>
      </x:c>
      <x:c r="I17" s="3" t="n">
        <x:f>ROUND(I217*I337,2)</x:f>
        <x:v>584.92</x:v>
      </x:c>
      <x:c r="J17" s="3" t="n">
        <x:f>ROUND(J217*J337,2)</x:f>
        <x:v>284.66</x:v>
      </x:c>
      <x:c r="K17" s="3" t="n">
        <x:f>ROUND(K217*K337,2)</x:f>
        <x:v>157.72</x:v>
      </x:c>
      <x:c r="L17" s="3" t="n">
        <x:f>ROUND(L217*L337,2)</x:f>
        <x:v>272.07</x:v>
      </x:c>
      <x:c r="M17" s="3" t="n">
        <x:f>ROUND(M217*M337,2)</x:f>
        <x:v>174.55</x:v>
      </x:c>
      <x:c r="N17" s="3" t="n">
        <x:f>ROUND(N217*N337,2)</x:f>
        <x:v>166.25</x:v>
      </x:c>
      <x:c r="O17" s="3" t="n">
        <x:f>SUM(C17:N17)</x:f>
        <x:v>2851.85</x:v>
      </x:c>
      <x:c r="P17" s="2" t="str">
        <x:v>EXP1.017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188.16</x:v>
      </x:c>
      <x:c r="D18" s="3" t="n">
        <x:f>ROUND(D218*D338,2)</x:f>
        <x:v>261.78</x:v>
      </x:c>
      <x:c r="E18" s="3" t="n">
        <x:f>ROUND(E218*E338,2)</x:f>
        <x:v>451.04</x:v>
      </x:c>
      <x:c r="F18" s="3" t="n">
        <x:f>ROUND(F218*F338,2)</x:f>
        <x:v>487.59</x:v>
      </x:c>
      <x:c r="G18" s="3" t="n">
        <x:f>ROUND(G218*G338,2)</x:f>
        <x:v>113.58</x:v>
      </x:c>
      <x:c r="H18" s="3" t="n">
        <x:f>ROUND(H218*H338,2)</x:f>
        <x:v>102.2</x:v>
      </x:c>
      <x:c r="I18" s="3" t="n">
        <x:f>ROUND(I218*I338,2)</x:f>
        <x:v>133.22</x:v>
      </x:c>
      <x:c r="J18" s="3" t="n">
        <x:f>ROUND(J218*J338,2)</x:f>
        <x:v>241.4</x:v>
      </x:c>
      <x:c r="K18" s="3" t="n">
        <x:f>ROUND(K218*K338,2)</x:f>
        <x:v>118.9</x:v>
      </x:c>
      <x:c r="L18" s="3" t="n">
        <x:f>ROUND(L218*L338,2)</x:f>
        <x:v>217.37</x:v>
      </x:c>
      <x:c r="M18" s="3" t="n">
        <x:f>ROUND(M218*M338,2)</x:f>
        <x:v>220.23</x:v>
      </x:c>
      <x:c r="N18" s="3" t="n">
        <x:f>ROUND(N218*N338,2)</x:f>
        <x:v>456.42</x:v>
      </x:c>
      <x:c r="O18" s="3" t="n">
        <x:f>SUM(C18:N18)</x:f>
        <x:v>2991.89</x:v>
      </x:c>
      <x:c r="P18" s="2" t="str">
        <x:v>EXP1.018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92.9</x:v>
      </x:c>
      <x:c r="D19" s="3" t="n">
        <x:f>ROUND(D219*D339,2)</x:f>
        <x:v>236.58</x:v>
      </x:c>
      <x:c r="E19" s="3" t="n">
        <x:f>ROUND(E219*E339,2)</x:f>
        <x:v>129.35</x:v>
      </x:c>
      <x:c r="F19" s="3" t="n">
        <x:f>ROUND(F219*F339,2)</x:f>
        <x:v>343.41</x:v>
      </x:c>
      <x:c r="G19" s="3" t="n">
        <x:f>ROUND(G219*G339,2)</x:f>
        <x:v>171.49</x:v>
      </x:c>
      <x:c r="H19" s="3" t="n">
        <x:f>ROUND(H219*H339,2)</x:f>
        <x:v>131.76</x:v>
      </x:c>
      <x:c r="I19" s="3" t="n">
        <x:f>ROUND(I219*I339,2)</x:f>
        <x:v>209.32</x:v>
      </x:c>
      <x:c r="J19" s="3" t="n">
        <x:f>ROUND(J219*J339,2)</x:f>
        <x:v>132.49</x:v>
      </x:c>
      <x:c r="K19" s="3" t="n">
        <x:f>ROUND(K219*K339,2)</x:f>
        <x:v>401.99</x:v>
      </x:c>
      <x:c r="L19" s="3" t="n">
        <x:f>ROUND(L219*L339,2)</x:f>
        <x:v>116.83</x:v>
      </x:c>
      <x:c r="M19" s="3" t="n">
        <x:f>ROUND(M219*M339,2)</x:f>
        <x:v>219.31</x:v>
      </x:c>
      <x:c r="N19" s="3" t="n">
        <x:f>ROUND(N219*N339,2)</x:f>
        <x:v>400.49</x:v>
      </x:c>
      <x:c r="O19" s="3" t="n">
        <x:f>SUM(C19:N19)</x:f>
        <x:v>2585.92</x:v>
      </x:c>
      <x:c r="P19" s="2" t="str">
        <x:v>EXP1.019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EXP1.020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370.75</x:v>
      </x:c>
      <x:c r="D21" s="3" t="n">
        <x:f>ROUND(D221*D341,2)</x:f>
        <x:v>143.72</x:v>
      </x:c>
      <x:c r="E21" s="3" t="n">
        <x:f>ROUND(E221*E341,2)</x:f>
        <x:v>493.82</x:v>
      </x:c>
      <x:c r="F21" s="3" t="n">
        <x:f>ROUND(F221*F341,2)</x:f>
        <x:v>215.33</x:v>
      </x:c>
      <x:c r="G21" s="3" t="n">
        <x:f>ROUND(G221*G341,2)</x:f>
        <x:v>241.96</x:v>
      </x:c>
      <x:c r="H21" s="3" t="n">
        <x:f>ROUND(H221*H341,2)</x:f>
        <x:v>393.85</x:v>
      </x:c>
      <x:c r="I21" s="3" t="n">
        <x:f>ROUND(I221*I341,2)</x:f>
        <x:v>222.82</x:v>
      </x:c>
      <x:c r="J21" s="3" t="n">
        <x:f>ROUND(J221*J341,2)</x:f>
        <x:v>373.18</x:v>
      </x:c>
      <x:c r="K21" s="3" t="n">
        <x:f>ROUND(K221*K341,2)</x:f>
        <x:v>158.92</x:v>
      </x:c>
      <x:c r="L21" s="3" t="n">
        <x:f>ROUND(L221*L341,2)</x:f>
        <x:v>220.25</x:v>
      </x:c>
      <x:c r="M21" s="3" t="n">
        <x:f>ROUND(M221*M341,2)</x:f>
        <x:v>79.91</x:v>
      </x:c>
      <x:c r="N21" s="3" t="n">
        <x:f>ROUND(N221*N341,2)</x:f>
        <x:v>102.73</x:v>
      </x:c>
      <x:c r="O21" s="3" t="n">
        <x:f>SUM(C21:N21)</x:f>
        <x:v>3017.24</x:v>
      </x:c>
      <x:c r="P21" s="2" t="str">
        <x:v>EXP1.021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215.13</x:v>
      </x:c>
      <x:c r="D22" s="3" t="n">
        <x:f>ROUND(D222*D342,2)</x:f>
        <x:v>125.04</x:v>
      </x:c>
      <x:c r="E22" s="3" t="n">
        <x:f>ROUND(E222*E342,2)</x:f>
        <x:v>439.12</x:v>
      </x:c>
      <x:c r="F22" s="3" t="n">
        <x:f>ROUND(F222*F342,2)</x:f>
        <x:v>248.67</x:v>
      </x:c>
      <x:c r="G22" s="3" t="n">
        <x:f>ROUND(G222*G342,2)</x:f>
        <x:v>170.98</x:v>
      </x:c>
      <x:c r="H22" s="3" t="n">
        <x:f>ROUND(H222*H342,2)</x:f>
        <x:v>224.11</x:v>
      </x:c>
      <x:c r="I22" s="3" t="n">
        <x:f>ROUND(I222*I342,2)</x:f>
        <x:v>146.17</x:v>
      </x:c>
      <x:c r="J22" s="3" t="n">
        <x:f>ROUND(J222*J342,2)</x:f>
        <x:v>281.29</x:v>
      </x:c>
      <x:c r="K22" s="3" t="n">
        <x:f>ROUND(K222*K342,2)</x:f>
        <x:v>194.91</x:v>
      </x:c>
      <x:c r="L22" s="3" t="n">
        <x:f>ROUND(L222*L342,2)</x:f>
        <x:v>101.16</x:v>
      </x:c>
      <x:c r="M22" s="3" t="n">
        <x:f>ROUND(M222*M342,2)</x:f>
        <x:v>268.49</x:v>
      </x:c>
      <x:c r="N22" s="3" t="n">
        <x:f>ROUND(N222*N342,2)</x:f>
        <x:v>520.45</x:v>
      </x:c>
      <x:c r="O22" s="3" t="n">
        <x:f>SUM(C22:N22)</x:f>
        <x:v>2935.5200000000004</x:v>
      </x:c>
      <x:c r="P22" s="2" t="str">
        <x:v>EXP1.022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106.84</x:v>
      </x:c>
      <x:c r="D23" s="3" t="n">
        <x:f>ROUND(D223*D343,2)</x:f>
        <x:v>86.35</x:v>
      </x:c>
      <x:c r="E23" s="3" t="n">
        <x:f>ROUND(E223*E343,2)</x:f>
        <x:v>140.4</x:v>
      </x:c>
      <x:c r="F23" s="3" t="n">
        <x:f>ROUND(F223*F343,2)</x:f>
        <x:v>75.9</x:v>
      </x:c>
      <x:c r="G23" s="3" t="n">
        <x:f>ROUND(G223*G343,2)</x:f>
        <x:v>497.08</x:v>
      </x:c>
      <x:c r="H23" s="3" t="n">
        <x:f>ROUND(H223*H343,2)</x:f>
        <x:v>148.28</x:v>
      </x:c>
      <x:c r="I23" s="3" t="n">
        <x:f>ROUND(I223*I343,2)</x:f>
        <x:v>225.99</x:v>
      </x:c>
      <x:c r="J23" s="3" t="n">
        <x:f>ROUND(J223*J343,2)</x:f>
        <x:v>471.79</x:v>
      </x:c>
      <x:c r="K23" s="3" t="n">
        <x:f>ROUND(K223*K343,2)</x:f>
        <x:v>86.99</x:v>
      </x:c>
      <x:c r="L23" s="3" t="n">
        <x:f>ROUND(L223*L343,2)</x:f>
        <x:v>253.05</x:v>
      </x:c>
      <x:c r="M23" s="3" t="n">
        <x:f>ROUND(M223*M343,2)</x:f>
        <x:v>198.31</x:v>
      </x:c>
      <x:c r="N23" s="3" t="n">
        <x:f>ROUND(N223*N343,2)</x:f>
        <x:v>282.67</x:v>
      </x:c>
      <x:c r="O23" s="3" t="n">
        <x:f>SUM(C23:N23)</x:f>
        <x:v>2573.65</x:v>
      </x:c>
      <x:c r="P23" s="2" t="str">
        <x:v>EXP1.023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96.27</x:v>
      </x:c>
      <x:c r="D24" s="3" t="n">
        <x:f>ROUND(D224*D344,2)</x:f>
        <x:v>309.51</x:v>
      </x:c>
      <x:c r="E24" s="3" t="n">
        <x:f>ROUND(E224*E344,2)</x:f>
        <x:v>153.15</x:v>
      </x:c>
      <x:c r="F24" s="3" t="n">
        <x:f>ROUND(F224*F344,2)</x:f>
        <x:v>221.75</x:v>
      </x:c>
      <x:c r="G24" s="3" t="n">
        <x:f>ROUND(G224*G344,2)</x:f>
        <x:v>544.65</x:v>
      </x:c>
      <x:c r="H24" s="3" t="n">
        <x:f>ROUND(H224*H344,2)</x:f>
        <x:v>237.43</x:v>
      </x:c>
      <x:c r="I24" s="3" t="n">
        <x:f>ROUND(I224*I344,2)</x:f>
        <x:v>328.8</x:v>
      </x:c>
      <x:c r="J24" s="3" t="n">
        <x:f>ROUND(J224*J344,2)</x:f>
        <x:v>210.15</x:v>
      </x:c>
      <x:c r="K24" s="3" t="n">
        <x:f>ROUND(K224*K344,2)</x:f>
        <x:v>351.77</x:v>
      </x:c>
      <x:c r="L24" s="3" t="n">
        <x:f>ROUND(L224*L344,2)</x:f>
        <x:v>296.06</x:v>
      </x:c>
      <x:c r="M24" s="3" t="n">
        <x:f>ROUND(M224*M344,2)</x:f>
        <x:v>240.45</x:v>
      </x:c>
      <x:c r="N24" s="3" t="n">
        <x:f>ROUND(N224*N344,2)</x:f>
        <x:v>478.04</x:v>
      </x:c>
      <x:c r="O24" s="3" t="n">
        <x:f>SUM(C24:N24)</x:f>
        <x:v>3468.0299999999997</x:v>
      </x:c>
      <x:c r="P24" s="2" t="str">
        <x:v>EXP1.024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423.98</x:v>
      </x:c>
      <x:c r="D25" s="3" t="n">
        <x:f>ROUND(D225*D345,2)</x:f>
        <x:v>316.72</x:v>
      </x:c>
      <x:c r="E25" s="3" t="n">
        <x:f>ROUND(E225*E345,2)</x:f>
        <x:v>140.63</x:v>
      </x:c>
      <x:c r="F25" s="3" t="n">
        <x:f>ROUND(F225*F345,2)</x:f>
        <x:v>233.53</x:v>
      </x:c>
      <x:c r="G25" s="3" t="n">
        <x:f>ROUND(G225*G345,2)</x:f>
        <x:v>180.09</x:v>
      </x:c>
      <x:c r="H25" s="3" t="n">
        <x:f>ROUND(H225*H345,2)</x:f>
        <x:v>86.32</x:v>
      </x:c>
      <x:c r="I25" s="3" t="n">
        <x:f>ROUND(I225*I345,2)</x:f>
        <x:v>337.35</x:v>
      </x:c>
      <x:c r="J25" s="3" t="n">
        <x:f>ROUND(J225*J345,2)</x:f>
        <x:v>230.76</x:v>
      </x:c>
      <x:c r="K25" s="3" t="n">
        <x:f>ROUND(K225*K345,2)</x:f>
        <x:v>86.18</x:v>
      </x:c>
      <x:c r="L25" s="3" t="n">
        <x:f>ROUND(L225*L345,2)</x:f>
        <x:v>392.23</x:v>
      </x:c>
      <x:c r="M25" s="3" t="n">
        <x:f>ROUND(M225*M345,2)</x:f>
        <x:v>374.36</x:v>
      </x:c>
      <x:c r="N25" s="3" t="n">
        <x:f>ROUND(N225*N345,2)</x:f>
        <x:v>204.28</x:v>
      </x:c>
      <x:c r="O25" s="3" t="n">
        <x:f>SUM(C25:N25)</x:f>
        <x:v>3006.4300000000003</x:v>
      </x:c>
      <x:c r="P25" s="2" t="str">
        <x:v>EXP1.025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523.53</x:v>
      </x:c>
      <x:c r="D26" s="3" t="n">
        <x:f>ROUND(D226*D346,2)</x:f>
        <x:v>497.02</x:v>
      </x:c>
      <x:c r="E26" s="3" t="n">
        <x:f>ROUND(E226*E346,2)</x:f>
        <x:v>93</x:v>
      </x:c>
      <x:c r="F26" s="3" t="n">
        <x:f>ROUND(F226*F346,2)</x:f>
        <x:v>246.68</x:v>
      </x:c>
      <x:c r="G26" s="3" t="n">
        <x:f>ROUND(G226*G346,2)</x:f>
        <x:v>264.96</x:v>
      </x:c>
      <x:c r="H26" s="3" t="n">
        <x:f>ROUND(H226*H346,2)</x:f>
        <x:v>139.36</x:v>
      </x:c>
      <x:c r="I26" s="3" t="n">
        <x:f>ROUND(I226*I346,2)</x:f>
        <x:v>262.77</x:v>
      </x:c>
      <x:c r="J26" s="3" t="n">
        <x:f>ROUND(J226*J346,2)</x:f>
        <x:v>466.16</x:v>
      </x:c>
      <x:c r="K26" s="3" t="n">
        <x:f>ROUND(K226*K346,2)</x:f>
        <x:v>323.94</x:v>
      </x:c>
      <x:c r="L26" s="3" t="n">
        <x:f>ROUND(L226*L346,2)</x:f>
        <x:v>314.98</x:v>
      </x:c>
      <x:c r="M26" s="3" t="n">
        <x:f>ROUND(M226*M346,2)</x:f>
        <x:v>100.21</x:v>
      </x:c>
      <x:c r="N26" s="3" t="n">
        <x:f>ROUND(N226*N346,2)</x:f>
        <x:v>58.4</x:v>
      </x:c>
      <x:c r="O26" s="3" t="n">
        <x:f>SUM(C26:N26)</x:f>
        <x:v>3291.01</x:v>
      </x:c>
      <x:c r="P26" s="2" t="str">
        <x:v>EXP1.026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156.5</x:v>
      </x:c>
      <x:c r="D27" s="3" t="n">
        <x:f>ROUND(D227*D347,2)</x:f>
        <x:v>152.92</x:v>
      </x:c>
      <x:c r="E27" s="3" t="n">
        <x:f>ROUND(E227*E347,2)</x:f>
        <x:v>355.11</x:v>
      </x:c>
      <x:c r="F27" s="3" t="n">
        <x:f>ROUND(F227*F347,2)</x:f>
        <x:v>175.57</x:v>
      </x:c>
      <x:c r="G27" s="3" t="n">
        <x:f>ROUND(G227*G347,2)</x:f>
        <x:v>209.31</x:v>
      </x:c>
      <x:c r="H27" s="3" t="n">
        <x:f>ROUND(H227*H347,2)</x:f>
        <x:v>67.08</x:v>
      </x:c>
      <x:c r="I27" s="3" t="n">
        <x:f>ROUND(I227*I347,2)</x:f>
        <x:v>184.98</x:v>
      </x:c>
      <x:c r="J27" s="3" t="n">
        <x:f>ROUND(J227*J347,2)</x:f>
        <x:v>190.45</x:v>
      </x:c>
      <x:c r="K27" s="3" t="n">
        <x:f>ROUND(K227*K347,2)</x:f>
        <x:v>99.29</x:v>
      </x:c>
      <x:c r="L27" s="3" t="n">
        <x:f>ROUND(L227*L347,2)</x:f>
        <x:v>369.2</x:v>
      </x:c>
      <x:c r="M27" s="3" t="n">
        <x:f>ROUND(M227*M347,2)</x:f>
        <x:v>502.85</x:v>
      </x:c>
      <x:c r="N27" s="3" t="n">
        <x:f>ROUND(N227*N347,2)</x:f>
        <x:v>190.18</x:v>
      </x:c>
      <x:c r="O27" s="3" t="n">
        <x:f>SUM(C27:N27)</x:f>
        <x:v>2653.4399999999996</x:v>
      </x:c>
      <x:c r="P27" s="2" t="str">
        <x:v>EXP1.027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186.65</x:v>
      </x:c>
      <x:c r="D28" s="3" t="n">
        <x:f>ROUND(D228*D348,2)</x:f>
        <x:v>148</x:v>
      </x:c>
      <x:c r="E28" s="3" t="n">
        <x:f>ROUND(E228*E348,2)</x:f>
        <x:v>128.52</x:v>
      </x:c>
      <x:c r="F28" s="3" t="n">
        <x:f>ROUND(F228*F348,2)</x:f>
        <x:v>261.41</x:v>
      </x:c>
      <x:c r="G28" s="3" t="n">
        <x:f>ROUND(G228*G348,2)</x:f>
        <x:v>335.93</x:v>
      </x:c>
      <x:c r="H28" s="3" t="n">
        <x:f>ROUND(H228*H348,2)</x:f>
        <x:v>94.63</x:v>
      </x:c>
      <x:c r="I28" s="3" t="n">
        <x:f>ROUND(I228*I348,2)</x:f>
        <x:v>493.52</x:v>
      </x:c>
      <x:c r="J28" s="3" t="n">
        <x:f>ROUND(J228*J348,2)</x:f>
        <x:v>283.82</x:v>
      </x:c>
      <x:c r="K28" s="3" t="n">
        <x:f>ROUND(K228*K348,2)</x:f>
        <x:v>395.44</x:v>
      </x:c>
      <x:c r="L28" s="3" t="n">
        <x:f>ROUND(L228*L348,2)</x:f>
        <x:v>207.89</x:v>
      </x:c>
      <x:c r="M28" s="3" t="n">
        <x:f>ROUND(M228*M348,2)</x:f>
        <x:v>324.28</x:v>
      </x:c>
      <x:c r="N28" s="3" t="n">
        <x:f>ROUND(N228*N348,2)</x:f>
        <x:v>260.71</x:v>
      </x:c>
      <x:c r="O28" s="3" t="n">
        <x:f>SUM(C28:N28)</x:f>
        <x:v>3120.7999999999993</x:v>
      </x:c>
      <x:c r="P28" s="2" t="str">
        <x:v>EXP1.028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EXP1.029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77.62</x:v>
      </x:c>
      <x:c r="D30" s="6" t="n">
        <x:f>ROUND(D230*D350,2)</x:f>
        <x:v>206.01</x:v>
      </x:c>
      <x:c r="E30" s="6" t="n">
        <x:f>ROUND(E230*E350,2)</x:f>
        <x:v>83.78</x:v>
      </x:c>
      <x:c r="F30" s="6" t="n">
        <x:f>ROUND(F230*F350,2)</x:f>
        <x:v>134.06</x:v>
      </x:c>
      <x:c r="G30" s="6" t="n">
        <x:f>ROUND(G230*G350,2)</x:f>
        <x:v>124.16</x:v>
      </x:c>
      <x:c r="H30" s="6" t="n">
        <x:f>ROUND(H230*H350,2)</x:f>
        <x:v>72.52</x:v>
      </x:c>
      <x:c r="I30" s="6" t="n">
        <x:f>ROUND(I230*I350,2)</x:f>
        <x:v>197.33</x:v>
      </x:c>
      <x:c r="J30" s="6" t="n">
        <x:f>ROUND(J230*J350,2)</x:f>
        <x:v>203.32</x:v>
      </x:c>
      <x:c r="K30" s="6" t="n">
        <x:f>ROUND(K230*K350,2)</x:f>
        <x:v>215.15</x:v>
      </x:c>
      <x:c r="L30" s="6" t="n">
        <x:f>ROUND(L230*L350,2)</x:f>
        <x:v>238.34</x:v>
      </x:c>
      <x:c r="M30" s="6" t="n">
        <x:f>ROUND(M230*M350,2)</x:f>
        <x:v>228.91</x:v>
      </x:c>
      <x:c r="N30" s="6" t="n">
        <x:f>ROUND(N230*N350,2)</x:f>
        <x:v>97.22</x:v>
      </x:c>
      <x:c r="O30" s="6" t="n">
        <x:f>SUM(C30:N30)</x:f>
        <x:v>1878.42</x:v>
      </x:c>
      <x:c r="P30" s="2" t="str">
        <x:v>EXP1.030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298.4</x:v>
      </x:c>
      <x:c r="D31" s="3" t="n">
        <x:f>ROUND(D231*D351,2)</x:f>
        <x:v>199.93</x:v>
      </x:c>
      <x:c r="E31" s="3" t="n">
        <x:f>ROUND(E231*E351,2)</x:f>
        <x:v>156.57</x:v>
      </x:c>
      <x:c r="F31" s="3" t="n">
        <x:f>ROUND(F231*F351,2)</x:f>
        <x:v>245.56</x:v>
      </x:c>
      <x:c r="G31" s="3" t="n">
        <x:f>ROUND(G231*G351,2)</x:f>
        <x:v>197.62</x:v>
      </x:c>
      <x:c r="H31" s="3" t="n">
        <x:f>ROUND(H231*H351,2)</x:f>
        <x:v>258.52</x:v>
      </x:c>
      <x:c r="I31" s="3" t="n">
        <x:f>ROUND(I231*I351,2)</x:f>
        <x:v>542.33</x:v>
      </x:c>
      <x:c r="J31" s="3" t="n">
        <x:f>ROUND(J231*J351,2)</x:f>
        <x:v>209.33</x:v>
      </x:c>
      <x:c r="K31" s="3" t="n">
        <x:f>ROUND(K231*K351,2)</x:f>
        <x:v>471.19</x:v>
      </x:c>
      <x:c r="L31" s="3" t="n">
        <x:f>ROUND(L231*L351,2)</x:f>
        <x:v>381.92</x:v>
      </x:c>
      <x:c r="M31" s="3" t="n">
        <x:f>ROUND(M231*M351,2)</x:f>
        <x:v>163.18</x:v>
      </x:c>
      <x:c r="N31" s="3" t="n">
        <x:f>ROUND(N231*N351,2)</x:f>
        <x:v>368.81</x:v>
      </x:c>
      <x:c r="O31" s="3" t="n">
        <x:f>SUM(C31:N31)</x:f>
        <x:v>3493.3599999999997</x:v>
      </x:c>
      <x:c r="P31" s="2" t="str">
        <x:v>EXP1.031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132.25</x:v>
      </x:c>
      <x:c r="D32" s="3" t="n">
        <x:f>ROUND(D232*D352,2)</x:f>
        <x:v>168.09</x:v>
      </x:c>
      <x:c r="E32" s="3" t="n">
        <x:f>ROUND(E232*E352,2)</x:f>
        <x:v>68.22</x:v>
      </x:c>
      <x:c r="F32" s="3" t="n">
        <x:f>ROUND(F232*F352,2)</x:f>
        <x:v>71.37</x:v>
      </x:c>
      <x:c r="G32" s="3" t="n">
        <x:f>ROUND(G232*G352,2)</x:f>
        <x:v>364.16</x:v>
      </x:c>
      <x:c r="H32" s="3" t="n">
        <x:f>ROUND(H232*H352,2)</x:f>
        <x:v>76.07</x:v>
      </x:c>
      <x:c r="I32" s="3" t="n">
        <x:f>ROUND(I232*I352,2)</x:f>
        <x:v>471.01</x:v>
      </x:c>
      <x:c r="J32" s="3" t="n">
        <x:f>ROUND(J232*J352,2)</x:f>
        <x:v>110.9</x:v>
      </x:c>
      <x:c r="K32" s="3" t="n">
        <x:f>ROUND(K232*K352,2)</x:f>
        <x:v>332.28</x:v>
      </x:c>
      <x:c r="L32" s="3" t="n">
        <x:f>ROUND(L232*L352,2)</x:f>
        <x:v>263.15</x:v>
      </x:c>
      <x:c r="M32" s="3" t="n">
        <x:f>ROUND(M232*M352,2)</x:f>
        <x:v>365.15</x:v>
      </x:c>
      <x:c r="N32" s="3" t="n">
        <x:f>ROUND(N232*N352,2)</x:f>
        <x:v>303.96</x:v>
      </x:c>
      <x:c r="O32" s="3" t="n">
        <x:f>SUM(C32:N32)</x:f>
        <x:v>2726.61</x:v>
      </x:c>
      <x:c r="P32" s="2" t="str">
        <x:v>EXP1.032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55.09</x:v>
      </x:c>
      <x:c r="D33" s="3" t="n">
        <x:f>ROUND(D233*D353,2)</x:f>
        <x:v>139.84</x:v>
      </x:c>
      <x:c r="E33" s="3" t="n">
        <x:f>ROUND(E233*E353,2)</x:f>
        <x:v>292.06</x:v>
      </x:c>
      <x:c r="F33" s="3" t="n">
        <x:f>ROUND(F233*F353,2)</x:f>
        <x:v>149.21</x:v>
      </x:c>
      <x:c r="G33" s="3" t="n">
        <x:f>ROUND(G233*G353,2)</x:f>
        <x:v>473.97</x:v>
      </x:c>
      <x:c r="H33" s="3" t="n">
        <x:f>ROUND(H233*H353,2)</x:f>
        <x:v>76.09</x:v>
      </x:c>
      <x:c r="I33" s="3" t="n">
        <x:f>ROUND(I233*I353,2)</x:f>
        <x:v>265.85</x:v>
      </x:c>
      <x:c r="J33" s="3" t="n">
        <x:f>ROUND(J233*J353,2)</x:f>
        <x:v>62.78</x:v>
      </x:c>
      <x:c r="K33" s="3" t="n">
        <x:f>ROUND(K233*K353,2)</x:f>
        <x:v>234.47</x:v>
      </x:c>
      <x:c r="L33" s="3" t="n">
        <x:f>ROUND(L233*L353,2)</x:f>
        <x:v>106.35</x:v>
      </x:c>
      <x:c r="M33" s="3" t="n">
        <x:f>ROUND(M233*M353,2)</x:f>
        <x:v>321.41</x:v>
      </x:c>
      <x:c r="N33" s="3" t="n">
        <x:f>ROUND(N233*N353,2)</x:f>
        <x:v>206.4</x:v>
      </x:c>
      <x:c r="O33" s="3" t="n">
        <x:f>SUM(C33:N33)</x:f>
        <x:v>2383.52</x:v>
      </x:c>
      <x:c r="P33" s="2" t="str">
        <x:v>EXP1.033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6682.639999999999</x:v>
      </x:c>
      <x:c r="D34" s="3" t="n">
        <x:f>SUM(D4:D33)</x:f>
        <x:v>6710.880000000003</x:v>
      </x:c>
      <x:c r="E34" s="3" t="n">
        <x:f>SUM(E4:E33)</x:f>
        <x:v>7689.05</x:v>
      </x:c>
      <x:c r="F34" s="3" t="n">
        <x:f>SUM(F4:F33)</x:f>
        <x:v>6387.639999999999</x:v>
      </x:c>
      <x:c r="G34" s="3" t="n">
        <x:f>SUM(G4:G33)</x:f>
        <x:v>7624.22</x:v>
      </x:c>
      <x:c r="H34" s="3" t="n">
        <x:f>SUM(H4:H33)</x:f>
        <x:v>6019.709999999999</x:v>
      </x:c>
      <x:c r="I34" s="3" t="n">
        <x:f>SUM(I4:I33)</x:f>
        <x:v>8409.93</x:v>
      </x:c>
      <x:c r="J34" s="3" t="n">
        <x:f>SUM(J4:J33)</x:f>
        <x:v>7110.209999999998</x:v>
      </x:c>
      <x:c r="K34" s="3" t="n">
        <x:f>SUM(K4:K33)</x:f>
        <x:v>7262.339999999998</x:v>
      </x:c>
      <x:c r="L34" s="3" t="n">
        <x:f>SUM(L4:L33)</x:f>
        <x:v>7631.8099999999995</x:v>
      </x:c>
      <x:c r="M34" s="3" t="n">
        <x:f>SUM(M4:M33)</x:f>
        <x:v>7188.929999999999</x:v>
      </x:c>
      <x:c r="N34" s="3" t="n">
        <x:f>SUM(N4:N33)</x:f>
        <x:v>7827.75</x:v>
      </x:c>
      <x:c r="O34" s="3" t="n">
        <x:f>SUM(C34:N34)</x:f>
        <x:v>86545.10999999999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21.99</x:v>
      </x:c>
      <x:c r="D204" s="4" t="n">
        <x:v>26.85</x:v>
      </x:c>
      <x:c r="E204" s="4" t="n">
        <x:v>65.11</x:v>
      </x:c>
      <x:c r="F204" s="4" t="n">
        <x:v>21.42</x:v>
      </x:c>
      <x:c r="G204" s="4" t="n">
        <x:v>48.74</x:v>
      </x:c>
      <x:c r="H204" s="4" t="n">
        <x:v>29.44</x:v>
      </x:c>
      <x:c r="I204" s="4" t="n">
        <x:v>65.13</x:v>
      </x:c>
      <x:c r="J204" s="4" t="n">
        <x:v>56.49</x:v>
      </x:c>
      <x:c r="K204" s="4" t="n">
        <x:v>35.51</x:v>
      </x:c>
      <x:c r="L204" s="4" t="n">
        <x:v>43.41</x:v>
      </x:c>
      <x:c r="M204" s="4" t="n">
        <x:v>29.3</x:v>
      </x:c>
      <x:c r="N204" s="4" t="n">
        <x:v>21.1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44.01</x:v>
      </x:c>
      <x:c r="D205" s="4" t="n">
        <x:v>23.62</x:v>
      </x:c>
      <x:c r="E205" s="4" t="n">
        <x:v>48.8</x:v>
      </x:c>
      <x:c r="F205" s="4" t="n">
        <x:v>36.54</x:v>
      </x:c>
      <x:c r="G205" s="4" t="n">
        <x:v>52.04</x:v>
      </x:c>
      <x:c r="H205" s="4" t="n">
        <x:v>31.29</x:v>
      </x:c>
      <x:c r="I205" s="4" t="n">
        <x:v>45.64</x:v>
      </x:c>
      <x:c r="J205" s="4" t="n">
        <x:v>29.35</x:v>
      </x:c>
      <x:c r="K205" s="4" t="n">
        <x:v>59.38</x:v>
      </x:c>
      <x:c r="L205" s="4" t="n">
        <x:v>47.02</x:v>
      </x:c>
      <x:c r="M205" s="4" t="n">
        <x:v>48.95</x:v>
      </x:c>
      <x:c r="N205" s="4" t="n">
        <x:v>46.47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34.21</x:v>
      </x:c>
      <x:c r="D206" s="4" t="n">
        <x:v>22.47</x:v>
      </x:c>
      <x:c r="E206" s="4" t="n">
        <x:v>26.26</x:v>
      </x:c>
      <x:c r="F206" s="4" t="n">
        <x:v>28.54</x:v>
      </x:c>
      <x:c r="G206" s="4" t="n">
        <x:v>55</x:v>
      </x:c>
      <x:c r="H206" s="4" t="n">
        <x:v>18.22</x:v>
      </x:c>
      <x:c r="I206" s="4" t="n">
        <x:v>38.6</x:v>
      </x:c>
      <x:c r="J206" s="4" t="n">
        <x:v>58.17</x:v>
      </x:c>
      <x:c r="K206" s="4" t="n">
        <x:v>28.61</x:v>
      </x:c>
      <x:c r="L206" s="4" t="n">
        <x:v>24.6</x:v>
      </x:c>
      <x:c r="M206" s="4" t="n">
        <x:v>30.63</x:v>
      </x:c>
      <x:c r="N206" s="4" t="n">
        <x:v>33.7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42.26</x:v>
      </x:c>
      <x:c r="D207" s="4" t="n">
        <x:v>44.77</x:v>
      </x:c>
      <x:c r="E207" s="4" t="n">
        <x:v>55.15</x:v>
      </x:c>
      <x:c r="F207" s="4" t="n">
        <x:v>36.79</x:v>
      </x:c>
      <x:c r="G207" s="4" t="n">
        <x:v>63.81</x:v>
      </x:c>
      <x:c r="H207" s="4" t="n">
        <x:v>20.89</x:v>
      </x:c>
      <x:c r="I207" s="4" t="n">
        <x:v>67.27</x:v>
      </x:c>
      <x:c r="J207" s="4" t="n">
        <x:v>52.65</x:v>
      </x:c>
      <x:c r="K207" s="4" t="n">
        <x:v>20.12</x:v>
      </x:c>
      <x:c r="L207" s="4" t="n">
        <x:v>28.3</x:v>
      </x:c>
      <x:c r="M207" s="4" t="n">
        <x:v>46.55</x:v>
      </x:c>
      <x:c r="N207" s="4" t="n">
        <x:v>40.7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63.09</x:v>
      </x:c>
      <x:c r="D208" s="4" t="n">
        <x:v>58.5</x:v>
      </x:c>
      <x:c r="E208" s="4" t="n">
        <x:v>30.56</x:v>
      </x:c>
      <x:c r="F208" s="4" t="n">
        <x:v>47.34</x:v>
      </x:c>
      <x:c r="G208" s="4" t="n">
        <x:v>30.42</x:v>
      </x:c>
      <x:c r="H208" s="4" t="n">
        <x:v>37.46</x:v>
      </x:c>
      <x:c r="I208" s="4" t="n">
        <x:v>23.75</x:v>
      </x:c>
      <x:c r="J208" s="4" t="n">
        <x:v>48.85</x:v>
      </x:c>
      <x:c r="K208" s="4" t="n">
        <x:v>46.82</x:v>
      </x:c>
      <x:c r="L208" s="4" t="n">
        <x:v>30.35</x:v>
      </x:c>
      <x:c r="M208" s="4" t="n">
        <x:v>63.47</x:v>
      </x:c>
      <x:c r="N208" s="4" t="n">
        <x:v>52.84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40.27</x:v>
      </x:c>
      <x:c r="D209" s="4" t="n">
        <x:v>67.82</x:v>
      </x:c>
      <x:c r="E209" s="4" t="n">
        <x:v>60.29</x:v>
      </x:c>
      <x:c r="F209" s="4" t="n">
        <x:v>41.84</x:v>
      </x:c>
      <x:c r="G209" s="4" t="n">
        <x:v>59.8</x:v>
      </x:c>
      <x:c r="H209" s="4" t="n">
        <x:v>39.38</x:v>
      </x:c>
      <x:c r="I209" s="4" t="n">
        <x:v>29.17</x:v>
      </x:c>
      <x:c r="J209" s="4" t="n">
        <x:v>57.54</x:v>
      </x:c>
      <x:c r="K209" s="4" t="n">
        <x:v>25.27</x:v>
      </x:c>
      <x:c r="L209" s="4" t="n">
        <x:v>29.42</x:v>
      </x:c>
      <x:c r="M209" s="4" t="n">
        <x:v>62.86</x:v>
      </x:c>
      <x:c r="N209" s="4" t="n">
        <x:v>52.63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57.79</x:v>
      </x:c>
      <x:c r="D210" s="4" t="n">
        <x:v>52.78</x:v>
      </x:c>
      <x:c r="E210" s="4" t="n">
        <x:v>53.99</x:v>
      </x:c>
      <x:c r="F210" s="4" t="n">
        <x:v>54.43</x:v>
      </x:c>
      <x:c r="G210" s="4" t="n">
        <x:v>18.82</x:v>
      </x:c>
      <x:c r="H210" s="4" t="n">
        <x:v>44.47</x:v>
      </x:c>
      <x:c r="I210" s="4" t="n">
        <x:v>45.9</x:v>
      </x:c>
      <x:c r="J210" s="4" t="n">
        <x:v>39.45</x:v>
      </x:c>
      <x:c r="K210" s="4" t="n">
        <x:v>40.99</x:v>
      </x:c>
      <x:c r="L210" s="4" t="n">
        <x:v>50.43</x:v>
      </x:c>
      <x:c r="M210" s="4" t="n">
        <x:v>57.33</x:v>
      </x:c>
      <x:c r="N210" s="4" t="n">
        <x:v>40.79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22.57</x:v>
      </x:c>
      <x:c r="D211" s="4" t="n">
        <x:v>64.16</x:v>
      </x:c>
      <x:c r="E211" s="4" t="n">
        <x:v>25.64</x:v>
      </x:c>
      <x:c r="F211" s="4" t="n">
        <x:v>24.86</x:v>
      </x:c>
      <x:c r="G211" s="4" t="n">
        <x:v>31.76</x:v>
      </x:c>
      <x:c r="H211" s="4" t="n">
        <x:v>67.05</x:v>
      </x:c>
      <x:c r="I211" s="4" t="n">
        <x:v>64.15</x:v>
      </x:c>
      <x:c r="J211" s="4" t="n">
        <x:v>39.09</x:v>
      </x:c>
      <x:c r="K211" s="4" t="n">
        <x:v>19.62</x:v>
      </x:c>
      <x:c r="L211" s="4" t="n">
        <x:v>29.92</x:v>
      </x:c>
      <x:c r="M211" s="4" t="n">
        <x:v>49.67</x:v>
      </x:c>
      <x:c r="N211" s="4" t="n">
        <x:v>53.72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20.18</x:v>
      </x:c>
      <x:c r="D212" s="4" t="n">
        <x:v>19.36</x:v>
      </x:c>
      <x:c r="E212" s="4" t="n">
        <x:v>61.53</x:v>
      </x:c>
      <x:c r="F212" s="4" t="n">
        <x:v>41.71</x:v>
      </x:c>
      <x:c r="G212" s="4" t="n">
        <x:v>40.52</x:v>
      </x:c>
      <x:c r="H212" s="4" t="n">
        <x:v>59.95</x:v>
      </x:c>
      <x:c r="I212" s="4" t="n">
        <x:v>26.23</x:v>
      </x:c>
      <x:c r="J212" s="4" t="n">
        <x:v>33.13</x:v>
      </x:c>
      <x:c r="K212" s="4" t="n">
        <x:v>27.14</x:v>
      </x:c>
      <x:c r="L212" s="4" t="n">
        <x:v>59.23</x:v>
      </x:c>
      <x:c r="M212" s="4" t="n">
        <x:v>45.92</x:v>
      </x:c>
      <x:c r="N212" s="4" t="n">
        <x:v>18.81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67.06</x:v>
      </x:c>
      <x:c r="D213" s="4" t="n">
        <x:v>45.78</x:v>
      </x:c>
      <x:c r="E213" s="4" t="n">
        <x:v>19.86</x:v>
      </x:c>
      <x:c r="F213" s="4" t="n">
        <x:v>46.71</x:v>
      </x:c>
      <x:c r="G213" s="4" t="n">
        <x:v>38.66</x:v>
      </x:c>
      <x:c r="H213" s="4" t="n">
        <x:v>24.11</x:v>
      </x:c>
      <x:c r="I213" s="4" t="n">
        <x:v>37.94</x:v>
      </x:c>
      <x:c r="J213" s="4" t="n">
        <x:v>31.97</x:v>
      </x:c>
      <x:c r="K213" s="4" t="n">
        <x:v>45.57</x:v>
      </x:c>
      <x:c r="L213" s="4" t="n">
        <x:v>54.76</x:v>
      </x:c>
      <x:c r="M213" s="4" t="n">
        <x:v>18.76</x:v>
      </x:c>
      <x:c r="N213" s="4" t="n">
        <x:v>50.69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21.51</x:v>
      </x:c>
      <x:c r="D214" s="4" t="n">
        <x:v>52.33</x:v>
      </x:c>
      <x:c r="E214" s="4" t="n">
        <x:v>45.69</x:v>
      </x:c>
      <x:c r="F214" s="4" t="n">
        <x:v>49.13</x:v>
      </x:c>
      <x:c r="G214" s="4" t="n">
        <x:v>21.19</x:v>
      </x:c>
      <x:c r="H214" s="4" t="n">
        <x:v>59.63</x:v>
      </x:c>
      <x:c r="I214" s="4" t="n">
        <x:v>52.51</x:v>
      </x:c>
      <x:c r="J214" s="4" t="n">
        <x:v>34.91</x:v>
      </x:c>
      <x:c r="K214" s="4" t="n">
        <x:v>51.68</x:v>
      </x:c>
      <x:c r="L214" s="4" t="n">
        <x:v>37.39</x:v>
      </x:c>
      <x:c r="M214" s="4" t="n">
        <x:v>56.76</x:v>
      </x:c>
      <x:c r="N214" s="4" t="n">
        <x:v>17.59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64.3</x:v>
      </x:c>
      <x:c r="D215" s="4" t="n">
        <x:v>65.03</x:v>
      </x:c>
      <x:c r="E215" s="4" t="n">
        <x:v>46.96</x:v>
      </x:c>
      <x:c r="F215" s="4" t="n">
        <x:v>30.48</x:v>
      </x:c>
      <x:c r="G215" s="4" t="n">
        <x:v>37.55</x:v>
      </x:c>
      <x:c r="H215" s="4" t="n">
        <x:v>53.25</x:v>
      </x:c>
      <x:c r="I215" s="4" t="n">
        <x:v>42.54</x:v>
      </x:c>
      <x:c r="J215" s="4" t="n">
        <x:v>53.63</x:v>
      </x:c>
      <x:c r="K215" s="4" t="n">
        <x:v>20.16</x:v>
      </x:c>
      <x:c r="L215" s="4" t="n">
        <x:v>58.43</x:v>
      </x:c>
      <x:c r="M215" s="4" t="n">
        <x:v>26.88</x:v>
      </x:c>
      <x:c r="N215" s="4" t="n">
        <x:v>60.23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67.13</x:v>
      </x:c>
      <x:c r="D216" s="4" t="n">
        <x:v>26.48</x:v>
      </x:c>
      <x:c r="E216" s="4" t="n">
        <x:v>36.54</x:v>
      </x:c>
      <x:c r="F216" s="4" t="n">
        <x:v>51.48</x:v>
      </x:c>
      <x:c r="G216" s="4" t="n">
        <x:v>17.57</x:v>
      </x:c>
      <x:c r="H216" s="4" t="n">
        <x:v>59.76</x:v>
      </x:c>
      <x:c r="I216" s="4" t="n">
        <x:v>18.68</x:v>
      </x:c>
      <x:c r="J216" s="4" t="n">
        <x:v>29.8</x:v>
      </x:c>
      <x:c r="K216" s="4" t="n">
        <x:v>44.74</x:v>
      </x:c>
      <x:c r="L216" s="4" t="n">
        <x:v>64.28</x:v>
      </x:c>
      <x:c r="M216" s="4" t="n">
        <x:v>29.35</x:v>
      </x:c>
      <x:c r="N216" s="4" t="n">
        <x:v>64.43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22.79</x:v>
      </x:c>
      <x:c r="D217" s="4" t="n">
        <x:v>61.98</x:v>
      </x:c>
      <x:c r="E217" s="4" t="n">
        <x:v>37.24</x:v>
      </x:c>
      <x:c r="F217" s="4" t="n">
        <x:v>30.08</x:v>
      </x:c>
      <x:c r="G217" s="4" t="n">
        <x:v>24.52</x:v>
      </x:c>
      <x:c r="H217" s="4" t="n">
        <x:v>26.8</x:v>
      </x:c>
      <x:c r="I217" s="4" t="n">
        <x:v>66.62</x:v>
      </x:c>
      <x:c r="J217" s="4" t="n">
        <x:v>49.08</x:v>
      </x:c>
      <x:c r="K217" s="4" t="n">
        <x:v>66.83</x:v>
      </x:c>
      <x:c r="L217" s="4" t="n">
        <x:v>34.18</x:v>
      </x:c>
      <x:c r="M217" s="4" t="n">
        <x:v>24.01</x:v>
      </x:c>
      <x:c r="N217" s="4" t="n">
        <x:v>43.75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25.29</x:v>
      </x:c>
      <x:c r="D218" s="4" t="n">
        <x:v>63.54</x:v>
      </x:c>
      <x:c r="E218" s="4" t="n">
        <x:v>61.45</x:v>
      </x:c>
      <x:c r="F218" s="4" t="n">
        <x:v>65.98</x:v>
      </x:c>
      <x:c r="G218" s="4" t="n">
        <x:v>42.38</x:v>
      </x:c>
      <x:c r="H218" s="4" t="n">
        <x:v>35.86</x:v>
      </x:c>
      <x:c r="I218" s="4" t="n">
        <x:v>26.59</x:v>
      </x:c>
      <x:c r="J218" s="4" t="n">
        <x:v>44.87</x:v>
      </x:c>
      <x:c r="K218" s="4" t="n">
        <x:v>26.66</x:v>
      </x:c>
      <x:c r="L218" s="4" t="n">
        <x:v>59.39</x:v>
      </x:c>
      <x:c r="M218" s="4" t="n">
        <x:v>28.38</x:v>
      </x:c>
      <x:c r="N218" s="4" t="n">
        <x:v>63.48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41.66</x:v>
      </x:c>
      <x:c r="D219" s="4" t="n">
        <x:v>36.23</x:v>
      </x:c>
      <x:c r="E219" s="4" t="n">
        <x:v>34.04</x:v>
      </x:c>
      <x:c r="F219" s="4" t="n">
        <x:v>59.62</x:v>
      </x:c>
      <x:c r="G219" s="4" t="n">
        <x:v>31.01</x:v>
      </x:c>
      <x:c r="H219" s="4" t="n">
        <x:v>46.07</x:v>
      </x:c>
      <x:c r="I219" s="4" t="n">
        <x:v>35.18</x:v>
      </x:c>
      <x:c r="J219" s="4" t="n">
        <x:v>43.44</x:v>
      </x:c>
      <x:c r="K219" s="4" t="n">
        <x:v>57.51</x:v>
      </x:c>
      <x:c r="L219" s="4" t="n">
        <x:v>21.28</x:v>
      </x:c>
      <x:c r="M219" s="4" t="n">
        <x:v>41.07</x:v>
      </x:c>
      <x:c r="N219" s="4" t="n">
        <x:v>52.42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53.04</x:v>
      </x:c>
      <x:c r="D221" s="4" t="n">
        <x:v>24.36</x:v>
      </x:c>
      <x:c r="E221" s="4" t="n">
        <x:v>61.96</x:v>
      </x:c>
      <x:c r="F221" s="4" t="n">
        <x:v>36.25</x:v>
      </x:c>
      <x:c r="G221" s="4" t="n">
        <x:v>29.4</x:v>
      </x:c>
      <x:c r="H221" s="4" t="n">
        <x:v>60.13</x:v>
      </x:c>
      <x:c r="I221" s="4" t="n">
        <x:v>60.88</x:v>
      </x:c>
      <x:c r="J221" s="4" t="n">
        <x:v>62.51</x:v>
      </x:c>
      <x:c r="K221" s="4" t="n">
        <x:v>27.93</x:v>
      </x:c>
      <x:c r="L221" s="4" t="n">
        <x:v>42.85</x:v>
      </x:c>
      <x:c r="M221" s="4" t="n">
        <x:v>25.86</x:v>
      </x:c>
      <x:c r="N221" s="4" t="n">
        <x:v>41.59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34.81</x:v>
      </x:c>
      <x:c r="D222" s="4" t="n">
        <x:v>54.13</x:v>
      </x:c>
      <x:c r="E222" s="4" t="n">
        <x:v>51.54</x:v>
      </x:c>
      <x:c r="F222" s="4" t="n">
        <x:v>58.1</x:v>
      </x:c>
      <x:c r="G222" s="4" t="n">
        <x:v>57.96</x:v>
      </x:c>
      <x:c r="H222" s="4" t="n">
        <x:v>33.6</x:v>
      </x:c>
      <x:c r="I222" s="4" t="n">
        <x:v>64.11</x:v>
      </x:c>
      <x:c r="J222" s="4" t="n">
        <x:v>35.97</x:v>
      </x:c>
      <x:c r="K222" s="4" t="n">
        <x:v>55.53</x:v>
      </x:c>
      <x:c r="L222" s="4" t="n">
        <x:v>22.53</x:v>
      </x:c>
      <x:c r="M222" s="4" t="n">
        <x:v>36.83</x:v>
      </x:c>
      <x:c r="N222" s="4" t="n">
        <x:v>65.88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46.25</x:v>
      </x:c>
      <x:c r="D223" s="4" t="n">
        <x:v>34.68</x:v>
      </x:c>
      <x:c r="E223" s="4" t="n">
        <x:v>54.63</x:v>
      </x:c>
      <x:c r="F223" s="4" t="n">
        <x:v>28.97</x:v>
      </x:c>
      <x:c r="G223" s="4" t="n">
        <x:v>63.81</x:v>
      </x:c>
      <x:c r="H223" s="4" t="n">
        <x:v>58.61</x:v>
      </x:c>
      <x:c r="I223" s="4" t="n">
        <x:v>31.92</x:v>
      </x:c>
      <x:c r="J223" s="4" t="n">
        <x:v>62.16</x:v>
      </x:c>
      <x:c r="K223" s="4" t="n">
        <x:v>30.63</x:v>
      </x:c>
      <x:c r="L223" s="4" t="n">
        <x:v>57.25</x:v>
      </x:c>
      <x:c r="M223" s="4" t="n">
        <x:v>33.33</x:v>
      </x:c>
      <x:c r="N223" s="4" t="n">
        <x:v>48.32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18.95</x:v>
      </x:c>
      <x:c r="D224" s="4" t="n">
        <x:v>35.99</x:v>
      </x:c>
      <x:c r="E224" s="4" t="n">
        <x:v>20.78</x:v>
      </x:c>
      <x:c r="F224" s="4" t="n">
        <x:v>32.42</x:v>
      </x:c>
      <x:c r="G224" s="4" t="n">
        <x:v>62.46</x:v>
      </x:c>
      <x:c r="H224" s="4" t="n">
        <x:v>32.84</x:v>
      </x:c>
      <x:c r="I224" s="4" t="n">
        <x:v>57.99</x:v>
      </x:c>
      <x:c r="J224" s="4" t="n">
        <x:v>48.09</x:v>
      </x:c>
      <x:c r="K224" s="4" t="n">
        <x:v>51.96</x:v>
      </x:c>
      <x:c r="L224" s="4" t="n">
        <x:v>38.55</x:v>
      </x:c>
      <x:c r="M224" s="4" t="n">
        <x:v>63.61</x:v>
      </x:c>
      <x:c r="N224" s="4" t="n">
        <x:v>55.01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51.02</x:v>
      </x:c>
      <x:c r="D225" s="4" t="n">
        <x:v>39.99</x:v>
      </x:c>
      <x:c r="E225" s="4" t="n">
        <x:v>34.05</x:v>
      </x:c>
      <x:c r="F225" s="4" t="n">
        <x:v>65.05</x:v>
      </x:c>
      <x:c r="G225" s="4" t="n">
        <x:v>28.86</x:v>
      </x:c>
      <x:c r="H225" s="4" t="n">
        <x:v>33.33</x:v>
      </x:c>
      <x:c r="I225" s="4" t="n">
        <x:v>51.98</x:v>
      </x:c>
      <x:c r="J225" s="4" t="n">
        <x:v>28.63</x:v>
      </x:c>
      <x:c r="K225" s="4" t="n">
        <x:v>27.89</x:v>
      </x:c>
      <x:c r="L225" s="4" t="n">
        <x:v>44.32</x:v>
      </x:c>
      <x:c r="M225" s="4" t="n">
        <x:v>46.62</x:v>
      </x:c>
      <x:c r="N225" s="4" t="n">
        <x:v>58.2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66.27</x:v>
      </x:c>
      <x:c r="D226" s="4" t="n">
        <x:v>60.76</x:v>
      </x:c>
      <x:c r="E226" s="4" t="n">
        <x:v>36.76</x:v>
      </x:c>
      <x:c r="F226" s="4" t="n">
        <x:v>32.89</x:v>
      </x:c>
      <x:c r="G226" s="4" t="n">
        <x:v>30.56</x:v>
      </x:c>
      <x:c r="H226" s="4" t="n">
        <x:v>24.71</x:v>
      </x:c>
      <x:c r="I226" s="4" t="n">
        <x:v>34.17</x:v>
      </x:c>
      <x:c r="J226" s="4" t="n">
        <x:v>67.56</x:v>
      </x:c>
      <x:c r="K226" s="4" t="n">
        <x:v>36.98</x:v>
      </x:c>
      <x:c r="L226" s="4" t="n">
        <x:v>36.97</x:v>
      </x:c>
      <x:c r="M226" s="4" t="n">
        <x:v>18.73</x:v>
      </x:c>
      <x:c r="N226" s="4" t="n">
        <x:v>25.28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25.91</x:v>
      </x:c>
      <x:c r="D227" s="4" t="n">
        <x:v>22.13</x:v>
      </x:c>
      <x:c r="E227" s="4" t="n">
        <x:v>53.16</x:v>
      </x:c>
      <x:c r="F227" s="4" t="n">
        <x:v>40.36</x:v>
      </x:c>
      <x:c r="G227" s="4" t="n">
        <x:v>58.96</x:v>
      </x:c>
      <x:c r="H227" s="4" t="n">
        <x:v>30.08</x:v>
      </x:c>
      <x:c r="I227" s="4" t="n">
        <x:v>29.98</x:v>
      </x:c>
      <x:c r="J227" s="4" t="n">
        <x:v>22.12</x:v>
      </x:c>
      <x:c r="K227" s="4" t="n">
        <x:v>35.46</x:v>
      </x:c>
      <x:c r="L227" s="4" t="n">
        <x:v>45.58</x:v>
      </x:c>
      <x:c r="M227" s="4" t="n">
        <x:v>65.22</x:v>
      </x:c>
      <x:c r="N227" s="4" t="n">
        <x:v>25.19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29.58</x:v>
      </x:c>
      <x:c r="D228" s="4" t="n">
        <x:v>20.67</x:v>
      </x:c>
      <x:c r="E228" s="4" t="n">
        <x:v>47.6</x:v>
      </x:c>
      <x:c r="F228" s="4" t="n">
        <x:v>46.35</x:v>
      </x:c>
      <x:c r="G228" s="4" t="n">
        <x:v>44.97</x:v>
      </x:c>
      <x:c r="H228" s="4" t="n">
        <x:v>17.3</x:v>
      </x:c>
      <x:c r="I228" s="4" t="n">
        <x:v>58.13</x:v>
      </x:c>
      <x:c r="J228" s="4" t="n">
        <x:v>57.57</x:v>
      </x:c>
      <x:c r="K228" s="4" t="n">
        <x:v>62.57</x:v>
      </x:c>
      <x:c r="L228" s="4" t="n">
        <x:v>23.57</x:v>
      </x:c>
      <x:c r="M228" s="4" t="n">
        <x:v>39.45</x:v>
      </x:c>
      <x:c r="N228" s="4" t="n">
        <x:v>38.34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21.15</x:v>
      </x:c>
      <x:c r="D230" s="4" t="n">
        <x:v>29.9</x:v>
      </x:c>
      <x:c r="E230" s="4" t="n">
        <x:v>19.76</x:v>
      </x:c>
      <x:c r="F230" s="4" t="n">
        <x:v>42.83</x:v>
      </x:c>
      <x:c r="G230" s="4" t="n">
        <x:v>37.97</x:v>
      </x:c>
      <x:c r="H230" s="4" t="n">
        <x:v>23.47</x:v>
      </x:c>
      <x:c r="I230" s="4" t="n">
        <x:v>49.21</x:v>
      </x:c>
      <x:c r="J230" s="4" t="n">
        <x:v>40.91</x:v>
      </x:c>
      <x:c r="K230" s="4" t="n">
        <x:v>57.07</x:v>
      </x:c>
      <x:c r="L230" s="4" t="n">
        <x:v>39.79</x:v>
      </x:c>
      <x:c r="M230" s="4" t="n">
        <x:v>30.85</x:v>
      </x:c>
      <x:c r="N230" s="4" t="n">
        <x:v>19.72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49.65</x:v>
      </x:c>
      <x:c r="D231" s="4" t="n">
        <x:v>48.41</x:v>
      </x:c>
      <x:c r="E231" s="4" t="n">
        <x:v>29.88</x:v>
      </x:c>
      <x:c r="F231" s="4" t="n">
        <x:v>30.02</x:v>
      </x:c>
      <x:c r="G231" s="4" t="n">
        <x:v>37.93</x:v>
      </x:c>
      <x:c r="H231" s="4" t="n">
        <x:v>49.43</x:v>
      </x:c>
      <x:c r="I231" s="4" t="n">
        <x:v>67.12</x:v>
      </x:c>
      <x:c r="J231" s="4" t="n">
        <x:v>35.42</x:v>
      </x:c>
      <x:c r="K231" s="4" t="n">
        <x:v>53.85</x:v>
      </x:c>
      <x:c r="L231" s="4" t="n">
        <x:v>60.24</x:v>
      </x:c>
      <x:c r="M231" s="4" t="n">
        <x:v>20.17</x:v>
      </x:c>
      <x:c r="N231" s="4" t="n">
        <x:v>50.87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24.49</x:v>
      </x:c>
      <x:c r="D232" s="4" t="n">
        <x:v>47.35</x:v>
      </x:c>
      <x:c r="E232" s="4" t="n">
        <x:v>26.86</x:v>
      </x:c>
      <x:c r="F232" s="4" t="n">
        <x:v>32.59</x:v>
      </x:c>
      <x:c r="G232" s="4" t="n">
        <x:v>50.86</x:v>
      </x:c>
      <x:c r="H232" s="4" t="n">
        <x:v>18.6</x:v>
      </x:c>
      <x:c r="I232" s="4" t="n">
        <x:v>58.73</x:v>
      </x:c>
      <x:c r="J232" s="4" t="n">
        <x:v>28.73</x:v>
      </x:c>
      <x:c r="K232" s="4" t="n">
        <x:v>47.81</x:v>
      </x:c>
      <x:c r="L232" s="4" t="n">
        <x:v>53.27</x:v>
      </x:c>
      <x:c r="M232" s="4" t="n">
        <x:v>43.01</x:v>
      </x:c>
      <x:c r="N232" s="4" t="n">
        <x:v>52.68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19.96</x:v>
      </x:c>
      <x:c r="D233" s="4" t="n">
        <x:v>62.43</x:v>
      </x:c>
      <x:c r="E233" s="4" t="n">
        <x:v>33.57</x:v>
      </x:c>
      <x:c r="F233" s="4" t="n">
        <x:v>20.81</x:v>
      </x:c>
      <x:c r="G233" s="4" t="n">
        <x:v>66.85</x:v>
      </x:c>
      <x:c r="H233" s="4" t="n">
        <x:v>21.02</x:v>
      </x:c>
      <x:c r="I233" s="4" t="n">
        <x:v>31.8</x:v>
      </x:c>
      <x:c r="J233" s="4" t="n">
        <x:v>21.28</x:v>
      </x:c>
      <x:c r="K233" s="4" t="n">
        <x:v>28.42</x:v>
      </x:c>
      <x:c r="L233" s="4" t="n">
        <x:v>28.21</x:v>
      </x:c>
      <x:c r="M233" s="4" t="n">
        <x:v>59.63</x:v>
      </x:c>
      <x:c r="N233" s="4" t="n">
        <x:v>32.71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2.94</x:v>
      </x:c>
      <x:c r="D324" s="4" t="n">
        <x:v>3.83</x:v>
      </x:c>
      <x:c r="E324" s="4" t="n">
        <x:v>5.17</x:v>
      </x:c>
      <x:c r="F324" s="4" t="n">
        <x:v>2.3</x:v>
      </x:c>
      <x:c r="G324" s="4" t="n">
        <x:v>5.8</x:v>
      </x:c>
      <x:c r="H324" s="4" t="n">
        <x:v>5.45</x:v>
      </x:c>
      <x:c r="I324" s="4" t="n">
        <x:v>4.57</x:v>
      </x:c>
      <x:c r="J324" s="4" t="n">
        <x:v>7.62</x:v>
      </x:c>
      <x:c r="K324" s="4" t="n">
        <x:v>7.1</x:v>
      </x:c>
      <x:c r="L324" s="4" t="n">
        <x:v>7.42</x:v>
      </x:c>
      <x:c r="M324" s="4" t="n">
        <x:v>3.86</x:v>
      </x:c>
      <x:c r="N324" s="4" t="n">
        <x:v>5.8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7.13</x:v>
      </x:c>
      <x:c r="D325" s="4" t="n">
        <x:v>3.18</x:v>
      </x:c>
      <x:c r="E325" s="4" t="n">
        <x:v>8.06</x:v>
      </x:c>
      <x:c r="F325" s="4" t="n">
        <x:v>6.05</x:v>
      </x:c>
      <x:c r="G325" s="4" t="n">
        <x:v>8.42</x:v>
      </x:c>
      <x:c r="H325" s="4" t="n">
        <x:v>5.83</x:v>
      </x:c>
      <x:c r="I325" s="4" t="n">
        <x:v>6.91</x:v>
      </x:c>
      <x:c r="J325" s="4" t="n">
        <x:v>2.64</x:v>
      </x:c>
      <x:c r="K325" s="4" t="n">
        <x:v>7.15</x:v>
      </x:c>
      <x:c r="L325" s="4" t="n">
        <x:v>2.32</x:v>
      </x:c>
      <x:c r="M325" s="4" t="n">
        <x:v>2.42</x:v>
      </x:c>
      <x:c r="N325" s="4" t="n">
        <x:v>2.73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6.71</x:v>
      </x:c>
      <x:c r="D326" s="4" t="n">
        <x:v>7.79</x:v>
      </x:c>
      <x:c r="E326" s="4" t="n">
        <x:v>4.52</x:v>
      </x:c>
      <x:c r="F326" s="4" t="n">
        <x:v>4.15</x:v>
      </x:c>
      <x:c r="G326" s="4" t="n">
        <x:v>7.73</x:v>
      </x:c>
      <x:c r="H326" s="4" t="n">
        <x:v>7.85</x:v>
      </x:c>
      <x:c r="I326" s="4" t="n">
        <x:v>6.85</x:v>
      </x:c>
      <x:c r="J326" s="4" t="n">
        <x:v>6.49</x:v>
      </x:c>
      <x:c r="K326" s="4" t="n">
        <x:v>8.42</x:v>
      </x:c>
      <x:c r="L326" s="4" t="n">
        <x:v>7.74</x:v>
      </x:c>
      <x:c r="M326" s="4" t="n">
        <x:v>7.28</x:v>
      </x:c>
      <x:c r="N326" s="4" t="n">
        <x:v>4.79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5.73</x:v>
      </x:c>
      <x:c r="D327" s="4" t="n">
        <x:v>4.23</x:v>
      </x:c>
      <x:c r="E327" s="4" t="n">
        <x:v>2.24</x:v>
      </x:c>
      <x:c r="F327" s="4" t="n">
        <x:v>7.13</x:v>
      </x:c>
      <x:c r="G327" s="4" t="n">
        <x:v>6.84</x:v>
      </x:c>
      <x:c r="H327" s="4" t="n">
        <x:v>6.13</x:v>
      </x:c>
      <x:c r="I327" s="4" t="n">
        <x:v>7.49</x:v>
      </x:c>
      <x:c r="J327" s="4" t="n">
        <x:v>6.37</x:v>
      </x:c>
      <x:c r="K327" s="4" t="n">
        <x:v>6.86</x:v>
      </x:c>
      <x:c r="L327" s="4" t="n">
        <x:v>2.96</x:v>
      </x:c>
      <x:c r="M327" s="4" t="n">
        <x:v>7.94</x:v>
      </x:c>
      <x:c r="N327" s="4" t="n">
        <x:v>7.85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6.89</x:v>
      </x:c>
      <x:c r="D328" s="4" t="n">
        <x:v>6.56</x:v>
      </x:c>
      <x:c r="E328" s="4" t="n">
        <x:v>5.6</x:v>
      </x:c>
      <x:c r="F328" s="4" t="n">
        <x:v>2.3</x:v>
      </x:c>
      <x:c r="G328" s="4" t="n">
        <x:v>6.39</x:v>
      </x:c>
      <x:c r="H328" s="4" t="n">
        <x:v>8.33</x:v>
      </x:c>
      <x:c r="I328" s="4" t="n">
        <x:v>5.07</x:v>
      </x:c>
      <x:c r="J328" s="4" t="n">
        <x:v>2.61</x:v>
      </x:c>
      <x:c r="K328" s="4" t="n">
        <x:v>6.35</x:v>
      </x:c>
      <x:c r="L328" s="4" t="n">
        <x:v>7.02</x:v>
      </x:c>
      <x:c r="M328" s="4" t="n">
        <x:v>3.32</x:v>
      </x:c>
      <x:c r="N328" s="4" t="n">
        <x:v>3.19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2.81</x:v>
      </x:c>
      <x:c r="D329" s="4" t="n">
        <x:v>4.63</x:v>
      </x:c>
      <x:c r="E329" s="4" t="n">
        <x:v>4.37</x:v>
      </x:c>
      <x:c r="F329" s="4" t="n">
        <x:v>3.29</x:v>
      </x:c>
      <x:c r="G329" s="4" t="n">
        <x:v>4.48</x:v>
      </x:c>
      <x:c r="H329" s="4" t="n">
        <x:v>6.76</x:v>
      </x:c>
      <x:c r="I329" s="4" t="n">
        <x:v>6.73</x:v>
      </x:c>
      <x:c r="J329" s="4" t="n">
        <x:v>2.21</x:v>
      </x:c>
      <x:c r="K329" s="4" t="n">
        <x:v>5.97</x:v>
      </x:c>
      <x:c r="L329" s="4" t="n">
        <x:v>4.8</x:v>
      </x:c>
      <x:c r="M329" s="4" t="n">
        <x:v>5.18</x:v>
      </x:c>
      <x:c r="N329" s="4" t="n">
        <x:v>7.66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2.97</x:v>
      </x:c>
      <x:c r="D330" s="4" t="n">
        <x:v>7.93</x:v>
      </x:c>
      <x:c r="E330" s="4" t="n">
        <x:v>7.78</x:v>
      </x:c>
      <x:c r="F330" s="4" t="n">
        <x:v>5.64</x:v>
      </x:c>
      <x:c r="G330" s="4" t="n">
        <x:v>2.53</x:v>
      </x:c>
      <x:c r="H330" s="4" t="n">
        <x:v>7.64</x:v>
      </x:c>
      <x:c r="I330" s="4" t="n">
        <x:v>3.45</x:v>
      </x:c>
      <x:c r="J330" s="4" t="n">
        <x:v>6.65</x:v>
      </x:c>
      <x:c r="K330" s="4" t="n">
        <x:v>7.25</x:v>
      </x:c>
      <x:c r="L330" s="4" t="n">
        <x:v>8.27</x:v>
      </x:c>
      <x:c r="M330" s="4" t="n">
        <x:v>2.42</x:v>
      </x:c>
      <x:c r="N330" s="4" t="n">
        <x:v>5.55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7.49</x:v>
      </x:c>
      <x:c r="D331" s="4" t="n">
        <x:v>6.4</x:v>
      </x:c>
      <x:c r="E331" s="4" t="n">
        <x:v>8.57</x:v>
      </x:c>
      <x:c r="F331" s="4" t="n">
        <x:v>7.57</x:v>
      </x:c>
      <x:c r="G331" s="4" t="n">
        <x:v>8.65</x:v>
      </x:c>
      <x:c r="H331" s="4" t="n">
        <x:v>8.64</x:v>
      </x:c>
      <x:c r="I331" s="4" t="n">
        <x:v>6.5</x:v>
      </x:c>
      <x:c r="J331" s="4" t="n">
        <x:v>4.4</x:v>
      </x:c>
      <x:c r="K331" s="4" t="n">
        <x:v>5.33</x:v>
      </x:c>
      <x:c r="L331" s="4" t="n">
        <x:v>2.48</x:v>
      </x:c>
      <x:c r="M331" s="4" t="n">
        <x:v>4.8</x:v>
      </x:c>
      <x:c r="N331" s="4" t="n">
        <x:v>7.84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8.4</x:v>
      </x:c>
      <x:c r="D332" s="4" t="n">
        <x:v>5.34</x:v>
      </x:c>
      <x:c r="E332" s="4" t="n">
        <x:v>8.29</x:v>
      </x:c>
      <x:c r="F332" s="4" t="n">
        <x:v>5.45</x:v>
      </x:c>
      <x:c r="G332" s="4" t="n">
        <x:v>7.11</x:v>
      </x:c>
      <x:c r="H332" s="4" t="n">
        <x:v>6.81</x:v>
      </x:c>
      <x:c r="I332" s="4" t="n">
        <x:v>5.41</x:v>
      </x:c>
      <x:c r="J332" s="4" t="n">
        <x:v>3.01</x:v>
      </x:c>
      <x:c r="K332" s="4" t="n">
        <x:v>8.57</x:v>
      </x:c>
      <x:c r="L332" s="4" t="n">
        <x:v>7.99</x:v>
      </x:c>
      <x:c r="M332" s="4" t="n">
        <x:v>8.83</x:v>
      </x:c>
      <x:c r="N332" s="4" t="n">
        <x:v>7.39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8.87</x:v>
      </x:c>
      <x:c r="D333" s="4" t="n">
        <x:v>2.93</x:v>
      </x:c>
      <x:c r="E333" s="4" t="n">
        <x:v>7.1</x:v>
      </x:c>
      <x:c r="F333" s="4" t="n">
        <x:v>4.93</x:v>
      </x:c>
      <x:c r="G333" s="4" t="n">
        <x:v>2.47</x:v>
      </x:c>
      <x:c r="H333" s="4" t="n">
        <x:v>4.38</x:v>
      </x:c>
      <x:c r="I333" s="4" t="n">
        <x:v>7.32</x:v>
      </x:c>
      <x:c r="J333" s="4" t="n">
        <x:v>4.98</x:v>
      </x:c>
      <x:c r="K333" s="4" t="n">
        <x:v>4.28</x:v>
      </x:c>
      <x:c r="L333" s="4" t="n">
        <x:v>8.13</x:v>
      </x:c>
      <x:c r="M333" s="4" t="n">
        <x:v>7.31</x:v>
      </x:c>
      <x:c r="N333" s="4" t="n">
        <x:v>3.66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2.79</x:v>
      </x:c>
      <x:c r="D334" s="4" t="n">
        <x:v>6.06</x:v>
      </x:c>
      <x:c r="E334" s="4" t="n">
        <x:v>8.4</x:v>
      </x:c>
      <x:c r="F334" s="4" t="n">
        <x:v>6.27</x:v>
      </x:c>
      <x:c r="G334" s="4" t="n">
        <x:v>2.24</x:v>
      </x:c>
      <x:c r="H334" s="4" t="n">
        <x:v>3.35</x:v>
      </x:c>
      <x:c r="I334" s="4" t="n">
        <x:v>7.12</x:v>
      </x:c>
      <x:c r="J334" s="4" t="n">
        <x:v>5.74</x:v>
      </x:c>
      <x:c r="K334" s="4" t="n">
        <x:v>8.03</x:v>
      </x:c>
      <x:c r="L334" s="4" t="n">
        <x:v>6.26</x:v>
      </x:c>
      <x:c r="M334" s="4" t="n">
        <x:v>3.84</x:v>
      </x:c>
      <x:c r="N334" s="4" t="n">
        <x:v>6.75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3.76</x:v>
      </x:c>
      <x:c r="D335" s="4" t="n">
        <x:v>2.5</x:v>
      </x:c>
      <x:c r="E335" s="4" t="n">
        <x:v>7.21</x:v>
      </x:c>
      <x:c r="F335" s="4" t="n">
        <x:v>2.17</x:v>
      </x:c>
      <x:c r="G335" s="4" t="n">
        <x:v>2.22</x:v>
      </x:c>
      <x:c r="H335" s="4" t="n">
        <x:v>2.35</x:v>
      </x:c>
      <x:c r="I335" s="4" t="n">
        <x:v>2.49</x:v>
      </x:c>
      <x:c r="J335" s="4" t="n">
        <x:v>3.64</x:v>
      </x:c>
      <x:c r="K335" s="4" t="n">
        <x:v>5.86</x:v>
      </x:c>
      <x:c r="L335" s="4" t="n">
        <x:v>4.14</x:v>
      </x:c>
      <x:c r="M335" s="4" t="n">
        <x:v>8.4</x:v>
      </x:c>
      <x:c r="N335" s="4" t="n">
        <x:v>5.96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3.79</x:v>
      </x:c>
      <x:c r="D336" s="4" t="n">
        <x:v>4.43</x:v>
      </x:c>
      <x:c r="E336" s="4" t="n">
        <x:v>7.48</x:v>
      </x:c>
      <x:c r="F336" s="4" t="n">
        <x:v>7.51</x:v>
      </x:c>
      <x:c r="G336" s="4" t="n">
        <x:v>8.48</x:v>
      </x:c>
      <x:c r="H336" s="4" t="n">
        <x:v>4.35</x:v>
      </x:c>
      <x:c r="I336" s="4" t="n">
        <x:v>4.81</x:v>
      </x:c>
      <x:c r="J336" s="4" t="n">
        <x:v>8.47</x:v>
      </x:c>
      <x:c r="K336" s="4" t="n">
        <x:v>5.05</x:v>
      </x:c>
      <x:c r="L336" s="4" t="n">
        <x:v>6.14</x:v>
      </x:c>
      <x:c r="M336" s="4" t="n">
        <x:v>4.85</x:v>
      </x:c>
      <x:c r="N336" s="4" t="n">
        <x:v>6.8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6.95</x:v>
      </x:c>
      <x:c r="D337" s="4" t="n">
        <x:v>4.43</x:v>
      </x:c>
      <x:c r="E337" s="4" t="n">
        <x:v>8.86</x:v>
      </x:c>
      <x:c r="F337" s="4" t="n">
        <x:v>4.17</x:v>
      </x:c>
      <x:c r="G337" s="4" t="n">
        <x:v>6.64</x:v>
      </x:c>
      <x:c r="H337" s="4" t="n">
        <x:v>5.99</x:v>
      </x:c>
      <x:c r="I337" s="4" t="n">
        <x:v>8.78</x:v>
      </x:c>
      <x:c r="J337" s="4" t="n">
        <x:v>5.8</x:v>
      </x:c>
      <x:c r="K337" s="4" t="n">
        <x:v>2.36</x:v>
      </x:c>
      <x:c r="L337" s="4" t="n">
        <x:v>7.96</x:v>
      </x:c>
      <x:c r="M337" s="4" t="n">
        <x:v>7.27</x:v>
      </x:c>
      <x:c r="N337" s="4" t="n">
        <x:v>3.8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7.44</x:v>
      </x:c>
      <x:c r="D338" s="4" t="n">
        <x:v>4.12</x:v>
      </x:c>
      <x:c r="E338" s="4" t="n">
        <x:v>7.34</x:v>
      </x:c>
      <x:c r="F338" s="4" t="n">
        <x:v>7.39</x:v>
      </x:c>
      <x:c r="G338" s="4" t="n">
        <x:v>2.68</x:v>
      </x:c>
      <x:c r="H338" s="4" t="n">
        <x:v>2.85</x:v>
      </x:c>
      <x:c r="I338" s="4" t="n">
        <x:v>5.01</x:v>
      </x:c>
      <x:c r="J338" s="4" t="n">
        <x:v>5.38</x:v>
      </x:c>
      <x:c r="K338" s="4" t="n">
        <x:v>4.46</x:v>
      </x:c>
      <x:c r="L338" s="4" t="n">
        <x:v>3.66</x:v>
      </x:c>
      <x:c r="M338" s="4" t="n">
        <x:v>7.76</x:v>
      </x:c>
      <x:c r="N338" s="4" t="n">
        <x:v>7.19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2.23</x:v>
      </x:c>
      <x:c r="D339" s="4" t="n">
        <x:v>6.53</x:v>
      </x:c>
      <x:c r="E339" s="4" t="n">
        <x:v>3.8</x:v>
      </x:c>
      <x:c r="F339" s="4" t="n">
        <x:v>5.76</x:v>
      </x:c>
      <x:c r="G339" s="4" t="n">
        <x:v>5.53</x:v>
      </x:c>
      <x:c r="H339" s="4" t="n">
        <x:v>2.86</x:v>
      </x:c>
      <x:c r="I339" s="4" t="n">
        <x:v>5.95</x:v>
      </x:c>
      <x:c r="J339" s="4" t="n">
        <x:v>3.05</x:v>
      </x:c>
      <x:c r="K339" s="4" t="n">
        <x:v>6.99</x:v>
      </x:c>
      <x:c r="L339" s="4" t="n">
        <x:v>5.49</x:v>
      </x:c>
      <x:c r="M339" s="4" t="n">
        <x:v>5.34</x:v>
      </x:c>
      <x:c r="N339" s="4" t="n">
        <x:v>7.64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6.99</x:v>
      </x:c>
      <x:c r="D341" s="4" t="n">
        <x:v>5.9</x:v>
      </x:c>
      <x:c r="E341" s="4" t="n">
        <x:v>7.97</x:v>
      </x:c>
      <x:c r="F341" s="4" t="n">
        <x:v>5.94</x:v>
      </x:c>
      <x:c r="G341" s="4" t="n">
        <x:v>8.23</x:v>
      </x:c>
      <x:c r="H341" s="4" t="n">
        <x:v>6.55</x:v>
      </x:c>
      <x:c r="I341" s="4" t="n">
        <x:v>3.66</x:v>
      </x:c>
      <x:c r="J341" s="4" t="n">
        <x:v>5.97</x:v>
      </x:c>
      <x:c r="K341" s="4" t="n">
        <x:v>5.69</x:v>
      </x:c>
      <x:c r="L341" s="4" t="n">
        <x:v>5.14</x:v>
      </x:c>
      <x:c r="M341" s="4" t="n">
        <x:v>3.09</x:v>
      </x:c>
      <x:c r="N341" s="4" t="n">
        <x:v>2.47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6.18</x:v>
      </x:c>
      <x:c r="D342" s="4" t="n">
        <x:v>2.31</x:v>
      </x:c>
      <x:c r="E342" s="4" t="n">
        <x:v>8.52</x:v>
      </x:c>
      <x:c r="F342" s="4" t="n">
        <x:v>4.28</x:v>
      </x:c>
      <x:c r="G342" s="4" t="n">
        <x:v>2.95</x:v>
      </x:c>
      <x:c r="H342" s="4" t="n">
        <x:v>6.67</x:v>
      </x:c>
      <x:c r="I342" s="4" t="n">
        <x:v>2.28</x:v>
      </x:c>
      <x:c r="J342" s="4" t="n">
        <x:v>7.82</x:v>
      </x:c>
      <x:c r="K342" s="4" t="n">
        <x:v>3.51</x:v>
      </x:c>
      <x:c r="L342" s="4" t="n">
        <x:v>4.49</x:v>
      </x:c>
      <x:c r="M342" s="4" t="n">
        <x:v>7.29</x:v>
      </x:c>
      <x:c r="N342" s="4" t="n">
        <x:v>7.9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2.31</x:v>
      </x:c>
      <x:c r="D343" s="4" t="n">
        <x:v>2.49</x:v>
      </x:c>
      <x:c r="E343" s="4" t="n">
        <x:v>2.57</x:v>
      </x:c>
      <x:c r="F343" s="4" t="n">
        <x:v>2.62</x:v>
      </x:c>
      <x:c r="G343" s="4" t="n">
        <x:v>7.79</x:v>
      </x:c>
      <x:c r="H343" s="4" t="n">
        <x:v>2.53</x:v>
      </x:c>
      <x:c r="I343" s="4" t="n">
        <x:v>7.08</x:v>
      </x:c>
      <x:c r="J343" s="4" t="n">
        <x:v>7.59</x:v>
      </x:c>
      <x:c r="K343" s="4" t="n">
        <x:v>2.84</x:v>
      </x:c>
      <x:c r="L343" s="4" t="n">
        <x:v>4.42</x:v>
      </x:c>
      <x:c r="M343" s="4" t="n">
        <x:v>5.95</x:v>
      </x:c>
      <x:c r="N343" s="4" t="n">
        <x:v>5.85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5.08</x:v>
      </x:c>
      <x:c r="D344" s="4" t="n">
        <x:v>8.6</x:v>
      </x:c>
      <x:c r="E344" s="4" t="n">
        <x:v>7.37</x:v>
      </x:c>
      <x:c r="F344" s="4" t="n">
        <x:v>6.84</x:v>
      </x:c>
      <x:c r="G344" s="4" t="n">
        <x:v>8.72</x:v>
      </x:c>
      <x:c r="H344" s="4" t="n">
        <x:v>7.23</x:v>
      </x:c>
      <x:c r="I344" s="4" t="n">
        <x:v>5.67</x:v>
      </x:c>
      <x:c r="J344" s="4" t="n">
        <x:v>4.37</x:v>
      </x:c>
      <x:c r="K344" s="4" t="n">
        <x:v>6.77</x:v>
      </x:c>
      <x:c r="L344" s="4" t="n">
        <x:v>7.68</x:v>
      </x:c>
      <x:c r="M344" s="4" t="n">
        <x:v>3.78</x:v>
      </x:c>
      <x:c r="N344" s="4" t="n">
        <x:v>8.69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8.31</x:v>
      </x:c>
      <x:c r="D345" s="4" t="n">
        <x:v>7.92</x:v>
      </x:c>
      <x:c r="E345" s="4" t="n">
        <x:v>4.13</x:v>
      </x:c>
      <x:c r="F345" s="4" t="n">
        <x:v>3.59</x:v>
      </x:c>
      <x:c r="G345" s="4" t="n">
        <x:v>6.24</x:v>
      </x:c>
      <x:c r="H345" s="4" t="n">
        <x:v>2.59</x:v>
      </x:c>
      <x:c r="I345" s="4" t="n">
        <x:v>6.49</x:v>
      </x:c>
      <x:c r="J345" s="4" t="n">
        <x:v>8.06</x:v>
      </x:c>
      <x:c r="K345" s="4" t="n">
        <x:v>3.09</x:v>
      </x:c>
      <x:c r="L345" s="4" t="n">
        <x:v>8.85</x:v>
      </x:c>
      <x:c r="M345" s="4" t="n">
        <x:v>8.03</x:v>
      </x:c>
      <x:c r="N345" s="4" t="n">
        <x:v>3.51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7.9</x:v>
      </x:c>
      <x:c r="D346" s="4" t="n">
        <x:v>8.18</x:v>
      </x:c>
      <x:c r="E346" s="4" t="n">
        <x:v>2.53</x:v>
      </x:c>
      <x:c r="F346" s="4" t="n">
        <x:v>7.5</x:v>
      </x:c>
      <x:c r="G346" s="4" t="n">
        <x:v>8.67</x:v>
      </x:c>
      <x:c r="H346" s="4" t="n">
        <x:v>5.64</x:v>
      </x:c>
      <x:c r="I346" s="4" t="n">
        <x:v>7.69</x:v>
      </x:c>
      <x:c r="J346" s="4" t="n">
        <x:v>6.9</x:v>
      </x:c>
      <x:c r="K346" s="4" t="n">
        <x:v>8.76</x:v>
      </x:c>
      <x:c r="L346" s="4" t="n">
        <x:v>8.52</x:v>
      </x:c>
      <x:c r="M346" s="4" t="n">
        <x:v>5.35</x:v>
      </x:c>
      <x:c r="N346" s="4" t="n">
        <x:v>2.31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6.04</x:v>
      </x:c>
      <x:c r="D347" s="4" t="n">
        <x:v>6.91</x:v>
      </x:c>
      <x:c r="E347" s="4" t="n">
        <x:v>6.68</x:v>
      </x:c>
      <x:c r="F347" s="4" t="n">
        <x:v>4.35</x:v>
      </x:c>
      <x:c r="G347" s="4" t="n">
        <x:v>3.55</x:v>
      </x:c>
      <x:c r="H347" s="4" t="n">
        <x:v>2.23</x:v>
      </x:c>
      <x:c r="I347" s="4" t="n">
        <x:v>6.17</x:v>
      </x:c>
      <x:c r="J347" s="4" t="n">
        <x:v>8.61</x:v>
      </x:c>
      <x:c r="K347" s="4" t="n">
        <x:v>2.8</x:v>
      </x:c>
      <x:c r="L347" s="4" t="n">
        <x:v>8.1</x:v>
      </x:c>
      <x:c r="M347" s="4" t="n">
        <x:v>7.71</x:v>
      </x:c>
      <x:c r="N347" s="4" t="n">
        <x:v>7.55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6.31</x:v>
      </x:c>
      <x:c r="D348" s="4" t="n">
        <x:v>7.16</x:v>
      </x:c>
      <x:c r="E348" s="4" t="n">
        <x:v>2.7</x:v>
      </x:c>
      <x:c r="F348" s="4" t="n">
        <x:v>5.64</x:v>
      </x:c>
      <x:c r="G348" s="4" t="n">
        <x:v>7.47</x:v>
      </x:c>
      <x:c r="H348" s="4" t="n">
        <x:v>5.47</x:v>
      </x:c>
      <x:c r="I348" s="4" t="n">
        <x:v>8.49</x:v>
      </x:c>
      <x:c r="J348" s="4" t="n">
        <x:v>4.93</x:v>
      </x:c>
      <x:c r="K348" s="4" t="n">
        <x:v>6.32</x:v>
      </x:c>
      <x:c r="L348" s="4" t="n">
        <x:v>8.82</x:v>
      </x:c>
      <x:c r="M348" s="4" t="n">
        <x:v>8.22</x:v>
      </x:c>
      <x:c r="N348" s="4" t="n">
        <x:v>6.8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3.67</x:v>
      </x:c>
      <x:c r="D350" s="4" t="n">
        <x:v>6.89</x:v>
      </x:c>
      <x:c r="E350" s="4" t="n">
        <x:v>4.24</x:v>
      </x:c>
      <x:c r="F350" s="4" t="n">
        <x:v>3.13</x:v>
      </x:c>
      <x:c r="G350" s="4" t="n">
        <x:v>3.27</x:v>
      </x:c>
      <x:c r="H350" s="4" t="n">
        <x:v>3.09</x:v>
      </x:c>
      <x:c r="I350" s="4" t="n">
        <x:v>4.01</x:v>
      </x:c>
      <x:c r="J350" s="4" t="n">
        <x:v>4.97</x:v>
      </x:c>
      <x:c r="K350" s="4" t="n">
        <x:v>3.77</x:v>
      </x:c>
      <x:c r="L350" s="4" t="n">
        <x:v>5.99</x:v>
      </x:c>
      <x:c r="M350" s="4" t="n">
        <x:v>7.42</x:v>
      </x:c>
      <x:c r="N350" s="4" t="n">
        <x:v>4.93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6.01</x:v>
      </x:c>
      <x:c r="D351" s="4" t="n">
        <x:v>4.13</x:v>
      </x:c>
      <x:c r="E351" s="4" t="n">
        <x:v>5.24</x:v>
      </x:c>
      <x:c r="F351" s="4" t="n">
        <x:v>8.18</x:v>
      </x:c>
      <x:c r="G351" s="4" t="n">
        <x:v>5.21</x:v>
      </x:c>
      <x:c r="H351" s="4" t="n">
        <x:v>5.23</x:v>
      </x:c>
      <x:c r="I351" s="4" t="n">
        <x:v>8.08</x:v>
      </x:c>
      <x:c r="J351" s="4" t="n">
        <x:v>5.91</x:v>
      </x:c>
      <x:c r="K351" s="4" t="n">
        <x:v>8.75</x:v>
      </x:c>
      <x:c r="L351" s="4" t="n">
        <x:v>6.34</x:v>
      </x:c>
      <x:c r="M351" s="4" t="n">
        <x:v>8.09</x:v>
      </x:c>
      <x:c r="N351" s="4" t="n">
        <x:v>7.25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5.4</x:v>
      </x:c>
      <x:c r="D352" s="4" t="n">
        <x:v>3.55</x:v>
      </x:c>
      <x:c r="E352" s="4" t="n">
        <x:v>2.54</x:v>
      </x:c>
      <x:c r="F352" s="4" t="n">
        <x:v>2.19</x:v>
      </x:c>
      <x:c r="G352" s="4" t="n">
        <x:v>7.16</x:v>
      </x:c>
      <x:c r="H352" s="4" t="n">
        <x:v>4.09</x:v>
      </x:c>
      <x:c r="I352" s="4" t="n">
        <x:v>8.02</x:v>
      </x:c>
      <x:c r="J352" s="4" t="n">
        <x:v>3.86</x:v>
      </x:c>
      <x:c r="K352" s="4" t="n">
        <x:v>6.95</x:v>
      </x:c>
      <x:c r="L352" s="4" t="n">
        <x:v>4.94</x:v>
      </x:c>
      <x:c r="M352" s="4" t="n">
        <x:v>8.49</x:v>
      </x:c>
      <x:c r="N352" s="4" t="n">
        <x:v>5.77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2.76</x:v>
      </x:c>
      <x:c r="D353" s="4" t="n">
        <x:v>2.24</x:v>
      </x:c>
      <x:c r="E353" s="4" t="n">
        <x:v>8.7</x:v>
      </x:c>
      <x:c r="F353" s="4" t="n">
        <x:v>7.17</x:v>
      </x:c>
      <x:c r="G353" s="4" t="n">
        <x:v>7.09</x:v>
      </x:c>
      <x:c r="H353" s="4" t="n">
        <x:v>3.62</x:v>
      </x:c>
      <x:c r="I353" s="4" t="n">
        <x:v>8.36</x:v>
      </x:c>
      <x:c r="J353" s="4" t="n">
        <x:v>2.95</x:v>
      </x:c>
      <x:c r="K353" s="4" t="n">
        <x:v>8.25</x:v>
      </x:c>
      <x:c r="L353" s="4" t="n">
        <x:v>3.77</x:v>
      </x:c>
      <x:c r="M353" s="4" t="n">
        <x:v>5.39</x:v>
      </x:c>
      <x:c r="N353" s="4" t="n">
        <x:v>6.31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9" hidden="0" customWidth="1"/>
    <x:col min="19" max="19" width="9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管理费用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435.24</x:v>
      </x:c>
      <x:c r="D4" s="3" t="n">
        <x:f>ROUND(D204*D324,2)</x:f>
        <x:v>142.36</x:v>
      </x:c>
      <x:c r="E4" s="3" t="n">
        <x:f>ROUND(E204*E324,2)</x:f>
        <x:v>136</x:v>
      </x:c>
      <x:c r="F4" s="3" t="n">
        <x:f>ROUND(F204*F324,2)</x:f>
        <x:v>324.46</x:v>
      </x:c>
      <x:c r="G4" s="3" t="n">
        <x:f>ROUND(G204*G324,2)</x:f>
        <x:v>152.94</x:v>
      </x:c>
      <x:c r="H4" s="3" t="n">
        <x:f>ROUND(H204*H324,2)</x:f>
        <x:v>201.83</x:v>
      </x:c>
      <x:c r="I4" s="3" t="n">
        <x:f>ROUND(I204*I324,2)</x:f>
        <x:v>99.43</x:v>
      </x:c>
      <x:c r="J4" s="3" t="n">
        <x:f>ROUND(J204*J324,2)</x:f>
        <x:v>190.7</x:v>
      </x:c>
      <x:c r="K4" s="3" t="n">
        <x:f>ROUND(K204*K324,2)</x:f>
        <x:v>192.15</x:v>
      </x:c>
      <x:c r="L4" s="3" t="n">
        <x:f>ROUND(L204*L324,2)</x:f>
        <x:v>165.99</x:v>
      </x:c>
      <x:c r="M4" s="3" t="n">
        <x:f>ROUND(M204*M324,2)</x:f>
        <x:v>461.07</x:v>
      </x:c>
      <x:c r="N4" s="3" t="n">
        <x:f>ROUND(N204*N324,2)</x:f>
        <x:v>384.97</x:v>
      </x:c>
      <x:c r="O4" s="3" t="n">
        <x:f>SUM(C4:N4)</x:f>
        <x:v>2887.1400000000003</x:v>
      </x:c>
      <x:c r="P4" s="2" t="str">
        <x:v>EXP2.004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148</x:v>
      </x:c>
      <x:c r="D5" s="3" t="n">
        <x:f>ROUND(D205*D325,2)</x:f>
        <x:v>215.53</x:v>
      </x:c>
      <x:c r="E5" s="3" t="n">
        <x:f>ROUND(E205*E325,2)</x:f>
        <x:v>357.99</x:v>
      </x:c>
      <x:c r="F5" s="3" t="n">
        <x:f>ROUND(F205*F325,2)</x:f>
        <x:v>108.57</x:v>
      </x:c>
      <x:c r="G5" s="3" t="n">
        <x:f>ROUND(G205*G325,2)</x:f>
        <x:v>394.13</x:v>
      </x:c>
      <x:c r="H5" s="3" t="n">
        <x:f>ROUND(H205*H325,2)</x:f>
        <x:v>140.03</x:v>
      </x:c>
      <x:c r="I5" s="3" t="n">
        <x:f>ROUND(I205*I325,2)</x:f>
        <x:v>75.26</x:v>
      </x:c>
      <x:c r="J5" s="3" t="n">
        <x:f>ROUND(J205*J325,2)</x:f>
        <x:v>207.06</x:v>
      </x:c>
      <x:c r="K5" s="3" t="n">
        <x:f>ROUND(K205*K325,2)</x:f>
        <x:v>307.32</x:v>
      </x:c>
      <x:c r="L5" s="3" t="n">
        <x:f>ROUND(L205*L325,2)</x:f>
        <x:v>118.24</x:v>
      </x:c>
      <x:c r="M5" s="3" t="n">
        <x:f>ROUND(M205*M325,2)</x:f>
        <x:v>317.65</x:v>
      </x:c>
      <x:c r="N5" s="3" t="n">
        <x:f>ROUND(N205*N325,2)</x:f>
        <x:v>159.58</x:v>
      </x:c>
      <x:c r="O5" s="3" t="n">
        <x:f>SUM(C5:N5)</x:f>
        <x:v>2549.3599999999997</x:v>
      </x:c>
      <x:c r="P5" s="2" t="str">
        <x:v>EXP2.005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123.69</x:v>
      </x:c>
      <x:c r="D6" s="3" t="n">
        <x:f>ROUND(D206*D326,2)</x:f>
        <x:v>63.5</x:v>
      </x:c>
      <x:c r="E6" s="3" t="n">
        <x:f>ROUND(E206*E326,2)</x:f>
        <x:v>189.71</x:v>
      </x:c>
      <x:c r="F6" s="3" t="n">
        <x:f>ROUND(F206*F326,2)</x:f>
        <x:v>324.05</x:v>
      </x:c>
      <x:c r="G6" s="3" t="n">
        <x:f>ROUND(G206*G326,2)</x:f>
        <x:v>310.25</x:v>
      </x:c>
      <x:c r="H6" s="3" t="n">
        <x:f>ROUND(H206*H326,2)</x:f>
        <x:v>139.14</x:v>
      </x:c>
      <x:c r="I6" s="3" t="n">
        <x:f>ROUND(I206*I326,2)</x:f>
        <x:v>60.12</x:v>
      </x:c>
      <x:c r="J6" s="3" t="n">
        <x:f>ROUND(J206*J326,2)</x:f>
        <x:v>116.13</x:v>
      </x:c>
      <x:c r="K6" s="3" t="n">
        <x:f>ROUND(K206*K326,2)</x:f>
        <x:v>73.48</x:v>
      </x:c>
      <x:c r="L6" s="3" t="n">
        <x:f>ROUND(L206*L326,2)</x:f>
        <x:v>253.98</x:v>
      </x:c>
      <x:c r="M6" s="3" t="n">
        <x:f>ROUND(M206*M326,2)</x:f>
        <x:v>188.84</x:v>
      </x:c>
      <x:c r="N6" s="3" t="n">
        <x:f>ROUND(N206*N326,2)</x:f>
        <x:v>203.97</x:v>
      </x:c>
      <x:c r="O6" s="3" t="n">
        <x:f>SUM(C6:N6)</x:f>
        <x:v>2046.8600000000001</x:v>
      </x:c>
      <x:c r="P6" s="2" t="str">
        <x:v>EXP2.006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191.75</x:v>
      </x:c>
      <x:c r="D7" s="3" t="n">
        <x:f>ROUND(D207*D327,2)</x:f>
        <x:v>149.22</x:v>
      </x:c>
      <x:c r="E7" s="3" t="n">
        <x:f>ROUND(E207*E327,2)</x:f>
        <x:v>219.18</x:v>
      </x:c>
      <x:c r="F7" s="3" t="n">
        <x:f>ROUND(F207*F327,2)</x:f>
        <x:v>415.56</x:v>
      </x:c>
      <x:c r="G7" s="3" t="n">
        <x:f>ROUND(G207*G327,2)</x:f>
        <x:v>145.56</x:v>
      </x:c>
      <x:c r="H7" s="3" t="n">
        <x:f>ROUND(H207*H327,2)</x:f>
        <x:v>382.66</x:v>
      </x:c>
      <x:c r="I7" s="3" t="n">
        <x:f>ROUND(I207*I327,2)</x:f>
        <x:v>480.99</x:v>
      </x:c>
      <x:c r="J7" s="3" t="n">
        <x:f>ROUND(J207*J327,2)</x:f>
        <x:v>251.57</x:v>
      </x:c>
      <x:c r="K7" s="3" t="n">
        <x:f>ROUND(K207*K327,2)</x:f>
        <x:v>368.93</x:v>
      </x:c>
      <x:c r="L7" s="3" t="n">
        <x:f>ROUND(L207*L327,2)</x:f>
        <x:v>379.94</x:v>
      </x:c>
      <x:c r="M7" s="3" t="n">
        <x:f>ROUND(M207*M327,2)</x:f>
        <x:v>435.12</x:v>
      </x:c>
      <x:c r="N7" s="3" t="n">
        <x:f>ROUND(N207*N327,2)</x:f>
        <x:v>452.93</x:v>
      </x:c>
      <x:c r="O7" s="3" t="n">
        <x:f>SUM(C7:N7)</x:f>
        <x:v>3873.41</x:v>
      </x:c>
      <x:c r="P7" s="2" t="str">
        <x:v>EXP2.007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128.89</x:v>
      </x:c>
      <x:c r="D8" s="3" t="n">
        <x:f>ROUND(D208*D328,2)</x:f>
        <x:v>373.39</x:v>
      </x:c>
      <x:c r="E8" s="3" t="n">
        <x:f>ROUND(E208*E328,2)</x:f>
        <x:v>400.84</x:v>
      </x:c>
      <x:c r="F8" s="3" t="n">
        <x:f>ROUND(F208*F328,2)</x:f>
        <x:v>89.7</x:v>
      </x:c>
      <x:c r="G8" s="3" t="n">
        <x:f>ROUND(G208*G328,2)</x:f>
        <x:v>194.43</x:v>
      </x:c>
      <x:c r="H8" s="3" t="n">
        <x:f>ROUND(H208*H328,2)</x:f>
        <x:v>462.62</x:v>
      </x:c>
      <x:c r="I8" s="3" t="n">
        <x:f>ROUND(I208*I328,2)</x:f>
        <x:v>203.73</x:v>
      </x:c>
      <x:c r="J8" s="3" t="n">
        <x:f>ROUND(J208*J328,2)</x:f>
        <x:v>375.82</x:v>
      </x:c>
      <x:c r="K8" s="3" t="n">
        <x:f>ROUND(K208*K328,2)</x:f>
        <x:v>269.89</x:v>
      </x:c>
      <x:c r="L8" s="3" t="n">
        <x:f>ROUND(L208*L328,2)</x:f>
        <x:v>488.5</x:v>
      </x:c>
      <x:c r="M8" s="3" t="n">
        <x:f>ROUND(M208*M328,2)</x:f>
        <x:v>156.12</x:v>
      </x:c>
      <x:c r="N8" s="3" t="n">
        <x:f>ROUND(N208*N328,2)</x:f>
        <x:v>441.76</x:v>
      </x:c>
      <x:c r="O8" s="3" t="n">
        <x:f>SUM(C8:N8)</x:f>
        <x:v>3585.6899999999996</x:v>
      </x:c>
      <x:c r="P8" s="2" t="str">
        <x:v>EXP2.008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330.47</x:v>
      </x:c>
      <x:c r="D9" s="3" t="n">
        <x:f>ROUND(D209*D329,2)</x:f>
        <x:v>171.98</x:v>
      </x:c>
      <x:c r="E9" s="3" t="n">
        <x:f>ROUND(E209*E329,2)</x:f>
        <x:v>339.56</x:v>
      </x:c>
      <x:c r="F9" s="3" t="n">
        <x:f>ROUND(F209*F329,2)</x:f>
        <x:v>356.94</x:v>
      </x:c>
      <x:c r="G9" s="3" t="n">
        <x:f>ROUND(G209*G329,2)</x:f>
        <x:v>229.63</x:v>
      </x:c>
      <x:c r="H9" s="3" t="n">
        <x:f>ROUND(H209*H329,2)</x:f>
        <x:v>126.9</x:v>
      </x:c>
      <x:c r="I9" s="3" t="n">
        <x:f>ROUND(I209*I329,2)</x:f>
        <x:v>281.4</x:v>
      </x:c>
      <x:c r="J9" s="3" t="n">
        <x:f>ROUND(J209*J329,2)</x:f>
        <x:v>116.03</x:v>
      </x:c>
      <x:c r="K9" s="3" t="n">
        <x:f>ROUND(K209*K329,2)</x:f>
        <x:v>258.54</x:v>
      </x:c>
      <x:c r="L9" s="3" t="n">
        <x:f>ROUND(L209*L329,2)</x:f>
        <x:v>79.07</x:v>
      </x:c>
      <x:c r="M9" s="3" t="n">
        <x:f>ROUND(M209*M329,2)</x:f>
        <x:v>269.1</x:v>
      </x:c>
      <x:c r="N9" s="3" t="n">
        <x:f>ROUND(N209*N329,2)</x:f>
        <x:v>257.88</x:v>
      </x:c>
      <x:c r="O9" s="3" t="n">
        <x:f>SUM(C9:N9)</x:f>
        <x:v>2817.5000000000005</x:v>
      </x:c>
      <x:c r="P9" s="2" t="str">
        <x:v>EXP2.009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343.2</x:v>
      </x:c>
      <x:c r="D10" s="3" t="n">
        <x:f>ROUND(D210*D330,2)</x:f>
        <x:v>309.47</x:v>
      </x:c>
      <x:c r="E10" s="3" t="n">
        <x:f>ROUND(E210*E330,2)</x:f>
        <x:v>119.73</x:v>
      </x:c>
      <x:c r="F10" s="3" t="n">
        <x:f>ROUND(F210*F330,2)</x:f>
        <x:v>325.97</x:v>
      </x:c>
      <x:c r="G10" s="3" t="n">
        <x:f>ROUND(G210*G330,2)</x:f>
        <x:v>442.94</x:v>
      </x:c>
      <x:c r="H10" s="3" t="n">
        <x:f>ROUND(H210*H330,2)</x:f>
        <x:v>174.11</x:v>
      </x:c>
      <x:c r="I10" s="3" t="n">
        <x:f>ROUND(I210*I330,2)</x:f>
        <x:v>126.46</x:v>
      </x:c>
      <x:c r="J10" s="3" t="n">
        <x:f>ROUND(J210*J330,2)</x:f>
        <x:v>140.86</x:v>
      </x:c>
      <x:c r="K10" s="3" t="n">
        <x:f>ROUND(K210*K330,2)</x:f>
        <x:v>175.82</x:v>
      </x:c>
      <x:c r="L10" s="3" t="n">
        <x:f>ROUND(L210*L330,2)</x:f>
        <x:v>372.62</x:v>
      </x:c>
      <x:c r="M10" s="3" t="n">
        <x:f>ROUND(M210*M330,2)</x:f>
        <x:v>132.8</x:v>
      </x:c>
      <x:c r="N10" s="3" t="n">
        <x:f>ROUND(N210*N330,2)</x:f>
        <x:v>149.34</x:v>
      </x:c>
      <x:c r="O10" s="3" t="n">
        <x:f>SUM(C10:N10)</x:f>
        <x:v>2813.3200000000006</x:v>
      </x:c>
      <x:c r="P10" s="2" t="str">
        <x:v>EXP2.010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180.89</x:v>
      </x:c>
      <x:c r="D11" s="3" t="n">
        <x:f>ROUND(D211*D331,2)</x:f>
        <x:v>449.34</x:v>
      </x:c>
      <x:c r="E11" s="3" t="n">
        <x:f>ROUND(E211*E331,2)</x:f>
        <x:v>117.99</x:v>
      </x:c>
      <x:c r="F11" s="3" t="n">
        <x:f>ROUND(F211*F331,2)</x:f>
        <x:v>208.87</x:v>
      </x:c>
      <x:c r="G11" s="3" t="n">
        <x:f>ROUND(G211*G331,2)</x:f>
        <x:v>140.58</x:v>
      </x:c>
      <x:c r="H11" s="3" t="n">
        <x:f>ROUND(H211*H331,2)</x:f>
        <x:v>314.94</x:v>
      </x:c>
      <x:c r="I11" s="3" t="n">
        <x:f>ROUND(I211*I331,2)</x:f>
        <x:v>71.69</x:v>
      </x:c>
      <x:c r="J11" s="3" t="n">
        <x:f>ROUND(J211*J331,2)</x:f>
        <x:v>267.74</x:v>
      </x:c>
      <x:c r="K11" s="3" t="n">
        <x:f>ROUND(K211*K331,2)</x:f>
        <x:v>88.31</x:v>
      </x:c>
      <x:c r="L11" s="3" t="n">
        <x:f>ROUND(L211*L331,2)</x:f>
        <x:v>168.41</x:v>
      </x:c>
      <x:c r="M11" s="3" t="n">
        <x:f>ROUND(M211*M331,2)</x:f>
        <x:v>138.96</x:v>
      </x:c>
      <x:c r="N11" s="3" t="n">
        <x:f>ROUND(N211*N331,2)</x:f>
        <x:v>253.23</x:v>
      </x:c>
      <x:c r="O11" s="3" t="n">
        <x:f>SUM(C11:N11)</x:f>
        <x:v>2400.9500000000003</x:v>
      </x:c>
      <x:c r="P11" s="2" t="str">
        <x:v>EXP2.011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90.46</x:v>
      </x:c>
      <x:c r="D12" s="3" t="n">
        <x:f>ROUND(D212*D332,2)</x:f>
        <x:v>151.81</x:v>
      </x:c>
      <x:c r="E12" s="3" t="n">
        <x:f>ROUND(E212*E332,2)</x:f>
        <x:v>443.41</x:v>
      </x:c>
      <x:c r="F12" s="3" t="n">
        <x:f>ROUND(F212*F332,2)</x:f>
        <x:v>267.22</x:v>
      </x:c>
      <x:c r="G12" s="3" t="n">
        <x:f>ROUND(G212*G332,2)</x:f>
        <x:v>103.37</x:v>
      </x:c>
      <x:c r="H12" s="3" t="n">
        <x:f>ROUND(H212*H332,2)</x:f>
        <x:v>80.62</x:v>
      </x:c>
      <x:c r="I12" s="3" t="n">
        <x:f>ROUND(I212*I332,2)</x:f>
        <x:v>523</x:v>
      </x:c>
      <x:c r="J12" s="3" t="n">
        <x:f>ROUND(J212*J332,2)</x:f>
        <x:v>148.62</x:v>
      </x:c>
      <x:c r="K12" s="3" t="n">
        <x:f>ROUND(K212*K332,2)</x:f>
        <x:v>397.96</x:v>
      </x:c>
      <x:c r="L12" s="3" t="n">
        <x:f>ROUND(L212*L332,2)</x:f>
        <x:v>297.91</x:v>
      </x:c>
      <x:c r="M12" s="3" t="n">
        <x:f>ROUND(M212*M332,2)</x:f>
        <x:v>399.17</x:v>
      </x:c>
      <x:c r="N12" s="3" t="n">
        <x:f>ROUND(N212*N332,2)</x:f>
        <x:v>244.84</x:v>
      </x:c>
      <x:c r="O12" s="3" t="n">
        <x:f>SUM(C12:N12)</x:f>
        <x:v>3148.39</x:v>
      </x:c>
      <x:c r="P12" s="2" t="str">
        <x:v>EXP2.012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297.17</x:v>
      </x:c>
      <x:c r="D13" s="3" t="n">
        <x:f>ROUND(D213*D333,2)</x:f>
        <x:v>359.23</x:v>
      </x:c>
      <x:c r="E13" s="3" t="n">
        <x:f>ROUND(E213*E333,2)</x:f>
        <x:v>215.36</x:v>
      </x:c>
      <x:c r="F13" s="3" t="n">
        <x:f>ROUND(F213*F333,2)</x:f>
        <x:v>93.81</x:v>
      </x:c>
      <x:c r="G13" s="3" t="n">
        <x:f>ROUND(G213*G333,2)</x:f>
        <x:v>166.43</x:v>
      </x:c>
      <x:c r="H13" s="3" t="n">
        <x:f>ROUND(H213*H333,2)</x:f>
        <x:v>355.42</x:v>
      </x:c>
      <x:c r="I13" s="3" t="n">
        <x:f>ROUND(I213*I333,2)</x:f>
        <x:v>200.26</x:v>
      </x:c>
      <x:c r="J13" s="3" t="n">
        <x:f>ROUND(J213*J333,2)</x:f>
        <x:v>254.2</x:v>
      </x:c>
      <x:c r="K13" s="3" t="n">
        <x:f>ROUND(K213*K333,2)</x:f>
        <x:v>336.53</x:v>
      </x:c>
      <x:c r="L13" s="3" t="n">
        <x:f>ROUND(L213*L333,2)</x:f>
        <x:v>268.22</x:v>
      </x:c>
      <x:c r="M13" s="3" t="n">
        <x:f>ROUND(M213*M333,2)</x:f>
        <x:v>190.29</x:v>
      </x:c>
      <x:c r="N13" s="3" t="n">
        <x:f>ROUND(N213*N333,2)</x:f>
        <x:v>166.33</x:v>
      </x:c>
      <x:c r="O13" s="3" t="n">
        <x:f>SUM(C13:N13)</x:f>
        <x:v>2903.25</x:v>
      </x:c>
      <x:c r="P13" s="2" t="str">
        <x:v>EXP2.013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359.53</x:v>
      </x:c>
      <x:c r="D14" s="3" t="n">
        <x:f>ROUND(D214*D334,2)</x:f>
        <x:v>234.14</x:v>
      </x:c>
      <x:c r="E14" s="3" t="n">
        <x:f>ROUND(E214*E334,2)</x:f>
        <x:v>119.81</x:v>
      </x:c>
      <x:c r="F14" s="3" t="n">
        <x:f>ROUND(F214*F334,2)</x:f>
        <x:v>318.79</x:v>
      </x:c>
      <x:c r="G14" s="3" t="n">
        <x:f>ROUND(G214*G334,2)</x:f>
        <x:v>176.14</x:v>
      </x:c>
      <x:c r="H14" s="3" t="n">
        <x:f>ROUND(H214*H334,2)</x:f>
        <x:v>165.93</x:v>
      </x:c>
      <x:c r="I14" s="3" t="n">
        <x:f>ROUND(I214*I334,2)</x:f>
        <x:v>144.7</x:v>
      </x:c>
      <x:c r="J14" s="3" t="n">
        <x:f>ROUND(J214*J334,2)</x:f>
        <x:v>165.07</x:v>
      </x:c>
      <x:c r="K14" s="3" t="n">
        <x:f>ROUND(K214*K334,2)</x:f>
        <x:v>215.83</x:v>
      </x:c>
      <x:c r="L14" s="3" t="n">
        <x:f>ROUND(L214*L334,2)</x:f>
        <x:v>189.55</x:v>
      </x:c>
      <x:c r="M14" s="3" t="n">
        <x:f>ROUND(M214*M334,2)</x:f>
        <x:v>200.85</x:v>
      </x:c>
      <x:c r="N14" s="3" t="n">
        <x:f>ROUND(N214*N334,2)</x:f>
        <x:v>148.22</x:v>
      </x:c>
      <x:c r="O14" s="3" t="n">
        <x:f>SUM(C14:N14)</x:f>
        <x:v>2438.5599999999995</x:v>
      </x:c>
      <x:c r="P14" s="2" t="str">
        <x:v>EXP2.014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316.21</x:v>
      </x:c>
      <x:c r="D15" s="3" t="n">
        <x:f>ROUND(D215*D335,2)</x:f>
        <x:v>115.63</x:v>
      </x:c>
      <x:c r="E15" s="3" t="n">
        <x:f>ROUND(E215*E335,2)</x:f>
        <x:v>311.55</x:v>
      </x:c>
      <x:c r="F15" s="3" t="n">
        <x:f>ROUND(F215*F335,2)</x:f>
        <x:v>218.79</x:v>
      </x:c>
      <x:c r="G15" s="3" t="n">
        <x:f>ROUND(G215*G335,2)</x:f>
        <x:v>287.92</x:v>
      </x:c>
      <x:c r="H15" s="3" t="n">
        <x:f>ROUND(H215*H335,2)</x:f>
        <x:v>287.41</x:v>
      </x:c>
      <x:c r="I15" s="3" t="n">
        <x:f>ROUND(I215*I335,2)</x:f>
        <x:v>305.84</x:v>
      </x:c>
      <x:c r="J15" s="3" t="n">
        <x:f>ROUND(J215*J335,2)</x:f>
        <x:v>489.07</x:v>
      </x:c>
      <x:c r="K15" s="3" t="n">
        <x:f>ROUND(K215*K335,2)</x:f>
        <x:v>151.46</x:v>
      </x:c>
      <x:c r="L15" s="3" t="n">
        <x:f>ROUND(L215*L335,2)</x:f>
        <x:v>180.68</x:v>
      </x:c>
      <x:c r="M15" s="3" t="n">
        <x:f>ROUND(M215*M335,2)</x:f>
        <x:v>165.56</x:v>
      </x:c>
      <x:c r="N15" s="3" t="n">
        <x:f>ROUND(N215*N335,2)</x:f>
        <x:v>269.09</x:v>
      </x:c>
      <x:c r="O15" s="3" t="n">
        <x:f>SUM(C15:N15)</x:f>
        <x:v>3099.21</x:v>
      </x:c>
      <x:c r="P15" s="2" t="str">
        <x:v>EXP2.015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367.35</x:v>
      </x:c>
      <x:c r="D16" s="3" t="n">
        <x:f>ROUND(D216*D336,2)</x:f>
        <x:v>88.57</x:v>
      </x:c>
      <x:c r="E16" s="3" t="n">
        <x:f>ROUND(E216*E336,2)</x:f>
        <x:v>124.71</x:v>
      </x:c>
      <x:c r="F16" s="3" t="n">
        <x:f>ROUND(F216*F336,2)</x:f>
        <x:v>263.59</x:v>
      </x:c>
      <x:c r="G16" s="3" t="n">
        <x:f>ROUND(G216*G336,2)</x:f>
        <x:v>164.5</x:v>
      </x:c>
      <x:c r="H16" s="3" t="n">
        <x:f>ROUND(H216*H336,2)</x:f>
        <x:v>89.66</x:v>
      </x:c>
      <x:c r="I16" s="3" t="n">
        <x:f>ROUND(I216*I336,2)</x:f>
        <x:v>129.31</x:v>
      </x:c>
      <x:c r="J16" s="3" t="n">
        <x:f>ROUND(J216*J336,2)</x:f>
        <x:v>111.91</x:v>
      </x:c>
      <x:c r="K16" s="3" t="n">
        <x:f>ROUND(K216*K336,2)</x:f>
        <x:v>413.46</x:v>
      </x:c>
      <x:c r="L16" s="3" t="n">
        <x:f>ROUND(L216*L336,2)</x:f>
        <x:v>276.94</x:v>
      </x:c>
      <x:c r="M16" s="3" t="n">
        <x:f>ROUND(M216*M336,2)</x:f>
        <x:v>437.03</x:v>
      </x:c>
      <x:c r="N16" s="3" t="n">
        <x:f>ROUND(N216*N336,2)</x:f>
        <x:v>487.97</x:v>
      </x:c>
      <x:c r="O16" s="3" t="n">
        <x:f>SUM(C16:N16)</x:f>
        <x:v>2955</x:v>
      </x:c>
      <x:c r="P16" s="2" t="str">
        <x:v>EXP2.016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90.8</x:v>
      </x:c>
      <x:c r="D17" s="3" t="n">
        <x:f>ROUND(D217*D337,2)</x:f>
        <x:v>182.53</x:v>
      </x:c>
      <x:c r="E17" s="3" t="n">
        <x:f>ROUND(E217*E337,2)</x:f>
        <x:v>408.37</x:v>
      </x:c>
      <x:c r="F17" s="3" t="n">
        <x:f>ROUND(F217*F337,2)</x:f>
        <x:v>186.05</x:v>
      </x:c>
      <x:c r="G17" s="3" t="n">
        <x:f>ROUND(G217*G337,2)</x:f>
        <x:v>181.84</x:v>
      </x:c>
      <x:c r="H17" s="3" t="n">
        <x:f>ROUND(H217*H337,2)</x:f>
        <x:v>223.04</x:v>
      </x:c>
      <x:c r="I17" s="3" t="n">
        <x:f>ROUND(I217*I337,2)</x:f>
        <x:v>188.04</x:v>
      </x:c>
      <x:c r="J17" s="3" t="n">
        <x:f>ROUND(J217*J337,2)</x:f>
        <x:v>278.07</x:v>
      </x:c>
      <x:c r="K17" s="3" t="n">
        <x:f>ROUND(K217*K337,2)</x:f>
        <x:v>227.67</x:v>
      </x:c>
      <x:c r="L17" s="3" t="n">
        <x:f>ROUND(L217*L337,2)</x:f>
        <x:v>335.22</x:v>
      </x:c>
      <x:c r="M17" s="3" t="n">
        <x:f>ROUND(M217*M337,2)</x:f>
        <x:v>299.77</x:v>
      </x:c>
      <x:c r="N17" s="3" t="n">
        <x:f>ROUND(N217*N337,2)</x:f>
        <x:v>119.28</x:v>
      </x:c>
      <x:c r="O17" s="3" t="n">
        <x:f>SUM(C17:N17)</x:f>
        <x:v>2720.6800000000003</x:v>
      </x:c>
      <x:c r="P17" s="2" t="str">
        <x:v>EXP2.017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84.99</x:v>
      </x:c>
      <x:c r="D18" s="3" t="n">
        <x:f>ROUND(D218*D338,2)</x:f>
        <x:v>363.86</x:v>
      </x:c>
      <x:c r="E18" s="3" t="n">
        <x:f>ROUND(E218*E338,2)</x:f>
        <x:v>414.51</x:v>
      </x:c>
      <x:c r="F18" s="3" t="n">
        <x:f>ROUND(F218*F338,2)</x:f>
        <x:v>107.66</x:v>
      </x:c>
      <x:c r="G18" s="3" t="n">
        <x:f>ROUND(G218*G338,2)</x:f>
        <x:v>147.26</x:v>
      </x:c>
      <x:c r="H18" s="3" t="n">
        <x:f>ROUND(H218*H338,2)</x:f>
        <x:v>85.49</x:v>
      </x:c>
      <x:c r="I18" s="3" t="n">
        <x:f>ROUND(I218*I338,2)</x:f>
        <x:v>228.69</x:v>
      </x:c>
      <x:c r="J18" s="3" t="n">
        <x:f>ROUND(J218*J338,2)</x:f>
        <x:v>155.15</x:v>
      </x:c>
      <x:c r="K18" s="3" t="n">
        <x:f>ROUND(K218*K338,2)</x:f>
        <x:v>170.86</x:v>
      </x:c>
      <x:c r="L18" s="3" t="n">
        <x:f>ROUND(L218*L338,2)</x:f>
        <x:v>67.69</x:v>
      </x:c>
      <x:c r="M18" s="3" t="n">
        <x:f>ROUND(M218*M338,2)</x:f>
        <x:v>138.47</x:v>
      </x:c>
      <x:c r="N18" s="3" t="n">
        <x:f>ROUND(N218*N338,2)</x:f>
        <x:v>423.37</x:v>
      </x:c>
      <x:c r="O18" s="3" t="n">
        <x:f>SUM(C18:N18)</x:f>
        <x:v>2388.0000000000005</x:v>
      </x:c>
      <x:c r="P18" s="2" t="str">
        <x:v>EXP2.018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194.25</x:v>
      </x:c>
      <x:c r="D19" s="3" t="n">
        <x:f>ROUND(D219*D339,2)</x:f>
        <x:v>179.78</x:v>
      </x:c>
      <x:c r="E19" s="3" t="n">
        <x:f>ROUND(E219*E339,2)</x:f>
        <x:v>479.76</x:v>
      </x:c>
      <x:c r="F19" s="3" t="n">
        <x:f>ROUND(F219*F339,2)</x:f>
        <x:v>142.69</x:v>
      </x:c>
      <x:c r="G19" s="3" t="n">
        <x:f>ROUND(G219*G339,2)</x:f>
        <x:v>342.19</x:v>
      </x:c>
      <x:c r="H19" s="3" t="n">
        <x:f>ROUND(H219*H339,2)</x:f>
        <x:v>123.88</x:v>
      </x:c>
      <x:c r="I19" s="3" t="n">
        <x:f>ROUND(I219*I339,2)</x:f>
        <x:v>69.79</x:v>
      </x:c>
      <x:c r="J19" s="3" t="n">
        <x:f>ROUND(J219*J339,2)</x:f>
        <x:v>237.31</x:v>
      </x:c>
      <x:c r="K19" s="3" t="n">
        <x:f>ROUND(K219*K339,2)</x:f>
        <x:v>104.9</x:v>
      </x:c>
      <x:c r="L19" s="3" t="n">
        <x:f>ROUND(L219*L339,2)</x:f>
        <x:v>183.17</x:v>
      </x:c>
      <x:c r="M19" s="3" t="n">
        <x:f>ROUND(M219*M339,2)</x:f>
        <x:v>238.94</x:v>
      </x:c>
      <x:c r="N19" s="3" t="n">
        <x:f>ROUND(N219*N339,2)</x:f>
        <x:v>493.95</x:v>
      </x:c>
      <x:c r="O19" s="3" t="n">
        <x:f>SUM(C19:N19)</x:f>
        <x:v>2790.61</x:v>
      </x:c>
      <x:c r="P19" s="2" t="str">
        <x:v>EXP2.019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EXP2.020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294.49</x:v>
      </x:c>
      <x:c r="D21" s="3" t="n">
        <x:f>ROUND(D221*D341,2)</x:f>
        <x:v>222.22</x:v>
      </x:c>
      <x:c r="E21" s="3" t="n">
        <x:f>ROUND(E221*E341,2)</x:f>
        <x:v>293.09</x:v>
      </x:c>
      <x:c r="F21" s="3" t="n">
        <x:f>ROUND(F221*F341,2)</x:f>
        <x:v>384.21</x:v>
      </x:c>
      <x:c r="G21" s="3" t="n">
        <x:f>ROUND(G221*G341,2)</x:f>
        <x:v>311.76</x:v>
      </x:c>
      <x:c r="H21" s="3" t="n">
        <x:f>ROUND(H221*H341,2)</x:f>
        <x:v>405.83</x:v>
      </x:c>
      <x:c r="I21" s="3" t="n">
        <x:f>ROUND(I221*I341,2)</x:f>
        <x:v>276.56</x:v>
      </x:c>
      <x:c r="J21" s="3" t="n">
        <x:f>ROUND(J221*J341,2)</x:f>
        <x:v>104.06</x:v>
      </x:c>
      <x:c r="K21" s="3" t="n">
        <x:f>ROUND(K221*K341,2)</x:f>
        <x:v>290.05</x:v>
      </x:c>
      <x:c r="L21" s="3" t="n">
        <x:f>ROUND(L221*L341,2)</x:f>
        <x:v>310.06</x:v>
      </x:c>
      <x:c r="M21" s="3" t="n">
        <x:f>ROUND(M221*M341,2)</x:f>
        <x:v>290.91</x:v>
      </x:c>
      <x:c r="N21" s="3" t="n">
        <x:f>ROUND(N221*N341,2)</x:f>
        <x:v>147.7</x:v>
      </x:c>
      <x:c r="O21" s="3" t="n">
        <x:f>SUM(C21:N21)</x:f>
        <x:v>3330.9399999999996</x:v>
      </x:c>
      <x:c r="P21" s="2" t="str">
        <x:v>EXP2.021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153.04</x:v>
      </x:c>
      <x:c r="D22" s="3" t="n">
        <x:f>ROUND(D222*D342,2)</x:f>
        <x:v>151.75</x:v>
      </x:c>
      <x:c r="E22" s="3" t="n">
        <x:f>ROUND(E222*E342,2)</x:f>
        <x:v>125.32</x:v>
      </x:c>
      <x:c r="F22" s="3" t="n">
        <x:f>ROUND(F222*F342,2)</x:f>
        <x:v>305.71</x:v>
      </x:c>
      <x:c r="G22" s="3" t="n">
        <x:f>ROUND(G222*G342,2)</x:f>
        <x:v>279.58</x:v>
      </x:c>
      <x:c r="H22" s="3" t="n">
        <x:f>ROUND(H222*H342,2)</x:f>
        <x:v>128.09</x:v>
      </x:c>
      <x:c r="I22" s="3" t="n">
        <x:f>ROUND(I222*I342,2)</x:f>
        <x:v>264.34</x:v>
      </x:c>
      <x:c r="J22" s="3" t="n">
        <x:f>ROUND(J222*J342,2)</x:f>
        <x:v>462.7</x:v>
      </x:c>
      <x:c r="K22" s="3" t="n">
        <x:f>ROUND(K222*K342,2)</x:f>
        <x:v>208.67</x:v>
      </x:c>
      <x:c r="L22" s="3" t="n">
        <x:f>ROUND(L222*L342,2)</x:f>
        <x:v>315.87</x:v>
      </x:c>
      <x:c r="M22" s="3" t="n">
        <x:f>ROUND(M222*M342,2)</x:f>
        <x:v>340.11</x:v>
      </x:c>
      <x:c r="N22" s="3" t="n">
        <x:f>ROUND(N222*N342,2)</x:f>
        <x:v>257.71</x:v>
      </x:c>
      <x:c r="O22" s="3" t="n">
        <x:f>SUM(C22:N22)</x:f>
        <x:v>2992.89</x:v>
      </x:c>
      <x:c r="P22" s="2" t="str">
        <x:v>EXP2.022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475.85</x:v>
      </x:c>
      <x:c r="D23" s="3" t="n">
        <x:f>ROUND(D223*D343,2)</x:f>
        <x:v>318.92</x:v>
      </x:c>
      <x:c r="E23" s="3" t="n">
        <x:f>ROUND(E223*E343,2)</x:f>
        <x:v>453.21</x:v>
      </x:c>
      <x:c r="F23" s="3" t="n">
        <x:f>ROUND(F223*F343,2)</x:f>
        <x:v>54.27</x:v>
      </x:c>
      <x:c r="G23" s="3" t="n">
        <x:f>ROUND(G223*G343,2)</x:f>
        <x:v>428.09</x:v>
      </x:c>
      <x:c r="H23" s="3" t="n">
        <x:f>ROUND(H223*H343,2)</x:f>
        <x:v>346.74</x:v>
      </x:c>
      <x:c r="I23" s="3" t="n">
        <x:f>ROUND(I223*I343,2)</x:f>
        <x:v>101.39</x:v>
      </x:c>
      <x:c r="J23" s="3" t="n">
        <x:f>ROUND(J223*J343,2)</x:f>
        <x:v>477.16</x:v>
      </x:c>
      <x:c r="K23" s="3" t="n">
        <x:f>ROUND(K223*K343,2)</x:f>
        <x:v>210.59</x:v>
      </x:c>
      <x:c r="L23" s="3" t="n">
        <x:f>ROUND(L223*L343,2)</x:f>
        <x:v>86.61</x:v>
      </x:c>
      <x:c r="M23" s="3" t="n">
        <x:f>ROUND(M223*M343,2)</x:f>
        <x:v>243.57</x:v>
      </x:c>
      <x:c r="N23" s="3" t="n">
        <x:f>ROUND(N223*N343,2)</x:f>
        <x:v>407.71</x:v>
      </x:c>
      <x:c r="O23" s="3" t="n">
        <x:f>SUM(C23:N23)</x:f>
        <x:v>3604.11</x:v>
      </x:c>
      <x:c r="P23" s="2" t="str">
        <x:v>EXP2.023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80.95</x:v>
      </x:c>
      <x:c r="D24" s="3" t="n">
        <x:f>ROUND(D224*D344,2)</x:f>
        <x:v>228.64</x:v>
      </x:c>
      <x:c r="E24" s="3" t="n">
        <x:f>ROUND(E224*E344,2)</x:f>
        <x:v>246.3</x:v>
      </x:c>
      <x:c r="F24" s="3" t="n">
        <x:f>ROUND(F224*F344,2)</x:f>
        <x:v>207.07</x:v>
      </x:c>
      <x:c r="G24" s="3" t="n">
        <x:f>ROUND(G224*G344,2)</x:f>
        <x:v>56.14</x:v>
      </x:c>
      <x:c r="H24" s="3" t="n">
        <x:f>ROUND(H224*H344,2)</x:f>
        <x:v>133.53</x:v>
      </x:c>
      <x:c r="I24" s="3" t="n">
        <x:f>ROUND(I224*I344,2)</x:f>
        <x:v>382.39</x:v>
      </x:c>
      <x:c r="J24" s="3" t="n">
        <x:f>ROUND(J224*J344,2)</x:f>
        <x:v>288.95</x:v>
      </x:c>
      <x:c r="K24" s="3" t="n">
        <x:f>ROUND(K224*K344,2)</x:f>
        <x:v>316.44</x:v>
      </x:c>
      <x:c r="L24" s="3" t="n">
        <x:f>ROUND(L224*L344,2)</x:f>
        <x:v>157.79</x:v>
      </x:c>
      <x:c r="M24" s="3" t="n">
        <x:f>ROUND(M224*M344,2)</x:f>
        <x:v>330.94</x:v>
      </x:c>
      <x:c r="N24" s="3" t="n">
        <x:f>ROUND(N224*N344,2)</x:f>
        <x:v>226.32</x:v>
      </x:c>
      <x:c r="O24" s="3" t="n">
        <x:f>SUM(C24:N24)</x:f>
        <x:v>2655.4600000000005</x:v>
      </x:c>
      <x:c r="P24" s="2" t="str">
        <x:v>EXP2.024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231.13</x:v>
      </x:c>
      <x:c r="D25" s="3" t="n">
        <x:f>ROUND(D225*D345,2)</x:f>
        <x:v>265.08</x:v>
      </x:c>
      <x:c r="E25" s="3" t="n">
        <x:f>ROUND(E225*E345,2)</x:f>
        <x:v>243.33</x:v>
      </x:c>
      <x:c r="F25" s="3" t="n">
        <x:f>ROUND(F225*F345,2)</x:f>
        <x:v>236.09</x:v>
      </x:c>
      <x:c r="G25" s="3" t="n">
        <x:f>ROUND(G225*G345,2)</x:f>
        <x:v>472.85</x:v>
      </x:c>
      <x:c r="H25" s="3" t="n">
        <x:f>ROUND(H225*H345,2)</x:f>
        <x:v>374.51</x:v>
      </x:c>
      <x:c r="I25" s="3" t="n">
        <x:f>ROUND(I225*I345,2)</x:f>
        <x:v>375.91</x:v>
      </x:c>
      <x:c r="J25" s="3" t="n">
        <x:f>ROUND(J225*J345,2)</x:f>
        <x:v>200.41</x:v>
      </x:c>
      <x:c r="K25" s="3" t="n">
        <x:f>ROUND(K225*K345,2)</x:f>
        <x:v>199.11</x:v>
      </x:c>
      <x:c r="L25" s="3" t="n">
        <x:f>ROUND(L225*L345,2)</x:f>
        <x:v>122.12</x:v>
      </x:c>
      <x:c r="M25" s="3" t="n">
        <x:f>ROUND(M225*M345,2)</x:f>
        <x:v>55.29</x:v>
      </x:c>
      <x:c r="N25" s="3" t="n">
        <x:f>ROUND(N225*N345,2)</x:f>
        <x:v>178.54</x:v>
      </x:c>
      <x:c r="O25" s="3" t="n">
        <x:f>SUM(C25:N25)</x:f>
        <x:v>2954.37</x:v>
      </x:c>
      <x:c r="P25" s="2" t="str">
        <x:v>EXP2.025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203.6</x:v>
      </x:c>
      <x:c r="D26" s="3" t="n">
        <x:f>ROUND(D226*D346,2)</x:f>
        <x:v>410.46</x:v>
      </x:c>
      <x:c r="E26" s="3" t="n">
        <x:f>ROUND(E226*E346,2)</x:f>
        <x:v>265.21</x:v>
      </x:c>
      <x:c r="F26" s="3" t="n">
        <x:f>ROUND(F226*F346,2)</x:f>
        <x:v>295.16</x:v>
      </x:c>
      <x:c r="G26" s="3" t="n">
        <x:f>ROUND(G226*G346,2)</x:f>
        <x:v>114.06</x:v>
      </x:c>
      <x:c r="H26" s="3" t="n">
        <x:f>ROUND(H226*H346,2)</x:f>
        <x:v>143.27</x:v>
      </x:c>
      <x:c r="I26" s="3" t="n">
        <x:f>ROUND(I226*I346,2)</x:f>
        <x:v>418.94</x:v>
      </x:c>
      <x:c r="J26" s="3" t="n">
        <x:f>ROUND(J226*J346,2)</x:f>
        <x:v>167.93</x:v>
      </x:c>
      <x:c r="K26" s="3" t="n">
        <x:f>ROUND(K226*K346,2)</x:f>
        <x:v>309.16</x:v>
      </x:c>
      <x:c r="L26" s="3" t="n">
        <x:f>ROUND(L226*L346,2)</x:f>
        <x:v>180.07</x:v>
      </x:c>
      <x:c r="M26" s="3" t="n">
        <x:f>ROUND(M226*M346,2)</x:f>
        <x:v>234.44</x:v>
      </x:c>
      <x:c r="N26" s="3" t="n">
        <x:f>ROUND(N226*N346,2)</x:f>
        <x:v>135.57</x:v>
      </x:c>
      <x:c r="O26" s="3" t="n">
        <x:f>SUM(C26:N26)</x:f>
        <x:v>2877.8700000000003</x:v>
      </x:c>
      <x:c r="P26" s="2" t="str">
        <x:v>EXP2.026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137.43</x:v>
      </x:c>
      <x:c r="D27" s="3" t="n">
        <x:f>ROUND(D227*D347,2)</x:f>
        <x:v>129.83</x:v>
      </x:c>
      <x:c r="E27" s="3" t="n">
        <x:f>ROUND(E227*E347,2)</x:f>
        <x:v>298.44</x:v>
      </x:c>
      <x:c r="F27" s="3" t="n">
        <x:f>ROUND(F227*F347,2)</x:f>
        <x:v>340.91</x:v>
      </x:c>
      <x:c r="G27" s="3" t="n">
        <x:f>ROUND(G227*G347,2)</x:f>
        <x:v>173.21</x:v>
      </x:c>
      <x:c r="H27" s="3" t="n">
        <x:f>ROUND(H227*H347,2)</x:f>
        <x:v>134.62</x:v>
      </x:c>
      <x:c r="I27" s="3" t="n">
        <x:f>ROUND(I227*I347,2)</x:f>
        <x:v>162.79</x:v>
      </x:c>
      <x:c r="J27" s="3" t="n">
        <x:f>ROUND(J227*J347,2)</x:f>
        <x:v>197.64</x:v>
      </x:c>
      <x:c r="K27" s="3" t="n">
        <x:f>ROUND(K227*K347,2)</x:f>
        <x:v>229.47</x:v>
      </x:c>
      <x:c r="L27" s="3" t="n">
        <x:f>ROUND(L227*L347,2)</x:f>
        <x:v>137.57</x:v>
      </x:c>
      <x:c r="M27" s="3" t="n">
        <x:f>ROUND(M227*M347,2)</x:f>
        <x:v>55.23</x:v>
      </x:c>
      <x:c r="N27" s="3" t="n">
        <x:f>ROUND(N227*N347,2)</x:f>
        <x:v>353.58</x:v>
      </x:c>
      <x:c r="O27" s="3" t="n">
        <x:f>SUM(C27:N27)</x:f>
        <x:v>2350.72</x:v>
      </x:c>
      <x:c r="P27" s="2" t="str">
        <x:v>EXP2.027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256.89</x:v>
      </x:c>
      <x:c r="D28" s="3" t="n">
        <x:f>ROUND(D228*D348,2)</x:f>
        <x:v>196.06</x:v>
      </x:c>
      <x:c r="E28" s="3" t="n">
        <x:f>ROUND(E228*E348,2)</x:f>
        <x:v>236.86</x:v>
      </x:c>
      <x:c r="F28" s="3" t="n">
        <x:f>ROUND(F228*F348,2)</x:f>
        <x:v>263.68</x:v>
      </x:c>
      <x:c r="G28" s="3" t="n">
        <x:f>ROUND(G228*G348,2)</x:f>
        <x:v>345.68</x:v>
      </x:c>
      <x:c r="H28" s="3" t="n">
        <x:f>ROUND(H228*H348,2)</x:f>
        <x:v>380.03</x:v>
      </x:c>
      <x:c r="I28" s="3" t="n">
        <x:f>ROUND(I228*I348,2)</x:f>
        <x:v>374.91</x:v>
      </x:c>
      <x:c r="J28" s="3" t="n">
        <x:f>ROUND(J228*J348,2)</x:f>
        <x:v>105.38</x:v>
      </x:c>
      <x:c r="K28" s="3" t="n">
        <x:f>ROUND(K228*K348,2)</x:f>
        <x:v>110.01</x:v>
      </x:c>
      <x:c r="L28" s="3" t="n">
        <x:f>ROUND(L228*L348,2)</x:f>
        <x:v>196.6</x:v>
      </x:c>
      <x:c r="M28" s="3" t="n">
        <x:f>ROUND(M228*M348,2)</x:f>
        <x:v>119.03</x:v>
      </x:c>
      <x:c r="N28" s="3" t="n">
        <x:f>ROUND(N228*N348,2)</x:f>
        <x:v>482.87</x:v>
      </x:c>
      <x:c r="O28" s="3" t="n">
        <x:f>SUM(C28:N28)</x:f>
        <x:v>3068.0000000000005</x:v>
      </x:c>
      <x:c r="P28" s="2" t="str">
        <x:v>EXP2.028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EXP2.029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470.02</x:v>
      </x:c>
      <x:c r="D30" s="6" t="n">
        <x:f>ROUND(D230*D350,2)</x:f>
        <x:v>282</x:v>
      </x:c>
      <x:c r="E30" s="6" t="n">
        <x:f>ROUND(E230*E350,2)</x:f>
        <x:v>137.32</x:v>
      </x:c>
      <x:c r="F30" s="6" t="n">
        <x:f>ROUND(F230*F350,2)</x:f>
        <x:v>51.42</x:v>
      </x:c>
      <x:c r="G30" s="6" t="n">
        <x:f>ROUND(G230*G350,2)</x:f>
        <x:v>139.09</x:v>
      </x:c>
      <x:c r="H30" s="6" t="n">
        <x:f>ROUND(H230*H350,2)</x:f>
        <x:v>54.76</x:v>
      </x:c>
      <x:c r="I30" s="6" t="n">
        <x:f>ROUND(I230*I350,2)</x:f>
        <x:v>237.11</x:v>
      </x:c>
      <x:c r="J30" s="6" t="n">
        <x:f>ROUND(J230*J350,2)</x:f>
        <x:v>77.92</x:v>
      </x:c>
      <x:c r="K30" s="6" t="n">
        <x:f>ROUND(K230*K350,2)</x:f>
        <x:v>197.21</x:v>
      </x:c>
      <x:c r="L30" s="6" t="n">
        <x:f>ROUND(L230*L350,2)</x:f>
        <x:v>195.55</x:v>
      </x:c>
      <x:c r="M30" s="6" t="n">
        <x:f>ROUND(M230*M350,2)</x:f>
        <x:v>178.33</x:v>
      </x:c>
      <x:c r="N30" s="6" t="n">
        <x:f>ROUND(N230*N350,2)</x:f>
        <x:v>474.54</x:v>
      </x:c>
      <x:c r="O30" s="6" t="n">
        <x:f>SUM(C30:N30)</x:f>
        <x:v>2495.27</x:v>
      </x:c>
      <x:c r="P30" s="2" t="str">
        <x:v>EXP2.030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386.13</x:v>
      </x:c>
      <x:c r="D31" s="3" t="n">
        <x:f>ROUND(D231*D351,2)</x:f>
        <x:v>535.21</x:v>
      </x:c>
      <x:c r="E31" s="3" t="n">
        <x:f>ROUND(E231*E351,2)</x:f>
        <x:v>111.35</x:v>
      </x:c>
      <x:c r="F31" s="3" t="n">
        <x:f>ROUND(F231*F351,2)</x:f>
        <x:v>348.21</x:v>
      </x:c>
      <x:c r="G31" s="3" t="n">
        <x:f>ROUND(G231*G351,2)</x:f>
        <x:v>349.6</x:v>
      </x:c>
      <x:c r="H31" s="3" t="n">
        <x:f>ROUND(H231*H351,2)</x:f>
        <x:v>235.12</x:v>
      </x:c>
      <x:c r="I31" s="3" t="n">
        <x:f>ROUND(I231*I351,2)</x:f>
        <x:v>271.79</x:v>
      </x:c>
      <x:c r="J31" s="3" t="n">
        <x:f>ROUND(J231*J351,2)</x:f>
        <x:v>254.99</x:v>
      </x:c>
      <x:c r="K31" s="3" t="n">
        <x:f>ROUND(K231*K351,2)</x:f>
        <x:v>71.91</x:v>
      </x:c>
      <x:c r="L31" s="3" t="n">
        <x:f>ROUND(L231*L351,2)</x:f>
        <x:v>185.51</x:v>
      </x:c>
      <x:c r="M31" s="3" t="n">
        <x:f>ROUND(M231*M351,2)</x:f>
        <x:v>340.52</x:v>
      </x:c>
      <x:c r="N31" s="3" t="n">
        <x:f>ROUND(N231*N351,2)</x:f>
        <x:v>164.7</x:v>
      </x:c>
      <x:c r="O31" s="3" t="n">
        <x:f>SUM(C31:N31)</x:f>
        <x:v>3255.0399999999995</x:v>
      </x:c>
      <x:c r="P31" s="2" t="str">
        <x:v>EXP2.031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173.99</x:v>
      </x:c>
      <x:c r="D32" s="3" t="n">
        <x:f>ROUND(D232*D352,2)</x:f>
        <x:v>380.72</x:v>
      </x:c>
      <x:c r="E32" s="3" t="n">
        <x:f>ROUND(E232*E352,2)</x:f>
        <x:v>188.22</x:v>
      </x:c>
      <x:c r="F32" s="3" t="n">
        <x:f>ROUND(F232*F352,2)</x:f>
        <x:v>388.57</x:v>
      </x:c>
      <x:c r="G32" s="3" t="n">
        <x:f>ROUND(G232*G352,2)</x:f>
        <x:v>201.53</x:v>
      </x:c>
      <x:c r="H32" s="3" t="n">
        <x:f>ROUND(H232*H352,2)</x:f>
        <x:v>293.52</x:v>
      </x:c>
      <x:c r="I32" s="3" t="n">
        <x:f>ROUND(I232*I352,2)</x:f>
        <x:v>309.85</x:v>
      </x:c>
      <x:c r="J32" s="3" t="n">
        <x:f>ROUND(J232*J352,2)</x:f>
        <x:v>263.68</x:v>
      </x:c>
      <x:c r="K32" s="3" t="n">
        <x:f>ROUND(K232*K352,2)</x:f>
        <x:v>122.21</x:v>
      </x:c>
      <x:c r="L32" s="3" t="n">
        <x:f>ROUND(L232*L352,2)</x:f>
        <x:v>89.42</x:v>
      </x:c>
      <x:c r="M32" s="3" t="n">
        <x:f>ROUND(M232*M352,2)</x:f>
        <x:v>222.44</x:v>
      </x:c>
      <x:c r="N32" s="3" t="n">
        <x:f>ROUND(N232*N352,2)</x:f>
        <x:v>283.89</x:v>
      </x:c>
      <x:c r="O32" s="3" t="n">
        <x:f>SUM(C32:N32)</x:f>
        <x:v>2918.04</x:v>
      </x:c>
      <x:c r="P32" s="2" t="str">
        <x:v>EXP2.032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141.99</x:v>
      </x:c>
      <x:c r="D33" s="3" t="n">
        <x:f>ROUND(D233*D353,2)</x:f>
        <x:v>429.83</x:v>
      </x:c>
      <x:c r="E33" s="3" t="n">
        <x:f>ROUND(E233*E353,2)</x:f>
        <x:v>308.75</x:v>
      </x:c>
      <x:c r="F33" s="3" t="n">
        <x:f>ROUND(F233*F353,2)</x:f>
        <x:v>239.48</x:v>
      </x:c>
      <x:c r="G33" s="3" t="n">
        <x:f>ROUND(G233*G353,2)</x:f>
        <x:v>325.63</x:v>
      </x:c>
      <x:c r="H33" s="3" t="n">
        <x:f>ROUND(H233*H353,2)</x:f>
        <x:v>171.47</x:v>
      </x:c>
      <x:c r="I33" s="3" t="n">
        <x:f>ROUND(I233*I353,2)</x:f>
        <x:v>194.34</x:v>
      </x:c>
      <x:c r="J33" s="3" t="n">
        <x:f>ROUND(J233*J353,2)</x:f>
        <x:v>222.35</x:v>
      </x:c>
      <x:c r="K33" s="3" t="n">
        <x:f>ROUND(K233*K353,2)</x:f>
        <x:v>155.99</x:v>
      </x:c>
      <x:c r="L33" s="3" t="n">
        <x:f>ROUND(L233*L353,2)</x:f>
        <x:v>385.58</x:v>
      </x:c>
      <x:c r="M33" s="3" t="n">
        <x:f>ROUND(M233*M353,2)</x:f>
        <x:v>161.27</x:v>
      </x:c>
      <x:c r="N33" s="3" t="n">
        <x:f>ROUND(N233*N353,2)</x:f>
        <x:v>171.84</x:v>
      </x:c>
      <x:c r="O33" s="3" t="n">
        <x:f>SUM(C33:N33)</x:f>
        <x:v>2908.52</x:v>
      </x:c>
      <x:c r="P33" s="2" t="str">
        <x:v>EXP2.033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7229.37</x:v>
      </x:c>
      <x:c r="D34" s="3" t="n">
        <x:f>SUM(D4:D33)</x:f>
        <x:v>7642.030000000002</x:v>
      </x:c>
      <x:c r="E34" s="3" t="n">
        <x:f>SUM(E4:E33)</x:f>
        <x:v>7846.85</x:v>
      </x:c>
      <x:c r="F34" s="3" t="n">
        <x:f>SUM(F4:F33)</x:f>
        <x:v>7408.47</x:v>
      </x:c>
      <x:c r="G34" s="3" t="n">
        <x:f>SUM(G4:G33)</x:f>
        <x:v>7318.300000000002</x:v>
      </x:c>
      <x:c r="H34" s="3" t="n">
        <x:f>SUM(H4:H33)</x:f>
        <x:v>6696.14</x:v>
      </x:c>
      <x:c r="I34" s="3" t="n">
        <x:f>SUM(I4:I33)</x:f>
        <x:v>7100</x:v>
      </x:c>
      <x:c r="J34" s="3" t="n">
        <x:f>SUM(J4:J33)</x:f>
        <x:v>6869.450000000002</x:v>
      </x:c>
      <x:c r="K34" s="3" t="n">
        <x:f>SUM(K4:K33)</x:f>
        <x:v>6714.9</x:v>
      </x:c>
      <x:c r="L34" s="3" t="n">
        <x:f>SUM(L4:L33)</x:f>
        <x:v>6729.85</x:v>
      </x:c>
      <x:c r="M34" s="3" t="n">
        <x:f>SUM(M4:M33)</x:f>
        <x:v>7282.789999999996</x:v>
      </x:c>
      <x:c r="N34" s="3" t="n">
        <x:f>SUM(N4:N33)</x:f>
        <x:v>8482.65</x:v>
      </x:c>
      <x:c r="O34" s="3" t="n">
        <x:f>SUM(C34:N34)</x:f>
        <x:v>87320.8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59.54</x:v>
      </x:c>
      <x:c r="D204" s="4" t="n">
        <x:v>36.04</x:v>
      </x:c>
      <x:c r="E204" s="4" t="n">
        <x:v>29.06</x:v>
      </x:c>
      <x:c r="F204" s="4" t="n">
        <x:v>52.08</x:v>
      </x:c>
      <x:c r="G204" s="4" t="n">
        <x:v>17.62</x:v>
      </x:c>
      <x:c r="H204" s="4" t="n">
        <x:v>59.89</x:v>
      </x:c>
      <x:c r="I204" s="4" t="n">
        <x:v>40.42</x:v>
      </x:c>
      <x:c r="J204" s="4" t="n">
        <x:v>28.21</x:v>
      </x:c>
      <x:c r="K204" s="4" t="n">
        <x:v>61.39</x:v>
      </x:c>
      <x:c r="L204" s="4" t="n">
        <x:v>44.74</x:v>
      </x:c>
      <x:c r="M204" s="4" t="n">
        <x:v>63.86</x:v>
      </x:c>
      <x:c r="N204" s="4" t="n">
        <x:v>57.63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66.97</x:v>
      </x:c>
      <x:c r="D205" s="4" t="n">
        <x:v>42.68</x:v>
      </x:c>
      <x:c r="E205" s="4" t="n">
        <x:v>58.21</x:v>
      </x:c>
      <x:c r="F205" s="4" t="n">
        <x:v>23.5</x:v>
      </x:c>
      <x:c r="G205" s="4" t="n">
        <x:v>57.12</x:v>
      </x:c>
      <x:c r="H205" s="4" t="n">
        <x:v>36.85</x:v>
      </x:c>
      <x:c r="I205" s="4" t="n">
        <x:v>33.6</x:v>
      </x:c>
      <x:c r="J205" s="4" t="n">
        <x:v>40.68</x:v>
      </x:c>
      <x:c r="K205" s="4" t="n">
        <x:v>45.26</x:v>
      </x:c>
      <x:c r="L205" s="4" t="n">
        <x:v>53.26</x:v>
      </x:c>
      <x:c r="M205" s="4" t="n">
        <x:v>36.22</x:v>
      </x:c>
      <x:c r="N205" s="4" t="n">
        <x:v>33.04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40.03</x:v>
      </x:c>
      <x:c r="D206" s="4" t="n">
        <x:v>25.71</x:v>
      </x:c>
      <x:c r="E206" s="4" t="n">
        <x:v>50.32</x:v>
      </x:c>
      <x:c r="F206" s="4" t="n">
        <x:v>44.33</x:v>
      </x:c>
      <x:c r="G206" s="4" t="n">
        <x:v>46.1</x:v>
      </x:c>
      <x:c r="H206" s="4" t="n">
        <x:v>54.35</x:v>
      </x:c>
      <x:c r="I206" s="4" t="n">
        <x:v>20.73</x:v>
      </x:c>
      <x:c r="J206" s="4" t="n">
        <x:v>26.82</x:v>
      </x:c>
      <x:c r="K206" s="4" t="n">
        <x:v>22.61</x:v>
      </x:c>
      <x:c r="L206" s="4" t="n">
        <x:v>45.68</x:v>
      </x:c>
      <x:c r="M206" s="4" t="n">
        <x:v>35.1</x:v>
      </x:c>
      <x:c r="N206" s="4" t="n">
        <x:v>38.34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31.59</x:v>
      </x:c>
      <x:c r="D207" s="4" t="n">
        <x:v>19.79</x:v>
      </x:c>
      <x:c r="E207" s="4" t="n">
        <x:v>27.85</x:v>
      </x:c>
      <x:c r="F207" s="4" t="n">
        <x:v>67.57</x:v>
      </x:c>
      <x:c r="G207" s="4" t="n">
        <x:v>19.46</x:v>
      </x:c>
      <x:c r="H207" s="4" t="n">
        <x:v>53.82</x:v>
      </x:c>
      <x:c r="I207" s="4" t="n">
        <x:v>62.71</x:v>
      </x:c>
      <x:c r="J207" s="4" t="n">
        <x:v>53.87</x:v>
      </x:c>
      <x:c r="K207" s="4" t="n">
        <x:v>60.48</x:v>
      </x:c>
      <x:c r="L207" s="4" t="n">
        <x:v>60.5</x:v>
      </x:c>
      <x:c r="M207" s="4" t="n">
        <x:v>67.46</x:v>
      </x:c>
      <x:c r="N207" s="4" t="n">
        <x:v>62.13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19.83</x:v>
      </x:c>
      <x:c r="D208" s="4" t="n">
        <x:v>63.61</x:v>
      </x:c>
      <x:c r="E208" s="4" t="n">
        <x:v>60.55</x:v>
      </x:c>
      <x:c r="F208" s="4" t="n">
        <x:v>35.04</x:v>
      </x:c>
      <x:c r="G208" s="4" t="n">
        <x:v>31.77</x:v>
      </x:c>
      <x:c r="H208" s="4" t="n">
        <x:v>55.14</x:v>
      </x:c>
      <x:c r="I208" s="4" t="n">
        <x:v>42.98</x:v>
      </x:c>
      <x:c r="J208" s="4" t="n">
        <x:v>52.27</x:v>
      </x:c>
      <x:c r="K208" s="4" t="n">
        <x:v>61.2</x:v>
      </x:c>
      <x:c r="L208" s="4" t="n">
        <x:v>55.26</x:v>
      </x:c>
      <x:c r="M208" s="4" t="n">
        <x:v>21.27</x:v>
      </x:c>
      <x:c r="N208" s="4" t="n">
        <x:v>58.98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50.3</x:v>
      </x:c>
      <x:c r="D209" s="4" t="n">
        <x:v>29.6</x:v>
      </x:c>
      <x:c r="E209" s="4" t="n">
        <x:v>54.07</x:v>
      </x:c>
      <x:c r="F209" s="4" t="n">
        <x:v>43.85</x:v>
      </x:c>
      <x:c r="G209" s="4" t="n">
        <x:v>43.99</x:v>
      </x:c>
      <x:c r="H209" s="4" t="n">
        <x:v>32.79</x:v>
      </x:c>
      <x:c r="I209" s="4" t="n">
        <x:v>40.96</x:v>
      </x:c>
      <x:c r="J209" s="4" t="n">
        <x:v>45.5</x:v>
      </x:c>
      <x:c r="K209" s="4" t="n">
        <x:v>38.02</x:v>
      </x:c>
      <x:c r="L209" s="4" t="n">
        <x:v>27.84</x:v>
      </x:c>
      <x:c r="M209" s="4" t="n">
        <x:v>40.65</x:v>
      </x:c>
      <x:c r="N209" s="4" t="n">
        <x:v>32.52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44.17</x:v>
      </x:c>
      <x:c r="D210" s="4" t="n">
        <x:v>50.65</x:v>
      </x:c>
      <x:c r="E210" s="4" t="n">
        <x:v>21.69</x:v>
      </x:c>
      <x:c r="F210" s="4" t="n">
        <x:v>64.42</x:v>
      </x:c>
      <x:c r="G210" s="4" t="n">
        <x:v>67.01</x:v>
      </x:c>
      <x:c r="H210" s="4" t="n">
        <x:v>54.07</x:v>
      </x:c>
      <x:c r="I210" s="4" t="n">
        <x:v>41.6</x:v>
      </x:c>
      <x:c r="J210" s="4" t="n">
        <x:v>17.63</x:v>
      </x:c>
      <x:c r="K210" s="4" t="n">
        <x:v>34.61</x:v>
      </x:c>
      <x:c r="L210" s="4" t="n">
        <x:v>51.61</x:v>
      </x:c>
      <x:c r="M210" s="4" t="n">
        <x:v>22.06</x:v>
      </x:c>
      <x:c r="N210" s="4" t="n">
        <x:v>66.97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33.56</x:v>
      </x:c>
      <x:c r="D211" s="4" t="n">
        <x:v>67.57</x:v>
      </x:c>
      <x:c r="E211" s="4" t="n">
        <x:v>27</x:v>
      </x:c>
      <x:c r="F211" s="4" t="n">
        <x:v>26.54</x:v>
      </x:c>
      <x:c r="G211" s="4" t="n">
        <x:v>21.14</x:v>
      </x:c>
      <x:c r="H211" s="4" t="n">
        <x:v>63.24</x:v>
      </x:c>
      <x:c r="I211" s="4" t="n">
        <x:v>20.9</x:v>
      </x:c>
      <x:c r="J211" s="4" t="n">
        <x:v>48.68</x:v>
      </x:c>
      <x:c r="K211" s="4" t="n">
        <x:v>30.45</x:v>
      </x:c>
      <x:c r="L211" s="4" t="n">
        <x:v>27.25</x:v>
      </x:c>
      <x:c r="M211" s="4" t="n">
        <x:v>28.83</x:v>
      </x:c>
      <x:c r="N211" s="4" t="n">
        <x:v>63.15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29.18</x:v>
      </x:c>
      <x:c r="D212" s="4" t="n">
        <x:v>21.97</x:v>
      </x:c>
      <x:c r="E212" s="4" t="n">
        <x:v>59.2</x:v>
      </x:c>
      <x:c r="F212" s="4" t="n">
        <x:v>40.86</x:v>
      </x:c>
      <x:c r="G212" s="4" t="n">
        <x:v>24.73</x:v>
      </x:c>
      <x:c r="H212" s="4" t="n">
        <x:v>19.24</x:v>
      </x:c>
      <x:c r="I212" s="4" t="n">
        <x:v>65.05</x:v>
      </x:c>
      <x:c r="J212" s="4" t="n">
        <x:v>30.58</x:v>
      </x:c>
      <x:c r="K212" s="4" t="n">
        <x:v>57.26</x:v>
      </x:c>
      <x:c r="L212" s="4" t="n">
        <x:v>38.59</x:v>
      </x:c>
      <x:c r="M212" s="4" t="n">
        <x:v>59.4</x:v>
      </x:c>
      <x:c r="N212" s="4" t="n">
        <x:v>63.43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37.76</x:v>
      </x:c>
      <x:c r="D213" s="4" t="n">
        <x:v>63.58</x:v>
      </x:c>
      <x:c r="E213" s="4" t="n">
        <x:v>37.65</x:v>
      </x:c>
      <x:c r="F213" s="4" t="n">
        <x:v>18.54</x:v>
      </x:c>
      <x:c r="G213" s="4" t="n">
        <x:v>53.86</x:v>
      </x:c>
      <x:c r="H213" s="4" t="n">
        <x:v>67.06</x:v>
      </x:c>
      <x:c r="I213" s="4" t="n">
        <x:v>36.61</x:v>
      </x:c>
      <x:c r="J213" s="4" t="n">
        <x:v>34.03</x:v>
      </x:c>
      <x:c r="K213" s="4" t="n">
        <x:v>49.93</x:v>
      </x:c>
      <x:c r="L213" s="4" t="n">
        <x:v>41.91</x:v>
      </x:c>
      <x:c r="M213" s="4" t="n">
        <x:v>50.88</x:v>
      </x:c>
      <x:c r="N213" s="4" t="n">
        <x:v>55.26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54.64</x:v>
      </x:c>
      <x:c r="D214" s="4" t="n">
        <x:v>55.88</x:v>
      </x:c>
      <x:c r="E214" s="4" t="n">
        <x:v>20.48</x:v>
      </x:c>
      <x:c r="F214" s="4" t="n">
        <x:v>38.83</x:v>
      </x:c>
      <x:c r="G214" s="4" t="n">
        <x:v>28.97</x:v>
      </x:c>
      <x:c r="H214" s="4" t="n">
        <x:v>21.03</x:v>
      </x:c>
      <x:c r="I214" s="4" t="n">
        <x:v>50.07</x:v>
      </x:c>
      <x:c r="J214" s="4" t="n">
        <x:v>54.84</x:v>
      </x:c>
      <x:c r="K214" s="4" t="n">
        <x:v>31.1</x:v>
      </x:c>
      <x:c r="L214" s="4" t="n">
        <x:v>51.23</x:v>
      </x:c>
      <x:c r="M214" s="4" t="n">
        <x:v>52.17</x:v>
      </x:c>
      <x:c r="N214" s="4" t="n">
        <x:v>59.05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40.96</x:v>
      </x:c>
      <x:c r="D215" s="4" t="n">
        <x:v>39.6</x:v>
      </x:c>
      <x:c r="E215" s="4" t="n">
        <x:v>57.27</x:v>
      </x:c>
      <x:c r="F215" s="4" t="n">
        <x:v>58.5</x:v>
      </x:c>
      <x:c r="G215" s="4" t="n">
        <x:v>39.28</x:v>
      </x:c>
      <x:c r="H215" s="4" t="n">
        <x:v>62.21</x:v>
      </x:c>
      <x:c r="I215" s="4" t="n">
        <x:v>52.28</x:v>
      </x:c>
      <x:c r="J215" s="4" t="n">
        <x:v>66.54</x:v>
      </x:c>
      <x:c r="K215" s="4" t="n">
        <x:v>24.87</x:v>
      </x:c>
      <x:c r="L215" s="4" t="n">
        <x:v>25.13</x:v>
      </x:c>
      <x:c r="M215" s="4" t="n">
        <x:v>55.37</x:v>
      </x:c>
      <x:c r="N215" s="4" t="n">
        <x:v>39.34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48.85</x:v>
      </x:c>
      <x:c r="D216" s="4" t="n">
        <x:v>27.94</x:v>
      </x:c>
      <x:c r="E216" s="4" t="n">
        <x:v>30.27</x:v>
      </x:c>
      <x:c r="F216" s="4" t="n">
        <x:v>50.4</x:v>
      </x:c>
      <x:c r="G216" s="4" t="n">
        <x:v>28.91</x:v>
      </x:c>
      <x:c r="H216" s="4" t="n">
        <x:v>39.85</x:v>
      </x:c>
      <x:c r="I216" s="4" t="n">
        <x:v>25.06</x:v>
      </x:c>
      <x:c r="J216" s="4" t="n">
        <x:v>38.59</x:v>
      </x:c>
      <x:c r="K216" s="4" t="n">
        <x:v>48.93</x:v>
      </x:c>
      <x:c r="L216" s="4" t="n">
        <x:v>62.94</x:v>
      </x:c>
      <x:c r="M216" s="4" t="n">
        <x:v>57.58</x:v>
      </x:c>
      <x:c r="N216" s="4" t="n">
        <x:v>63.62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17.7</x:v>
      </x:c>
      <x:c r="D217" s="4" t="n">
        <x:v>36.36</x:v>
      </x:c>
      <x:c r="E217" s="4" t="n">
        <x:v>51.11</x:v>
      </x:c>
      <x:c r="F217" s="4" t="n">
        <x:v>24.94</x:v>
      </x:c>
      <x:c r="G217" s="4" t="n">
        <x:v>21.57</x:v>
      </x:c>
      <x:c r="H217" s="4" t="n">
        <x:v>51.99</x:v>
      </x:c>
      <x:c r="I217" s="4" t="n">
        <x:v>46.43</x:v>
      </x:c>
      <x:c r="J217" s="4" t="n">
        <x:v>49.39</x:v>
      </x:c>
      <x:c r="K217" s="4" t="n">
        <x:v>29.04</x:v>
      </x:c>
      <x:c r="L217" s="4" t="n">
        <x:v>54.33</x:v>
      </x:c>
      <x:c r="M217" s="4" t="n">
        <x:v>38.73</x:v>
      </x:c>
      <x:c r="N217" s="4" t="n">
        <x:v>17.75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22.19</x:v>
      </x:c>
      <x:c r="D218" s="4" t="n">
        <x:v>64.06</x:v>
      </x:c>
      <x:c r="E218" s="4" t="n">
        <x:v>59.3</x:v>
      </x:c>
      <x:c r="F218" s="4" t="n">
        <x:v>34.73</x:v>
      </x:c>
      <x:c r="G218" s="4" t="n">
        <x:v>30.68</x:v>
      </x:c>
      <x:c r="H218" s="4" t="n">
        <x:v>32.63</x:v>
      </x:c>
      <x:c r="I218" s="4" t="n">
        <x:v>42.35</x:v>
      </x:c>
      <x:c r="J218" s="4" t="n">
        <x:v>42.39</x:v>
      </x:c>
      <x:c r="K218" s="4" t="n">
        <x:v>63.28</x:v>
      </x:c>
      <x:c r="L218" s="4" t="n">
        <x:v>18.75</x:v>
      </x:c>
      <x:c r="M218" s="4" t="n">
        <x:v>22.85</x:v>
      </x:c>
      <x:c r="N218" s="4" t="n">
        <x:v>61.18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27.71</x:v>
      </x:c>
      <x:c r="D219" s="4" t="n">
        <x:v>35.53</x:v>
      </x:c>
      <x:c r="E219" s="4" t="n">
        <x:v>62.96</x:v>
      </x:c>
      <x:c r="F219" s="4" t="n">
        <x:v>19.6</x:v>
      </x:c>
      <x:c r="G219" s="4" t="n">
        <x:v>64.08</x:v>
      </x:c>
      <x:c r="H219" s="4" t="n">
        <x:v>55.8</x:v>
      </x:c>
      <x:c r="I219" s="4" t="n">
        <x:v>17.49</x:v>
      </x:c>
      <x:c r="J219" s="4" t="n">
        <x:v>46.35</x:v>
      </x:c>
      <x:c r="K219" s="4" t="n">
        <x:v>25.4</x:v>
      </x:c>
      <x:c r="L219" s="4" t="n">
        <x:v>26.74</x:v>
      </x:c>
      <x:c r="M219" s="4" t="n">
        <x:v>39.3</x:v>
      </x:c>
      <x:c r="N219" s="4" t="n">
        <x:v>59.44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47.73</x:v>
      </x:c>
      <x:c r="D221" s="4" t="n">
        <x:v>61.05</x:v>
      </x:c>
      <x:c r="E221" s="4" t="n">
        <x:v>33.08</x:v>
      </x:c>
      <x:c r="F221" s="4" t="n">
        <x:v>51.16</x:v>
      </x:c>
      <x:c r="G221" s="4" t="n">
        <x:v>50.61</x:v>
      </x:c>
      <x:c r="H221" s="4" t="n">
        <x:v>52.23</x:v>
      </x:c>
      <x:c r="I221" s="4" t="n">
        <x:v>39.85</x:v>
      </x:c>
      <x:c r="J221" s="4" t="n">
        <x:v>20.05</x:v>
      </x:c>
      <x:c r="K221" s="4" t="n">
        <x:v>65.92</x:v>
      </x:c>
      <x:c r="L221" s="4" t="n">
        <x:v>39.1</x:v>
      </x:c>
      <x:c r="M221" s="4" t="n">
        <x:v>50.07</x:v>
      </x:c>
      <x:c r="N221" s="4" t="n">
        <x:v>35.85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58.86</x:v>
      </x:c>
      <x:c r="D222" s="4" t="n">
        <x:v>30.23</x:v>
      </x:c>
      <x:c r="E222" s="4" t="n">
        <x:v>17.43</x:v>
      </x:c>
      <x:c r="F222" s="4" t="n">
        <x:v>43.61</x:v>
      </x:c>
      <x:c r="G222" s="4" t="n">
        <x:v>35.39</x:v>
      </x:c>
      <x:c r="H222" s="4" t="n">
        <x:v>20.76</x:v>
      </x:c>
      <x:c r="I222" s="4" t="n">
        <x:v>33.89</x:v>
      </x:c>
      <x:c r="J222" s="4" t="n">
        <x:v>56.29</x:v>
      </x:c>
      <x:c r="K222" s="4" t="n">
        <x:v>51.02</x:v>
      </x:c>
      <x:c r="L222" s="4" t="n">
        <x:v>66.36</x:v>
      </x:c>
      <x:c r="M222" s="4" t="n">
        <x:v>53.06</x:v>
      </x:c>
      <x:c r="N222" s="4" t="n">
        <x:v>43.24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67.21</x:v>
      </x:c>
      <x:c r="D223" s="4" t="n">
        <x:v>41.58</x:v>
      </x:c>
      <x:c r="E223" s="4" t="n">
        <x:v>58.63</x:v>
      </x:c>
      <x:c r="F223" s="4" t="n">
        <x:v>18.91</x:v>
      </x:c>
      <x:c r="G223" s="4" t="n">
        <x:v>66.37</x:v>
      </x:c>
      <x:c r="H223" s="4" t="n">
        <x:v>65.92</x:v>
      </x:c>
      <x:c r="I223" s="4" t="n">
        <x:v>38.7</x:v>
      </x:c>
      <x:c r="J223" s="4" t="n">
        <x:v>62.95</x:v>
      </x:c>
      <x:c r="K223" s="4" t="n">
        <x:v>25.25</x:v>
      </x:c>
      <x:c r="L223" s="4" t="n">
        <x:v>24.26</x:v>
      </x:c>
      <x:c r="M223" s="4" t="n">
        <x:v>52.38</x:v>
      </x:c>
      <x:c r="N223" s="4" t="n">
        <x:v>49.3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17.87</x:v>
      </x:c>
      <x:c r="D224" s="4" t="n">
        <x:v>46.19</x:v>
      </x:c>
      <x:c r="E224" s="4" t="n">
        <x:v>42.03</x:v>
      </x:c>
      <x:c r="F224" s="4" t="n">
        <x:v>38.85</x:v>
      </x:c>
      <x:c r="G224" s="4" t="n">
        <x:v>17.49</x:v>
      </x:c>
      <x:c r="H224" s="4" t="n">
        <x:v>20.08</x:v>
      </x:c>
      <x:c r="I224" s="4" t="n">
        <x:v>45.04</x:v>
      </x:c>
      <x:c r="J224" s="4" t="n">
        <x:v>60.96</x:v>
      </x:c>
      <x:c r="K224" s="4" t="n">
        <x:v>57.64</x:v>
      </x:c>
      <x:c r="L224" s="4" t="n">
        <x:v>18.52</x:v>
      </x:c>
      <x:c r="M224" s="4" t="n">
        <x:v>37.65</x:v>
      </x:c>
      <x:c r="N224" s="4" t="n">
        <x:v>37.47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54.77</x:v>
      </x:c>
      <x:c r="D225" s="4" t="n">
        <x:v>35.11</x:v>
      </x:c>
      <x:c r="E225" s="4" t="n">
        <x:v>67.78</x:v>
      </x:c>
      <x:c r="F225" s="4" t="n">
        <x:v>35.99</x:v>
      </x:c>
      <x:c r="G225" s="4" t="n">
        <x:v>61.81</x:v>
      </x:c>
      <x:c r="H225" s="4" t="n">
        <x:v>46.99</x:v>
      </x:c>
      <x:c r="I225" s="4" t="n">
        <x:v>45.51</x:v>
      </x:c>
      <x:c r="J225" s="4" t="n">
        <x:v>51.52</x:v>
      </x:c>
      <x:c r="K225" s="4" t="n">
        <x:v>35.24</x:v>
      </x:c>
      <x:c r="L225" s="4" t="n">
        <x:v>17.75</x:v>
      </x:c>
      <x:c r="M225" s="4" t="n">
        <x:v>23.63</x:v>
      </x:c>
      <x:c r="N225" s="4" t="n">
        <x:v>29.51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47.24</x:v>
      </x:c>
      <x:c r="D226" s="4" t="n">
        <x:v>56.46</x:v>
      </x:c>
      <x:c r="E226" s="4" t="n">
        <x:v>34.85</x:v>
      </x:c>
      <x:c r="F226" s="4" t="n">
        <x:v>39.46</x:v>
      </x:c>
      <x:c r="G226" s="4" t="n">
        <x:v>42.88</x:v>
      </x:c>
      <x:c r="H226" s="4" t="n">
        <x:v>29.12</x:v>
      </x:c>
      <x:c r="I226" s="4" t="n">
        <x:v>62.25</x:v>
      </x:c>
      <x:c r="J226" s="4" t="n">
        <x:v>36.27</x:v>
      </x:c>
      <x:c r="K226" s="4" t="n">
        <x:v>37.98</x:v>
      </x:c>
      <x:c r="L226" s="4" t="n">
        <x:v>43.08</x:v>
      </x:c>
      <x:c r="M226" s="4" t="n">
        <x:v>52.33</x:v>
      </x:c>
      <x:c r="N226" s="4" t="n">
        <x:v>26.53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40.78</x:v>
      </x:c>
      <x:c r="D227" s="4" t="n">
        <x:v>47.73</x:v>
      </x:c>
      <x:c r="E227" s="4" t="n">
        <x:v>58.29</x:v>
      </x:c>
      <x:c r="F227" s="4" t="n">
        <x:v>47.68</x:v>
      </x:c>
      <x:c r="G227" s="4" t="n">
        <x:v>20.62</x:v>
      </x:c>
      <x:c r="H227" s="4" t="n">
        <x:v>24.3</x:v>
      </x:c>
      <x:c r="I227" s="4" t="n">
        <x:v>59.63</x:v>
      </x:c>
      <x:c r="J227" s="4" t="n">
        <x:v>24.25</x:v>
      </x:c>
      <x:c r="K227" s="4" t="n">
        <x:v>66.9</x:v>
      </x:c>
      <x:c r="L227" s="4" t="n">
        <x:v>42.33</x:v>
      </x:c>
      <x:c r="M227" s="4" t="n">
        <x:v>24.12</x:v>
      </x:c>
      <x:c r="N227" s="4" t="n">
        <x:v>66.09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33.58</x:v>
      </x:c>
      <x:c r="D228" s="4" t="n">
        <x:v>52.99</x:v>
      </x:c>
      <x:c r="E228" s="4" t="n">
        <x:v>44.69</x:v>
      </x:c>
      <x:c r="F228" s="4" t="n">
        <x:v>36.42</x:v>
      </x:c>
      <x:c r="G228" s="4" t="n">
        <x:v>60.54</x:v>
      </x:c>
      <x:c r="H228" s="4" t="n">
        <x:v>59.66</x:v>
      </x:c>
      <x:c r="I228" s="4" t="n">
        <x:v>63.33</x:v>
      </x:c>
      <x:c r="J228" s="4" t="n">
        <x:v>46.22</x:v>
      </x:c>
      <x:c r="K228" s="4" t="n">
        <x:v>18.87</x:v>
      </x:c>
      <x:c r="L228" s="4" t="n">
        <x:v>59.04</x:v>
      </x:c>
      <x:c r="M228" s="4" t="n">
        <x:v>25.99</x:v>
      </x:c>
      <x:c r="N228" s="4" t="n">
        <x:v>55.63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62.09</x:v>
      </x:c>
      <x:c r="D230" s="4" t="n">
        <x:v>44.27</x:v>
      </x:c>
      <x:c r="E230" s="4" t="n">
        <x:v>61.03</x:v>
      </x:c>
      <x:c r="F230" s="4" t="n">
        <x:v>23.48</x:v>
      </x:c>
      <x:c r="G230" s="4" t="n">
        <x:v>42.93</x:v>
      </x:c>
      <x:c r="H230" s="4" t="n">
        <x:v>18.5</x:v>
      </x:c>
      <x:c r="I230" s="4" t="n">
        <x:v>29.75</x:v>
      </x:c>
      <x:c r="J230" s="4" t="n">
        <x:v>18.42</x:v>
      </x:c>
      <x:c r="K230" s="4" t="n">
        <x:v>24.62</x:v>
      </x:c>
      <x:c r="L230" s="4" t="n">
        <x:v>56.68</x:v>
      </x:c>
      <x:c r="M230" s="4" t="n">
        <x:v>51.69</x:v>
      </x:c>
      <x:c r="N230" s="4" t="n">
        <x:v>53.56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51.76</x:v>
      </x:c>
      <x:c r="D231" s="4" t="n">
        <x:v>65.75</x:v>
      </x:c>
      <x:c r="E231" s="4" t="n">
        <x:v>44.72</x:v>
      </x:c>
      <x:c r="F231" s="4" t="n">
        <x:v>55.01</x:v>
      </x:c>
      <x:c r="G231" s="4" t="n">
        <x:v>53.95</x:v>
      </x:c>
      <x:c r="H231" s="4" t="n">
        <x:v>37.5</x:v>
      </x:c>
      <x:c r="I231" s="4" t="n">
        <x:v>66.13</x:v>
      </x:c>
      <x:c r="J231" s="4" t="n">
        <x:v>40.41</x:v>
      </x:c>
      <x:c r="K231" s="4" t="n">
        <x:v>18.63</x:v>
      </x:c>
      <x:c r="L231" s="4" t="n">
        <x:v>30.97</x:v>
      </x:c>
      <x:c r="M231" s="4" t="n">
        <x:v>57.52</x:v>
      </x:c>
      <x:c r="N231" s="4" t="n">
        <x:v>47.6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25.07</x:v>
      </x:c>
      <x:c r="D232" s="4" t="n">
        <x:v>59.21</x:v>
      </x:c>
      <x:c r="E232" s="4" t="n">
        <x:v>27.2</x:v>
      </x:c>
      <x:c r="F232" s="4" t="n">
        <x:v>66.88</x:v>
      </x:c>
      <x:c r="G232" s="4" t="n">
        <x:v>24.88</x:v>
      </x:c>
      <x:c r="H232" s="4" t="n">
        <x:v>51.95</x:v>
      </x:c>
      <x:c r="I232" s="4" t="n">
        <x:v>38.3</x:v>
      </x:c>
      <x:c r="J232" s="4" t="n">
        <x:v>48.47</x:v>
      </x:c>
      <x:c r="K232" s="4" t="n">
        <x:v>36.92</x:v>
      </x:c>
      <x:c r="L232" s="4" t="n">
        <x:v>40.1</x:v>
      </x:c>
      <x:c r="M232" s="4" t="n">
        <x:v>27.91</x:v>
      </x:c>
      <x:c r="N232" s="4" t="n">
        <x:v>34.08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60.94</x:v>
      </x:c>
      <x:c r="D233" s="4" t="n">
        <x:v>58.8</x:v>
      </x:c>
      <x:c r="E233" s="4" t="n">
        <x:v>63.14</x:v>
      </x:c>
      <x:c r="F233" s="4" t="n">
        <x:v>48.38</x:v>
      </x:c>
      <x:c r="G233" s="4" t="n">
        <x:v>36.67</x:v>
      </x:c>
      <x:c r="H233" s="4" t="n">
        <x:v>42.13</x:v>
      </x:c>
      <x:c r="I233" s="4" t="n">
        <x:v>29.58</x:v>
      </x:c>
      <x:c r="J233" s="4" t="n">
        <x:v>65.98</x:v>
      </x:c>
      <x:c r="K233" s="4" t="n">
        <x:v>19.14</x:v>
      </x:c>
      <x:c r="L233" s="4" t="n">
        <x:v>58.07</x:v>
      </x:c>
      <x:c r="M233" s="4" t="n">
        <x:v>19.36</x:v>
      </x:c>
      <x:c r="N233" s="4" t="n">
        <x:v>21.32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7.31</x:v>
      </x:c>
      <x:c r="D324" s="4" t="n">
        <x:v>3.95</x:v>
      </x:c>
      <x:c r="E324" s="4" t="n">
        <x:v>4.68</x:v>
      </x:c>
      <x:c r="F324" s="4" t="n">
        <x:v>6.23</x:v>
      </x:c>
      <x:c r="G324" s="4" t="n">
        <x:v>8.68</x:v>
      </x:c>
      <x:c r="H324" s="4" t="n">
        <x:v>3.37</x:v>
      </x:c>
      <x:c r="I324" s="4" t="n">
        <x:v>2.46</x:v>
      </x:c>
      <x:c r="J324" s="4" t="n">
        <x:v>6.76</x:v>
      </x:c>
      <x:c r="K324" s="4" t="n">
        <x:v>3.13</x:v>
      </x:c>
      <x:c r="L324" s="4" t="n">
        <x:v>3.71</x:v>
      </x:c>
      <x:c r="M324" s="4" t="n">
        <x:v>7.22</x:v>
      </x:c>
      <x:c r="N324" s="4" t="n">
        <x:v>6.68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2.21</x:v>
      </x:c>
      <x:c r="D325" s="4" t="n">
        <x:v>5.05</x:v>
      </x:c>
      <x:c r="E325" s="4" t="n">
        <x:v>6.15</x:v>
      </x:c>
      <x:c r="F325" s="4" t="n">
        <x:v>4.62</x:v>
      </x:c>
      <x:c r="G325" s="4" t="n">
        <x:v>6.9</x:v>
      </x:c>
      <x:c r="H325" s="4" t="n">
        <x:v>3.8</x:v>
      </x:c>
      <x:c r="I325" s="4" t="n">
        <x:v>2.24</x:v>
      </x:c>
      <x:c r="J325" s="4" t="n">
        <x:v>5.09</x:v>
      </x:c>
      <x:c r="K325" s="4" t="n">
        <x:v>6.79</x:v>
      </x:c>
      <x:c r="L325" s="4" t="n">
        <x:v>2.22</x:v>
      </x:c>
      <x:c r="M325" s="4" t="n">
        <x:v>8.77</x:v>
      </x:c>
      <x:c r="N325" s="4" t="n">
        <x:v>4.83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3.09</x:v>
      </x:c>
      <x:c r="D326" s="4" t="n">
        <x:v>2.47</x:v>
      </x:c>
      <x:c r="E326" s="4" t="n">
        <x:v>3.77</x:v>
      </x:c>
      <x:c r="F326" s="4" t="n">
        <x:v>7.31</x:v>
      </x:c>
      <x:c r="G326" s="4" t="n">
        <x:v>6.73</x:v>
      </x:c>
      <x:c r="H326" s="4" t="n">
        <x:v>2.56</x:v>
      </x:c>
      <x:c r="I326" s="4" t="n">
        <x:v>2.9</x:v>
      </x:c>
      <x:c r="J326" s="4" t="n">
        <x:v>4.33</x:v>
      </x:c>
      <x:c r="K326" s="4" t="n">
        <x:v>3.25</x:v>
      </x:c>
      <x:c r="L326" s="4" t="n">
        <x:v>5.56</x:v>
      </x:c>
      <x:c r="M326" s="4" t="n">
        <x:v>5.38</x:v>
      </x:c>
      <x:c r="N326" s="4" t="n">
        <x:v>5.32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6.07</x:v>
      </x:c>
      <x:c r="D327" s="4" t="n">
        <x:v>7.54</x:v>
      </x:c>
      <x:c r="E327" s="4" t="n">
        <x:v>7.87</x:v>
      </x:c>
      <x:c r="F327" s="4" t="n">
        <x:v>6.15</x:v>
      </x:c>
      <x:c r="G327" s="4" t="n">
        <x:v>7.48</x:v>
      </x:c>
      <x:c r="H327" s="4" t="n">
        <x:v>7.11</x:v>
      </x:c>
      <x:c r="I327" s="4" t="n">
        <x:v>7.67</x:v>
      </x:c>
      <x:c r="J327" s="4" t="n">
        <x:v>4.67</x:v>
      </x:c>
      <x:c r="K327" s="4" t="n">
        <x:v>6.1</x:v>
      </x:c>
      <x:c r="L327" s="4" t="n">
        <x:v>6.28</x:v>
      </x:c>
      <x:c r="M327" s="4" t="n">
        <x:v>6.45</x:v>
      </x:c>
      <x:c r="N327" s="4" t="n">
        <x:v>7.29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6.5</x:v>
      </x:c>
      <x:c r="D328" s="4" t="n">
        <x:v>5.87</x:v>
      </x:c>
      <x:c r="E328" s="4" t="n">
        <x:v>6.62</x:v>
      </x:c>
      <x:c r="F328" s="4" t="n">
        <x:v>2.56</x:v>
      </x:c>
      <x:c r="G328" s="4" t="n">
        <x:v>6.12</x:v>
      </x:c>
      <x:c r="H328" s="4" t="n">
        <x:v>8.39</x:v>
      </x:c>
      <x:c r="I328" s="4" t="n">
        <x:v>4.74</x:v>
      </x:c>
      <x:c r="J328" s="4" t="n">
        <x:v>7.19</x:v>
      </x:c>
      <x:c r="K328" s="4" t="n">
        <x:v>4.41</x:v>
      </x:c>
      <x:c r="L328" s="4" t="n">
        <x:v>8.84</x:v>
      </x:c>
      <x:c r="M328" s="4" t="n">
        <x:v>7.34</x:v>
      </x:c>
      <x:c r="N328" s="4" t="n">
        <x:v>7.49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6.57</x:v>
      </x:c>
      <x:c r="D329" s="4" t="n">
        <x:v>5.81</x:v>
      </x:c>
      <x:c r="E329" s="4" t="n">
        <x:v>6.28</x:v>
      </x:c>
      <x:c r="F329" s="4" t="n">
        <x:v>8.14</x:v>
      </x:c>
      <x:c r="G329" s="4" t="n">
        <x:v>5.22</x:v>
      </x:c>
      <x:c r="H329" s="4" t="n">
        <x:v>3.87</x:v>
      </x:c>
      <x:c r="I329" s="4" t="n">
        <x:v>6.87</x:v>
      </x:c>
      <x:c r="J329" s="4" t="n">
        <x:v>2.55</x:v>
      </x:c>
      <x:c r="K329" s="4" t="n">
        <x:v>6.8</x:v>
      </x:c>
      <x:c r="L329" s="4" t="n">
        <x:v>2.84</x:v>
      </x:c>
      <x:c r="M329" s="4" t="n">
        <x:v>6.62</x:v>
      </x:c>
      <x:c r="N329" s="4" t="n">
        <x:v>7.93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7.77</x:v>
      </x:c>
      <x:c r="D330" s="4" t="n">
        <x:v>6.11</x:v>
      </x:c>
      <x:c r="E330" s="4" t="n">
        <x:v>5.52</x:v>
      </x:c>
      <x:c r="F330" s="4" t="n">
        <x:v>5.06</x:v>
      </x:c>
      <x:c r="G330" s="4" t="n">
        <x:v>6.61</x:v>
      </x:c>
      <x:c r="H330" s="4" t="n">
        <x:v>3.22</x:v>
      </x:c>
      <x:c r="I330" s="4" t="n">
        <x:v>3.04</x:v>
      </x:c>
      <x:c r="J330" s="4" t="n">
        <x:v>7.99</x:v>
      </x:c>
      <x:c r="K330" s="4" t="n">
        <x:v>5.08</x:v>
      </x:c>
      <x:c r="L330" s="4" t="n">
        <x:v>7.22</x:v>
      </x:c>
      <x:c r="M330" s="4" t="n">
        <x:v>6.02</x:v>
      </x:c>
      <x:c r="N330" s="4" t="n">
        <x:v>2.23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5.39</x:v>
      </x:c>
      <x:c r="D331" s="4" t="n">
        <x:v>6.65</x:v>
      </x:c>
      <x:c r="E331" s="4" t="n">
        <x:v>4.37</x:v>
      </x:c>
      <x:c r="F331" s="4" t="n">
        <x:v>7.87</x:v>
      </x:c>
      <x:c r="G331" s="4" t="n">
        <x:v>6.65</x:v>
      </x:c>
      <x:c r="H331" s="4" t="n">
        <x:v>4.98</x:v>
      </x:c>
      <x:c r="I331" s="4" t="n">
        <x:v>3.43</x:v>
      </x:c>
      <x:c r="J331" s="4" t="n">
        <x:v>5.5</x:v>
      </x:c>
      <x:c r="K331" s="4" t="n">
        <x:v>2.9</x:v>
      </x:c>
      <x:c r="L331" s="4" t="n">
        <x:v>6.18</x:v>
      </x:c>
      <x:c r="M331" s="4" t="n">
        <x:v>4.82</x:v>
      </x:c>
      <x:c r="N331" s="4" t="n">
        <x:v>4.01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3.1</x:v>
      </x:c>
      <x:c r="D332" s="4" t="n">
        <x:v>6.91</x:v>
      </x:c>
      <x:c r="E332" s="4" t="n">
        <x:v>7.49</x:v>
      </x:c>
      <x:c r="F332" s="4" t="n">
        <x:v>6.54</x:v>
      </x:c>
      <x:c r="G332" s="4" t="n">
        <x:v>4.18</x:v>
      </x:c>
      <x:c r="H332" s="4" t="n">
        <x:v>4.19</x:v>
      </x:c>
      <x:c r="I332" s="4" t="n">
        <x:v>8.04</x:v>
      </x:c>
      <x:c r="J332" s="4" t="n">
        <x:v>4.86</x:v>
      </x:c>
      <x:c r="K332" s="4" t="n">
        <x:v>6.95</x:v>
      </x:c>
      <x:c r="L332" s="4" t="n">
        <x:v>7.72</x:v>
      </x:c>
      <x:c r="M332" s="4" t="n">
        <x:v>6.72</x:v>
      </x:c>
      <x:c r="N332" s="4" t="n">
        <x:v>3.86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7.87</x:v>
      </x:c>
      <x:c r="D333" s="4" t="n">
        <x:v>5.65</x:v>
      </x:c>
      <x:c r="E333" s="4" t="n">
        <x:v>5.72</x:v>
      </x:c>
      <x:c r="F333" s="4" t="n">
        <x:v>5.06</x:v>
      </x:c>
      <x:c r="G333" s="4" t="n">
        <x:v>3.09</x:v>
      </x:c>
      <x:c r="H333" s="4" t="n">
        <x:v>5.3</x:v>
      </x:c>
      <x:c r="I333" s="4" t="n">
        <x:v>5.47</x:v>
      </x:c>
      <x:c r="J333" s="4" t="n">
        <x:v>7.47</x:v>
      </x:c>
      <x:c r="K333" s="4" t="n">
        <x:v>6.74</x:v>
      </x:c>
      <x:c r="L333" s="4" t="n">
        <x:v>6.4</x:v>
      </x:c>
      <x:c r="M333" s="4" t="n">
        <x:v>3.74</x:v>
      </x:c>
      <x:c r="N333" s="4" t="n">
        <x:v>3.01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6.58</x:v>
      </x:c>
      <x:c r="D334" s="4" t="n">
        <x:v>4.19</x:v>
      </x:c>
      <x:c r="E334" s="4" t="n">
        <x:v>5.85</x:v>
      </x:c>
      <x:c r="F334" s="4" t="n">
        <x:v>8.21</x:v>
      </x:c>
      <x:c r="G334" s="4" t="n">
        <x:v>6.08</x:v>
      </x:c>
      <x:c r="H334" s="4" t="n">
        <x:v>7.89</x:v>
      </x:c>
      <x:c r="I334" s="4" t="n">
        <x:v>2.89</x:v>
      </x:c>
      <x:c r="J334" s="4" t="n">
        <x:v>3.01</x:v>
      </x:c>
      <x:c r="K334" s="4" t="n">
        <x:v>6.94</x:v>
      </x:c>
      <x:c r="L334" s="4" t="n">
        <x:v>3.7</x:v>
      </x:c>
      <x:c r="M334" s="4" t="n">
        <x:v>3.85</x:v>
      </x:c>
      <x:c r="N334" s="4" t="n">
        <x:v>2.51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7.72</x:v>
      </x:c>
      <x:c r="D335" s="4" t="n">
        <x:v>2.92</x:v>
      </x:c>
      <x:c r="E335" s="4" t="n">
        <x:v>5.44</x:v>
      </x:c>
      <x:c r="F335" s="4" t="n">
        <x:v>3.74</x:v>
      </x:c>
      <x:c r="G335" s="4" t="n">
        <x:v>7.33</x:v>
      </x:c>
      <x:c r="H335" s="4" t="n">
        <x:v>4.62</x:v>
      </x:c>
      <x:c r="I335" s="4" t="n">
        <x:v>5.85</x:v>
      </x:c>
      <x:c r="J335" s="4" t="n">
        <x:v>7.35</x:v>
      </x:c>
      <x:c r="K335" s="4" t="n">
        <x:v>6.09</x:v>
      </x:c>
      <x:c r="L335" s="4" t="n">
        <x:v>7.19</x:v>
      </x:c>
      <x:c r="M335" s="4" t="n">
        <x:v>2.99</x:v>
      </x:c>
      <x:c r="N335" s="4" t="n">
        <x:v>6.84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7.52</x:v>
      </x:c>
      <x:c r="D336" s="4" t="n">
        <x:v>3.17</x:v>
      </x:c>
      <x:c r="E336" s="4" t="n">
        <x:v>4.12</x:v>
      </x:c>
      <x:c r="F336" s="4" t="n">
        <x:v>5.23</x:v>
      </x:c>
      <x:c r="G336" s="4" t="n">
        <x:v>5.69</x:v>
      </x:c>
      <x:c r="H336" s="4" t="n">
        <x:v>2.25</x:v>
      </x:c>
      <x:c r="I336" s="4" t="n">
        <x:v>5.16</x:v>
      </x:c>
      <x:c r="J336" s="4" t="n">
        <x:v>2.9</x:v>
      </x:c>
      <x:c r="K336" s="4" t="n">
        <x:v>8.45</x:v>
      </x:c>
      <x:c r="L336" s="4" t="n">
        <x:v>4.4</x:v>
      </x:c>
      <x:c r="M336" s="4" t="n">
        <x:v>7.59</x:v>
      </x:c>
      <x:c r="N336" s="4" t="n">
        <x:v>7.67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5.13</x:v>
      </x:c>
      <x:c r="D337" s="4" t="n">
        <x:v>5.02</x:v>
      </x:c>
      <x:c r="E337" s="4" t="n">
        <x:v>7.99</x:v>
      </x:c>
      <x:c r="F337" s="4" t="n">
        <x:v>7.46</x:v>
      </x:c>
      <x:c r="G337" s="4" t="n">
        <x:v>8.43</x:v>
      </x:c>
      <x:c r="H337" s="4" t="n">
        <x:v>4.29</x:v>
      </x:c>
      <x:c r="I337" s="4" t="n">
        <x:v>4.05</x:v>
      </x:c>
      <x:c r="J337" s="4" t="n">
        <x:v>5.63</x:v>
      </x:c>
      <x:c r="K337" s="4" t="n">
        <x:v>7.84</x:v>
      </x:c>
      <x:c r="L337" s="4" t="n">
        <x:v>6.17</x:v>
      </x:c>
      <x:c r="M337" s="4" t="n">
        <x:v>7.74</x:v>
      </x:c>
      <x:c r="N337" s="4" t="n">
        <x:v>6.72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3.83</x:v>
      </x:c>
      <x:c r="D338" s="4" t="n">
        <x:v>5.68</x:v>
      </x:c>
      <x:c r="E338" s="4" t="n">
        <x:v>6.99</x:v>
      </x:c>
      <x:c r="F338" s="4" t="n">
        <x:v>3.1</x:v>
      </x:c>
      <x:c r="G338" s="4" t="n">
        <x:v>4.8</x:v>
      </x:c>
      <x:c r="H338" s="4" t="n">
        <x:v>2.62</x:v>
      </x:c>
      <x:c r="I338" s="4" t="n">
        <x:v>5.4</x:v>
      </x:c>
      <x:c r="J338" s="4" t="n">
        <x:v>3.66</x:v>
      </x:c>
      <x:c r="K338" s="4" t="n">
        <x:v>2.7</x:v>
      </x:c>
      <x:c r="L338" s="4" t="n">
        <x:v>3.61</x:v>
      </x:c>
      <x:c r="M338" s="4" t="n">
        <x:v>6.06</x:v>
      </x:c>
      <x:c r="N338" s="4" t="n">
        <x:v>6.92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7.01</x:v>
      </x:c>
      <x:c r="D339" s="4" t="n">
        <x:v>5.06</x:v>
      </x:c>
      <x:c r="E339" s="4" t="n">
        <x:v>7.62</x:v>
      </x:c>
      <x:c r="F339" s="4" t="n">
        <x:v>7.28</x:v>
      </x:c>
      <x:c r="G339" s="4" t="n">
        <x:v>5.34</x:v>
      </x:c>
      <x:c r="H339" s="4" t="n">
        <x:v>2.22</x:v>
      </x:c>
      <x:c r="I339" s="4" t="n">
        <x:v>3.99</x:v>
      </x:c>
      <x:c r="J339" s="4" t="n">
        <x:v>5.12</x:v>
      </x:c>
      <x:c r="K339" s="4" t="n">
        <x:v>4.13</x:v>
      </x:c>
      <x:c r="L339" s="4" t="n">
        <x:v>6.85</x:v>
      </x:c>
      <x:c r="M339" s="4" t="n">
        <x:v>6.08</x:v>
      </x:c>
      <x:c r="N339" s="4" t="n">
        <x:v>8.31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6.17</x:v>
      </x:c>
      <x:c r="D341" s="4" t="n">
        <x:v>3.64</x:v>
      </x:c>
      <x:c r="E341" s="4" t="n">
        <x:v>8.86</x:v>
      </x:c>
      <x:c r="F341" s="4" t="n">
        <x:v>7.51</x:v>
      </x:c>
      <x:c r="G341" s="4" t="n">
        <x:v>6.16</x:v>
      </x:c>
      <x:c r="H341" s="4" t="n">
        <x:v>7.77</x:v>
      </x:c>
      <x:c r="I341" s="4" t="n">
        <x:v>6.94</x:v>
      </x:c>
      <x:c r="J341" s="4" t="n">
        <x:v>5.19</x:v>
      </x:c>
      <x:c r="K341" s="4" t="n">
        <x:v>4.4</x:v>
      </x:c>
      <x:c r="L341" s="4" t="n">
        <x:v>7.93</x:v>
      </x:c>
      <x:c r="M341" s="4" t="n">
        <x:v>5.81</x:v>
      </x:c>
      <x:c r="N341" s="4" t="n">
        <x:v>4.12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2.6</x:v>
      </x:c>
      <x:c r="D342" s="4" t="n">
        <x:v>5.02</x:v>
      </x:c>
      <x:c r="E342" s="4" t="n">
        <x:v>7.19</x:v>
      </x:c>
      <x:c r="F342" s="4" t="n">
        <x:v>7.01</x:v>
      </x:c>
      <x:c r="G342" s="4" t="n">
        <x:v>7.9</x:v>
      </x:c>
      <x:c r="H342" s="4" t="n">
        <x:v>6.17</x:v>
      </x:c>
      <x:c r="I342" s="4" t="n">
        <x:v>7.8</x:v>
      </x:c>
      <x:c r="J342" s="4" t="n">
        <x:v>8.22</x:v>
      </x:c>
      <x:c r="K342" s="4" t="n">
        <x:v>4.09</x:v>
      </x:c>
      <x:c r="L342" s="4" t="n">
        <x:v>4.76</x:v>
      </x:c>
      <x:c r="M342" s="4" t="n">
        <x:v>6.41</x:v>
      </x:c>
      <x:c r="N342" s="4" t="n">
        <x:v>5.96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7.08</x:v>
      </x:c>
      <x:c r="D343" s="4" t="n">
        <x:v>7.67</x:v>
      </x:c>
      <x:c r="E343" s="4" t="n">
        <x:v>7.73</x:v>
      </x:c>
      <x:c r="F343" s="4" t="n">
        <x:v>2.87</x:v>
      </x:c>
      <x:c r="G343" s="4" t="n">
        <x:v>6.45</x:v>
      </x:c>
      <x:c r="H343" s="4" t="n">
        <x:v>5.26</x:v>
      </x:c>
      <x:c r="I343" s="4" t="n">
        <x:v>2.62</x:v>
      </x:c>
      <x:c r="J343" s="4" t="n">
        <x:v>7.58</x:v>
      </x:c>
      <x:c r="K343" s="4" t="n">
        <x:v>8.34</x:v>
      </x:c>
      <x:c r="L343" s="4" t="n">
        <x:v>3.57</x:v>
      </x:c>
      <x:c r="M343" s="4" t="n">
        <x:v>4.65</x:v>
      </x:c>
      <x:c r="N343" s="4" t="n">
        <x:v>8.27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4.53</x:v>
      </x:c>
      <x:c r="D344" s="4" t="n">
        <x:v>4.95</x:v>
      </x:c>
      <x:c r="E344" s="4" t="n">
        <x:v>5.86</x:v>
      </x:c>
      <x:c r="F344" s="4" t="n">
        <x:v>5.33</x:v>
      </x:c>
      <x:c r="G344" s="4" t="n">
        <x:v>3.21</x:v>
      </x:c>
      <x:c r="H344" s="4" t="n">
        <x:v>6.65</x:v>
      </x:c>
      <x:c r="I344" s="4" t="n">
        <x:v>8.49</x:v>
      </x:c>
      <x:c r="J344" s="4" t="n">
        <x:v>4.74</x:v>
      </x:c>
      <x:c r="K344" s="4" t="n">
        <x:v>5.49</x:v>
      </x:c>
      <x:c r="L344" s="4" t="n">
        <x:v>8.52</x:v>
      </x:c>
      <x:c r="M344" s="4" t="n">
        <x:v>8.79</x:v>
      </x:c>
      <x:c r="N344" s="4" t="n">
        <x:v>6.04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4.22</x:v>
      </x:c>
      <x:c r="D345" s="4" t="n">
        <x:v>7.55</x:v>
      </x:c>
      <x:c r="E345" s="4" t="n">
        <x:v>3.59</x:v>
      </x:c>
      <x:c r="F345" s="4" t="n">
        <x:v>6.56</x:v>
      </x:c>
      <x:c r="G345" s="4" t="n">
        <x:v>7.65</x:v>
      </x:c>
      <x:c r="H345" s="4" t="n">
        <x:v>7.97</x:v>
      </x:c>
      <x:c r="I345" s="4" t="n">
        <x:v>8.26</x:v>
      </x:c>
      <x:c r="J345" s="4" t="n">
        <x:v>3.89</x:v>
      </x:c>
      <x:c r="K345" s="4" t="n">
        <x:v>5.65</x:v>
      </x:c>
      <x:c r="L345" s="4" t="n">
        <x:v>6.88</x:v>
      </x:c>
      <x:c r="M345" s="4" t="n">
        <x:v>2.34</x:v>
      </x:c>
      <x:c r="N345" s="4" t="n">
        <x:v>6.05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4.31</x:v>
      </x:c>
      <x:c r="D346" s="4" t="n">
        <x:v>7.27</x:v>
      </x:c>
      <x:c r="E346" s="4" t="n">
        <x:v>7.61</x:v>
      </x:c>
      <x:c r="F346" s="4" t="n">
        <x:v>7.48</x:v>
      </x:c>
      <x:c r="G346" s="4" t="n">
        <x:v>2.66</x:v>
      </x:c>
      <x:c r="H346" s="4" t="n">
        <x:v>4.92</x:v>
      </x:c>
      <x:c r="I346" s="4" t="n">
        <x:v>6.73</x:v>
      </x:c>
      <x:c r="J346" s="4" t="n">
        <x:v>4.63</x:v>
      </x:c>
      <x:c r="K346" s="4" t="n">
        <x:v>8.14</x:v>
      </x:c>
      <x:c r="L346" s="4" t="n">
        <x:v>4.18</x:v>
      </x:c>
      <x:c r="M346" s="4" t="n">
        <x:v>4.48</x:v>
      </x:c>
      <x:c r="N346" s="4" t="n">
        <x:v>5.11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3.37</x:v>
      </x:c>
      <x:c r="D347" s="4" t="n">
        <x:v>2.72</x:v>
      </x:c>
      <x:c r="E347" s="4" t="n">
        <x:v>5.12</x:v>
      </x:c>
      <x:c r="F347" s="4" t="n">
        <x:v>7.15</x:v>
      </x:c>
      <x:c r="G347" s="4" t="n">
        <x:v>8.4</x:v>
      </x:c>
      <x:c r="H347" s="4" t="n">
        <x:v>5.54</x:v>
      </x:c>
      <x:c r="I347" s="4" t="n">
        <x:v>2.73</x:v>
      </x:c>
      <x:c r="J347" s="4" t="n">
        <x:v>8.15</x:v>
      </x:c>
      <x:c r="K347" s="4" t="n">
        <x:v>3.43</x:v>
      </x:c>
      <x:c r="L347" s="4" t="n">
        <x:v>3.25</x:v>
      </x:c>
      <x:c r="M347" s="4" t="n">
        <x:v>2.29</x:v>
      </x:c>
      <x:c r="N347" s="4" t="n">
        <x:v>5.35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7.65</x:v>
      </x:c>
      <x:c r="D348" s="4" t="n">
        <x:v>3.7</x:v>
      </x:c>
      <x:c r="E348" s="4" t="n">
        <x:v>5.3</x:v>
      </x:c>
      <x:c r="F348" s="4" t="n">
        <x:v>7.24</x:v>
      </x:c>
      <x:c r="G348" s="4" t="n">
        <x:v>5.71</x:v>
      </x:c>
      <x:c r="H348" s="4" t="n">
        <x:v>6.37</x:v>
      </x:c>
      <x:c r="I348" s="4" t="n">
        <x:v>5.92</x:v>
      </x:c>
      <x:c r="J348" s="4" t="n">
        <x:v>2.28</x:v>
      </x:c>
      <x:c r="K348" s="4" t="n">
        <x:v>5.83</x:v>
      </x:c>
      <x:c r="L348" s="4" t="n">
        <x:v>3.33</x:v>
      </x:c>
      <x:c r="M348" s="4" t="n">
        <x:v>4.58</x:v>
      </x:c>
      <x:c r="N348" s="4" t="n">
        <x:v>8.68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7.57</x:v>
      </x:c>
      <x:c r="D350" s="4" t="n">
        <x:v>6.37</x:v>
      </x:c>
      <x:c r="E350" s="4" t="n">
        <x:v>2.25</x:v>
      </x:c>
      <x:c r="F350" s="4" t="n">
        <x:v>2.19</x:v>
      </x:c>
      <x:c r="G350" s="4" t="n">
        <x:v>3.24</x:v>
      </x:c>
      <x:c r="H350" s="4" t="n">
        <x:v>2.96</x:v>
      </x:c>
      <x:c r="I350" s="4" t="n">
        <x:v>7.97</x:v>
      </x:c>
      <x:c r="J350" s="4" t="n">
        <x:v>4.23</x:v>
      </x:c>
      <x:c r="K350" s="4" t="n">
        <x:v>8.01</x:v>
      </x:c>
      <x:c r="L350" s="4" t="n">
        <x:v>3.45</x:v>
      </x:c>
      <x:c r="M350" s="4" t="n">
        <x:v>3.45</x:v>
      </x:c>
      <x:c r="N350" s="4" t="n">
        <x:v>8.86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7.46</x:v>
      </x:c>
      <x:c r="D351" s="4" t="n">
        <x:v>8.14</x:v>
      </x:c>
      <x:c r="E351" s="4" t="n">
        <x:v>2.49</x:v>
      </x:c>
      <x:c r="F351" s="4" t="n">
        <x:v>6.33</x:v>
      </x:c>
      <x:c r="G351" s="4" t="n">
        <x:v>6.48</x:v>
      </x:c>
      <x:c r="H351" s="4" t="n">
        <x:v>6.27</x:v>
      </x:c>
      <x:c r="I351" s="4" t="n">
        <x:v>4.11</x:v>
      </x:c>
      <x:c r="J351" s="4" t="n">
        <x:v>6.31</x:v>
      </x:c>
      <x:c r="K351" s="4" t="n">
        <x:v>3.86</x:v>
      </x:c>
      <x:c r="L351" s="4" t="n">
        <x:v>5.99</x:v>
      </x:c>
      <x:c r="M351" s="4" t="n">
        <x:v>5.92</x:v>
      </x:c>
      <x:c r="N351" s="4" t="n">
        <x:v>3.46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6.94</x:v>
      </x:c>
      <x:c r="D352" s="4" t="n">
        <x:v>6.43</x:v>
      </x:c>
      <x:c r="E352" s="4" t="n">
        <x:v>6.92</x:v>
      </x:c>
      <x:c r="F352" s="4" t="n">
        <x:v>5.81</x:v>
      </x:c>
      <x:c r="G352" s="4" t="n">
        <x:v>8.1</x:v>
      </x:c>
      <x:c r="H352" s="4" t="n">
        <x:v>5.65</x:v>
      </x:c>
      <x:c r="I352" s="4" t="n">
        <x:v>8.09</x:v>
      </x:c>
      <x:c r="J352" s="4" t="n">
        <x:v>5.44</x:v>
      </x:c>
      <x:c r="K352" s="4" t="n">
        <x:v>3.31</x:v>
      </x:c>
      <x:c r="L352" s="4" t="n">
        <x:v>2.23</x:v>
      </x:c>
      <x:c r="M352" s="4" t="n">
        <x:v>7.97</x:v>
      </x:c>
      <x:c r="N352" s="4" t="n">
        <x:v>8.33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2.33</x:v>
      </x:c>
      <x:c r="D353" s="4" t="n">
        <x:v>7.31</x:v>
      </x:c>
      <x:c r="E353" s="4" t="n">
        <x:v>4.89</x:v>
      </x:c>
      <x:c r="F353" s="4" t="n">
        <x:v>4.95</x:v>
      </x:c>
      <x:c r="G353" s="4" t="n">
        <x:v>8.88</x:v>
      </x:c>
      <x:c r="H353" s="4" t="n">
        <x:v>4.07</x:v>
      </x:c>
      <x:c r="I353" s="4" t="n">
        <x:v>6.57</x:v>
      </x:c>
      <x:c r="J353" s="4" t="n">
        <x:v>3.37</x:v>
      </x:c>
      <x:c r="K353" s="4" t="n">
        <x:v>8.15</x:v>
      </x:c>
      <x:c r="L353" s="4" t="n">
        <x:v>6.64</x:v>
      </x:c>
      <x:c r="M353" s="4" t="n">
        <x:v>8.33</x:v>
      </x:c>
      <x:c r="N353" s="4" t="n">
        <x:v>8.06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其他主体费用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137.59</x:v>
      </x:c>
      <x:c r="D4" s="3" t="n">
        <x:f>ROUND(D204*D324,2)</x:f>
        <x:v>107.16</x:v>
      </x:c>
      <x:c r="E4" s="3" t="n">
        <x:f>ROUND(E204*E324,2)</x:f>
        <x:v>153.86</x:v>
      </x:c>
      <x:c r="F4" s="3" t="n">
        <x:f>ROUND(F204*F324,2)</x:f>
        <x:v>277.22</x:v>
      </x:c>
      <x:c r="G4" s="3" t="n">
        <x:f>ROUND(G204*G324,2)</x:f>
        <x:v>49.17</x:v>
      </x:c>
      <x:c r="H4" s="3" t="n">
        <x:f>ROUND(H204*H324,2)</x:f>
        <x:v>249.85</x:v>
      </x:c>
      <x:c r="I4" s="3" t="n">
        <x:f>ROUND(I204*I324,2)</x:f>
        <x:v>445.46</x:v>
      </x:c>
      <x:c r="J4" s="3" t="n">
        <x:f>ROUND(J204*J324,2)</x:f>
        <x:v>308.89</x:v>
      </x:c>
      <x:c r="K4" s="3" t="n">
        <x:f>ROUND(K204*K324,2)</x:f>
        <x:v>221.01</x:v>
      </x:c>
      <x:c r="L4" s="3" t="n">
        <x:f>ROUND(L204*L324,2)</x:f>
        <x:v>160.17</x:v>
      </x:c>
      <x:c r="M4" s="3" t="n">
        <x:f>ROUND(M204*M324,2)</x:f>
        <x:v>318.37</x:v>
      </x:c>
      <x:c r="N4" s="3" t="n">
        <x:f>ROUND(N204*N324,2)</x:f>
        <x:v>209.66</x:v>
      </x:c>
      <x:c r="O4" s="3" t="n">
        <x:f>SUM(C4:N4)</x:f>
        <x:v>2638.4099999999994</x:v>
      </x:c>
      <x:c r="P4" s="2" t="str">
        <x:v>EXP3.004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307.83</x:v>
      </x:c>
      <x:c r="D5" s="3" t="n">
        <x:f>ROUND(D205*D325,2)</x:f>
        <x:v>108.96</x:v>
      </x:c>
      <x:c r="E5" s="3" t="n">
        <x:f>ROUND(E205*E325,2)</x:f>
        <x:v>291.83</x:v>
      </x:c>
      <x:c r="F5" s="3" t="n">
        <x:f>ROUND(F205*F325,2)</x:f>
        <x:v>111.12</x:v>
      </x:c>
      <x:c r="G5" s="3" t="n">
        <x:f>ROUND(G205*G325,2)</x:f>
        <x:v>424.56</x:v>
      </x:c>
      <x:c r="H5" s="3" t="n">
        <x:f>ROUND(H205*H325,2)</x:f>
        <x:v>88.11</x:v>
      </x:c>
      <x:c r="I5" s="3" t="n">
        <x:f>ROUND(I205*I325,2)</x:f>
        <x:v>332.22</x:v>
      </x:c>
      <x:c r="J5" s="3" t="n">
        <x:f>ROUND(J205*J325,2)</x:f>
        <x:v>204.42</x:v>
      </x:c>
      <x:c r="K5" s="3" t="n">
        <x:f>ROUND(K205*K325,2)</x:f>
        <x:v>459.23</x:v>
      </x:c>
      <x:c r="L5" s="3" t="n">
        <x:f>ROUND(L205*L325,2)</x:f>
        <x:v>89.97</x:v>
      </x:c>
      <x:c r="M5" s="3" t="n">
        <x:f>ROUND(M205*M325,2)</x:f>
        <x:v>187.64</x:v>
      </x:c>
      <x:c r="N5" s="3" t="n">
        <x:f>ROUND(N205*N325,2)</x:f>
        <x:v>192.98</x:v>
      </x:c>
      <x:c r="O5" s="3" t="n">
        <x:f>SUM(C5:N5)</x:f>
        <x:v>2798.8699999999994</x:v>
      </x:c>
      <x:c r="P5" s="2" t="str">
        <x:v>EXP3.005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118.57</x:v>
      </x:c>
      <x:c r="D6" s="3" t="n">
        <x:f>ROUND(D206*D326,2)</x:f>
        <x:v>51.53</x:v>
      </x:c>
      <x:c r="E6" s="3" t="n">
        <x:f>ROUND(E206*E326,2)</x:f>
        <x:v>88.74</x:v>
      </x:c>
      <x:c r="F6" s="3" t="n">
        <x:f>ROUND(F206*F326,2)</x:f>
        <x:v>234.83</x:v>
      </x:c>
      <x:c r="G6" s="3" t="n">
        <x:f>ROUND(G206*G326,2)</x:f>
        <x:v>353.88</x:v>
      </x:c>
      <x:c r="H6" s="3" t="n">
        <x:f>ROUND(H206*H326,2)</x:f>
        <x:v>73.16</x:v>
      </x:c>
      <x:c r="I6" s="3" t="n">
        <x:f>ROUND(I206*I326,2)</x:f>
        <x:v>231.61</x:v>
      </x:c>
      <x:c r="J6" s="3" t="n">
        <x:f>ROUND(J206*J326,2)</x:f>
        <x:v>94.7</x:v>
      </x:c>
      <x:c r="K6" s="3" t="n">
        <x:f>ROUND(K206*K326,2)</x:f>
        <x:v>172.2</x:v>
      </x:c>
      <x:c r="L6" s="3" t="n">
        <x:f>ROUND(L206*L326,2)</x:f>
        <x:v>238.78</x:v>
      </x:c>
      <x:c r="M6" s="3" t="n">
        <x:f>ROUND(M206*M326,2)</x:f>
        <x:v>146.25</x:v>
      </x:c>
      <x:c r="N6" s="3" t="n">
        <x:f>ROUND(N206*N326,2)</x:f>
        <x:v>328.69</x:v>
      </x:c>
      <x:c r="O6" s="3" t="n">
        <x:f>SUM(C6:N6)</x:f>
        <x:v>2132.94</x:v>
      </x:c>
      <x:c r="P6" s="2" t="str">
        <x:v>EXP3.006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364.43</x:v>
      </x:c>
      <x:c r="D7" s="3" t="n">
        <x:f>ROUND(D207*D327,2)</x:f>
        <x:v>159</x:v>
      </x:c>
      <x:c r="E7" s="3" t="n">
        <x:f>ROUND(E207*E327,2)</x:f>
        <x:v>351.13</x:v>
      </x:c>
      <x:c r="F7" s="3" t="n">
        <x:f>ROUND(F207*F327,2)</x:f>
        <x:v>440.79</x:v>
      </x:c>
      <x:c r="G7" s="3" t="n">
        <x:f>ROUND(G207*G327,2)</x:f>
        <x:v>495.68</x:v>
      </x:c>
      <x:c r="H7" s="3" t="n">
        <x:f>ROUND(H207*H327,2)</x:f>
        <x:v>462.08</x:v>
      </x:c>
      <x:c r="I7" s="3" t="n">
        <x:f>ROUND(I207*I327,2)</x:f>
        <x:v>152.86</x:v>
      </x:c>
      <x:c r="J7" s="3" t="n">
        <x:f>ROUND(J207*J327,2)</x:f>
        <x:v>372.12</x:v>
      </x:c>
      <x:c r="K7" s="3" t="n">
        <x:f>ROUND(K207*K327,2)</x:f>
        <x:v>165.16</x:v>
      </x:c>
      <x:c r="L7" s="3" t="n">
        <x:f>ROUND(L207*L327,2)</x:f>
        <x:v>56.92</x:v>
      </x:c>
      <x:c r="M7" s="3" t="n">
        <x:f>ROUND(M207*M327,2)</x:f>
        <x:v>156.55</x:v>
      </x:c>
      <x:c r="N7" s="3" t="n">
        <x:f>ROUND(N207*N327,2)</x:f>
        <x:v>122.24</x:v>
      </x:c>
      <x:c r="O7" s="3" t="n">
        <x:f>SUM(C7:N7)</x:f>
        <x:v>3298.96</x:v>
      </x:c>
      <x:c r="P7" s="2" t="str">
        <x:v>EXP3.007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83.15</x:v>
      </x:c>
      <x:c r="D8" s="3" t="n">
        <x:f>ROUND(D208*D328,2)</x:f>
        <x:v>189.85</x:v>
      </x:c>
      <x:c r="E8" s="3" t="n">
        <x:f>ROUND(E208*E328,2)</x:f>
        <x:v>72.91</x:v>
      </x:c>
      <x:c r="F8" s="3" t="n">
        <x:f>ROUND(F208*F328,2)</x:f>
        <x:v>335.77</x:v>
      </x:c>
      <x:c r="G8" s="3" t="n">
        <x:f>ROUND(G208*G328,2)</x:f>
        <x:v>106.87</x:v>
      </x:c>
      <x:c r="H8" s="3" t="n">
        <x:f>ROUND(H208*H328,2)</x:f>
        <x:v>268.31</x:v>
      </x:c>
      <x:c r="I8" s="3" t="n">
        <x:f>ROUND(I208*I328,2)</x:f>
        <x:v>391.05</x:v>
      </x:c>
      <x:c r="J8" s="3" t="n">
        <x:f>ROUND(J208*J328,2)</x:f>
        <x:v>490.69</x:v>
      </x:c>
      <x:c r="K8" s="3" t="n">
        <x:f>ROUND(K208*K328,2)</x:f>
        <x:v>209.93</x:v>
      </x:c>
      <x:c r="L8" s="3" t="n">
        <x:f>ROUND(L208*L328,2)</x:f>
        <x:v>159.64</x:v>
      </x:c>
      <x:c r="M8" s="3" t="n">
        <x:f>ROUND(M208*M328,2)</x:f>
        <x:v>161.82</x:v>
      </x:c>
      <x:c r="N8" s="3" t="n">
        <x:f>ROUND(N208*N328,2)</x:f>
        <x:v>464.04</x:v>
      </x:c>
      <x:c r="O8" s="3" t="n">
        <x:f>SUM(C8:N8)</x:f>
        <x:v>2934.0299999999997</x:v>
      </x:c>
      <x:c r="P8" s="2" t="str">
        <x:v>EXP3.008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317.46</x:v>
      </x:c>
      <x:c r="D9" s="3" t="n">
        <x:f>ROUND(D209*D329,2)</x:f>
        <x:v>402.91</x:v>
      </x:c>
      <x:c r="E9" s="3" t="n">
        <x:f>ROUND(E209*E329,2)</x:f>
        <x:v>211.92</x:v>
      </x:c>
      <x:c r="F9" s="3" t="n">
        <x:f>ROUND(F209*F329,2)</x:f>
        <x:v>132.75</x:v>
      </x:c>
      <x:c r="G9" s="3" t="n">
        <x:f>ROUND(G209*G329,2)</x:f>
        <x:v>241.78</x:v>
      </x:c>
      <x:c r="H9" s="3" t="n">
        <x:f>ROUND(H209*H329,2)</x:f>
        <x:v>264.22</x:v>
      </x:c>
      <x:c r="I9" s="3" t="n">
        <x:f>ROUND(I209*I329,2)</x:f>
        <x:v>334.57</x:v>
      </x:c>
      <x:c r="J9" s="3" t="n">
        <x:f>ROUND(J209*J329,2)</x:f>
        <x:v>113.31</x:v>
      </x:c>
      <x:c r="K9" s="3" t="n">
        <x:f>ROUND(K209*K329,2)</x:f>
        <x:v>266.64</x:v>
      </x:c>
      <x:c r="L9" s="3" t="n">
        <x:f>ROUND(L209*L329,2)</x:f>
        <x:v>383.28</x:v>
      </x:c>
      <x:c r="M9" s="3" t="n">
        <x:f>ROUND(M209*M329,2)</x:f>
        <x:v>135.54</x:v>
      </x:c>
      <x:c r="N9" s="3" t="n">
        <x:f>ROUND(N209*N329,2)</x:f>
        <x:v>96.5</x:v>
      </x:c>
      <x:c r="O9" s="3" t="n">
        <x:f>SUM(C9:N9)</x:f>
        <x:v>2900.88</x:v>
      </x:c>
      <x:c r="P9" s="2" t="str">
        <x:v>EXP3.009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280.7</x:v>
      </x:c>
      <x:c r="D10" s="3" t="n">
        <x:f>ROUND(D210*D330,2)</x:f>
        <x:v>203.25</x:v>
      </x:c>
      <x:c r="E10" s="3" t="n">
        <x:f>ROUND(E210*E330,2)</x:f>
        <x:v>167.11</x:v>
      </x:c>
      <x:c r="F10" s="3" t="n">
        <x:f>ROUND(F210*F330,2)</x:f>
        <x:v>467.56</x:v>
      </x:c>
      <x:c r="G10" s="3" t="n">
        <x:f>ROUND(G210*G330,2)</x:f>
        <x:v>335</x:v>
      </x:c>
      <x:c r="H10" s="3" t="n">
        <x:f>ROUND(H210*H330,2)</x:f>
        <x:v>190.39</x:v>
      </x:c>
      <x:c r="I10" s="3" t="n">
        <x:f>ROUND(I210*I330,2)</x:f>
        <x:v>409.38</x:v>
      </x:c>
      <x:c r="J10" s="3" t="n">
        <x:f>ROUND(J210*J330,2)</x:f>
        <x:v>150.52</x:v>
      </x:c>
      <x:c r="K10" s="3" t="n">
        <x:f>ROUND(K210*K330,2)</x:f>
        <x:v>296.8</x:v>
      </x:c>
      <x:c r="L10" s="3" t="n">
        <x:f>ROUND(L210*L330,2)</x:f>
        <x:v>59.97</x:v>
      </x:c>
      <x:c r="M10" s="3" t="n">
        <x:f>ROUND(M210*M330,2)</x:f>
        <x:v>92.65</x:v>
      </x:c>
      <x:c r="N10" s="3" t="n">
        <x:f>ROUND(N210*N330,2)</x:f>
        <x:v>174.8</x:v>
      </x:c>
      <x:c r="O10" s="3" t="n">
        <x:f>SUM(C10:N10)</x:f>
        <x:v>2828.13</x:v>
      </x:c>
      <x:c r="P10" s="2" t="str">
        <x:v>EXP3.010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210.49</x:v>
      </x:c>
      <x:c r="D11" s="3" t="n">
        <x:f>ROUND(D211*D331,2)</x:f>
        <x:v>376.76</x:v>
      </x:c>
      <x:c r="E11" s="3" t="n">
        <x:f>ROUND(E211*E331,2)</x:f>
        <x:v>239.96</x:v>
      </x:c>
      <x:c r="F11" s="3" t="n">
        <x:f>ROUND(F211*F331,2)</x:f>
        <x:v>193.09</x:v>
      </x:c>
      <x:c r="G11" s="3" t="n">
        <x:f>ROUND(G211*G331,2)</x:f>
        <x:v>305.1</x:v>
      </x:c>
      <x:c r="H11" s="3" t="n">
        <x:f>ROUND(H211*H331,2)</x:f>
        <x:v>169.19</x:v>
      </x:c>
      <x:c r="I11" s="3" t="n">
        <x:f>ROUND(I211*I331,2)</x:f>
        <x:v>312.92</x:v>
      </x:c>
      <x:c r="J11" s="3" t="n">
        <x:f>ROUND(J211*J331,2)</x:f>
        <x:v>195.79</x:v>
      </x:c>
      <x:c r="K11" s="3" t="n">
        <x:f>ROUND(K211*K331,2)</x:f>
        <x:v>317.54</x:v>
      </x:c>
      <x:c r="L11" s="3" t="n">
        <x:f>ROUND(L211*L331,2)</x:f>
        <x:v>120.21</x:v>
      </x:c>
      <x:c r="M11" s="3" t="n">
        <x:f>ROUND(M211*M331,2)</x:f>
        <x:v>277.15</x:v>
      </x:c>
      <x:c r="N11" s="3" t="n">
        <x:f>ROUND(N211*N331,2)</x:f>
        <x:v>276.24</x:v>
      </x:c>
      <x:c r="O11" s="3" t="n">
        <x:f>SUM(C11:N11)</x:f>
        <x:v>2994.4400000000005</x:v>
      </x:c>
      <x:c r="P11" s="2" t="str">
        <x:v>EXP3.011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264.61</x:v>
      </x:c>
      <x:c r="D12" s="3" t="n">
        <x:f>ROUND(D212*D332,2)</x:f>
        <x:v>192.91</x:v>
      </x:c>
      <x:c r="E12" s="3" t="n">
        <x:f>ROUND(E212*E332,2)</x:f>
        <x:v>251.05</x:v>
      </x:c>
      <x:c r="F12" s="3" t="n">
        <x:f>ROUND(F212*F332,2)</x:f>
        <x:v>243.58</x:v>
      </x:c>
      <x:c r="G12" s="3" t="n">
        <x:f>ROUND(G212*G332,2)</x:f>
        <x:v>467.63</x:v>
      </x:c>
      <x:c r="H12" s="3" t="n">
        <x:f>ROUND(H212*H332,2)</x:f>
        <x:v>330.19</x:v>
      </x:c>
      <x:c r="I12" s="3" t="n">
        <x:f>ROUND(I212*I332,2)</x:f>
        <x:v>174.23</x:v>
      </x:c>
      <x:c r="J12" s="3" t="n">
        <x:f>ROUND(J212*J332,2)</x:f>
        <x:v>293.44</x:v>
      </x:c>
      <x:c r="K12" s="3" t="n">
        <x:f>ROUND(K212*K332,2)</x:f>
        <x:v>308.25</x:v>
      </x:c>
      <x:c r="L12" s="3" t="n">
        <x:f>ROUND(L212*L332,2)</x:f>
        <x:v>148.07</x:v>
      </x:c>
      <x:c r="M12" s="3" t="n">
        <x:f>ROUND(M212*M332,2)</x:f>
        <x:v>135.07</x:v>
      </x:c>
      <x:c r="N12" s="3" t="n">
        <x:f>ROUND(N212*N332,2)</x:f>
        <x:v>295.71</x:v>
      </x:c>
      <x:c r="O12" s="3" t="n">
        <x:f>SUM(C12:N12)</x:f>
        <x:v>3104.7400000000002</x:v>
      </x:c>
      <x:c r="P12" s="2" t="str">
        <x:v>EXP3.012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131.1</x:v>
      </x:c>
      <x:c r="D13" s="3" t="n">
        <x:f>ROUND(D213*D333,2)</x:f>
        <x:v>461.95</x:v>
      </x:c>
      <x:c r="E13" s="3" t="n">
        <x:f>ROUND(E213*E333,2)</x:f>
        <x:v>195.17</x:v>
      </x:c>
      <x:c r="F13" s="3" t="n">
        <x:f>ROUND(F213*F333,2)</x:f>
        <x:v>231.79</x:v>
      </x:c>
      <x:c r="G13" s="3" t="n">
        <x:f>ROUND(G213*G333,2)</x:f>
        <x:v>198.75</x:v>
      </x:c>
      <x:c r="H13" s="3" t="n">
        <x:f>ROUND(H213*H333,2)</x:f>
        <x:v>188.59</x:v>
      </x:c>
      <x:c r="I13" s="3" t="n">
        <x:f>ROUND(I213*I333,2)</x:f>
        <x:v>559.05</x:v>
      </x:c>
      <x:c r="J13" s="3" t="n">
        <x:f>ROUND(J213*J333,2)</x:f>
        <x:v>277.58</x:v>
      </x:c>
      <x:c r="K13" s="3" t="n">
        <x:f>ROUND(K213*K333,2)</x:f>
        <x:v>462.44</x:v>
      </x:c>
      <x:c r="L13" s="3" t="n">
        <x:f>ROUND(L213*L333,2)</x:f>
        <x:v>362.38</x:v>
      </x:c>
      <x:c r="M13" s="3" t="n">
        <x:f>ROUND(M213*M333,2)</x:f>
        <x:v>436.38</x:v>
      </x:c>
      <x:c r="N13" s="3" t="n">
        <x:f>ROUND(N213*N333,2)</x:f>
        <x:v>280.79</x:v>
      </x:c>
      <x:c r="O13" s="3" t="n">
        <x:f>SUM(C13:N13)</x:f>
        <x:v>3785.97</x:v>
      </x:c>
      <x:c r="P13" s="2" t="str">
        <x:v>EXP3.013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319.72</x:v>
      </x:c>
      <x:c r="D14" s="3" t="n">
        <x:f>ROUND(D214*D334,2)</x:f>
        <x:v>65.12</x:v>
      </x:c>
      <x:c r="E14" s="3" t="n">
        <x:f>ROUND(E214*E334,2)</x:f>
        <x:v>390.99</x:v>
      </x:c>
      <x:c r="F14" s="3" t="n">
        <x:f>ROUND(F214*F334,2)</x:f>
        <x:v>140.7</x:v>
      </x:c>
      <x:c r="G14" s="3" t="n">
        <x:f>ROUND(G214*G334,2)</x:f>
        <x:v>276.12</x:v>
      </x:c>
      <x:c r="H14" s="3" t="n">
        <x:f>ROUND(H214*H334,2)</x:f>
        <x:v>188.05</x:v>
      </x:c>
      <x:c r="I14" s="3" t="n">
        <x:f>ROUND(I214*I334,2)</x:f>
        <x:v>445.64</x:v>
      </x:c>
      <x:c r="J14" s="3" t="n">
        <x:f>ROUND(J214*J334,2)</x:f>
        <x:v>231.73</x:v>
      </x:c>
      <x:c r="K14" s="3" t="n">
        <x:f>ROUND(K214*K334,2)</x:f>
        <x:v>383.61</x:v>
      </x:c>
      <x:c r="L14" s="3" t="n">
        <x:f>ROUND(L214*L334,2)</x:f>
        <x:v>267.7</x:v>
      </x:c>
      <x:c r="M14" s="3" t="n">
        <x:f>ROUND(M214*M334,2)</x:f>
        <x:v>381.73</x:v>
      </x:c>
      <x:c r="N14" s="3" t="n">
        <x:f>ROUND(N214*N334,2)</x:f>
        <x:v>401.92</x:v>
      </x:c>
      <x:c r="O14" s="3" t="n">
        <x:f>SUM(C14:N14)</x:f>
        <x:v>3493.03</x:v>
      </x:c>
      <x:c r="P14" s="2" t="str">
        <x:v>EXP3.014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111.34</x:v>
      </x:c>
      <x:c r="D15" s="3" t="n">
        <x:f>ROUND(D215*D335,2)</x:f>
        <x:v>143.49</x:v>
      </x:c>
      <x:c r="E15" s="3" t="n">
        <x:f>ROUND(E215*E335,2)</x:f>
        <x:v>82.97</x:v>
      </x:c>
      <x:c r="F15" s="3" t="n">
        <x:f>ROUND(F215*F335,2)</x:f>
        <x:v>210.02</x:v>
      </x:c>
      <x:c r="G15" s="3" t="n">
        <x:f>ROUND(G215*G335,2)</x:f>
        <x:v>114.14</x:v>
      </x:c>
      <x:c r="H15" s="3" t="n">
        <x:f>ROUND(H215*H335,2)</x:f>
        <x:v>283.96</x:v>
      </x:c>
      <x:c r="I15" s="3" t="n">
        <x:f>ROUND(I215*I335,2)</x:f>
        <x:v>185.55</x:v>
      </x:c>
      <x:c r="J15" s="3" t="n">
        <x:f>ROUND(J215*J335,2)</x:f>
        <x:v>145.39</x:v>
      </x:c>
      <x:c r="K15" s="3" t="n">
        <x:f>ROUND(K215*K335,2)</x:f>
        <x:v>402.45</x:v>
      </x:c>
      <x:c r="L15" s="3" t="n">
        <x:f>ROUND(L215*L335,2)</x:f>
        <x:v>139.1</x:v>
      </x:c>
      <x:c r="M15" s="3" t="n">
        <x:f>ROUND(M215*M335,2)</x:f>
        <x:v>137.97</x:v>
      </x:c>
      <x:c r="N15" s="3" t="n">
        <x:f>ROUND(N215*N335,2)</x:f>
        <x:v>485.01</x:v>
      </x:c>
      <x:c r="O15" s="3" t="n">
        <x:f>SUM(C15:N15)</x:f>
        <x:v>2441.3900000000003</x:v>
      </x:c>
      <x:c r="P15" s="2" t="str">
        <x:v>EXP3.015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73.05</x:v>
      </x:c>
      <x:c r="D16" s="3" t="n">
        <x:f>ROUND(D216*D336,2)</x:f>
        <x:v>120.59</x:v>
      </x:c>
      <x:c r="E16" s="3" t="n">
        <x:f>ROUND(E216*E336,2)</x:f>
        <x:v>79.93</x:v>
      </x:c>
      <x:c r="F16" s="3" t="n">
        <x:f>ROUND(F216*F336,2)</x:f>
        <x:v>90.14</x:v>
      </x:c>
      <x:c r="G16" s="3" t="n">
        <x:f>ROUND(G216*G336,2)</x:f>
        <x:v>293.56</x:v>
      </x:c>
      <x:c r="H16" s="3" t="n">
        <x:f>ROUND(H216*H336,2)</x:f>
        <x:v>136.68</x:v>
      </x:c>
      <x:c r="I16" s="3" t="n">
        <x:f>ROUND(I216*I336,2)</x:f>
        <x:v>133.38</x:v>
      </x:c>
      <x:c r="J16" s="3" t="n">
        <x:f>ROUND(J216*J336,2)</x:f>
        <x:v>404.73</x:v>
      </x:c>
      <x:c r="K16" s="3" t="n">
        <x:f>ROUND(K216*K336,2)</x:f>
        <x:v>142.26</x:v>
      </x:c>
      <x:c r="L16" s="3" t="n">
        <x:f>ROUND(L216*L336,2)</x:f>
        <x:v>426.51</x:v>
      </x:c>
      <x:c r="M16" s="3" t="n">
        <x:f>ROUND(M216*M336,2)</x:f>
        <x:v>117.35</x:v>
      </x:c>
      <x:c r="N16" s="3" t="n">
        <x:f>ROUND(N216*N336,2)</x:f>
        <x:v>121.76</x:v>
      </x:c>
      <x:c r="O16" s="3" t="n">
        <x:f>SUM(C16:N16)</x:f>
        <x:v>2139.94</x:v>
      </x:c>
      <x:c r="P16" s="2" t="str">
        <x:v>EXP3.016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85.72</x:v>
      </x:c>
      <x:c r="D17" s="3" t="n">
        <x:f>ROUND(D217*D337,2)</x:f>
        <x:v>313.13</x:v>
      </x:c>
      <x:c r="E17" s="3" t="n">
        <x:f>ROUND(E217*E337,2)</x:f>
        <x:v>57.59</x:v>
      </x:c>
      <x:c r="F17" s="3" t="n">
        <x:f>ROUND(F217*F337,2)</x:f>
        <x:v>563.21</x:v>
      </x:c>
      <x:c r="G17" s="3" t="n">
        <x:f>ROUND(G217*G337,2)</x:f>
        <x:v>173.62</x:v>
      </x:c>
      <x:c r="H17" s="3" t="n">
        <x:f>ROUND(H217*H337,2)</x:f>
        <x:v>152.31</x:v>
      </x:c>
      <x:c r="I17" s="3" t="n">
        <x:f>ROUND(I217*I337,2)</x:f>
        <x:v>172.36</x:v>
      </x:c>
      <x:c r="J17" s="3" t="n">
        <x:f>ROUND(J217*J337,2)</x:f>
        <x:v>194.79</x:v>
      </x:c>
      <x:c r="K17" s="3" t="n">
        <x:f>ROUND(K217*K337,2)</x:f>
        <x:v>212.96</x:v>
      </x:c>
      <x:c r="L17" s="3" t="n">
        <x:f>ROUND(L217*L337,2)</x:f>
        <x:v>453.58</x:v>
      </x:c>
      <x:c r="M17" s="3" t="n">
        <x:f>ROUND(M217*M337,2)</x:f>
        <x:v>159.8</x:v>
      </x:c>
      <x:c r="N17" s="3" t="n">
        <x:f>ROUND(N217*N337,2)</x:f>
        <x:v>399.49</x:v>
      </x:c>
      <x:c r="O17" s="3" t="n">
        <x:f>SUM(C17:N17)</x:f>
        <x:v>2938.5600000000004</x:v>
      </x:c>
      <x:c r="P17" s="2" t="str">
        <x:v>EXP3.017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126.98</x:v>
      </x:c>
      <x:c r="D18" s="3" t="n">
        <x:f>ROUND(D218*D338,2)</x:f>
        <x:v>135.75</x:v>
      </x:c>
      <x:c r="E18" s="3" t="n">
        <x:f>ROUND(E218*E338,2)</x:f>
        <x:v>155.14</x:v>
      </x:c>
      <x:c r="F18" s="3" t="n">
        <x:f>ROUND(F218*F338,2)</x:f>
        <x:v>150.48</x:v>
      </x:c>
      <x:c r="G18" s="3" t="n">
        <x:f>ROUND(G218*G338,2)</x:f>
        <x:v>175.09</x:v>
      </x:c>
      <x:c r="H18" s="3" t="n">
        <x:f>ROUND(H218*H338,2)</x:f>
        <x:v>191.37</x:v>
      </x:c>
      <x:c r="I18" s="3" t="n">
        <x:f>ROUND(I218*I338,2)</x:f>
        <x:v>166.96</x:v>
      </x:c>
      <x:c r="J18" s="3" t="n">
        <x:f>ROUND(J218*J338,2)</x:f>
        <x:v>103.19</x:v>
      </x:c>
      <x:c r="K18" s="3" t="n">
        <x:f>ROUND(K218*K338,2)</x:f>
        <x:v>403.11</x:v>
      </x:c>
      <x:c r="L18" s="3" t="n">
        <x:f>ROUND(L218*L338,2)</x:f>
        <x:v>154.55</x:v>
      </x:c>
      <x:c r="M18" s="3" t="n">
        <x:f>ROUND(M218*M338,2)</x:f>
        <x:v>62.68</x:v>
      </x:c>
      <x:c r="N18" s="3" t="n">
        <x:f>ROUND(N218*N338,2)</x:f>
        <x:v>238.92</x:v>
      </x:c>
      <x:c r="O18" s="3" t="n">
        <x:f>SUM(C18:N18)</x:f>
        <x:v>2064.2200000000003</x:v>
      </x:c>
      <x:c r="P18" s="2" t="str">
        <x:v>EXP3.018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239.88</x:v>
      </x:c>
      <x:c r="D19" s="3" t="n">
        <x:f>ROUND(D219*D339,2)</x:f>
        <x:v>118.27</x:v>
      </x:c>
      <x:c r="E19" s="3" t="n">
        <x:f>ROUND(E219*E339,2)</x:f>
        <x:v>500</x:v>
      </x:c>
      <x:c r="F19" s="3" t="n">
        <x:f>ROUND(F219*F339,2)</x:f>
        <x:v>319.84</x:v>
      </x:c>
      <x:c r="G19" s="3" t="n">
        <x:f>ROUND(G219*G339,2)</x:f>
        <x:v>260.03</x:v>
      </x:c>
      <x:c r="H19" s="3" t="n">
        <x:f>ROUND(H219*H339,2)</x:f>
        <x:v>312.64</x:v>
      </x:c>
      <x:c r="I19" s="3" t="n">
        <x:f>ROUND(I219*I339,2)</x:f>
        <x:v>200.96</x:v>
      </x:c>
      <x:c r="J19" s="3" t="n">
        <x:f>ROUND(J219*J339,2)</x:f>
        <x:v>184.93</x:v>
      </x:c>
      <x:c r="K19" s="3" t="n">
        <x:f>ROUND(K219*K339,2)</x:f>
        <x:v>221.73</x:v>
      </x:c>
      <x:c r="L19" s="3" t="n">
        <x:f>ROUND(L219*L339,2)</x:f>
        <x:v>54.73</x:v>
      </x:c>
      <x:c r="M19" s="3" t="n">
        <x:f>ROUND(M219*M339,2)</x:f>
        <x:v>97.48</x:v>
      </x:c>
      <x:c r="N19" s="3" t="n">
        <x:f>ROUND(N219*N339,2)</x:f>
        <x:v>464.59</x:v>
      </x:c>
      <x:c r="O19" s="3" t="n">
        <x:f>SUM(C19:N19)</x:f>
        <x:v>2975.08</x:v>
      </x:c>
      <x:c r="P19" s="2" t="str">
        <x:v>EXP3.019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EXP3.020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145.43</x:v>
      </x:c>
      <x:c r="D21" s="3" t="n">
        <x:f>ROUND(D221*D341,2)</x:f>
        <x:v>79.08</x:v>
      </x:c>
      <x:c r="E21" s="3" t="n">
        <x:f>ROUND(E221*E341,2)</x:f>
        <x:v>113.58</x:v>
      </x:c>
      <x:c r="F21" s="3" t="n">
        <x:f>ROUND(F221*F341,2)</x:f>
        <x:v>131.75</x:v>
      </x:c>
      <x:c r="G21" s="3" t="n">
        <x:f>ROUND(G221*G341,2)</x:f>
        <x:v>328.1</x:v>
      </x:c>
      <x:c r="H21" s="3" t="n">
        <x:f>ROUND(H221*H341,2)</x:f>
        <x:v>348.36</x:v>
      </x:c>
      <x:c r="I21" s="3" t="n">
        <x:f>ROUND(I221*I341,2)</x:f>
        <x:v>544.76</x:v>
      </x:c>
      <x:c r="J21" s="3" t="n">
        <x:f>ROUND(J221*J341,2)</x:f>
        <x:v>252.35</x:v>
      </x:c>
      <x:c r="K21" s="3" t="n">
        <x:f>ROUND(K221*K341,2)</x:f>
        <x:v>211.46</x:v>
      </x:c>
      <x:c r="L21" s="3" t="n">
        <x:f>ROUND(L221*L341,2)</x:f>
        <x:v>353.01</x:v>
      </x:c>
      <x:c r="M21" s="3" t="n">
        <x:f>ROUND(M221*M341,2)</x:f>
        <x:v>346.4</x:v>
      </x:c>
      <x:c r="N21" s="3" t="n">
        <x:f>ROUND(N221*N341,2)</x:f>
        <x:v>215.36</x:v>
      </x:c>
      <x:c r="O21" s="3" t="n">
        <x:f>SUM(C21:N21)</x:f>
        <x:v>3069.6400000000003</x:v>
      </x:c>
      <x:c r="P21" s="2" t="str">
        <x:v>EXP3.021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319.88</x:v>
      </x:c>
      <x:c r="D22" s="3" t="n">
        <x:f>ROUND(D222*D342,2)</x:f>
        <x:v>351.12</x:v>
      </x:c>
      <x:c r="E22" s="3" t="n">
        <x:f>ROUND(E222*E342,2)</x:f>
        <x:v>136.04</x:v>
      </x:c>
      <x:c r="F22" s="3" t="n">
        <x:f>ROUND(F222*F342,2)</x:f>
        <x:v>371.72</x:v>
      </x:c>
      <x:c r="G22" s="3" t="n">
        <x:f>ROUND(G222*G342,2)</x:f>
        <x:v>227.6</x:v>
      </x:c>
      <x:c r="H22" s="3" t="n">
        <x:f>ROUND(H222*H342,2)</x:f>
        <x:v>204.2</x:v>
      </x:c>
      <x:c r="I22" s="3" t="n">
        <x:f>ROUND(I222*I342,2)</x:f>
        <x:v>101.13</x:v>
      </x:c>
      <x:c r="J22" s="3" t="n">
        <x:f>ROUND(J222*J342,2)</x:f>
        <x:v>295.54</x:v>
      </x:c>
      <x:c r="K22" s="3" t="n">
        <x:f>ROUND(K222*K342,2)</x:f>
        <x:v>176.11</x:v>
      </x:c>
      <x:c r="L22" s="3" t="n">
        <x:f>ROUND(L222*L342,2)</x:f>
        <x:v>335.65</x:v>
      </x:c>
      <x:c r="M22" s="3" t="n">
        <x:f>ROUND(M222*M342,2)</x:f>
        <x:v>125.14</x:v>
      </x:c>
      <x:c r="N22" s="3" t="n">
        <x:f>ROUND(N222*N342,2)</x:f>
        <x:v>184.35</x:v>
      </x:c>
      <x:c r="O22" s="3" t="n">
        <x:f>SUM(C22:N22)</x:f>
        <x:v>2828.48</x:v>
      </x:c>
      <x:c r="P22" s="2" t="str">
        <x:v>EXP3.022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264.67</x:v>
      </x:c>
      <x:c r="D23" s="3" t="n">
        <x:f>ROUND(D223*D343,2)</x:f>
        <x:v>261.7</x:v>
      </x:c>
      <x:c r="E23" s="3" t="n">
        <x:f>ROUND(E223*E343,2)</x:f>
        <x:v>291.64</x:v>
      </x:c>
      <x:c r="F23" s="3" t="n">
        <x:f>ROUND(F223*F343,2)</x:f>
        <x:v>321.61</x:v>
      </x:c>
      <x:c r="G23" s="3" t="n">
        <x:f>ROUND(G223*G343,2)</x:f>
        <x:v>299.11</x:v>
      </x:c>
      <x:c r="H23" s="3" t="n">
        <x:f>ROUND(H223*H343,2)</x:f>
        <x:v>394.47</x:v>
      </x:c>
      <x:c r="I23" s="3" t="n">
        <x:f>ROUND(I223*I343,2)</x:f>
        <x:v>252.58</x:v>
      </x:c>
      <x:c r="J23" s="3" t="n">
        <x:f>ROUND(J223*J343,2)</x:f>
        <x:v>161.71</x:v>
      </x:c>
      <x:c r="K23" s="3" t="n">
        <x:f>ROUND(K223*K343,2)</x:f>
        <x:v>205.7</x:v>
      </x:c>
      <x:c r="L23" s="3" t="n">
        <x:f>ROUND(L223*L343,2)</x:f>
        <x:v>170.2</x:v>
      </x:c>
      <x:c r="M23" s="3" t="n">
        <x:f>ROUND(M223*M343,2)</x:f>
        <x:v>461.42</x:v>
      </x:c>
      <x:c r="N23" s="3" t="n">
        <x:f>ROUND(N223*N343,2)</x:f>
        <x:v>196.03</x:v>
      </x:c>
      <x:c r="O23" s="3" t="n">
        <x:f>SUM(C23:N23)</x:f>
        <x:v>3280.84</x:v>
      </x:c>
      <x:c r="P23" s="2" t="str">
        <x:v>EXP3.023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142.01</x:v>
      </x:c>
      <x:c r="D24" s="3" t="n">
        <x:f>ROUND(D224*D344,2)</x:f>
        <x:v>199.98</x:v>
      </x:c>
      <x:c r="E24" s="3" t="n">
        <x:f>ROUND(E224*E344,2)</x:f>
        <x:v>197.8</x:v>
      </x:c>
      <x:c r="F24" s="3" t="n">
        <x:f>ROUND(F224*F344,2)</x:f>
        <x:v>347.97</x:v>
      </x:c>
      <x:c r="G24" s="3" t="n">
        <x:f>ROUND(G224*G344,2)</x:f>
        <x:v>187.05</x:v>
      </x:c>
      <x:c r="H24" s="3" t="n">
        <x:f>ROUND(H224*H344,2)</x:f>
        <x:v>112.42</x:v>
      </x:c>
      <x:c r="I24" s="3" t="n">
        <x:f>ROUND(I224*I344,2)</x:f>
        <x:v>150.85</x:v>
      </x:c>
      <x:c r="J24" s="3" t="n">
        <x:f>ROUND(J224*J344,2)</x:f>
        <x:v>134.61</x:v>
      </x:c>
      <x:c r="K24" s="3" t="n">
        <x:f>ROUND(K224*K344,2)</x:f>
        <x:v>432.24</x:v>
      </x:c>
      <x:c r="L24" s="3" t="n">
        <x:f>ROUND(L224*L344,2)</x:f>
        <x:v>484.29</x:v>
      </x:c>
      <x:c r="M24" s="3" t="n">
        <x:f>ROUND(M224*M344,2)</x:f>
        <x:v>315.55</x:v>
      </x:c>
      <x:c r="N24" s="3" t="n">
        <x:f>ROUND(N224*N344,2)</x:f>
        <x:v>271.99</x:v>
      </x:c>
      <x:c r="O24" s="3" t="n">
        <x:f>SUM(C24:N24)</x:f>
        <x:v>2976.76</x:v>
      </x:c>
      <x:c r="P24" s="2" t="str">
        <x:v>EXP3.024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562.9</x:v>
      </x:c>
      <x:c r="D25" s="3" t="n">
        <x:f>ROUND(D225*D345,2)</x:f>
        <x:v>107.81</x:v>
      </x:c>
      <x:c r="E25" s="3" t="n">
        <x:f>ROUND(E225*E345,2)</x:f>
        <x:v>275.65</x:v>
      </x:c>
      <x:c r="F25" s="3" t="n">
        <x:f>ROUND(F225*F345,2)</x:f>
        <x:v>118.44</x:v>
      </x:c>
      <x:c r="G25" s="3" t="n">
        <x:f>ROUND(G225*G345,2)</x:f>
        <x:v>284.43</x:v>
      </x:c>
      <x:c r="H25" s="3" t="n">
        <x:f>ROUND(H225*H345,2)</x:f>
        <x:v>287.63</x:v>
      </x:c>
      <x:c r="I25" s="3" t="n">
        <x:f>ROUND(I225*I345,2)</x:f>
        <x:v>398.37</x:v>
      </x:c>
      <x:c r="J25" s="3" t="n">
        <x:f>ROUND(J225*J345,2)</x:f>
        <x:v>281.3</x:v>
      </x:c>
      <x:c r="K25" s="3" t="n">
        <x:f>ROUND(K225*K345,2)</x:f>
        <x:v>288.15</x:v>
      </x:c>
      <x:c r="L25" s="3" t="n">
        <x:f>ROUND(L225*L345,2)</x:f>
        <x:v>176.37</x:v>
      </x:c>
      <x:c r="M25" s="3" t="n">
        <x:f>ROUND(M225*M345,2)</x:f>
        <x:v>218.3</x:v>
      </x:c>
      <x:c r="N25" s="3" t="n">
        <x:f>ROUND(N225*N345,2)</x:f>
        <x:v>345.24</x:v>
      </x:c>
      <x:c r="O25" s="3" t="n">
        <x:f>SUM(C25:N25)</x:f>
        <x:v>3344.59</x:v>
      </x:c>
      <x:c r="P25" s="2" t="str">
        <x:v>EXP3.025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183.53</x:v>
      </x:c>
      <x:c r="D26" s="3" t="n">
        <x:f>ROUND(D226*D346,2)</x:f>
        <x:v>259.93</x:v>
      </x:c>
      <x:c r="E26" s="3" t="n">
        <x:f>ROUND(E226*E346,2)</x:f>
        <x:v>321.41</x:v>
      </x:c>
      <x:c r="F26" s="3" t="n">
        <x:f>ROUND(F226*F346,2)</x:f>
        <x:v>106.75</x:v>
      </x:c>
      <x:c r="G26" s="3" t="n">
        <x:f>ROUND(G226*G346,2)</x:f>
        <x:v>254.68</x:v>
      </x:c>
      <x:c r="H26" s="3" t="n">
        <x:f>ROUND(H226*H346,2)</x:f>
        <x:v>160.99</x:v>
      </x:c>
      <x:c r="I26" s="3" t="n">
        <x:f>ROUND(I226*I346,2)</x:f>
        <x:v>416.7</x:v>
      </x:c>
      <x:c r="J26" s="3" t="n">
        <x:f>ROUND(J226*J346,2)</x:f>
        <x:v>147.46</x:v>
      </x:c>
      <x:c r="K26" s="3" t="n">
        <x:f>ROUND(K226*K346,2)</x:f>
        <x:v>209.51</x:v>
      </x:c>
      <x:c r="L26" s="3" t="n">
        <x:f>ROUND(L226*L346,2)</x:f>
        <x:v>95.14</x:v>
      </x:c>
      <x:c r="M26" s="3" t="n">
        <x:f>ROUND(M226*M346,2)</x:f>
        <x:v>123.52</x:v>
      </x:c>
      <x:c r="N26" s="3" t="n">
        <x:f>ROUND(N226*N346,2)</x:f>
        <x:v>391.67</x:v>
      </x:c>
      <x:c r="O26" s="3" t="n">
        <x:f>SUM(C26:N26)</x:f>
        <x:v>2671.29</x:v>
      </x:c>
      <x:c r="P26" s="2" t="str">
        <x:v>EXP3.026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376.28</x:v>
      </x:c>
      <x:c r="D27" s="3" t="n">
        <x:f>ROUND(D227*D347,2)</x:f>
        <x:v>518.71</x:v>
      </x:c>
      <x:c r="E27" s="3" t="n">
        <x:f>ROUND(E227*E347,2)</x:f>
        <x:v>487.52</x:v>
      </x:c>
      <x:c r="F27" s="3" t="n">
        <x:f>ROUND(F227*F347,2)</x:f>
        <x:v>139.26</x:v>
      </x:c>
      <x:c r="G27" s="3" t="n">
        <x:f>ROUND(G227*G347,2)</x:f>
        <x:v>167.21</x:v>
      </x:c>
      <x:c r="H27" s="3" t="n">
        <x:f>ROUND(H227*H347,2)</x:f>
        <x:v>329.72</x:v>
      </x:c>
      <x:c r="I27" s="3" t="n">
        <x:f>ROUND(I227*I347,2)</x:f>
        <x:v>122.86</x:v>
      </x:c>
      <x:c r="J27" s="3" t="n">
        <x:f>ROUND(J227*J347,2)</x:f>
        <x:v>139.23</x:v>
      </x:c>
      <x:c r="K27" s="3" t="n">
        <x:f>ROUND(K227*K347,2)</x:f>
        <x:v>95.69</x:v>
      </x:c>
      <x:c r="L27" s="3" t="n">
        <x:f>ROUND(L227*L347,2)</x:f>
        <x:v>237.76</x:v>
      </x:c>
      <x:c r="M27" s="3" t="n">
        <x:f>ROUND(M227*M347,2)</x:f>
        <x:v>416.71</x:v>
      </x:c>
      <x:c r="N27" s="3" t="n">
        <x:f>ROUND(N227*N347,2)</x:f>
        <x:v>290.55</x:v>
      </x:c>
      <x:c r="O27" s="3" t="n">
        <x:f>SUM(C27:N27)</x:f>
        <x:v>3321.5</x:v>
      </x:c>
      <x:c r="P27" s="2" t="str">
        <x:v>EXP3.027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54.83</x:v>
      </x:c>
      <x:c r="D28" s="3" t="n">
        <x:f>ROUND(D228*D348,2)</x:f>
        <x:v>196.2</x:v>
      </x:c>
      <x:c r="E28" s="3" t="n">
        <x:f>ROUND(E228*E348,2)</x:f>
        <x:v>148.83</x:v>
      </x:c>
      <x:c r="F28" s="3" t="n">
        <x:f>ROUND(F228*F348,2)</x:f>
        <x:v>297.85</x:v>
      </x:c>
      <x:c r="G28" s="3" t="n">
        <x:f>ROUND(G228*G348,2)</x:f>
        <x:v>205.63</x:v>
      </x:c>
      <x:c r="H28" s="3" t="n">
        <x:f>ROUND(H228*H348,2)</x:f>
        <x:v>226.65</x:v>
      </x:c>
      <x:c r="I28" s="3" t="n">
        <x:f>ROUND(I228*I348,2)</x:f>
        <x:v>116.66</x:v>
      </x:c>
      <x:c r="J28" s="3" t="n">
        <x:f>ROUND(J228*J348,2)</x:f>
        <x:v>233.25</x:v>
      </x:c>
      <x:c r="K28" s="3" t="n">
        <x:f>ROUND(K228*K348,2)</x:f>
        <x:v>156.06</x:v>
      </x:c>
      <x:c r="L28" s="3" t="n">
        <x:f>ROUND(L228*L348,2)</x:f>
        <x:v>556.18</x:v>
      </x:c>
      <x:c r="M28" s="3" t="n">
        <x:f>ROUND(M228*M348,2)</x:f>
        <x:v>398.56</x:v>
      </x:c>
      <x:c r="N28" s="3" t="n">
        <x:f>ROUND(N228*N348,2)</x:f>
        <x:v>310.58</x:v>
      </x:c>
      <x:c r="O28" s="3" t="n">
        <x:f>SUM(C28:N28)</x:f>
        <x:v>2901.2799999999997</x:v>
      </x:c>
      <x:c r="P28" s="2" t="str">
        <x:v>EXP3.028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EXP3.029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69.7</x:v>
      </x:c>
      <x:c r="D30" s="6" t="n">
        <x:f>ROUND(D230*D350,2)</x:f>
        <x:v>252.33</x:v>
      </x:c>
      <x:c r="E30" s="6" t="n">
        <x:f>ROUND(E230*E350,2)</x:f>
        <x:v>274.73</x:v>
      </x:c>
      <x:c r="F30" s="6" t="n">
        <x:f>ROUND(F230*F350,2)</x:f>
        <x:v>391.27</x:v>
      </x:c>
      <x:c r="G30" s="6" t="n">
        <x:f>ROUND(G230*G350,2)</x:f>
        <x:v>411.5</x:v>
      </x:c>
      <x:c r="H30" s="6" t="n">
        <x:f>ROUND(H230*H350,2)</x:f>
        <x:v>468.87</x:v>
      </x:c>
      <x:c r="I30" s="6" t="n">
        <x:f>ROUND(I230*I350,2)</x:f>
        <x:v>564.54</x:v>
      </x:c>
      <x:c r="J30" s="6" t="n">
        <x:f>ROUND(J230*J350,2)</x:f>
        <x:v>219.48</x:v>
      </x:c>
      <x:c r="K30" s="6" t="n">
        <x:f>ROUND(K230*K350,2)</x:f>
        <x:v>155.42</x:v>
      </x:c>
      <x:c r="L30" s="6" t="n">
        <x:f>ROUND(L230*L350,2)</x:f>
        <x:v>225.96</x:v>
      </x:c>
      <x:c r="M30" s="6" t="n">
        <x:f>ROUND(M230*M350,2)</x:f>
        <x:v>188.21</x:v>
      </x:c>
      <x:c r="N30" s="6" t="n">
        <x:f>ROUND(N230*N350,2)</x:f>
        <x:v>345.1</x:v>
      </x:c>
      <x:c r="O30" s="6" t="n">
        <x:f>SUM(C30:N30)</x:f>
        <x:v>3567.11</x:v>
      </x:c>
      <x:c r="P30" s="2" t="str">
        <x:v>EXP3.030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161.67</x:v>
      </x:c>
      <x:c r="D31" s="3" t="n">
        <x:f>ROUND(D231*D351,2)</x:f>
        <x:v>236.8</x:v>
      </x:c>
      <x:c r="E31" s="3" t="n">
        <x:f>ROUND(E231*E351,2)</x:f>
        <x:v>254.64</x:v>
      </x:c>
      <x:c r="F31" s="3" t="n">
        <x:f>ROUND(F231*F351,2)</x:f>
        <x:v>177.28</x:v>
      </x:c>
      <x:c r="G31" s="3" t="n">
        <x:f>ROUND(G231*G351,2)</x:f>
        <x:v>249.85</x:v>
      </x:c>
      <x:c r="H31" s="3" t="n">
        <x:f>ROUND(H231*H351,2)</x:f>
        <x:v>102.19</x:v>
      </x:c>
      <x:c r="I31" s="3" t="n">
        <x:f>ROUND(I231*I351,2)</x:f>
        <x:v>91.15</x:v>
      </x:c>
      <x:c r="J31" s="3" t="n">
        <x:f>ROUND(J231*J351,2)</x:f>
        <x:v>498.45</x:v>
      </x:c>
      <x:c r="K31" s="3" t="n">
        <x:f>ROUND(K231*K351,2)</x:f>
        <x:v>149.26</x:v>
      </x:c>
      <x:c r="L31" s="3" t="n">
        <x:f>ROUND(L231*L351,2)</x:f>
        <x:v>95.86</x:v>
      </x:c>
      <x:c r="M31" s="3" t="n">
        <x:f>ROUND(M231*M351,2)</x:f>
        <x:v>283.42</x:v>
      </x:c>
      <x:c r="N31" s="3" t="n">
        <x:f>ROUND(N231*N351,2)</x:f>
        <x:v>340.75</x:v>
      </x:c>
      <x:c r="O31" s="3" t="n">
        <x:f>SUM(C31:N31)</x:f>
        <x:v>2641.32</x:v>
      </x:c>
      <x:c r="P31" s="2" t="str">
        <x:v>EXP3.031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65.46</x:v>
      </x:c>
      <x:c r="D32" s="3" t="n">
        <x:f>ROUND(D232*D352,2)</x:f>
        <x:v>342.07</x:v>
      </x:c>
      <x:c r="E32" s="3" t="n">
        <x:f>ROUND(E232*E352,2)</x:f>
        <x:v>552.73</x:v>
      </x:c>
      <x:c r="F32" s="3" t="n">
        <x:f>ROUND(F232*F352,2)</x:f>
        <x:v>178.3</x:v>
      </x:c>
      <x:c r="G32" s="3" t="n">
        <x:f>ROUND(G232*G352,2)</x:f>
        <x:v>183.63</x:v>
      </x:c>
      <x:c r="H32" s="3" t="n">
        <x:f>ROUND(H232*H352,2)</x:f>
        <x:v>66.51</x:v>
      </x:c>
      <x:c r="I32" s="3" t="n">
        <x:f>ROUND(I232*I352,2)</x:f>
        <x:v>76.84</x:v>
      </x:c>
      <x:c r="J32" s="3" t="n">
        <x:f>ROUND(J232*J352,2)</x:f>
        <x:v>249.96</x:v>
      </x:c>
      <x:c r="K32" s="3" t="n">
        <x:f>ROUND(K232*K352,2)</x:f>
        <x:v>391.58</x:v>
      </x:c>
      <x:c r="L32" s="3" t="n">
        <x:f>ROUND(L232*L352,2)</x:f>
        <x:v>205.45</x:v>
      </x:c>
      <x:c r="M32" s="3" t="n">
        <x:f>ROUND(M232*M352,2)</x:f>
        <x:v>278.38</x:v>
      </x:c>
      <x:c r="N32" s="3" t="n">
        <x:f>ROUND(N232*N352,2)</x:f>
        <x:v>264.99</x:v>
      </x:c>
      <x:c r="O32" s="3" t="n">
        <x:f>SUM(C32:N32)</x:f>
        <x:v>2855.8999999999996</x:v>
      </x:c>
      <x:c r="P32" s="2" t="str">
        <x:v>EXP3.032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243.27</x:v>
      </x:c>
      <x:c r="D33" s="3" t="n">
        <x:f>ROUND(D233*D353,2)</x:f>
        <x:v>377.58</x:v>
      </x:c>
      <x:c r="E33" s="3" t="n">
        <x:f>ROUND(E233*E353,2)</x:f>
        <x:v>58.83</x:v>
      </x:c>
      <x:c r="F33" s="3" t="n">
        <x:f>ROUND(F233*F353,2)</x:f>
        <x:v>157.85</x:v>
      </x:c>
      <x:c r="G33" s="3" t="n">
        <x:f>ROUND(G233*G353,2)</x:f>
        <x:v>321.66</x:v>
      </x:c>
      <x:c r="H33" s="3" t="n">
        <x:f>ROUND(H233*H353,2)</x:f>
        <x:v>121.17</x:v>
      </x:c>
      <x:c r="I33" s="3" t="n">
        <x:f>ROUND(I233*I353,2)</x:f>
        <x:v>163.74</x:v>
      </x:c>
      <x:c r="J33" s="3" t="n">
        <x:f>ROUND(J233*J353,2)</x:f>
        <x:v>113.54</x:v>
      </x:c>
      <x:c r="K33" s="3" t="n">
        <x:f>ROUND(K233*K353,2)</x:f>
        <x:v>165.35</x:v>
      </x:c>
      <x:c r="L33" s="3" t="n">
        <x:f>ROUND(L233*L353,2)</x:f>
        <x:v>412.53</x:v>
      </x:c>
      <x:c r="M33" s="3" t="n">
        <x:f>ROUND(M233*M353,2)</x:f>
        <x:v>156.35</x:v>
      </x:c>
      <x:c r="N33" s="3" t="n">
        <x:f>ROUND(N233*N353,2)</x:f>
        <x:v>116.96</x:v>
      </x:c>
      <x:c r="O33" s="3" t="n">
        <x:f>SUM(C33:N33)</x:f>
        <x:v>2408.83</x:v>
      </x:c>
      <x:c r="P33" s="2" t="str">
        <x:v>EXP3.033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6303.219999999999</x:v>
      </x:c>
      <x:c r="D34" s="3" t="n">
        <x:f>SUM(D4:D33)</x:f>
        <x:v>6874.91</x:v>
      </x:c>
      <x:c r="E34" s="3" t="n">
        <x:f>SUM(E4:E33)</x:f>
        <x:v>6944.67</x:v>
      </x:c>
      <x:c r="F34" s="3" t="n">
        <x:f>SUM(F4:F33)</x:f>
        <x:v>7423.91</x:v>
      </x:c>
      <x:c r="G34" s="3" t="n">
        <x:f>SUM(G4:G33)</x:f>
        <x:v>7932.4000000000015</x:v>
      </x:c>
      <x:c r="H34" s="3" t="n">
        <x:f>SUM(H4:H33)</x:f>
        <x:v>6913.249999999999</x:v>
      </x:c>
      <x:c r="I34" s="3" t="n">
        <x:f>SUM(I4:I33)</x:f>
        <x:v>8189.349999999999</x:v>
      </x:c>
      <x:c r="J34" s="3" t="n">
        <x:f>SUM(J4:J33)</x:f>
        <x:v>7034.069999999999</x:v>
      </x:c>
      <x:c r="K34" s="3" t="n">
        <x:f>SUM(K4:K33)</x:f>
        <x:v>7822.82</x:v>
      </x:c>
      <x:c r="L34" s="3" t="n">
        <x:f>SUM(L4:L33)</x:f>
        <x:v>7164.929999999999</x:v>
      </x:c>
      <x:c r="M34" s="3" t="n">
        <x:f>SUM(M4:M33)</x:f>
        <x:v>6857.3600000000015</x:v>
      </x:c>
      <x:c r="N34" s="3" t="n">
        <x:f>SUM(N4:N33)</x:f>
        <x:v>8367.88</x:v>
      </x:c>
      <x:c r="O34" s="3" t="n">
        <x:f>SUM(C34:N34)</x:f>
        <x:v>87828.77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47.94</x:v>
      </x:c>
      <x:c r="D204" s="4" t="n">
        <x:v>21.22</x:v>
      </x:c>
      <x:c r="E204" s="4" t="n">
        <x:v>22.56</x:v>
      </x:c>
      <x:c r="F204" s="4" t="n">
        <x:v>32.5</x:v>
      </x:c>
      <x:c r="G204" s="4" t="n">
        <x:v>19.59</x:v>
      </x:c>
      <x:c r="H204" s="4" t="n">
        <x:v>60.06</x:v>
      </x:c>
      <x:c r="I204" s="4" t="n">
        <x:v>50.91</x:v>
      </x:c>
      <x:c r="J204" s="4" t="n">
        <x:v>52.09</x:v>
      </x:c>
      <x:c r="K204" s="4" t="n">
        <x:v>43.25</x:v>
      </x:c>
      <x:c r="L204" s="4" t="n">
        <x:v>46.97</x:v>
      </x:c>
      <x:c r="M204" s="4" t="n">
        <x:v>43.14</x:v>
      </x:c>
      <x:c r="N204" s="4" t="n">
        <x:v>24.55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62.95</x:v>
      </x:c>
      <x:c r="D205" s="4" t="n">
        <x:v>30.35</x:v>
      </x:c>
      <x:c r="E205" s="4" t="n">
        <x:v>41.81</x:v>
      </x:c>
      <x:c r="F205" s="4" t="n">
        <x:v>27.37</x:v>
      </x:c>
      <x:c r="G205" s="4" t="n">
        <x:v>48.8</x:v>
      </x:c>
      <x:c r="H205" s="4" t="n">
        <x:v>31.81</x:v>
      </x:c>
      <x:c r="I205" s="4" t="n">
        <x:v>39.27</x:v>
      </x:c>
      <x:c r="J205" s="4" t="n">
        <x:v>65.31</x:v>
      </x:c>
      <x:c r="K205" s="4" t="n">
        <x:v>59.64</x:v>
      </x:c>
      <x:c r="L205" s="4" t="n">
        <x:v>20.54</x:v>
      </x:c>
      <x:c r="M205" s="4" t="n">
        <x:v>53.61</x:v>
      </x:c>
      <x:c r="N205" s="4" t="n">
        <x:v>34.96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28.99</x:v>
      </x:c>
      <x:c r="D206" s="4" t="n">
        <x:v>22.9</x:v>
      </x:c>
      <x:c r="E206" s="4" t="n">
        <x:v>37.76</x:v>
      </x:c>
      <x:c r="F206" s="4" t="n">
        <x:v>45.51</x:v>
      </x:c>
      <x:c r="G206" s="4" t="n">
        <x:v>40.77</x:v>
      </x:c>
      <x:c r="H206" s="4" t="n">
        <x:v>27.4</x:v>
      </x:c>
      <x:c r="I206" s="4" t="n">
        <x:v>56.49</x:v>
      </x:c>
      <x:c r="J206" s="4" t="n">
        <x:v>21.82</x:v>
      </x:c>
      <x:c r="K206" s="4" t="n">
        <x:v>49.34</x:v>
      </x:c>
      <x:c r="L206" s="4" t="n">
        <x:v>33.21</x:v>
      </x:c>
      <x:c r="M206" s="4" t="n">
        <x:v>38.69</x:v>
      </x:c>
      <x:c r="N206" s="4" t="n">
        <x:v>60.31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54.15</x:v>
      </x:c>
      <x:c r="D207" s="4" t="n">
        <x:v>55.4</x:v>
      </x:c>
      <x:c r="E207" s="4" t="n">
        <x:v>45.84</x:v>
      </x:c>
      <x:c r="F207" s="4" t="n">
        <x:v>55.03</x:v>
      </x:c>
      <x:c r="G207" s="4" t="n">
        <x:v>57.37</x:v>
      </x:c>
      <x:c r="H207" s="4" t="n">
        <x:v>55.74</x:v>
      </x:c>
      <x:c r="I207" s="4" t="n">
        <x:v>29.74</x:v>
      </x:c>
      <x:c r="J207" s="4" t="n">
        <x:v>42.92</x:v>
      </x:c>
      <x:c r="K207" s="4" t="n">
        <x:v>32.07</x:v>
      </x:c>
      <x:c r="L207" s="4" t="n">
        <x:v>19.36</x:v>
      </x:c>
      <x:c r="M207" s="4" t="n">
        <x:v>20.79</x:v>
      </x:c>
      <x:c r="N207" s="4" t="n">
        <x:v>21.79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36.79</x:v>
      </x:c>
      <x:c r="D208" s="4" t="n">
        <x:v>51.73</x:v>
      </x:c>
      <x:c r="E208" s="4" t="n">
        <x:v>22.16</x:v>
      </x:c>
      <x:c r="F208" s="4" t="n">
        <x:v>62.76</x:v>
      </x:c>
      <x:c r="G208" s="4" t="n">
        <x:v>47.08</x:v>
      </x:c>
      <x:c r="H208" s="4" t="n">
        <x:v>34.8</x:v>
      </x:c>
      <x:c r="I208" s="4" t="n">
        <x:v>50.72</x:v>
      </x:c>
      <x:c r="J208" s="4" t="n">
        <x:v>58.07</x:v>
      </x:c>
      <x:c r="K208" s="4" t="n">
        <x:v>29.61</x:v>
      </x:c>
      <x:c r="L208" s="4" t="n">
        <x:v>38.56</x:v>
      </x:c>
      <x:c r="M208" s="4" t="n">
        <x:v>29.53</x:v>
      </x:c>
      <x:c r="N208" s="4" t="n">
        <x:v>64.45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60.24</x:v>
      </x:c>
      <x:c r="D209" s="4" t="n">
        <x:v>66.05</x:v>
      </x:c>
      <x:c r="E209" s="4" t="n">
        <x:v>27.03</x:v>
      </x:c>
      <x:c r="F209" s="4" t="n">
        <x:v>57.22</x:v>
      </x:c>
      <x:c r="G209" s="4" t="n">
        <x:v>30.8</x:v>
      </x:c>
      <x:c r="H209" s="4" t="n">
        <x:v>35.9</x:v>
      </x:c>
      <x:c r="I209" s="4" t="n">
        <x:v>62.42</x:v>
      </x:c>
      <x:c r="J209" s="4" t="n">
        <x:v>32.94</x:v>
      </x:c>
      <x:c r="K209" s="4" t="n">
        <x:v>62.3</x:v>
      </x:c>
      <x:c r="L209" s="4" t="n">
        <x:v>63.04</x:v>
      </x:c>
      <x:c r="M209" s="4" t="n">
        <x:v>19.39</x:v>
      </x:c>
      <x:c r="N209" s="4" t="n">
        <x:v>42.14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36.36</x:v>
      </x:c>
      <x:c r="D210" s="4" t="n">
        <x:v>26.26</x:v>
      </x:c>
      <x:c r="E210" s="4" t="n">
        <x:v>23.34</x:v>
      </x:c>
      <x:c r="F210" s="4" t="n">
        <x:v>64.67</x:v>
      </x:c>
      <x:c r="G210" s="4" t="n">
        <x:v>47.25</x:v>
      </x:c>
      <x:c r="H210" s="4" t="n">
        <x:v>55.67</x:v>
      </x:c>
      <x:c r="I210" s="4" t="n">
        <x:v>54.95</x:v>
      </x:c>
      <x:c r="J210" s="4" t="n">
        <x:v>44.93</x:v>
      </x:c>
      <x:c r="K210" s="4" t="n">
        <x:v>51.35</x:v>
      </x:c>
      <x:c r="L210" s="4" t="n">
        <x:v>22.46</x:v>
      </x:c>
      <x:c r="M210" s="4" t="n">
        <x:v>27.25</x:v>
      </x:c>
      <x:c r="N210" s="4" t="n">
        <x:v>23.59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43.49</x:v>
      </x:c>
      <x:c r="D211" s="4" t="n">
        <x:v>43.86</x:v>
      </x:c>
      <x:c r="E211" s="4" t="n">
        <x:v>62.49</x:v>
      </x:c>
      <x:c r="F211" s="4" t="n">
        <x:v>35.3</x:v>
      </x:c>
      <x:c r="G211" s="4" t="n">
        <x:v>63.43</x:v>
      </x:c>
      <x:c r="H211" s="4" t="n">
        <x:v>40.38</x:v>
      </x:c>
      <x:c r="I211" s="4" t="n">
        <x:v>35.64</x:v>
      </x:c>
      <x:c r="J211" s="4" t="n">
        <x:v>43.9</x:v>
      </x:c>
      <x:c r="K211" s="4" t="n">
        <x:v>65.07</x:v>
      </x:c>
      <x:c r="L211" s="4" t="n">
        <x:v>17.73</x:v>
      </x:c>
      <x:c r="M211" s="4" t="n">
        <x:v>67.27</x:v>
      </x:c>
      <x:c r="N211" s="4" t="n">
        <x:v>48.21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45.78</x:v>
      </x:c>
      <x:c r="D212" s="4" t="n">
        <x:v>38.2</x:v>
      </x:c>
      <x:c r="E212" s="4" t="n">
        <x:v>62.45</x:v>
      </x:c>
      <x:c r="F212" s="4" t="n">
        <x:v>44.53</x:v>
      </x:c>
      <x:c r="G212" s="4" t="n">
        <x:v>55.67</x:v>
      </x:c>
      <x:c r="H212" s="4" t="n">
        <x:v>37.31</x:v>
      </x:c>
      <x:c r="I212" s="4" t="n">
        <x:v>23.64</x:v>
      </x:c>
      <x:c r="J212" s="4" t="n">
        <x:v>54.34</x:v>
      </x:c>
      <x:c r="K212" s="4" t="n">
        <x:v>67.01</x:v>
      </x:c>
      <x:c r="L212" s="4" t="n">
        <x:v>45.7</x:v>
      </x:c>
      <x:c r="M212" s="4" t="n">
        <x:v>23.49</x:v>
      </x:c>
      <x:c r="N212" s="4" t="n">
        <x:v>47.85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26.7</x:v>
      </x:c>
      <x:c r="D213" s="4" t="n">
        <x:v>58.18</x:v>
      </x:c>
      <x:c r="E213" s="4" t="n">
        <x:v>48.67</x:v>
      </x:c>
      <x:c r="F213" s="4" t="n">
        <x:v>53.78</x:v>
      </x:c>
      <x:c r="G213" s="4" t="n">
        <x:v>37.22</x:v>
      </x:c>
      <x:c r="H213" s="4" t="n">
        <x:v>37.27</x:v>
      </x:c>
      <x:c r="I213" s="4" t="n">
        <x:v>64.63</x:v>
      </x:c>
      <x:c r="J213" s="4" t="n">
        <x:v>48.87</x:v>
      </x:c>
      <x:c r="K213" s="4" t="n">
        <x:v>55.85</x:v>
      </x:c>
      <x:c r="L213" s="4" t="n">
        <x:v>56.01</x:v>
      </x:c>
      <x:c r="M213" s="4" t="n">
        <x:v>59.86</x:v>
      </x:c>
      <x:c r="N213" s="4" t="n">
        <x:v>46.72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38.99</x:v>
      </x:c>
      <x:c r="D214" s="4" t="n">
        <x:v>18.19</x:v>
      </x:c>
      <x:c r="E214" s="4" t="n">
        <x:v>64.52</x:v>
      </x:c>
      <x:c r="F214" s="4" t="n">
        <x:v>20.48</x:v>
      </x:c>
      <x:c r="G214" s="4" t="n">
        <x:v>38.35</x:v>
      </x:c>
      <x:c r="H214" s="4" t="n">
        <x:v>35.15</x:v>
      </x:c>
      <x:c r="I214" s="4" t="n">
        <x:v>59.34</x:v>
      </x:c>
      <x:c r="J214" s="4" t="n">
        <x:v>28.93</x:v>
      </x:c>
      <x:c r="K214" s="4" t="n">
        <x:v>48.62</x:v>
      </x:c>
      <x:c r="L214" s="4" t="n">
        <x:v>55.54</x:v>
      </x:c>
      <x:c r="M214" s="4" t="n">
        <x:v>54.07</x:v>
      </x:c>
      <x:c r="N214" s="4" t="n">
        <x:v>60.99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24.31</x:v>
      </x:c>
      <x:c r="D215" s="4" t="n">
        <x:v>38.78</x:v>
      </x:c>
      <x:c r="E215" s="4" t="n">
        <x:v>27.75</x:v>
      </x:c>
      <x:c r="F215" s="4" t="n">
        <x:v>41.02</x:v>
      </x:c>
      <x:c r="G215" s="4" t="n">
        <x:v>23.68</x:v>
      </x:c>
      <x:c r="H215" s="4" t="n">
        <x:v>35.54</x:v>
      </x:c>
      <x:c r="I215" s="4" t="n">
        <x:v>55.06</x:v>
      </x:c>
      <x:c r="J215" s="4" t="n">
        <x:v>21.04</x:v>
      </x:c>
      <x:c r="K215" s="4" t="n">
        <x:v>47.74</x:v>
      </x:c>
      <x:c r="L215" s="4" t="n">
        <x:v>28.1</x:v>
      </x:c>
      <x:c r="M215" s="4" t="n">
        <x:v>26.33</x:v>
      </x:c>
      <x:c r="N215" s="4" t="n">
        <x:v>55.62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20.87</x:v>
      </x:c>
      <x:c r="D216" s="4" t="n">
        <x:v>38.9</x:v>
      </x:c>
      <x:c r="E216" s="4" t="n">
        <x:v>23.1</x:v>
      </x:c>
      <x:c r="F216" s="4" t="n">
        <x:v>25.04</x:v>
      </x:c>
      <x:c r="G216" s="4" t="n">
        <x:v>36.88</x:v>
      </x:c>
      <x:c r="H216" s="4" t="n">
        <x:v>31.86</x:v>
      </x:c>
      <x:c r="I216" s="4" t="n">
        <x:v>31.91</x:v>
      </x:c>
      <x:c r="J216" s="4" t="n">
        <x:v>57.49</x:v>
      </x:c>
      <x:c r="K216" s="4" t="n">
        <x:v>50.09</x:v>
      </x:c>
      <x:c r="L216" s="4" t="n">
        <x:v>61.28</x:v>
      </x:c>
      <x:c r="M216" s="4" t="n">
        <x:v>22.61</x:v>
      </x:c>
      <x:c r="N216" s="4" t="n">
        <x:v>20.43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29.56</x:v>
      </x:c>
      <x:c r="D217" s="4" t="n">
        <x:v>39.19</x:v>
      </x:c>
      <x:c r="E217" s="4" t="n">
        <x:v>23.22</x:v>
      </x:c>
      <x:c r="F217" s="4" t="n">
        <x:v>66.81</x:v>
      </x:c>
      <x:c r="G217" s="4" t="n">
        <x:v>47.18</x:v>
      </x:c>
      <x:c r="H217" s="4" t="n">
        <x:v>28.47</x:v>
      </x:c>
      <x:c r="I217" s="4" t="n">
        <x:v>34.75</x:v>
      </x:c>
      <x:c r="J217" s="4" t="n">
        <x:v>35.61</x:v>
      </x:c>
      <x:c r="K217" s="4" t="n">
        <x:v>66.55</x:v>
      </x:c>
      <x:c r="L217" s="4" t="n">
        <x:v>59.76</x:v>
      </x:c>
      <x:c r="M217" s="4" t="n">
        <x:v>36.82</x:v>
      </x:c>
      <x:c r="N217" s="4" t="n">
        <x:v>65.49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56.94</x:v>
      </x:c>
      <x:c r="D218" s="4" t="n">
        <x:v>24.07</x:v>
      </x:c>
      <x:c r="E218" s="4" t="n">
        <x:v>40.4</x:v>
      </x:c>
      <x:c r="F218" s="4" t="n">
        <x:v>36.26</x:v>
      </x:c>
      <x:c r="G218" s="4" t="n">
        <x:v>41.1</x:v>
      </x:c>
      <x:c r="H218" s="4" t="n">
        <x:v>25.55</x:v>
      </x:c>
      <x:c r="I218" s="4" t="n">
        <x:v>61.61</x:v>
      </x:c>
      <x:c r="J218" s="4" t="n">
        <x:v>18.56</x:v>
      </x:c>
      <x:c r="K218" s="4" t="n">
        <x:v>50.2</x:v>
      </x:c>
      <x:c r="L218" s="4" t="n">
        <x:v>40.67</x:v>
      </x:c>
      <x:c r="M218" s="4" t="n">
        <x:v>18.22</x:v>
      </x:c>
      <x:c r="N218" s="4" t="n">
        <x:v>60.03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37.19</x:v>
      </x:c>
      <x:c r="D219" s="4" t="n">
        <x:v>34.38</x:v>
      </x:c>
      <x:c r="E219" s="4" t="n">
        <x:v>57.87</x:v>
      </x:c>
      <x:c r="F219" s="4" t="n">
        <x:v>38.35</x:v>
      </x:c>
      <x:c r="G219" s="4" t="n">
        <x:v>34.35</x:v>
      </x:c>
      <x:c r="H219" s="4" t="n">
        <x:v>38.55</x:v>
      </x:c>
      <x:c r="I219" s="4" t="n">
        <x:v>42.94</x:v>
      </x:c>
      <x:c r="J219" s="4" t="n">
        <x:v>35.77</x:v>
      </x:c>
      <x:c r="K219" s="4" t="n">
        <x:v>27.89</x:v>
      </x:c>
      <x:c r="L219" s="4" t="n">
        <x:v>17.32</x:v>
      </x:c>
      <x:c r="M219" s="4" t="n">
        <x:v>38.08</x:v>
      </x:c>
      <x:c r="N219" s="4" t="n">
        <x:v>55.64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19.76</x:v>
      </x:c>
      <x:c r="D221" s="4" t="n">
        <x:v>26.1</x:v>
      </x:c>
      <x:c r="E221" s="4" t="n">
        <x:v>21.15</x:v>
      </x:c>
      <x:c r="F221" s="4" t="n">
        <x:v>44.36</x:v>
      </x:c>
      <x:c r="G221" s="4" t="n">
        <x:v>44.04</x:v>
      </x:c>
      <x:c r="H221" s="4" t="n">
        <x:v>45.3</x:v>
      </x:c>
      <x:c r="I221" s="4" t="n">
        <x:v>64.93</x:v>
      </x:c>
      <x:c r="J221" s="4" t="n">
        <x:v>58.96</x:v>
      </x:c>
      <x:c r="K221" s="4" t="n">
        <x:v>58.74</x:v>
      </x:c>
      <x:c r="L221" s="4" t="n">
        <x:v>61.18</x:v>
      </x:c>
      <x:c r="M221" s="4" t="n">
        <x:v>48.72</x:v>
      </x:c>
      <x:c r="N221" s="4" t="n">
        <x:v>26.49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47.18</x:v>
      </x:c>
      <x:c r="D222" s="4" t="n">
        <x:v>42.05</x:v>
      </x:c>
      <x:c r="E222" s="4" t="n">
        <x:v>53.35</x:v>
      </x:c>
      <x:c r="F222" s="4" t="n">
        <x:v>55.07</x:v>
      </x:c>
      <x:c r="G222" s="4" t="n">
        <x:v>33.13</x:v>
      </x:c>
      <x:c r="H222" s="4" t="n">
        <x:v>23.31</x:v>
      </x:c>
      <x:c r="I222" s="4" t="n">
        <x:v>42.49</x:v>
      </x:c>
      <x:c r="J222" s="4" t="n">
        <x:v>67.63</x:v>
      </x:c>
      <x:c r="K222" s="4" t="n">
        <x:v>29.4</x:v>
      </x:c>
      <x:c r="L222" s="4" t="n">
        <x:v>52.61</x:v>
      </x:c>
      <x:c r="M222" s="4" t="n">
        <x:v>26.57</x:v>
      </x:c>
      <x:c r="N222" s="4" t="n">
        <x:v>37.47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33.46</x:v>
      </x:c>
      <x:c r="D223" s="4" t="n">
        <x:v>58.81</x:v>
      </x:c>
      <x:c r="E223" s="4" t="n">
        <x:v>50.37</x:v>
      </x:c>
      <x:c r="F223" s="4" t="n">
        <x:v>37.44</x:v>
      </x:c>
      <x:c r="G223" s="4" t="n">
        <x:v>53.7</x:v>
      </x:c>
      <x:c r="H223" s="4" t="n">
        <x:v>53.89</x:v>
      </x:c>
      <x:c r="I223" s="4" t="n">
        <x:v>59.57</x:v>
      </x:c>
      <x:c r="J223" s="4" t="n">
        <x:v>24.84</x:v>
      </x:c>
      <x:c r="K223" s="4" t="n">
        <x:v>28.89</x:v>
      </x:c>
      <x:c r="L223" s="4" t="n">
        <x:v>27.54</x:v>
      </x:c>
      <x:c r="M223" s="4" t="n">
        <x:v>55.66</x:v>
      </x:c>
      <x:c r="N223" s="4" t="n">
        <x:v>40.17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53.79</x:v>
      </x:c>
      <x:c r="D224" s="4" t="n">
        <x:v>27.32</x:v>
      </x:c>
      <x:c r="E224" s="4" t="n">
        <x:v>40.7</x:v>
      </x:c>
      <x:c r="F224" s="4" t="n">
        <x:v>59.38</x:v>
      </x:c>
      <x:c r="G224" s="4" t="n">
        <x:v>56.17</x:v>
      </x:c>
      <x:c r="H224" s="4" t="n">
        <x:v>30.97</x:v>
      </x:c>
      <x:c r="I224" s="4" t="n">
        <x:v>37.34</x:v>
      </x:c>
      <x:c r="J224" s="4" t="n">
        <x:v>52.79</x:v>
      </x:c>
      <x:c r="K224" s="4" t="n">
        <x:v>60.2</x:v>
      </x:c>
      <x:c r="L224" s="4" t="n">
        <x:v>58.56</x:v>
      </x:c>
      <x:c r="M224" s="4" t="n">
        <x:v>41.85</x:v>
      </x:c>
      <x:c r="N224" s="4" t="n">
        <x:v>65.07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65.53</x:v>
      </x:c>
      <x:c r="D225" s="4" t="n">
        <x:v>48.13</x:v>
      </x:c>
      <x:c r="E225" s="4" t="n">
        <x:v>34.63</x:v>
      </x:c>
      <x:c r="F225" s="4" t="n">
        <x:v>36.11</x:v>
      </x:c>
      <x:c r="G225" s="4" t="n">
        <x:v>52.77</x:v>
      </x:c>
      <x:c r="H225" s="4" t="n">
        <x:v>58.58</x:v>
      </x:c>
      <x:c r="I225" s="4" t="n">
        <x:v>54.2</x:v>
      </x:c>
      <x:c r="J225" s="4" t="n">
        <x:v>51.9</x:v>
      </x:c>
      <x:c r="K225" s="4" t="n">
        <x:v>41.52</x:v>
      </x:c>
      <x:c r="L225" s="4" t="n">
        <x:v>47.41</x:v>
      </x:c>
      <x:c r="M225" s="4" t="n">
        <x:v>26.95</x:v>
      </x:c>
      <x:c r="N225" s="4" t="n">
        <x:v>50.18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34.76</x:v>
      </x:c>
      <x:c r="D226" s="4" t="n">
        <x:v>30.58</x:v>
      </x:c>
      <x:c r="E226" s="4" t="n">
        <x:v>55.13</x:v>
      </x:c>
      <x:c r="F226" s="4" t="n">
        <x:v>20.89</x:v>
      </x:c>
      <x:c r="G226" s="4" t="n">
        <x:v>35.08</x:v>
      </x:c>
      <x:c r="H226" s="4" t="n">
        <x:v>33.47</x:v>
      </x:c>
      <x:c r="I226" s="4" t="n">
        <x:v>51.7</x:v>
      </x:c>
      <x:c r="J226" s="4" t="n">
        <x:v>26.57</x:v>
      </x:c>
      <x:c r="K226" s="4" t="n">
        <x:v>46.87</x:v>
      </x:c>
      <x:c r="L226" s="4" t="n">
        <x:v>22.87</x:v>
      </x:c>
      <x:c r="M226" s="4" t="n">
        <x:v>38.36</x:v>
      </x:c>
      <x:c r="N226" s="4" t="n">
        <x:v>66.16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59.35</x:v>
      </x:c>
      <x:c r="D227" s="4" t="n">
        <x:v>62.27</x:v>
      </x:c>
      <x:c r="E227" s="4" t="n">
        <x:v>56.82</x:v>
      </x:c>
      <x:c r="F227" s="4" t="n">
        <x:v>54.61</x:v>
      </x:c>
      <x:c r="G227" s="4" t="n">
        <x:v>62.86</x:v>
      </x:c>
      <x:c r="H227" s="4" t="n">
        <x:v>41.37</x:v>
      </x:c>
      <x:c r="I227" s="4" t="n">
        <x:v>30.87</x:v>
      </x:c>
      <x:c r="J227" s="4" t="n">
        <x:v>40.24</x:v>
      </x:c>
      <x:c r="K227" s="4" t="n">
        <x:v>34.42</x:v>
      </x:c>
      <x:c r="L227" s="4" t="n">
        <x:v>62.24</x:v>
      </x:c>
      <x:c r="M227" s="4" t="n">
        <x:v>56.85</x:v>
      </x:c>
      <x:c r="N227" s="4" t="n">
        <x:v>40.75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21.67</x:v>
      </x:c>
      <x:c r="D228" s="4" t="n">
        <x:v>25.09</x:v>
      </x:c>
      <x:c r="E228" s="4" t="n">
        <x:v>17.53</x:v>
      </x:c>
      <x:c r="F228" s="4" t="n">
        <x:v>40.97</x:v>
      </x:c>
      <x:c r="G228" s="4" t="n">
        <x:v>59.95</x:v>
      </x:c>
      <x:c r="H228" s="4" t="n">
        <x:v>58.87</x:v>
      </x:c>
      <x:c r="I228" s="4" t="n">
        <x:v>20.36</x:v>
      </x:c>
      <x:c r="J228" s="4" t="n">
        <x:v>46.28</x:v>
      </x:c>
      <x:c r="K228" s="4" t="n">
        <x:v>52.9</x:v>
      </x:c>
      <x:c r="L228" s="4" t="n">
        <x:v>67.09</x:v>
      </x:c>
      <x:c r="M228" s="4" t="n">
        <x:v>59.31</x:v>
      </x:c>
      <x:c r="N228" s="4" t="n">
        <x:v>58.49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28.45</x:v>
      </x:c>
      <x:c r="D230" s="4" t="n">
        <x:v>47.88</x:v>
      </x:c>
      <x:c r="E230" s="4" t="n">
        <x:v>55.84</x:v>
      </x:c>
      <x:c r="F230" s="4" t="n">
        <x:v>51.08</x:v>
      </x:c>
      <x:c r="G230" s="4" t="n">
        <x:v>64.6</x:v>
      </x:c>
      <x:c r="H230" s="4" t="n">
        <x:v>64.85</x:v>
      </x:c>
      <x:c r="I230" s="4" t="n">
        <x:v>63.79</x:v>
      </x:c>
      <x:c r="J230" s="4" t="n">
        <x:v>59.16</x:v>
      </x:c>
      <x:c r="K230" s="4" t="n">
        <x:v>42.58</x:v>
      </x:c>
      <x:c r="L230" s="4" t="n">
        <x:v>27.59</x:v>
      </x:c>
      <x:c r="M230" s="4" t="n">
        <x:v>39.96</x:v>
      </x:c>
      <x:c r="N230" s="4" t="n">
        <x:v>59.5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23.74</x:v>
      </x:c>
      <x:c r="D231" s="4" t="n">
        <x:v>38.63</x:v>
      </x:c>
      <x:c r="E231" s="4" t="n">
        <x:v>64.63</x:v>
      </x:c>
      <x:c r="F231" s="4" t="n">
        <x:v>64</x:v>
      </x:c>
      <x:c r="G231" s="4" t="n">
        <x:v>47.59</x:v>
      </x:c>
      <x:c r="H231" s="4" t="n">
        <x:v>19.92</x:v>
      </x:c>
      <x:c r="I231" s="4" t="n">
        <x:v>25.04</x:v>
      </x:c>
      <x:c r="J231" s="4" t="n">
        <x:v>63.74</x:v>
      </x:c>
      <x:c r="K231" s="4" t="n">
        <x:v>28.11</x:v>
      </x:c>
      <x:c r="L231" s="4" t="n">
        <x:v>30.24</x:v>
      </x:c>
      <x:c r="M231" s="4" t="n">
        <x:v>37.49</x:v>
      </x:c>
      <x:c r="N231" s="4" t="n">
        <x:v>47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24.7</x:v>
      </x:c>
      <x:c r="D232" s="4" t="n">
        <x:v>40.82</x:v>
      </x:c>
      <x:c r="E232" s="4" t="n">
        <x:v>67.16</x:v>
      </x:c>
      <x:c r="F232" s="4" t="n">
        <x:v>20.66</x:v>
      </x:c>
      <x:c r="G232" s="4" t="n">
        <x:v>32.33</x:v>
      </x:c>
      <x:c r="H232" s="4" t="n">
        <x:v>30.65</x:v>
      </x:c>
      <x:c r="I232" s="4" t="n">
        <x:v>30.25</x:v>
      </x:c>
      <x:c r="J232" s="4" t="n">
        <x:v>41.59</x:v>
      </x:c>
      <x:c r="K232" s="4" t="n">
        <x:v>60.15</x:v>
      </x:c>
      <x:c r="L232" s="4" t="n">
        <x:v>52.95</x:v>
      </x:c>
      <x:c r="M232" s="4" t="n">
        <x:v>50.8</x:v>
      </x:c>
      <x:c r="N232" s="4" t="n">
        <x:v>36.4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42.98</x:v>
      </x:c>
      <x:c r="D233" s="4" t="n">
        <x:v>50.01</x:v>
      </x:c>
      <x:c r="E233" s="4" t="n">
        <x:v>25.14</x:v>
      </x:c>
      <x:c r="F233" s="4" t="n">
        <x:v>54.62</x:v>
      </x:c>
      <x:c r="G233" s="4" t="n">
        <x:v>48.37</x:v>
      </x:c>
      <x:c r="H233" s="4" t="n">
        <x:v>51.56</x:v>
      </x:c>
      <x:c r="I233" s="4" t="n">
        <x:v>34.69</x:v>
      </x:c>
      <x:c r="J233" s="4" t="n">
        <x:v>38.1</x:v>
      </x:c>
      <x:c r="K233" s="4" t="n">
        <x:v>23.42</x:v>
      </x:c>
      <x:c r="L233" s="4" t="n">
        <x:v>64.66</x:v>
      </x:c>
      <x:c r="M233" s="4" t="n">
        <x:v>27.82</x:v>
      </x:c>
      <x:c r="N233" s="4" t="n">
        <x:v>25.82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2.87</x:v>
      </x:c>
      <x:c r="D324" s="4" t="n">
        <x:v>5.05</x:v>
      </x:c>
      <x:c r="E324" s="4" t="n">
        <x:v>6.82</x:v>
      </x:c>
      <x:c r="F324" s="4" t="n">
        <x:v>8.53</x:v>
      </x:c>
      <x:c r="G324" s="4" t="n">
        <x:v>2.51</x:v>
      </x:c>
      <x:c r="H324" s="4" t="n">
        <x:v>4.16</x:v>
      </x:c>
      <x:c r="I324" s="4" t="n">
        <x:v>8.75</x:v>
      </x:c>
      <x:c r="J324" s="4" t="n">
        <x:v>5.93</x:v>
      </x:c>
      <x:c r="K324" s="4" t="n">
        <x:v>5.11</x:v>
      </x:c>
      <x:c r="L324" s="4" t="n">
        <x:v>3.41</x:v>
      </x:c>
      <x:c r="M324" s="4" t="n">
        <x:v>7.38</x:v>
      </x:c>
      <x:c r="N324" s="4" t="n">
        <x:v>8.54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4.89</x:v>
      </x:c>
      <x:c r="D325" s="4" t="n">
        <x:v>3.59</x:v>
      </x:c>
      <x:c r="E325" s="4" t="n">
        <x:v>6.98</x:v>
      </x:c>
      <x:c r="F325" s="4" t="n">
        <x:v>4.06</x:v>
      </x:c>
      <x:c r="G325" s="4" t="n">
        <x:v>8.7</x:v>
      </x:c>
      <x:c r="H325" s="4" t="n">
        <x:v>2.77</x:v>
      </x:c>
      <x:c r="I325" s="4" t="n">
        <x:v>8.46</x:v>
      </x:c>
      <x:c r="J325" s="4" t="n">
        <x:v>3.13</x:v>
      </x:c>
      <x:c r="K325" s="4" t="n">
        <x:v>7.7</x:v>
      </x:c>
      <x:c r="L325" s="4" t="n">
        <x:v>4.38</x:v>
      </x:c>
      <x:c r="M325" s="4" t="n">
        <x:v>3.5</x:v>
      </x:c>
      <x:c r="N325" s="4" t="n">
        <x:v>5.52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4.09</x:v>
      </x:c>
      <x:c r="D326" s="4" t="n">
        <x:v>2.25</x:v>
      </x:c>
      <x:c r="E326" s="4" t="n">
        <x:v>2.35</x:v>
      </x:c>
      <x:c r="F326" s="4" t="n">
        <x:v>5.16</x:v>
      </x:c>
      <x:c r="G326" s="4" t="n">
        <x:v>8.68</x:v>
      </x:c>
      <x:c r="H326" s="4" t="n">
        <x:v>2.67</x:v>
      </x:c>
      <x:c r="I326" s="4" t="n">
        <x:v>4.1</x:v>
      </x:c>
      <x:c r="J326" s="4" t="n">
        <x:v>4.34</x:v>
      </x:c>
      <x:c r="K326" s="4" t="n">
        <x:v>3.49</x:v>
      </x:c>
      <x:c r="L326" s="4" t="n">
        <x:v>7.19</x:v>
      </x:c>
      <x:c r="M326" s="4" t="n">
        <x:v>3.78</x:v>
      </x:c>
      <x:c r="N326" s="4" t="n">
        <x:v>5.45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6.73</x:v>
      </x:c>
      <x:c r="D327" s="4" t="n">
        <x:v>2.87</x:v>
      </x:c>
      <x:c r="E327" s="4" t="n">
        <x:v>7.66</x:v>
      </x:c>
      <x:c r="F327" s="4" t="n">
        <x:v>8.01</x:v>
      </x:c>
      <x:c r="G327" s="4" t="n">
        <x:v>8.64</x:v>
      </x:c>
      <x:c r="H327" s="4" t="n">
        <x:v>8.29</x:v>
      </x:c>
      <x:c r="I327" s="4" t="n">
        <x:v>5.14</x:v>
      </x:c>
      <x:c r="J327" s="4" t="n">
        <x:v>8.67</x:v>
      </x:c>
      <x:c r="K327" s="4" t="n">
        <x:v>5.15</x:v>
      </x:c>
      <x:c r="L327" s="4" t="n">
        <x:v>2.94</x:v>
      </x:c>
      <x:c r="M327" s="4" t="n">
        <x:v>7.53</x:v>
      </x:c>
      <x:c r="N327" s="4" t="n">
        <x:v>5.61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2.26</x:v>
      </x:c>
      <x:c r="D328" s="4" t="n">
        <x:v>3.67</x:v>
      </x:c>
      <x:c r="E328" s="4" t="n">
        <x:v>3.29</x:v>
      </x:c>
      <x:c r="F328" s="4" t="n">
        <x:v>5.35</x:v>
      </x:c>
      <x:c r="G328" s="4" t="n">
        <x:v>2.27</x:v>
      </x:c>
      <x:c r="H328" s="4" t="n">
        <x:v>7.71</x:v>
      </x:c>
      <x:c r="I328" s="4" t="n">
        <x:v>7.71</x:v>
      </x:c>
      <x:c r="J328" s="4" t="n">
        <x:v>8.45</x:v>
      </x:c>
      <x:c r="K328" s="4" t="n">
        <x:v>7.09</x:v>
      </x:c>
      <x:c r="L328" s="4" t="n">
        <x:v>4.14</x:v>
      </x:c>
      <x:c r="M328" s="4" t="n">
        <x:v>5.48</x:v>
      </x:c>
      <x:c r="N328" s="4" t="n">
        <x:v>7.2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5.27</x:v>
      </x:c>
      <x:c r="D329" s="4" t="n">
        <x:v>6.1</x:v>
      </x:c>
      <x:c r="E329" s="4" t="n">
        <x:v>7.84</x:v>
      </x:c>
      <x:c r="F329" s="4" t="n">
        <x:v>2.32</x:v>
      </x:c>
      <x:c r="G329" s="4" t="n">
        <x:v>7.85</x:v>
      </x:c>
      <x:c r="H329" s="4" t="n">
        <x:v>7.36</x:v>
      </x:c>
      <x:c r="I329" s="4" t="n">
        <x:v>5.36</x:v>
      </x:c>
      <x:c r="J329" s="4" t="n">
        <x:v>3.44</x:v>
      </x:c>
      <x:c r="K329" s="4" t="n">
        <x:v>4.28</x:v>
      </x:c>
      <x:c r="L329" s="4" t="n">
        <x:v>6.08</x:v>
      </x:c>
      <x:c r="M329" s="4" t="n">
        <x:v>6.99</x:v>
      </x:c>
      <x:c r="N329" s="4" t="n">
        <x:v>2.29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7.72</x:v>
      </x:c>
      <x:c r="D330" s="4" t="n">
        <x:v>7.74</x:v>
      </x:c>
      <x:c r="E330" s="4" t="n">
        <x:v>7.16</x:v>
      </x:c>
      <x:c r="F330" s="4" t="n">
        <x:v>7.23</x:v>
      </x:c>
      <x:c r="G330" s="4" t="n">
        <x:v>7.09</x:v>
      </x:c>
      <x:c r="H330" s="4" t="n">
        <x:v>3.42</x:v>
      </x:c>
      <x:c r="I330" s="4" t="n">
        <x:v>7.45</x:v>
      </x:c>
      <x:c r="J330" s="4" t="n">
        <x:v>3.35</x:v>
      </x:c>
      <x:c r="K330" s="4" t="n">
        <x:v>5.78</x:v>
      </x:c>
      <x:c r="L330" s="4" t="n">
        <x:v>2.67</x:v>
      </x:c>
      <x:c r="M330" s="4" t="n">
        <x:v>3.4</x:v>
      </x:c>
      <x:c r="N330" s="4" t="n">
        <x:v>7.41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4.84</x:v>
      </x:c>
      <x:c r="D331" s="4" t="n">
        <x:v>8.59</x:v>
      </x:c>
      <x:c r="E331" s="4" t="n">
        <x:v>3.84</x:v>
      </x:c>
      <x:c r="F331" s="4" t="n">
        <x:v>5.47</x:v>
      </x:c>
      <x:c r="G331" s="4" t="n">
        <x:v>4.81</x:v>
      </x:c>
      <x:c r="H331" s="4" t="n">
        <x:v>4.19</x:v>
      </x:c>
      <x:c r="I331" s="4" t="n">
        <x:v>8.78</x:v>
      </x:c>
      <x:c r="J331" s="4" t="n">
        <x:v>4.46</x:v>
      </x:c>
      <x:c r="K331" s="4" t="n">
        <x:v>4.88</x:v>
      </x:c>
      <x:c r="L331" s="4" t="n">
        <x:v>6.78</x:v>
      </x:c>
      <x:c r="M331" s="4" t="n">
        <x:v>4.12</x:v>
      </x:c>
      <x:c r="N331" s="4" t="n">
        <x:v>5.73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5.78</x:v>
      </x:c>
      <x:c r="D332" s="4" t="n">
        <x:v>5.05</x:v>
      </x:c>
      <x:c r="E332" s="4" t="n">
        <x:v>4.02</x:v>
      </x:c>
      <x:c r="F332" s="4" t="n">
        <x:v>5.47</x:v>
      </x:c>
      <x:c r="G332" s="4" t="n">
        <x:v>8.4</x:v>
      </x:c>
      <x:c r="H332" s="4" t="n">
        <x:v>8.85</x:v>
      </x:c>
      <x:c r="I332" s="4" t="n">
        <x:v>7.37</x:v>
      </x:c>
      <x:c r="J332" s="4" t="n">
        <x:v>5.4</x:v>
      </x:c>
      <x:c r="K332" s="4" t="n">
        <x:v>4.6</x:v>
      </x:c>
      <x:c r="L332" s="4" t="n">
        <x:v>3.24</x:v>
      </x:c>
      <x:c r="M332" s="4" t="n">
        <x:v>5.75</x:v>
      </x:c>
      <x:c r="N332" s="4" t="n">
        <x:v>6.18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4.91</x:v>
      </x:c>
      <x:c r="D333" s="4" t="n">
        <x:v>7.94</x:v>
      </x:c>
      <x:c r="E333" s="4" t="n">
        <x:v>4.01</x:v>
      </x:c>
      <x:c r="F333" s="4" t="n">
        <x:v>4.31</x:v>
      </x:c>
      <x:c r="G333" s="4" t="n">
        <x:v>5.34</x:v>
      </x:c>
      <x:c r="H333" s="4" t="n">
        <x:v>5.06</x:v>
      </x:c>
      <x:c r="I333" s="4" t="n">
        <x:v>8.65</x:v>
      </x:c>
      <x:c r="J333" s="4" t="n">
        <x:v>5.68</x:v>
      </x:c>
      <x:c r="K333" s="4" t="n">
        <x:v>8.28</x:v>
      </x:c>
      <x:c r="L333" s="4" t="n">
        <x:v>6.47</x:v>
      </x:c>
      <x:c r="M333" s="4" t="n">
        <x:v>7.29</x:v>
      </x:c>
      <x:c r="N333" s="4" t="n">
        <x:v>6.01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8.2</x:v>
      </x:c>
      <x:c r="D334" s="4" t="n">
        <x:v>3.58</x:v>
      </x:c>
      <x:c r="E334" s="4" t="n">
        <x:v>6.06</x:v>
      </x:c>
      <x:c r="F334" s="4" t="n">
        <x:v>6.87</x:v>
      </x:c>
      <x:c r="G334" s="4" t="n">
        <x:v>7.2</x:v>
      </x:c>
      <x:c r="H334" s="4" t="n">
        <x:v>5.35</x:v>
      </x:c>
      <x:c r="I334" s="4" t="n">
        <x:v>7.51</x:v>
      </x:c>
      <x:c r="J334" s="4" t="n">
        <x:v>8.01</x:v>
      </x:c>
      <x:c r="K334" s="4" t="n">
        <x:v>7.89</x:v>
      </x:c>
      <x:c r="L334" s="4" t="n">
        <x:v>4.82</x:v>
      </x:c>
      <x:c r="M334" s="4" t="n">
        <x:v>7.06</x:v>
      </x:c>
      <x:c r="N334" s="4" t="n">
        <x:v>6.59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4.58</x:v>
      </x:c>
      <x:c r="D335" s="4" t="n">
        <x:v>3.7</x:v>
      </x:c>
      <x:c r="E335" s="4" t="n">
        <x:v>2.99</x:v>
      </x:c>
      <x:c r="F335" s="4" t="n">
        <x:v>5.12</x:v>
      </x:c>
      <x:c r="G335" s="4" t="n">
        <x:v>4.82</x:v>
      </x:c>
      <x:c r="H335" s="4" t="n">
        <x:v>7.99</x:v>
      </x:c>
      <x:c r="I335" s="4" t="n">
        <x:v>3.37</x:v>
      </x:c>
      <x:c r="J335" s="4" t="n">
        <x:v>6.91</x:v>
      </x:c>
      <x:c r="K335" s="4" t="n">
        <x:v>8.43</x:v>
      </x:c>
      <x:c r="L335" s="4" t="n">
        <x:v>4.95</x:v>
      </x:c>
      <x:c r="M335" s="4" t="n">
        <x:v>5.24</x:v>
      </x:c>
      <x:c r="N335" s="4" t="n">
        <x:v>8.72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3.5</x:v>
      </x:c>
      <x:c r="D336" s="4" t="n">
        <x:v>3.1</x:v>
      </x:c>
      <x:c r="E336" s="4" t="n">
        <x:v>3.46</x:v>
      </x:c>
      <x:c r="F336" s="4" t="n">
        <x:v>3.6</x:v>
      </x:c>
      <x:c r="G336" s="4" t="n">
        <x:v>7.96</x:v>
      </x:c>
      <x:c r="H336" s="4" t="n">
        <x:v>4.29</x:v>
      </x:c>
      <x:c r="I336" s="4" t="n">
        <x:v>4.18</x:v>
      </x:c>
      <x:c r="J336" s="4" t="n">
        <x:v>7.04</x:v>
      </x:c>
      <x:c r="K336" s="4" t="n">
        <x:v>2.84</x:v>
      </x:c>
      <x:c r="L336" s="4" t="n">
        <x:v>6.96</x:v>
      </x:c>
      <x:c r="M336" s="4" t="n">
        <x:v>5.19</x:v>
      </x:c>
      <x:c r="N336" s="4" t="n">
        <x:v>5.96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2.9</x:v>
      </x:c>
      <x:c r="D337" s="4" t="n">
        <x:v>7.99</x:v>
      </x:c>
      <x:c r="E337" s="4" t="n">
        <x:v>2.48</x:v>
      </x:c>
      <x:c r="F337" s="4" t="n">
        <x:v>8.43</x:v>
      </x:c>
      <x:c r="G337" s="4" t="n">
        <x:v>3.68</x:v>
      </x:c>
      <x:c r="H337" s="4" t="n">
        <x:v>5.35</x:v>
      </x:c>
      <x:c r="I337" s="4" t="n">
        <x:v>4.96</x:v>
      </x:c>
      <x:c r="J337" s="4" t="n">
        <x:v>5.47</x:v>
      </x:c>
      <x:c r="K337" s="4" t="n">
        <x:v>3.2</x:v>
      </x:c>
      <x:c r="L337" s="4" t="n">
        <x:v>7.59</x:v>
      </x:c>
      <x:c r="M337" s="4" t="n">
        <x:v>4.34</x:v>
      </x:c>
      <x:c r="N337" s="4" t="n">
        <x:v>6.1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2.23</x:v>
      </x:c>
      <x:c r="D338" s="4" t="n">
        <x:v>5.64</x:v>
      </x:c>
      <x:c r="E338" s="4" t="n">
        <x:v>3.84</x:v>
      </x:c>
      <x:c r="F338" s="4" t="n">
        <x:v>4.15</x:v>
      </x:c>
      <x:c r="G338" s="4" t="n">
        <x:v>4.26</x:v>
      </x:c>
      <x:c r="H338" s="4" t="n">
        <x:v>7.49</x:v>
      </x:c>
      <x:c r="I338" s="4" t="n">
        <x:v>2.71</x:v>
      </x:c>
      <x:c r="J338" s="4" t="n">
        <x:v>5.56</x:v>
      </x:c>
      <x:c r="K338" s="4" t="n">
        <x:v>8.03</x:v>
      </x:c>
      <x:c r="L338" s="4" t="n">
        <x:v>3.8</x:v>
      </x:c>
      <x:c r="M338" s="4" t="n">
        <x:v>3.44</x:v>
      </x:c>
      <x:c r="N338" s="4" t="n">
        <x:v>3.98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6.45</x:v>
      </x:c>
      <x:c r="D339" s="4" t="n">
        <x:v>3.44</x:v>
      </x:c>
      <x:c r="E339" s="4" t="n">
        <x:v>8.64</x:v>
      </x:c>
      <x:c r="F339" s="4" t="n">
        <x:v>8.34</x:v>
      </x:c>
      <x:c r="G339" s="4" t="n">
        <x:v>7.57</x:v>
      </x:c>
      <x:c r="H339" s="4" t="n">
        <x:v>8.11</x:v>
      </x:c>
      <x:c r="I339" s="4" t="n">
        <x:v>4.68</x:v>
      </x:c>
      <x:c r="J339" s="4" t="n">
        <x:v>5.17</x:v>
      </x:c>
      <x:c r="K339" s="4" t="n">
        <x:v>7.95</x:v>
      </x:c>
      <x:c r="L339" s="4" t="n">
        <x:v>3.16</x:v>
      </x:c>
      <x:c r="M339" s="4" t="n">
        <x:v>2.56</x:v>
      </x:c>
      <x:c r="N339" s="4" t="n">
        <x:v>8.35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7.36</x:v>
      </x:c>
      <x:c r="D341" s="4" t="n">
        <x:v>3.03</x:v>
      </x:c>
      <x:c r="E341" s="4" t="n">
        <x:v>5.37</x:v>
      </x:c>
      <x:c r="F341" s="4" t="n">
        <x:v>2.97</x:v>
      </x:c>
      <x:c r="G341" s="4" t="n">
        <x:v>7.45</x:v>
      </x:c>
      <x:c r="H341" s="4" t="n">
        <x:v>7.69</x:v>
      </x:c>
      <x:c r="I341" s="4" t="n">
        <x:v>8.39</x:v>
      </x:c>
      <x:c r="J341" s="4" t="n">
        <x:v>4.28</x:v>
      </x:c>
      <x:c r="K341" s="4" t="n">
        <x:v>3.6</x:v>
      </x:c>
      <x:c r="L341" s="4" t="n">
        <x:v>5.77</x:v>
      </x:c>
      <x:c r="M341" s="4" t="n">
        <x:v>7.11</x:v>
      </x:c>
      <x:c r="N341" s="4" t="n">
        <x:v>8.13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6.78</x:v>
      </x:c>
      <x:c r="D342" s="4" t="n">
        <x:v>8.35</x:v>
      </x:c>
      <x:c r="E342" s="4" t="n">
        <x:v>2.55</x:v>
      </x:c>
      <x:c r="F342" s="4" t="n">
        <x:v>6.75</x:v>
      </x:c>
      <x:c r="G342" s="4" t="n">
        <x:v>6.87</x:v>
      </x:c>
      <x:c r="H342" s="4" t="n">
        <x:v>8.76</x:v>
      </x:c>
      <x:c r="I342" s="4" t="n">
        <x:v>2.38</x:v>
      </x:c>
      <x:c r="J342" s="4" t="n">
        <x:v>4.37</x:v>
      </x:c>
      <x:c r="K342" s="4" t="n">
        <x:v>5.99</x:v>
      </x:c>
      <x:c r="L342" s="4" t="n">
        <x:v>6.38</x:v>
      </x:c>
      <x:c r="M342" s="4" t="n">
        <x:v>4.71</x:v>
      </x:c>
      <x:c r="N342" s="4" t="n">
        <x:v>4.92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7.91</x:v>
      </x:c>
      <x:c r="D343" s="4" t="n">
        <x:v>4.45</x:v>
      </x:c>
      <x:c r="E343" s="4" t="n">
        <x:v>5.79</x:v>
      </x:c>
      <x:c r="F343" s="4" t="n">
        <x:v>8.59</x:v>
      </x:c>
      <x:c r="G343" s="4" t="n">
        <x:v>5.57</x:v>
      </x:c>
      <x:c r="H343" s="4" t="n">
        <x:v>7.32</x:v>
      </x:c>
      <x:c r="I343" s="4" t="n">
        <x:v>4.24</x:v>
      </x:c>
      <x:c r="J343" s="4" t="n">
        <x:v>6.51</x:v>
      </x:c>
      <x:c r="K343" s="4" t="n">
        <x:v>7.12</x:v>
      </x:c>
      <x:c r="L343" s="4" t="n">
        <x:v>6.18</x:v>
      </x:c>
      <x:c r="M343" s="4" t="n">
        <x:v>8.29</x:v>
      </x:c>
      <x:c r="N343" s="4" t="n">
        <x:v>4.88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2.64</x:v>
      </x:c>
      <x:c r="D344" s="4" t="n">
        <x:v>7.32</x:v>
      </x:c>
      <x:c r="E344" s="4" t="n">
        <x:v>4.86</x:v>
      </x:c>
      <x:c r="F344" s="4" t="n">
        <x:v>5.86</x:v>
      </x:c>
      <x:c r="G344" s="4" t="n">
        <x:v>3.33</x:v>
      </x:c>
      <x:c r="H344" s="4" t="n">
        <x:v>3.63</x:v>
      </x:c>
      <x:c r="I344" s="4" t="n">
        <x:v>4.04</x:v>
      </x:c>
      <x:c r="J344" s="4" t="n">
        <x:v>2.55</x:v>
      </x:c>
      <x:c r="K344" s="4" t="n">
        <x:v>7.18</x:v>
      </x:c>
      <x:c r="L344" s="4" t="n">
        <x:v>8.27</x:v>
      </x:c>
      <x:c r="M344" s="4" t="n">
        <x:v>7.54</x:v>
      </x:c>
      <x:c r="N344" s="4" t="n">
        <x:v>4.18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8.59</x:v>
      </x:c>
      <x:c r="D345" s="4" t="n">
        <x:v>2.24</x:v>
      </x:c>
      <x:c r="E345" s="4" t="n">
        <x:v>7.96</x:v>
      </x:c>
      <x:c r="F345" s="4" t="n">
        <x:v>3.28</x:v>
      </x:c>
      <x:c r="G345" s="4" t="n">
        <x:v>5.39</x:v>
      </x:c>
      <x:c r="H345" s="4" t="n">
        <x:v>4.91</x:v>
      </x:c>
      <x:c r="I345" s="4" t="n">
        <x:v>7.35</x:v>
      </x:c>
      <x:c r="J345" s="4" t="n">
        <x:v>5.42</x:v>
      </x:c>
      <x:c r="K345" s="4" t="n">
        <x:v>6.94</x:v>
      </x:c>
      <x:c r="L345" s="4" t="n">
        <x:v>3.72</x:v>
      </x:c>
      <x:c r="M345" s="4" t="n">
        <x:v>8.1</x:v>
      </x:c>
      <x:c r="N345" s="4" t="n">
        <x:v>6.88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5.28</x:v>
      </x:c>
      <x:c r="D346" s="4" t="n">
        <x:v>8.5</x:v>
      </x:c>
      <x:c r="E346" s="4" t="n">
        <x:v>5.83</x:v>
      </x:c>
      <x:c r="F346" s="4" t="n">
        <x:v>5.11</x:v>
      </x:c>
      <x:c r="G346" s="4" t="n">
        <x:v>7.26</x:v>
      </x:c>
      <x:c r="H346" s="4" t="n">
        <x:v>4.81</x:v>
      </x:c>
      <x:c r="I346" s="4" t="n">
        <x:v>8.06</x:v>
      </x:c>
      <x:c r="J346" s="4" t="n">
        <x:v>5.55</x:v>
      </x:c>
      <x:c r="K346" s="4" t="n">
        <x:v>4.47</x:v>
      </x:c>
      <x:c r="L346" s="4" t="n">
        <x:v>4.16</x:v>
      </x:c>
      <x:c r="M346" s="4" t="n">
        <x:v>3.22</x:v>
      </x:c>
      <x:c r="N346" s="4" t="n">
        <x:v>5.92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6.34</x:v>
      </x:c>
      <x:c r="D347" s="4" t="n">
        <x:v>8.33</x:v>
      </x:c>
      <x:c r="E347" s="4" t="n">
        <x:v>8.58</x:v>
      </x:c>
      <x:c r="F347" s="4" t="n">
        <x:v>2.55</x:v>
      </x:c>
      <x:c r="G347" s="4" t="n">
        <x:v>2.66</x:v>
      </x:c>
      <x:c r="H347" s="4" t="n">
        <x:v>7.97</x:v>
      </x:c>
      <x:c r="I347" s="4" t="n">
        <x:v>3.98</x:v>
      </x:c>
      <x:c r="J347" s="4" t="n">
        <x:v>3.46</x:v>
      </x:c>
      <x:c r="K347" s="4" t="n">
        <x:v>2.78</x:v>
      </x:c>
      <x:c r="L347" s="4" t="n">
        <x:v>3.82</x:v>
      </x:c>
      <x:c r="M347" s="4" t="n">
        <x:v>7.33</x:v>
      </x:c>
      <x:c r="N347" s="4" t="n">
        <x:v>7.13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2.53</x:v>
      </x:c>
      <x:c r="D348" s="4" t="n">
        <x:v>7.82</x:v>
      </x:c>
      <x:c r="E348" s="4" t="n">
        <x:v>8.49</x:v>
      </x:c>
      <x:c r="F348" s="4" t="n">
        <x:v>7.27</x:v>
      </x:c>
      <x:c r="G348" s="4" t="n">
        <x:v>3.43</x:v>
      </x:c>
      <x:c r="H348" s="4" t="n">
        <x:v>3.85</x:v>
      </x:c>
      <x:c r="I348" s="4" t="n">
        <x:v>5.73</x:v>
      </x:c>
      <x:c r="J348" s="4" t="n">
        <x:v>5.04</x:v>
      </x:c>
      <x:c r="K348" s="4" t="n">
        <x:v>2.95</x:v>
      </x:c>
      <x:c r="L348" s="4" t="n">
        <x:v>8.29</x:v>
      </x:c>
      <x:c r="M348" s="4" t="n">
        <x:v>6.72</x:v>
      </x:c>
      <x:c r="N348" s="4" t="n">
        <x:v>5.31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2.45</x:v>
      </x:c>
      <x:c r="D350" s="4" t="n">
        <x:v>5.27</x:v>
      </x:c>
      <x:c r="E350" s="4" t="n">
        <x:v>4.92</x:v>
      </x:c>
      <x:c r="F350" s="4" t="n">
        <x:v>7.66</x:v>
      </x:c>
      <x:c r="G350" s="4" t="n">
        <x:v>6.37</x:v>
      </x:c>
      <x:c r="H350" s="4" t="n">
        <x:v>7.23</x:v>
      </x:c>
      <x:c r="I350" s="4" t="n">
        <x:v>8.85</x:v>
      </x:c>
      <x:c r="J350" s="4" t="n">
        <x:v>3.71</x:v>
      </x:c>
      <x:c r="K350" s="4" t="n">
        <x:v>3.65</x:v>
      </x:c>
      <x:c r="L350" s="4" t="n">
        <x:v>8.19</x:v>
      </x:c>
      <x:c r="M350" s="4" t="n">
        <x:v>4.71</x:v>
      </x:c>
      <x:c r="N350" s="4" t="n">
        <x:v>5.8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6.81</x:v>
      </x:c>
      <x:c r="D351" s="4" t="n">
        <x:v>6.13</x:v>
      </x:c>
      <x:c r="E351" s="4" t="n">
        <x:v>3.94</x:v>
      </x:c>
      <x:c r="F351" s="4" t="n">
        <x:v>2.77</x:v>
      </x:c>
      <x:c r="G351" s="4" t="n">
        <x:v>5.25</x:v>
      </x:c>
      <x:c r="H351" s="4" t="n">
        <x:v>5.13</x:v>
      </x:c>
      <x:c r="I351" s="4" t="n">
        <x:v>3.64</x:v>
      </x:c>
      <x:c r="J351" s="4" t="n">
        <x:v>7.82</x:v>
      </x:c>
      <x:c r="K351" s="4" t="n">
        <x:v>5.31</x:v>
      </x:c>
      <x:c r="L351" s="4" t="n">
        <x:v>3.17</x:v>
      </x:c>
      <x:c r="M351" s="4" t="n">
        <x:v>7.56</x:v>
      </x:c>
      <x:c r="N351" s="4" t="n">
        <x:v>7.25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2.65</x:v>
      </x:c>
      <x:c r="D352" s="4" t="n">
        <x:v>8.38</x:v>
      </x:c>
      <x:c r="E352" s="4" t="n">
        <x:v>8.23</x:v>
      </x:c>
      <x:c r="F352" s="4" t="n">
        <x:v>8.63</x:v>
      </x:c>
      <x:c r="G352" s="4" t="n">
        <x:v>5.68</x:v>
      </x:c>
      <x:c r="H352" s="4" t="n">
        <x:v>2.17</x:v>
      </x:c>
      <x:c r="I352" s="4" t="n">
        <x:v>2.54</x:v>
      </x:c>
      <x:c r="J352" s="4" t="n">
        <x:v>6.01</x:v>
      </x:c>
      <x:c r="K352" s="4" t="n">
        <x:v>6.51</x:v>
      </x:c>
      <x:c r="L352" s="4" t="n">
        <x:v>3.88</x:v>
      </x:c>
      <x:c r="M352" s="4" t="n">
        <x:v>5.48</x:v>
      </x:c>
      <x:c r="N352" s="4" t="n">
        <x:v>7.28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5.66</x:v>
      </x:c>
      <x:c r="D353" s="4" t="n">
        <x:v>7.55</x:v>
      </x:c>
      <x:c r="E353" s="4" t="n">
        <x:v>2.34</x:v>
      </x:c>
      <x:c r="F353" s="4" t="n">
        <x:v>2.89</x:v>
      </x:c>
      <x:c r="G353" s="4" t="n">
        <x:v>6.65</x:v>
      </x:c>
      <x:c r="H353" s="4" t="n">
        <x:v>2.35</x:v>
      </x:c>
      <x:c r="I353" s="4" t="n">
        <x:v>4.72</x:v>
      </x:c>
      <x:c r="J353" s="4" t="n">
        <x:v>2.98</x:v>
      </x:c>
      <x:c r="K353" s="4" t="n">
        <x:v>7.06</x:v>
      </x:c>
      <x:c r="L353" s="4" t="n">
        <x:v>6.38</x:v>
      </x:c>
      <x:c r="M353" s="4" t="n">
        <x:v>5.62</x:v>
      </x:c>
      <x:c r="N353" s="4" t="n">
        <x:v>4.53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'销售费用'!C4+'管理费用'!C4+'蓝恐龙费用'!C4</x:f>
        <x:v>637.48</x:v>
      </x:c>
      <x:c r="D4" s="3" t="n">
        <x:f>'销售费用'!D4+'管理费用'!D4+'蓝恐龙费用'!D4</x:f>
        <x:v>352.36</x:v>
      </x:c>
      <x:c r="E4" s="3" t="n">
        <x:f>'销售费用'!E4+'管理费用'!E4+'蓝恐龙费用'!E4</x:f>
        <x:v>626.48</x:v>
      </x:c>
      <x:c r="F4" s="3" t="n">
        <x:f>'销售费用'!F4+'管理费用'!F4+'蓝恐龙费用'!F4</x:f>
        <x:v>650.95</x:v>
      </x:c>
      <x:c r="G4" s="3" t="n">
        <x:f>'销售费用'!G4+'管理费用'!G4+'蓝恐龙费用'!G4</x:f>
        <x:v>484.8</x:v>
      </x:c>
      <x:c r="H4" s="3" t="n">
        <x:f>'销售费用'!H4+'管理费用'!H4+'蓝恐龙费用'!H4</x:f>
        <x:v>612.13</x:v>
      </x:c>
      <x:c r="I4" s="3" t="n">
        <x:f>'销售费用'!I4+'管理费用'!I4+'蓝恐龙费用'!I4</x:f>
        <x:v>842.53</x:v>
      </x:c>
      <x:c r="J4" s="3" t="n">
        <x:f>'销售费用'!J4+'管理费用'!J4+'蓝恐龙费用'!J4</x:f>
        <x:v>930.04</x:v>
      </x:c>
      <x:c r="K4" s="3" t="n">
        <x:f>'销售费用'!K4+'管理费用'!K4+'蓝恐龙费用'!K4</x:f>
        <x:v>665.28</x:v>
      </x:c>
      <x:c r="L4" s="3" t="n">
        <x:f>'销售费用'!L4+'管理费用'!L4+'蓝恐龙费用'!L4</x:f>
        <x:v>648.26</x:v>
      </x:c>
      <x:c r="M4" s="3" t="n">
        <x:f>'销售费用'!M4+'管理费用'!M4+'蓝恐龙费用'!M4</x:f>
        <x:v>892.54</x:v>
      </x:c>
      <x:c r="N4" s="3" t="n">
        <x:f>'销售费用'!N4+'管理费用'!N4+'蓝恐龙费用'!N4</x:f>
        <x:v>717.01</x:v>
      </x:c>
      <x:c r="O4" s="3" t="n">
        <x:f>SUM(C4:N4)</x:f>
        <x:v>8059.860000000001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'销售费用'!C5+'管理费用'!C5+'蓝恐龙费用'!C5</x:f>
        <x:v>769.62</x:v>
      </x:c>
      <x:c r="D5" s="3" t="n">
        <x:f>'销售费用'!D5+'管理费用'!D5+'蓝恐龙费用'!D5</x:f>
        <x:v>399.59999999999997</x:v>
      </x:c>
      <x:c r="E5" s="3" t="n">
        <x:f>'销售费用'!E5+'管理费用'!E5+'蓝恐龙费用'!E5</x:f>
        <x:v>1043.1499999999999</x:v>
      </x:c>
      <x:c r="F5" s="3" t="n">
        <x:f>'销售费用'!F5+'管理费用'!F5+'蓝恐龙费用'!F5</x:f>
        <x:v>440.76</x:v>
      </x:c>
      <x:c r="G5" s="3" t="n">
        <x:f>'销售费用'!G5+'管理费用'!G5+'蓝恐龙费用'!G5</x:f>
        <x:v>1256.87</x:v>
      </x:c>
      <x:c r="H5" s="3" t="n">
        <x:f>'销售费用'!H5+'管理费用'!H5+'蓝恐龙费用'!H5</x:f>
        <x:v>410.56</x:v>
      </x:c>
      <x:c r="I5" s="3" t="n">
        <x:f>'销售费用'!I5+'管理费用'!I5+'蓝恐龙费用'!I5</x:f>
        <x:v>722.85</x:v>
      </x:c>
      <x:c r="J5" s="3" t="n">
        <x:f>'销售费用'!J5+'管理费用'!J5+'蓝恐龙费用'!J5</x:f>
        <x:v>488.96000000000004</x:v>
      </x:c>
      <x:c r="K5" s="3" t="n">
        <x:f>'销售费用'!K5+'管理费用'!K5+'蓝恐龙费用'!K5</x:f>
        <x:v>1191.12</x:v>
      </x:c>
      <x:c r="L5" s="3" t="n">
        <x:f>'销售费用'!L5+'管理费用'!L5+'蓝恐龙费用'!L5</x:f>
        <x:v>317.29999999999995</x:v>
      </x:c>
      <x:c r="M5" s="3" t="n">
        <x:f>'销售费用'!M5+'管理费用'!M5+'蓝恐龙费用'!M5</x:f>
        <x:v>623.75</x:v>
      </x:c>
      <x:c r="N5" s="3" t="n">
        <x:f>'销售费用'!N5+'管理费用'!N5+'蓝恐龙费用'!N5</x:f>
        <x:v>479.41999999999996</x:v>
      </x:c>
      <x:c r="O5" s="3" t="n">
        <x:f>SUM(C5:N5)</x:f>
        <x:v>8143.960000000001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'销售费用'!C6+'管理费用'!C6+'蓝恐龙费用'!C6</x:f>
        <x:v>471.81</x:v>
      </x:c>
      <x:c r="D6" s="3" t="n">
        <x:f>'销售费用'!D6+'管理费用'!D6+'蓝恐龙费用'!D6</x:f>
        <x:v>290.07</x:v>
      </x:c>
      <x:c r="E6" s="3" t="n">
        <x:f>'销售费用'!E6+'管理费用'!E6+'蓝恐龙费用'!E6</x:f>
        <x:v>397.15000000000003</x:v>
      </x:c>
      <x:c r="F6" s="3" t="n">
        <x:f>'销售费用'!F6+'管理费用'!F6+'蓝恐龙费用'!F6</x:f>
        <x:v>677.32</x:v>
      </x:c>
      <x:c r="G6" s="3" t="n">
        <x:f>'销售费用'!G6+'管理费用'!G6+'蓝恐龙费用'!G6</x:f>
        <x:v>1089.28</x:v>
      </x:c>
      <x:c r="H6" s="3" t="n">
        <x:f>'销售费用'!H6+'管理费用'!H6+'蓝恐龙费用'!H6</x:f>
        <x:v>355.3299999999999</x:v>
      </x:c>
      <x:c r="I6" s="3" t="n">
        <x:f>'销售费用'!I6+'管理费用'!I6+'蓝恐龙费用'!I6</x:f>
        <x:v>556.1400000000001</x:v>
      </x:c>
      <x:c r="J6" s="3" t="n">
        <x:f>'销售费用'!J6+'管理费用'!J6+'蓝恐龙费用'!J6</x:f>
        <x:v>588.35</x:v>
      </x:c>
      <x:c r="K6" s="3" t="n">
        <x:f>'销售费用'!K6+'管理费用'!K6+'蓝恐龙费用'!K6</x:f>
        <x:v>486.58</x:v>
      </x:c>
      <x:c r="L6" s="3" t="n">
        <x:f>'销售费用'!L6+'管理费用'!L6+'蓝恐龙费用'!L6</x:f>
        <x:v>683.16</x:v>
      </x:c>
      <x:c r="M6" s="3" t="n">
        <x:f>'销售费用'!M6+'管理费用'!M6+'蓝恐龙费用'!M6</x:f>
        <x:v>558.08</x:v>
      </x:c>
      <x:c r="N6" s="3" t="n">
        <x:f>'销售费用'!N6+'管理费用'!N6+'蓝恐龙费用'!N6</x:f>
        <x:v>694.0799999999999</x:v>
      </x:c>
      <x:c r="O6" s="3" t="n">
        <x:f>SUM(C6:N6)</x:f>
        <x:v>6847.35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'销售费用'!C7+'管理费用'!C7+'蓝恐龙费用'!C7</x:f>
        <x:v>798.3299999999999</x:v>
      </x:c>
      <x:c r="D7" s="3" t="n">
        <x:f>'销售费用'!D7+'管理费用'!D7+'蓝恐龙费用'!D7</x:f>
        <x:v>497.6</x:v>
      </x:c>
      <x:c r="E7" s="3" t="n">
        <x:f>'销售费用'!E7+'管理费用'!E7+'蓝恐龙费用'!E7</x:f>
        <x:v>693.85</x:v>
      </x:c>
      <x:c r="F7" s="3" t="n">
        <x:f>'销售费用'!F7+'管理费用'!F7+'蓝恐龙费用'!F7</x:f>
        <x:v>1118.66</x:v>
      </x:c>
      <x:c r="G7" s="3" t="n">
        <x:f>'销售费用'!G7+'管理费用'!G7+'蓝恐龙费用'!G7</x:f>
        <x:v>1077.7</x:v>
      </x:c>
      <x:c r="H7" s="3" t="n">
        <x:f>'销售费用'!H7+'管理费用'!H7+'蓝恐龙费用'!H7</x:f>
        <x:v>972.8</x:v>
      </x:c>
      <x:c r="I7" s="3" t="n">
        <x:f>'销售费用'!I7+'管理费用'!I7+'蓝恐龙费用'!I7</x:f>
        <x:v>1137.7</x:v>
      </x:c>
      <x:c r="J7" s="3" t="n">
        <x:f>'销售费用'!J7+'管理费用'!J7+'蓝恐龙费用'!J7</x:f>
        <x:v>959.07</x:v>
      </x:c>
      <x:c r="K7" s="3" t="n">
        <x:f>'销售费用'!K7+'管理费用'!K7+'蓝恐龙费用'!K7</x:f>
        <x:v>672.11</x:v>
      </x:c>
      <x:c r="L7" s="3" t="n">
        <x:f>'销售费用'!L7+'管理费用'!L7+'蓝恐龙费用'!L7</x:f>
        <x:v>520.63</x:v>
      </x:c>
      <x:c r="M7" s="3" t="n">
        <x:f>'销售费用'!M7+'管理费用'!M7+'蓝恐龙费用'!M7</x:f>
        <x:v>961.28</x:v>
      </x:c>
      <x:c r="N7" s="3" t="n">
        <x:f>'销售费用'!N7+'管理费用'!N7+'蓝恐龙费用'!N7</x:f>
        <x:v>894.6700000000001</x:v>
      </x:c>
      <x:c r="O7" s="3" t="n">
        <x:f>SUM(C7:N7)</x:f>
        <x:v>10304.4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'销售费用'!C8+'管理费用'!C8+'蓝恐龙费用'!C8</x:f>
        <x:v>646.7299999999999</x:v>
      </x:c>
      <x:c r="D8" s="3" t="n">
        <x:f>'销售费用'!D8+'管理费用'!D8+'蓝恐龙费用'!D8</x:f>
        <x:v>947</x:v>
      </x:c>
      <x:c r="E8" s="3" t="n">
        <x:f>'销售费用'!E8+'管理费用'!E8+'蓝恐龙费用'!E8</x:f>
        <x:v>644.89</x:v>
      </x:c>
      <x:c r="F8" s="3" t="n">
        <x:f>'销售费用'!F8+'管理费用'!F8+'蓝恐龙费用'!F8</x:f>
        <x:v>534.3499999999999</x:v>
      </x:c>
      <x:c r="G8" s="3" t="n">
        <x:f>'销售费用'!G8+'管理费用'!G8+'蓝恐龙费用'!G8</x:f>
        <x:v>495.68</x:v>
      </x:c>
      <x:c r="H8" s="3" t="n">
        <x:f>'销售费用'!H8+'管理费用'!H8+'蓝恐龙费用'!H8</x:f>
        <x:v>1042.97</x:v>
      </x:c>
      <x:c r="I8" s="3" t="n">
        <x:f>'销售费用'!I8+'管理费用'!I8+'蓝恐龙费用'!I8</x:f>
        <x:v>715.19</x:v>
      </x:c>
      <x:c r="J8" s="3" t="n">
        <x:f>'销售费用'!J8+'管理费用'!J8+'蓝恐龙费用'!J8</x:f>
        <x:v>994.01</x:v>
      </x:c>
      <x:c r="K8" s="3" t="n">
        <x:f>'销售费用'!K8+'管理费用'!K8+'蓝恐龙费用'!K8</x:f>
        <x:v>777.1300000000001</x:v>
      </x:c>
      <x:c r="L8" s="3" t="n">
        <x:f>'销售费用'!L8+'管理费用'!L8+'蓝恐龙费用'!L8</x:f>
        <x:v>861.1999999999999</x:v>
      </x:c>
      <x:c r="M8" s="3" t="n">
        <x:f>'销售费用'!M8+'管理费用'!M8+'蓝恐龙费用'!M8</x:f>
        <x:v>528.6600000000001</x:v>
      </x:c>
      <x:c r="N8" s="3" t="n">
        <x:f>'销售费用'!N8+'管理费用'!N8+'蓝恐龙费用'!N8</x:f>
        <x:v>1074.36</x:v>
      </x:c>
      <x:c r="O8" s="3" t="n">
        <x:f>SUM(C8:N8)</x:f>
        <x:v>9262.17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'销售费用'!C9+'管理费用'!C9+'蓝恐龙费用'!C9</x:f>
        <x:v>761.0899999999999</x:v>
      </x:c>
      <x:c r="D9" s="3" t="n">
        <x:f>'销售费用'!D9+'管理费用'!D9+'蓝恐龙费用'!D9</x:f>
        <x:v>888.9000000000001</x:v>
      </x:c>
      <x:c r="E9" s="3" t="n">
        <x:f>'销售费用'!E9+'管理费用'!E9+'蓝恐龙费用'!E9</x:f>
        <x:v>814.9499999999999</x:v>
      </x:c>
      <x:c r="F9" s="3" t="n">
        <x:f>'销售费用'!F9+'管理费用'!F9+'蓝恐龙费用'!F9</x:f>
        <x:v>627.34</x:v>
      </x:c>
      <x:c r="G9" s="3" t="n">
        <x:f>'销售费用'!G9+'管理费用'!G9+'蓝恐龙费用'!G9</x:f>
        <x:v>739.31</x:v>
      </x:c>
      <x:c r="H9" s="3" t="n">
        <x:f>'销售费用'!H9+'管理费用'!H9+'蓝恐龙费用'!H9</x:f>
        <x:v>657.33</x:v>
      </x:c>
      <x:c r="I9" s="3" t="n">
        <x:f>'销售费用'!I9+'管理费用'!I9+'蓝恐龙费用'!I9</x:f>
        <x:v>812.28</x:v>
      </x:c>
      <x:c r="J9" s="3" t="n">
        <x:f>'销售费用'!J9+'管理费用'!J9+'蓝恐龙费用'!J9</x:f>
        <x:v>356.5</x:v>
      </x:c>
      <x:c r="K9" s="3" t="n">
        <x:f>'销售费用'!K9+'管理费用'!K9+'蓝恐龙费用'!K9</x:f>
        <x:v>676.04</x:v>
      </x:c>
      <x:c r="L9" s="3" t="n">
        <x:f>'销售费用'!L9+'管理费用'!L9+'蓝恐龙费用'!L9</x:f>
        <x:v>603.5699999999999</x:v>
      </x:c>
      <x:c r="M9" s="3" t="n">
        <x:f>'销售费用'!M9+'管理费用'!M9+'蓝恐龙费用'!M9</x:f>
        <x:v>730.25</x:v>
      </x:c>
      <x:c r="N9" s="3" t="n">
        <x:f>'销售费用'!N9+'管理费用'!N9+'蓝恐龙费用'!N9</x:f>
        <x:v>757.53</x:v>
      </x:c>
      <x:c r="O9" s="3" t="n">
        <x:f>SUM(C9:N9)</x:f>
        <x:v>8425.09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'销售费用'!C10+'管理费用'!C10+'蓝恐龙费用'!C10</x:f>
        <x:v>795.54</x:v>
      </x:c>
      <x:c r="D10" s="3" t="n">
        <x:f>'销售费用'!D10+'管理费用'!D10+'蓝恐龙费用'!D10</x:f>
        <x:v>931.27</x:v>
      </x:c>
      <x:c r="E10" s="3" t="n">
        <x:f>'销售费用'!E10+'管理费用'!E10+'蓝恐龙费用'!E10</x:f>
        <x:v>706.88</x:v>
      </x:c>
      <x:c r="F10" s="3" t="n">
        <x:f>'销售费用'!F10+'管理费用'!F10+'蓝恐龙费用'!F10</x:f>
        <x:v>1100.52</x:v>
      </x:c>
      <x:c r="G10" s="3" t="n">
        <x:f>'销售费用'!G10+'管理费用'!G10+'蓝恐龙费用'!G10</x:f>
        <x:v>825.55</x:v>
      </x:c>
      <x:c r="H10" s="3" t="n">
        <x:f>'销售费用'!H10+'管理费用'!H10+'蓝恐龙费用'!H10</x:f>
        <x:v>704.25</x:v>
      </x:c>
      <x:c r="I10" s="3" t="n">
        <x:f>'销售费用'!I10+'管理费用'!I10+'蓝恐龙费用'!I10</x:f>
        <x:v>694.19</x:v>
      </x:c>
      <x:c r="J10" s="3" t="n">
        <x:f>'销售费用'!J10+'管理费用'!J10+'蓝恐龙费用'!J10</x:f>
        <x:v>553.72</x:v>
      </x:c>
      <x:c r="K10" s="3" t="n">
        <x:f>'销售费用'!K10+'管理费用'!K10+'蓝恐龙费用'!K10</x:f>
        <x:v>769.8</x:v>
      </x:c>
      <x:c r="L10" s="3" t="n">
        <x:f>'销售费用'!L10+'管理费用'!L10+'蓝恐龙费用'!L10</x:f>
        <x:v>849.6500000000001</x:v>
      </x:c>
      <x:c r="M10" s="3" t="n">
        <x:f>'销售费用'!M10+'管理费用'!M10+'蓝恐龙费用'!M10</x:f>
        <x:v>364.19000000000005</x:v>
      </x:c>
      <x:c r="N10" s="3" t="n">
        <x:f>'销售费用'!N10+'管理费用'!N10+'蓝恐龙费用'!N10</x:f>
        <x:v>550.52</x:v>
      </x:c>
      <x:c r="O10" s="3" t="n">
        <x:f>SUM(C10:N10)</x:f>
        <x:v>8846.080000000002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'销售费用'!C11+'管理费用'!C11+'蓝恐龙费用'!C11</x:f>
        <x:v>560.4300000000001</x:v>
      </x:c>
      <x:c r="D11" s="3" t="n">
        <x:f>'销售费用'!D11+'管理费用'!D11+'蓝恐龙费用'!D11</x:f>
        <x:v>1236.72</x:v>
      </x:c>
      <x:c r="E11" s="3" t="n">
        <x:f>'销售费用'!E11+'管理费用'!E11+'蓝恐龙费用'!E11</x:f>
        <x:v>577.68</x:v>
      </x:c>
      <x:c r="F11" s="3" t="n">
        <x:f>'销售费用'!F11+'管理费用'!F11+'蓝恐龙费用'!F11</x:f>
        <x:v>590.15</x:v>
      </x:c>
      <x:c r="G11" s="3" t="n">
        <x:f>'销售费用'!G11+'管理费用'!G11+'蓝恐龙费用'!G11</x:f>
        <x:v>720.4000000000001</x:v>
      </x:c>
      <x:c r="H11" s="3" t="n">
        <x:f>'销售费用'!H11+'管理费用'!H11+'蓝恐龙费用'!H11</x:f>
        <x:v>1063.44</x:v>
      </x:c>
      <x:c r="I11" s="3" t="n">
        <x:f>'销售费用'!I11+'管理费用'!I11+'蓝恐龙费用'!I11</x:f>
        <x:v>801.59</x:v>
      </x:c>
      <x:c r="J11" s="3" t="n">
        <x:f>'销售费用'!J11+'管理费用'!J11+'蓝恐龙费用'!J11</x:f>
        <x:v>635.53</x:v>
      </x:c>
      <x:c r="K11" s="3" t="n">
        <x:f>'销售费用'!K11+'管理费用'!K11+'蓝恐龙费用'!K11</x:f>
        <x:v>510.42</x:v>
      </x:c>
      <x:c r="L11" s="3" t="n">
        <x:f>'销售费用'!L11+'管理费用'!L11+'蓝恐龙费用'!L11</x:f>
        <x:v>362.82</x:v>
      </x:c>
      <x:c r="M11" s="3" t="n">
        <x:f>'销售费用'!M11+'管理费用'!M11+'蓝恐龙费用'!M11</x:f>
        <x:v>654.53</x:v>
      </x:c>
      <x:c r="N11" s="3" t="n">
        <x:f>'销售费用'!N11+'管理费用'!N11+'蓝恐龙费用'!N11</x:f>
        <x:v>950.63</x:v>
      </x:c>
      <x:c r="O11" s="3" t="n">
        <x:f>SUM(C11:N11)</x:f>
        <x:v>8664.339999999998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'销售费用'!C12+'管理费用'!C12+'蓝恐龙费用'!C12</x:f>
        <x:v>524.5799999999999</x:v>
      </x:c>
      <x:c r="D12" s="3" t="n">
        <x:f>'销售费用'!D12+'管理费用'!D12+'蓝恐龙费用'!D12</x:f>
        <x:v>448.1</x:v>
      </x:c>
      <x:c r="E12" s="3" t="n">
        <x:f>'销售费用'!E12+'管理费用'!E12+'蓝恐龙费用'!E12</x:f>
        <x:v>1204.54</x:v>
      </x:c>
      <x:c r="F12" s="3" t="n">
        <x:f>'销售费用'!F12+'管理费用'!F12+'蓝恐龙费用'!F12</x:f>
        <x:v>738.12</x:v>
      </x:c>
      <x:c r="G12" s="3" t="n">
        <x:f>'销售费用'!G12+'管理费用'!G12+'蓝恐龙费用'!G12</x:f>
        <x:v>859.1</x:v>
      </x:c>
      <x:c r="H12" s="3" t="n">
        <x:f>'销售费用'!H12+'管理费用'!H12+'蓝恐龙费用'!H12</x:f>
        <x:v>819.0699999999999</x:v>
      </x:c>
      <x:c r="I12" s="3" t="n">
        <x:f>'销售费用'!I12+'管理费用'!I12+'蓝恐龙费用'!I12</x:f>
        <x:v>839.13</x:v>
      </x:c>
      <x:c r="J12" s="3" t="n">
        <x:f>'销售费用'!J12+'管理费用'!J12+'蓝恐龙费用'!J12</x:f>
        <x:v>541.78</x:v>
      </x:c>
      <x:c r="K12" s="3" t="n">
        <x:f>'销售费用'!K12+'管理费用'!K12+'蓝恐龙费用'!K12</x:f>
        <x:v>938.8</x:v>
      </x:c>
      <x:c r="L12" s="3" t="n">
        <x:f>'销售费用'!L12+'管理费用'!L12+'蓝恐龙费用'!L12</x:f>
        <x:v>919.23</x:v>
      </x:c>
      <x:c r="M12" s="3" t="n">
        <x:f>'销售费用'!M12+'管理费用'!M12+'蓝恐龙费用'!M12</x:f>
        <x:v>939.71</x:v>
      </x:c>
      <x:c r="N12" s="3" t="n">
        <x:f>'销售费用'!N12+'管理费用'!N12+'蓝恐龙费用'!N12</x:f>
        <x:v>679.56</x:v>
      </x:c>
      <x:c r="O12" s="3" t="n">
        <x:f>SUM(C12:N12)</x:f>
        <x:v>9451.72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'销售费用'!C13+'管理费用'!C13+'蓝恐龙费用'!C13</x:f>
        <x:v>1023.09</x:v>
      </x:c>
      <x:c r="D13" s="3" t="n">
        <x:f>'销售费用'!D13+'管理费用'!D13+'蓝恐龙费用'!D13</x:f>
        <x:v>955.3199999999999</x:v>
      </x:c>
      <x:c r="E13" s="3" t="n">
        <x:f>'销售费用'!E13+'管理费用'!E13+'蓝恐龙费用'!E13</x:f>
        <x:v>551.54</x:v>
      </x:c>
      <x:c r="F13" s="3" t="n">
        <x:f>'销售费用'!F13+'管理费用'!F13+'蓝恐龙费用'!F13</x:f>
        <x:v>555.88</x:v>
      </x:c>
      <x:c r="G13" s="3" t="n">
        <x:f>'销售费用'!G13+'管理费用'!G13+'蓝恐龙费用'!G13</x:f>
        <x:v>460.67</x:v>
      </x:c>
      <x:c r="H13" s="3" t="n">
        <x:f>'销售费用'!H13+'管理费用'!H13+'蓝恐龙费用'!H13</x:f>
        <x:v>649.61</x:v>
      </x:c>
      <x:c r="I13" s="3" t="n">
        <x:f>'销售费用'!I13+'管理费用'!I13+'蓝恐龙费用'!I13</x:f>
        <x:v>1037.03</x:v>
      </x:c>
      <x:c r="J13" s="3" t="n">
        <x:f>'销售费用'!J13+'管理费用'!J13+'蓝恐龙费用'!J13</x:f>
        <x:v>690.99</x:v>
      </x:c>
      <x:c r="K13" s="3" t="n">
        <x:f>'销售费用'!K13+'管理费用'!K13+'蓝恐龙费用'!K13</x:f>
        <x:v>994.01</x:v>
      </x:c>
      <x:c r="L13" s="3" t="n">
        <x:f>'销售费用'!L13+'管理费用'!L13+'蓝恐龙费用'!L13</x:f>
        <x:v>1075.8000000000002</x:v>
      </x:c>
      <x:c r="M13" s="3" t="n">
        <x:f>'销售费用'!M13+'管理费用'!M13+'蓝恐龙费用'!M13</x:f>
        <x:v>763.81</x:v>
      </x:c>
      <x:c r="N13" s="3" t="n">
        <x:f>'销售费用'!N13+'管理费用'!N13+'蓝恐龙费用'!N13</x:f>
        <x:v>632.6500000000001</x:v>
      </x:c>
      <x:c r="O13" s="3" t="n">
        <x:f>SUM(C13:N13)</x:f>
        <x:v>9390.4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'销售费用'!C14+'管理费用'!C14+'蓝恐龙费用'!C14</x:f>
        <x:v>739.26</x:v>
      </x:c>
      <x:c r="D14" s="3" t="n">
        <x:f>'销售费用'!D14+'管理费用'!D14+'蓝恐龙费用'!D14</x:f>
        <x:v>616.38</x:v>
      </x:c>
      <x:c r="E14" s="3" t="n">
        <x:f>'销售费用'!E14+'管理费用'!E14+'蓝恐龙费用'!E14</x:f>
        <x:v>894.6</x:v>
      </x:c>
      <x:c r="F14" s="3" t="n">
        <x:f>'销售费用'!F14+'管理费用'!F14+'蓝恐龙费用'!F14</x:f>
        <x:v>767.54</x:v>
      </x:c>
      <x:c r="G14" s="3" t="n">
        <x:f>'销售费用'!G14+'管理费用'!G14+'蓝恐龙费用'!G14</x:f>
        <x:v>499.73</x:v>
      </x:c>
      <x:c r="H14" s="3" t="n">
        <x:f>'销售费用'!H14+'管理费用'!H14+'蓝恐龙费用'!H14</x:f>
        <x:v>553.74</x:v>
      </x:c>
      <x:c r="I14" s="3" t="n">
        <x:f>'销售费用'!I14+'管理费用'!I14+'蓝恐龙费用'!I14</x:f>
        <x:v>964.2099999999999</x:v>
      </x:c>
      <x:c r="J14" s="3" t="n">
        <x:f>'销售费用'!J14+'管理费用'!J14+'蓝恐龙费用'!J14</x:f>
        <x:v>597.18</x:v>
      </x:c>
      <x:c r="K14" s="3" t="n">
        <x:f>'销售费用'!K14+'管理费用'!K14+'蓝恐龙费用'!K14</x:f>
        <x:v>1014.4300000000001</x:v>
      </x:c>
      <x:c r="L14" s="3" t="n">
        <x:f>'销售费用'!L14+'管理费用'!L14+'蓝恐龙费用'!L14</x:f>
        <x:v>691.31</x:v>
      </x:c>
      <x:c r="M14" s="3" t="n">
        <x:f>'销售费用'!M14+'管理费用'!M14+'蓝恐龙费用'!M14</x:f>
        <x:v>800.54</x:v>
      </x:c>
      <x:c r="N14" s="3" t="n">
        <x:f>'销售费用'!N14+'管理费用'!N14+'蓝恐龙费用'!N14</x:f>
        <x:v>668.87</x:v>
      </x:c>
      <x:c r="O14" s="3" t="n">
        <x:f>SUM(C14:N14)</x:f>
        <x:v>8807.79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'销售费用'!C15+'管理费用'!C15+'蓝恐龙费用'!C15</x:f>
        <x:v>669.32</x:v>
      </x:c>
      <x:c r="D15" s="3" t="n">
        <x:f>'销售费用'!D15+'管理费用'!D15+'蓝恐龙费用'!D15</x:f>
        <x:v>421.69</x:v>
      </x:c>
      <x:c r="E15" s="3" t="n">
        <x:f>'销售费用'!E15+'管理费用'!E15+'蓝恐龙费用'!E15</x:f>
        <x:v>733.1</x:v>
      </x:c>
      <x:c r="F15" s="3" t="n">
        <x:f>'销售费用'!F15+'管理费用'!F15+'蓝恐龙费用'!F15</x:f>
        <x:v>494.95000000000005</x:v>
      </x:c>
      <x:c r="G15" s="3" t="n">
        <x:f>'销售费用'!G15+'管理费用'!G15+'蓝恐龙费用'!G15</x:f>
        <x:v>485.42</x:v>
      </x:c>
      <x:c r="H15" s="3" t="n">
        <x:f>'销售费用'!H15+'管理费用'!H15+'蓝恐龙费用'!H15</x:f>
        <x:v>696.51</x:v>
      </x:c>
      <x:c r="I15" s="3" t="n">
        <x:f>'销售费用'!I15+'管理费用'!I15+'蓝恐龙费用'!I15</x:f>
        <x:v>597.31</x:v>
      </x:c>
      <x:c r="J15" s="3" t="n">
        <x:f>'销售费用'!J15+'管理费用'!J15+'蓝恐龙费用'!J15</x:f>
        <x:v>829.67</x:v>
      </x:c>
      <x:c r="K15" s="3" t="n">
        <x:f>'销售费用'!K15+'管理费用'!K15+'蓝恐龙费用'!K15</x:f>
        <x:v>672.05</x:v>
      </x:c>
      <x:c r="L15" s="3" t="n">
        <x:f>'销售费用'!L15+'管理费用'!L15+'蓝恐龙费用'!L15</x:f>
        <x:v>561.6800000000001</x:v>
      </x:c>
      <x:c r="M15" s="3" t="n">
        <x:f>'销售费用'!M15+'管理费用'!M15+'蓝恐龙费用'!M15</x:f>
        <x:v>529.32</x:v>
      </x:c>
      <x:c r="N15" s="3" t="n">
        <x:f>'销售费用'!N15+'管理费用'!N15+'蓝恐龙费用'!N15</x:f>
        <x:v>1113.07</x:v>
      </x:c>
      <x:c r="O15" s="3" t="n">
        <x:f>SUM(C15:N15)</x:f>
        <x:v>7804.090000000001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'销售费用'!C16+'管理费用'!C16+'蓝恐龙费用'!C16</x:f>
        <x:v>694.8199999999999</x:v>
      </x:c>
      <x:c r="D16" s="3" t="n">
        <x:f>'销售费用'!D16+'管理费用'!D16+'蓝恐龙费用'!D16</x:f>
        <x:v>326.47</x:v>
      </x:c>
      <x:c r="E16" s="3" t="n">
        <x:f>'销售费用'!E16+'管理费用'!E16+'蓝恐龙费用'!E16</x:f>
        <x:v>477.96</x:v>
      </x:c>
      <x:c r="F16" s="3" t="n">
        <x:f>'销售费用'!F16+'管理费用'!F16+'蓝恐龙费用'!F16</x:f>
        <x:v>740.34</x:v>
      </x:c>
      <x:c r="G16" s="3" t="n">
        <x:f>'销售费用'!G16+'管理费用'!G16+'蓝恐龙费用'!G16</x:f>
        <x:v>607.05</x:v>
      </x:c>
      <x:c r="H16" s="3" t="n">
        <x:f>'销售费用'!H16+'管理费用'!H16+'蓝恐龙费用'!H16</x:f>
        <x:v>486.3</x:v>
      </x:c>
      <x:c r="I16" s="3" t="n">
        <x:f>'销售费用'!I16+'管理费用'!I16+'蓝恐龙费用'!I16</x:f>
        <x:v>352.53999999999996</x:v>
      </x:c>
      <x:c r="J16" s="3" t="n">
        <x:f>'销售费用'!J16+'管理费用'!J16+'蓝恐龙费用'!J16</x:f>
        <x:v>769.05</x:v>
      </x:c>
      <x:c r="K16" s="3" t="n">
        <x:f>'销售费用'!K16+'管理费用'!K16+'蓝恐龙费用'!K16</x:f>
        <x:v>781.66</x:v>
      </x:c>
      <x:c r="L16" s="3" t="n">
        <x:f>'销售费用'!L16+'管理费用'!L16+'蓝恐龙费用'!L16</x:f>
        <x:v>1098.13</x:v>
      </x:c>
      <x:c r="M16" s="3" t="n">
        <x:f>'销售费用'!M16+'管理费用'!M16+'蓝恐龙费用'!M16</x:f>
        <x:v>696.73</x:v>
      </x:c>
      <x:c r="N16" s="3" t="n">
        <x:f>'销售费用'!N16+'管理费用'!N16+'蓝恐龙费用'!N16</x:f>
        <x:v>1047.8500000000001</x:v>
      </x:c>
      <x:c r="O16" s="3" t="n">
        <x:f>SUM(C16:N16)</x:f>
        <x:v>8078.9000000000015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'销售费用'!C17+'管理费用'!C17+'蓝恐龙费用'!C17</x:f>
        <x:v>334.90999999999997</x:v>
      </x:c>
      <x:c r="D17" s="3" t="n">
        <x:f>'销售费用'!D17+'管理费用'!D17+'蓝恐龙费用'!D17</x:f>
        <x:v>770.23</x:v>
      </x:c>
      <x:c r="E17" s="3" t="n">
        <x:f>'销售费用'!E17+'管理费用'!E17+'蓝恐龙费用'!E17</x:f>
        <x:v>795.91</x:v>
      </x:c>
      <x:c r="F17" s="3" t="n">
        <x:f>'销售费用'!F17+'管理费用'!F17+'蓝恐龙费用'!F17</x:f>
        <x:v>874.69</x:v>
      </x:c>
      <x:c r="G17" s="3" t="n">
        <x:f>'销售费用'!G17+'管理费用'!G17+'蓝恐龙费用'!G17</x:f>
        <x:v>518.27</x:v>
      </x:c>
      <x:c r="H17" s="3" t="n">
        <x:f>'销售费用'!H17+'管理费用'!H17+'蓝恐龙费用'!H17</x:f>
        <x:v>535.88</x:v>
      </x:c>
      <x:c r="I17" s="3" t="n">
        <x:f>'销售费用'!I17+'管理费用'!I17+'蓝恐龙费用'!I17</x:f>
        <x:v>945.3199999999999</x:v>
      </x:c>
      <x:c r="J17" s="3" t="n">
        <x:f>'销售费用'!J17+'管理费用'!J17+'蓝恐龙费用'!J17</x:f>
        <x:v>757.52</x:v>
      </x:c>
      <x:c r="K17" s="3" t="n">
        <x:f>'销售费用'!K17+'管理费用'!K17+'蓝恐龙费用'!K17</x:f>
        <x:v>598.35</x:v>
      </x:c>
      <x:c r="L17" s="3" t="n">
        <x:f>'销售费用'!L17+'管理费用'!L17+'蓝恐龙费用'!L17</x:f>
        <x:v>1060.87</x:v>
      </x:c>
      <x:c r="M17" s="3" t="n">
        <x:f>'销售费用'!M17+'管理费用'!M17+'蓝恐龙费用'!M17</x:f>
        <x:v>634.12</x:v>
      </x:c>
      <x:c r="N17" s="3" t="n">
        <x:f>'销售费用'!N17+'管理费用'!N17+'蓝恐龙费用'!N17</x:f>
        <x:v>685.02</x:v>
      </x:c>
      <x:c r="O17" s="3" t="n">
        <x:f>SUM(C17:N17)</x:f>
        <x:v>8511.09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'销售费用'!C18+'管理费用'!C18+'蓝恐龙费用'!C18</x:f>
        <x:v>400.13</x:v>
      </x:c>
      <x:c r="D18" s="3" t="n">
        <x:f>'销售费用'!D18+'管理费用'!D18+'蓝恐龙费用'!D18</x:f>
        <x:v>761.39</x:v>
      </x:c>
      <x:c r="E18" s="3" t="n">
        <x:f>'销售费用'!E18+'管理费用'!E18+'蓝恐龙费用'!E18</x:f>
        <x:v>1020.6899999999999</x:v>
      </x:c>
      <x:c r="F18" s="3" t="n">
        <x:f>'销售费用'!F18+'管理费用'!F18+'蓝恐龙费用'!F18</x:f>
        <x:v>745.73</x:v>
      </x:c>
      <x:c r="G18" s="3" t="n">
        <x:f>'销售费用'!G18+'管理费用'!G18+'蓝恐龙费用'!G18</x:f>
        <x:v>435.92999999999995</x:v>
      </x:c>
      <x:c r="H18" s="3" t="n">
        <x:f>'销售费用'!H18+'管理费用'!H18+'蓝恐龙费用'!H18</x:f>
        <x:v>379.06</x:v>
      </x:c>
      <x:c r="I18" s="3" t="n">
        <x:f>'销售费用'!I18+'管理费用'!I18+'蓝恐龙费用'!I18</x:f>
        <x:v>528.87</x:v>
      </x:c>
      <x:c r="J18" s="3" t="n">
        <x:f>'销售费用'!J18+'管理费用'!J18+'蓝恐龙费用'!J18</x:f>
        <x:v>499.74</x:v>
      </x:c>
      <x:c r="K18" s="3" t="n">
        <x:f>'销售费用'!K18+'管理费用'!K18+'蓝恐龙费用'!K18</x:f>
        <x:v>692.87</x:v>
      </x:c>
      <x:c r="L18" s="3" t="n">
        <x:f>'销售费用'!L18+'管理费用'!L18+'蓝恐龙费用'!L18</x:f>
        <x:v>439.61</x:v>
      </x:c>
      <x:c r="M18" s="3" t="n">
        <x:f>'销售费用'!M18+'管理费用'!M18+'蓝恐龙费用'!M18</x:f>
        <x:v>421.38</x:v>
      </x:c>
      <x:c r="N18" s="3" t="n">
        <x:f>'销售费用'!N18+'管理费用'!N18+'蓝恐龙费用'!N18</x:f>
        <x:v>1118.71</x:v>
      </x:c>
      <x:c r="O18" s="3" t="n">
        <x:f>SUM(C18:N18)</x:f>
        <x:v>7444.11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'销售费用'!C19+'管理费用'!C19+'蓝恐龙费用'!C19</x:f>
        <x:v>527.03</x:v>
      </x:c>
      <x:c r="D19" s="3" t="n">
        <x:f>'销售费用'!D19+'管理费用'!D19+'蓝恐龙费用'!D19</x:f>
        <x:v>534.63</x:v>
      </x:c>
      <x:c r="E19" s="3" t="n">
        <x:f>'销售费用'!E19+'管理费用'!E19+'蓝恐龙费用'!E19</x:f>
        <x:v>1109.1100000000001</x:v>
      </x:c>
      <x:c r="F19" s="3" t="n">
        <x:f>'销售费用'!F19+'管理费用'!F19+'蓝恐龙费用'!F19</x:f>
        <x:v>805.94</x:v>
      </x:c>
      <x:c r="G19" s="3" t="n">
        <x:f>'销售费用'!G19+'管理费用'!G19+'蓝恐龙费用'!G19</x:f>
        <x:v>773.71</x:v>
      </x:c>
      <x:c r="H19" s="3" t="n">
        <x:f>'销售费用'!H19+'管理费用'!H19+'蓝恐龙费用'!H19</x:f>
        <x:v>568.28</x:v>
      </x:c>
      <x:c r="I19" s="3" t="n">
        <x:f>'销售费用'!I19+'管理费用'!I19+'蓝恐龙费用'!I19</x:f>
        <x:v>480.07000000000005</x:v>
      </x:c>
      <x:c r="J19" s="3" t="n">
        <x:f>'销售费用'!J19+'管理费用'!J19+'蓝恐龙费用'!J19</x:f>
        <x:v>554.73</x:v>
      </x:c>
      <x:c r="K19" s="3" t="n">
        <x:f>'销售费用'!K19+'管理费用'!K19+'蓝恐龙费用'!K19</x:f>
        <x:v>728.62</x:v>
      </x:c>
      <x:c r="L19" s="3" t="n">
        <x:f>'销售费用'!L19+'管理费用'!L19+'蓝恐龙费用'!L19</x:f>
        <x:v>354.73</x:v>
      </x:c>
      <x:c r="M19" s="3" t="n">
        <x:f>'销售费用'!M19+'管理费用'!M19+'蓝恐龙费用'!M19</x:f>
        <x:v>555.73</x:v>
      </x:c>
      <x:c r="N19" s="3" t="n">
        <x:f>'销售费用'!N19+'管理费用'!N19+'蓝恐龙费用'!N19</x:f>
        <x:v>1359.03</x:v>
      </x:c>
      <x:c r="O19" s="3" t="n">
        <x:f>SUM(C19:N19)</x:f>
        <x:v>8351.61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'销售费用'!C20+'管理费用'!C20+'蓝恐龙费用'!C20</x:f>
        <x:v>1622.91</x:v>
      </x:c>
      <x:c r="D20" s="3" t="n">
        <x:f>'销售费用'!D20+'管理费用'!D20+'蓝恐龙费用'!D20</x:f>
        <x:v>1622.91</x:v>
      </x:c>
      <x:c r="E20" s="3" t="n">
        <x:f>'销售费用'!E20+'管理费用'!E20+'蓝恐龙费用'!E20</x:f>
        <x:v>1622.91</x:v>
      </x:c>
      <x:c r="F20" s="3" t="n">
        <x:f>'销售费用'!F20+'管理费用'!F20+'蓝恐龙费用'!F20</x:f>
        <x:v>1622.91</x:v>
      </x:c>
      <x:c r="G20" s="3" t="n">
        <x:f>'销售费用'!G20+'管理费用'!G20+'蓝恐龙费用'!G20</x:f>
        <x:v>1622.91</x:v>
      </x:c>
      <x:c r="H20" s="3" t="n">
        <x:f>'销售费用'!H20+'管理费用'!H20+'蓝恐龙费用'!H20</x:f>
        <x:v>1622.91</x:v>
      </x:c>
      <x:c r="I20" s="3" t="n">
        <x:f>'销售费用'!I20+'管理费用'!I20+'蓝恐龙费用'!I20</x:f>
        <x:v>1622.91</x:v>
      </x:c>
      <x:c r="J20" s="3" t="n">
        <x:f>'销售费用'!J20+'管理费用'!J20+'蓝恐龙费用'!J20</x:f>
        <x:v>1622.91</x:v>
      </x:c>
      <x:c r="K20" s="3" t="n">
        <x:f>'销售费用'!K20+'管理费用'!K20+'蓝恐龙费用'!K20</x:f>
        <x:v>1622.91</x:v>
      </x:c>
      <x:c r="L20" s="3" t="n">
        <x:f>'销售费用'!L20+'管理费用'!L20+'蓝恐龙费用'!L20</x:f>
        <x:v>1622.91</x:v>
      </x:c>
      <x:c r="M20" s="3" t="n">
        <x:f>'销售费用'!M20+'管理费用'!M20+'蓝恐龙费用'!M20</x:f>
        <x:v>1622.91</x:v>
      </x:c>
      <x:c r="N20" s="3" t="n">
        <x:f>'销售费用'!N20+'管理费用'!N20+'蓝恐龙费用'!N20</x:f>
        <x:v>1622.91</x:v>
      </x:c>
      <x:c r="O20" s="3" t="n">
        <x:f>SUM(C20:N20)</x:f>
        <x:v>19474.920000000002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'销售费用'!C21+'管理费用'!C21+'蓝恐龙费用'!C21</x:f>
        <x:v>810.6700000000001</x:v>
      </x:c>
      <x:c r="D21" s="3" t="n">
        <x:f>'销售费用'!D21+'管理费用'!D21+'蓝恐龙费用'!D21</x:f>
        <x:v>445.02</x:v>
      </x:c>
      <x:c r="E21" s="3" t="n">
        <x:f>'销售费用'!E21+'管理费用'!E21+'蓝恐龙费用'!E21</x:f>
        <x:v>900.49</x:v>
      </x:c>
      <x:c r="F21" s="3" t="n">
        <x:f>'销售费用'!F21+'管理费用'!F21+'蓝恐龙费用'!F21</x:f>
        <x:v>731.29</x:v>
      </x:c>
      <x:c r="G21" s="3" t="n">
        <x:f>'销售费用'!G21+'管理费用'!G21+'蓝恐龙费用'!G21</x:f>
        <x:v>881.82</x:v>
      </x:c>
      <x:c r="H21" s="3" t="n">
        <x:f>'销售费用'!H21+'管理费用'!H21+'蓝恐龙费用'!H21</x:f>
        <x:v>1148.04</x:v>
      </x:c>
      <x:c r="I21" s="3" t="n">
        <x:f>'销售费用'!I21+'管理费用'!I21+'蓝恐龙费用'!I21</x:f>
        <x:v>1044.1399999999999</x:v>
      </x:c>
      <x:c r="J21" s="3" t="n">
        <x:f>'销售费用'!J21+'管理费用'!J21+'蓝恐龙费用'!J21</x:f>
        <x:v>729.59</x:v>
      </x:c>
      <x:c r="K21" s="3" t="n">
        <x:f>'销售费用'!K21+'管理费用'!K21+'蓝恐龙费用'!K21</x:f>
        <x:v>660.4300000000001</x:v>
      </x:c>
      <x:c r="L21" s="3" t="n">
        <x:f>'销售费用'!L21+'管理费用'!L21+'蓝恐龙费用'!L21</x:f>
        <x:v>883.3199999999999</x:v>
      </x:c>
      <x:c r="M21" s="3" t="n">
        <x:f>'销售费用'!M21+'管理费用'!M21+'蓝恐龙费用'!M21</x:f>
        <x:v>717.22</x:v>
      </x:c>
      <x:c r="N21" s="3" t="n">
        <x:f>'销售费用'!N21+'管理费用'!N21+'蓝恐龙费用'!N21</x:f>
        <x:v>465.79</x:v>
      </x:c>
      <x:c r="O21" s="3" t="n">
        <x:f>SUM(C21:N21)</x:f>
        <x:v>9417.82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'销售费用'!C22+'管理费用'!C22+'蓝恐龙费用'!C22</x:f>
        <x:v>688.05</x:v>
      </x:c>
      <x:c r="D22" s="3" t="n">
        <x:f>'销售费用'!D22+'管理费用'!D22+'蓝恐龙费用'!D22</x:f>
        <x:v>627.9100000000001</x:v>
      </x:c>
      <x:c r="E22" s="3" t="n">
        <x:f>'销售费用'!E22+'管理费用'!E22+'蓝恐龙费用'!E22</x:f>
        <x:v>700.48</x:v>
      </x:c>
      <x:c r="F22" s="3" t="n">
        <x:f>'销售费用'!F22+'管理费用'!F22+'蓝恐龙费用'!F22</x:f>
        <x:v>926.1</x:v>
      </x:c>
      <x:c r="G22" s="3" t="n">
        <x:f>'销售费用'!G22+'管理费用'!G22+'蓝恐龙费用'!G22</x:f>
        <x:v>678.16</x:v>
      </x:c>
      <x:c r="H22" s="3" t="n">
        <x:f>'销售费用'!H22+'管理费用'!H22+'蓝恐龙费用'!H22</x:f>
        <x:v>556.4000000000001</x:v>
      </x:c>
      <x:c r="I22" s="3" t="n">
        <x:f>'销售费用'!I22+'管理费用'!I22+'蓝恐龙费用'!I22</x:f>
        <x:v>511.64</x:v>
      </x:c>
      <x:c r="J22" s="3" t="n">
        <x:f>'销售费用'!J22+'管理费用'!J22+'蓝恐龙费用'!J22</x:f>
        <x:v>1039.53</x:v>
      </x:c>
      <x:c r="K22" s="3" t="n">
        <x:f>'销售费用'!K22+'管理费用'!K22+'蓝恐龙费用'!K22</x:f>
        <x:v>579.69</x:v>
      </x:c>
      <x:c r="L22" s="3" t="n">
        <x:f>'销售费用'!L22+'管理费用'!L22+'蓝恐龙费用'!L22</x:f>
        <x:v>752.68</x:v>
      </x:c>
      <x:c r="M22" s="3" t="n">
        <x:f>'销售费用'!M22+'管理费用'!M22+'蓝恐龙费用'!M22</x:f>
        <x:v>733.74</x:v>
      </x:c>
      <x:c r="N22" s="3" t="n">
        <x:f>'销售费用'!N22+'管理费用'!N22+'蓝恐龙费用'!N22</x:f>
        <x:v>962.5100000000001</x:v>
      </x:c>
      <x:c r="O22" s="3" t="n">
        <x:f>SUM(C22:N22)</x:f>
        <x:v>8756.890000000001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'销售费用'!C23+'管理费用'!C23+'蓝恐龙费用'!C23</x:f>
        <x:v>847.3600000000001</x:v>
      </x:c>
      <x:c r="D23" s="3" t="n">
        <x:f>'销售费用'!D23+'管理费用'!D23+'蓝恐龙费用'!D23</x:f>
        <x:v>666.97</x:v>
      </x:c>
      <x:c r="E23" s="3" t="n">
        <x:f>'销售费用'!E23+'管理费用'!E23+'蓝恐龙费用'!E23</x:f>
        <x:v>885.25</x:v>
      </x:c>
      <x:c r="F23" s="3" t="n">
        <x:f>'销售费用'!F23+'管理费用'!F23+'蓝恐龙费用'!F23</x:f>
        <x:v>451.78000000000003</x:v>
      </x:c>
      <x:c r="G23" s="3" t="n">
        <x:f>'销售费用'!G23+'管理费用'!G23+'蓝恐龙费用'!G23</x:f>
        <x:v>1224.28</x:v>
      </x:c>
      <x:c r="H23" s="3" t="n">
        <x:f>'销售费用'!H23+'管理费用'!H23+'蓝恐龙费用'!H23</x:f>
        <x:v>889.49</x:v>
      </x:c>
      <x:c r="I23" s="3" t="n">
        <x:f>'销售费用'!I23+'管理费用'!I23+'蓝恐龙费用'!I23</x:f>
        <x:v>579.96</x:v>
      </x:c>
      <x:c r="J23" s="3" t="n">
        <x:f>'销售费用'!J23+'管理费用'!J23+'蓝恐龙费用'!J23</x:f>
        <x:v>1110.66</x:v>
      </x:c>
      <x:c r="K23" s="3" t="n">
        <x:f>'销售费用'!K23+'管理费用'!K23+'蓝恐龙费用'!K23</x:f>
        <x:v>503.28</x:v>
      </x:c>
      <x:c r="L23" s="3" t="n">
        <x:f>'销售费用'!L23+'管理费用'!L23+'蓝恐龙费用'!L23</x:f>
        <x:v>509.86</x:v>
      </x:c>
      <x:c r="M23" s="3" t="n">
        <x:f>'销售费用'!M23+'管理费用'!M23+'蓝恐龙费用'!M23</x:f>
        <x:v>903.3</x:v>
      </x:c>
      <x:c r="N23" s="3" t="n">
        <x:f>'销售费用'!N23+'管理费用'!N23+'蓝恐龙费用'!N23</x:f>
        <x:v>886.41</x:v>
      </x:c>
      <x:c r="O23" s="3" t="n">
        <x:f>SUM(C23:N23)</x:f>
        <x:v>9458.599999999999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'销售费用'!C24+'管理费用'!C24+'蓝恐龙费用'!C24</x:f>
        <x:v>319.23</x:v>
      </x:c>
      <x:c r="D24" s="3" t="n">
        <x:f>'销售费用'!D24+'管理费用'!D24+'蓝恐龙费用'!D24</x:f>
        <x:v>738.13</x:v>
      </x:c>
      <x:c r="E24" s="3" t="n">
        <x:f>'销售费用'!E24+'管理费用'!E24+'蓝恐龙费用'!E24</x:f>
        <x:v>597.25</x:v>
      </x:c>
      <x:c r="F24" s="3" t="n">
        <x:f>'销售费用'!F24+'管理费用'!F24+'蓝恐龙费用'!F24</x:f>
        <x:v>776.79</x:v>
      </x:c>
      <x:c r="G24" s="3" t="n">
        <x:f>'销售费用'!G24+'管理费用'!G24+'蓝恐龙费用'!G24</x:f>
        <x:v>787.8399999999999</x:v>
      </x:c>
      <x:c r="H24" s="3" t="n">
        <x:f>'销售费用'!H24+'管理费用'!H24+'蓝恐龙费用'!H24</x:f>
        <x:v>483.38000000000005</x:v>
      </x:c>
      <x:c r="I24" s="3" t="n">
        <x:f>'销售费用'!I24+'管理费用'!I24+'蓝恐龙费用'!I24</x:f>
        <x:v>862.0400000000001</x:v>
      </x:c>
      <x:c r="J24" s="3" t="n">
        <x:f>'销售费用'!J24+'管理费用'!J24+'蓝恐龙费用'!J24</x:f>
        <x:v>633.71</x:v>
      </x:c>
      <x:c r="K24" s="3" t="n">
        <x:f>'销售费用'!K24+'管理费用'!K24+'蓝恐龙费用'!K24</x:f>
        <x:v>1100.45</x:v>
      </x:c>
      <x:c r="L24" s="3" t="n">
        <x:f>'销售费用'!L24+'管理费用'!L24+'蓝恐龙费用'!L24</x:f>
        <x:v>938.1400000000001</x:v>
      </x:c>
      <x:c r="M24" s="3" t="n">
        <x:f>'销售费用'!M24+'管理费用'!M24+'蓝恐龙费用'!M24</x:f>
        <x:v>886.94</x:v>
      </x:c>
      <x:c r="N24" s="3" t="n">
        <x:f>'销售费用'!N24+'管理费用'!N24+'蓝恐龙费用'!N24</x:f>
        <x:v>976.35</x:v>
      </x:c>
      <x:c r="O24" s="3" t="n">
        <x:f>SUM(C24:N24)</x:f>
        <x:v>9100.25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'销售费用'!C25+'管理费用'!C25+'蓝恐龙费用'!C25</x:f>
        <x:v>1218.01</x:v>
      </x:c>
      <x:c r="D25" s="3" t="n">
        <x:f>'销售费用'!D25+'管理费用'!D25+'蓝恐龙费用'!D25</x:f>
        <x:v>689.6099999999999</x:v>
      </x:c>
      <x:c r="E25" s="3" t="n">
        <x:f>'销售费用'!E25+'管理费用'!E25+'蓝恐龙费用'!E25</x:f>
        <x:v>659.61</x:v>
      </x:c>
      <x:c r="F25" s="3" t="n">
        <x:f>'销售费用'!F25+'管理费用'!F25+'蓝恐龙费用'!F25</x:f>
        <x:v>588.06</x:v>
      </x:c>
      <x:c r="G25" s="3" t="n">
        <x:f>'销售费用'!G25+'管理费用'!G25+'蓝恐龙费用'!G25</x:f>
        <x:v>937.3700000000001</x:v>
      </x:c>
      <x:c r="H25" s="3" t="n">
        <x:f>'销售费用'!H25+'管理费用'!H25+'蓝恐龙费用'!H25</x:f>
        <x:v>748.46</x:v>
      </x:c>
      <x:c r="I25" s="3" t="n">
        <x:f>'销售费用'!I25+'管理费用'!I25+'蓝恐龙费用'!I25</x:f>
        <x:v>1111.63</x:v>
      </x:c>
      <x:c r="J25" s="3" t="n">
        <x:f>'销售费用'!J25+'管理费用'!J25+'蓝恐龙费用'!J25</x:f>
        <x:v>712.47</x:v>
      </x:c>
      <x:c r="K25" s="3" t="n">
        <x:f>'销售费用'!K25+'管理费用'!K25+'蓝恐龙费用'!K25</x:f>
        <x:v>573.44</x:v>
      </x:c>
      <x:c r="L25" s="3" t="n">
        <x:f>'销售费用'!L25+'管理费用'!L25+'蓝恐龙费用'!L25</x:f>
        <x:v>690.72</x:v>
      </x:c>
      <x:c r="M25" s="3" t="n">
        <x:f>'销售费用'!M25+'管理费用'!M25+'蓝恐龙费用'!M25</x:f>
        <x:v>647.95</x:v>
      </x:c>
      <x:c r="N25" s="3" t="n">
        <x:f>'销售费用'!N25+'管理费用'!N25+'蓝恐龙费用'!N25</x:f>
        <x:v>728.06</x:v>
      </x:c>
      <x:c r="O25" s="3" t="n">
        <x:f>SUM(C25:N25)</x:f>
        <x:v>9305.39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'销售费用'!C26+'管理费用'!C26+'蓝恐龙费用'!C26</x:f>
        <x:v>910.66</x:v>
      </x:c>
      <x:c r="D26" s="3" t="n">
        <x:f>'销售费用'!D26+'管理费用'!D26+'蓝恐龙费用'!D26</x:f>
        <x:v>1167.41</x:v>
      </x:c>
      <x:c r="E26" s="3" t="n">
        <x:f>'销售费用'!E26+'管理费用'!E26+'蓝恐龙费用'!E26</x:f>
        <x:v>679.62</x:v>
      </x:c>
      <x:c r="F26" s="3" t="n">
        <x:f>'销售费用'!F26+'管理费用'!F26+'蓝恐龙费用'!F26</x:f>
        <x:v>648.59</x:v>
      </x:c>
      <x:c r="G26" s="3" t="n">
        <x:f>'销售费用'!G26+'管理费用'!G26+'蓝恐龙费用'!G26</x:f>
        <x:v>633.7</x:v>
      </x:c>
      <x:c r="H26" s="3" t="n">
        <x:f>'销售费用'!H26+'管理费用'!H26+'蓝恐龙费用'!H26</x:f>
        <x:v>443.62</x:v>
      </x:c>
      <x:c r="I26" s="3" t="n">
        <x:f>'销售费用'!I26+'管理费用'!I26+'蓝恐龙费用'!I26</x:f>
        <x:v>1098.41</x:v>
      </x:c>
      <x:c r="J26" s="3" t="n">
        <x:f>'销售费用'!J26+'管理费用'!J26+'蓝恐龙费用'!J26</x:f>
        <x:v>781.5500000000001</x:v>
      </x:c>
      <x:c r="K26" s="3" t="n">
        <x:f>'销售费用'!K26+'管理费用'!K26+'蓝恐龙费用'!K26</x:f>
        <x:v>842.61</x:v>
      </x:c>
      <x:c r="L26" s="3" t="n">
        <x:f>'销售费用'!L26+'管理费用'!L26+'蓝恐龙费用'!L26</x:f>
        <x:v>590.19</x:v>
      </x:c>
      <x:c r="M26" s="3" t="n">
        <x:f>'销售费用'!M26+'管理费用'!M26+'蓝恐龙费用'!M26</x:f>
        <x:v>458.16999999999996</x:v>
      </x:c>
      <x:c r="N26" s="3" t="n">
        <x:f>'销售费用'!N26+'管理费用'!N26+'蓝恐龙费用'!N26</x:f>
        <x:v>585.64</x:v>
      </x:c>
      <x:c r="O26" s="3" t="n">
        <x:f>SUM(C26:N26)</x:f>
        <x:v>8840.17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'销售费用'!C27+'管理费用'!C27+'蓝恐龙费用'!C27</x:f>
        <x:v>670.21</x:v>
      </x:c>
      <x:c r="D27" s="3" t="n">
        <x:f>'销售费用'!D27+'管理费用'!D27+'蓝恐龙费用'!D27</x:f>
        <x:v>801.46</x:v>
      </x:c>
      <x:c r="E27" s="3" t="n">
        <x:f>'销售费用'!E27+'管理费用'!E27+'蓝恐龙费用'!E27</x:f>
        <x:v>1141.07</x:v>
      </x:c>
      <x:c r="F27" s="3" t="n">
        <x:f>'销售费用'!F27+'管理费用'!F27+'蓝恐龙费用'!F27</x:f>
        <x:v>655.74</x:v>
      </x:c>
      <x:c r="G27" s="3" t="n">
        <x:f>'销售费用'!G27+'管理费用'!G27+'蓝恐龙费用'!G27</x:f>
        <x:v>549.73</x:v>
      </x:c>
      <x:c r="H27" s="3" t="n">
        <x:f>'销售费用'!H27+'管理费用'!H27+'蓝恐龙费用'!H27</x:f>
        <x:v>531.4200000000001</x:v>
      </x:c>
      <x:c r="I27" s="3" t="n">
        <x:f>'销售费用'!I27+'管理费用'!I27+'蓝恐龙费用'!I27</x:f>
        <x:v>470.63</x:v>
      </x:c>
      <x:c r="J27" s="3" t="n">
        <x:f>'销售费用'!J27+'管理费用'!J27+'蓝恐龙费用'!J27</x:f>
        <x:v>527.3199999999999</x:v>
      </x:c>
      <x:c r="K27" s="3" t="n">
        <x:f>'销售费用'!K27+'管理费用'!K27+'蓝恐龙费用'!K27</x:f>
        <x:v>424.45</x:v>
      </x:c>
      <x:c r="L27" s="3" t="n">
        <x:f>'销售费用'!L27+'管理费用'!L27+'蓝恐龙费用'!L27</x:f>
        <x:v>744.53</x:v>
      </x:c>
      <x:c r="M27" s="3" t="n">
        <x:f>'销售费用'!M27+'管理费用'!M27+'蓝恐龙费用'!M27</x:f>
        <x:v>974.79</x:v>
      </x:c>
      <x:c r="N27" s="3" t="n">
        <x:f>'销售费用'!N27+'管理费用'!N27+'蓝恐龙费用'!N27</x:f>
        <x:v>834.31</x:v>
      </x:c>
      <x:c r="O27" s="3" t="n">
        <x:f>SUM(C27:N27)</x:f>
        <x:v>8325.659999999998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'销售费用'!C28+'管理费用'!C28+'蓝恐龙费用'!C28</x:f>
        <x:v>498.36999999999995</x:v>
      </x:c>
      <x:c r="D28" s="3" t="n">
        <x:f>'销售费用'!D28+'管理费用'!D28+'蓝恐龙费用'!D28</x:f>
        <x:v>540.26</x:v>
      </x:c>
      <x:c r="E28" s="3" t="n">
        <x:f>'销售费用'!E28+'管理费用'!E28+'蓝恐龙费用'!E28</x:f>
        <x:v>514.21</x:v>
      </x:c>
      <x:c r="F28" s="3" t="n">
        <x:f>'销售费用'!F28+'管理费用'!F28+'蓝恐龙费用'!F28</x:f>
        <x:v>822.94</x:v>
      </x:c>
      <x:c r="G28" s="3" t="n">
        <x:f>'销售费用'!G28+'管理费用'!G28+'蓝恐龙费用'!G28</x:f>
        <x:v>887.24</x:v>
      </x:c>
      <x:c r="H28" s="3" t="n">
        <x:f>'销售费用'!H28+'管理费用'!H28+'蓝恐龙费用'!H28</x:f>
        <x:v>701.31</x:v>
      </x:c>
      <x:c r="I28" s="3" t="n">
        <x:f>'销售费用'!I28+'管理费用'!I28+'蓝恐龙费用'!I28</x:f>
        <x:v>985.09</x:v>
      </x:c>
      <x:c r="J28" s="3" t="n">
        <x:f>'销售费用'!J28+'管理费用'!J28+'蓝恐龙费用'!J28</x:f>
        <x:v>622.45</x:v>
      </x:c>
      <x:c r="K28" s="3" t="n">
        <x:f>'销售费用'!K28+'管理费用'!K28+'蓝恐龙费用'!K28</x:f>
        <x:v>661.51</x:v>
      </x:c>
      <x:c r="L28" s="3" t="n">
        <x:f>'销售费用'!L28+'管理费用'!L28+'蓝恐龙费用'!L28</x:f>
        <x:v>960.67</x:v>
      </x:c>
      <x:c r="M28" s="3" t="n">
        <x:f>'销售费用'!M28+'管理费用'!M28+'蓝恐龙费用'!M28</x:f>
        <x:v>841.8699999999999</x:v>
      </x:c>
      <x:c r="N28" s="3" t="n">
        <x:f>'销售费用'!N28+'管理费用'!N28+'蓝恐龙费用'!N28</x:f>
        <x:v>1054.1599999999999</x:v>
      </x:c>
      <x:c r="O28" s="3" t="n">
        <x:f>SUM(C28:N28)</x:f>
        <x:v>9090.079999999998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'销售费用'!C29+'管理费用'!C29+'蓝恐龙费用'!C29</x:f>
        <x:v>0</x:v>
      </x:c>
      <x:c r="D29" s="3" t="n">
        <x:f>'销售费用'!D29+'管理费用'!D29+'蓝恐龙费用'!D29</x:f>
        <x:v>0</x:v>
      </x:c>
      <x:c r="E29" s="3" t="n">
        <x:f>'销售费用'!E29+'管理费用'!E29+'蓝恐龙费用'!E29</x:f>
        <x:v>0</x:v>
      </x:c>
      <x:c r="F29" s="3" t="n">
        <x:f>'销售费用'!F29+'管理费用'!F29+'蓝恐龙费用'!F29</x:f>
        <x:v>0</x:v>
      </x:c>
      <x:c r="G29" s="3" t="n">
        <x:f>'销售费用'!G29+'管理费用'!G29+'蓝恐龙费用'!G29</x:f>
        <x:v>0</x:v>
      </x:c>
      <x:c r="H29" s="3" t="n">
        <x:f>'销售费用'!H29+'管理费用'!H29+'蓝恐龙费用'!H29</x:f>
        <x:v>0</x:v>
      </x:c>
      <x:c r="I29" s="3" t="n">
        <x:f>'销售费用'!I29+'管理费用'!I29+'蓝恐龙费用'!I29</x:f>
        <x:v>0</x:v>
      </x:c>
      <x:c r="J29" s="3" t="n">
        <x:f>'销售费用'!J29+'管理费用'!J29+'蓝恐龙费用'!J29</x:f>
        <x:v>0</x:v>
      </x:c>
      <x:c r="K29" s="3" t="n">
        <x:f>'销售费用'!K29+'管理费用'!K29+'蓝恐龙费用'!K29</x:f>
        <x:v>0</x:v>
      </x:c>
      <x:c r="L29" s="3" t="n">
        <x:f>'销售费用'!L29+'管理费用'!L29+'蓝恐龙费用'!L29</x:f>
        <x:v>0</x:v>
      </x:c>
      <x:c r="M29" s="3" t="n">
        <x:f>'销售费用'!M29+'管理费用'!M29+'蓝恐龙费用'!M29</x:f>
        <x:v>0</x:v>
      </x:c>
      <x:c r="N29" s="3" t="n">
        <x:f>'销售费用'!N29+'管理费用'!N29+'蓝恐龙费用'!N29</x:f>
        <x:v>0</x:v>
      </x:c>
      <x:c r="O29" s="3" t="n">
        <x:f>SUM(C29:N29)</x:f>
        <x:v>0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'销售费用'!C30+'管理费用'!C30+'蓝恐龙费用'!C30</x:f>
        <x:v>617.34</x:v>
      </x:c>
      <x:c r="D30" s="6" t="n">
        <x:f>'销售费用'!D30+'管理费用'!D30+'蓝恐龙费用'!D30</x:f>
        <x:v>740.34</x:v>
      </x:c>
      <x:c r="E30" s="6" t="n">
        <x:f>'销售费用'!E30+'管理费用'!E30+'蓝恐龙费用'!E30</x:f>
        <x:v>495.83000000000004</x:v>
      </x:c>
      <x:c r="F30" s="6" t="n">
        <x:f>'销售费用'!F30+'管理费用'!F30+'蓝恐龙费用'!F30</x:f>
        <x:v>576.75</x:v>
      </x:c>
      <x:c r="G30" s="6" t="n">
        <x:f>'销售费用'!G30+'管理费用'!G30+'蓝恐龙费用'!G30</x:f>
        <x:v>674.75</x:v>
      </x:c>
      <x:c r="H30" s="6" t="n">
        <x:f>'销售费用'!H30+'管理费用'!H30+'蓝恐龙费用'!H30</x:f>
        <x:v>596.15</x:v>
      </x:c>
      <x:c r="I30" s="6" t="n">
        <x:f>'销售费用'!I30+'管理费用'!I30+'蓝恐龙费用'!I30</x:f>
        <x:v>998.98</x:v>
      </x:c>
      <x:c r="J30" s="6" t="n">
        <x:f>'销售费用'!J30+'管理费用'!J30+'蓝恐龙费用'!J30</x:f>
        <x:v>500.72</x:v>
      </x:c>
      <x:c r="K30" s="6" t="n">
        <x:f>'销售费用'!K30+'管理费用'!K30+'蓝恐龙费用'!K30</x:f>
        <x:v>567.78</x:v>
      </x:c>
      <x:c r="L30" s="6" t="n">
        <x:f>'销售费用'!L30+'管理费用'!L30+'蓝恐龙费用'!L30</x:f>
        <x:v>659.85</x:v>
      </x:c>
      <x:c r="M30" s="6" t="n">
        <x:f>'销售费用'!M30+'管理费用'!M30+'蓝恐龙费用'!M30</x:f>
        <x:v>595.45</x:v>
      </x:c>
      <x:c r="N30" s="6" t="n">
        <x:f>'销售费用'!N30+'管理费用'!N30+'蓝恐龙费用'!N30</x:f>
        <x:v>916.86</x:v>
      </x:c>
      <x:c r="O30" s="6" t="n">
        <x:f>SUM(C30:N30)</x:f>
        <x:v>7940.8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'销售费用'!C31+'管理费用'!C31+'蓝恐龙费用'!C31</x:f>
        <x:v>846.1999999999999</x:v>
      </x:c>
      <x:c r="D31" s="3" t="n">
        <x:f>'销售费用'!D31+'管理费用'!D31+'蓝恐龙费用'!D31</x:f>
        <x:v>971.94</x:v>
      </x:c>
      <x:c r="E31" s="3" t="n">
        <x:f>'销售费用'!E31+'管理费用'!E31+'蓝恐龙费用'!E31</x:f>
        <x:v>522.56</x:v>
      </x:c>
      <x:c r="F31" s="3" t="n">
        <x:f>'销售费用'!F31+'管理费用'!F31+'蓝恐龙费用'!F31</x:f>
        <x:v>771.05</x:v>
      </x:c>
      <x:c r="G31" s="3" t="n">
        <x:f>'销售费用'!G31+'管理费用'!G31+'蓝恐龙费用'!G31</x:f>
        <x:v>797.07</x:v>
      </x:c>
      <x:c r="H31" s="3" t="n">
        <x:f>'销售费用'!H31+'管理费用'!H31+'蓝恐龙费用'!H31</x:f>
        <x:v>595.8299999999999</x:v>
      </x:c>
      <x:c r="I31" s="3" t="n">
        <x:f>'销售费用'!I31+'管理费用'!I31+'蓝恐龙费用'!I31</x:f>
        <x:v>905.2700000000001</x:v>
      </x:c>
      <x:c r="J31" s="3" t="n">
        <x:f>'销售费用'!J31+'管理费用'!J31+'蓝恐龙费用'!J31</x:f>
        <x:v>962.77</x:v>
      </x:c>
      <x:c r="K31" s="3" t="n">
        <x:f>'销售费用'!K31+'管理费用'!K31+'蓝恐龙费用'!K31</x:f>
        <x:v>692.36</x:v>
      </x:c>
      <x:c r="L31" s="3" t="n">
        <x:f>'销售费用'!L31+'管理费用'!L31+'蓝恐龙费用'!L31</x:f>
        <x:v>663.2900000000001</x:v>
      </x:c>
      <x:c r="M31" s="3" t="n">
        <x:f>'销售费用'!M31+'管理费用'!M31+'蓝恐龙费用'!M31</x:f>
        <x:v>787.12</x:v>
      </x:c>
      <x:c r="N31" s="3" t="n">
        <x:f>'销售费用'!N31+'管理费用'!N31+'蓝恐龙费用'!N31</x:f>
        <x:v>874.26</x:v>
      </x:c>
      <x:c r="O31" s="3" t="n">
        <x:f>SUM(C31:N31)</x:f>
        <x:v>9389.720000000001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'销售费用'!C32+'管理费用'!C32+'蓝恐龙费用'!C32</x:f>
        <x:v>371.7</x:v>
      </x:c>
      <x:c r="D32" s="3" t="n">
        <x:f>'销售费用'!D32+'管理费用'!D32+'蓝恐龙费用'!D32</x:f>
        <x:v>890.8800000000001</x:v>
      </x:c>
      <x:c r="E32" s="3" t="n">
        <x:f>'销售费用'!E32+'管理费用'!E32+'蓝恐龙费用'!E32</x:f>
        <x:v>809.1700000000001</x:v>
      </x:c>
      <x:c r="F32" s="3" t="n">
        <x:f>'销售费用'!F32+'管理费用'!F32+'蓝恐龙费用'!F32</x:f>
        <x:v>638.24</x:v>
      </x:c>
      <x:c r="G32" s="3" t="n">
        <x:f>'销售费用'!G32+'管理费用'!G32+'蓝恐龙费用'!G32</x:f>
        <x:v>749.32</x:v>
      </x:c>
      <x:c r="H32" s="3" t="n">
        <x:f>'销售费用'!H32+'管理费用'!H32+'蓝恐龙费用'!H32</x:f>
        <x:v>436.09999999999997</x:v>
      </x:c>
      <x:c r="I32" s="3" t="n">
        <x:f>'销售费用'!I32+'管理费用'!I32+'蓝恐龙费用'!I32</x:f>
        <x:v>857.7</x:v>
      </x:c>
      <x:c r="J32" s="3" t="n">
        <x:f>'销售费用'!J32+'管理费用'!J32+'蓝恐龙费用'!J32</x:f>
        <x:v>624.5400000000001</x:v>
      </x:c>
      <x:c r="K32" s="3" t="n">
        <x:f>'销售费用'!K32+'管理费用'!K32+'蓝恐龙费用'!K32</x:f>
        <x:v>846.0699999999999</x:v>
      </x:c>
      <x:c r="L32" s="3" t="n">
        <x:f>'销售费用'!L32+'管理费用'!L32+'蓝恐龙费用'!L32</x:f>
        <x:v>558.02</x:v>
      </x:c>
      <x:c r="M32" s="3" t="n">
        <x:f>'销售费用'!M32+'管理费用'!M32+'蓝恐龙费用'!M32</x:f>
        <x:v>865.9699999999999</x:v>
      </x:c>
      <x:c r="N32" s="3" t="n">
        <x:f>'销售费用'!N32+'管理费用'!N32+'蓝恐龙费用'!N32</x:f>
        <x:v>852.8399999999999</x:v>
      </x:c>
      <x:c r="O32" s="3" t="n">
        <x:f>SUM(C32:N32)</x:f>
        <x:v>8500.55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'销售费用'!C33+'管理费用'!C33+'蓝恐龙费用'!C33</x:f>
        <x:v>440.35</x:v>
      </x:c>
      <x:c r="D33" s="3" t="n">
        <x:f>'销售费用'!D33+'管理费用'!D33+'蓝恐龙费用'!D33</x:f>
        <x:v>947.25</x:v>
      </x:c>
      <x:c r="E33" s="3" t="n">
        <x:f>'销售费用'!E33+'管理费用'!E33+'蓝恐龙费用'!E33</x:f>
        <x:v>659.64</x:v>
      </x:c>
      <x:c r="F33" s="3" t="n">
        <x:f>'销售费用'!F33+'管理费用'!F33+'蓝恐龙费用'!F33</x:f>
        <x:v>546.54</x:v>
      </x:c>
      <x:c r="G33" s="3" t="n">
        <x:f>'销售费用'!G33+'管理费用'!G33+'蓝恐龙费用'!G33</x:f>
        <x:v>1121.26</x:v>
      </x:c>
      <x:c r="H33" s="3" t="n">
        <x:f>'销售费用'!H33+'管理费用'!H33+'蓝恐龙费用'!H33</x:f>
        <x:v>368.73</x:v>
      </x:c>
      <x:c r="I33" s="3" t="n">
        <x:f>'销售费用'!I33+'管理费用'!I33+'蓝恐龙费用'!I33</x:f>
        <x:v>623.9300000000001</x:v>
      </x:c>
      <x:c r="J33" s="3" t="n">
        <x:f>'销售费用'!J33+'管理费用'!J33+'蓝恐龙费用'!J33</x:f>
        <x:v>398.67</x:v>
      </x:c>
      <x:c r="K33" s="3" t="n">
        <x:f>'销售费用'!K33+'管理费用'!K33+'蓝恐龙费用'!K33</x:f>
        <x:v>555.8100000000001</x:v>
      </x:c>
      <x:c r="L33" s="3" t="n">
        <x:f>'销售费用'!L33+'管理费用'!L33+'蓝恐龙费用'!L33</x:f>
        <x:v>904.4599999999999</x:v>
      </x:c>
      <x:c r="M33" s="3" t="n">
        <x:f>'销售费用'!M33+'管理费用'!M33+'蓝恐龙费用'!M33</x:f>
        <x:v>639.0300000000001</x:v>
      </x:c>
      <x:c r="N33" s="3" t="n">
        <x:f>'销售费用'!N33+'管理费用'!N33+'蓝恐龙费用'!N33</x:f>
        <x:v>495.2</x:v>
      </x:c>
      <x:c r="O33" s="3" t="n">
        <x:f>SUM(C33:N33)</x:f>
        <x:v>7700.87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20215.23</x:v>
      </x:c>
      <x:c r="D34" s="3" t="n">
        <x:f>SUM(D4:D33)</x:f>
        <x:v>21227.819999999996</x:v>
      </x:c>
      <x:c r="E34" s="3" t="n">
        <x:f>SUM(E4:E33)</x:f>
        <x:v>22480.57</x:v>
      </x:c>
      <x:c r="F34" s="3" t="n">
        <x:f>SUM(F4:F33)</x:f>
        <x:v>21220.020000000008</x:v>
      </x:c>
      <x:c r="G34" s="3" t="n">
        <x:f>SUM(G4:G33)</x:f>
        <x:v>22874.92</x:v>
      </x:c>
      <x:c r="H34" s="3" t="n">
        <x:f>SUM(H4:H33)</x:f>
        <x:v>19629.099999999995</x:v>
      </x:c>
      <x:c r="I34" s="3" t="n">
        <x:f>SUM(I4:I33)</x:f>
        <x:v>23699.280000000002</x:v>
      </x:c>
      <x:c r="J34" s="3" t="n">
        <x:f>SUM(J4:J33)</x:f>
        <x:v>21013.730000000003</x:v>
      </x:c>
      <x:c r="K34" s="3" t="n">
        <x:f>SUM(K4:K33)</x:f>
        <x:v>21800.06</x:v>
      </x:c>
      <x:c r="L34" s="3" t="n">
        <x:f>SUM(L4:L33)</x:f>
        <x:v>21526.589999999997</x:v>
      </x:c>
      <x:c r="M34" s="3" t="n">
        <x:f>SUM(M4:M33)</x:f>
        <x:v>21329.079999999998</x:v>
      </x:c>
      <x:c r="N34" s="3" t="n">
        <x:f>SUM(N4:N33)</x:f>
        <x:v>24678.280000000002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预算基础月度勾稽</x:v>
      </x:c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2:B42"/>
    <x:mergeCell ref="A43:B43"/>
    <x:mergeCell ref="A44:B44"/>
    <x:mergeCell ref="A45:B45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日期</x:v>
      </x:c>
      <x:c r="C2" s="3"/>
      <x:c r="D2" s="3"/>
      <x:c r="E2" s="3"/>
      <x:c r="F2" s="3"/>
      <x:c r="G2" s="3"/>
      <x:c r="H2" s="3" t="str">
        <x:v>金额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摘要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 t="str">
        <x:v>合计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预算基础内部底稿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摊销资产原值</x:v>
      </x:c>
      <x:c r="C31" s="4" t="n">
        <x:v>89259.78</x:v>
      </x:c>
      <x:c r="D31" s="3" t="n">
        <x:f>$C$31</x:f>
        <x:v>89259.78</x:v>
      </x:c>
      <x:c r="E31" s="3" t="n">
        <x:f>$C$31</x:f>
        <x:v>89259.78</x:v>
      </x:c>
      <x:c r="F31" s="3" t="n">
        <x:f>$C$31</x:f>
        <x:v>89259.78</x:v>
      </x:c>
      <x:c r="G31" s="3" t="n">
        <x:f>$C$31</x:f>
        <x:v>89259.78</x:v>
      </x:c>
      <x:c r="H31" s="3" t="n">
        <x:f>$C$31</x:f>
        <x:v>89259.78</x:v>
      </x:c>
      <x:c r="I31" s="3" t="n">
        <x:f>$C$31</x:f>
        <x:v>89259.78</x:v>
      </x:c>
      <x:c r="J31" s="3" t="n">
        <x:f>$C$31</x:f>
        <x:v>89259.78</x:v>
      </x:c>
      <x:c r="K31" s="3" t="n">
        <x:f>$C$31</x:f>
        <x:v>89259.78</x:v>
      </x:c>
      <x:c r="L31" s="3" t="n">
        <x:f>$C$31</x:f>
        <x:v>89259.78</x:v>
      </x:c>
      <x:c r="M31" s="3" t="n">
        <x:f>$C$31</x:f>
        <x:v>89259.78</x:v>
      </x:c>
      <x:c r="N31" s="3" t="n">
        <x:f>$C$31</x:f>
        <x:v>89259.78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摊销月数</x:v>
      </x:c>
      <x:c r="C32" s="4" t="n">
        <x:v>55</x:v>
      </x:c>
      <x:c r="D32" s="3" t="n">
        <x:f>$C$32</x:f>
        <x:v>55</x:v>
      </x:c>
      <x:c r="E32" s="3" t="n">
        <x:f>$C$32</x:f>
        <x:v>55</x:v>
      </x:c>
      <x:c r="F32" s="3" t="n">
        <x:f>$C$32</x:f>
        <x:v>55</x:v>
      </x:c>
      <x:c r="G32" s="3" t="n">
        <x:f>$C$32</x:f>
        <x:v>55</x:v>
      </x:c>
      <x:c r="H32" s="3" t="n">
        <x:f>$C$32</x:f>
        <x:v>55</x:v>
      </x:c>
      <x:c r="I32" s="3" t="n">
        <x:f>$C$32</x:f>
        <x:v>55</x:v>
      </x:c>
      <x:c r="J32" s="3" t="n">
        <x:f>$C$32</x:f>
        <x:v>55</x:v>
      </x:c>
      <x:c r="K32" s="3" t="n">
        <x:f>$C$32</x:f>
        <x:v>55</x:v>
      </x:c>
      <x:c r="L32" s="3" t="n">
        <x:f>$C$32</x:f>
        <x:v>55</x:v>
      </x:c>
      <x:c r="M32" s="3" t="n">
        <x:f>$C$32</x:f>
        <x:v>55</x:v>
      </x:c>
      <x:c r="N32" s="3" t="n">
        <x:f>$C$32</x:f>
        <x:v>55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本月摊销</x:v>
      </x:c>
      <x:c r="C33" s="3" t="n">
        <x:f>ROUND(C31/C32,2)</x:f>
        <x:v>1622.91</x:v>
      </x:c>
      <x:c r="D33" s="3" t="n">
        <x:f>ROUND(D31/D32,2)</x:f>
        <x:v>1622.91</x:v>
      </x:c>
      <x:c r="E33" s="3" t="n">
        <x:f>ROUND(E31/E32,2)</x:f>
        <x:v>1622.91</x:v>
      </x:c>
      <x:c r="F33" s="3" t="n">
        <x:f>ROUND(F31/F32,2)</x:f>
        <x:v>1622.91</x:v>
      </x:c>
      <x:c r="G33" s="3" t="n">
        <x:f>ROUND(G31/G32,2)</x:f>
        <x:v>1622.91</x:v>
      </x:c>
      <x:c r="H33" s="3" t="n">
        <x:f>ROUND(H31/H32,2)</x:f>
        <x:v>1622.91</x:v>
      </x:c>
      <x:c r="I33" s="3" t="n">
        <x:f>ROUND(I31/I32,2)</x:f>
        <x:v>1622.91</x:v>
      </x:c>
      <x:c r="J33" s="3" t="n">
        <x:f>ROUND(J31/J32,2)</x:f>
        <x:v>1622.91</x:v>
      </x:c>
      <x:c r="K33" s="3" t="n">
        <x:f>ROUND(K31/K32,2)</x:f>
        <x:v>1622.91</x:v>
      </x:c>
      <x:c r="L33" s="3" t="n">
        <x:f>ROUND(L31/L32,2)</x:f>
        <x:v>1622.91</x:v>
      </x:c>
      <x:c r="M33" s="3" t="n">
        <x:f>ROUND(M31/M32,2)</x:f>
        <x:v>1622.91</x:v>
      </x:c>
      <x:c r="N33" s="3" t="n">
        <x:f>ROUND(N31/N32,2)</x:f>
        <x:v>1622.91</x:v>
      </x:c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累计已摊销</x:v>
      </x:c>
      <x:c r="C34" s="3" t="n">
        <x:f>SUM($C33:C33)</x:f>
        <x:v>1622.91</x:v>
      </x:c>
      <x:c r="D34" s="3" t="n">
        <x:f>SUM($C33:D33)</x:f>
        <x:v>3245.82</x:v>
      </x:c>
      <x:c r="E34" s="3" t="n">
        <x:f>SUM($C33:E33)</x:f>
        <x:v>4868.7300000000005</x:v>
      </x:c>
      <x:c r="F34" s="3" t="n">
        <x:f>SUM($C33:F33)</x:f>
        <x:v>6491.64</x:v>
      </x:c>
      <x:c r="G34" s="3" t="n">
        <x:f>SUM($C33:G33)</x:f>
        <x:v>8114.55</x:v>
      </x:c>
      <x:c r="H34" s="3" t="n">
        <x:f>SUM($C33:H33)</x:f>
        <x:v>9737.460000000001</x:v>
      </x:c>
      <x:c r="I34" s="3" t="n">
        <x:f>SUM($C33:I33)</x:f>
        <x:v>11360.37</x:v>
      </x:c>
      <x:c r="J34" s="3" t="n">
        <x:f>SUM($C33:J33)</x:f>
        <x:v>12983.28</x:v>
      </x:c>
      <x:c r="K34" s="3" t="n">
        <x:f>SUM($C33:K33)</x:f>
        <x:v>14606.19</x:v>
      </x:c>
      <x:c r="L34" s="3" t="n">
        <x:f>SUM($C33:L33)</x:f>
        <x:v>16229.1</x:v>
      </x:c>
      <x:c r="M34" s="3" t="n">
        <x:f>SUM($C33:M33)</x:f>
        <x:v>17852.010000000002</x:v>
      </x:c>
      <x:c r="N34" s="3" t="n">
        <x:f>SUM($C33:N33)</x:f>
        <x:v>19474.920000000002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尚未摊销</x:v>
      </x:c>
      <x:c r="C35" s="3" t="n">
        <x:f>C31-C34</x:f>
        <x:v>87636.87</x:v>
      </x:c>
      <x:c r="D35" s="3" t="n">
        <x:f>D31-D34</x:f>
        <x:v>86013.95999999999</x:v>
      </x:c>
      <x:c r="E35" s="3" t="n">
        <x:f>E31-E34</x:f>
        <x:v>84391.05</x:v>
      </x:c>
      <x:c r="F35" s="3" t="n">
        <x:f>F31-F34</x:f>
        <x:v>82768.14</x:v>
      </x:c>
      <x:c r="G35" s="3" t="n">
        <x:f>G31-G34</x:f>
        <x:v>81145.23</x:v>
      </x:c>
      <x:c r="H35" s="3" t="n">
        <x:f>H31-H34</x:f>
        <x:v>79522.31999999999</x:v>
      </x:c>
      <x:c r="I35" s="3" t="n">
        <x:f>I31-I34</x:f>
        <x:v>77899.41</x:v>
      </x:c>
      <x:c r="J35" s="3" t="n">
        <x:f>J31-J34</x:f>
        <x:v>76276.5</x:v>
      </x:c>
      <x:c r="K35" s="3" t="n">
        <x:f>K31-K34</x:f>
        <x:v>74653.59</x:v>
      </x:c>
      <x:c r="L35" s="3" t="n">
        <x:f>L31-L34</x:f>
        <x:v>73030.68</x:v>
      </x:c>
      <x:c r="M35" s="3" t="n">
        <x:f>M31-M34</x:f>
        <x:v>71407.76999999999</x:v>
      </x:c>
      <x:c r="N35" s="3" t="n">
        <x:f>N31-N34</x:f>
        <x:v>69784.86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摊销起始日</x:v>
      </x:c>
      <x:c r="C36" s="3" t="str">
        <x:v>2027-01-01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7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摘要</x:v>
      </x:c>
      <x:c r="B1" s="2" t="str">
        <x:v>科目</x:v>
      </x:c>
      <x:c r="C1" s="3" t="str">
        <x:v>借方</x:v>
      </x:c>
      <x:c r="D1" s="3" t="str">
        <x:v>贷方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管理费用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财务费用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财务费用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财务费用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财务费用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财务费用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管理费用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管理费用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 t="str">
        <x:v>管理费用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 t="str">
        <x:v>管理费用</x:v>
      </x:c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 t="str">
        <x:v>管理费用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 t="str">
        <x:v>管理费用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管理费用</x:v>
      </x:c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 t="str">
        <x:v>利息支出</x:v>
      </x:c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 t="str">
        <x:v>财务费用</x:v>
      </x:c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 t="str">
        <x:v>期间</x:v>
      </x:c>
      <x:c r="B150" s="2" t="str">
        <x:v>科目</x:v>
      </x:c>
      <x:c r="C150" s="3" t="str">
        <x:v>借方</x:v>
      </x:c>
      <x:c r="D150" s="3" t="str">
        <x:v>贷方</x:v>
      </x:c>
      <x:c r="E150" s="3" t="str">
        <x:v>说明</x:v>
      </x:c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 t="str">
        <x:v>2027-01</x:v>
      </x:c>
      <x:c r="B151" s="2" t="str">
        <x:v>银行存款</x:v>
      </x:c>
      <x:c r="C151" s="3" t="n">
        <x:f>'利润表'!C61</x:f>
        <x:v>438813.83999999997</x:v>
      </x:c>
      <x:c r="D151" s="3" t="n">
        <x:f>0</x:f>
        <x:v>0</x:v>
      </x:c>
      <x:c r="E151" s="3" t="str">
        <x:v>占位收入分录，非完整总账</x:v>
      </x:c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 t="str">
        <x:v>主营业务收入</x:v>
      </x:c>
      <x:c r="C152" s="3" t="n">
        <x:f>0</x:f>
        <x:v>0</x:v>
      </x:c>
      <x:c r="D152" s="3" t="n">
        <x:f>C151</x:f>
        <x:v>438813.83999999997</x:v>
      </x:c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 t="str">
        <x:v>2027-02</x:v>
      </x:c>
      <x:c r="B153" s="2" t="str">
        <x:v>银行存款</x:v>
      </x:c>
      <x:c r="C153" s="3" t="n">
        <x:f>'利润表'!D61</x:f>
        <x:v>433508.55</x:v>
      </x:c>
      <x:c r="D153" s="3" t="n">
        <x:f>0</x:f>
        <x:v>0</x:v>
      </x:c>
      <x:c r="E153" s="3" t="str">
        <x:v>占位收入分录，非完整总账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 t="str">
        <x:v>主营业务收入</x:v>
      </x:c>
      <x:c r="C154" s="3" t="n">
        <x:f>0</x:f>
        <x:v>0</x:v>
      </x:c>
      <x:c r="D154" s="3" t="n">
        <x:f>C153</x:f>
        <x:v>433508.55</x:v>
      </x:c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 t="str">
        <x:v>2027-03</x:v>
      </x:c>
      <x:c r="B155" s="2" t="str">
        <x:v>银行存款</x:v>
      </x:c>
      <x:c r="C155" s="3" t="n">
        <x:f>'利润表'!E61</x:f>
        <x:v>509987.06</x:v>
      </x:c>
      <x:c r="D155" s="3" t="n">
        <x:f>0</x:f>
        <x:v>0</x:v>
      </x:c>
      <x:c r="E155" s="3" t="str">
        <x:v>占位收入分录，非完整总账</x:v>
      </x:c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 t="str">
        <x:v>主营业务收入</x:v>
      </x:c>
      <x:c r="C156" s="3" t="n">
        <x:f>0</x:f>
        <x:v>0</x:v>
      </x:c>
      <x:c r="D156" s="3" t="n">
        <x:f>C155</x:f>
        <x:v>509987.06</x:v>
      </x:c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 t="str">
        <x:v>2027-04</x:v>
      </x:c>
      <x:c r="B157" s="2" t="str">
        <x:v>银行存款</x:v>
      </x:c>
      <x:c r="C157" s="3" t="n">
        <x:f>'利润表'!F61</x:f>
        <x:v>374094.65</x:v>
      </x:c>
      <x:c r="D157" s="3" t="n">
        <x:f>0</x:f>
        <x:v>0</x:v>
      </x:c>
      <x:c r="E157" s="3" t="str">
        <x:v>占位收入分录，非完整总账</x:v>
      </x:c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 t="str">
        <x:v>主营业务收入</x:v>
      </x:c>
      <x:c r="C158" s="3" t="n">
        <x:f>0</x:f>
        <x:v>0</x:v>
      </x:c>
      <x:c r="D158" s="3" t="n">
        <x:f>C157</x:f>
        <x:v>374094.65</x:v>
      </x:c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 t="str">
        <x:v>2027-05</x:v>
      </x:c>
      <x:c r="B159" s="2" t="str">
        <x:v>银行存款</x:v>
      </x:c>
      <x:c r="C159" s="3" t="n">
        <x:f>'利润表'!G61</x:f>
        <x:v>533340.76</x:v>
      </x:c>
      <x:c r="D159" s="3" t="n">
        <x:f>0</x:f>
        <x:v>0</x:v>
      </x:c>
      <x:c r="E159" s="3" t="str">
        <x:v>占位收入分录，非完整总账</x:v>
      </x:c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 t="str">
        <x:v>主营业务收入</x:v>
      </x:c>
      <x:c r="C160" s="3" t="n">
        <x:f>0</x:f>
        <x:v>0</x:v>
      </x:c>
      <x:c r="D160" s="3" t="n">
        <x:f>C159</x:f>
        <x:v>533340.76</x:v>
      </x:c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 t="str">
        <x:v>2027-06</x:v>
      </x:c>
      <x:c r="B161" s="2" t="str">
        <x:v>银行存款</x:v>
      </x:c>
      <x:c r="C161" s="3" t="n">
        <x:f>'利润表'!H61</x:f>
        <x:v>423595.80000000005</x:v>
      </x:c>
      <x:c r="D161" s="3" t="n">
        <x:f>0</x:f>
        <x:v>0</x:v>
      </x:c>
      <x:c r="E161" s="3" t="str">
        <x:v>占位收入分录，非完整总账</x:v>
      </x:c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 t="str">
        <x:v>主营业务收入</x:v>
      </x:c>
      <x:c r="C162" s="3" t="n">
        <x:f>0</x:f>
        <x:v>0</x:v>
      </x:c>
      <x:c r="D162" s="3" t="n">
        <x:f>C161</x:f>
        <x:v>423595.80000000005</x:v>
      </x:c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 t="str">
        <x:v>2027-07</x:v>
      </x:c>
      <x:c r="B163" s="2" t="str">
        <x:v>银行存款</x:v>
      </x:c>
      <x:c r="C163" s="3" t="n">
        <x:f>'利润表'!I61</x:f>
        <x:v>414333.12</x:v>
      </x:c>
      <x:c r="D163" s="3" t="n">
        <x:f>0</x:f>
        <x:v>0</x:v>
      </x:c>
      <x:c r="E163" s="3" t="str">
        <x:v>占位收入分录，非完整总账</x:v>
      </x:c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 t="str">
        <x:v>主营业务收入</x:v>
      </x:c>
      <x:c r="C164" s="3" t="n">
        <x:f>0</x:f>
        <x:v>0</x:v>
      </x:c>
      <x:c r="D164" s="3" t="n">
        <x:f>C163</x:f>
        <x:v>414333.12</x:v>
      </x:c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 t="str">
        <x:v>2027-08</x:v>
      </x:c>
      <x:c r="B165" s="2" t="str">
        <x:v>银行存款</x:v>
      </x:c>
      <x:c r="C165" s="3" t="n">
        <x:f>'利润表'!J61</x:f>
        <x:v>492539.47</x:v>
      </x:c>
      <x:c r="D165" s="3" t="n">
        <x:f>0</x:f>
        <x:v>0</x:v>
      </x:c>
      <x:c r="E165" s="3" t="str">
        <x:v>占位收入分录，非完整总账</x:v>
      </x:c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 t="str">
        <x:v>主营业务收入</x:v>
      </x:c>
      <x:c r="C166" s="3" t="n">
        <x:f>0</x:f>
        <x:v>0</x:v>
      </x:c>
      <x:c r="D166" s="3" t="n">
        <x:f>C165</x:f>
        <x:v>492539.47</x:v>
      </x:c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 t="str">
        <x:v>2027-09</x:v>
      </x:c>
      <x:c r="B167" s="2" t="str">
        <x:v>银行存款</x:v>
      </x:c>
      <x:c r="C167" s="3" t="n">
        <x:f>'利润表'!K61</x:f>
        <x:v>361868.72</x:v>
      </x:c>
      <x:c r="D167" s="3" t="n">
        <x:f>0</x:f>
        <x:v>0</x:v>
      </x:c>
      <x:c r="E167" s="3" t="str">
        <x:v>占位收入分录，非完整总账</x:v>
      </x:c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 t="str">
        <x:v>主营业务收入</x:v>
      </x:c>
      <x:c r="C168" s="3" t="n">
        <x:f>0</x:f>
        <x:v>0</x:v>
      </x:c>
      <x:c r="D168" s="3" t="n">
        <x:f>C167</x:f>
        <x:v>361868.72</x:v>
      </x:c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 t="str">
        <x:v>2027-10</x:v>
      </x:c>
      <x:c r="B169" s="2" t="str">
        <x:v>银行存款</x:v>
      </x:c>
      <x:c r="C169" s="3" t="n">
        <x:f>'利润表'!L61</x:f>
        <x:v>378025.33999999997</x:v>
      </x:c>
      <x:c r="D169" s="3" t="n">
        <x:f>0</x:f>
        <x:v>0</x:v>
      </x:c>
      <x:c r="E169" s="3" t="str">
        <x:v>占位收入分录，非完整总账</x:v>
      </x:c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 t="str">
        <x:v>主营业务收入</x:v>
      </x:c>
      <x:c r="C170" s="3" t="n">
        <x:f>0</x:f>
        <x:v>0</x:v>
      </x:c>
      <x:c r="D170" s="3" t="n">
        <x:f>C169</x:f>
        <x:v>378025.33999999997</x:v>
      </x:c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 t="str">
        <x:v>2027-11</x:v>
      </x:c>
      <x:c r="B171" s="2" t="str">
        <x:v>银行存款</x:v>
      </x:c>
      <x:c r="C171" s="3" t="n">
        <x:f>'利润表'!M61</x:f>
        <x:v>337727.4</x:v>
      </x:c>
      <x:c r="D171" s="3" t="n">
        <x:f>0</x:f>
        <x:v>0</x:v>
      </x:c>
      <x:c r="E171" s="3" t="str">
        <x:v>占位收入分录，非完整总账</x:v>
      </x:c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 t="str">
        <x:v>主营业务收入</x:v>
      </x:c>
      <x:c r="C172" s="3" t="n">
        <x:f>0</x:f>
        <x:v>0</x:v>
      </x:c>
      <x:c r="D172" s="3" t="n">
        <x:f>C171</x:f>
        <x:v>337727.4</x:v>
      </x:c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 t="str">
        <x:v>2027-12</x:v>
      </x:c>
      <x:c r="B173" s="2" t="str">
        <x:v>银行存款</x:v>
      </x:c>
      <x:c r="C173" s="3" t="n">
        <x:f>'利润表'!N61</x:f>
        <x:v>426492.95999999996</x:v>
      </x:c>
      <x:c r="D173" s="3" t="n">
        <x:f>0</x:f>
        <x:v>0</x:v>
      </x:c>
      <x:c r="E173" s="3" t="str">
        <x:v>占位收入分录，非完整总账</x:v>
      </x:c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 t="str">
        <x:v>主营业务收入</x:v>
      </x:c>
      <x:c r="C174" s="3" t="n">
        <x:f>0</x:f>
        <x:v>0</x:v>
      </x:c>
      <x:c r="D174" s="3" t="n">
        <x:f>C173</x:f>
        <x:v>426492.95999999996</x:v>
      </x:c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