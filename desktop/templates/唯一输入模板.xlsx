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7121368b1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cab4fa46936c4479"/>
    <x:sheet xmlns:r="http://schemas.openxmlformats.org/officeDocument/2006/relationships" name="资产负债表" sheetId="2" r:id="R2f2c629bb6e34b37"/>
    <x:sheet xmlns:r="http://schemas.openxmlformats.org/officeDocument/2006/relationships" name="现金流量表" sheetId="3" r:id="R753f5f4b9a414de8"/>
    <x:sheet xmlns:r="http://schemas.openxmlformats.org/officeDocument/2006/relationships" name="收入非主控" sheetId="4" r:id="R69ebd41a81f54739"/>
    <x:sheet xmlns:r="http://schemas.openxmlformats.org/officeDocument/2006/relationships" name="收入主控" sheetId="5" r:id="R198d6ace4b84412f"/>
    <x:sheet xmlns:r="http://schemas.openxmlformats.org/officeDocument/2006/relationships" name="税金及附加" sheetId="6" r:id="R07de160795ae435e"/>
    <x:sheet xmlns:r="http://schemas.openxmlformats.org/officeDocument/2006/relationships" name="销售费用" sheetId="7" r:id="R47669e82eb32487e"/>
    <x:sheet xmlns:r="http://schemas.openxmlformats.org/officeDocument/2006/relationships" name="管理费用" sheetId="8" r:id="Rb7a392cfb7064153"/>
    <x:sheet xmlns:r="http://schemas.openxmlformats.org/officeDocument/2006/relationships" name="蓝恐龙费用" sheetId="9" r:id="Rb6677337e63c4702"/>
    <x:sheet xmlns:r="http://schemas.openxmlformats.org/officeDocument/2006/relationships" name="费用表月度汇总" sheetId="10" r:id="R9b7e15bc0db041c9"/>
    <x:sheet xmlns:r="http://schemas.openxmlformats.org/officeDocument/2006/relationships" name="摊销明细" sheetId="11" r:id="Re72af90b41c64433"/>
    <x:sheet xmlns:r="http://schemas.openxmlformats.org/officeDocument/2006/relationships" name="分录" sheetId="12" r:id="R5e8ae4084e07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—&quot;"/>
  </x:numFmts>
  <x:fonts count="3">
    <x:font>
      <x:sz val="11"/>
      <x:name val="Carlito"/>
    </x:font>
    <x:font>
      <x:sz val="10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5EAF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ab5679f964744" /><Relationship Type="http://schemas.openxmlformats.org/officeDocument/2006/relationships/theme" Target="/xl/theme/theme1.xml" Id="R8ed929071f5b41d2" /><Relationship Type="http://schemas.openxmlformats.org/officeDocument/2006/relationships/sharedStrings" Target="/xl/sharedStrings.xml" Id="R4bee725b58e14eed" /><Relationship Type="http://schemas.openxmlformats.org/officeDocument/2006/relationships/worksheet" Target="/xl/worksheets/sheet1.xml" Id="Rcab4fa46936c4479" /><Relationship Type="http://schemas.openxmlformats.org/officeDocument/2006/relationships/worksheet" Target="/xl/worksheets/sheet2.xml" Id="R2f2c629bb6e34b37" /><Relationship Type="http://schemas.openxmlformats.org/officeDocument/2006/relationships/worksheet" Target="/xl/worksheets/sheet3.xml" Id="R753f5f4b9a414de8" /><Relationship Type="http://schemas.openxmlformats.org/officeDocument/2006/relationships/worksheet" Target="/xl/worksheets/sheet4.xml" Id="R69ebd41a81f54739" /><Relationship Type="http://schemas.openxmlformats.org/officeDocument/2006/relationships/worksheet" Target="/xl/worksheets/sheet5.xml" Id="R198d6ace4b84412f" /><Relationship Type="http://schemas.openxmlformats.org/officeDocument/2006/relationships/worksheet" Target="/xl/worksheets/sheet6.xml" Id="R07de160795ae435e" /><Relationship Type="http://schemas.openxmlformats.org/officeDocument/2006/relationships/worksheet" Target="/xl/worksheets/sheet7.xml" Id="R47669e82eb32487e" /><Relationship Type="http://schemas.openxmlformats.org/officeDocument/2006/relationships/worksheet" Target="/xl/worksheets/sheet8.xml" Id="Rb7a392cfb7064153" /><Relationship Type="http://schemas.openxmlformats.org/officeDocument/2006/relationships/worksheet" Target="/xl/worksheets/sheet9.xml" Id="Rb6677337e63c4702" /><Relationship Type="http://schemas.openxmlformats.org/officeDocument/2006/relationships/worksheet" Target="/xl/worksheets/sheet10.xml" Id="R9b7e15bc0db041c9" /><Relationship Type="http://schemas.openxmlformats.org/officeDocument/2006/relationships/worksheet" Target="/xl/worksheets/sheet11.xml" Id="Re72af90b41c64433" /><Relationship Type="http://schemas.openxmlformats.org/officeDocument/2006/relationships/worksheet" Target="/xl/worksheets/sheet12.xml" Id="R5e8ae4084e07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0.25" hidden="0" customWidth="1"/>
    <x:col min="17" max="17" width="10.25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利润表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目</x:v>
      </x:c>
      <x:c r="B2" s="2" t="str">
        <x:v>行数</x:v>
      </x:c>
      <x:c r="C2" s="3" t="str">
        <x:v>主体甲 / 基础情景</x:v>
      </x:c>
      <x:c r="D2" s="3"/>
      <x:c r="E2" s="3"/>
      <x:c r="F2" s="3" t="str">
        <x:v>其他主体费用计入管理费用展示</x:v>
      </x:c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全年预算</x:v>
      </x:c>
      <x:c r="D3" s="6" t="str">
        <x:v>全年实际占位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一、营业收入</x:v>
      </x:c>
      <x:c r="B4" s="2"/>
      <x:c r="C4" s="3" t="n">
        <x:f>SUM(C61:N61)</x:f>
        <x:v>5124327.67</x:v>
      </x:c>
      <x:c r="D4" s="3" t="n">
        <x:f>SUM(C121:N121)</x:f>
        <x:v>5639895.89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减：营业成本</x:v>
      </x:c>
      <x:c r="B5" s="2"/>
      <x:c r="C5" s="3" t="n">
        <x:f>SUM(C62:N62)</x:f>
        <x:v>1734457.4400000002</x:v>
      </x:c>
      <x:c r="D5" s="3" t="n">
        <x:f>SUM(C122:N122)</x:f>
        <x:v>1798297.0999999999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营业税金及附加</x:v>
      </x:c>
      <x:c r="B6" s="2"/>
      <x:c r="C6" s="3" t="n">
        <x:f>SUM(C63:N63)</x:f>
        <x:v>37920.020000000004</x:v>
      </x:c>
      <x:c r="D6" s="3" t="n">
        <x:f>SUM(C123:N123)</x:f>
        <x:v>35756.92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销售费用</x:v>
      </x:c>
      <x:c r="B7" s="2"/>
      <x:c r="C7" s="3" t="n">
        <x:f>SUM(C64:N64)</x:f>
        <x:v>86545.10999999999</x:v>
      </x:c>
      <x:c r="D7" s="3" t="n">
        <x:f>SUM(C124:N124)</x:f>
        <x:v>87879.86000000002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管理费用</x:v>
      </x:c>
      <x:c r="B8" s="2"/>
      <x:c r="C8" s="3" t="n">
        <x:f>SUM(C65:N66)</x:f>
        <x:v>175149.57000000004</x:v>
      </x:c>
      <x:c r="D8" s="3" t="n">
        <x:f>SUM(C125:N126)</x:f>
        <x:v>167450.63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财务费用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资产减值损失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加：公允价值变动收益（损失以“-”号填列）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投资收益（损失以“-”号填列）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其中:对联营企业和合营企业的投资收益</x:v>
      </x:c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二、营业利润（亏损以“-”号填列）</x:v>
      </x:c>
      <x:c r="B14" s="2"/>
      <x:c r="C14" s="3" t="n">
        <x:f>SUM(C67:N67)</x:f>
        <x:v>3090255.5299999993</x:v>
      </x:c>
      <x:c r="D14" s="3" t="n">
        <x:f>SUM(C127:N127)</x:f>
        <x:v>3550511.38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 t="str">
        <x:v>加：营业外收入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减：营业外支出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 t="str">
        <x:v>其中：非流动资产处置损失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 t="str">
        <x:v>三、利润总额（亏损总额以“-”号填列）</x:v>
      </x:c>
      <x:c r="B18" s="2"/>
      <x:c r="C18" s="3" t="n">
        <x:f>SUM(C67:N67)</x:f>
        <x:v>3090255.5299999993</x:v>
      </x:c>
      <x:c r="D18" s="3" t="n">
        <x:f>SUM(C127:N127)</x:f>
        <x:v>3550511.38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减：所得税费用</x:v>
      </x:c>
      <x:c r="B19" s="2"/>
      <x:c r="C19" s="3" t="n">
        <x:f>SUM(C68:N68)</x:f>
        <x:v>627785.41</x:v>
      </x:c>
      <x:c r="D19" s="3" t="n">
        <x:f>SUM(C128:N128)</x:f>
        <x:v>673496.5199999999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四、净利润（净亏损以“-”号填列）</x:v>
      </x:c>
      <x:c r="B20" s="2"/>
      <x:c r="C20" s="3" t="n">
        <x:f>SUM(C69:N69)</x:f>
        <x:v>2462470.1199999996</x:v>
      </x:c>
      <x:c r="D20" s="3" t="n">
        <x:f>SUM(C129:N129)</x:f>
        <x:v>2877014.8600000003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五、每股收益：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（一）基本每股收益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（二）稀释每股收益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营业收入</x:v>
      </x:c>
      <x:c r="C61" s="3" t="n">
        <x:f>'收入非主控'!C33+'收入主控'!C33</x:f>
        <x:v>438813.83999999997</x:v>
      </x:c>
      <x:c r="D61" s="3" t="n">
        <x:f>'收入非主控'!D33+'收入主控'!D33</x:f>
        <x:v>433508.55</x:v>
      </x:c>
      <x:c r="E61" s="3" t="n">
        <x:f>'收入非主控'!E33+'收入主控'!E33</x:f>
        <x:v>509987.06</x:v>
      </x:c>
      <x:c r="F61" s="3" t="n">
        <x:f>'收入非主控'!F33+'收入主控'!F33</x:f>
        <x:v>374094.65</x:v>
      </x:c>
      <x:c r="G61" s="3" t="n">
        <x:f>'收入非主控'!G33+'收入主控'!G33</x:f>
        <x:v>533340.76</x:v>
      </x:c>
      <x:c r="H61" s="3" t="n">
        <x:f>'收入非主控'!H33+'收入主控'!H33</x:f>
        <x:v>423595.80000000005</x:v>
      </x:c>
      <x:c r="I61" s="3" t="n">
        <x:f>'收入非主控'!I33+'收入主控'!I33</x:f>
        <x:v>414333.12</x:v>
      </x:c>
      <x:c r="J61" s="3" t="n">
        <x:f>'收入非主控'!J33+'收入主控'!J33</x:f>
        <x:v>492539.47</x:v>
      </x:c>
      <x:c r="K61" s="3" t="n">
        <x:f>'收入非主控'!K33+'收入主控'!K33</x:f>
        <x:v>361868.72</x:v>
      </x:c>
      <x:c r="L61" s="3" t="n">
        <x:f>'收入非主控'!L33+'收入主控'!L33</x:f>
        <x:v>378025.33999999997</x:v>
      </x:c>
      <x:c r="M61" s="3" t="n">
        <x:f>'收入非主控'!M33+'收入主控'!M33</x:f>
        <x:v>337727.4</x:v>
      </x:c>
      <x:c r="N61" s="3" t="n">
        <x:f>'收入非主控'!N33+'收入主控'!N33</x:f>
        <x:v>426492.95999999996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营业成本</x:v>
      </x:c>
      <x:c r="C62" s="3" t="n">
        <x:f>'收入非主控'!C36+'收入主控'!C36</x:f>
        <x:v>153621.66</x:v>
      </x:c>
      <x:c r="D62" s="3" t="n">
        <x:f>'收入非主控'!D36+'收入主控'!D36</x:f>
        <x:v>167268.84</x:v>
      </x:c>
      <x:c r="E62" s="3" t="n">
        <x:f>'收入非主控'!E36+'收入主控'!E36</x:f>
        <x:v>187616.16999999998</x:v>
      </x:c>
      <x:c r="F62" s="3" t="n">
        <x:f>'收入非主控'!F36+'收入主控'!F36</x:f>
        <x:v>128676.69</x:v>
      </x:c>
      <x:c r="G62" s="3" t="n">
        <x:f>'收入非主控'!G36+'收入主控'!G36</x:f>
        <x:v>135537.1</x:v>
      </x:c>
      <x:c r="H62" s="3" t="n">
        <x:f>'收入非主控'!H36+'收入主控'!H36</x:f>
        <x:v>138061.88999999998</x:v>
      </x:c>
      <x:c r="I62" s="3" t="n">
        <x:f>'收入非主控'!I36+'收入主控'!I36</x:f>
        <x:v>148533.21000000002</x:v>
      </x:c>
      <x:c r="J62" s="3" t="n">
        <x:f>'收入非主控'!J36+'收入主控'!J36</x:f>
        <x:v>127596.28</x:v>
      </x:c>
      <x:c r="K62" s="3" t="n">
        <x:f>'收入非主控'!K36+'收入主控'!K36</x:f>
        <x:v>129597.32</x:v>
      </x:c>
      <x:c r="L62" s="3" t="n">
        <x:f>'收入非主控'!L36+'收入主控'!L36</x:f>
        <x:v>120032.02</x:v>
      </x:c>
      <x:c r="M62" s="3" t="n">
        <x:f>'收入非主控'!M36+'收入主控'!M36</x:f>
        <x:v>135236.53</x:v>
      </x:c>
      <x:c r="N62" s="3" t="n">
        <x:f>'收入非主控'!N36+'收入主控'!N36</x:f>
        <x:v>162679.73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税金及附加</x:v>
      </x:c>
      <x:c r="C63" s="3" t="n">
        <x:f>'税金及附加'!C33</x:f>
        <x:v>3247.22</x:v>
      </x:c>
      <x:c r="D63" s="3" t="n">
        <x:f>'税金及附加'!D33</x:f>
        <x:v>3207.96</x:v>
      </x:c>
      <x:c r="E63" s="3" t="n">
        <x:f>'税金及附加'!E33</x:f>
        <x:v>3773.9</x:v>
      </x:c>
      <x:c r="F63" s="3" t="n">
        <x:f>'税金及附加'!F33</x:f>
        <x:v>2768.3</x:v>
      </x:c>
      <x:c r="G63" s="3" t="n">
        <x:f>'税金及附加'!G33</x:f>
        <x:v>3946.72</x:v>
      </x:c>
      <x:c r="H63" s="3" t="n">
        <x:f>'税金及附加'!H33</x:f>
        <x:v>3134.61</x:v>
      </x:c>
      <x:c r="I63" s="3" t="n">
        <x:f>'税金及附加'!I33</x:f>
        <x:v>3066.07</x:v>
      </x:c>
      <x:c r="J63" s="3" t="n">
        <x:f>'税金及附加'!J33</x:f>
        <x:v>3644.79</x:v>
      </x:c>
      <x:c r="K63" s="3" t="n">
        <x:f>'税金及附加'!K33</x:f>
        <x:v>2677.83</x:v>
      </x:c>
      <x:c r="L63" s="3" t="n">
        <x:f>'税金及附加'!L33</x:f>
        <x:v>2797.39</x:v>
      </x:c>
      <x:c r="M63" s="3" t="n">
        <x:f>'税金及附加'!M33</x:f>
        <x:v>2499.18</x:v>
      </x:c>
      <x:c r="N63" s="3" t="n">
        <x:f>'税金及附加'!N33</x:f>
        <x:v>3156.05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销售费用</x:v>
      </x:c>
      <x:c r="C64" s="3" t="n">
        <x:f>'销售费用'!C34</x:f>
        <x:v>6682.639999999999</x:v>
      </x:c>
      <x:c r="D64" s="3" t="n">
        <x:f>'销售费用'!D34</x:f>
        <x:v>6710.880000000003</x:v>
      </x:c>
      <x:c r="E64" s="3" t="n">
        <x:f>'销售费用'!E34</x:f>
        <x:v>7689.05</x:v>
      </x:c>
      <x:c r="F64" s="3" t="n">
        <x:f>'销售费用'!F34</x:f>
        <x:v>6387.639999999999</x:v>
      </x:c>
      <x:c r="G64" s="3" t="n">
        <x:f>'销售费用'!G34</x:f>
        <x:v>7624.22</x:v>
      </x:c>
      <x:c r="H64" s="3" t="n">
        <x:f>'销售费用'!H34</x:f>
        <x:v>6019.709999999999</x:v>
      </x:c>
      <x:c r="I64" s="3" t="n">
        <x:f>'销售费用'!I34</x:f>
        <x:v>8409.93</x:v>
      </x:c>
      <x:c r="J64" s="3" t="n">
        <x:f>'销售费用'!J34</x:f>
        <x:v>7110.209999999998</x:v>
      </x:c>
      <x:c r="K64" s="3" t="n">
        <x:f>'销售费用'!K34</x:f>
        <x:v>7262.339999999998</x:v>
      </x:c>
      <x:c r="L64" s="3" t="n">
        <x:f>'销售费用'!L34</x:f>
        <x:v>7631.8099999999995</x:v>
      </x:c>
      <x:c r="M64" s="3" t="n">
        <x:f>'销售费用'!M34</x:f>
        <x:v>7188.929999999999</x:v>
      </x:c>
      <x:c r="N64" s="3" t="n">
        <x:f>'销售费用'!N34</x:f>
        <x:v>7827.75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管理费用</x:v>
      </x:c>
      <x:c r="C65" s="3" t="n">
        <x:f>'管理费用'!C34</x:f>
        <x:v>7229.37</x:v>
      </x:c>
      <x:c r="D65" s="3" t="n">
        <x:f>'管理费用'!D34</x:f>
        <x:v>7642.030000000002</x:v>
      </x:c>
      <x:c r="E65" s="3" t="n">
        <x:f>'管理费用'!E34</x:f>
        <x:v>7846.85</x:v>
      </x:c>
      <x:c r="F65" s="3" t="n">
        <x:f>'管理费用'!F34</x:f>
        <x:v>7408.47</x:v>
      </x:c>
      <x:c r="G65" s="3" t="n">
        <x:f>'管理费用'!G34</x:f>
        <x:v>7318.300000000002</x:v>
      </x:c>
      <x:c r="H65" s="3" t="n">
        <x:f>'管理费用'!H34</x:f>
        <x:v>6696.14</x:v>
      </x:c>
      <x:c r="I65" s="3" t="n">
        <x:f>'管理费用'!I34</x:f>
        <x:v>7100</x:v>
      </x:c>
      <x:c r="J65" s="3" t="n">
        <x:f>'管理费用'!J34</x:f>
        <x:v>6869.450000000002</x:v>
      </x:c>
      <x:c r="K65" s="3" t="n">
        <x:f>'管理费用'!K34</x:f>
        <x:v>6714.9</x:v>
      </x:c>
      <x:c r="L65" s="3" t="n">
        <x:f>'管理费用'!L34</x:f>
        <x:v>6729.85</x:v>
      </x:c>
      <x:c r="M65" s="3" t="n">
        <x:f>'管理费用'!M34</x:f>
        <x:v>7282.789999999996</x:v>
      </x:c>
      <x:c r="N65" s="3" t="n">
        <x:f>'管理费用'!N34</x:f>
        <x:v>8482.65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其他主体费用</x:v>
      </x:c>
      <x:c r="C66" s="3" t="n">
        <x:f>'蓝恐龙费用'!C34</x:f>
        <x:v>6303.219999999999</x:v>
      </x:c>
      <x:c r="D66" s="3" t="n">
        <x:f>'蓝恐龙费用'!D34</x:f>
        <x:v>6874.91</x:v>
      </x:c>
      <x:c r="E66" s="3" t="n">
        <x:f>'蓝恐龙费用'!E34</x:f>
        <x:v>6944.67</x:v>
      </x:c>
      <x:c r="F66" s="3" t="n">
        <x:f>'蓝恐龙费用'!F34</x:f>
        <x:v>7423.91</x:v>
      </x:c>
      <x:c r="G66" s="3" t="n">
        <x:f>'蓝恐龙费用'!G34</x:f>
        <x:v>7932.4000000000015</x:v>
      </x:c>
      <x:c r="H66" s="3" t="n">
        <x:f>'蓝恐龙费用'!H34</x:f>
        <x:v>6913.249999999999</x:v>
      </x:c>
      <x:c r="I66" s="3" t="n">
        <x:f>'蓝恐龙费用'!I34</x:f>
        <x:v>8189.349999999999</x:v>
      </x:c>
      <x:c r="J66" s="3" t="n">
        <x:f>'蓝恐龙费用'!J34</x:f>
        <x:v>7034.069999999999</x:v>
      </x:c>
      <x:c r="K66" s="3" t="n">
        <x:f>'蓝恐龙费用'!K34</x:f>
        <x:v>7822.82</x:v>
      </x:c>
      <x:c r="L66" s="3" t="n">
        <x:f>'蓝恐龙费用'!L34</x:f>
        <x:v>7164.929999999999</x:v>
      </x:c>
      <x:c r="M66" s="3" t="n">
        <x:f>'蓝恐龙费用'!M34</x:f>
        <x:v>6857.3600000000015</x:v>
      </x:c>
      <x:c r="N66" s="3" t="n">
        <x:f>'蓝恐龙费用'!N34</x:f>
        <x:v>8367.88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税前利润</x:v>
      </x:c>
      <x:c r="C67" s="3" t="n">
        <x:f>C61-SUM(C62:C66)</x:f>
        <x:v>261729.72999999995</x:v>
      </x:c>
      <x:c r="D67" s="3" t="n">
        <x:f>D61-SUM(D62:D66)</x:f>
        <x:v>241803.93</x:v>
      </x:c>
      <x:c r="E67" s="3" t="n">
        <x:f>E61-SUM(E62:E66)</x:f>
        <x:v>296116.42000000004</x:v>
      </x:c>
      <x:c r="F67" s="3" t="n">
        <x:f>F61-SUM(F62:F66)</x:f>
        <x:v>221429.64</x:v>
      </x:c>
      <x:c r="G67" s="3" t="n">
        <x:f>G61-SUM(G62:G66)</x:f>
        <x:v>370982.02</x:v>
      </x:c>
      <x:c r="H67" s="3" t="n">
        <x:f>H61-SUM(H62:H66)</x:f>
        <x:v>262770.20000000007</x:v>
      </x:c>
      <x:c r="I67" s="3" t="n">
        <x:f>I61-SUM(I62:I66)</x:f>
        <x:v>239034.55999999997</x:v>
      </x:c>
      <x:c r="J67" s="3" t="n">
        <x:f>J61-SUM(J62:J66)</x:f>
        <x:v>340284.6699999999</x:v>
      </x:c>
      <x:c r="K67" s="3" t="n">
        <x:f>K61-SUM(K62:K66)</x:f>
        <x:v>207793.50999999998</x:v>
      </x:c>
      <x:c r="L67" s="3" t="n">
        <x:f>L61-SUM(L62:L66)</x:f>
        <x:v>233669.33999999997</x:v>
      </x:c>
      <x:c r="M67" s="3" t="n">
        <x:f>M61-SUM(M62:M66)</x:f>
        <x:v>178662.61000000002</x:v>
      </x:c>
      <x:c r="N67" s="3" t="n">
        <x:f>N61-SUM(N62:N66)</x:f>
        <x:v>235978.89999999997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所得税费用</x:v>
      </x:c>
      <x:c r="C68" s="3" t="n">
        <x:f>ROUND(MAX(C67,0)*$C$200,2)</x:f>
        <x:v>53170.39</x:v>
      </x:c>
      <x:c r="D68" s="3" t="n">
        <x:f>ROUND(MAX(D67,0)*$C$200,2)</x:f>
        <x:v>49122.47</x:v>
      </x:c>
      <x:c r="E68" s="3" t="n">
        <x:f>ROUND(MAX(E67,0)*$C$200,2)</x:f>
        <x:v>60156.05</x:v>
      </x:c>
      <x:c r="F68" s="3" t="n">
        <x:f>ROUND(MAX(F67,0)*$C$200,2)</x:f>
        <x:v>44983.43</x:v>
      </x:c>
      <x:c r="G68" s="3" t="n">
        <x:f>ROUND(MAX(G67,0)*$C$200,2)</x:f>
        <x:v>75365</x:v>
      </x:c>
      <x:c r="H68" s="3" t="n">
        <x:f>ROUND(MAX(H67,0)*$C$200,2)</x:f>
        <x:v>53381.77</x:v>
      </x:c>
      <x:c r="I68" s="3" t="n">
        <x:f>ROUND(MAX(I67,0)*$C$200,2)</x:f>
        <x:v>48559.87</x:v>
      </x:c>
      <x:c r="J68" s="3" t="n">
        <x:f>ROUND(MAX(J67,0)*$C$200,2)</x:f>
        <x:v>69128.83</x:v>
      </x:c>
      <x:c r="K68" s="3" t="n">
        <x:f>ROUND(MAX(K67,0)*$C$200,2)</x:f>
        <x:v>42213.25</x:v>
      </x:c>
      <x:c r="L68" s="3" t="n">
        <x:f>ROUND(MAX(L67,0)*$C$200,2)</x:f>
        <x:v>47469.93</x:v>
      </x:c>
      <x:c r="M68" s="3" t="n">
        <x:f>ROUND(MAX(M67,0)*$C$200,2)</x:f>
        <x:v>36295.31</x:v>
      </x:c>
      <x:c r="N68" s="3" t="n">
        <x:f>ROUND(MAX(N67,0)*$C$200,2)</x:f>
        <x:v>47939.11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净利润</x:v>
      </x:c>
      <x:c r="C69" s="3" t="n">
        <x:f>C67-C68</x:f>
        <x:v>208559.33999999997</x:v>
      </x:c>
      <x:c r="D69" s="3" t="n">
        <x:f>D67-D68</x:f>
        <x:v>192681.46</x:v>
      </x:c>
      <x:c r="E69" s="3" t="n">
        <x:f>E67-E68</x:f>
        <x:v>235960.37000000005</x:v>
      </x:c>
      <x:c r="F69" s="3" t="n">
        <x:f>F67-F68</x:f>
        <x:v>176446.21000000002</x:v>
      </x:c>
      <x:c r="G69" s="3" t="n">
        <x:f>G67-G68</x:f>
        <x:v>295617.02</x:v>
      </x:c>
      <x:c r="H69" s="3" t="n">
        <x:f>H67-H68</x:f>
        <x:v>209388.43000000008</x:v>
      </x:c>
      <x:c r="I69" s="3" t="n">
        <x:f>I67-I68</x:f>
        <x:v>190474.68999999997</x:v>
      </x:c>
      <x:c r="J69" s="3" t="n">
        <x:f>J67-J68</x:f>
        <x:v>271155.8399999999</x:v>
      </x:c>
      <x:c r="K69" s="3" t="n">
        <x:f>K67-K68</x:f>
        <x:v>165580.25999999998</x:v>
      </x:c>
      <x:c r="L69" s="3" t="n">
        <x:f>L67-L68</x:f>
        <x:v>186199.40999999997</x:v>
      </x:c>
      <x:c r="M69" s="3" t="n">
        <x:f>M67-M68</x:f>
        <x:v>142367.30000000002</x:v>
      </x:c>
      <x:c r="N69" s="3" t="n">
        <x:f>N67-N68</x:f>
        <x:v>188039.78999999998</x:v>
      </x:c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实时经营月度勾稽</x:v>
      </x:c>
      <x:c r="C120" s="6" t="str">
        <x:v>2027-01</x:v>
      </x:c>
      <x:c r="D120" s="6" t="str">
        <x:v>2027-02</x:v>
      </x:c>
      <x:c r="E120" s="6" t="str">
        <x:v>2027-03</x:v>
      </x:c>
      <x:c r="F120" s="6" t="str">
        <x:v>2027-04</x:v>
      </x:c>
      <x:c r="G120" s="6" t="str">
        <x:v>2027-05</x:v>
      </x:c>
      <x:c r="H120" s="6" t="str">
        <x:v>2027-06</x:v>
      </x:c>
      <x:c r="I120" s="6" t="str">
        <x:v>2027-07</x:v>
      </x:c>
      <x:c r="J120" s="6" t="str">
        <x:v>2027-08</x:v>
      </x:c>
      <x:c r="K120" s="6" t="str">
        <x:v>2027-09</x:v>
      </x:c>
      <x:c r="L120" s="6" t="str">
        <x:v>2027-10</x:v>
      </x:c>
      <x:c r="M120" s="6" t="str">
        <x:v>2027-11</x:v>
      </x:c>
      <x:c r="N120" s="6" t="str">
        <x:v>2027-12</x:v>
      </x:c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 t="str">
        <x:v>营业收入</x:v>
      </x:c>
      <x:c r="C121" s="3" t="n">
        <x:f>'收入非主控'!C93+'收入主控'!C93</x:f>
        <x:v>437693.95999999996</x:v>
      </x:c>
      <x:c r="D121" s="3" t="n">
        <x:f>'收入非主控'!D93+'收入主控'!D93</x:f>
        <x:v>496432.69</x:v>
      </x:c>
      <x:c r="E121" s="3" t="n">
        <x:f>'收入非主控'!E93+'收入主控'!E93</x:f>
        <x:v>468206.97</x:v>
      </x:c>
      <x:c r="F121" s="3" t="n">
        <x:f>'收入非主控'!F93+'收入主控'!F93</x:f>
        <x:v>490315.99</x:v>
      </x:c>
      <x:c r="G121" s="3" t="n">
        <x:f>'收入非主控'!G93+'收入主控'!G93</x:f>
        <x:v>559869.67</x:v>
      </x:c>
      <x:c r="H121" s="3" t="n">
        <x:f>'收入非主控'!H93+'收入主控'!H93</x:f>
        <x:v>407197.85</x:v>
      </x:c>
      <x:c r="I121" s="3" t="n">
        <x:f>'收入非主控'!I93+'收入主控'!I93</x:f>
        <x:v>536326.85</x:v>
      </x:c>
      <x:c r="J121" s="3" t="n">
        <x:f>'收入非主控'!J93+'收入主控'!J93</x:f>
        <x:v>386904.92</x:v>
      </x:c>
      <x:c r="K121" s="3" t="n">
        <x:f>'收入非主控'!K93+'收入主控'!K93</x:f>
        <x:v>473511.16000000003</x:v>
      </x:c>
      <x:c r="L121" s="3" t="n">
        <x:f>'收入非主控'!L93+'收入主控'!L93</x:f>
        <x:v>462381.05</x:v>
      </x:c>
      <x:c r="M121" s="3" t="n">
        <x:f>'收入非主控'!M93+'收入主控'!M93</x:f>
        <x:v>494383.70999999996</x:v>
      </x:c>
      <x:c r="N121" s="3" t="n">
        <x:f>'收入非主控'!N93+'收入主控'!N93</x:f>
        <x:v>426671.06999999995</x:v>
      </x:c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 t="str">
        <x:v>营业成本</x:v>
      </x:c>
      <x:c r="C122" s="3" t="n">
        <x:f>'收入非主控'!C96+'收入主控'!C96</x:f>
        <x:v>177409.95</x:v>
      </x:c>
      <x:c r="D122" s="3" t="n">
        <x:f>'收入非主控'!D96+'收入主控'!D96</x:f>
        <x:v>144358.36</x:v>
      </x:c>
      <x:c r="E122" s="3" t="n">
        <x:f>'收入非主控'!E96+'收入主控'!E96</x:f>
        <x:v>150104.66</x:v>
      </x:c>
      <x:c r="F122" s="3" t="n">
        <x:f>'收入非主控'!F96+'收入主控'!F96</x:f>
        <x:v>129420.7</x:v>
      </x:c>
      <x:c r="G122" s="3" t="n">
        <x:f>'收入非主控'!G96+'收入主控'!G96</x:f>
        <x:v>167207.18</x:v>
      </x:c>
      <x:c r="H122" s="3" t="n">
        <x:f>'收入非主控'!H96+'收入主控'!H96</x:f>
        <x:v>122003.8</x:v>
      </x:c>
      <x:c r="I122" s="3" t="n">
        <x:f>'收入非主控'!I96+'收入主控'!I96</x:f>
        <x:v>166922.49</x:v>
      </x:c>
      <x:c r="J122" s="3" t="n">
        <x:f>'收入非主控'!J96+'收入主控'!J96</x:f>
        <x:v>127871.41</x:v>
      </x:c>
      <x:c r="K122" s="3" t="n">
        <x:f>'收入非主控'!K96+'收入主控'!K96</x:f>
        <x:v>134894.47999999998</x:v>
      </x:c>
      <x:c r="L122" s="3" t="n">
        <x:f>'收入非主控'!L96+'收入主控'!L96</x:f>
        <x:v>161781.6</x:v>
      </x:c>
      <x:c r="M122" s="3" t="n">
        <x:f>'收入非主控'!M96+'收入主控'!M96</x:f>
        <x:v>177939.21</x:v>
      </x:c>
      <x:c r="N122" s="3" t="n">
        <x:f>'收入非主控'!N96+'收入主控'!N96</x:f>
        <x:v>138383.26</x:v>
      </x:c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 t="str">
        <x:v>税金及附加</x:v>
      </x:c>
      <x:c r="C123" s="3" t="n">
        <x:f>'税金及附加'!C93</x:f>
        <x:v>2774.98</x:v>
      </x:c>
      <x:c r="D123" s="3" t="n">
        <x:f>'税金及附加'!D93</x:f>
        <x:v>3147.38</x:v>
      </x:c>
      <x:c r="E123" s="3" t="n">
        <x:f>'税金及附加'!E93</x:f>
        <x:v>2968.43</x:v>
      </x:c>
      <x:c r="F123" s="3" t="n">
        <x:f>'税金及附加'!F93</x:f>
        <x:v>3108.6</x:v>
      </x:c>
      <x:c r="G123" s="3" t="n">
        <x:f>'税金及附加'!G93</x:f>
        <x:v>3549.57</x:v>
      </x:c>
      <x:c r="H123" s="3" t="n">
        <x:f>'税金及附加'!H93</x:f>
        <x:v>2581.63</x:v>
      </x:c>
      <x:c r="I123" s="3" t="n">
        <x:f>'税金及附加'!I93</x:f>
        <x:v>3400.31</x:v>
      </x:c>
      <x:c r="J123" s="3" t="n">
        <x:f>'税金及附加'!J93</x:f>
        <x:v>2452.98</x:v>
      </x:c>
      <x:c r="K123" s="3" t="n">
        <x:f>'税金及附加'!K93</x:f>
        <x:v>3002.06</x:v>
      </x:c>
      <x:c r="L123" s="3" t="n">
        <x:f>'税金及附加'!L93</x:f>
        <x:v>2931.5</x:v>
      </x:c>
      <x:c r="M123" s="3" t="n">
        <x:f>'税金及附加'!M93</x:f>
        <x:v>3134.39</x:v>
      </x:c>
      <x:c r="N123" s="3" t="n">
        <x:f>'税金及附加'!N93</x:f>
        <x:v>2705.09</x:v>
      </x:c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 t="str">
        <x:v>销售费用</x:v>
      </x:c>
      <x:c r="C124" s="3" t="n">
        <x:f>'销售费用'!C94</x:f>
        <x:v>8698.89</x:v>
      </x:c>
      <x:c r="D124" s="3" t="n">
        <x:f>'销售费用'!D94</x:f>
        <x:v>6167.590000000001</x:v>
      </x:c>
      <x:c r="E124" s="3" t="n">
        <x:f>'销售费用'!E94</x:f>
        <x:v>6839.72</x:v>
      </x:c>
      <x:c r="F124" s="3" t="n">
        <x:f>'销售费用'!F94</x:f>
        <x:v>7756.4</x:v>
      </x:c>
      <x:c r="G124" s="3" t="n">
        <x:f>'销售费用'!G94</x:f>
        <x:v>8261.05</x:v>
      </x:c>
      <x:c r="H124" s="3" t="n">
        <x:f>'销售费用'!H94</x:f>
        <x:v>6535.910000000002</x:v>
      </x:c>
      <x:c r="I124" s="3" t="n">
        <x:f>'销售费用'!I94</x:f>
        <x:v>6234.630000000001</x:v>
      </x:c>
      <x:c r="J124" s="3" t="n">
        <x:f>'销售费用'!J94</x:f>
        <x:v>7532.360000000001</x:v>
      </x:c>
      <x:c r="K124" s="3" t="n">
        <x:f>'销售费用'!K94</x:f>
        <x:v>7819.06</x:v>
      </x:c>
      <x:c r="L124" s="3" t="n">
        <x:f>'销售费用'!L94</x:f>
        <x:v>6262.320000000001</x:v>
      </x:c>
      <x:c r="M124" s="3" t="n">
        <x:f>'销售费用'!M94</x:f>
        <x:v>7669.549999999999</x:v>
      </x:c>
      <x:c r="N124" s="3" t="n">
        <x:f>'销售费用'!N94</x:f>
        <x:v>8102.379999999999</x:v>
      </x:c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 t="str">
        <x:v>管理费用</x:v>
      </x:c>
      <x:c r="C125" s="3" t="n">
        <x:f>'管理费用'!C94</x:f>
        <x:v>7564.450000000001</x:v>
      </x:c>
      <x:c r="D125" s="3" t="n">
        <x:f>'管理费用'!D94</x:f>
        <x:v>6895.53</x:v>
      </x:c>
      <x:c r="E125" s="3" t="n">
        <x:f>'管理费用'!E94</x:f>
        <x:v>7118.600000000001</x:v>
      </x:c>
      <x:c r="F125" s="3" t="n">
        <x:f>'管理费用'!F94</x:f>
        <x:v>7918.04</x:v>
      </x:c>
      <x:c r="G125" s="3" t="n">
        <x:f>'管理费用'!G94</x:f>
        <x:v>7174.200000000002</x:v>
      </x:c>
      <x:c r="H125" s="3" t="n">
        <x:f>'管理费用'!H94</x:f>
        <x:v>7250.269999999999</x:v>
      </x:c>
      <x:c r="I125" s="3" t="n">
        <x:f>'管理费用'!I94</x:f>
        <x:v>6356.73</x:v>
      </x:c>
      <x:c r="J125" s="3" t="n">
        <x:f>'管理费用'!J94</x:f>
        <x:v>7138.65</x:v>
      </x:c>
      <x:c r="K125" s="3" t="n">
        <x:f>'管理费用'!K94</x:f>
        <x:v>6990.31</x:v>
      </x:c>
      <x:c r="L125" s="3" t="n">
        <x:f>'管理费用'!L94</x:f>
        <x:v>8080.33</x:v>
      </x:c>
      <x:c r="M125" s="3" t="n">
        <x:f>'管理费用'!M94</x:f>
        <x:v>7283.7699999999995</x:v>
      </x:c>
      <x:c r="N125" s="3" t="n">
        <x:f>'管理费用'!N94</x:f>
        <x:v>6511.099999999999</x:v>
      </x:c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 t="str">
        <x:v>其他主体费用</x:v>
      </x:c>
      <x:c r="C126" s="3" t="n">
        <x:f>'蓝恐龙费用'!C94</x:f>
        <x:v>6718.580000000002</x:v>
      </x:c>
      <x:c r="D126" s="3" t="n">
        <x:f>'蓝恐龙费用'!D94</x:f>
        <x:v>6212.409999999999</x:v>
      </x:c>
      <x:c r="E126" s="3" t="n">
        <x:f>'蓝恐龙费用'!E94</x:f>
        <x:v>6492.920000000001</x:v>
      </x:c>
      <x:c r="F126" s="3" t="n">
        <x:f>'蓝恐龙费用'!F94</x:f>
        <x:v>7781.69</x:v>
      </x:c>
      <x:c r="G126" s="3" t="n">
        <x:f>'蓝恐龙费用'!G94</x:f>
        <x:v>6758.959999999998</x:v>
      </x:c>
      <x:c r="H126" s="3" t="n">
        <x:f>'蓝恐龙费用'!H94</x:f>
        <x:v>6635.2</x:v>
      </x:c>
      <x:c r="I126" s="3" t="n">
        <x:f>'蓝恐龙费用'!I94</x:f>
        <x:v>7265.89</x:v>
      </x:c>
      <x:c r="J126" s="3" t="n">
        <x:f>'蓝恐龙费用'!J94</x:f>
        <x:v>5805.300000000001</x:v>
      </x:c>
      <x:c r="K126" s="3" t="n">
        <x:f>'蓝恐龙费用'!K94</x:f>
        <x:v>6882.17</x:v>
      </x:c>
      <x:c r="L126" s="3" t="n">
        <x:f>'蓝恐龙费用'!L94</x:f>
        <x:v>7049.399999999999</x:v>
      </x:c>
      <x:c r="M126" s="3" t="n">
        <x:f>'蓝恐龙费用'!M94</x:f>
        <x:v>6836.5199999999995</x:v>
      </x:c>
      <x:c r="N126" s="3" t="n">
        <x:f>'蓝恐龙费用'!N94</x:f>
        <x:v>6729.6100000000015</x:v>
      </x:c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 t="str">
        <x:v>税前利润</x:v>
      </x:c>
      <x:c r="C127" s="3" t="n">
        <x:f>C121-SUM(C122:C126)</x:f>
        <x:v>234527.10999999993</x:v>
      </x:c>
      <x:c r="D127" s="3" t="n">
        <x:f>D121-SUM(D122:D126)</x:f>
        <x:v>329651.42000000004</x:v>
      </x:c>
      <x:c r="E127" s="3" t="n">
        <x:f>E121-SUM(E122:E126)</x:f>
        <x:v>294682.63999999996</x:v>
      </x:c>
      <x:c r="F127" s="3" t="n">
        <x:f>F121-SUM(F122:F126)</x:f>
        <x:v>334330.56</x:v>
      </x:c>
      <x:c r="G127" s="3" t="n">
        <x:f>G121-SUM(G122:G126)</x:f>
        <x:v>366918.7100000001</x:v>
      </x:c>
      <x:c r="H127" s="3" t="n">
        <x:f>H121-SUM(H122:H126)</x:f>
        <x:v>262191.04</x:v>
      </x:c>
      <x:c r="I127" s="3" t="n">
        <x:f>I121-SUM(I122:I126)</x:f>
        <x:v>346146.79999999993</x:v>
      </x:c>
      <x:c r="J127" s="3" t="n">
        <x:f>J121-SUM(J122:J126)</x:f>
        <x:v>236104.22</x:v>
      </x:c>
      <x:c r="K127" s="3" t="n">
        <x:f>K121-SUM(K122:K126)</x:f>
        <x:v>313923.0800000001</x:v>
      </x:c>
      <x:c r="L127" s="3" t="n">
        <x:f>L121-SUM(L122:L126)</x:f>
        <x:v>276275.9</x:v>
      </x:c>
      <x:c r="M127" s="3" t="n">
        <x:f>M121-SUM(M122:M126)</x:f>
        <x:v>291520.27</x:v>
      </x:c>
      <x:c r="N127" s="3" t="n">
        <x:f>N121-SUM(N122:N126)</x:f>
        <x:v>264239.6299999999</x:v>
      </x:c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 t="str">
        <x:v>所得税费用</x:v>
      </x:c>
      <x:c r="C128" s="3" t="n">
        <x:f>ROUND(MAX(C127,0)*$C$260,2)</x:f>
        <x:v>44487.45</x:v>
      </x:c>
      <x:c r="D128" s="3" t="n">
        <x:f>ROUND(MAX(D127,0)*$C$260,2)</x:f>
        <x:v>62531.58</x:v>
      </x:c>
      <x:c r="E128" s="3" t="n">
        <x:f>ROUND(MAX(E127,0)*$C$260,2)</x:f>
        <x:v>55898.35</x:v>
      </x:c>
      <x:c r="F128" s="3" t="n">
        <x:f>ROUND(MAX(F127,0)*$C$260,2)</x:f>
        <x:v>63419.16</x:v>
      </x:c>
      <x:c r="G128" s="3" t="n">
        <x:f>ROUND(MAX(G127,0)*$C$260,2)</x:f>
        <x:v>69600.81</x:v>
      </x:c>
      <x:c r="H128" s="3" t="n">
        <x:f>ROUND(MAX(H127,0)*$C$260,2)</x:f>
        <x:v>49735.02</x:v>
      </x:c>
      <x:c r="I128" s="3" t="n">
        <x:f>ROUND(MAX(I127,0)*$C$260,2)</x:f>
        <x:v>65660.59</x:v>
      </x:c>
      <x:c r="J128" s="3" t="n">
        <x:f>ROUND(MAX(J127,0)*$C$260,2)</x:f>
        <x:v>44786.61</x:v>
      </x:c>
      <x:c r="K128" s="3" t="n">
        <x:f>ROUND(MAX(K127,0)*$C$260,2)</x:f>
        <x:v>59548.07</x:v>
      </x:c>
      <x:c r="L128" s="3" t="n">
        <x:f>ROUND(MAX(L127,0)*$C$260,2)</x:f>
        <x:v>52406.78</x:v>
      </x:c>
      <x:c r="M128" s="3" t="n">
        <x:f>ROUND(MAX(M127,0)*$C$260,2)</x:f>
        <x:v>55298.48</x:v>
      </x:c>
      <x:c r="N128" s="3" t="n">
        <x:f>ROUND(MAX(N127,0)*$C$260,2)</x:f>
        <x:v>50123.62</x:v>
      </x:c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 t="str">
        <x:v>净利润</x:v>
      </x:c>
      <x:c r="C129" s="3" t="n">
        <x:f>C127-C128</x:f>
        <x:v>190039.65999999992</x:v>
      </x:c>
      <x:c r="D129" s="3" t="n">
        <x:f>D127-D128</x:f>
        <x:v>267119.84</x:v>
      </x:c>
      <x:c r="E129" s="3" t="n">
        <x:f>E127-E128</x:f>
        <x:v>238784.28999999995</x:v>
      </x:c>
      <x:c r="F129" s="3" t="n">
        <x:f>F127-F128</x:f>
        <x:v>270911.4</x:v>
      </x:c>
      <x:c r="G129" s="3" t="n">
        <x:f>G127-G128</x:f>
        <x:v>297317.9000000001</x:v>
      </x:c>
      <x:c r="H129" s="3" t="n">
        <x:f>H127-H128</x:f>
        <x:v>212456.02</x:v>
      </x:c>
      <x:c r="I129" s="3" t="n">
        <x:f>I127-I128</x:f>
        <x:v>280486.20999999996</x:v>
      </x:c>
      <x:c r="J129" s="3" t="n">
        <x:f>J127-J128</x:f>
        <x:v>191317.61</x:v>
      </x:c>
      <x:c r="K129" s="3" t="n">
        <x:f>K127-K128</x:f>
        <x:v>254375.01000000007</x:v>
      </x:c>
      <x:c r="L129" s="3" t="n">
        <x:f>L127-L128</x:f>
        <x:v>223869.12000000002</x:v>
      </x:c>
      <x:c r="M129" s="3" t="n">
        <x:f>M127-M128</x:f>
        <x:v>236221.79</x:v>
      </x:c>
      <x:c r="N129" s="3" t="n">
        <x:f>N127-N128</x:f>
        <x:v>214116.0099999999</x:v>
      </x:c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所得税率（演示假设）</x:v>
      </x:c>
      <x:c r="C200" s="4" t="n">
        <x:v>0.20315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 t="str">
        <x:v>所得税率（演示假设）</x:v>
      </x:c>
      <x:c r="C260" s="4" t="n">
        <x:v>0.18969</x:v>
      </x:c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  <x:mergeCell ref="C2:E2"/>
    <x:mergeCell ref="F2:H2"/>
    <x:mergeCell ref="A27:H27"/>
    <x:mergeCell ref="A2:A3"/>
    <x:mergeCell ref="B2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资 产 负 债 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资产</x:v>
      </x:c>
      <x:c r="B2" s="2" t="str">
        <x:v>行次</x:v>
      </x:c>
      <x:c r="C2" s="3" t="str">
        <x:v>年初数</x:v>
      </x:c>
      <x:c r="D2" s="3" t="str">
        <x:v>期末数</x:v>
      </x:c>
      <x:c r="E2" s="3" t="str">
        <x:v>负债和所有者权益        (或股东权益)</x:v>
      </x:c>
      <x:c r="F2" s="3" t="str">
        <x:v>行次</x:v>
      </x:c>
      <x:c r="G2" s="3" t="str">
        <x:v>全年预算</x:v>
      </x:c>
      <x:c r="H2" s="3" t="str">
        <x:v>全年实际占位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流动资产：</x:v>
      </x:c>
      <x:c r="B3" s="2"/>
      <x:c r="C3" s="6" t="str">
        <x:v>全年预算</x:v>
      </x:c>
      <x:c r="D3" s="6" t="str">
        <x:v>全年实际占位</x:v>
      </x:c>
      <x:c r="E3" s="6" t="str">
        <x:v>流动负债：</x:v>
      </x:c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货币资金</x:v>
      </x:c>
      <x:c r="B4" s="2"/>
      <x:c r="C4" s="3" t="n">
        <x:f>N61</x:f>
        <x:v>2618036.64</x:v>
      </x:c>
      <x:c r="D4" s="3" t="n">
        <x:f>N121</x:f>
        <x:v>3040243.13</x:v>
      </x:c>
      <x:c r="E4" s="3" t="str">
        <x:v>短期借款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短期投资</x:v>
      </x:c>
      <x:c r="B5" s="2"/>
      <x:c r="C5" s="3"/>
      <x:c r="D5" s="3"/>
      <x:c r="E5" s="3" t="str">
        <x:v>应付票据</x:v>
      </x:c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应收票据</x:v>
      </x:c>
      <x:c r="B6" s="2"/>
      <x:c r="C6" s="3"/>
      <x:c r="D6" s="3"/>
      <x:c r="E6" s="3" t="str">
        <x:v>应付账款</x:v>
      </x:c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应收股利</x:v>
      </x:c>
      <x:c r="B7" s="2"/>
      <x:c r="C7" s="3"/>
      <x:c r="D7" s="3"/>
      <x:c r="E7" s="3" t="str">
        <x:v>预收账款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应收利息</x:v>
      </x:c>
      <x:c r="B8" s="2"/>
      <x:c r="C8" s="3"/>
      <x:c r="D8" s="3"/>
      <x:c r="E8" s="3" t="str">
        <x:v>应付工资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应收账款</x:v>
      </x:c>
      <x:c r="B9" s="2"/>
      <x:c r="C9" s="3"/>
      <x:c r="D9" s="3"/>
      <x:c r="E9" s="3" t="str">
        <x:v>应付福利费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其他应收款</x:v>
      </x:c>
      <x:c r="B10" s="2"/>
      <x:c r="C10" s="3"/>
      <x:c r="D10" s="3"/>
      <x:c r="E10" s="3" t="str">
        <x:v>应付利息</x:v>
      </x:c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预付账款</x:v>
      </x:c>
      <x:c r="B11" s="2"/>
      <x:c r="C11" s="3"/>
      <x:c r="D11" s="3"/>
      <x:c r="E11" s="3" t="str">
        <x:v>应交税金</x:v>
      </x:c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应收补贴款</x:v>
      </x:c>
      <x:c r="B12" s="2"/>
      <x:c r="C12" s="3"/>
      <x:c r="D12" s="3"/>
      <x:c r="E12" s="3" t="str">
        <x:v>其他应交款</x:v>
      </x:c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存货</x:v>
      </x:c>
      <x:c r="B13" s="2"/>
      <x:c r="C13" s="3"/>
      <x:c r="D13" s="3"/>
      <x:c r="E13" s="3" t="str">
        <x:v>其他应付款</x:v>
      </x:c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待摊费用</x:v>
      </x:c>
      <x:c r="B14" s="2"/>
      <x:c r="C14" s="3"/>
      <x:c r="D14" s="3"/>
      <x:c r="E14" s="3" t="str">
        <x:v>预提费用</x:v>
      </x:c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 t="str">
        <x:v>一年内到期的长期债券投资</x:v>
      </x:c>
      <x:c r="B15" s="2"/>
      <x:c r="C15" s="3"/>
      <x:c r="D15" s="3"/>
      <x:c r="E15" s="3" t="str">
        <x:v>预计负债</x:v>
      </x:c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其他流动资产</x:v>
      </x:c>
      <x:c r="B16" s="2"/>
      <x:c r="C16" s="3"/>
      <x:c r="D16" s="3"/>
      <x:c r="E16" s="3" t="str">
        <x:v>一年内到期的长期负债</x:v>
      </x:c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 t="str">
        <x:v>流动资产合计</x:v>
      </x:c>
      <x:c r="B17" s="2"/>
      <x:c r="C17" s="3"/>
      <x:c r="D17" s="3"/>
      <x:c r="E17" s="3" t="str">
        <x:v>其他流动负债</x:v>
      </x:c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 t="str">
        <x:v>长期资产：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长期股权投资</x:v>
      </x:c>
      <x:c r="B19" s="2"/>
      <x:c r="C19" s="3"/>
      <x:c r="D19" s="3"/>
      <x:c r="E19" s="3" t="str">
        <x:v>流动负债合计</x:v>
      </x:c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长期债券投资</x:v>
      </x:c>
      <x:c r="B20" s="2"/>
      <x:c r="C20" s="3"/>
      <x:c r="D20" s="3"/>
      <x:c r="E20" s="3" t="str">
        <x:v>长期负债：</x:v>
      </x:c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长期投资合计</x:v>
      </x:c>
      <x:c r="B21" s="2"/>
      <x:c r="C21" s="3"/>
      <x:c r="D21" s="3"/>
      <x:c r="E21" s="3" t="str">
        <x:v>长期借款</x:v>
      </x:c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固定资产：</x:v>
      </x:c>
      <x:c r="B22" s="2"/>
      <x:c r="C22" s="3"/>
      <x:c r="D22" s="3"/>
      <x:c r="E22" s="3" t="str">
        <x:v>应付债券</x:v>
      </x:c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固定资产原价</x:v>
      </x:c>
      <x:c r="B23" s="2"/>
      <x:c r="C23" s="3"/>
      <x:c r="D23" s="3"/>
      <x:c r="E23" s="3" t="str">
        <x:v>长期应付款</x:v>
      </x:c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减：累计折旧</x:v>
      </x:c>
      <x:c r="B24" s="2"/>
      <x:c r="C24" s="3"/>
      <x:c r="D24" s="3"/>
      <x:c r="E24" s="3" t="str">
        <x:v>专项应付款</x:v>
      </x:c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固定资产净值</x:v>
      </x:c>
      <x:c r="B25" s="2"/>
      <x:c r="C25" s="3"/>
      <x:c r="D25" s="3"/>
      <x:c r="E25" s="3" t="str">
        <x:v>其他长期负债</x:v>
      </x:c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减：固定资产减值准备</x:v>
      </x:c>
      <x:c r="B26" s="2"/>
      <x:c r="C26" s="3"/>
      <x:c r="D26" s="3"/>
      <x:c r="E26" s="3" t="str">
        <x:v>长期负债合计</x:v>
      </x:c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固定资产净额</x:v>
      </x:c>
      <x:c r="B27" s="2"/>
      <x:c r="C27" s="3"/>
      <x:c r="D27" s="3"/>
      <x:c r="E27" s="3" t="str">
        <x:v>递延税项：</x:v>
      </x:c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工程物资</x:v>
      </x:c>
      <x:c r="B28" s="2"/>
      <x:c r="C28" s="3"/>
      <x:c r="D28" s="3"/>
      <x:c r="E28" s="3" t="str">
        <x:v>递延税款贷项</x:v>
      </x:c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在建工程</x:v>
      </x:c>
      <x:c r="B29" s="2"/>
      <x:c r="C29" s="3"/>
      <x:c r="D29" s="3"/>
      <x:c r="E29" s="3" t="str">
        <x:v>负债合计</x:v>
      </x:c>
      <x:c r="F29" s="3"/>
      <x:c r="G29" s="3" t="n">
        <x:f>N64</x:f>
        <x:v>0</x:v>
      </x:c>
      <x:c r="H29" s="3" t="n">
        <x:f>N124</x:f>
        <x:v>0</x:v>
      </x:c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固定资产清理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固定资产合计</x:v>
      </x:c>
      <x:c r="B31" s="2"/>
      <x:c r="C31" s="3"/>
      <x:c r="D31" s="3"/>
      <x:c r="E31" s="3" t="str">
        <x:v>所有者权益(或股东权益)：</x:v>
      </x:c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无形资产及其他资产：</x:v>
      </x:c>
      <x:c r="B32" s="2"/>
      <x:c r="C32" s="3"/>
      <x:c r="D32" s="3"/>
      <x:c r="E32" s="3" t="str">
        <x:v>实收资本(或股本)</x:v>
      </x:c>
      <x:c r="F32" s="3"/>
      <x:c r="G32" s="3" t="n">
        <x:f>N65</x:f>
        <x:v>225351.38</x:v>
      </x:c>
      <x:c r="H32" s="3" t="n">
        <x:f>N125</x:f>
        <x:v>230694.91999999998</x:v>
      </x:c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无形资产</x:v>
      </x:c>
      <x:c r="B33" s="2"/>
      <x:c r="C33" s="3"/>
      <x:c r="D33" s="3"/>
      <x:c r="E33" s="3" t="str">
        <x:v>减：已归还投资</x:v>
      </x:c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长期待摊费用</x:v>
      </x:c>
      <x:c r="B34" s="2"/>
      <x:c r="C34" s="3" t="n">
        <x:f>N62</x:f>
        <x:v>69784.86</x:v>
      </x:c>
      <x:c r="D34" s="3" t="n">
        <x:f>N122</x:f>
        <x:v>67466.65</x:v>
      </x:c>
      <x:c r="E34" s="3" t="str">
        <x:v>实收资本(或股本)净额</x:v>
      </x:c>
      <x:c r="F34" s="3"/>
      <x:c r="G34" s="3" t="n">
        <x:f>N65</x:f>
        <x:v>225351.38</x:v>
      </x:c>
      <x:c r="H34" s="3" t="n">
        <x:f>N125</x:f>
        <x:v>230694.91999999998</x:v>
      </x:c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其他长期资产</x:v>
      </x:c>
      <x:c r="B35" s="2"/>
      <x:c r="C35" s="3"/>
      <x:c r="D35" s="3"/>
      <x:c r="E35" s="3" t="str">
        <x:v>资本公积</x:v>
      </x:c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无形资产及其他资产合计</x:v>
      </x:c>
      <x:c r="B36" s="2"/>
      <x:c r="C36" s="3"/>
      <x:c r="D36" s="3"/>
      <x:c r="E36" s="3" t="str">
        <x:v>盈余公积</x:v>
      </x:c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 t="str">
        <x:v>其中：法定公益金</x:v>
      </x:c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递延税款：</x:v>
      </x:c>
      <x:c r="B38" s="2"/>
      <x:c r="C38" s="3"/>
      <x:c r="D38" s="3"/>
      <x:c r="E38" s="3" t="str">
        <x:v>未分配利润</x:v>
      </x:c>
      <x:c r="F38" s="3"/>
      <x:c r="G38" s="3" t="n">
        <x:f>N66</x:f>
        <x:v>2462470.1199999996</x:v>
      </x:c>
      <x:c r="H38" s="3" t="n">
        <x:f>N126</x:f>
        <x:v>2877014.8600000003</x:v>
      </x:c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递延税款借项</x:v>
      </x:c>
      <x:c r="B39" s="2"/>
      <x:c r="C39" s="3"/>
      <x:c r="D39" s="3"/>
      <x:c r="E39" s="3" t="str">
        <x:v>所有者权益(或股东权益)合计</x:v>
      </x:c>
      <x:c r="F39" s="3"/>
      <x:c r="G39" s="3" t="n">
        <x:f>N67</x:f>
        <x:v>2687821.4999999995</x:v>
      </x:c>
      <x:c r="H39" s="3" t="n">
        <x:f>N127</x:f>
        <x:v>3107709.7800000003</x:v>
      </x:c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资产总计</x:v>
      </x:c>
      <x:c r="B40" s="2"/>
      <x:c r="C40" s="3" t="n">
        <x:f>N63</x:f>
        <x:v>2687821.5</x:v>
      </x:c>
      <x:c r="D40" s="3" t="n">
        <x:f>N123</x:f>
        <x:v>3107709.78</x:v>
      </x:c>
      <x:c r="E40" s="3" t="str">
        <x:v>负债和所有者权益(或股东权益)总计</x:v>
      </x:c>
      <x:c r="F40" s="3"/>
      <x:c r="G40" s="3" t="n">
        <x:f>N68</x:f>
        <x:v>2687821.4999999995</x:v>
      </x:c>
      <x:c r="H40" s="3" t="n">
        <x:f>N128</x:f>
        <x:v>3107709.7800000003</x:v>
      </x:c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货币资金</x:v>
      </x:c>
      <x:c r="C61" s="3" t="n">
        <x:f>'现金流量表'!C68</x:f>
        <x:v>346273.85</x:v>
      </x:c>
      <x:c r="D61" s="3" t="n">
        <x:f>'现金流量表'!D68</x:f>
        <x:v>540578.22</x:v>
      </x:c>
      <x:c r="E61" s="3" t="n">
        <x:f>'现金流量表'!E68</x:f>
        <x:v>778161.5</x:v>
      </x:c>
      <x:c r="F61" s="3" t="n">
        <x:f>'现金流量表'!F68</x:f>
        <x:v>956230.62</x:v>
      </x:c>
      <x:c r="G61" s="3" t="n">
        <x:f>'现金流量表'!G68</x:f>
        <x:v>1253470.55</x:v>
      </x:c>
      <x:c r="H61" s="3" t="n">
        <x:f>'现金流量表'!H68</x:f>
        <x:v>1464481.8900000001</x:v>
      </x:c>
      <x:c r="I61" s="3" t="n">
        <x:f>'现金流量表'!I68</x:f>
        <x:v>1656579.4900000002</x:v>
      </x:c>
      <x:c r="J61" s="3" t="n">
        <x:f>'现金流量表'!J68</x:f>
        <x:v>1929358.2400000002</x:v>
      </x:c>
      <x:c r="K61" s="3" t="n">
        <x:f>'现金流量表'!K68</x:f>
        <x:v>2096561.4100000001</x:v>
      </x:c>
      <x:c r="L61" s="3" t="n">
        <x:f>'现金流量表'!L68</x:f>
        <x:v>2284383.73</x:v>
      </x:c>
      <x:c r="M61" s="3" t="n">
        <x:f>'现金流量表'!M68</x:f>
        <x:v>2428373.94</x:v>
      </x:c>
      <x:c r="N61" s="3" t="n">
        <x:f>'现金流量表'!N68</x:f>
        <x:v>2618036.64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未摊销资产</x:v>
      </x:c>
      <x:c r="C62" s="3" t="n">
        <x:f>'摊销明细'!$C$31-SUM('现金流量表'!$C62:C62)</x:f>
        <x:v>87636.87</x:v>
      </x:c>
      <x:c r="D62" s="3" t="n">
        <x:f>'摊销明细'!$C$31-SUM('现金流量表'!$C62:D62)</x:f>
        <x:v>86013.95999999999</x:v>
      </x:c>
      <x:c r="E62" s="3" t="n">
        <x:f>'摊销明细'!$C$31-SUM('现金流量表'!$C62:E62)</x:f>
        <x:v>84391.05</x:v>
      </x:c>
      <x:c r="F62" s="3" t="n">
        <x:f>'摊销明细'!$C$31-SUM('现金流量表'!$C62:F62)</x:f>
        <x:v>82768.14</x:v>
      </x:c>
      <x:c r="G62" s="3" t="n">
        <x:f>'摊销明细'!$C$31-SUM('现金流量表'!$C62:G62)</x:f>
        <x:v>81145.23</x:v>
      </x:c>
      <x:c r="H62" s="3" t="n">
        <x:f>'摊销明细'!$C$31-SUM('现金流量表'!$C62:H62)</x:f>
        <x:v>79522.31999999999</x:v>
      </x:c>
      <x:c r="I62" s="3" t="n">
        <x:f>'摊销明细'!$C$31-SUM('现金流量表'!$C62:I62)</x:f>
        <x:v>77899.41</x:v>
      </x:c>
      <x:c r="J62" s="3" t="n">
        <x:f>'摊销明细'!$C$31-SUM('现金流量表'!$C62:J62)</x:f>
        <x:v>76276.5</x:v>
      </x:c>
      <x:c r="K62" s="3" t="n">
        <x:f>'摊销明细'!$C$31-SUM('现金流量表'!$C62:K62)</x:f>
        <x:v>74653.59</x:v>
      </x:c>
      <x:c r="L62" s="3" t="n">
        <x:f>'摊销明细'!$C$31-SUM('现金流量表'!$C62:L62)</x:f>
        <x:v>73030.68</x:v>
      </x:c>
      <x:c r="M62" s="3" t="n">
        <x:f>'摊销明细'!$C$31-SUM('现金流量表'!$C62:M62)</x:f>
        <x:v>71407.76999999999</x:v>
      </x:c>
      <x:c r="N62" s="3" t="n">
        <x:f>'摊销明细'!$C$31-SUM('现金流量表'!$C62:N62)</x:f>
        <x:v>69784.86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资产总额</x:v>
      </x:c>
      <x:c r="C63" s="3" t="n">
        <x:f>SUM(C61:C62)</x:f>
        <x:v>433910.72</x:v>
      </x:c>
      <x:c r="D63" s="3" t="n">
        <x:f>SUM(D61:D62)</x:f>
        <x:v>626592.1799999999</x:v>
      </x:c>
      <x:c r="E63" s="3" t="n">
        <x:f>SUM(E61:E62)</x:f>
        <x:v>862552.55</x:v>
      </x:c>
      <x:c r="F63" s="3" t="n">
        <x:f>SUM(F61:F62)</x:f>
        <x:v>1038998.76</x:v>
      </x:c>
      <x:c r="G63" s="3" t="n">
        <x:f>SUM(G61:G62)</x:f>
        <x:v>1334615.78</x:v>
      </x:c>
      <x:c r="H63" s="3" t="n">
        <x:f>SUM(H61:H62)</x:f>
        <x:v>1544004.2100000002</x:v>
      </x:c>
      <x:c r="I63" s="3" t="n">
        <x:f>SUM(I61:I62)</x:f>
        <x:v>1734478.9000000001</x:v>
      </x:c>
      <x:c r="J63" s="3" t="n">
        <x:f>SUM(J61:J62)</x:f>
        <x:v>2005634.7400000002</x:v>
      </x:c>
      <x:c r="K63" s="3" t="n">
        <x:f>SUM(K61:K62)</x:f>
        <x:v>2171215</x:v>
      </x:c>
      <x:c r="L63" s="3" t="n">
        <x:f>SUM(L61:L62)</x:f>
        <x:v>2357414.41</x:v>
      </x:c>
      <x:c r="M63" s="3" t="n">
        <x:f>SUM(M61:M62)</x:f>
        <x:v>2499781.71</x:v>
      </x:c>
      <x:c r="N63" s="3" t="n">
        <x:f>SUM(N61:N62)</x:f>
        <x:v>2687821.5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负债总额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实收资本</x:v>
      </x:c>
      <x:c r="C65" s="3" t="n">
        <x:f>$C$200+'摊销明细'!$C$31</x:f>
        <x:v>225351.38</x:v>
      </x:c>
      <x:c r="D65" s="3" t="n">
        <x:f>$C$200+'摊销明细'!$C$31</x:f>
        <x:v>225351.38</x:v>
      </x:c>
      <x:c r="E65" s="3" t="n">
        <x:f>$C$200+'摊销明细'!$C$31</x:f>
        <x:v>225351.38</x:v>
      </x:c>
      <x:c r="F65" s="3" t="n">
        <x:f>$C$200+'摊销明细'!$C$31</x:f>
        <x:v>225351.38</x:v>
      </x:c>
      <x:c r="G65" s="3" t="n">
        <x:f>$C$200+'摊销明细'!$C$31</x:f>
        <x:v>225351.38</x:v>
      </x:c>
      <x:c r="H65" s="3" t="n">
        <x:f>$C$200+'摊销明细'!$C$31</x:f>
        <x:v>225351.38</x:v>
      </x:c>
      <x:c r="I65" s="3" t="n">
        <x:f>$C$200+'摊销明细'!$C$31</x:f>
        <x:v>225351.38</x:v>
      </x:c>
      <x:c r="J65" s="3" t="n">
        <x:f>$C$200+'摊销明细'!$C$31</x:f>
        <x:v>225351.38</x:v>
      </x:c>
      <x:c r="K65" s="3" t="n">
        <x:f>$C$200+'摊销明细'!$C$31</x:f>
        <x:v>225351.38</x:v>
      </x:c>
      <x:c r="L65" s="3" t="n">
        <x:f>$C$200+'摊销明细'!$C$31</x:f>
        <x:v>225351.38</x:v>
      </x:c>
      <x:c r="M65" s="3" t="n">
        <x:f>$C$200+'摊销明细'!$C$31</x:f>
        <x:v>225351.38</x:v>
      </x:c>
      <x:c r="N65" s="3" t="n">
        <x:f>$C$200+'摊销明细'!$C$31</x:f>
        <x:v>225351.38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累计未分配利润</x:v>
      </x:c>
      <x:c r="C66" s="3" t="n">
        <x:f>SUM('利润表'!$C69:C69)</x:f>
        <x:v>208559.33999999997</x:v>
      </x:c>
      <x:c r="D66" s="3" t="n">
        <x:f>SUM('利润表'!$C69:D69)</x:f>
        <x:v>401240.79999999993</x:v>
      </x:c>
      <x:c r="E66" s="3" t="n">
        <x:f>SUM('利润表'!$C69:E69)</x:f>
        <x:v>637201.1699999999</x:v>
      </x:c>
      <x:c r="F66" s="3" t="n">
        <x:f>SUM('利润表'!$C69:F69)</x:f>
        <x:v>813647.3799999999</x:v>
      </x:c>
      <x:c r="G66" s="3" t="n">
        <x:f>SUM('利润表'!$C69:G69)</x:f>
        <x:v>1109264.4</x:v>
      </x:c>
      <x:c r="H66" s="3" t="n">
        <x:f>SUM('利润表'!$C69:H69)</x:f>
        <x:v>1318652.83</x:v>
      </x:c>
      <x:c r="I66" s="3" t="n">
        <x:f>SUM('利润表'!$C69:I69)</x:f>
        <x:v>1509127.52</x:v>
      </x:c>
      <x:c r="J66" s="3" t="n">
        <x:f>SUM('利润表'!$C69:J69)</x:f>
        <x:v>1780283.3599999999</x:v>
      </x:c>
      <x:c r="K66" s="3" t="n">
        <x:f>SUM('利润表'!$C69:K69)</x:f>
        <x:v>1945863.6199999999</x:v>
      </x:c>
      <x:c r="L66" s="3" t="n">
        <x:f>SUM('利润表'!$C69:L69)</x:f>
        <x:v>2132063.03</x:v>
      </x:c>
      <x:c r="M66" s="3" t="n">
        <x:f>SUM('利润表'!$C69:M69)</x:f>
        <x:v>2274430.3299999996</x:v>
      </x:c>
      <x:c r="N66" s="3" t="n">
        <x:f>SUM('利润表'!$C69:N69)</x:f>
        <x:v>2462470.1199999996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所有者权益</x:v>
      </x:c>
      <x:c r="C67" s="3" t="n">
        <x:f>SUM(C65:C66)</x:f>
        <x:v>433910.72</x:v>
      </x:c>
      <x:c r="D67" s="3" t="n">
        <x:f>SUM(D65:D66)</x:f>
        <x:v>626592.1799999999</x:v>
      </x:c>
      <x:c r="E67" s="3" t="n">
        <x:f>SUM(E65:E66)</x:f>
        <x:v>862552.5499999999</x:v>
      </x:c>
      <x:c r="F67" s="3" t="n">
        <x:f>SUM(F65:F66)</x:f>
        <x:v>1038998.7599999999</x:v>
      </x:c>
      <x:c r="G67" s="3" t="n">
        <x:f>SUM(G65:G66)</x:f>
        <x:v>1334615.7799999998</x:v>
      </x:c>
      <x:c r="H67" s="3" t="n">
        <x:f>SUM(H65:H66)</x:f>
        <x:v>1544004.21</x:v>
      </x:c>
      <x:c r="I67" s="3" t="n">
        <x:f>SUM(I65:I66)</x:f>
        <x:v>1734478.9</x:v>
      </x:c>
      <x:c r="J67" s="3" t="n">
        <x:f>SUM(J65:J66)</x:f>
        <x:v>2005634.7399999998</x:v>
      </x:c>
      <x:c r="K67" s="3" t="n">
        <x:f>SUM(K65:K66)</x:f>
        <x:v>2171215</x:v>
      </x:c>
      <x:c r="L67" s="3" t="n">
        <x:f>SUM(L65:L66)</x:f>
        <x:v>2357414.4099999997</x:v>
      </x:c>
      <x:c r="M67" s="3" t="n">
        <x:f>SUM(M65:M66)</x:f>
        <x:v>2499781.7099999995</x:v>
      </x:c>
      <x:c r="N67" s="3" t="n">
        <x:f>SUM(N65:N66)</x:f>
        <x:v>2687821.4999999995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负债及权益合计</x:v>
      </x:c>
      <x:c r="C68" s="3" t="n">
        <x:f>SUM(C64,C67)</x:f>
        <x:v>433910.72</x:v>
      </x:c>
      <x:c r="D68" s="3" t="n">
        <x:f>SUM(D64,D67)</x:f>
        <x:v>626592.1799999999</x:v>
      </x:c>
      <x:c r="E68" s="3" t="n">
        <x:f>SUM(E64,E67)</x:f>
        <x:v>862552.5499999999</x:v>
      </x:c>
      <x:c r="F68" s="3" t="n">
        <x:f>SUM(F64,F67)</x:f>
        <x:v>1038998.7599999999</x:v>
      </x:c>
      <x:c r="G68" s="3" t="n">
        <x:f>SUM(G64,G67)</x:f>
        <x:v>1334615.7799999998</x:v>
      </x:c>
      <x:c r="H68" s="3" t="n">
        <x:f>SUM(H64,H67)</x:f>
        <x:v>1544004.21</x:v>
      </x:c>
      <x:c r="I68" s="3" t="n">
        <x:f>SUM(I64,I67)</x:f>
        <x:v>1734478.9</x:v>
      </x:c>
      <x:c r="J68" s="3" t="n">
        <x:f>SUM(J64,J67)</x:f>
        <x:v>2005634.7399999998</x:v>
      </x:c>
      <x:c r="K68" s="3" t="n">
        <x:f>SUM(K64,K67)</x:f>
        <x:v>2171215</x:v>
      </x:c>
      <x:c r="L68" s="3" t="n">
        <x:f>SUM(L64,L67)</x:f>
        <x:v>2357414.4099999997</x:v>
      </x:c>
      <x:c r="M68" s="3" t="n">
        <x:f>SUM(M64,M67)</x:f>
        <x:v>2499781.7099999995</x:v>
      </x:c>
      <x:c r="N68" s="3" t="n">
        <x:f>SUM(N64,N67)</x:f>
        <x:v>2687821.4999999995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实时经营月度勾稽</x:v>
      </x:c>
      <x:c r="C120" s="6" t="str">
        <x:v>2027-01</x:v>
      </x:c>
      <x:c r="D120" s="6" t="str">
        <x:v>2027-02</x:v>
      </x:c>
      <x:c r="E120" s="6" t="str">
        <x:v>2027-03</x:v>
      </x:c>
      <x:c r="F120" s="6" t="str">
        <x:v>2027-04</x:v>
      </x:c>
      <x:c r="G120" s="6" t="str">
        <x:v>2027-05</x:v>
      </x:c>
      <x:c r="H120" s="6" t="str">
        <x:v>2027-06</x:v>
      </x:c>
      <x:c r="I120" s="6" t="str">
        <x:v>2027-07</x:v>
      </x:c>
      <x:c r="J120" s="6" t="str">
        <x:v>2027-08</x:v>
      </x:c>
      <x:c r="K120" s="6" t="str">
        <x:v>2027-09</x:v>
      </x:c>
      <x:c r="L120" s="6" t="str">
        <x:v>2027-10</x:v>
      </x:c>
      <x:c r="M120" s="6" t="str">
        <x:v>2027-11</x:v>
      </x:c>
      <x:c r="N120" s="6" t="str">
        <x:v>2027-12</x:v>
      </x:c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 t="str">
        <x:v>货币资金</x:v>
      </x:c>
      <x:c r="C121" s="3" t="n">
        <x:f>'现金流量表'!C128</x:f>
        <x:v>336401.29999999993</x:v>
      </x:c>
      <x:c r="D121" s="3" t="n">
        <x:f>'现金流量表'!D128</x:f>
        <x:v>605054.47</x:v>
      </x:c>
      <x:c r="E121" s="3" t="n">
        <x:f>'现金流量表'!E128</x:f>
        <x:v>845372.0899999999</x:v>
      </x:c>
      <x:c r="F121" s="3" t="n">
        <x:f>'现金流量表'!F128</x:f>
        <x:v>1117816.8199999998</x:v>
      </x:c>
      <x:c r="G121" s="3" t="n">
        <x:f>'现金流量表'!G128</x:f>
        <x:v>1416668.0499999998</x:v>
      </x:c>
      <x:c r="H121" s="3" t="n">
        <x:f>'现金流量表'!H128</x:f>
        <x:v>1630657.4</x:v>
      </x:c>
      <x:c r="I121" s="3" t="n">
        <x:f>'现金流量表'!I128</x:f>
        <x:v>1912676.94</x:v>
      </x:c>
      <x:c r="J121" s="3" t="n">
        <x:f>'现金流量表'!J128</x:f>
        <x:v>2105527.88</x:v>
      </x:c>
      <x:c r="K121" s="3" t="n">
        <x:f>'现金流量表'!K128</x:f>
        <x:v>2361436.2199999997</x:v>
      </x:c>
      <x:c r="L121" s="3" t="n">
        <x:f>'现金流量表'!L128</x:f>
        <x:v>2586838.67</x:v>
      </x:c>
      <x:c r="M121" s="3" t="n">
        <x:f>'现金流量表'!M128</x:f>
        <x:v>2824593.79</x:v>
      </x:c>
      <x:c r="N121" s="3" t="n">
        <x:f>'现金流量表'!N128</x:f>
        <x:v>3040243.13</x:v>
      </x:c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 t="str">
        <x:v>未摊销资产</x:v>
      </x:c>
      <x:c r="C122" s="3" t="n">
        <x:f>'摊销明细'!$C$91-SUM('现金流量表'!$C122:C122)</x:f>
        <x:v>84333.28</x:v>
      </x:c>
      <x:c r="D122" s="3" t="n">
        <x:f>'摊销明细'!$C$91-SUM('现金流量表'!$C122:D122)</x:f>
        <x:v>82799.95</x:v>
      </x:c>
      <x:c r="E122" s="3" t="n">
        <x:f>'摊销明细'!$C$91-SUM('现金流量表'!$C122:E122)</x:f>
        <x:v>81266.62</x:v>
      </x:c>
      <x:c r="F122" s="3" t="n">
        <x:f>'摊销明细'!$C$91-SUM('现金流量表'!$C122:F122)</x:f>
        <x:v>79733.29000000001</x:v>
      </x:c>
      <x:c r="G122" s="3" t="n">
        <x:f>'摊销明细'!$C$91-SUM('现金流量表'!$C122:G122)</x:f>
        <x:v>78199.96</x:v>
      </x:c>
      <x:c r="H122" s="3" t="n">
        <x:f>'摊销明细'!$C$91-SUM('现金流量表'!$C122:H122)</x:f>
        <x:v>76666.63</x:v>
      </x:c>
      <x:c r="I122" s="3" t="n">
        <x:f>'摊销明细'!$C$91-SUM('现金流量表'!$C122:I122)</x:f>
        <x:v>75133.3</x:v>
      </x:c>
      <x:c r="J122" s="3" t="n">
        <x:f>'摊销明细'!$C$91-SUM('现金流量表'!$C122:J122)</x:f>
        <x:v>73599.97</x:v>
      </x:c>
      <x:c r="K122" s="3" t="n">
        <x:f>'摊销明细'!$C$91-SUM('现金流量表'!$C122:K122)</x:f>
        <x:v>72066.64</x:v>
      </x:c>
      <x:c r="L122" s="3" t="n">
        <x:f>'摊销明细'!$C$91-SUM('现金流量表'!$C122:L122)</x:f>
        <x:v>70533.31</x:v>
      </x:c>
      <x:c r="M122" s="3" t="n">
        <x:f>'摊销明细'!$C$91-SUM('现金流量表'!$C122:M122)</x:f>
        <x:v>68999.98000000001</x:v>
      </x:c>
      <x:c r="N122" s="3" t="n">
        <x:f>'摊销明细'!$C$91-SUM('现金流量表'!$C122:N122)</x:f>
        <x:v>67466.65</x:v>
      </x:c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 t="str">
        <x:v>资产总额</x:v>
      </x:c>
      <x:c r="C123" s="3" t="n">
        <x:f>SUM(C121:C122)</x:f>
        <x:v>420734.57999999996</x:v>
      </x:c>
      <x:c r="D123" s="3" t="n">
        <x:f>SUM(D121:D122)</x:f>
        <x:v>687854.4199999999</x:v>
      </x:c>
      <x:c r="E123" s="3" t="n">
        <x:f>SUM(E121:E122)</x:f>
        <x:v>926638.7099999998</x:v>
      </x:c>
      <x:c r="F123" s="3" t="n">
        <x:f>SUM(F121:F122)</x:f>
        <x:v>1197550.1099999999</x:v>
      </x:c>
      <x:c r="G123" s="3" t="n">
        <x:f>SUM(G121:G122)</x:f>
        <x:v>1494868.0099999998</x:v>
      </x:c>
      <x:c r="H123" s="3" t="n">
        <x:f>SUM(H121:H122)</x:f>
        <x:v>1707324.0299999998</x:v>
      </x:c>
      <x:c r="I123" s="3" t="n">
        <x:f>SUM(I121:I122)</x:f>
        <x:v>1987810.24</x:v>
      </x:c>
      <x:c r="J123" s="3" t="n">
        <x:f>SUM(J121:J122)</x:f>
        <x:v>2179127.85</x:v>
      </x:c>
      <x:c r="K123" s="3" t="n">
        <x:f>SUM(K121:K122)</x:f>
        <x:v>2433502.86</x:v>
      </x:c>
      <x:c r="L123" s="3" t="n">
        <x:f>SUM(L121:L122)</x:f>
        <x:v>2657371.98</x:v>
      </x:c>
      <x:c r="M123" s="3" t="n">
        <x:f>SUM(M121:M122)</x:f>
        <x:v>2893593.77</x:v>
      </x:c>
      <x:c r="N123" s="3" t="n">
        <x:f>SUM(N121:N122)</x:f>
        <x:v>3107709.78</x:v>
      </x:c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 t="str">
        <x:v>负债总额</x:v>
      </x:c>
      <x:c r="C124" s="3" t="n">
        <x:f>0</x:f>
        <x:v>0</x:v>
      </x:c>
      <x:c r="D124" s="3" t="n">
        <x:f>0</x:f>
        <x:v>0</x:v>
      </x:c>
      <x:c r="E124" s="3" t="n">
        <x:f>0</x:f>
        <x:v>0</x:v>
      </x:c>
      <x:c r="F124" s="3" t="n">
        <x:f>0</x:f>
        <x:v>0</x:v>
      </x:c>
      <x:c r="G124" s="3" t="n">
        <x:f>0</x:f>
        <x:v>0</x:v>
      </x:c>
      <x:c r="H124" s="3" t="n">
        <x:f>0</x:f>
        <x:v>0</x:v>
      </x:c>
      <x:c r="I124" s="3" t="n">
        <x:f>0</x:f>
        <x:v>0</x:v>
      </x:c>
      <x:c r="J124" s="3" t="n">
        <x:f>0</x:f>
        <x:v>0</x:v>
      </x:c>
      <x:c r="K124" s="3" t="n">
        <x:f>0</x:f>
        <x:v>0</x:v>
      </x:c>
      <x:c r="L124" s="3" t="n">
        <x:f>0</x:f>
        <x:v>0</x:v>
      </x:c>
      <x:c r="M124" s="3" t="n">
        <x:f>0</x:f>
        <x:v>0</x:v>
      </x:c>
      <x:c r="N124" s="3" t="n">
        <x:f>0</x:f>
        <x:v>0</x:v>
      </x:c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 t="str">
        <x:v>实收资本</x:v>
      </x:c>
      <x:c r="C125" s="3" t="n">
        <x:f>$C$260+'摊销明细'!$C$91</x:f>
        <x:v>230694.91999999998</x:v>
      </x:c>
      <x:c r="D125" s="3" t="n">
        <x:f>$C$260+'摊销明细'!$C$91</x:f>
        <x:v>230694.91999999998</x:v>
      </x:c>
      <x:c r="E125" s="3" t="n">
        <x:f>$C$260+'摊销明细'!$C$91</x:f>
        <x:v>230694.91999999998</x:v>
      </x:c>
      <x:c r="F125" s="3" t="n">
        <x:f>$C$260+'摊销明细'!$C$91</x:f>
        <x:v>230694.91999999998</x:v>
      </x:c>
      <x:c r="G125" s="3" t="n">
        <x:f>$C$260+'摊销明细'!$C$91</x:f>
        <x:v>230694.91999999998</x:v>
      </x:c>
      <x:c r="H125" s="3" t="n">
        <x:f>$C$260+'摊销明细'!$C$91</x:f>
        <x:v>230694.91999999998</x:v>
      </x:c>
      <x:c r="I125" s="3" t="n">
        <x:f>$C$260+'摊销明细'!$C$91</x:f>
        <x:v>230694.91999999998</x:v>
      </x:c>
      <x:c r="J125" s="3" t="n">
        <x:f>$C$260+'摊销明细'!$C$91</x:f>
        <x:v>230694.91999999998</x:v>
      </x:c>
      <x:c r="K125" s="3" t="n">
        <x:f>$C$260+'摊销明细'!$C$91</x:f>
        <x:v>230694.91999999998</x:v>
      </x:c>
      <x:c r="L125" s="3" t="n">
        <x:f>$C$260+'摊销明细'!$C$91</x:f>
        <x:v>230694.91999999998</x:v>
      </x:c>
      <x:c r="M125" s="3" t="n">
        <x:f>$C$260+'摊销明细'!$C$91</x:f>
        <x:v>230694.91999999998</x:v>
      </x:c>
      <x:c r="N125" s="3" t="n">
        <x:f>$C$260+'摊销明细'!$C$91</x:f>
        <x:v>230694.91999999998</x:v>
      </x:c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 t="str">
        <x:v>累计未分配利润</x:v>
      </x:c>
      <x:c r="C126" s="3" t="n">
        <x:f>SUM('利润表'!$C129:C129)</x:f>
        <x:v>190039.65999999992</x:v>
      </x:c>
      <x:c r="D126" s="3" t="n">
        <x:f>SUM('利润表'!$C129:D129)</x:f>
        <x:v>457159.49999999994</x:v>
      </x:c>
      <x:c r="E126" s="3" t="n">
        <x:f>SUM('利润表'!$C129:E129)</x:f>
        <x:v>695943.7899999999</x:v>
      </x:c>
      <x:c r="F126" s="3" t="n">
        <x:f>SUM('利润表'!$C129:F129)</x:f>
        <x:v>966855.19</x:v>
      </x:c>
      <x:c r="G126" s="3" t="n">
        <x:f>SUM('利润表'!$C129:G129)</x:f>
        <x:v>1264173.09</x:v>
      </x:c>
      <x:c r="H126" s="3" t="n">
        <x:f>SUM('利润表'!$C129:H129)</x:f>
        <x:v>1476629.11</x:v>
      </x:c>
      <x:c r="I126" s="3" t="n">
        <x:f>SUM('利润表'!$C129:I129)</x:f>
        <x:v>1757115.32</x:v>
      </x:c>
      <x:c r="J126" s="3" t="n">
        <x:f>SUM('利润表'!$C129:J129)</x:f>
        <x:v>1948432.9300000002</x:v>
      </x:c>
      <x:c r="K126" s="3" t="n">
        <x:f>SUM('利润表'!$C129:K129)</x:f>
        <x:v>2202807.9400000004</x:v>
      </x:c>
      <x:c r="L126" s="3" t="n">
        <x:f>SUM('利润表'!$C129:L129)</x:f>
        <x:v>2426677.0600000005</x:v>
      </x:c>
      <x:c r="M126" s="3" t="n">
        <x:f>SUM('利润表'!$C129:M129)</x:f>
        <x:v>2662898.8500000006</x:v>
      </x:c>
      <x:c r="N126" s="3" t="n">
        <x:f>SUM('利润表'!$C129:N129)</x:f>
        <x:v>2877014.8600000003</x:v>
      </x:c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 t="str">
        <x:v>所有者权益</x:v>
      </x:c>
      <x:c r="C127" s="3" t="n">
        <x:f>SUM(C125:C126)</x:f>
        <x:v>420734.5799999999</x:v>
      </x:c>
      <x:c r="D127" s="3" t="n">
        <x:f>SUM(D125:D126)</x:f>
        <x:v>687854.4199999999</x:v>
      </x:c>
      <x:c r="E127" s="3" t="n">
        <x:f>SUM(E125:E126)</x:f>
        <x:v>926638.71</x:v>
      </x:c>
      <x:c r="F127" s="3" t="n">
        <x:f>SUM(F125:F126)</x:f>
        <x:v>1197550.1099999999</x:v>
      </x:c>
      <x:c r="G127" s="3" t="n">
        <x:f>SUM(G125:G126)</x:f>
        <x:v>1494868.01</x:v>
      </x:c>
      <x:c r="H127" s="3" t="n">
        <x:f>SUM(H125:H126)</x:f>
        <x:v>1707324.03</x:v>
      </x:c>
      <x:c r="I127" s="3" t="n">
        <x:f>SUM(I125:I126)</x:f>
        <x:v>1987810.24</x:v>
      </x:c>
      <x:c r="J127" s="3" t="n">
        <x:f>SUM(J125:J126)</x:f>
        <x:v>2179127.85</x:v>
      </x:c>
      <x:c r="K127" s="3" t="n">
        <x:f>SUM(K125:K126)</x:f>
        <x:v>2433502.8600000003</x:v>
      </x:c>
      <x:c r="L127" s="3" t="n">
        <x:f>SUM(L125:L126)</x:f>
        <x:v>2657371.9800000004</x:v>
      </x:c>
      <x:c r="M127" s="3" t="n">
        <x:f>SUM(M125:M126)</x:f>
        <x:v>2893593.7700000005</x:v>
      </x:c>
      <x:c r="N127" s="3" t="n">
        <x:f>SUM(N125:N126)</x:f>
        <x:v>3107709.7800000003</x:v>
      </x:c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 t="str">
        <x:v>负债及权益合计</x:v>
      </x:c>
      <x:c r="C128" s="3" t="n">
        <x:f>SUM(C124,C127)</x:f>
        <x:v>420734.5799999999</x:v>
      </x:c>
      <x:c r="D128" s="3" t="n">
        <x:f>SUM(D124,D127)</x:f>
        <x:v>687854.4199999999</x:v>
      </x:c>
      <x:c r="E128" s="3" t="n">
        <x:f>SUM(E124,E127)</x:f>
        <x:v>926638.71</x:v>
      </x:c>
      <x:c r="F128" s="3" t="n">
        <x:f>SUM(F124,F127)</x:f>
        <x:v>1197550.1099999999</x:v>
      </x:c>
      <x:c r="G128" s="3" t="n">
        <x:f>SUM(G124,G127)</x:f>
        <x:v>1494868.01</x:v>
      </x:c>
      <x:c r="H128" s="3" t="n">
        <x:f>SUM(H124,H127)</x:f>
        <x:v>1707324.03</x:v>
      </x:c>
      <x:c r="I128" s="3" t="n">
        <x:f>SUM(I124,I127)</x:f>
        <x:v>1987810.24</x:v>
      </x:c>
      <x:c r="J128" s="3" t="n">
        <x:f>SUM(J124,J127)</x:f>
        <x:v>2179127.85</x:v>
      </x:c>
      <x:c r="K128" s="3" t="n">
        <x:f>SUM(K124,K127)</x:f>
        <x:v>2433502.8600000003</x:v>
      </x:c>
      <x:c r="L128" s="3" t="n">
        <x:f>SUM(L124,L127)</x:f>
        <x:v>2657371.9800000004</x:v>
      </x:c>
      <x:c r="M128" s="3" t="n">
        <x:f>SUM(M124,M127)</x:f>
        <x:v>2893593.7700000005</x:v>
      </x:c>
      <x:c r="N128" s="3" t="n">
        <x:f>SUM(N124,N127)</x:f>
        <x:v>3107709.7800000003</x:v>
      </x:c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 t="str">
        <x:v>期初现金（投入资本）</x:v>
      </x:c>
      <x:c r="C200" s="4" t="n">
        <x:v>136091.6</x:v>
      </x:c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 t="str">
        <x:v>期初现金（投入资本）</x:v>
      </x:c>
      <x:c r="C260" s="4" t="n">
        <x:v>144828.31</x:v>
      </x:c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现金流量表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      目</x:v>
      </x:c>
      <x:c r="B2" s="2" t="str">
        <x:v>行次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 t="str">
        <x:v>一、经营活动产生的现金流量：</x:v>
      </x:c>
      <x:c r="B3" s="2"/>
      <x:c r="C3" s="6" t="str">
        <x:v>全年预算</x:v>
      </x:c>
      <x:c r="D3" s="6" t="str">
        <x:v>全年实际占位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销售商品、提供劳务收到的现金</x:v>
      </x:c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 t="str">
        <x:v>收到的税费返还</x:v>
      </x:c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 t="str">
        <x:v>收到其他与经营活动有关的现金</x:v>
      </x:c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 t="str">
        <x:v>经营活动现金流入小计</x:v>
      </x:c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 t="str">
        <x:v>购买商品、接受劳务支付的现金（04）</x:v>
      </x:c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 t="str">
        <x:v>支付给职工以及为职工支付的现金（05）</x:v>
      </x:c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 t="str">
        <x:v>支付的各项税费（06）</x:v>
      </x:c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 t="str">
        <x:v>支付其他与经营活动有关的现金（07）</x:v>
      </x:c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 t="str">
        <x:v>经营活动现金流出小计</x:v>
      </x:c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 t="str">
        <x:v>经营活动产生的现金流量净额</x:v>
      </x:c>
      <x:c r="B13" s="2"/>
      <x:c r="C13" s="3" t="n">
        <x:f>SUM(C63:N63)</x:f>
        <x:v>2481945.04</x:v>
      </x:c>
      <x:c r="D13" s="3" t="n">
        <x:f>SUM(C123:N123)</x:f>
        <x:v>2895414.82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 t="str">
        <x:v>二、投资活动产生的现金流量：</x:v>
      </x:c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 t="str">
        <x:v>收回投资收到的现金</x:v>
      </x:c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 t="str">
        <x:v>取得投资收益收到的现金</x:v>
      </x:c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 t="str">
        <x:v>处置固定资产、无形资产和其他长期资产收回的现金净额</x:v>
      </x:c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 t="str">
        <x:v>处置子公司及其他营业单位收到的现金净额</x:v>
      </x:c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 t="str">
        <x:v>收到其他与投资活动有关的现金</x:v>
      </x:c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 t="str">
        <x:v>投资活动现金流入小计</x:v>
      </x:c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购建固定资产、无形资产和其他长期资产支付的现金（13）</x:v>
      </x:c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 t="str">
        <x:v>投资支付的现金（14）</x:v>
      </x:c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 t="str">
        <x:v>取得子公司及其他营业单位支付的现金净额</x:v>
      </x:c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 t="str">
        <x:v>支付其他与投资活动有关的现金</x:v>
      </x:c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投资活动现金流出小计</x:v>
      </x:c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投资活动产生的现金流量净额</x:v>
      </x:c>
      <x:c r="B26" s="2"/>
      <x:c r="C26" s="3" t="n">
        <x:f>SUM(C64:N64)</x:f>
        <x:v>0</x:v>
      </x:c>
      <x:c r="D26" s="3" t="n">
        <x:f>SUM(C124:N124)</x:f>
        <x:v>0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三、筹资活动产生的现金流量：</x:v>
      </x:c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吸收投资收到的现金</x:v>
      </x:c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 t="str">
        <x:v>取得借款收到的现金</x:v>
      </x:c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 t="str">
        <x:v>收到其他与筹资活动有关的现金</x:v>
      </x:c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筹资活动现金流入小计</x:v>
      </x:c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 t="str">
        <x:v>偿还债务支付的现金</x:v>
      </x:c>
      <x:c r="B32" s="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分配股利、利润或偿付利息支付的现金</x:v>
      </x:c>
      <x:c r="B33" s="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支付其他与筹资活动有关的现金</x:v>
      </x:c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筹资活动现金流出小计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筹资活动产生的现金流量净额</x:v>
      </x:c>
      <x:c r="B36" s="2"/>
      <x:c r="C36" s="3" t="n">
        <x:f>SUM(C65:N65)</x:f>
        <x:v>0</x:v>
      </x:c>
      <x:c r="D36" s="3" t="n">
        <x:f>SUM(C125:N125)</x:f>
        <x:v>0</x:v>
      </x:c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 t="str">
        <x:v>四、汇率变动对现金及现金等价物的影响</x:v>
      </x:c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 t="str">
        <x:v>五、现金及现金等价物净增加额</x:v>
      </x:c>
      <x:c r="B38" s="2"/>
      <x:c r="C38" s="3" t="n">
        <x:f>SUM(C66:N66)</x:f>
        <x:v>2481945.04</x:v>
      </x:c>
      <x:c r="D38" s="3" t="n">
        <x:f>SUM(C126:N126)</x:f>
        <x:v>2895414.82</x:v>
      </x:c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 t="str">
        <x:v>加：期初现金及现金等价物余额</x:v>
      </x:c>
      <x:c r="B39" s="2"/>
      <x:c r="C39" s="3" t="n">
        <x:f>C67</x:f>
        <x:v>136091.6</x:v>
      </x:c>
      <x:c r="D39" s="3" t="n">
        <x:f>C127</x:f>
        <x:v>144828.31</x:v>
      </x:c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 t="str">
        <x:v>六、期末现金及现金等价物余额</x:v>
      </x:c>
      <x:c r="B40" s="2"/>
      <x:c r="C40" s="3" t="n">
        <x:f>N68</x:f>
        <x:v>2618036.64</x:v>
      </x:c>
      <x:c r="D40" s="3" t="n">
        <x:f>N128</x:f>
        <x:v>3040243.13</x:v>
      </x:c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 t="str">
        <x:v>预算基础月度勾稽</x:v>
      </x:c>
      <x:c r="C60" s="6" t="str">
        <x:v>2027-01</x:v>
      </x:c>
      <x:c r="D60" s="6" t="str">
        <x:v>2027-02</x:v>
      </x:c>
      <x:c r="E60" s="6" t="str">
        <x:v>2027-03</x:v>
      </x:c>
      <x:c r="F60" s="6" t="str">
        <x:v>2027-04</x:v>
      </x:c>
      <x:c r="G60" s="6" t="str">
        <x:v>2027-05</x:v>
      </x:c>
      <x:c r="H60" s="6" t="str">
        <x:v>2027-06</x:v>
      </x:c>
      <x:c r="I60" s="6" t="str">
        <x:v>2027-07</x:v>
      </x:c>
      <x:c r="J60" s="6" t="str">
        <x:v>2027-08</x:v>
      </x:c>
      <x:c r="K60" s="6" t="str">
        <x:v>2027-09</x:v>
      </x:c>
      <x:c r="L60" s="6" t="str">
        <x:v>2027-10</x:v>
      </x:c>
      <x:c r="M60" s="6" t="str">
        <x:v>2027-11</x:v>
      </x:c>
      <x:c r="N60" s="6" t="str">
        <x:v>2027-12</x:v>
      </x:c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 t="str">
        <x:v>净利润</x:v>
      </x:c>
      <x:c r="C61" s="3" t="n">
        <x:f>'利润表'!C69</x:f>
        <x:v>208559.33999999997</x:v>
      </x:c>
      <x:c r="D61" s="3" t="n">
        <x:f>'利润表'!D69</x:f>
        <x:v>192681.46</x:v>
      </x:c>
      <x:c r="E61" s="3" t="n">
        <x:f>'利润表'!E69</x:f>
        <x:v>235960.37000000005</x:v>
      </x:c>
      <x:c r="F61" s="3" t="n">
        <x:f>'利润表'!F69</x:f>
        <x:v>176446.21000000002</x:v>
      </x:c>
      <x:c r="G61" s="3" t="n">
        <x:f>'利润表'!G69</x:f>
        <x:v>295617.02</x:v>
      </x:c>
      <x:c r="H61" s="3" t="n">
        <x:f>'利润表'!H69</x:f>
        <x:v>209388.43000000008</x:v>
      </x:c>
      <x:c r="I61" s="3" t="n">
        <x:f>'利润表'!I69</x:f>
        <x:v>190474.68999999997</x:v>
      </x:c>
      <x:c r="J61" s="3" t="n">
        <x:f>'利润表'!J69</x:f>
        <x:v>271155.8399999999</x:v>
      </x:c>
      <x:c r="K61" s="3" t="n">
        <x:f>'利润表'!K69</x:f>
        <x:v>165580.25999999998</x:v>
      </x:c>
      <x:c r="L61" s="3" t="n">
        <x:f>'利润表'!L69</x:f>
        <x:v>186199.40999999997</x:v>
      </x:c>
      <x:c r="M61" s="3" t="n">
        <x:f>'利润表'!M69</x:f>
        <x:v>142367.30000000002</x:v>
      </x:c>
      <x:c r="N61" s="3" t="n">
        <x:f>'利润表'!N69</x:f>
        <x:v>188039.78999999998</x:v>
      </x:c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 t="str">
        <x:v>折旧摊销加回</x:v>
      </x:c>
      <x:c r="C62" s="3" t="n">
        <x:f>'销售费用'!C20+'管理费用'!C20+'蓝恐龙费用'!C20</x:f>
        <x:v>1622.91</x:v>
      </x:c>
      <x:c r="D62" s="3" t="n">
        <x:f>'销售费用'!D20+'管理费用'!D20+'蓝恐龙费用'!D20</x:f>
        <x:v>1622.91</x:v>
      </x:c>
      <x:c r="E62" s="3" t="n">
        <x:f>'销售费用'!E20+'管理费用'!E20+'蓝恐龙费用'!E20</x:f>
        <x:v>1622.91</x:v>
      </x:c>
      <x:c r="F62" s="3" t="n">
        <x:f>'销售费用'!F20+'管理费用'!F20+'蓝恐龙费用'!F20</x:f>
        <x:v>1622.91</x:v>
      </x:c>
      <x:c r="G62" s="3" t="n">
        <x:f>'销售费用'!G20+'管理费用'!G20+'蓝恐龙费用'!G20</x:f>
        <x:v>1622.91</x:v>
      </x:c>
      <x:c r="H62" s="3" t="n">
        <x:f>'销售费用'!H20+'管理费用'!H20+'蓝恐龙费用'!H20</x:f>
        <x:v>1622.91</x:v>
      </x:c>
      <x:c r="I62" s="3" t="n">
        <x:f>'销售费用'!I20+'管理费用'!I20+'蓝恐龙费用'!I20</x:f>
        <x:v>1622.91</x:v>
      </x:c>
      <x:c r="J62" s="3" t="n">
        <x:f>'销售费用'!J20+'管理费用'!J20+'蓝恐龙费用'!J20</x:f>
        <x:v>1622.91</x:v>
      </x:c>
      <x:c r="K62" s="3" t="n">
        <x:f>'销售费用'!K20+'管理费用'!K20+'蓝恐龙费用'!K20</x:f>
        <x:v>1622.91</x:v>
      </x:c>
      <x:c r="L62" s="3" t="n">
        <x:f>'销售费用'!L20+'管理费用'!L20+'蓝恐龙费用'!L20</x:f>
        <x:v>1622.91</x:v>
      </x:c>
      <x:c r="M62" s="3" t="n">
        <x:f>'销售费用'!M20+'管理费用'!M20+'蓝恐龙费用'!M20</x:f>
        <x:v>1622.91</x:v>
      </x:c>
      <x:c r="N62" s="3" t="n">
        <x:f>'销售费用'!N20+'管理费用'!N20+'蓝恐龙费用'!N20</x:f>
        <x:v>1622.91</x:v>
      </x:c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 t="str">
        <x:v>经营现金净流量</x:v>
      </x:c>
      <x:c r="C63" s="3" t="n">
        <x:f>SUM(C61:C62)</x:f>
        <x:v>210182.24999999997</x:v>
      </x:c>
      <x:c r="D63" s="3" t="n">
        <x:f>SUM(D61:D62)</x:f>
        <x:v>194304.37</x:v>
      </x:c>
      <x:c r="E63" s="3" t="n">
        <x:f>SUM(E61:E62)</x:f>
        <x:v>237583.28000000006</x:v>
      </x:c>
      <x:c r="F63" s="3" t="n">
        <x:f>SUM(F61:F62)</x:f>
        <x:v>178069.12000000002</x:v>
      </x:c>
      <x:c r="G63" s="3" t="n">
        <x:f>SUM(G61:G62)</x:f>
        <x:v>297239.93</x:v>
      </x:c>
      <x:c r="H63" s="3" t="n">
        <x:f>SUM(H61:H62)</x:f>
        <x:v>211011.34000000008</x:v>
      </x:c>
      <x:c r="I63" s="3" t="n">
        <x:f>SUM(I61:I62)</x:f>
        <x:v>192097.59999999998</x:v>
      </x:c>
      <x:c r="J63" s="3" t="n">
        <x:f>SUM(J61:J62)</x:f>
        <x:v>272778.7499999999</x:v>
      </x:c>
      <x:c r="K63" s="3" t="n">
        <x:f>SUM(K61:K62)</x:f>
        <x:v>167203.16999999998</x:v>
      </x:c>
      <x:c r="L63" s="3" t="n">
        <x:f>SUM(L61:L62)</x:f>
        <x:v>187822.31999999998</x:v>
      </x:c>
      <x:c r="M63" s="3" t="n">
        <x:f>SUM(M61:M62)</x:f>
        <x:v>143990.21000000002</x:v>
      </x:c>
      <x:c r="N63" s="3" t="n">
        <x:f>SUM(N61:N62)</x:f>
        <x:v>189662.69999999998</x:v>
      </x:c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投资现金净流量</x:v>
      </x:c>
      <x:c r="C64" s="3" t="n">
        <x:f>0</x:f>
        <x:v>0</x:v>
      </x:c>
      <x:c r="D64" s="3" t="n">
        <x:f>0</x:f>
        <x:v>0</x:v>
      </x:c>
      <x:c r="E64" s="3" t="n">
        <x:f>0</x:f>
        <x:v>0</x:v>
      </x:c>
      <x:c r="F64" s="3" t="n">
        <x:f>0</x:f>
        <x:v>0</x:v>
      </x:c>
      <x:c r="G64" s="3" t="n">
        <x:f>0</x:f>
        <x:v>0</x:v>
      </x:c>
      <x:c r="H64" s="3" t="n">
        <x:f>0</x:f>
        <x:v>0</x:v>
      </x:c>
      <x:c r="I64" s="3" t="n">
        <x:f>0</x:f>
        <x:v>0</x:v>
      </x:c>
      <x:c r="J64" s="3" t="n">
        <x:f>0</x:f>
        <x:v>0</x:v>
      </x:c>
      <x:c r="K64" s="3" t="n">
        <x:f>0</x:f>
        <x:v>0</x:v>
      </x:c>
      <x:c r="L64" s="3" t="n">
        <x:f>0</x:f>
        <x:v>0</x:v>
      </x:c>
      <x:c r="M64" s="3" t="n">
        <x:f>0</x:f>
        <x:v>0</x:v>
      </x:c>
      <x:c r="N64" s="3" t="n">
        <x:f>0</x:f>
        <x:v>0</x:v>
      </x:c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筹资现金净流量</x:v>
      </x:c>
      <x:c r="C65" s="3" t="n">
        <x:f>0</x:f>
        <x:v>0</x:v>
      </x:c>
      <x:c r="D65" s="3" t="n">
        <x:f>0</x:f>
        <x:v>0</x:v>
      </x:c>
      <x:c r="E65" s="3" t="n">
        <x:f>0</x:f>
        <x:v>0</x:v>
      </x:c>
      <x:c r="F65" s="3" t="n">
        <x:f>0</x:f>
        <x:v>0</x:v>
      </x:c>
      <x:c r="G65" s="3" t="n">
        <x:f>0</x:f>
        <x:v>0</x:v>
      </x:c>
      <x:c r="H65" s="3" t="n">
        <x:f>0</x:f>
        <x:v>0</x:v>
      </x:c>
      <x:c r="I65" s="3" t="n">
        <x:f>0</x:f>
        <x:v>0</x:v>
      </x:c>
      <x:c r="J65" s="3" t="n">
        <x:f>0</x:f>
        <x:v>0</x:v>
      </x:c>
      <x:c r="K65" s="3" t="n">
        <x:f>0</x:f>
        <x:v>0</x:v>
      </x:c>
      <x:c r="L65" s="3" t="n">
        <x:f>0</x:f>
        <x:v>0</x:v>
      </x:c>
      <x:c r="M65" s="3" t="n">
        <x:f>0</x:f>
        <x:v>0</x:v>
      </x:c>
      <x:c r="N65" s="3" t="n">
        <x:f>0</x:f>
        <x:v>0</x:v>
      </x:c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现金净增加</x:v>
      </x:c>
      <x:c r="C66" s="3" t="n">
        <x:f>SUM(C63:C65)</x:f>
        <x:v>210182.24999999997</x:v>
      </x:c>
      <x:c r="D66" s="3" t="n">
        <x:f>SUM(D63:D65)</x:f>
        <x:v>194304.37</x:v>
      </x:c>
      <x:c r="E66" s="3" t="n">
        <x:f>SUM(E63:E65)</x:f>
        <x:v>237583.28000000006</x:v>
      </x:c>
      <x:c r="F66" s="3" t="n">
        <x:f>SUM(F63:F65)</x:f>
        <x:v>178069.12000000002</x:v>
      </x:c>
      <x:c r="G66" s="3" t="n">
        <x:f>SUM(G63:G65)</x:f>
        <x:v>297239.93</x:v>
      </x:c>
      <x:c r="H66" s="3" t="n">
        <x:f>SUM(H63:H65)</x:f>
        <x:v>211011.34000000008</x:v>
      </x:c>
      <x:c r="I66" s="3" t="n">
        <x:f>SUM(I63:I65)</x:f>
        <x:v>192097.59999999998</x:v>
      </x:c>
      <x:c r="J66" s="3" t="n">
        <x:f>SUM(J63:J65)</x:f>
        <x:v>272778.7499999999</x:v>
      </x:c>
      <x:c r="K66" s="3" t="n">
        <x:f>SUM(K63:K65)</x:f>
        <x:v>167203.16999999998</x:v>
      </x:c>
      <x:c r="L66" s="3" t="n">
        <x:f>SUM(L63:L65)</x:f>
        <x:v>187822.31999999998</x:v>
      </x:c>
      <x:c r="M66" s="3" t="n">
        <x:f>SUM(M63:M65)</x:f>
        <x:v>143990.21000000002</x:v>
      </x:c>
      <x:c r="N66" s="3" t="n">
        <x:f>SUM(N63:N65)</x:f>
        <x:v>189662.69999999998</x:v>
      </x:c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期初现金</x:v>
      </x:c>
      <x:c r="C67" s="3" t="n">
        <x:f>'资产负债表'!$C$200</x:f>
        <x:v>136091.6</x:v>
      </x:c>
      <x:c r="D67" s="3" t="n">
        <x:f>C68</x:f>
        <x:v>346273.85</x:v>
      </x:c>
      <x:c r="E67" s="3" t="n">
        <x:f>D68</x:f>
        <x:v>540578.22</x:v>
      </x:c>
      <x:c r="F67" s="3" t="n">
        <x:f>E68</x:f>
        <x:v>778161.5</x:v>
      </x:c>
      <x:c r="G67" s="3" t="n">
        <x:f>F68</x:f>
        <x:v>956230.62</x:v>
      </x:c>
      <x:c r="H67" s="3" t="n">
        <x:f>G68</x:f>
        <x:v>1253470.55</x:v>
      </x:c>
      <x:c r="I67" s="3" t="n">
        <x:f>H68</x:f>
        <x:v>1464481.8900000001</x:v>
      </x:c>
      <x:c r="J67" s="3" t="n">
        <x:f>I68</x:f>
        <x:v>1656579.4900000002</x:v>
      </x:c>
      <x:c r="K67" s="3" t="n">
        <x:f>J68</x:f>
        <x:v>1929358.2400000002</x:v>
      </x:c>
      <x:c r="L67" s="3" t="n">
        <x:f>K68</x:f>
        <x:v>2096561.4100000001</x:v>
      </x:c>
      <x:c r="M67" s="3" t="n">
        <x:f>L68</x:f>
        <x:v>2284383.73</x:v>
      </x:c>
      <x:c r="N67" s="3" t="n">
        <x:f>M68</x:f>
        <x:v>2428373.94</x:v>
      </x:c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期末现金</x:v>
      </x:c>
      <x:c r="C68" s="3" t="n">
        <x:f>SUM(C66:C67)</x:f>
        <x:v>346273.85</x:v>
      </x:c>
      <x:c r="D68" s="3" t="n">
        <x:f>SUM(D66:D67)</x:f>
        <x:v>540578.22</x:v>
      </x:c>
      <x:c r="E68" s="3" t="n">
        <x:f>SUM(E66:E67)</x:f>
        <x:v>778161.5</x:v>
      </x:c>
      <x:c r="F68" s="3" t="n">
        <x:f>SUM(F66:F67)</x:f>
        <x:v>956230.62</x:v>
      </x:c>
      <x:c r="G68" s="3" t="n">
        <x:f>SUM(G66:G67)</x:f>
        <x:v>1253470.55</x:v>
      </x:c>
      <x:c r="H68" s="3" t="n">
        <x:f>SUM(H66:H67)</x:f>
        <x:v>1464481.8900000001</x:v>
      </x:c>
      <x:c r="I68" s="3" t="n">
        <x:f>SUM(I66:I67)</x:f>
        <x:v>1656579.4900000002</x:v>
      </x:c>
      <x:c r="J68" s="3" t="n">
        <x:f>SUM(J66:J67)</x:f>
        <x:v>1929358.2400000002</x:v>
      </x:c>
      <x:c r="K68" s="3" t="n">
        <x:f>SUM(K66:K67)</x:f>
        <x:v>2096561.4100000001</x:v>
      </x:c>
      <x:c r="L68" s="3" t="n">
        <x:f>SUM(L66:L67)</x:f>
        <x:v>2284383.73</x:v>
      </x:c>
      <x:c r="M68" s="3" t="n">
        <x:f>SUM(M66:M67)</x:f>
        <x:v>2428373.94</x:v>
      </x:c>
      <x:c r="N68" s="3" t="n">
        <x:f>SUM(N66:N67)</x:f>
        <x:v>2618036.64</x:v>
      </x:c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实时经营月度勾稽</x:v>
      </x:c>
      <x:c r="C120" s="6" t="str">
        <x:v>2027-01</x:v>
      </x:c>
      <x:c r="D120" s="6" t="str">
        <x:v>2027-02</x:v>
      </x:c>
      <x:c r="E120" s="6" t="str">
        <x:v>2027-03</x:v>
      </x:c>
      <x:c r="F120" s="6" t="str">
        <x:v>2027-04</x:v>
      </x:c>
      <x:c r="G120" s="6" t="str">
        <x:v>2027-05</x:v>
      </x:c>
      <x:c r="H120" s="6" t="str">
        <x:v>2027-06</x:v>
      </x:c>
      <x:c r="I120" s="6" t="str">
        <x:v>2027-07</x:v>
      </x:c>
      <x:c r="J120" s="6" t="str">
        <x:v>2027-08</x:v>
      </x:c>
      <x:c r="K120" s="6" t="str">
        <x:v>2027-09</x:v>
      </x:c>
      <x:c r="L120" s="6" t="str">
        <x:v>2027-10</x:v>
      </x:c>
      <x:c r="M120" s="6" t="str">
        <x:v>2027-11</x:v>
      </x:c>
      <x:c r="N120" s="6" t="str">
        <x:v>2027-12</x:v>
      </x:c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 t="str">
        <x:v>净利润</x:v>
      </x:c>
      <x:c r="C121" s="3" t="n">
        <x:f>'利润表'!C129</x:f>
        <x:v>190039.65999999992</x:v>
      </x:c>
      <x:c r="D121" s="3" t="n">
        <x:f>'利润表'!D129</x:f>
        <x:v>267119.84</x:v>
      </x:c>
      <x:c r="E121" s="3" t="n">
        <x:f>'利润表'!E129</x:f>
        <x:v>238784.28999999995</x:v>
      </x:c>
      <x:c r="F121" s="3" t="n">
        <x:f>'利润表'!F129</x:f>
        <x:v>270911.4</x:v>
      </x:c>
      <x:c r="G121" s="3" t="n">
        <x:f>'利润表'!G129</x:f>
        <x:v>297317.9000000001</x:v>
      </x:c>
      <x:c r="H121" s="3" t="n">
        <x:f>'利润表'!H129</x:f>
        <x:v>212456.02</x:v>
      </x:c>
      <x:c r="I121" s="3" t="n">
        <x:f>'利润表'!I129</x:f>
        <x:v>280486.20999999996</x:v>
      </x:c>
      <x:c r="J121" s="3" t="n">
        <x:f>'利润表'!J129</x:f>
        <x:v>191317.61</x:v>
      </x:c>
      <x:c r="K121" s="3" t="n">
        <x:f>'利润表'!K129</x:f>
        <x:v>254375.01000000007</x:v>
      </x:c>
      <x:c r="L121" s="3" t="n">
        <x:f>'利润表'!L129</x:f>
        <x:v>223869.12000000002</x:v>
      </x:c>
      <x:c r="M121" s="3" t="n">
        <x:f>'利润表'!M129</x:f>
        <x:v>236221.79</x:v>
      </x:c>
      <x:c r="N121" s="3" t="n">
        <x:f>'利润表'!N129</x:f>
        <x:v>214116.0099999999</x:v>
      </x:c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 t="str">
        <x:v>折旧摊销加回</x:v>
      </x:c>
      <x:c r="C122" s="3" t="n">
        <x:f>'销售费用'!C80+'管理费用'!C80+'蓝恐龙费用'!C80</x:f>
        <x:v>1533.33</x:v>
      </x:c>
      <x:c r="D122" s="3" t="n">
        <x:f>'销售费用'!D80+'管理费用'!D80+'蓝恐龙费用'!D80</x:f>
        <x:v>1533.33</x:v>
      </x:c>
      <x:c r="E122" s="3" t="n">
        <x:f>'销售费用'!E80+'管理费用'!E80+'蓝恐龙费用'!E80</x:f>
        <x:v>1533.33</x:v>
      </x:c>
      <x:c r="F122" s="3" t="n">
        <x:f>'销售费用'!F80+'管理费用'!F80+'蓝恐龙费用'!F80</x:f>
        <x:v>1533.33</x:v>
      </x:c>
      <x:c r="G122" s="3" t="n">
        <x:f>'销售费用'!G80+'管理费用'!G80+'蓝恐龙费用'!G80</x:f>
        <x:v>1533.33</x:v>
      </x:c>
      <x:c r="H122" s="3" t="n">
        <x:f>'销售费用'!H80+'管理费用'!H80+'蓝恐龙费用'!H80</x:f>
        <x:v>1533.33</x:v>
      </x:c>
      <x:c r="I122" s="3" t="n">
        <x:f>'销售费用'!I80+'管理费用'!I80+'蓝恐龙费用'!I80</x:f>
        <x:v>1533.33</x:v>
      </x:c>
      <x:c r="J122" s="3" t="n">
        <x:f>'销售费用'!J80+'管理费用'!J80+'蓝恐龙费用'!J80</x:f>
        <x:v>1533.33</x:v>
      </x:c>
      <x:c r="K122" s="3" t="n">
        <x:f>'销售费用'!K80+'管理费用'!K80+'蓝恐龙费用'!K80</x:f>
        <x:v>1533.33</x:v>
      </x:c>
      <x:c r="L122" s="3" t="n">
        <x:f>'销售费用'!L80+'管理费用'!L80+'蓝恐龙费用'!L80</x:f>
        <x:v>1533.33</x:v>
      </x:c>
      <x:c r="M122" s="3" t="n">
        <x:f>'销售费用'!M80+'管理费用'!M80+'蓝恐龙费用'!M80</x:f>
        <x:v>1533.33</x:v>
      </x:c>
      <x:c r="N122" s="3" t="n">
        <x:f>'销售费用'!N80+'管理费用'!N80+'蓝恐龙费用'!N80</x:f>
        <x:v>1533.33</x:v>
      </x:c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 t="str">
        <x:v>经营现金净流量</x:v>
      </x:c>
      <x:c r="C123" s="3" t="n">
        <x:f>SUM(C121:C122)</x:f>
        <x:v>191572.9899999999</x:v>
      </x:c>
      <x:c r="D123" s="3" t="n">
        <x:f>SUM(D121:D122)</x:f>
        <x:v>268653.17000000004</x:v>
      </x:c>
      <x:c r="E123" s="3" t="n">
        <x:f>SUM(E121:E122)</x:f>
        <x:v>240317.61999999994</x:v>
      </x:c>
      <x:c r="F123" s="3" t="n">
        <x:f>SUM(F121:F122)</x:f>
        <x:v>272444.73000000004</x:v>
      </x:c>
      <x:c r="G123" s="3" t="n">
        <x:f>SUM(G121:G122)</x:f>
        <x:v>298851.2300000001</x:v>
      </x:c>
      <x:c r="H123" s="3" t="n">
        <x:f>SUM(H121:H122)</x:f>
        <x:v>213989.34999999998</x:v>
      </x:c>
      <x:c r="I123" s="3" t="n">
        <x:f>SUM(I121:I122)</x:f>
        <x:v>282019.54</x:v>
      </x:c>
      <x:c r="J123" s="3" t="n">
        <x:f>SUM(J121:J122)</x:f>
        <x:v>192850.93999999997</x:v>
      </x:c>
      <x:c r="K123" s="3" t="n">
        <x:f>SUM(K121:K122)</x:f>
        <x:v>255908.34000000005</x:v>
      </x:c>
      <x:c r="L123" s="3" t="n">
        <x:f>SUM(L121:L122)</x:f>
        <x:v>225402.45</x:v>
      </x:c>
      <x:c r="M123" s="3" t="n">
        <x:f>SUM(M121:M122)</x:f>
        <x:v>237755.12</x:v>
      </x:c>
      <x:c r="N123" s="3" t="n">
        <x:f>SUM(N121:N122)</x:f>
        <x:v>215649.33999999988</x:v>
      </x:c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 t="str">
        <x:v>投资现金净流量</x:v>
      </x:c>
      <x:c r="C124" s="3" t="n">
        <x:f>0</x:f>
        <x:v>0</x:v>
      </x:c>
      <x:c r="D124" s="3" t="n">
        <x:f>0</x:f>
        <x:v>0</x:v>
      </x:c>
      <x:c r="E124" s="3" t="n">
        <x:f>0</x:f>
        <x:v>0</x:v>
      </x:c>
      <x:c r="F124" s="3" t="n">
        <x:f>0</x:f>
        <x:v>0</x:v>
      </x:c>
      <x:c r="G124" s="3" t="n">
        <x:f>0</x:f>
        <x:v>0</x:v>
      </x:c>
      <x:c r="H124" s="3" t="n">
        <x:f>0</x:f>
        <x:v>0</x:v>
      </x:c>
      <x:c r="I124" s="3" t="n">
        <x:f>0</x:f>
        <x:v>0</x:v>
      </x:c>
      <x:c r="J124" s="3" t="n">
        <x:f>0</x:f>
        <x:v>0</x:v>
      </x:c>
      <x:c r="K124" s="3" t="n">
        <x:f>0</x:f>
        <x:v>0</x:v>
      </x:c>
      <x:c r="L124" s="3" t="n">
        <x:f>0</x:f>
        <x:v>0</x:v>
      </x:c>
      <x:c r="M124" s="3" t="n">
        <x:f>0</x:f>
        <x:v>0</x:v>
      </x:c>
      <x:c r="N124" s="3" t="n">
        <x:f>0</x:f>
        <x:v>0</x:v>
      </x:c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 t="str">
        <x:v>筹资现金净流量</x:v>
      </x:c>
      <x:c r="C125" s="3" t="n">
        <x:f>0</x:f>
        <x:v>0</x:v>
      </x:c>
      <x:c r="D125" s="3" t="n">
        <x:f>0</x:f>
        <x:v>0</x:v>
      </x:c>
      <x:c r="E125" s="3" t="n">
        <x:f>0</x:f>
        <x:v>0</x:v>
      </x:c>
      <x:c r="F125" s="3" t="n">
        <x:f>0</x:f>
        <x:v>0</x:v>
      </x:c>
      <x:c r="G125" s="3" t="n">
        <x:f>0</x:f>
        <x:v>0</x:v>
      </x:c>
      <x:c r="H125" s="3" t="n">
        <x:f>0</x:f>
        <x:v>0</x:v>
      </x:c>
      <x:c r="I125" s="3" t="n">
        <x:f>0</x:f>
        <x:v>0</x:v>
      </x:c>
      <x:c r="J125" s="3" t="n">
        <x:f>0</x:f>
        <x:v>0</x:v>
      </x:c>
      <x:c r="K125" s="3" t="n">
        <x:f>0</x:f>
        <x:v>0</x:v>
      </x:c>
      <x:c r="L125" s="3" t="n">
        <x:f>0</x:f>
        <x:v>0</x:v>
      </x:c>
      <x:c r="M125" s="3" t="n">
        <x:f>0</x:f>
        <x:v>0</x:v>
      </x:c>
      <x:c r="N125" s="3" t="n">
        <x:f>0</x:f>
        <x:v>0</x:v>
      </x:c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 t="str">
        <x:v>现金净增加</x:v>
      </x:c>
      <x:c r="C126" s="3" t="n">
        <x:f>SUM(C123:C125)</x:f>
        <x:v>191572.9899999999</x:v>
      </x:c>
      <x:c r="D126" s="3" t="n">
        <x:f>SUM(D123:D125)</x:f>
        <x:v>268653.17000000004</x:v>
      </x:c>
      <x:c r="E126" s="3" t="n">
        <x:f>SUM(E123:E125)</x:f>
        <x:v>240317.61999999994</x:v>
      </x:c>
      <x:c r="F126" s="3" t="n">
        <x:f>SUM(F123:F125)</x:f>
        <x:v>272444.73000000004</x:v>
      </x:c>
      <x:c r="G126" s="3" t="n">
        <x:f>SUM(G123:G125)</x:f>
        <x:v>298851.2300000001</x:v>
      </x:c>
      <x:c r="H126" s="3" t="n">
        <x:f>SUM(H123:H125)</x:f>
        <x:v>213989.34999999998</x:v>
      </x:c>
      <x:c r="I126" s="3" t="n">
        <x:f>SUM(I123:I125)</x:f>
        <x:v>282019.54</x:v>
      </x:c>
      <x:c r="J126" s="3" t="n">
        <x:f>SUM(J123:J125)</x:f>
        <x:v>192850.93999999997</x:v>
      </x:c>
      <x:c r="K126" s="3" t="n">
        <x:f>SUM(K123:K125)</x:f>
        <x:v>255908.34000000005</x:v>
      </x:c>
      <x:c r="L126" s="3" t="n">
        <x:f>SUM(L123:L125)</x:f>
        <x:v>225402.45</x:v>
      </x:c>
      <x:c r="M126" s="3" t="n">
        <x:f>SUM(M123:M125)</x:f>
        <x:v>237755.12</x:v>
      </x:c>
      <x:c r="N126" s="3" t="n">
        <x:f>SUM(N123:N125)</x:f>
        <x:v>215649.33999999988</x:v>
      </x:c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 t="str">
        <x:v>期初现金</x:v>
      </x:c>
      <x:c r="C127" s="3" t="n">
        <x:f>'资产负债表'!$C$260</x:f>
        <x:v>144828.31</x:v>
      </x:c>
      <x:c r="D127" s="3" t="n">
        <x:f>C128</x:f>
        <x:v>336401.29999999993</x:v>
      </x:c>
      <x:c r="E127" s="3" t="n">
        <x:f>D128</x:f>
        <x:v>605054.47</x:v>
      </x:c>
      <x:c r="F127" s="3" t="n">
        <x:f>E128</x:f>
        <x:v>845372.0899999999</x:v>
      </x:c>
      <x:c r="G127" s="3" t="n">
        <x:f>F128</x:f>
        <x:v>1117816.8199999998</x:v>
      </x:c>
      <x:c r="H127" s="3" t="n">
        <x:f>G128</x:f>
        <x:v>1416668.0499999998</x:v>
      </x:c>
      <x:c r="I127" s="3" t="n">
        <x:f>H128</x:f>
        <x:v>1630657.4</x:v>
      </x:c>
      <x:c r="J127" s="3" t="n">
        <x:f>I128</x:f>
        <x:v>1912676.94</x:v>
      </x:c>
      <x:c r="K127" s="3" t="n">
        <x:f>J128</x:f>
        <x:v>2105527.88</x:v>
      </x:c>
      <x:c r="L127" s="3" t="n">
        <x:f>K128</x:f>
        <x:v>2361436.2199999997</x:v>
      </x:c>
      <x:c r="M127" s="3" t="n">
        <x:f>L128</x:f>
        <x:v>2586838.67</x:v>
      </x:c>
      <x:c r="N127" s="3" t="n">
        <x:f>M128</x:f>
        <x:v>2824593.79</x:v>
      </x:c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 t="str">
        <x:v>期末现金</x:v>
      </x:c>
      <x:c r="C128" s="3" t="n">
        <x:f>SUM(C126:C127)</x:f>
        <x:v>336401.29999999993</x:v>
      </x:c>
      <x:c r="D128" s="3" t="n">
        <x:f>SUM(D126:D127)</x:f>
        <x:v>605054.47</x:v>
      </x:c>
      <x:c r="E128" s="3" t="n">
        <x:f>SUM(E126:E127)</x:f>
        <x:v>845372.0899999999</x:v>
      </x:c>
      <x:c r="F128" s="3" t="n">
        <x:f>SUM(F126:F127)</x:f>
        <x:v>1117816.8199999998</x:v>
      </x:c>
      <x:c r="G128" s="3" t="n">
        <x:f>SUM(G126:G127)</x:f>
        <x:v>1416668.0499999998</x:v>
      </x:c>
      <x:c r="H128" s="3" t="n">
        <x:f>SUM(H126:H127)</x:f>
        <x:v>1630657.4</x:v>
      </x:c>
      <x:c r="I128" s="3" t="n">
        <x:f>SUM(I126:I127)</x:f>
        <x:v>1912676.94</x:v>
      </x:c>
      <x:c r="J128" s="3" t="n">
        <x:f>SUM(J126:J127)</x:f>
        <x:v>2105527.88</x:v>
      </x:c>
      <x:c r="K128" s="3" t="n">
        <x:f>SUM(K126:K127)</x:f>
        <x:v>2361436.2199999997</x:v>
      </x:c>
      <x:c r="L128" s="3" t="n">
        <x:f>SUM(L126:L127)</x:f>
        <x:v>2586838.67</x:v>
      </x:c>
      <x:c r="M128" s="3" t="n">
        <x:f>SUM(M126:M127)</x:f>
        <x:v>2824593.79</x:v>
      </x:c>
      <x:c r="N128" s="3" t="n">
        <x:f>SUM(N126:N127)</x:f>
        <x:v>3040243.13</x:v>
      </x:c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.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.75" hidden="0" customWidth="1"/>
    <x:col min="17" max="17" width="14.875" hidden="0" customWidth="1"/>
    <x:col min="18" max="18" width="9" hidden="0" customWidth="1"/>
    <x:col min="19" max="19" width="12.875" hidden="0" customWidth="1"/>
    <x:col min="20" max="20" width="15.75" hidden="0" customWidth="1"/>
    <x:col min="21" max="21" width="15.75" hidden="0" customWidth="1"/>
    <x:col min="22" max="22" width="18.25" hidden="0" customWidth="1"/>
    <x:col min="50" max="50" width="20" hidden="0" customWidth="1"/>
    <x:col min="51" max="51" width="65" hidden="0" customWidth="1"/>
    <x:col min="23" max="23" width="18.875" hidden="0" customWidth="1"/>
    <x:col min="24" max="24" width="11.625" hidden="0" customWidth="1"/>
    <x:col min="25" max="25" width="18.25" hidden="0" customWidth="1"/>
    <x:col min="26" max="26" width="18.25" hidden="0" customWidth="1"/>
    <x:col min="27" max="27" width="13" hidden="0" customWidth="1"/>
    <x:col min="28" max="28" width="13" hidden="0" customWidth="1"/>
    <x:col min="29" max="29" width="13.125" hidden="0" customWidth="1"/>
    <x:col min="30" max="30" width="13.125" hidden="0" customWidth="1"/>
    <x:col min="31" max="31" width="11.625" hidden="0" customWidth="1"/>
    <x:col min="32" max="32" width="11.625" hidden="0" customWidth="1"/>
    <x:col min="33" max="33" width="11.125" hidden="0" customWidth="1"/>
    <x:col min="34" max="34" width="14.6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 t="str">
        <x:v>电视剧</x:v>
      </x:c>
      <x:c r="C3" s="6"/>
      <x:c r="D3" s="6" t="str">
        <x:v>项目名称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2313.44</x:v>
      </x:c>
      <x:c r="D31" s="4" t="n">
        <x:v>2148.44</x:v>
      </x:c>
      <x:c r="E31" s="4" t="n">
        <x:v>2442.32</x:v>
      </x:c>
      <x:c r="F31" s="4" t="n">
        <x:v>1632.57</x:v>
      </x:c>
      <x:c r="G31" s="4" t="n">
        <x:v>2326.89</x:v>
      </x:c>
      <x:c r="H31" s="4" t="n">
        <x:v>2212.43</x:v>
      </x:c>
      <x:c r="I31" s="4" t="n">
        <x:v>1710.11</x:v>
      </x:c>
      <x:c r="J31" s="4" t="n">
        <x:v>2430.3</x:v>
      </x:c>
      <x:c r="K31" s="4" t="n">
        <x:v>2284.15</x:v>
      </x:c>
      <x:c r="L31" s="4" t="n">
        <x:v>1718.55</x:v>
      </x:c>
      <x:c r="M31" s="4" t="n">
        <x:v>1505.94</x:v>
      </x:c>
      <x:c r="N31" s="4" t="n">
        <x:v>1728.54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123.28</x:v>
      </x:c>
      <x:c r="D32" s="4" t="n">
        <x:v>119.32</x:v>
      </x:c>
      <x:c r="E32" s="4" t="n">
        <x:v>103.42</x:v>
      </x:c>
      <x:c r="F32" s="4" t="n">
        <x:v>95.21</x:v>
      </x:c>
      <x:c r="G32" s="4" t="n">
        <x:v>110.56</x:v>
      </x:c>
      <x:c r="H32" s="4" t="n">
        <x:v>108.73</x:v>
      </x:c>
      <x:c r="I32" s="4" t="n">
        <x:v>105.1</x:v>
      </x:c>
      <x:c r="J32" s="4" t="n">
        <x:v>114.73</x:v>
      </x:c>
      <x:c r="K32" s="4" t="n">
        <x:v>87.19</x:v>
      </x:c>
      <x:c r="L32" s="4" t="n">
        <x:v>83.27</x:v>
      </x:c>
      <x:c r="M32" s="4" t="n">
        <x:v>112.73</x:v>
      </x:c>
      <x:c r="N32" s="4" t="n">
        <x:v>121.28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285200.88</x:v>
      </x:c>
      <x:c r="D33" s="3" t="n">
        <x:f>ROUND(D31*D32,2)</x:f>
        <x:v>256351.86</x:v>
      </x:c>
      <x:c r="E33" s="3" t="n">
        <x:f>ROUND(E31*E32,2)</x:f>
        <x:v>252584.73</x:v>
      </x:c>
      <x:c r="F33" s="3" t="n">
        <x:f>ROUND(F31*F32,2)</x:f>
        <x:v>155436.99</x:v>
      </x:c>
      <x:c r="G33" s="3" t="n">
        <x:f>ROUND(G31*G32,2)</x:f>
        <x:v>257260.96</x:v>
      </x:c>
      <x:c r="H33" s="3" t="n">
        <x:f>ROUND(H31*H32,2)</x:f>
        <x:v>240557.51</x:v>
      </x:c>
      <x:c r="I33" s="3" t="n">
        <x:f>ROUND(I31*I32,2)</x:f>
        <x:v>179732.56</x:v>
      </x:c>
      <x:c r="J33" s="3" t="n">
        <x:f>ROUND(J31*J32,2)</x:f>
        <x:v>278828.32</x:v>
      </x:c>
      <x:c r="K33" s="3" t="n">
        <x:f>ROUND(K31*K32,2)</x:f>
        <x:v>199155.04</x:v>
      </x:c>
      <x:c r="L33" s="3" t="n">
        <x:f>ROUND(L31*L32,2)</x:f>
        <x:v>143103.66</x:v>
      </x:c>
      <x:c r="M33" s="3" t="n">
        <x:f>ROUND(M31*M32,2)</x:f>
        <x:v>169764.62</x:v>
      </x:c>
      <x:c r="N33" s="3" t="n">
        <x:f>ROUND(N31*N32,2)</x:f>
        <x:v>209637.33</x:v>
      </x:c>
      <x:c r="O33" s="3" t="n">
        <x:f>SUM(C33:N33)</x:f>
        <x:v>2627614.4600000004</x:v>
      </x:c>
      <x:c r="P33" s="2" t="str">
        <x:v>REV1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807.29</x:v>
      </x:c>
      <x:c r="D34" s="4" t="n">
        <x:v>818.42</x:v>
      </x:c>
      <x:c r="E34" s="4" t="n">
        <x:v>800.01</x:v>
      </x:c>
      <x:c r="F34" s="4" t="n">
        <x:v>709.15</x:v>
      </x:c>
      <x:c r="G34" s="4" t="n">
        <x:v>620.44</x:v>
      </x:c>
      <x:c r="H34" s="4" t="n">
        <x:v>700.23</x:v>
      </x:c>
      <x:c r="I34" s="4" t="n">
        <x:v>666.65</x:v>
      </x:c>
      <x:c r="J34" s="4" t="n">
        <x:v>590.29</x:v>
      </x:c>
      <x:c r="K34" s="4" t="n">
        <x:v>743.65</x:v>
      </x:c>
      <x:c r="L34" s="4" t="n">
        <x:v>652.08</x:v>
      </x:c>
      <x:c r="M34" s="4" t="n">
        <x:v>594.26</x:v>
      </x:c>
      <x:c r="N34" s="4" t="n">
        <x:v>702.02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123.28</x:v>
      </x:c>
      <x:c r="D35" s="3" t="n">
        <x:f>D32</x:f>
        <x:v>119.32</x:v>
      </x:c>
      <x:c r="E35" s="3" t="n">
        <x:f>E32</x:f>
        <x:v>103.42</x:v>
      </x:c>
      <x:c r="F35" s="3" t="n">
        <x:f>F32</x:f>
        <x:v>95.21</x:v>
      </x:c>
      <x:c r="G35" s="3" t="n">
        <x:f>G32</x:f>
        <x:v>110.56</x:v>
      </x:c>
      <x:c r="H35" s="3" t="n">
        <x:f>H32</x:f>
        <x:v>108.73</x:v>
      </x:c>
      <x:c r="I35" s="3" t="n">
        <x:f>I32</x:f>
        <x:v>105.1</x:v>
      </x:c>
      <x:c r="J35" s="3" t="n">
        <x:f>J32</x:f>
        <x:v>114.73</x:v>
      </x:c>
      <x:c r="K35" s="3" t="n">
        <x:f>K32</x:f>
        <x:v>87.19</x:v>
      </x:c>
      <x:c r="L35" s="3" t="n">
        <x:f>L32</x:f>
        <x:v>83.27</x:v>
      </x:c>
      <x:c r="M35" s="3" t="n">
        <x:f>M32</x:f>
        <x:v>112.73</x:v>
      </x:c>
      <x:c r="N35" s="3" t="n">
        <x:f>N32</x:f>
        <x:v>121.28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99522.71</x:v>
      </x:c>
      <x:c r="D36" s="3" t="n">
        <x:f>ROUND(D34*D35,2)</x:f>
        <x:v>97653.87</x:v>
      </x:c>
      <x:c r="E36" s="3" t="n">
        <x:f>ROUND(E34*E35,2)</x:f>
        <x:v>82737.03</x:v>
      </x:c>
      <x:c r="F36" s="3" t="n">
        <x:f>ROUND(F34*F35,2)</x:f>
        <x:v>67518.17</x:v>
      </x:c>
      <x:c r="G36" s="3" t="n">
        <x:f>ROUND(G34*G35,2)</x:f>
        <x:v>68595.85</x:v>
      </x:c>
      <x:c r="H36" s="3" t="n">
        <x:f>ROUND(H34*H35,2)</x:f>
        <x:v>76136.01</x:v>
      </x:c>
      <x:c r="I36" s="3" t="n">
        <x:f>ROUND(I34*I35,2)</x:f>
        <x:v>70064.91</x:v>
      </x:c>
      <x:c r="J36" s="3" t="n">
        <x:f>ROUND(J34*J35,2)</x:f>
        <x:v>67723.97</x:v>
      </x:c>
      <x:c r="K36" s="3" t="n">
        <x:f>ROUND(K34*K35,2)</x:f>
        <x:v>64838.84</x:v>
      </x:c>
      <x:c r="L36" s="3" t="n">
        <x:f>ROUND(L34*L35,2)</x:f>
        <x:v>54298.7</x:v>
      </x:c>
      <x:c r="M36" s="3" t="n">
        <x:f>ROUND(M34*M35,2)</x:f>
        <x:v>66990.93</x:v>
      </x:c>
      <x:c r="N36" s="3" t="n">
        <x:f>ROUND(N34*N35,2)</x:f>
        <x:v>85140.99</x:v>
      </x:c>
      <x:c r="O36" s="3" t="n">
        <x:f>SUM(C36:N36)</x:f>
        <x:v>901221.98</x:v>
      </x:c>
      <x:c r="P36" s="2" t="str">
        <x:v>COGS1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99522.71</x:v>
      </x:c>
      <x:c r="D37" s="3" t="n">
        <x:f>D36</x:f>
        <x:v>97653.87</x:v>
      </x:c>
      <x:c r="E37" s="3" t="n">
        <x:f>E36</x:f>
        <x:v>82737.03</x:v>
      </x:c>
      <x:c r="F37" s="3" t="n">
        <x:f>F36</x:f>
        <x:v>67518.17</x:v>
      </x:c>
      <x:c r="G37" s="3" t="n">
        <x:f>G36</x:f>
        <x:v>68595.85</x:v>
      </x:c>
      <x:c r="H37" s="3" t="n">
        <x:f>H36</x:f>
        <x:v>76136.01</x:v>
      </x:c>
      <x:c r="I37" s="3" t="n">
        <x:f>I36</x:f>
        <x:v>70064.91</x:v>
      </x:c>
      <x:c r="J37" s="3" t="n">
        <x:f>J36</x:f>
        <x:v>67723.97</x:v>
      </x:c>
      <x:c r="K37" s="3" t="n">
        <x:f>K36</x:f>
        <x:v>64838.84</x:v>
      </x:c>
      <x:c r="L37" s="3" t="n">
        <x:f>L36</x:f>
        <x:v>54298.7</x:v>
      </x:c>
      <x:c r="M37" s="3" t="n">
        <x:f>M36</x:f>
        <x:v>66990.93</x:v>
      </x:c>
      <x:c r="N37" s="3" t="n">
        <x:f>N36</x:f>
        <x:v>85140.99</x:v>
      </x:c>
      <x:c r="O37" s="3" t="n">
        <x:f>SUM(C37:N37)</x:f>
        <x:v>901221.98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实时经营（月度，元）</x:v>
      </x:c>
      <x:c r="C90" s="6" t="str">
        <x:v>2027-01</x:v>
      </x:c>
      <x:c r="D90" s="6" t="str">
        <x:v>2027-02</x:v>
      </x:c>
      <x:c r="E90" s="6" t="str">
        <x:v>2027-03</x:v>
      </x:c>
      <x:c r="F90" s="6" t="str">
        <x:v>2027-04</x:v>
      </x:c>
      <x:c r="G90" s="6" t="str">
        <x:v>2027-05</x:v>
      </x:c>
      <x:c r="H90" s="6" t="str">
        <x:v>2027-06</x:v>
      </x:c>
      <x:c r="I90" s="6" t="str">
        <x:v>2027-07</x:v>
      </x:c>
      <x:c r="J90" s="6" t="str">
        <x:v>2027-08</x:v>
      </x:c>
      <x:c r="K90" s="6" t="str">
        <x:v>2027-09</x:v>
      </x:c>
      <x:c r="L90" s="6" t="str">
        <x:v>2027-10</x:v>
      </x:c>
      <x:c r="M90" s="6" t="str">
        <x:v>2027-11</x:v>
      </x:c>
      <x:c r="N90" s="6" t="str">
        <x:v>2027-12</x:v>
      </x:c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授权单价</x:v>
      </x:c>
      <x:c r="C91" s="4" t="n">
        <x:v>1676.93</x:v>
      </x:c>
      <x:c r="D91" s="4" t="n">
        <x:v>2443.34</x:v>
      </x:c>
      <x:c r="E91" s="4" t="n">
        <x:v>1841.85</x:v>
      </x:c>
      <x:c r="F91" s="4" t="n">
        <x:v>2444.05</x:v>
      </x:c>
      <x:c r="G91" s="4" t="n">
        <x:v>2271.16</x:v>
      </x:c>
      <x:c r="H91" s="4" t="n">
        <x:v>2017.03</x:v>
      </x:c>
      <x:c r="I91" s="4" t="n">
        <x:v>1937.4</x:v>
      </x:c>
      <x:c r="J91" s="4" t="n">
        <x:v>1867.82</x:v>
      </x:c>
      <x:c r="K91" s="4" t="n">
        <x:v>1945.67</x:v>
      </x:c>
      <x:c r="L91" s="4" t="n">
        <x:v>2258.23</x:v>
      </x:c>
      <x:c r="M91" s="4" t="n">
        <x:v>1808.05</x:v>
      </x:c>
      <x:c r="N91" s="4" t="n">
        <x:v>1989.6</x:v>
      </x:c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授权数量</x:v>
      </x:c>
      <x:c r="C92" s="4" t="n">
        <x:v>122.71</x:v>
      </x:c>
      <x:c r="D92" s="4" t="n">
        <x:v>106.11</x:v>
      </x:c>
      <x:c r="E92" s="4" t="n">
        <x:v>124.18</x:v>
      </x:c>
      <x:c r="F92" s="4" t="n">
        <x:v>101.16</x:v>
      </x:c>
      <x:c r="G92" s="4" t="n">
        <x:v>117.96</x:v>
      </x:c>
      <x:c r="H92" s="4" t="n">
        <x:v>89.58</x:v>
      </x:c>
      <x:c r="I92" s="4" t="n">
        <x:v>127.23</x:v>
      </x:c>
      <x:c r="J92" s="4" t="n">
        <x:v>109.12</x:v>
      </x:c>
      <x:c r="K92" s="4" t="n">
        <x:v>108.87</x:v>
      </x:c>
      <x:c r="L92" s="4" t="n">
        <x:v>109.61</x:v>
      </x:c>
      <x:c r="M92" s="4" t="n">
        <x:v>105.36</x:v>
      </x:c>
      <x:c r="N92" s="4" t="n">
        <x:v>107.97</x:v>
      </x:c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营业收入</x:v>
      </x:c>
      <x:c r="C93" s="3" t="n">
        <x:f>ROUND(C91*C92,2)</x:f>
        <x:v>205776.08</x:v>
      </x:c>
      <x:c r="D93" s="3" t="n">
        <x:f>ROUND(D91*D92,2)</x:f>
        <x:v>259262.81</x:v>
      </x:c>
      <x:c r="E93" s="3" t="n">
        <x:f>ROUND(E91*E92,2)</x:f>
        <x:v>228720.93</x:v>
      </x:c>
      <x:c r="F93" s="3" t="n">
        <x:f>ROUND(F91*F92,2)</x:f>
        <x:v>247240.1</x:v>
      </x:c>
      <x:c r="G93" s="3" t="n">
        <x:f>ROUND(G91*G92,2)</x:f>
        <x:v>267906.03</x:v>
      </x:c>
      <x:c r="H93" s="3" t="n">
        <x:f>ROUND(H91*H92,2)</x:f>
        <x:v>180685.55</x:v>
      </x:c>
      <x:c r="I93" s="3" t="n">
        <x:f>ROUND(I91*I92,2)</x:f>
        <x:v>246495.4</x:v>
      </x:c>
      <x:c r="J93" s="3" t="n">
        <x:f>ROUND(J91*J92,2)</x:f>
        <x:v>203816.52</x:v>
      </x:c>
      <x:c r="K93" s="3" t="n">
        <x:f>ROUND(K91*K92,2)</x:f>
        <x:v>211825.09</x:v>
      </x:c>
      <x:c r="L93" s="3" t="n">
        <x:f>ROUND(L91*L92,2)</x:f>
        <x:v>247524.59</x:v>
      </x:c>
      <x:c r="M93" s="3" t="n">
        <x:f>ROUND(M91*M92,2)</x:f>
        <x:v>190496.15</x:v>
      </x:c>
      <x:c r="N93" s="3" t="n">
        <x:f>ROUND(N91*N92,2)</x:f>
        <x:v>214817.11</x:v>
      </x:c>
      <x:c r="O93" s="3" t="n">
        <x:f>SUM(C93:N93)</x:f>
        <x:v>2704566.36</x:v>
      </x:c>
      <x:c r="P93" s="2" t="str">
        <x:v>REV1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 t="str">
        <x:v>单位采购成本</x:v>
      </x:c>
      <x:c r="C94" s="4" t="n">
        <x:v>749.43</x:v>
      </x:c>
      <x:c r="D94" s="4" t="n">
        <x:v>748.44</x:v>
      </x:c>
      <x:c r="E94" s="4" t="n">
        <x:v>641.16</x:v>
      </x:c>
      <x:c r="F94" s="4" t="n">
        <x:v>539.36</x:v>
      </x:c>
      <x:c r="G94" s="4" t="n">
        <x:v>812.97</x:v>
      </x:c>
      <x:c r="H94" s="4" t="n">
        <x:v>559.96</x:v>
      </x:c>
      <x:c r="I94" s="4" t="n">
        <x:v>570.57</x:v>
      </x:c>
      <x:c r="J94" s="4" t="n">
        <x:v>572.03</x:v>
      </x:c>
      <x:c r="K94" s="4" t="n">
        <x:v>567.3</x:v>
      </x:c>
      <x:c r="L94" s="4" t="n">
        <x:v>698.88</x:v>
      </x:c>
      <x:c r="M94" s="4" t="n">
        <x:v>729.66</x:v>
      </x:c>
      <x:c r="N94" s="4" t="n">
        <x:v>613.78</x:v>
      </x:c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 t="str">
        <x:v>采购数量</x:v>
      </x:c>
      <x:c r="C95" s="3" t="n">
        <x:f>C92</x:f>
        <x:v>122.71</x:v>
      </x:c>
      <x:c r="D95" s="3" t="n">
        <x:f>D92</x:f>
        <x:v>106.11</x:v>
      </x:c>
      <x:c r="E95" s="3" t="n">
        <x:f>E92</x:f>
        <x:v>124.18</x:v>
      </x:c>
      <x:c r="F95" s="3" t="n">
        <x:f>F92</x:f>
        <x:v>101.16</x:v>
      </x:c>
      <x:c r="G95" s="3" t="n">
        <x:f>G92</x:f>
        <x:v>117.96</x:v>
      </x:c>
      <x:c r="H95" s="3" t="n">
        <x:f>H92</x:f>
        <x:v>89.58</x:v>
      </x:c>
      <x:c r="I95" s="3" t="n">
        <x:f>I92</x:f>
        <x:v>127.23</x:v>
      </x:c>
      <x:c r="J95" s="3" t="n">
        <x:f>J92</x:f>
        <x:v>109.12</x:v>
      </x:c>
      <x:c r="K95" s="3" t="n">
        <x:f>K92</x:f>
        <x:v>108.87</x:v>
      </x:c>
      <x:c r="L95" s="3" t="n">
        <x:f>L92</x:f>
        <x:v>109.61</x:v>
      </x:c>
      <x:c r="M95" s="3" t="n">
        <x:f>M92</x:f>
        <x:v>105.36</x:v>
      </x:c>
      <x:c r="N95" s="3" t="n">
        <x:f>N92</x:f>
        <x:v>107.97</x:v>
      </x:c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 t="str">
        <x:v>营业成本</x:v>
      </x:c>
      <x:c r="C96" s="3" t="n">
        <x:f>ROUND(C94*C95,2)</x:f>
        <x:v>91962.56</x:v>
      </x:c>
      <x:c r="D96" s="3" t="n">
        <x:f>ROUND(D94*D95,2)</x:f>
        <x:v>79416.97</x:v>
      </x:c>
      <x:c r="E96" s="3" t="n">
        <x:f>ROUND(E94*E95,2)</x:f>
        <x:v>79619.25</x:v>
      </x:c>
      <x:c r="F96" s="3" t="n">
        <x:f>ROUND(F94*F95,2)</x:f>
        <x:v>54561.66</x:v>
      </x:c>
      <x:c r="G96" s="3" t="n">
        <x:f>ROUND(G94*G95,2)</x:f>
        <x:v>95897.94</x:v>
      </x:c>
      <x:c r="H96" s="3" t="n">
        <x:f>ROUND(H94*H95,2)</x:f>
        <x:v>50161.22</x:v>
      </x:c>
      <x:c r="I96" s="3" t="n">
        <x:f>ROUND(I94*I95,2)</x:f>
        <x:v>72593.62</x:v>
      </x:c>
      <x:c r="J96" s="3" t="n">
        <x:f>ROUND(J94*J95,2)</x:f>
        <x:v>62419.91</x:v>
      </x:c>
      <x:c r="K96" s="3" t="n">
        <x:f>ROUND(K94*K95,2)</x:f>
        <x:v>61761.95</x:v>
      </x:c>
      <x:c r="L96" s="3" t="n">
        <x:f>ROUND(L94*L95,2)</x:f>
        <x:v>76604.24</x:v>
      </x:c>
      <x:c r="M96" s="3" t="n">
        <x:f>ROUND(M94*M95,2)</x:f>
        <x:v>76876.98</x:v>
      </x:c>
      <x:c r="N96" s="3" t="n">
        <x:f>ROUND(N94*N95,2)</x:f>
        <x:v>66269.83</x:v>
      </x:c>
      <x:c r="O96" s="3" t="n">
        <x:f>SUM(C96:N96)</x:f>
        <x:v>868146.1299999999</x:v>
      </x:c>
      <x:c r="P96" s="2" t="str">
        <x:v>COGS1</x:v>
      </x:c>
      <x:c r="Q96" s="2" t="str">
        <x:v>演示占位-v1</x:v>
      </x:c>
      <x:c r="R96" s="2" t="str">
        <x:v>模拟权责发生制</x:v>
      </x:c>
      <x:c r="S96" s="2" t="str">
        <x:v>2027-01</x:v>
      </x:c>
      <x:c r="T96" s="2" t="str">
        <x:v>2027-06</x:v>
      </x:c>
      <x:c r="U96" s="2" t="str">
        <x:v>无</x:v>
      </x:c>
      <x:c r="V96" s="2" t="str">
        <x:v>无</x:v>
      </x:c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 t="str">
        <x:v>采购金额（占位）</x:v>
      </x:c>
      <x:c r="C97" s="3" t="n">
        <x:f>C96</x:f>
        <x:v>91962.56</x:v>
      </x:c>
      <x:c r="D97" s="3" t="n">
        <x:f>D96</x:f>
        <x:v>79416.97</x:v>
      </x:c>
      <x:c r="E97" s="3" t="n">
        <x:f>E96</x:f>
        <x:v>79619.25</x:v>
      </x:c>
      <x:c r="F97" s="3" t="n">
        <x:f>F96</x:f>
        <x:v>54561.66</x:v>
      </x:c>
      <x:c r="G97" s="3" t="n">
        <x:f>G96</x:f>
        <x:v>95897.94</x:v>
      </x:c>
      <x:c r="H97" s="3" t="n">
        <x:f>H96</x:f>
        <x:v>50161.22</x:v>
      </x:c>
      <x:c r="I97" s="3" t="n">
        <x:f>I96</x:f>
        <x:v>72593.62</x:v>
      </x:c>
      <x:c r="J97" s="3" t="n">
        <x:f>J96</x:f>
        <x:v>62419.91</x:v>
      </x:c>
      <x:c r="K97" s="3" t="n">
        <x:f>K96</x:f>
        <x:v>61761.95</x:v>
      </x:c>
      <x:c r="L97" s="3" t="n">
        <x:f>L96</x:f>
        <x:v>76604.24</x:v>
      </x:c>
      <x:c r="M97" s="3" t="n">
        <x:f>M96</x:f>
        <x:v>76876.98</x:v>
      </x:c>
      <x:c r="N97" s="3" t="n">
        <x:f>N96</x:f>
        <x:v>66269.83</x:v>
      </x:c>
      <x:c r="O97" s="3" t="n">
        <x:f>SUM(C97:N97)</x:f>
        <x:v>868146.1299999999</x:v>
      </x:c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N3:O3"/>
    <x:mergeCell ref="R3:S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11.125" hidden="0" customWidth="1"/>
    <x:col min="18" max="18" width="11.125" hidden="0" customWidth="1"/>
    <x:col min="19" max="19" width="14.625" hidden="0" customWidth="1"/>
    <x:col min="20" max="20" width="17.25" hidden="0" customWidth="1"/>
    <x:col min="21" max="21" width="20" hidden="0" customWidth="1"/>
    <x:col min="22" max="22" width="17.25" hidden="0" customWidth="1"/>
    <x:col min="50" max="50" width="20" hidden="0" customWidth="1"/>
    <x:col min="51" max="51" width="65" hidden="0" customWidth="1"/>
    <x:col min="23" max="23" width="13" hidden="0" customWidth="1"/>
    <x:col min="24" max="24" width="13" hidden="0" customWidth="1"/>
    <x:col min="25" max="25" width="13" hidden="0" customWidth="1"/>
    <x:col min="26" max="26" width="17.25" hidden="0" customWidth="1"/>
    <x:col min="27" max="27" width="17.25" hidden="0" customWidth="1"/>
    <x:col min="28" max="28" width="17.25" hidden="0" customWidth="1"/>
    <x:col min="29" max="29" width="17.25" hidden="0" customWidth="1"/>
    <x:col min="30" max="30" width="17.25" hidden="0" customWidth="1"/>
    <x:col min="31" max="31" width="17.25" hidden="0" customWidth="1"/>
    <x:col min="32" max="32" width="16.12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项目名称</x:v>
      </x:c>
      <x:c r="C2" s="3"/>
      <x:c r="D2" s="3" t="str">
        <x:v>投资比例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 t="str">
        <x:v>成本</x:v>
      </x:c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 t="str">
        <x:v>2027-01</x:v>
      </x:c>
      <x:c r="D30" s="6" t="str">
        <x:v>2027-02</x:v>
      </x:c>
      <x:c r="E30" s="6" t="str">
        <x:v>2027-03</x:v>
      </x:c>
      <x:c r="F30" s="6" t="str">
        <x:v>2027-04</x:v>
      </x:c>
      <x:c r="G30" s="6" t="str">
        <x:v>2027-05</x:v>
      </x:c>
      <x:c r="H30" s="6" t="str">
        <x:v>2027-06</x:v>
      </x:c>
      <x:c r="I30" s="6" t="str">
        <x:v>2027-07</x:v>
      </x:c>
      <x:c r="J30" s="6" t="str">
        <x:v>2027-08</x:v>
      </x:c>
      <x:c r="K30" s="6" t="str">
        <x:v>2027-09</x:v>
      </x:c>
      <x:c r="L30" s="6" t="str">
        <x:v>2027-10</x:v>
      </x:c>
      <x:c r="M30" s="6" t="str">
        <x:v>2027-11</x:v>
      </x:c>
      <x:c r="N30" s="6" t="str">
        <x:v>2027-12</x:v>
      </x:c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授权单价</x:v>
      </x:c>
      <x:c r="C31" s="4" t="n">
        <x:v>1818.12</x:v>
      </x:c>
      <x:c r="D31" s="4" t="n">
        <x:v>1765.74</x:v>
      </x:c>
      <x:c r="E31" s="4" t="n">
        <x:v>2026.79</x:v>
      </x:c>
      <x:c r="F31" s="4" t="n">
        <x:v>2211.12</x:v>
      </x:c>
      <x:c r="G31" s="4" t="n">
        <x:v>2357.44</x:v>
      </x:c>
      <x:c r="H31" s="4" t="n">
        <x:v>1888.94</x:v>
      </x:c>
      <x:c r="I31" s="4" t="n">
        <x:v>1919.18</x:v>
      </x:c>
      <x:c r="J31" s="4" t="n">
        <x:v>1965.16</x:v>
      </x:c>
      <x:c r="K31" s="4" t="n">
        <x:v>1847.13</x:v>
      </x:c>
      <x:c r="L31" s="4" t="n">
        <x:v>2488.05</x:v>
      </x:c>
      <x:c r="M31" s="4" t="n">
        <x:v>1630.39</x:v>
      </x:c>
      <x:c r="N31" s="4" t="n">
        <x:v>1773.58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授权数量</x:v>
      </x:c>
      <x:c r="C32" s="4" t="n">
        <x:v>84.49</x:v>
      </x:c>
      <x:c r="D32" s="4" t="n">
        <x:v>100.33</x:v>
      </x:c>
      <x:c r="E32" s="4" t="n">
        <x:v>127</x:v>
      </x:c>
      <x:c r="F32" s="4" t="n">
        <x:v>98.89</x:v>
      </x:c>
      <x:c r="G32" s="4" t="n">
        <x:v>117.11</x:v>
      </x:c>
      <x:c r="H32" s="4" t="n">
        <x:v>96.9</x:v>
      </x:c>
      <x:c r="I32" s="4" t="n">
        <x:v>122.24</x:v>
      </x:c>
      <x:c r="J32" s="4" t="n">
        <x:v>108.75</x:v>
      </x:c>
      <x:c r="K32" s="4" t="n">
        <x:v>88.09</x:v>
      </x:c>
      <x:c r="L32" s="4" t="n">
        <x:v>94.42</x:v>
      </x:c>
      <x:c r="M32" s="4" t="n">
        <x:v>103.02</x:v>
      </x:c>
      <x:c r="N32" s="4" t="n">
        <x:v>122.27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营业收入</x:v>
      </x:c>
      <x:c r="C33" s="3" t="n">
        <x:f>ROUND(C31*C32,2)</x:f>
        <x:v>153612.96</x:v>
      </x:c>
      <x:c r="D33" s="3" t="n">
        <x:f>ROUND(D31*D32,2)</x:f>
        <x:v>177156.69</x:v>
      </x:c>
      <x:c r="E33" s="3" t="n">
        <x:f>ROUND(E31*E32,2)</x:f>
        <x:v>257402.33</x:v>
      </x:c>
      <x:c r="F33" s="3" t="n">
        <x:f>ROUND(F31*F32,2)</x:f>
        <x:v>218657.66</x:v>
      </x:c>
      <x:c r="G33" s="3" t="n">
        <x:f>ROUND(G31*G32,2)</x:f>
        <x:v>276079.8</x:v>
      </x:c>
      <x:c r="H33" s="3" t="n">
        <x:f>ROUND(H31*H32,2)</x:f>
        <x:v>183038.29</x:v>
      </x:c>
      <x:c r="I33" s="3" t="n">
        <x:f>ROUND(I31*I32,2)</x:f>
        <x:v>234600.56</x:v>
      </x:c>
      <x:c r="J33" s="3" t="n">
        <x:f>ROUND(J31*J32,2)</x:f>
        <x:v>213711.15</x:v>
      </x:c>
      <x:c r="K33" s="3" t="n">
        <x:f>ROUND(K31*K32,2)</x:f>
        <x:v>162713.68</x:v>
      </x:c>
      <x:c r="L33" s="3" t="n">
        <x:f>ROUND(L31*L32,2)</x:f>
        <x:v>234921.68</x:v>
      </x:c>
      <x:c r="M33" s="3" t="n">
        <x:f>ROUND(M31*M32,2)</x:f>
        <x:v>167962.78</x:v>
      </x:c>
      <x:c r="N33" s="3" t="n">
        <x:f>ROUND(N31*N32,2)</x:f>
        <x:v>216855.63</x:v>
      </x:c>
      <x:c r="O33" s="3" t="n">
        <x:f>SUM(C33:N33)</x:f>
        <x:v>2496713.2099999995</x:v>
      </x:c>
      <x:c r="P33" s="2" t="str">
        <x:v>REV2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单位采购成本</x:v>
      </x:c>
      <x:c r="C34" s="4" t="n">
        <x:v>640.3</x:v>
      </x:c>
      <x:c r="D34" s="4" t="n">
        <x:v>693.86</x:v>
      </x:c>
      <x:c r="E34" s="4" t="n">
        <x:v>825.82</x:v>
      </x:c>
      <x:c r="F34" s="4" t="n">
        <x:v>618.45</x:v>
      </x:c>
      <x:c r="G34" s="4" t="n">
        <x:v>571.61</x:v>
      </x:c>
      <x:c r="H34" s="4" t="n">
        <x:v>639.07</x:v>
      </x:c>
      <x:c r="I34" s="4" t="n">
        <x:v>641.92</x:v>
      </x:c>
      <x:c r="J34" s="4" t="n">
        <x:v>550.55</x:v>
      </x:c>
      <x:c r="K34" s="4" t="n">
        <x:v>735.14</x:v>
      </x:c>
      <x:c r="L34" s="4" t="n">
        <x:v>696.18</x:v>
      </x:c>
      <x:c r="M34" s="4" t="n">
        <x:v>662.45</x:v>
      </x:c>
      <x:c r="N34" s="4" t="n">
        <x:v>634.16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采购数量</x:v>
      </x:c>
      <x:c r="C35" s="3" t="n">
        <x:f>C32</x:f>
        <x:v>84.49</x:v>
      </x:c>
      <x:c r="D35" s="3" t="n">
        <x:f>D32</x:f>
        <x:v>100.33</x:v>
      </x:c>
      <x:c r="E35" s="3" t="n">
        <x:f>E32</x:f>
        <x:v>127</x:v>
      </x:c>
      <x:c r="F35" s="3" t="n">
        <x:f>F32</x:f>
        <x:v>98.89</x:v>
      </x:c>
      <x:c r="G35" s="3" t="n">
        <x:f>G32</x:f>
        <x:v>117.11</x:v>
      </x:c>
      <x:c r="H35" s="3" t="n">
        <x:f>H32</x:f>
        <x:v>96.9</x:v>
      </x:c>
      <x:c r="I35" s="3" t="n">
        <x:f>I32</x:f>
        <x:v>122.24</x:v>
      </x:c>
      <x:c r="J35" s="3" t="n">
        <x:f>J32</x:f>
        <x:v>108.75</x:v>
      </x:c>
      <x:c r="K35" s="3" t="n">
        <x:f>K32</x:f>
        <x:v>88.09</x:v>
      </x:c>
      <x:c r="L35" s="3" t="n">
        <x:f>L32</x:f>
        <x:v>94.42</x:v>
      </x:c>
      <x:c r="M35" s="3" t="n">
        <x:f>M32</x:f>
        <x:v>103.02</x:v>
      </x:c>
      <x:c r="N35" s="3" t="n">
        <x:f>N32</x:f>
        <x:v>122.27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营业成本</x:v>
      </x:c>
      <x:c r="C36" s="3" t="n">
        <x:f>ROUND(C34*C35,2)</x:f>
        <x:v>54098.95</x:v>
      </x:c>
      <x:c r="D36" s="3" t="n">
        <x:f>ROUND(D34*D35,2)</x:f>
        <x:v>69614.97</x:v>
      </x:c>
      <x:c r="E36" s="3" t="n">
        <x:f>ROUND(E34*E35,2)</x:f>
        <x:v>104879.14</x:v>
      </x:c>
      <x:c r="F36" s="3" t="n">
        <x:f>ROUND(F34*F35,2)</x:f>
        <x:v>61158.52</x:v>
      </x:c>
      <x:c r="G36" s="3" t="n">
        <x:f>ROUND(G34*G35,2)</x:f>
        <x:v>66941.25</x:v>
      </x:c>
      <x:c r="H36" s="3" t="n">
        <x:f>ROUND(H34*H35,2)</x:f>
        <x:v>61925.88</x:v>
      </x:c>
      <x:c r="I36" s="3" t="n">
        <x:f>ROUND(I34*I35,2)</x:f>
        <x:v>78468.3</x:v>
      </x:c>
      <x:c r="J36" s="3" t="n">
        <x:f>ROUND(J34*J35,2)</x:f>
        <x:v>59872.31</x:v>
      </x:c>
      <x:c r="K36" s="3" t="n">
        <x:f>ROUND(K34*K35,2)</x:f>
        <x:v>64758.48</x:v>
      </x:c>
      <x:c r="L36" s="3" t="n">
        <x:f>ROUND(L34*L35,2)</x:f>
        <x:v>65733.32</x:v>
      </x:c>
      <x:c r="M36" s="3" t="n">
        <x:f>ROUND(M34*M35,2)</x:f>
        <x:v>68245.6</x:v>
      </x:c>
      <x:c r="N36" s="3" t="n">
        <x:f>ROUND(N34*N35,2)</x:f>
        <x:v>77538.74</x:v>
      </x:c>
      <x:c r="O36" s="3" t="n">
        <x:f>SUM(C36:N36)</x:f>
        <x:v>833235.4600000001</x:v>
      </x:c>
      <x:c r="P36" s="2" t="str">
        <x:v>COGS2</x:v>
      </x:c>
      <x:c r="Q36" s="2" t="str">
        <x:v>演示占位-v1</x:v>
      </x:c>
      <x:c r="R36" s="2" t="str">
        <x:v>模拟权责发生制</x:v>
      </x:c>
      <x:c r="S36" s="2" t="str">
        <x:v>2027-01</x:v>
      </x:c>
      <x:c r="T36" s="2" t="str">
        <x:v>2027-06</x:v>
      </x:c>
      <x:c r="U36" s="2" t="str">
        <x:v>无</x:v>
      </x:c>
      <x:c r="V36" s="2" t="str">
        <x:v>无</x:v>
      </x:c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 t="str">
        <x:v>采购金额（占位）</x:v>
      </x:c>
      <x:c r="C37" s="3" t="n">
        <x:f>C36</x:f>
        <x:v>54098.95</x:v>
      </x:c>
      <x:c r="D37" s="3" t="n">
        <x:f>D36</x:f>
        <x:v>69614.97</x:v>
      </x:c>
      <x:c r="E37" s="3" t="n">
        <x:f>E36</x:f>
        <x:v>104879.14</x:v>
      </x:c>
      <x:c r="F37" s="3" t="n">
        <x:f>F36</x:f>
        <x:v>61158.52</x:v>
      </x:c>
      <x:c r="G37" s="3" t="n">
        <x:f>G36</x:f>
        <x:v>66941.25</x:v>
      </x:c>
      <x:c r="H37" s="3" t="n">
        <x:f>H36</x:f>
        <x:v>61925.88</x:v>
      </x:c>
      <x:c r="I37" s="3" t="n">
        <x:f>I36</x:f>
        <x:v>78468.3</x:v>
      </x:c>
      <x:c r="J37" s="3" t="n">
        <x:f>J36</x:f>
        <x:v>59872.31</x:v>
      </x:c>
      <x:c r="K37" s="3" t="n">
        <x:f>K36</x:f>
        <x:v>64758.48</x:v>
      </x:c>
      <x:c r="L37" s="3" t="n">
        <x:f>L36</x:f>
        <x:v>65733.32</x:v>
      </x:c>
      <x:c r="M37" s="3" t="n">
        <x:f>M36</x:f>
        <x:v>68245.6</x:v>
      </x:c>
      <x:c r="N37" s="3" t="n">
        <x:f>N36</x:f>
        <x:v>77538.74</x:v>
      </x:c>
      <x:c r="O37" s="3" t="n">
        <x:f>SUM(C37:N37)</x:f>
        <x:v>833235.4600000001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实时经营（月度，元）</x:v>
      </x:c>
      <x:c r="C90" s="6" t="str">
        <x:v>2027-01</x:v>
      </x:c>
      <x:c r="D90" s="6" t="str">
        <x:v>2027-02</x:v>
      </x:c>
      <x:c r="E90" s="6" t="str">
        <x:v>2027-03</x:v>
      </x:c>
      <x:c r="F90" s="6" t="str">
        <x:v>2027-04</x:v>
      </x:c>
      <x:c r="G90" s="6" t="str">
        <x:v>2027-05</x:v>
      </x:c>
      <x:c r="H90" s="6" t="str">
        <x:v>2027-06</x:v>
      </x:c>
      <x:c r="I90" s="6" t="str">
        <x:v>2027-07</x:v>
      </x:c>
      <x:c r="J90" s="6" t="str">
        <x:v>2027-08</x:v>
      </x:c>
      <x:c r="K90" s="6" t="str">
        <x:v>2027-09</x:v>
      </x:c>
      <x:c r="L90" s="6" t="str">
        <x:v>2027-10</x:v>
      </x:c>
      <x:c r="M90" s="6" t="str">
        <x:v>2027-11</x:v>
      </x:c>
      <x:c r="N90" s="6" t="str">
        <x:v>2027-12</x:v>
      </x:c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授权单价</x:v>
      </x:c>
      <x:c r="C91" s="4" t="n">
        <x:v>1849.13</x:v>
      </x:c>
      <x:c r="D91" s="4" t="n">
        <x:v>2327.02</x:v>
      </x:c>
      <x:c r="E91" s="4" t="n">
        <x:v>2176.75</x:v>
      </x:c>
      <x:c r="F91" s="4" t="n">
        <x:v>2200.18</x:v>
      </x:c>
      <x:c r="G91" s="4" t="n">
        <x:v>2454.92</x:v>
      </x:c>
      <x:c r="H91" s="4" t="n">
        <x:v>1849.08</x:v>
      </x:c>
      <x:c r="I91" s="4" t="n">
        <x:v>2449.97</x:v>
      </x:c>
      <x:c r="J91" s="4" t="n">
        <x:v>1597.63</x:v>
      </x:c>
      <x:c r="K91" s="4" t="n">
        <x:v>2397.71</x:v>
      </x:c>
      <x:c r="L91" s="4" t="n">
        <x:v>1774.5</x:v>
      </x:c>
      <x:c r="M91" s="4" t="n">
        <x:v>2441.06</x:v>
      </x:c>
      <x:c r="N91" s="4" t="n">
        <x:v>1995.61</x:v>
      </x:c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授权数量</x:v>
      </x:c>
      <x:c r="C92" s="4" t="n">
        <x:v>125.42</x:v>
      </x:c>
      <x:c r="D92" s="4" t="n">
        <x:v>101.92</x:v>
      </x:c>
      <x:c r="E92" s="4" t="n">
        <x:v>110.02</x:v>
      </x:c>
      <x:c r="F92" s="4" t="n">
        <x:v>110.48</x:v>
      </x:c>
      <x:c r="G92" s="4" t="n">
        <x:v>118.93</x:v>
      </x:c>
      <x:c r="H92" s="4" t="n">
        <x:v>122.5</x:v>
      </x:c>
      <x:c r="I92" s="4" t="n">
        <x:v>118.3</x:v>
      </x:c>
      <x:c r="J92" s="4" t="n">
        <x:v>114.6</x:v>
      </x:c>
      <x:c r="K92" s="4" t="n">
        <x:v>109.14</x:v>
      </x:c>
      <x:c r="L92" s="4" t="n">
        <x:v>121.08</x:v>
      </x:c>
      <x:c r="M92" s="4" t="n">
        <x:v>124.49</x:v>
      </x:c>
      <x:c r="N92" s="4" t="n">
        <x:v>106.16</x:v>
      </x:c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营业收入</x:v>
      </x:c>
      <x:c r="C93" s="3" t="n">
        <x:f>ROUND(C91*C92,2)</x:f>
        <x:v>231917.88</x:v>
      </x:c>
      <x:c r="D93" s="3" t="n">
        <x:f>ROUND(D91*D92,2)</x:f>
        <x:v>237169.88</x:v>
      </x:c>
      <x:c r="E93" s="3" t="n">
        <x:f>ROUND(E91*E92,2)</x:f>
        <x:v>239486.04</x:v>
      </x:c>
      <x:c r="F93" s="3" t="n">
        <x:f>ROUND(F91*F92,2)</x:f>
        <x:v>243075.89</x:v>
      </x:c>
      <x:c r="G93" s="3" t="n">
        <x:f>ROUND(G91*G92,2)</x:f>
        <x:v>291963.64</x:v>
      </x:c>
      <x:c r="H93" s="3" t="n">
        <x:f>ROUND(H91*H92,2)</x:f>
        <x:v>226512.3</x:v>
      </x:c>
      <x:c r="I93" s="3" t="n">
        <x:f>ROUND(I91*I92,2)</x:f>
        <x:v>289831.45</x:v>
      </x:c>
      <x:c r="J93" s="3" t="n">
        <x:f>ROUND(J91*J92,2)</x:f>
        <x:v>183088.4</x:v>
      </x:c>
      <x:c r="K93" s="3" t="n">
        <x:f>ROUND(K91*K92,2)</x:f>
        <x:v>261686.07</x:v>
      </x:c>
      <x:c r="L93" s="3" t="n">
        <x:f>ROUND(L91*L92,2)</x:f>
        <x:v>214856.46</x:v>
      </x:c>
      <x:c r="M93" s="3" t="n">
        <x:f>ROUND(M91*M92,2)</x:f>
        <x:v>303887.56</x:v>
      </x:c>
      <x:c r="N93" s="3" t="n">
        <x:f>ROUND(N91*N92,2)</x:f>
        <x:v>211853.96</x:v>
      </x:c>
      <x:c r="O93" s="3" t="n">
        <x:f>SUM(C93:N93)</x:f>
        <x:v>2935329.53</x:v>
      </x:c>
      <x:c r="P93" s="2" t="str">
        <x:v>REV2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 t="str">
        <x:v>单位采购成本</x:v>
      </x:c>
      <x:c r="C94" s="4" t="n">
        <x:v>681.29</x:v>
      </x:c>
      <x:c r="D94" s="4" t="n">
        <x:v>637.18</x:v>
      </x:c>
      <x:c r="E94" s="4" t="n">
        <x:v>640.66</x:v>
      </x:c>
      <x:c r="F94" s="4" t="n">
        <x:v>677.58</x:v>
      </x:c>
      <x:c r="G94" s="4" t="n">
        <x:v>599.59</x:v>
      </x:c>
      <x:c r="H94" s="4" t="n">
        <x:v>586.47</x:v>
      </x:c>
      <x:c r="I94" s="4" t="n">
        <x:v>797.37</x:v>
      </x:c>
      <x:c r="J94" s="4" t="n">
        <x:v>571.13</x:v>
      </x:c>
      <x:c r="K94" s="4" t="n">
        <x:v>670.08</x:v>
      </x:c>
      <x:c r="L94" s="4" t="n">
        <x:v>703.48</x:v>
      </x:c>
      <x:c r="M94" s="4" t="n">
        <x:v>811.81</x:v>
      </x:c>
      <x:c r="N94" s="4" t="n">
        <x:v>679.29</x:v>
      </x:c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 t="str">
        <x:v>采购数量</x:v>
      </x:c>
      <x:c r="C95" s="3" t="n">
        <x:f>C92</x:f>
        <x:v>125.42</x:v>
      </x:c>
      <x:c r="D95" s="3" t="n">
        <x:f>D92</x:f>
        <x:v>101.92</x:v>
      </x:c>
      <x:c r="E95" s="3" t="n">
        <x:f>E92</x:f>
        <x:v>110.02</x:v>
      </x:c>
      <x:c r="F95" s="3" t="n">
        <x:f>F92</x:f>
        <x:v>110.48</x:v>
      </x:c>
      <x:c r="G95" s="3" t="n">
        <x:f>G92</x:f>
        <x:v>118.93</x:v>
      </x:c>
      <x:c r="H95" s="3" t="n">
        <x:f>H92</x:f>
        <x:v>122.5</x:v>
      </x:c>
      <x:c r="I95" s="3" t="n">
        <x:f>I92</x:f>
        <x:v>118.3</x:v>
      </x:c>
      <x:c r="J95" s="3" t="n">
        <x:f>J92</x:f>
        <x:v>114.6</x:v>
      </x:c>
      <x:c r="K95" s="3" t="n">
        <x:f>K92</x:f>
        <x:v>109.14</x:v>
      </x:c>
      <x:c r="L95" s="3" t="n">
        <x:f>L92</x:f>
        <x:v>121.08</x:v>
      </x:c>
      <x:c r="M95" s="3" t="n">
        <x:f>M92</x:f>
        <x:v>124.49</x:v>
      </x:c>
      <x:c r="N95" s="3" t="n">
        <x:f>N92</x:f>
        <x:v>106.16</x:v>
      </x:c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 t="str">
        <x:v>营业成本</x:v>
      </x:c>
      <x:c r="C96" s="3" t="n">
        <x:f>ROUND(C94*C95,2)</x:f>
        <x:v>85447.39</x:v>
      </x:c>
      <x:c r="D96" s="3" t="n">
        <x:f>ROUND(D94*D95,2)</x:f>
        <x:v>64941.39</x:v>
      </x:c>
      <x:c r="E96" s="3" t="n">
        <x:f>ROUND(E94*E95,2)</x:f>
        <x:v>70485.41</x:v>
      </x:c>
      <x:c r="F96" s="3" t="n">
        <x:f>ROUND(F94*F95,2)</x:f>
        <x:v>74859.04</x:v>
      </x:c>
      <x:c r="G96" s="3" t="n">
        <x:f>ROUND(G94*G95,2)</x:f>
        <x:v>71309.24</x:v>
      </x:c>
      <x:c r="H96" s="3" t="n">
        <x:f>ROUND(H94*H95,2)</x:f>
        <x:v>71842.58</x:v>
      </x:c>
      <x:c r="I96" s="3" t="n">
        <x:f>ROUND(I94*I95,2)</x:f>
        <x:v>94328.87</x:v>
      </x:c>
      <x:c r="J96" s="3" t="n">
        <x:f>ROUND(J94*J95,2)</x:f>
        <x:v>65451.5</x:v>
      </x:c>
      <x:c r="K96" s="3" t="n">
        <x:f>ROUND(K94*K95,2)</x:f>
        <x:v>73132.53</x:v>
      </x:c>
      <x:c r="L96" s="3" t="n">
        <x:f>ROUND(L94*L95,2)</x:f>
        <x:v>85177.36</x:v>
      </x:c>
      <x:c r="M96" s="3" t="n">
        <x:f>ROUND(M94*M95,2)</x:f>
        <x:v>101062.23</x:v>
      </x:c>
      <x:c r="N96" s="3" t="n">
        <x:f>ROUND(N94*N95,2)</x:f>
        <x:v>72113.43</x:v>
      </x:c>
      <x:c r="O96" s="3" t="n">
        <x:f>SUM(C96:N96)</x:f>
        <x:v>930150.97</x:v>
      </x:c>
      <x:c r="P96" s="2" t="str">
        <x:v>COGS2</x:v>
      </x:c>
      <x:c r="Q96" s="2" t="str">
        <x:v>演示占位-v1</x:v>
      </x:c>
      <x:c r="R96" s="2" t="str">
        <x:v>模拟权责发生制</x:v>
      </x:c>
      <x:c r="S96" s="2" t="str">
        <x:v>2027-01</x:v>
      </x:c>
      <x:c r="T96" s="2" t="str">
        <x:v>2027-06</x:v>
      </x:c>
      <x:c r="U96" s="2" t="str">
        <x:v>无</x:v>
      </x:c>
      <x:c r="V96" s="2" t="str">
        <x:v>无</x:v>
      </x:c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 t="str">
        <x:v>采购金额（占位）</x:v>
      </x:c>
      <x:c r="C97" s="3" t="n">
        <x:f>C96</x:f>
        <x:v>85447.39</x:v>
      </x:c>
      <x:c r="D97" s="3" t="n">
        <x:f>D96</x:f>
        <x:v>64941.39</x:v>
      </x:c>
      <x:c r="E97" s="3" t="n">
        <x:f>E96</x:f>
        <x:v>70485.41</x:v>
      </x:c>
      <x:c r="F97" s="3" t="n">
        <x:f>F96</x:f>
        <x:v>74859.04</x:v>
      </x:c>
      <x:c r="G97" s="3" t="n">
        <x:f>G96</x:f>
        <x:v>71309.24</x:v>
      </x:c>
      <x:c r="H97" s="3" t="n">
        <x:f>H96</x:f>
        <x:v>71842.58</x:v>
      </x:c>
      <x:c r="I97" s="3" t="n">
        <x:f>I96</x:f>
        <x:v>94328.87</x:v>
      </x:c>
      <x:c r="J97" s="3" t="n">
        <x:f>J96</x:f>
        <x:v>65451.5</x:v>
      </x:c>
      <x:c r="K97" s="3" t="n">
        <x:f>K96</x:f>
        <x:v>73132.53</x:v>
      </x:c>
      <x:c r="L97" s="3" t="n">
        <x:f>L96</x:f>
        <x:v>85177.36</x:v>
      </x:c>
      <x:c r="M97" s="3" t="n">
        <x:f>M96</x:f>
        <x:v>101062.23</x:v>
      </x:c>
      <x:c r="N97" s="3" t="n">
        <x:f>N96</x:f>
        <x:v>72113.43</x:v>
      </x:c>
      <x:c r="O97" s="3" t="n">
        <x:f>SUM(C97:N97)</x:f>
        <x:v>930150.97</x:v>
      </x:c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L2:M2"/>
    <x:mergeCell ref="P2:Q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税金及附加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预算基础（月度，元）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综合附加率（演示假设）</x:v>
      </x:c>
      <x:c r="C31" s="4" t="n">
        <x:v>0.0074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计税收入</x:v>
      </x:c>
      <x:c r="C32" s="3" t="n">
        <x:f>'收入非主控'!C33+'收入主控'!C33</x:f>
        <x:v>438813.83999999997</x:v>
      </x:c>
      <x:c r="D32" s="3" t="n">
        <x:f>'收入非主控'!D33+'收入主控'!D33</x:f>
        <x:v>433508.55</x:v>
      </x:c>
      <x:c r="E32" s="3" t="n">
        <x:f>'收入非主控'!E33+'收入主控'!E33</x:f>
        <x:v>509987.06</x:v>
      </x:c>
      <x:c r="F32" s="3" t="n">
        <x:f>'收入非主控'!F33+'收入主控'!F33</x:f>
        <x:v>374094.65</x:v>
      </x:c>
      <x:c r="G32" s="3" t="n">
        <x:f>'收入非主控'!G33+'收入主控'!G33</x:f>
        <x:v>533340.76</x:v>
      </x:c>
      <x:c r="H32" s="3" t="n">
        <x:f>'收入非主控'!H33+'收入主控'!H33</x:f>
        <x:v>423595.80000000005</x:v>
      </x:c>
      <x:c r="I32" s="3" t="n">
        <x:f>'收入非主控'!I33+'收入主控'!I33</x:f>
        <x:v>414333.12</x:v>
      </x:c>
      <x:c r="J32" s="3" t="n">
        <x:f>'收入非主控'!J33+'收入主控'!J33</x:f>
        <x:v>492539.47</x:v>
      </x:c>
      <x:c r="K32" s="3" t="n">
        <x:f>'收入非主控'!K33+'收入主控'!K33</x:f>
        <x:v>361868.72</x:v>
      </x:c>
      <x:c r="L32" s="3" t="n">
        <x:f>'收入非主控'!L33+'收入主控'!L33</x:f>
        <x:v>378025.33999999997</x:v>
      </x:c>
      <x:c r="M32" s="3" t="n">
        <x:f>'收入非主控'!M33+'收入主控'!M33</x:f>
        <x:v>337727.4</x:v>
      </x:c>
      <x:c r="N32" s="3" t="n">
        <x:f>'收入非主控'!N33+'收入主控'!N33</x:f>
        <x:v>426492.95999999996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税金及附加</x:v>
      </x:c>
      <x:c r="C33" s="3" t="n">
        <x:f>ROUND(C32*$C$31,2)</x:f>
        <x:v>3247.22</x:v>
      </x:c>
      <x:c r="D33" s="3" t="n">
        <x:f>ROUND(D32*$C$31,2)</x:f>
        <x:v>3207.96</x:v>
      </x:c>
      <x:c r="E33" s="3" t="n">
        <x:f>ROUND(E32*$C$31,2)</x:f>
        <x:v>3773.9</x:v>
      </x:c>
      <x:c r="F33" s="3" t="n">
        <x:f>ROUND(F32*$C$31,2)</x:f>
        <x:v>2768.3</x:v>
      </x:c>
      <x:c r="G33" s="3" t="n">
        <x:f>ROUND(G32*$C$31,2)</x:f>
        <x:v>3946.72</x:v>
      </x:c>
      <x:c r="H33" s="3" t="n">
        <x:f>ROUND(H32*$C$31,2)</x:f>
        <x:v>3134.61</x:v>
      </x:c>
      <x:c r="I33" s="3" t="n">
        <x:f>ROUND(I32*$C$31,2)</x:f>
        <x:v>3066.07</x:v>
      </x:c>
      <x:c r="J33" s="3" t="n">
        <x:f>ROUND(J32*$C$31,2)</x:f>
        <x:v>3644.79</x:v>
      </x:c>
      <x:c r="K33" s="3" t="n">
        <x:f>ROUND(K32*$C$31,2)</x:f>
        <x:v>2677.83</x:v>
      </x:c>
      <x:c r="L33" s="3" t="n">
        <x:f>ROUND(L32*$C$31,2)</x:f>
        <x:v>2797.39</x:v>
      </x:c>
      <x:c r="M33" s="3" t="n">
        <x:f>ROUND(M32*$C$31,2)</x:f>
        <x:v>2499.18</x:v>
      </x:c>
      <x:c r="N33" s="3" t="n">
        <x:f>ROUND(N32*$C$31,2)</x:f>
        <x:v>3156.05</x:v>
      </x:c>
      <x:c r="O33" s="3"/>
      <x:c r="P33" s="2" t="str">
        <x:v>TAX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实时经营（月度，元）</x:v>
      </x:c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综合附加率（演示假设）</x:v>
      </x:c>
      <x:c r="C91" s="4" t="n">
        <x:v>0.00634</x:v>
      </x:c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计税收入</x:v>
      </x:c>
      <x:c r="C92" s="3" t="n">
        <x:f>'收入非主控'!C93+'收入主控'!C93</x:f>
        <x:v>437693.95999999996</x:v>
      </x:c>
      <x:c r="D92" s="3" t="n">
        <x:f>'收入非主控'!D93+'收入主控'!D93</x:f>
        <x:v>496432.69</x:v>
      </x:c>
      <x:c r="E92" s="3" t="n">
        <x:f>'收入非主控'!E93+'收入主控'!E93</x:f>
        <x:v>468206.97</x:v>
      </x:c>
      <x:c r="F92" s="3" t="n">
        <x:f>'收入非主控'!F93+'收入主控'!F93</x:f>
        <x:v>490315.99</x:v>
      </x:c>
      <x:c r="G92" s="3" t="n">
        <x:f>'收入非主控'!G93+'收入主控'!G93</x:f>
        <x:v>559869.67</x:v>
      </x:c>
      <x:c r="H92" s="3" t="n">
        <x:f>'收入非主控'!H93+'收入主控'!H93</x:f>
        <x:v>407197.85</x:v>
      </x:c>
      <x:c r="I92" s="3" t="n">
        <x:f>'收入非主控'!I93+'收入主控'!I93</x:f>
        <x:v>536326.85</x:v>
      </x:c>
      <x:c r="J92" s="3" t="n">
        <x:f>'收入非主控'!J93+'收入主控'!J93</x:f>
        <x:v>386904.92</x:v>
      </x:c>
      <x:c r="K92" s="3" t="n">
        <x:f>'收入非主控'!K93+'收入主控'!K93</x:f>
        <x:v>473511.16000000003</x:v>
      </x:c>
      <x:c r="L92" s="3" t="n">
        <x:f>'收入非主控'!L93+'收入主控'!L93</x:f>
        <x:v>462381.05</x:v>
      </x:c>
      <x:c r="M92" s="3" t="n">
        <x:f>'收入非主控'!M93+'收入主控'!M93</x:f>
        <x:v>494383.70999999996</x:v>
      </x:c>
      <x:c r="N92" s="3" t="n">
        <x:f>'收入非主控'!N93+'收入主控'!N93</x:f>
        <x:v>426671.06999999995</x:v>
      </x:c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税金及附加</x:v>
      </x:c>
      <x:c r="C93" s="3" t="n">
        <x:f>ROUND(C92*$C$91,2)</x:f>
        <x:v>2774.98</x:v>
      </x:c>
      <x:c r="D93" s="3" t="n">
        <x:f>ROUND(D92*$C$91,2)</x:f>
        <x:v>3147.38</x:v>
      </x:c>
      <x:c r="E93" s="3" t="n">
        <x:f>ROUND(E92*$C$91,2)</x:f>
        <x:v>2968.43</x:v>
      </x:c>
      <x:c r="F93" s="3" t="n">
        <x:f>ROUND(F92*$C$91,2)</x:f>
        <x:v>3108.6</x:v>
      </x:c>
      <x:c r="G93" s="3" t="n">
        <x:f>ROUND(G92*$C$91,2)</x:f>
        <x:v>3549.57</x:v>
      </x:c>
      <x:c r="H93" s="3" t="n">
        <x:f>ROUND(H92*$C$91,2)</x:f>
        <x:v>2581.63</x:v>
      </x:c>
      <x:c r="I93" s="3" t="n">
        <x:f>ROUND(I92*$C$91,2)</x:f>
        <x:v>3400.31</x:v>
      </x:c>
      <x:c r="J93" s="3" t="n">
        <x:f>ROUND(J92*$C$91,2)</x:f>
        <x:v>2452.98</x:v>
      </x:c>
      <x:c r="K93" s="3" t="n">
        <x:f>ROUND(K92*$C$91,2)</x:f>
        <x:v>3002.06</x:v>
      </x:c>
      <x:c r="L93" s="3" t="n">
        <x:f>ROUND(L92*$C$91,2)</x:f>
        <x:v>2931.5</x:v>
      </x:c>
      <x:c r="M93" s="3" t="n">
        <x:f>ROUND(M92*$C$91,2)</x:f>
        <x:v>3134.39</x:v>
      </x:c>
      <x:c r="N93" s="3" t="n">
        <x:f>ROUND(N92*$C$91,2)</x:f>
        <x:v>2705.09</x:v>
      </x:c>
      <x:c r="O93" s="3"/>
      <x:c r="P93" s="2" t="str">
        <x:v>TAX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.875" hidden="0" customWidth="1"/>
    <x:col min="17" max="17" width="9" hidden="0" customWidth="1"/>
    <x:col min="18" max="18" width="9.625" hidden="0" customWidth="1"/>
    <x:col min="19" max="19" width="9" hidden="0" customWidth="1"/>
    <x:col min="20" max="20" width="9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销售费用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64.65</x:v>
      </x:c>
      <x:c r="D4" s="3" t="n">
        <x:f>ROUND(D204*D324,2)</x:f>
        <x:v>102.84</x:v>
      </x:c>
      <x:c r="E4" s="3" t="n">
        <x:f>ROUND(E204*E324,2)</x:f>
        <x:v>336.62</x:v>
      </x:c>
      <x:c r="F4" s="3" t="n">
        <x:f>ROUND(F204*F324,2)</x:f>
        <x:v>49.27</x:v>
      </x:c>
      <x:c r="G4" s="3" t="n">
        <x:f>ROUND(G204*G324,2)</x:f>
        <x:v>282.69</x:v>
      </x:c>
      <x:c r="H4" s="3" t="n">
        <x:f>ROUND(H204*H324,2)</x:f>
        <x:v>160.45</x:v>
      </x:c>
      <x:c r="I4" s="3" t="n">
        <x:f>ROUND(I204*I324,2)</x:f>
        <x:v>297.64</x:v>
      </x:c>
      <x:c r="J4" s="3" t="n">
        <x:f>ROUND(J204*J324,2)</x:f>
        <x:v>430.45</x:v>
      </x:c>
      <x:c r="K4" s="3" t="n">
        <x:f>ROUND(K204*K324,2)</x:f>
        <x:v>252.12</x:v>
      </x:c>
      <x:c r="L4" s="3" t="n">
        <x:f>ROUND(L204*L324,2)</x:f>
        <x:v>322.1</x:v>
      </x:c>
      <x:c r="M4" s="3" t="n">
        <x:f>ROUND(M204*M324,2)</x:f>
        <x:v>113.1</x:v>
      </x:c>
      <x:c r="N4" s="3" t="n">
        <x:f>ROUND(N204*N324,2)</x:f>
        <x:v>122.38</x:v>
      </x:c>
      <x:c r="O4" s="3" t="n">
        <x:f>SUM(C4:N4)</x:f>
        <x:v>2534.31</x:v>
      </x:c>
      <x:c r="P4" s="2" t="str">
        <x:v>EXP1.004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313.79</x:v>
      </x:c>
      <x:c r="D5" s="3" t="n">
        <x:f>ROUND(D205*D325,2)</x:f>
        <x:v>75.11</x:v>
      </x:c>
      <x:c r="E5" s="3" t="n">
        <x:f>ROUND(E205*E325,2)</x:f>
        <x:v>393.33</x:v>
      </x:c>
      <x:c r="F5" s="3" t="n">
        <x:f>ROUND(F205*F325,2)</x:f>
        <x:v>221.07</x:v>
      </x:c>
      <x:c r="G5" s="3" t="n">
        <x:f>ROUND(G205*G325,2)</x:f>
        <x:v>438.18</x:v>
      </x:c>
      <x:c r="H5" s="3" t="n">
        <x:f>ROUND(H205*H325,2)</x:f>
        <x:v>182.42</x:v>
      </x:c>
      <x:c r="I5" s="3" t="n">
        <x:f>ROUND(I205*I325,2)</x:f>
        <x:v>315.37</x:v>
      </x:c>
      <x:c r="J5" s="3" t="n">
        <x:f>ROUND(J205*J325,2)</x:f>
        <x:v>77.48</x:v>
      </x:c>
      <x:c r="K5" s="3" t="n">
        <x:f>ROUND(K205*K325,2)</x:f>
        <x:v>424.57</x:v>
      </x:c>
      <x:c r="L5" s="3" t="n">
        <x:f>ROUND(L205*L325,2)</x:f>
        <x:v>109.09</x:v>
      </x:c>
      <x:c r="M5" s="3" t="n">
        <x:f>ROUND(M205*M325,2)</x:f>
        <x:v>118.46</x:v>
      </x:c>
      <x:c r="N5" s="3" t="n">
        <x:f>ROUND(N205*N325,2)</x:f>
        <x:v>126.86</x:v>
      </x:c>
      <x:c r="O5" s="3" t="n">
        <x:f>SUM(C5:N5)</x:f>
        <x:v>2795.7300000000005</x:v>
      </x:c>
      <x:c r="P5" s="2" t="str">
        <x:v>EXP1.005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229.55</x:v>
      </x:c>
      <x:c r="D6" s="3" t="n">
        <x:f>ROUND(D206*D326,2)</x:f>
        <x:v>175.04</x:v>
      </x:c>
      <x:c r="E6" s="3" t="n">
        <x:f>ROUND(E206*E326,2)</x:f>
        <x:v>118.7</x:v>
      </x:c>
      <x:c r="F6" s="3" t="n">
        <x:f>ROUND(F206*F326,2)</x:f>
        <x:v>118.44</x:v>
      </x:c>
      <x:c r="G6" s="3" t="n">
        <x:f>ROUND(G206*G326,2)</x:f>
        <x:v>425.15</x:v>
      </x:c>
      <x:c r="H6" s="3" t="n">
        <x:f>ROUND(H206*H326,2)</x:f>
        <x:v>143.03</x:v>
      </x:c>
      <x:c r="I6" s="3" t="n">
        <x:f>ROUND(I206*I326,2)</x:f>
        <x:v>264.41</x:v>
      </x:c>
      <x:c r="J6" s="3" t="n">
        <x:f>ROUND(J206*J326,2)</x:f>
        <x:v>377.52</x:v>
      </x:c>
      <x:c r="K6" s="3" t="n">
        <x:f>ROUND(K206*K326,2)</x:f>
        <x:v>240.9</x:v>
      </x:c>
      <x:c r="L6" s="3" t="n">
        <x:f>ROUND(L206*L326,2)</x:f>
        <x:v>190.4</x:v>
      </x:c>
      <x:c r="M6" s="3" t="n">
        <x:f>ROUND(M206*M326,2)</x:f>
        <x:v>222.99</x:v>
      </x:c>
      <x:c r="N6" s="3" t="n">
        <x:f>ROUND(N206*N326,2)</x:f>
        <x:v>161.42</x:v>
      </x:c>
      <x:c r="O6" s="3" t="n">
        <x:f>SUM(C6:N6)</x:f>
        <x:v>2667.55</x:v>
      </x:c>
      <x:c r="P6" s="2" t="str">
        <x:v>EXP1.006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242.15</x:v>
      </x:c>
      <x:c r="D7" s="3" t="n">
        <x:f>ROUND(D207*D327,2)</x:f>
        <x:v>189.38</x:v>
      </x:c>
      <x:c r="E7" s="3" t="n">
        <x:f>ROUND(E207*E327,2)</x:f>
        <x:v>123.54</x:v>
      </x:c>
      <x:c r="F7" s="3" t="n">
        <x:f>ROUND(F207*F327,2)</x:f>
        <x:v>262.31</x:v>
      </x:c>
      <x:c r="G7" s="3" t="n">
        <x:f>ROUND(G207*G327,2)</x:f>
        <x:v>436.46</x:v>
      </x:c>
      <x:c r="H7" s="3" t="n">
        <x:f>ROUND(H207*H327,2)</x:f>
        <x:v>128.06</x:v>
      </x:c>
      <x:c r="I7" s="3" t="n">
        <x:f>ROUND(I207*I327,2)</x:f>
        <x:v>503.85</x:v>
      </x:c>
      <x:c r="J7" s="3" t="n">
        <x:f>ROUND(J207*J327,2)</x:f>
        <x:v>335.38</x:v>
      </x:c>
      <x:c r="K7" s="3" t="n">
        <x:f>ROUND(K207*K327,2)</x:f>
        <x:v>138.02</x:v>
      </x:c>
      <x:c r="L7" s="3" t="n">
        <x:f>ROUND(L207*L327,2)</x:f>
        <x:v>83.77</x:v>
      </x:c>
      <x:c r="M7" s="3" t="n">
        <x:f>ROUND(M207*M327,2)</x:f>
        <x:v>369.61</x:v>
      </x:c>
      <x:c r="N7" s="3" t="n">
        <x:f>ROUND(N207*N327,2)</x:f>
        <x:v>319.5</x:v>
      </x:c>
      <x:c r="O7" s="3" t="n">
        <x:f>SUM(C7:N7)</x:f>
        <x:v>3132.03</x:v>
      </x:c>
      <x:c r="P7" s="2" t="str">
        <x:v>EXP1.007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434.69</x:v>
      </x:c>
      <x:c r="D8" s="3" t="n">
        <x:f>ROUND(D208*D328,2)</x:f>
        <x:v>383.76</x:v>
      </x:c>
      <x:c r="E8" s="3" t="n">
        <x:f>ROUND(E208*E328,2)</x:f>
        <x:v>171.14</x:v>
      </x:c>
      <x:c r="F8" s="3" t="n">
        <x:f>ROUND(F208*F328,2)</x:f>
        <x:v>108.88</x:v>
      </x:c>
      <x:c r="G8" s="3" t="n">
        <x:f>ROUND(G208*G328,2)</x:f>
        <x:v>194.38</x:v>
      </x:c>
      <x:c r="H8" s="3" t="n">
        <x:f>ROUND(H208*H328,2)</x:f>
        <x:v>312.04</x:v>
      </x:c>
      <x:c r="I8" s="3" t="n">
        <x:f>ROUND(I208*I328,2)</x:f>
        <x:v>120.41</x:v>
      </x:c>
      <x:c r="J8" s="3" t="n">
        <x:f>ROUND(J208*J328,2)</x:f>
        <x:v>127.5</x:v>
      </x:c>
      <x:c r="K8" s="3" t="n">
        <x:f>ROUND(K208*K328,2)</x:f>
        <x:v>297.31</x:v>
      </x:c>
      <x:c r="L8" s="3" t="n">
        <x:f>ROUND(L208*L328,2)</x:f>
        <x:v>213.06</x:v>
      </x:c>
      <x:c r="M8" s="3" t="n">
        <x:f>ROUND(M208*M328,2)</x:f>
        <x:v>210.72</x:v>
      </x:c>
      <x:c r="N8" s="3" t="n">
        <x:f>ROUND(N208*N328,2)</x:f>
        <x:v>168.56</x:v>
      </x:c>
      <x:c r="O8" s="3" t="n">
        <x:f>SUM(C8:N8)</x:f>
        <x:v>2742.45</x:v>
      </x:c>
      <x:c r="P8" s="2" t="str">
        <x:v>EXP1.008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113.16</x:v>
      </x:c>
      <x:c r="D9" s="3" t="n">
        <x:f>ROUND(D209*D329,2)</x:f>
        <x:v>314.01</x:v>
      </x:c>
      <x:c r="E9" s="3" t="n">
        <x:f>ROUND(E209*E329,2)</x:f>
        <x:v>263.47</x:v>
      </x:c>
      <x:c r="F9" s="3" t="n">
        <x:f>ROUND(F209*F329,2)</x:f>
        <x:v>137.65</x:v>
      </x:c>
      <x:c r="G9" s="3" t="n">
        <x:f>ROUND(G209*G329,2)</x:f>
        <x:v>267.9</x:v>
      </x:c>
      <x:c r="H9" s="3" t="n">
        <x:f>ROUND(H209*H329,2)</x:f>
        <x:v>266.21</x:v>
      </x:c>
      <x:c r="I9" s="3" t="n">
        <x:f>ROUND(I209*I329,2)</x:f>
        <x:v>196.31</x:v>
      </x:c>
      <x:c r="J9" s="3" t="n">
        <x:f>ROUND(J209*J329,2)</x:f>
        <x:v>127.16</x:v>
      </x:c>
      <x:c r="K9" s="3" t="n">
        <x:f>ROUND(K209*K329,2)</x:f>
        <x:v>150.86</x:v>
      </x:c>
      <x:c r="L9" s="3" t="n">
        <x:f>ROUND(L209*L329,2)</x:f>
        <x:v>141.22</x:v>
      </x:c>
      <x:c r="M9" s="3" t="n">
        <x:f>ROUND(M209*M329,2)</x:f>
        <x:v>325.61</x:v>
      </x:c>
      <x:c r="N9" s="3" t="n">
        <x:f>ROUND(N209*N329,2)</x:f>
        <x:v>403.15</x:v>
      </x:c>
      <x:c r="O9" s="3" t="n">
        <x:f>SUM(C9:N9)</x:f>
        <x:v>2706.71</x:v>
      </x:c>
      <x:c r="P9" s="2" t="str">
        <x:v>EXP1.009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171.64</x:v>
      </x:c>
      <x:c r="D10" s="3" t="n">
        <x:f>ROUND(D210*D330,2)</x:f>
        <x:v>418.55</x:v>
      </x:c>
      <x:c r="E10" s="3" t="n">
        <x:f>ROUND(E210*E330,2)</x:f>
        <x:v>420.04</x:v>
      </x:c>
      <x:c r="F10" s="3" t="n">
        <x:f>ROUND(F210*F330,2)</x:f>
        <x:v>306.99</x:v>
      </x:c>
      <x:c r="G10" s="3" t="n">
        <x:f>ROUND(G210*G330,2)</x:f>
        <x:v>47.61</x:v>
      </x:c>
      <x:c r="H10" s="3" t="n">
        <x:f>ROUND(H210*H330,2)</x:f>
        <x:v>339.75</x:v>
      </x:c>
      <x:c r="I10" s="3" t="n">
        <x:f>ROUND(I210*I330,2)</x:f>
        <x:v>158.35</x:v>
      </x:c>
      <x:c r="J10" s="3" t="n">
        <x:f>ROUND(J210*J330,2)</x:f>
        <x:v>262.34</x:v>
      </x:c>
      <x:c r="K10" s="3" t="n">
        <x:f>ROUND(K210*K330,2)</x:f>
        <x:v>297.18</x:v>
      </x:c>
      <x:c r="L10" s="3" t="n">
        <x:f>ROUND(L210*L330,2)</x:f>
        <x:v>417.06</x:v>
      </x:c>
      <x:c r="M10" s="3" t="n">
        <x:f>ROUND(M210*M330,2)</x:f>
        <x:v>138.74</x:v>
      </x:c>
      <x:c r="N10" s="3" t="n">
        <x:f>ROUND(N210*N330,2)</x:f>
        <x:v>226.38</x:v>
      </x:c>
      <x:c r="O10" s="3" t="n">
        <x:f>SUM(C10:N10)</x:f>
        <x:v>3204.63</x:v>
      </x:c>
      <x:c r="P10" s="2" t="str">
        <x:v>EXP1.010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169.05</x:v>
      </x:c>
      <x:c r="D11" s="3" t="n">
        <x:f>ROUND(D211*D331,2)</x:f>
        <x:v>410.62</x:v>
      </x:c>
      <x:c r="E11" s="3" t="n">
        <x:f>ROUND(E211*E331,2)</x:f>
        <x:v>219.73</x:v>
      </x:c>
      <x:c r="F11" s="3" t="n">
        <x:f>ROUND(F211*F331,2)</x:f>
        <x:v>188.19</x:v>
      </x:c>
      <x:c r="G11" s="3" t="n">
        <x:f>ROUND(G211*G331,2)</x:f>
        <x:v>274.72</x:v>
      </x:c>
      <x:c r="H11" s="3" t="n">
        <x:f>ROUND(H211*H331,2)</x:f>
        <x:v>579.31</x:v>
      </x:c>
      <x:c r="I11" s="3" t="n">
        <x:f>ROUND(I211*I331,2)</x:f>
        <x:v>416.98</x:v>
      </x:c>
      <x:c r="J11" s="3" t="n">
        <x:f>ROUND(J211*J331,2)</x:f>
        <x:v>172</x:v>
      </x:c>
      <x:c r="K11" s="3" t="n">
        <x:f>ROUND(K211*K331,2)</x:f>
        <x:v>104.57</x:v>
      </x:c>
      <x:c r="L11" s="3" t="n">
        <x:f>ROUND(L211*L331,2)</x:f>
        <x:v>74.2</x:v>
      </x:c>
      <x:c r="M11" s="3" t="n">
        <x:f>ROUND(M211*M331,2)</x:f>
        <x:v>238.42</x:v>
      </x:c>
      <x:c r="N11" s="3" t="n">
        <x:f>ROUND(N211*N331,2)</x:f>
        <x:v>421.16</x:v>
      </x:c>
      <x:c r="O11" s="3" t="n">
        <x:f>SUM(C11:N11)</x:f>
        <x:v>3268.9500000000003</x:v>
      </x:c>
      <x:c r="P11" s="2" t="str">
        <x:v>EXP1.011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169.51</x:v>
      </x:c>
      <x:c r="D12" s="3" t="n">
        <x:f>ROUND(D212*D332,2)</x:f>
        <x:v>103.38</x:v>
      </x:c>
      <x:c r="E12" s="3" t="n">
        <x:f>ROUND(E212*E332,2)</x:f>
        <x:v>510.08</x:v>
      </x:c>
      <x:c r="F12" s="3" t="n">
        <x:f>ROUND(F212*F332,2)</x:f>
        <x:v>227.32</x:v>
      </x:c>
      <x:c r="G12" s="3" t="n">
        <x:f>ROUND(G212*G332,2)</x:f>
        <x:v>288.1</x:v>
      </x:c>
      <x:c r="H12" s="3" t="n">
        <x:f>ROUND(H212*H332,2)</x:f>
        <x:v>408.26</x:v>
      </x:c>
      <x:c r="I12" s="3" t="n">
        <x:f>ROUND(I212*I332,2)</x:f>
        <x:v>141.9</x:v>
      </x:c>
      <x:c r="J12" s="3" t="n">
        <x:f>ROUND(J212*J332,2)</x:f>
        <x:v>99.72</x:v>
      </x:c>
      <x:c r="K12" s="3" t="n">
        <x:f>ROUND(K212*K332,2)</x:f>
        <x:v>232.59</x:v>
      </x:c>
      <x:c r="L12" s="3" t="n">
        <x:f>ROUND(L212*L332,2)</x:f>
        <x:v>473.25</x:v>
      </x:c>
      <x:c r="M12" s="3" t="n">
        <x:f>ROUND(M212*M332,2)</x:f>
        <x:v>405.47</x:v>
      </x:c>
      <x:c r="N12" s="3" t="n">
        <x:f>ROUND(N212*N332,2)</x:f>
        <x:v>139.01</x:v>
      </x:c>
      <x:c r="O12" s="3" t="n">
        <x:f>SUM(C12:N12)</x:f>
        <x:v>3198.59</x:v>
      </x:c>
      <x:c r="P12" s="2" t="str">
        <x:v>EXP1.012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594.82</x:v>
      </x:c>
      <x:c r="D13" s="3" t="n">
        <x:f>ROUND(D213*D333,2)</x:f>
        <x:v>134.14</x:v>
      </x:c>
      <x:c r="E13" s="3" t="n">
        <x:f>ROUND(E213*E333,2)</x:f>
        <x:v>141.01</x:v>
      </x:c>
      <x:c r="F13" s="3" t="n">
        <x:f>ROUND(F213*F333,2)</x:f>
        <x:v>230.28</x:v>
      </x:c>
      <x:c r="G13" s="3" t="n">
        <x:f>ROUND(G213*G333,2)</x:f>
        <x:v>95.49</x:v>
      </x:c>
      <x:c r="H13" s="3" t="n">
        <x:f>ROUND(H213*H333,2)</x:f>
        <x:v>105.6</x:v>
      </x:c>
      <x:c r="I13" s="3" t="n">
        <x:f>ROUND(I213*I333,2)</x:f>
        <x:v>277.72</x:v>
      </x:c>
      <x:c r="J13" s="3" t="n">
        <x:f>ROUND(J213*J333,2)</x:f>
        <x:v>159.21</x:v>
      </x:c>
      <x:c r="K13" s="3" t="n">
        <x:f>ROUND(K213*K333,2)</x:f>
        <x:v>195.04</x:v>
      </x:c>
      <x:c r="L13" s="3" t="n">
        <x:f>ROUND(L213*L333,2)</x:f>
        <x:v>445.2</x:v>
      </x:c>
      <x:c r="M13" s="3" t="n">
        <x:f>ROUND(M213*M333,2)</x:f>
        <x:v>137.14</x:v>
      </x:c>
      <x:c r="N13" s="3" t="n">
        <x:f>ROUND(N213*N333,2)</x:f>
        <x:v>185.53</x:v>
      </x:c>
      <x:c r="O13" s="3" t="n">
        <x:f>SUM(C13:N13)</x:f>
        <x:v>2701.18</x:v>
      </x:c>
      <x:c r="P13" s="2" t="str">
        <x:v>EXP1.013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60.01</x:v>
      </x:c>
      <x:c r="D14" s="3" t="n">
        <x:f>ROUND(D214*D334,2)</x:f>
        <x:v>317.12</x:v>
      </x:c>
      <x:c r="E14" s="3" t="n">
        <x:f>ROUND(E214*E334,2)</x:f>
        <x:v>383.8</x:v>
      </x:c>
      <x:c r="F14" s="3" t="n">
        <x:f>ROUND(F214*F334,2)</x:f>
        <x:v>308.05</x:v>
      </x:c>
      <x:c r="G14" s="3" t="n">
        <x:f>ROUND(G214*G334,2)</x:f>
        <x:v>47.47</x:v>
      </x:c>
      <x:c r="H14" s="3" t="n">
        <x:f>ROUND(H214*H334,2)</x:f>
        <x:v>199.76</x:v>
      </x:c>
      <x:c r="I14" s="3" t="n">
        <x:f>ROUND(I214*I334,2)</x:f>
        <x:v>373.87</x:v>
      </x:c>
      <x:c r="J14" s="3" t="n">
        <x:f>ROUND(J214*J334,2)</x:f>
        <x:v>200.38</x:v>
      </x:c>
      <x:c r="K14" s="3" t="n">
        <x:f>ROUND(K214*K334,2)</x:f>
        <x:v>414.99</x:v>
      </x:c>
      <x:c r="L14" s="3" t="n">
        <x:f>ROUND(L214*L334,2)</x:f>
        <x:v>234.06</x:v>
      </x:c>
      <x:c r="M14" s="3" t="n">
        <x:f>ROUND(M214*M334,2)</x:f>
        <x:v>217.96</x:v>
      </x:c>
      <x:c r="N14" s="3" t="n">
        <x:f>ROUND(N214*N334,2)</x:f>
        <x:v>118.73</x:v>
      </x:c>
      <x:c r="O14" s="3" t="n">
        <x:f>SUM(C14:N14)</x:f>
        <x:v>2876.2</x:v>
      </x:c>
      <x:c r="P14" s="2" t="str">
        <x:v>EXP1.014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241.77</x:v>
      </x:c>
      <x:c r="D15" s="3" t="n">
        <x:f>ROUND(D215*D335,2)</x:f>
        <x:v>162.57</x:v>
      </x:c>
      <x:c r="E15" s="3" t="n">
        <x:f>ROUND(E215*E335,2)</x:f>
        <x:v>338.58</x:v>
      </x:c>
      <x:c r="F15" s="3" t="n">
        <x:f>ROUND(F215*F335,2)</x:f>
        <x:v>66.14</x:v>
      </x:c>
      <x:c r="G15" s="3" t="n">
        <x:f>ROUND(G215*G335,2)</x:f>
        <x:v>83.36</x:v>
      </x:c>
      <x:c r="H15" s="3" t="n">
        <x:f>ROUND(H215*H335,2)</x:f>
        <x:v>125.14</x:v>
      </x:c>
      <x:c r="I15" s="3" t="n">
        <x:f>ROUND(I215*I335,2)</x:f>
        <x:v>105.92</x:v>
      </x:c>
      <x:c r="J15" s="3" t="n">
        <x:f>ROUND(J215*J335,2)</x:f>
        <x:v>195.21</x:v>
      </x:c>
      <x:c r="K15" s="3" t="n">
        <x:f>ROUND(K215*K335,2)</x:f>
        <x:v>118.14</x:v>
      </x:c>
      <x:c r="L15" s="3" t="n">
        <x:f>ROUND(L215*L335,2)</x:f>
        <x:v>241.9</x:v>
      </x:c>
      <x:c r="M15" s="3" t="n">
        <x:f>ROUND(M215*M335,2)</x:f>
        <x:v>225.79</x:v>
      </x:c>
      <x:c r="N15" s="3" t="n">
        <x:f>ROUND(N215*N335,2)</x:f>
        <x:v>358.97</x:v>
      </x:c>
      <x:c r="O15" s="3" t="n">
        <x:f>SUM(C15:N15)</x:f>
        <x:v>2263.4900000000002</x:v>
      </x:c>
      <x:c r="P15" s="2" t="str">
        <x:v>EXP1.015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254.42</x:v>
      </x:c>
      <x:c r="D16" s="3" t="n">
        <x:f>ROUND(D216*D336,2)</x:f>
        <x:v>117.31</x:v>
      </x:c>
      <x:c r="E16" s="3" t="n">
        <x:f>ROUND(E216*E336,2)</x:f>
        <x:v>273.32</x:v>
      </x:c>
      <x:c r="F16" s="3" t="n">
        <x:f>ROUND(F216*F336,2)</x:f>
        <x:v>386.61</x:v>
      </x:c>
      <x:c r="G16" s="3" t="n">
        <x:f>ROUND(G216*G336,2)</x:f>
        <x:v>148.99</x:v>
      </x:c>
      <x:c r="H16" s="3" t="n">
        <x:f>ROUND(H216*H336,2)</x:f>
        <x:v>259.96</x:v>
      </x:c>
      <x:c r="I16" s="3" t="n">
        <x:f>ROUND(I216*I336,2)</x:f>
        <x:v>89.85</x:v>
      </x:c>
      <x:c r="J16" s="3" t="n">
        <x:f>ROUND(J216*J336,2)</x:f>
        <x:v>252.41</x:v>
      </x:c>
      <x:c r="K16" s="3" t="n">
        <x:f>ROUND(K216*K336,2)</x:f>
        <x:v>225.94</x:v>
      </x:c>
      <x:c r="L16" s="3" t="n">
        <x:f>ROUND(L216*L336,2)</x:f>
        <x:v>394.68</x:v>
      </x:c>
      <x:c r="M16" s="3" t="n">
        <x:f>ROUND(M216*M336,2)</x:f>
        <x:v>142.35</x:v>
      </x:c>
      <x:c r="N16" s="3" t="n">
        <x:f>ROUND(N216*N336,2)</x:f>
        <x:v>438.12</x:v>
      </x:c>
      <x:c r="O16" s="3" t="n">
        <x:f>SUM(C16:N16)</x:f>
        <x:v>2983.9599999999996</x:v>
      </x:c>
      <x:c r="P16" s="2" t="str">
        <x:v>EXP1.016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 t="str">
        <x:v>咨询服务费</x:v>
      </x:c>
      <x:c r="C17" s="3" t="n">
        <x:f>ROUND(C217*C337,2)</x:f>
        <x:v>158.39</x:v>
      </x:c>
      <x:c r="D17" s="3" t="n">
        <x:f>ROUND(D217*D337,2)</x:f>
        <x:v>274.57</x:v>
      </x:c>
      <x:c r="E17" s="3" t="n">
        <x:f>ROUND(E217*E337,2)</x:f>
        <x:v>329.95</x:v>
      </x:c>
      <x:c r="F17" s="3" t="n">
        <x:f>ROUND(F217*F337,2)</x:f>
        <x:v>125.43</x:v>
      </x:c>
      <x:c r="G17" s="3" t="n">
        <x:f>ROUND(G217*G337,2)</x:f>
        <x:v>162.81</x:v>
      </x:c>
      <x:c r="H17" s="3" t="n">
        <x:f>ROUND(H217*H337,2)</x:f>
        <x:v>160.53</x:v>
      </x:c>
      <x:c r="I17" s="3" t="n">
        <x:f>ROUND(I217*I337,2)</x:f>
        <x:v>584.92</x:v>
      </x:c>
      <x:c r="J17" s="3" t="n">
        <x:f>ROUND(J217*J337,2)</x:f>
        <x:v>284.66</x:v>
      </x:c>
      <x:c r="K17" s="3" t="n">
        <x:f>ROUND(K217*K337,2)</x:f>
        <x:v>157.72</x:v>
      </x:c>
      <x:c r="L17" s="3" t="n">
        <x:f>ROUND(L217*L337,2)</x:f>
        <x:v>272.07</x:v>
      </x:c>
      <x:c r="M17" s="3" t="n">
        <x:f>ROUND(M217*M337,2)</x:f>
        <x:v>174.55</x:v>
      </x:c>
      <x:c r="N17" s="3" t="n">
        <x:f>ROUND(N217*N337,2)</x:f>
        <x:v>166.25</x:v>
      </x:c>
      <x:c r="O17" s="3" t="n">
        <x:f>SUM(C17:N17)</x:f>
        <x:v>2851.85</x:v>
      </x:c>
      <x:c r="P17" s="2" t="str">
        <x:v>EXP1.017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188.16</x:v>
      </x:c>
      <x:c r="D18" s="3" t="n">
        <x:f>ROUND(D218*D338,2)</x:f>
        <x:v>261.78</x:v>
      </x:c>
      <x:c r="E18" s="3" t="n">
        <x:f>ROUND(E218*E338,2)</x:f>
        <x:v>451.04</x:v>
      </x:c>
      <x:c r="F18" s="3" t="n">
        <x:f>ROUND(F218*F338,2)</x:f>
        <x:v>487.59</x:v>
      </x:c>
      <x:c r="G18" s="3" t="n">
        <x:f>ROUND(G218*G338,2)</x:f>
        <x:v>113.58</x:v>
      </x:c>
      <x:c r="H18" s="3" t="n">
        <x:f>ROUND(H218*H338,2)</x:f>
        <x:v>102.2</x:v>
      </x:c>
      <x:c r="I18" s="3" t="n">
        <x:f>ROUND(I218*I338,2)</x:f>
        <x:v>133.22</x:v>
      </x:c>
      <x:c r="J18" s="3" t="n">
        <x:f>ROUND(J218*J338,2)</x:f>
        <x:v>241.4</x:v>
      </x:c>
      <x:c r="K18" s="3" t="n">
        <x:f>ROUND(K218*K338,2)</x:f>
        <x:v>118.9</x:v>
      </x:c>
      <x:c r="L18" s="3" t="n">
        <x:f>ROUND(L218*L338,2)</x:f>
        <x:v>217.37</x:v>
      </x:c>
      <x:c r="M18" s="3" t="n">
        <x:f>ROUND(M218*M338,2)</x:f>
        <x:v>220.23</x:v>
      </x:c>
      <x:c r="N18" s="3" t="n">
        <x:f>ROUND(N218*N338,2)</x:f>
        <x:v>456.42</x:v>
      </x:c>
      <x:c r="O18" s="3" t="n">
        <x:f>SUM(C18:N18)</x:f>
        <x:v>2991.89</x:v>
      </x:c>
      <x:c r="P18" s="2" t="str">
        <x:v>EXP1.018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92.9</x:v>
      </x:c>
      <x:c r="D19" s="3" t="n">
        <x:f>ROUND(D219*D339,2)</x:f>
        <x:v>236.58</x:v>
      </x:c>
      <x:c r="E19" s="3" t="n">
        <x:f>ROUND(E219*E339,2)</x:f>
        <x:v>129.35</x:v>
      </x:c>
      <x:c r="F19" s="3" t="n">
        <x:f>ROUND(F219*F339,2)</x:f>
        <x:v>343.41</x:v>
      </x:c>
      <x:c r="G19" s="3" t="n">
        <x:f>ROUND(G219*G339,2)</x:f>
        <x:v>171.49</x:v>
      </x:c>
      <x:c r="H19" s="3" t="n">
        <x:f>ROUND(H219*H339,2)</x:f>
        <x:v>131.76</x:v>
      </x:c>
      <x:c r="I19" s="3" t="n">
        <x:f>ROUND(I219*I339,2)</x:f>
        <x:v>209.32</x:v>
      </x:c>
      <x:c r="J19" s="3" t="n">
        <x:f>ROUND(J219*J339,2)</x:f>
        <x:v>132.49</x:v>
      </x:c>
      <x:c r="K19" s="3" t="n">
        <x:f>ROUND(K219*K339,2)</x:f>
        <x:v>401.99</x:v>
      </x:c>
      <x:c r="L19" s="3" t="n">
        <x:f>ROUND(L219*L339,2)</x:f>
        <x:v>116.83</x:v>
      </x:c>
      <x:c r="M19" s="3" t="n">
        <x:f>ROUND(M219*M339,2)</x:f>
        <x:v>219.31</x:v>
      </x:c>
      <x:c r="N19" s="3" t="n">
        <x:f>ROUND(N219*N339,2)</x:f>
        <x:v>400.49</x:v>
      </x:c>
      <x:c r="O19" s="3" t="n">
        <x:f>SUM(C19:N19)</x:f>
        <x:v>2585.92</x:v>
      </x:c>
      <x:c r="P19" s="2" t="str">
        <x:v>EXP1.019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EXP1.020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370.75</x:v>
      </x:c>
      <x:c r="D21" s="3" t="n">
        <x:f>ROUND(D221*D341,2)</x:f>
        <x:v>143.72</x:v>
      </x:c>
      <x:c r="E21" s="3" t="n">
        <x:f>ROUND(E221*E341,2)</x:f>
        <x:v>493.82</x:v>
      </x:c>
      <x:c r="F21" s="3" t="n">
        <x:f>ROUND(F221*F341,2)</x:f>
        <x:v>215.33</x:v>
      </x:c>
      <x:c r="G21" s="3" t="n">
        <x:f>ROUND(G221*G341,2)</x:f>
        <x:v>241.96</x:v>
      </x:c>
      <x:c r="H21" s="3" t="n">
        <x:f>ROUND(H221*H341,2)</x:f>
        <x:v>393.85</x:v>
      </x:c>
      <x:c r="I21" s="3" t="n">
        <x:f>ROUND(I221*I341,2)</x:f>
        <x:v>222.82</x:v>
      </x:c>
      <x:c r="J21" s="3" t="n">
        <x:f>ROUND(J221*J341,2)</x:f>
        <x:v>373.18</x:v>
      </x:c>
      <x:c r="K21" s="3" t="n">
        <x:f>ROUND(K221*K341,2)</x:f>
        <x:v>158.92</x:v>
      </x:c>
      <x:c r="L21" s="3" t="n">
        <x:f>ROUND(L221*L341,2)</x:f>
        <x:v>220.25</x:v>
      </x:c>
      <x:c r="M21" s="3" t="n">
        <x:f>ROUND(M221*M341,2)</x:f>
        <x:v>79.91</x:v>
      </x:c>
      <x:c r="N21" s="3" t="n">
        <x:f>ROUND(N221*N341,2)</x:f>
        <x:v>102.73</x:v>
      </x:c>
      <x:c r="O21" s="3" t="n">
        <x:f>SUM(C21:N21)</x:f>
        <x:v>3017.24</x:v>
      </x:c>
      <x:c r="P21" s="2" t="str">
        <x:v>EXP1.021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215.13</x:v>
      </x:c>
      <x:c r="D22" s="3" t="n">
        <x:f>ROUND(D222*D342,2)</x:f>
        <x:v>125.04</x:v>
      </x:c>
      <x:c r="E22" s="3" t="n">
        <x:f>ROUND(E222*E342,2)</x:f>
        <x:v>439.12</x:v>
      </x:c>
      <x:c r="F22" s="3" t="n">
        <x:f>ROUND(F222*F342,2)</x:f>
        <x:v>248.67</x:v>
      </x:c>
      <x:c r="G22" s="3" t="n">
        <x:f>ROUND(G222*G342,2)</x:f>
        <x:v>170.98</x:v>
      </x:c>
      <x:c r="H22" s="3" t="n">
        <x:f>ROUND(H222*H342,2)</x:f>
        <x:v>224.11</x:v>
      </x:c>
      <x:c r="I22" s="3" t="n">
        <x:f>ROUND(I222*I342,2)</x:f>
        <x:v>146.17</x:v>
      </x:c>
      <x:c r="J22" s="3" t="n">
        <x:f>ROUND(J222*J342,2)</x:f>
        <x:v>281.29</x:v>
      </x:c>
      <x:c r="K22" s="3" t="n">
        <x:f>ROUND(K222*K342,2)</x:f>
        <x:v>194.91</x:v>
      </x:c>
      <x:c r="L22" s="3" t="n">
        <x:f>ROUND(L222*L342,2)</x:f>
        <x:v>101.16</x:v>
      </x:c>
      <x:c r="M22" s="3" t="n">
        <x:f>ROUND(M222*M342,2)</x:f>
        <x:v>268.49</x:v>
      </x:c>
      <x:c r="N22" s="3" t="n">
        <x:f>ROUND(N222*N342,2)</x:f>
        <x:v>520.45</x:v>
      </x:c>
      <x:c r="O22" s="3" t="n">
        <x:f>SUM(C22:N22)</x:f>
        <x:v>2935.5200000000004</x:v>
      </x:c>
      <x:c r="P22" s="2" t="str">
        <x:v>EXP1.022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106.84</x:v>
      </x:c>
      <x:c r="D23" s="3" t="n">
        <x:f>ROUND(D223*D343,2)</x:f>
        <x:v>86.35</x:v>
      </x:c>
      <x:c r="E23" s="3" t="n">
        <x:f>ROUND(E223*E343,2)</x:f>
        <x:v>140.4</x:v>
      </x:c>
      <x:c r="F23" s="3" t="n">
        <x:f>ROUND(F223*F343,2)</x:f>
        <x:v>75.9</x:v>
      </x:c>
      <x:c r="G23" s="3" t="n">
        <x:f>ROUND(G223*G343,2)</x:f>
        <x:v>497.08</x:v>
      </x:c>
      <x:c r="H23" s="3" t="n">
        <x:f>ROUND(H223*H343,2)</x:f>
        <x:v>148.28</x:v>
      </x:c>
      <x:c r="I23" s="3" t="n">
        <x:f>ROUND(I223*I343,2)</x:f>
        <x:v>225.99</x:v>
      </x:c>
      <x:c r="J23" s="3" t="n">
        <x:f>ROUND(J223*J343,2)</x:f>
        <x:v>471.79</x:v>
      </x:c>
      <x:c r="K23" s="3" t="n">
        <x:f>ROUND(K223*K343,2)</x:f>
        <x:v>86.99</x:v>
      </x:c>
      <x:c r="L23" s="3" t="n">
        <x:f>ROUND(L223*L343,2)</x:f>
        <x:v>253.05</x:v>
      </x:c>
      <x:c r="M23" s="3" t="n">
        <x:f>ROUND(M223*M343,2)</x:f>
        <x:v>198.31</x:v>
      </x:c>
      <x:c r="N23" s="3" t="n">
        <x:f>ROUND(N223*N343,2)</x:f>
        <x:v>282.67</x:v>
      </x:c>
      <x:c r="O23" s="3" t="n">
        <x:f>SUM(C23:N23)</x:f>
        <x:v>2573.65</x:v>
      </x:c>
      <x:c r="P23" s="2" t="str">
        <x:v>EXP1.023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96.27</x:v>
      </x:c>
      <x:c r="D24" s="3" t="n">
        <x:f>ROUND(D224*D344,2)</x:f>
        <x:v>309.51</x:v>
      </x:c>
      <x:c r="E24" s="3" t="n">
        <x:f>ROUND(E224*E344,2)</x:f>
        <x:v>153.15</x:v>
      </x:c>
      <x:c r="F24" s="3" t="n">
        <x:f>ROUND(F224*F344,2)</x:f>
        <x:v>221.75</x:v>
      </x:c>
      <x:c r="G24" s="3" t="n">
        <x:f>ROUND(G224*G344,2)</x:f>
        <x:v>544.65</x:v>
      </x:c>
      <x:c r="H24" s="3" t="n">
        <x:f>ROUND(H224*H344,2)</x:f>
        <x:v>237.43</x:v>
      </x:c>
      <x:c r="I24" s="3" t="n">
        <x:f>ROUND(I224*I344,2)</x:f>
        <x:v>328.8</x:v>
      </x:c>
      <x:c r="J24" s="3" t="n">
        <x:f>ROUND(J224*J344,2)</x:f>
        <x:v>210.15</x:v>
      </x:c>
      <x:c r="K24" s="3" t="n">
        <x:f>ROUND(K224*K344,2)</x:f>
        <x:v>351.77</x:v>
      </x:c>
      <x:c r="L24" s="3" t="n">
        <x:f>ROUND(L224*L344,2)</x:f>
        <x:v>296.06</x:v>
      </x:c>
      <x:c r="M24" s="3" t="n">
        <x:f>ROUND(M224*M344,2)</x:f>
        <x:v>240.45</x:v>
      </x:c>
      <x:c r="N24" s="3" t="n">
        <x:f>ROUND(N224*N344,2)</x:f>
        <x:v>478.04</x:v>
      </x:c>
      <x:c r="O24" s="3" t="n">
        <x:f>SUM(C24:N24)</x:f>
        <x:v>3468.0299999999997</x:v>
      </x:c>
      <x:c r="P24" s="2" t="str">
        <x:v>EXP1.024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423.98</x:v>
      </x:c>
      <x:c r="D25" s="3" t="n">
        <x:f>ROUND(D225*D345,2)</x:f>
        <x:v>316.72</x:v>
      </x:c>
      <x:c r="E25" s="3" t="n">
        <x:f>ROUND(E225*E345,2)</x:f>
        <x:v>140.63</x:v>
      </x:c>
      <x:c r="F25" s="3" t="n">
        <x:f>ROUND(F225*F345,2)</x:f>
        <x:v>233.53</x:v>
      </x:c>
      <x:c r="G25" s="3" t="n">
        <x:f>ROUND(G225*G345,2)</x:f>
        <x:v>180.09</x:v>
      </x:c>
      <x:c r="H25" s="3" t="n">
        <x:f>ROUND(H225*H345,2)</x:f>
        <x:v>86.32</x:v>
      </x:c>
      <x:c r="I25" s="3" t="n">
        <x:f>ROUND(I225*I345,2)</x:f>
        <x:v>337.35</x:v>
      </x:c>
      <x:c r="J25" s="3" t="n">
        <x:f>ROUND(J225*J345,2)</x:f>
        <x:v>230.76</x:v>
      </x:c>
      <x:c r="K25" s="3" t="n">
        <x:f>ROUND(K225*K345,2)</x:f>
        <x:v>86.18</x:v>
      </x:c>
      <x:c r="L25" s="3" t="n">
        <x:f>ROUND(L225*L345,2)</x:f>
        <x:v>392.23</x:v>
      </x:c>
      <x:c r="M25" s="3" t="n">
        <x:f>ROUND(M225*M345,2)</x:f>
        <x:v>374.36</x:v>
      </x:c>
      <x:c r="N25" s="3" t="n">
        <x:f>ROUND(N225*N345,2)</x:f>
        <x:v>204.28</x:v>
      </x:c>
      <x:c r="O25" s="3" t="n">
        <x:f>SUM(C25:N25)</x:f>
        <x:v>3006.4300000000003</x:v>
      </x:c>
      <x:c r="P25" s="2" t="str">
        <x:v>EXP1.025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523.53</x:v>
      </x:c>
      <x:c r="D26" s="3" t="n">
        <x:f>ROUND(D226*D346,2)</x:f>
        <x:v>497.02</x:v>
      </x:c>
      <x:c r="E26" s="3" t="n">
        <x:f>ROUND(E226*E346,2)</x:f>
        <x:v>93</x:v>
      </x:c>
      <x:c r="F26" s="3" t="n">
        <x:f>ROUND(F226*F346,2)</x:f>
        <x:v>246.68</x:v>
      </x:c>
      <x:c r="G26" s="3" t="n">
        <x:f>ROUND(G226*G346,2)</x:f>
        <x:v>264.96</x:v>
      </x:c>
      <x:c r="H26" s="3" t="n">
        <x:f>ROUND(H226*H346,2)</x:f>
        <x:v>139.36</x:v>
      </x:c>
      <x:c r="I26" s="3" t="n">
        <x:f>ROUND(I226*I346,2)</x:f>
        <x:v>262.77</x:v>
      </x:c>
      <x:c r="J26" s="3" t="n">
        <x:f>ROUND(J226*J346,2)</x:f>
        <x:v>466.16</x:v>
      </x:c>
      <x:c r="K26" s="3" t="n">
        <x:f>ROUND(K226*K346,2)</x:f>
        <x:v>323.94</x:v>
      </x:c>
      <x:c r="L26" s="3" t="n">
        <x:f>ROUND(L226*L346,2)</x:f>
        <x:v>314.98</x:v>
      </x:c>
      <x:c r="M26" s="3" t="n">
        <x:f>ROUND(M226*M346,2)</x:f>
        <x:v>100.21</x:v>
      </x:c>
      <x:c r="N26" s="3" t="n">
        <x:f>ROUND(N226*N346,2)</x:f>
        <x:v>58.4</x:v>
      </x:c>
      <x:c r="O26" s="3" t="n">
        <x:f>SUM(C26:N26)</x:f>
        <x:v>3291.01</x:v>
      </x:c>
      <x:c r="P26" s="2" t="str">
        <x:v>EXP1.026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156.5</x:v>
      </x:c>
      <x:c r="D27" s="3" t="n">
        <x:f>ROUND(D227*D347,2)</x:f>
        <x:v>152.92</x:v>
      </x:c>
      <x:c r="E27" s="3" t="n">
        <x:f>ROUND(E227*E347,2)</x:f>
        <x:v>355.11</x:v>
      </x:c>
      <x:c r="F27" s="3" t="n">
        <x:f>ROUND(F227*F347,2)</x:f>
        <x:v>175.57</x:v>
      </x:c>
      <x:c r="G27" s="3" t="n">
        <x:f>ROUND(G227*G347,2)</x:f>
        <x:v>209.31</x:v>
      </x:c>
      <x:c r="H27" s="3" t="n">
        <x:f>ROUND(H227*H347,2)</x:f>
        <x:v>67.08</x:v>
      </x:c>
      <x:c r="I27" s="3" t="n">
        <x:f>ROUND(I227*I347,2)</x:f>
        <x:v>184.98</x:v>
      </x:c>
      <x:c r="J27" s="3" t="n">
        <x:f>ROUND(J227*J347,2)</x:f>
        <x:v>190.45</x:v>
      </x:c>
      <x:c r="K27" s="3" t="n">
        <x:f>ROUND(K227*K347,2)</x:f>
        <x:v>99.29</x:v>
      </x:c>
      <x:c r="L27" s="3" t="n">
        <x:f>ROUND(L227*L347,2)</x:f>
        <x:v>369.2</x:v>
      </x:c>
      <x:c r="M27" s="3" t="n">
        <x:f>ROUND(M227*M347,2)</x:f>
        <x:v>502.85</x:v>
      </x:c>
      <x:c r="N27" s="3" t="n">
        <x:f>ROUND(N227*N347,2)</x:f>
        <x:v>190.18</x:v>
      </x:c>
      <x:c r="O27" s="3" t="n">
        <x:f>SUM(C27:N27)</x:f>
        <x:v>2653.4399999999996</x:v>
      </x:c>
      <x:c r="P27" s="2" t="str">
        <x:v>EXP1.027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186.65</x:v>
      </x:c>
      <x:c r="D28" s="3" t="n">
        <x:f>ROUND(D228*D348,2)</x:f>
        <x:v>148</x:v>
      </x:c>
      <x:c r="E28" s="3" t="n">
        <x:f>ROUND(E228*E348,2)</x:f>
        <x:v>128.52</x:v>
      </x:c>
      <x:c r="F28" s="3" t="n">
        <x:f>ROUND(F228*F348,2)</x:f>
        <x:v>261.41</x:v>
      </x:c>
      <x:c r="G28" s="3" t="n">
        <x:f>ROUND(G228*G348,2)</x:f>
        <x:v>335.93</x:v>
      </x:c>
      <x:c r="H28" s="3" t="n">
        <x:f>ROUND(H228*H348,2)</x:f>
        <x:v>94.63</x:v>
      </x:c>
      <x:c r="I28" s="3" t="n">
        <x:f>ROUND(I228*I348,2)</x:f>
        <x:v>493.52</x:v>
      </x:c>
      <x:c r="J28" s="3" t="n">
        <x:f>ROUND(J228*J348,2)</x:f>
        <x:v>283.82</x:v>
      </x:c>
      <x:c r="K28" s="3" t="n">
        <x:f>ROUND(K228*K348,2)</x:f>
        <x:v>395.44</x:v>
      </x:c>
      <x:c r="L28" s="3" t="n">
        <x:f>ROUND(L228*L348,2)</x:f>
        <x:v>207.89</x:v>
      </x:c>
      <x:c r="M28" s="3" t="n">
        <x:f>ROUND(M228*M348,2)</x:f>
        <x:v>324.28</x:v>
      </x:c>
      <x:c r="N28" s="3" t="n">
        <x:f>ROUND(N228*N348,2)</x:f>
        <x:v>260.71</x:v>
      </x:c>
      <x:c r="O28" s="3" t="n">
        <x:f>SUM(C28:N28)</x:f>
        <x:v>3120.7999999999993</x:v>
      </x:c>
      <x:c r="P28" s="2" t="str">
        <x:v>EXP1.028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EXP1.029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77.62</x:v>
      </x:c>
      <x:c r="D30" s="6" t="n">
        <x:f>ROUND(D230*D350,2)</x:f>
        <x:v>206.01</x:v>
      </x:c>
      <x:c r="E30" s="6" t="n">
        <x:f>ROUND(E230*E350,2)</x:f>
        <x:v>83.78</x:v>
      </x:c>
      <x:c r="F30" s="6" t="n">
        <x:f>ROUND(F230*F350,2)</x:f>
        <x:v>134.06</x:v>
      </x:c>
      <x:c r="G30" s="6" t="n">
        <x:f>ROUND(G230*G350,2)</x:f>
        <x:v>124.16</x:v>
      </x:c>
      <x:c r="H30" s="6" t="n">
        <x:f>ROUND(H230*H350,2)</x:f>
        <x:v>72.52</x:v>
      </x:c>
      <x:c r="I30" s="6" t="n">
        <x:f>ROUND(I230*I350,2)</x:f>
        <x:v>197.33</x:v>
      </x:c>
      <x:c r="J30" s="6" t="n">
        <x:f>ROUND(J230*J350,2)</x:f>
        <x:v>203.32</x:v>
      </x:c>
      <x:c r="K30" s="6" t="n">
        <x:f>ROUND(K230*K350,2)</x:f>
        <x:v>215.15</x:v>
      </x:c>
      <x:c r="L30" s="6" t="n">
        <x:f>ROUND(L230*L350,2)</x:f>
        <x:v>238.34</x:v>
      </x:c>
      <x:c r="M30" s="6" t="n">
        <x:f>ROUND(M230*M350,2)</x:f>
        <x:v>228.91</x:v>
      </x:c>
      <x:c r="N30" s="6" t="n">
        <x:f>ROUND(N230*N350,2)</x:f>
        <x:v>97.22</x:v>
      </x:c>
      <x:c r="O30" s="6" t="n">
        <x:f>SUM(C30:N30)</x:f>
        <x:v>1878.42</x:v>
      </x:c>
      <x:c r="P30" s="2" t="str">
        <x:v>EXP1.030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298.4</x:v>
      </x:c>
      <x:c r="D31" s="3" t="n">
        <x:f>ROUND(D231*D351,2)</x:f>
        <x:v>199.93</x:v>
      </x:c>
      <x:c r="E31" s="3" t="n">
        <x:f>ROUND(E231*E351,2)</x:f>
        <x:v>156.57</x:v>
      </x:c>
      <x:c r="F31" s="3" t="n">
        <x:f>ROUND(F231*F351,2)</x:f>
        <x:v>245.56</x:v>
      </x:c>
      <x:c r="G31" s="3" t="n">
        <x:f>ROUND(G231*G351,2)</x:f>
        <x:v>197.62</x:v>
      </x:c>
      <x:c r="H31" s="3" t="n">
        <x:f>ROUND(H231*H351,2)</x:f>
        <x:v>258.52</x:v>
      </x:c>
      <x:c r="I31" s="3" t="n">
        <x:f>ROUND(I231*I351,2)</x:f>
        <x:v>542.33</x:v>
      </x:c>
      <x:c r="J31" s="3" t="n">
        <x:f>ROUND(J231*J351,2)</x:f>
        <x:v>209.33</x:v>
      </x:c>
      <x:c r="K31" s="3" t="n">
        <x:f>ROUND(K231*K351,2)</x:f>
        <x:v>471.19</x:v>
      </x:c>
      <x:c r="L31" s="3" t="n">
        <x:f>ROUND(L231*L351,2)</x:f>
        <x:v>381.92</x:v>
      </x:c>
      <x:c r="M31" s="3" t="n">
        <x:f>ROUND(M231*M351,2)</x:f>
        <x:v>163.18</x:v>
      </x:c>
      <x:c r="N31" s="3" t="n">
        <x:f>ROUND(N231*N351,2)</x:f>
        <x:v>368.81</x:v>
      </x:c>
      <x:c r="O31" s="3" t="n">
        <x:f>SUM(C31:N31)</x:f>
        <x:v>3493.3599999999997</x:v>
      </x:c>
      <x:c r="P31" s="2" t="str">
        <x:v>EXP1.031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132.25</x:v>
      </x:c>
      <x:c r="D32" s="3" t="n">
        <x:f>ROUND(D232*D352,2)</x:f>
        <x:v>168.09</x:v>
      </x:c>
      <x:c r="E32" s="3" t="n">
        <x:f>ROUND(E232*E352,2)</x:f>
        <x:v>68.22</x:v>
      </x:c>
      <x:c r="F32" s="3" t="n">
        <x:f>ROUND(F232*F352,2)</x:f>
        <x:v>71.37</x:v>
      </x:c>
      <x:c r="G32" s="3" t="n">
        <x:f>ROUND(G232*G352,2)</x:f>
        <x:v>364.16</x:v>
      </x:c>
      <x:c r="H32" s="3" t="n">
        <x:f>ROUND(H232*H352,2)</x:f>
        <x:v>76.07</x:v>
      </x:c>
      <x:c r="I32" s="3" t="n">
        <x:f>ROUND(I232*I352,2)</x:f>
        <x:v>471.01</x:v>
      </x:c>
      <x:c r="J32" s="3" t="n">
        <x:f>ROUND(J232*J352,2)</x:f>
        <x:v>110.9</x:v>
      </x:c>
      <x:c r="K32" s="3" t="n">
        <x:f>ROUND(K232*K352,2)</x:f>
        <x:v>332.28</x:v>
      </x:c>
      <x:c r="L32" s="3" t="n">
        <x:f>ROUND(L232*L352,2)</x:f>
        <x:v>263.15</x:v>
      </x:c>
      <x:c r="M32" s="3" t="n">
        <x:f>ROUND(M232*M352,2)</x:f>
        <x:v>365.15</x:v>
      </x:c>
      <x:c r="N32" s="3" t="n">
        <x:f>ROUND(N232*N352,2)</x:f>
        <x:v>303.96</x:v>
      </x:c>
      <x:c r="O32" s="3" t="n">
        <x:f>SUM(C32:N32)</x:f>
        <x:v>2726.61</x:v>
      </x:c>
      <x:c r="P32" s="2" t="str">
        <x:v>EXP1.032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55.09</x:v>
      </x:c>
      <x:c r="D33" s="3" t="n">
        <x:f>ROUND(D233*D353,2)</x:f>
        <x:v>139.84</x:v>
      </x:c>
      <x:c r="E33" s="3" t="n">
        <x:f>ROUND(E233*E353,2)</x:f>
        <x:v>292.06</x:v>
      </x:c>
      <x:c r="F33" s="3" t="n">
        <x:f>ROUND(F233*F353,2)</x:f>
        <x:v>149.21</x:v>
      </x:c>
      <x:c r="G33" s="3" t="n">
        <x:f>ROUND(G233*G353,2)</x:f>
        <x:v>473.97</x:v>
      </x:c>
      <x:c r="H33" s="3" t="n">
        <x:f>ROUND(H233*H353,2)</x:f>
        <x:v>76.09</x:v>
      </x:c>
      <x:c r="I33" s="3" t="n">
        <x:f>ROUND(I233*I353,2)</x:f>
        <x:v>265.85</x:v>
      </x:c>
      <x:c r="J33" s="3" t="n">
        <x:f>ROUND(J233*J353,2)</x:f>
        <x:v>62.78</x:v>
      </x:c>
      <x:c r="K33" s="3" t="n">
        <x:f>ROUND(K233*K353,2)</x:f>
        <x:v>234.47</x:v>
      </x:c>
      <x:c r="L33" s="3" t="n">
        <x:f>ROUND(L233*L353,2)</x:f>
        <x:v>106.35</x:v>
      </x:c>
      <x:c r="M33" s="3" t="n">
        <x:f>ROUND(M233*M353,2)</x:f>
        <x:v>321.41</x:v>
      </x:c>
      <x:c r="N33" s="3" t="n">
        <x:f>ROUND(N233*N353,2)</x:f>
        <x:v>206.4</x:v>
      </x:c>
      <x:c r="O33" s="3" t="n">
        <x:f>SUM(C33:N33)</x:f>
        <x:v>2383.52</x:v>
      </x:c>
      <x:c r="P33" s="2" t="str">
        <x:v>EXP1.033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6682.639999999999</x:v>
      </x:c>
      <x:c r="D34" s="3" t="n">
        <x:f>SUM(D4:D33)</x:f>
        <x:v>6710.880000000003</x:v>
      </x:c>
      <x:c r="E34" s="3" t="n">
        <x:f>SUM(E4:E33)</x:f>
        <x:v>7689.05</x:v>
      </x:c>
      <x:c r="F34" s="3" t="n">
        <x:f>SUM(F4:F33)</x:f>
        <x:v>6387.639999999999</x:v>
      </x:c>
      <x:c r="G34" s="3" t="n">
        <x:f>SUM(G4:G33)</x:f>
        <x:v>7624.22</x:v>
      </x:c>
      <x:c r="H34" s="3" t="n">
        <x:f>SUM(H4:H33)</x:f>
        <x:v>6019.709999999999</x:v>
      </x:c>
      <x:c r="I34" s="3" t="n">
        <x:f>SUM(I4:I33)</x:f>
        <x:v>8409.93</x:v>
      </x:c>
      <x:c r="J34" s="3" t="n">
        <x:f>SUM(J4:J33)</x:f>
        <x:v>7110.209999999998</x:v>
      </x:c>
      <x:c r="K34" s="3" t="n">
        <x:f>SUM(K4:K33)</x:f>
        <x:v>7262.339999999998</x:v>
      </x:c>
      <x:c r="L34" s="3" t="n">
        <x:f>SUM(L4:L33)</x:f>
        <x:v>7631.8099999999995</x:v>
      </x:c>
      <x:c r="M34" s="3" t="n">
        <x:f>SUM(M4:M33)</x:f>
        <x:v>7188.929999999999</x:v>
      </x:c>
      <x:c r="N34" s="3" t="n">
        <x:f>SUM(N4:N33)</x:f>
        <x:v>7827.75</x:v>
      </x:c>
      <x:c r="O34" s="3" t="n">
        <x:f>SUM(C34:N34)</x:f>
        <x:v>86545.10999999999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 t="str">
        <x:v>销售费用</x:v>
      </x:c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 t="str">
        <x:v>实时经营（月度，元）</x:v>
      </x:c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 t="str">
        <x:v>2027-01</x:v>
      </x:c>
      <x:c r="D63" s="3" t="str">
        <x:v>2027-02</x:v>
      </x:c>
      <x:c r="E63" s="3" t="str">
        <x:v>2027-03</x:v>
      </x:c>
      <x:c r="F63" s="3" t="str">
        <x:v>2027-04</x:v>
      </x:c>
      <x:c r="G63" s="3" t="str">
        <x:v>2027-05</x:v>
      </x:c>
      <x:c r="H63" s="3" t="str">
        <x:v>2027-06</x:v>
      </x:c>
      <x:c r="I63" s="3" t="str">
        <x:v>2027-07</x:v>
      </x:c>
      <x:c r="J63" s="3" t="str">
        <x:v>2027-08</x:v>
      </x:c>
      <x:c r="K63" s="3" t="str">
        <x:v>2027-09</x:v>
      </x:c>
      <x:c r="L63" s="3" t="str">
        <x:v>2027-10</x:v>
      </x:c>
      <x:c r="M63" s="3" t="str">
        <x:v>2027-11</x:v>
      </x:c>
      <x:c r="N63" s="3" t="str">
        <x:v>2027-12</x:v>
      </x:c>
      <x:c r="O63" s="3" t="str">
        <x:v>小计</x:v>
      </x:c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工资</x:v>
      </x:c>
      <x:c r="C64" s="3" t="n">
        <x:f>ROUND(C264*C384,2)</x:f>
        <x:v>335.87</x:v>
      </x:c>
      <x:c r="D64" s="3" t="n">
        <x:f>ROUND(D264*D384,2)</x:f>
        <x:v>66.85</x:v>
      </x:c>
      <x:c r="E64" s="3" t="n">
        <x:f>ROUND(E264*E384,2)</x:f>
        <x:v>104.85</x:v>
      </x:c>
      <x:c r="F64" s="3" t="n">
        <x:f>ROUND(F264*F384,2)</x:f>
        <x:v>300.29</x:v>
      </x:c>
      <x:c r="G64" s="3" t="n">
        <x:f>ROUND(G264*G384,2)</x:f>
        <x:v>236.75</x:v>
      </x:c>
      <x:c r="H64" s="3" t="n">
        <x:f>ROUND(H264*H384,2)</x:f>
        <x:v>425.39</x:v>
      </x:c>
      <x:c r="I64" s="3" t="n">
        <x:f>ROUND(I264*I384,2)</x:f>
        <x:v>171.66</x:v>
      </x:c>
      <x:c r="J64" s="3" t="n">
        <x:f>ROUND(J264*J384,2)</x:f>
        <x:v>431.41</x:v>
      </x:c>
      <x:c r="K64" s="3" t="n">
        <x:f>ROUND(K264*K384,2)</x:f>
        <x:v>130.71</x:v>
      </x:c>
      <x:c r="L64" s="3" t="n">
        <x:f>ROUND(L264*L384,2)</x:f>
        <x:v>125.45</x:v>
      </x:c>
      <x:c r="M64" s="3" t="n">
        <x:f>ROUND(M264*M384,2)</x:f>
        <x:v>108.9</x:v>
      </x:c>
      <x:c r="N64" s="3" t="n">
        <x:f>ROUND(N264*N384,2)</x:f>
        <x:v>143.76</x:v>
      </x:c>
      <x:c r="O64" s="3" t="n">
        <x:f>SUM(C64:N64)</x:f>
        <x:v>2581.8900000000003</x:v>
      </x:c>
      <x:c r="P64" s="2" t="str">
        <x:v>EXP1.004</x:v>
      </x:c>
      <x:c r="Q64" s="2" t="str">
        <x:v>演示占位-v1</x:v>
      </x:c>
      <x:c r="R64" s="2" t="str">
        <x:v>模拟权责发生制</x:v>
      </x:c>
      <x:c r="S64" s="2" t="str">
        <x:v>2027-01</x:v>
      </x:c>
      <x:c r="T64" s="2" t="str">
        <x:v>2027-06</x:v>
      </x:c>
      <x:c r="U64" s="2" t="str">
        <x:v>无</x:v>
      </x:c>
      <x:c r="V64" s="2" t="str">
        <x:v>无</x:v>
      </x:c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十三薪</x:v>
      </x:c>
      <x:c r="C65" s="3" t="n">
        <x:f>ROUND(C265*C385,2)</x:f>
        <x:v>79.33</x:v>
      </x:c>
      <x:c r="D65" s="3" t="n">
        <x:f>ROUND(D265*D385,2)</x:f>
        <x:v>152.18</x:v>
      </x:c>
      <x:c r="E65" s="3" t="n">
        <x:f>ROUND(E265*E385,2)</x:f>
        <x:v>350.98</x:v>
      </x:c>
      <x:c r="F65" s="3" t="n">
        <x:f>ROUND(F265*F385,2)</x:f>
        <x:v>235.03</x:v>
      </x:c>
      <x:c r="G65" s="3" t="n">
        <x:f>ROUND(G265*G385,2)</x:f>
        <x:v>173.39</x:v>
      </x:c>
      <x:c r="H65" s="3" t="n">
        <x:f>ROUND(H265*H385,2)</x:f>
        <x:v>271.31</x:v>
      </x:c>
      <x:c r="I65" s="3" t="n">
        <x:f>ROUND(I265*I385,2)</x:f>
        <x:v>108.5</x:v>
      </x:c>
      <x:c r="J65" s="3" t="n">
        <x:f>ROUND(J265*J385,2)</x:f>
        <x:v>200.25</x:v>
      </x:c>
      <x:c r="K65" s="3" t="n">
        <x:f>ROUND(K265*K385,2)</x:f>
        <x:v>284.29</x:v>
      </x:c>
      <x:c r="L65" s="3" t="n">
        <x:f>ROUND(L265*L385,2)</x:f>
        <x:v>342.29</x:v>
      </x:c>
      <x:c r="M65" s="3" t="n">
        <x:f>ROUND(M265*M385,2)</x:f>
        <x:v>229.23</x:v>
      </x:c>
      <x:c r="N65" s="3" t="n">
        <x:f>ROUND(N265*N385,2)</x:f>
        <x:v>393.05</x:v>
      </x:c>
      <x:c r="O65" s="3" t="n">
        <x:f>SUM(C65:N65)</x:f>
        <x:v>2819.8300000000004</x:v>
      </x:c>
      <x:c r="P65" s="2" t="str">
        <x:v>EXP1.005</x:v>
      </x:c>
      <x:c r="Q65" s="2" t="str">
        <x:v>演示占位-v1</x:v>
      </x:c>
      <x:c r="R65" s="2" t="str">
        <x:v>模拟权责发生制</x:v>
      </x:c>
      <x:c r="S65" s="2" t="str">
        <x:v>2027-01</x:v>
      </x:c>
      <x:c r="T65" s="2" t="str">
        <x:v>2027-06</x:v>
      </x:c>
      <x:c r="U65" s="2" t="str">
        <x:v>无</x:v>
      </x:c>
      <x:c r="V65" s="2" t="str">
        <x:v>无</x:v>
      </x:c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离职补偿金</x:v>
      </x:c>
      <x:c r="C66" s="3" t="n">
        <x:f>ROUND(C266*C386,2)</x:f>
        <x:v>215.58</x:v>
      </x:c>
      <x:c r="D66" s="3" t="n">
        <x:f>ROUND(D266*D386,2)</x:f>
        <x:v>297.76</x:v>
      </x:c>
      <x:c r="E66" s="3" t="n">
        <x:f>ROUND(E266*E386,2)</x:f>
        <x:v>167.05</x:v>
      </x:c>
      <x:c r="F66" s="3" t="n">
        <x:f>ROUND(F266*F386,2)</x:f>
        <x:v>317.53</x:v>
      </x:c>
      <x:c r="G66" s="3" t="n">
        <x:f>ROUND(G266*G386,2)</x:f>
        <x:v>144.88</x:v>
      </x:c>
      <x:c r="H66" s="3" t="n">
        <x:f>ROUND(H266*H386,2)</x:f>
        <x:v>143.99</x:v>
      </x:c>
      <x:c r="I66" s="3" t="n">
        <x:f>ROUND(I266*I386,2)</x:f>
        <x:v>235.25</x:v>
      </x:c>
      <x:c r="J66" s="3" t="n">
        <x:f>ROUND(J266*J386,2)</x:f>
        <x:v>210.11</x:v>
      </x:c>
      <x:c r="K66" s="3" t="n">
        <x:f>ROUND(K266*K386,2)</x:f>
        <x:v>332.61</x:v>
      </x:c>
      <x:c r="L66" s="3" t="n">
        <x:f>ROUND(L266*L386,2)</x:f>
        <x:v>246.45</x:v>
      </x:c>
      <x:c r="M66" s="3" t="n">
        <x:f>ROUND(M266*M386,2)</x:f>
        <x:v>347.51</x:v>
      </x:c>
      <x:c r="N66" s="3" t="n">
        <x:f>ROUND(N266*N386,2)</x:f>
        <x:v>506.23</x:v>
      </x:c>
      <x:c r="O66" s="3" t="n">
        <x:f>SUM(C66:N66)</x:f>
        <x:v>3164.9500000000003</x:v>
      </x:c>
      <x:c r="P66" s="2" t="str">
        <x:v>EXP1.006</x:v>
      </x:c>
      <x:c r="Q66" s="2" t="str">
        <x:v>演示占位-v1</x:v>
      </x:c>
      <x:c r="R66" s="2" t="str">
        <x:v>模拟权责发生制</x:v>
      </x:c>
      <x:c r="S66" s="2" t="str">
        <x:v>2027-01</x:v>
      </x:c>
      <x:c r="T66" s="2" t="str">
        <x:v>2027-06</x:v>
      </x:c>
      <x:c r="U66" s="2" t="str">
        <x:v>无</x:v>
      </x:c>
      <x:c r="V66" s="2" t="str">
        <x:v>无</x:v>
      </x:c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五险一金</x:v>
      </x:c>
      <x:c r="C67" s="3" t="n">
        <x:f>ROUND(C267*C387,2)</x:f>
        <x:v>184.5</x:v>
      </x:c>
      <x:c r="D67" s="3" t="n">
        <x:f>ROUND(D267*D387,2)</x:f>
        <x:v>160.95</x:v>
      </x:c>
      <x:c r="E67" s="3" t="n">
        <x:f>ROUND(E267*E387,2)</x:f>
        <x:v>339.81</x:v>
      </x:c>
      <x:c r="F67" s="3" t="n">
        <x:f>ROUND(F267*F387,2)</x:f>
        <x:v>185.29</x:v>
      </x:c>
      <x:c r="G67" s="3" t="n">
        <x:f>ROUND(G267*G387,2)</x:f>
        <x:v>293.47</x:v>
      </x:c>
      <x:c r="H67" s="3" t="n">
        <x:f>ROUND(H267*H387,2)</x:f>
        <x:v>161.62</x:v>
      </x:c>
      <x:c r="I67" s="3" t="n">
        <x:f>ROUND(I267*I387,2)</x:f>
        <x:v>298.71</x:v>
      </x:c>
      <x:c r="J67" s="3" t="n">
        <x:f>ROUND(J267*J387,2)</x:f>
        <x:v>443.49</x:v>
      </x:c>
      <x:c r="K67" s="3" t="n">
        <x:f>ROUND(K267*K387,2)</x:f>
        <x:v>472.59</x:v>
      </x:c>
      <x:c r="L67" s="3" t="n">
        <x:f>ROUND(L267*L387,2)</x:f>
        <x:v>258.52</x:v>
      </x:c>
      <x:c r="M67" s="3" t="n">
        <x:f>ROUND(M267*M387,2)</x:f>
        <x:v>287.15</x:v>
      </x:c>
      <x:c r="N67" s="3" t="n">
        <x:f>ROUND(N267*N387,2)</x:f>
        <x:v>201.26</x:v>
      </x:c>
      <x:c r="O67" s="3" t="n">
        <x:f>SUM(C67:N67)</x:f>
        <x:v>3287.3600000000006</x:v>
      </x:c>
      <x:c r="P67" s="2" t="str">
        <x:v>EXP1.007</x:v>
      </x:c>
      <x:c r="Q67" s="2" t="str">
        <x:v>演示占位-v1</x:v>
      </x:c>
      <x:c r="R67" s="2" t="str">
        <x:v>模拟权责发生制</x:v>
      </x:c>
      <x:c r="S67" s="2" t="str">
        <x:v>2027-01</x:v>
      </x:c>
      <x:c r="T67" s="2" t="str">
        <x:v>2027-06</x:v>
      </x:c>
      <x:c r="U67" s="2" t="str">
        <x:v>无</x:v>
      </x:c>
      <x:c r="V67" s="2" t="str">
        <x:v>无</x:v>
      </x:c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福利费</x:v>
      </x:c>
      <x:c r="C68" s="3" t="n">
        <x:f>ROUND(C268*C388,2)</x:f>
        <x:v>535.78</x:v>
      </x:c>
      <x:c r="D68" s="3" t="n">
        <x:f>ROUND(D268*D388,2)</x:f>
        <x:v>97.23</x:v>
      </x:c>
      <x:c r="E68" s="3" t="n">
        <x:f>ROUND(E268*E388,2)</x:f>
        <x:v>113.11</x:v>
      </x:c>
      <x:c r="F68" s="3" t="n">
        <x:f>ROUND(F268*F388,2)</x:f>
        <x:v>146.41</x:v>
      </x:c>
      <x:c r="G68" s="3" t="n">
        <x:f>ROUND(G268*G388,2)</x:f>
        <x:v>171.95</x:v>
      </x:c>
      <x:c r="H68" s="3" t="n">
        <x:f>ROUND(H268*H388,2)</x:f>
        <x:v>204.05</x:v>
      </x:c>
      <x:c r="I68" s="3" t="n">
        <x:f>ROUND(I268*I388,2)</x:f>
        <x:v>199.57</x:v>
      </x:c>
      <x:c r="J68" s="3" t="n">
        <x:f>ROUND(J268*J388,2)</x:f>
        <x:v>183.65</x:v>
      </x:c>
      <x:c r="K68" s="3" t="n">
        <x:f>ROUND(K268*K388,2)</x:f>
        <x:v>265.04</x:v>
      </x:c>
      <x:c r="L68" s="3" t="n">
        <x:f>ROUND(L268*L388,2)</x:f>
        <x:v>200.89</x:v>
      </x:c>
      <x:c r="M68" s="3" t="n">
        <x:f>ROUND(M268*M388,2)</x:f>
        <x:v>185.71</x:v>
      </x:c>
      <x:c r="N68" s="3" t="n">
        <x:f>ROUND(N268*N388,2)</x:f>
        <x:v>236.46</x:v>
      </x:c>
      <x:c r="O68" s="3" t="n">
        <x:f>SUM(C68:N68)</x:f>
        <x:v>2539.85</x:v>
      </x:c>
      <x:c r="P68" s="2" t="str">
        <x:v>EXP1.008</x:v>
      </x:c>
      <x:c r="Q68" s="2" t="str">
        <x:v>演示占位-v1</x:v>
      </x:c>
      <x:c r="R68" s="2" t="str">
        <x:v>模拟权责发生制</x:v>
      </x:c>
      <x:c r="S68" s="2" t="str">
        <x:v>2027-01</x:v>
      </x:c>
      <x:c r="T68" s="2" t="str">
        <x:v>2027-06</x:v>
      </x:c>
      <x:c r="U68" s="2" t="str">
        <x:v>无</x:v>
      </x:c>
      <x:c r="V68" s="2" t="str">
        <x:v>无</x:v>
      </x:c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招聘费</x:v>
      </x:c>
      <x:c r="C69" s="3" t="n">
        <x:f>ROUND(C269*C389,2)</x:f>
        <x:v>214.19</x:v>
      </x:c>
      <x:c r="D69" s="3" t="n">
        <x:f>ROUND(D269*D389,2)</x:f>
        <x:v>289.76</x:v>
      </x:c>
      <x:c r="E69" s="3" t="n">
        <x:f>ROUND(E269*E389,2)</x:f>
        <x:v>297.97</x:v>
      </x:c>
      <x:c r="F69" s="3" t="n">
        <x:f>ROUND(F269*F389,2)</x:f>
        <x:v>168.92</x:v>
      </x:c>
      <x:c r="G69" s="3" t="n">
        <x:f>ROUND(G269*G389,2)</x:f>
        <x:v>307.33</x:v>
      </x:c>
      <x:c r="H69" s="3" t="n">
        <x:f>ROUND(H269*H389,2)</x:f>
        <x:v>191.49</x:v>
      </x:c>
      <x:c r="I69" s="3" t="n">
        <x:f>ROUND(I269*I389,2)</x:f>
        <x:v>199.79</x:v>
      </x:c>
      <x:c r="J69" s="3" t="n">
        <x:f>ROUND(J269*J389,2)</x:f>
        <x:v>439.77</x:v>
      </x:c>
      <x:c r="K69" s="3" t="n">
        <x:f>ROUND(K269*K389,2)</x:f>
        <x:v>386.74</x:v>
      </x:c>
      <x:c r="L69" s="3" t="n">
        <x:f>ROUND(L269*L389,2)</x:f>
        <x:v>135.85</x:v>
      </x:c>
      <x:c r="M69" s="3" t="n">
        <x:f>ROUND(M269*M389,2)</x:f>
        <x:v>306.71</x:v>
      </x:c>
      <x:c r="N69" s="3" t="n">
        <x:f>ROUND(N269*N389,2)</x:f>
        <x:v>191.13</x:v>
      </x:c>
      <x:c r="O69" s="3" t="n">
        <x:f>SUM(C69:N69)</x:f>
        <x:v>3129.65</x:v>
      </x:c>
      <x:c r="P69" s="2" t="str">
        <x:v>EXP1.009</x:v>
      </x:c>
      <x:c r="Q69" s="2" t="str">
        <x:v>演示占位-v1</x:v>
      </x:c>
      <x:c r="R69" s="2" t="str">
        <x:v>模拟权责发生制</x:v>
      </x:c>
      <x:c r="S69" s="2" t="str">
        <x:v>2027-01</x:v>
      </x:c>
      <x:c r="T69" s="2" t="str">
        <x:v>2027-06</x:v>
      </x:c>
      <x:c r="U69" s="2" t="str">
        <x:v>无</x:v>
      </x:c>
      <x:c r="V69" s="2" t="str">
        <x:v>无</x:v>
      </x:c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 t="str">
        <x:v>培训费</x:v>
      </x:c>
      <x:c r="C70" s="3" t="n">
        <x:f>ROUND(C270*C390,2)</x:f>
        <x:v>301.85</x:v>
      </x:c>
      <x:c r="D70" s="3" t="n">
        <x:f>ROUND(D270*D390,2)</x:f>
        <x:v>69.74</x:v>
      </x:c>
      <x:c r="E70" s="3" t="n">
        <x:f>ROUND(E270*E390,2)</x:f>
        <x:v>168.02</x:v>
      </x:c>
      <x:c r="F70" s="3" t="n">
        <x:f>ROUND(F270*F390,2)</x:f>
        <x:v>447.48</x:v>
      </x:c>
      <x:c r="G70" s="3" t="n">
        <x:f>ROUND(G270*G390,2)</x:f>
        <x:v>255.61</x:v>
      </x:c>
      <x:c r="H70" s="3" t="n">
        <x:f>ROUND(H270*H390,2)</x:f>
        <x:v>155.76</x:v>
      </x:c>
      <x:c r="I70" s="3" t="n">
        <x:f>ROUND(I270*I390,2)</x:f>
        <x:v>382.87</x:v>
      </x:c>
      <x:c r="J70" s="3" t="n">
        <x:f>ROUND(J270*J390,2)</x:f>
        <x:v>220.78</x:v>
      </x:c>
      <x:c r="K70" s="3" t="n">
        <x:f>ROUND(K270*K390,2)</x:f>
        <x:v>76.48</x:v>
      </x:c>
      <x:c r="L70" s="3" t="n">
        <x:f>ROUND(L270*L390,2)</x:f>
        <x:v>108.07</x:v>
      </x:c>
      <x:c r="M70" s="3" t="n">
        <x:f>ROUND(M270*M390,2)</x:f>
        <x:v>200.43</x:v>
      </x:c>
      <x:c r="N70" s="3" t="n">
        <x:f>ROUND(N270*N390,2)</x:f>
        <x:v>339.47</x:v>
      </x:c>
      <x:c r="O70" s="3" t="n">
        <x:f>SUM(C70:N70)</x:f>
        <x:v>2726.5599999999995</x:v>
      </x:c>
      <x:c r="P70" s="2" t="str">
        <x:v>EXP1.010</x:v>
      </x:c>
      <x:c r="Q70" s="2" t="str">
        <x:v>演示占位-v1</x:v>
      </x:c>
      <x:c r="R70" s="2" t="str">
        <x:v>模拟权责发生制</x:v>
      </x:c>
      <x:c r="S70" s="2" t="str">
        <x:v>2027-01</x:v>
      </x:c>
      <x:c r="T70" s="2" t="str">
        <x:v>2027-06</x:v>
      </x:c>
      <x:c r="U70" s="2" t="str">
        <x:v>无</x:v>
      </x:c>
      <x:c r="V70" s="2" t="str">
        <x:v>无</x:v>
      </x:c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 t="str">
        <x:v>房租</x:v>
      </x:c>
      <x:c r="C71" s="3" t="n">
        <x:f>ROUND(C271*C391,2)</x:f>
        <x:v>300.5</x:v>
      </x:c>
      <x:c r="D71" s="3" t="n">
        <x:f>ROUND(D271*D391,2)</x:f>
        <x:v>266.32</x:v>
      </x:c>
      <x:c r="E71" s="3" t="n">
        <x:f>ROUND(E271*E391,2)</x:f>
        <x:v>362.9</x:v>
      </x:c>
      <x:c r="F71" s="3" t="n">
        <x:f>ROUND(F271*F391,2)</x:f>
        <x:v>444.58</x:v>
      </x:c>
      <x:c r="G71" s="3" t="n">
        <x:f>ROUND(G271*G391,2)</x:f>
        <x:v>426.05</x:v>
      </x:c>
      <x:c r="H71" s="3" t="n">
        <x:f>ROUND(H271*H391,2)</x:f>
        <x:v>236.4</x:v>
      </x:c>
      <x:c r="I71" s="3" t="n">
        <x:f>ROUND(I271*I391,2)</x:f>
        <x:v>134.17</x:v>
      </x:c>
      <x:c r="J71" s="3" t="n">
        <x:f>ROUND(J271*J391,2)</x:f>
        <x:v>64.37</x:v>
      </x:c>
      <x:c r="K71" s="3" t="n">
        <x:f>ROUND(K271*K391,2)</x:f>
        <x:v>137.02</x:v>
      </x:c>
      <x:c r="L71" s="3" t="n">
        <x:f>ROUND(L271*L391,2)</x:f>
        <x:v>166</x:v>
      </x:c>
      <x:c r="M71" s="3" t="n">
        <x:f>ROUND(M271*M391,2)</x:f>
        <x:v>410.68</x:v>
      </x:c>
      <x:c r="N71" s="3" t="n">
        <x:f>ROUND(N271*N391,2)</x:f>
        <x:v>203.27</x:v>
      </x:c>
      <x:c r="O71" s="3" t="n">
        <x:f>SUM(C71:N71)</x:f>
        <x:v>3152.2599999999998</x:v>
      </x:c>
      <x:c r="P71" s="2" t="str">
        <x:v>EXP1.011</x:v>
      </x:c>
      <x:c r="Q71" s="2" t="str">
        <x:v>演示占位-v1</x:v>
      </x:c>
      <x:c r="R71" s="2" t="str">
        <x:v>模拟权责发生制</x:v>
      </x:c>
      <x:c r="S71" s="2" t="str">
        <x:v>2027-01</x:v>
      </x:c>
      <x:c r="T71" s="2" t="str">
        <x:v>2027-06</x:v>
      </x:c>
      <x:c r="U71" s="2" t="str">
        <x:v>无</x:v>
      </x:c>
      <x:c r="V71" s="2" t="str">
        <x:v>无</x:v>
      </x:c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 t="str">
        <x:v>物业管理费</x:v>
      </x:c>
      <x:c r="C72" s="3" t="n">
        <x:f>ROUND(C272*C392,2)</x:f>
        <x:v>520.24</x:v>
      </x:c>
      <x:c r="D72" s="3" t="n">
        <x:f>ROUND(D272*D392,2)</x:f>
        <x:v>236.39</x:v>
      </x:c>
      <x:c r="E72" s="3" t="n">
        <x:f>ROUND(E272*E392,2)</x:f>
        <x:v>56.41</x:v>
      </x:c>
      <x:c r="F72" s="3" t="n">
        <x:f>ROUND(F272*F392,2)</x:f>
        <x:v>173.92</x:v>
      </x:c>
      <x:c r="G72" s="3" t="n">
        <x:f>ROUND(G272*G392,2)</x:f>
        <x:v>412.88</x:v>
      </x:c>
      <x:c r="H72" s="3" t="n">
        <x:f>ROUND(H272*H392,2)</x:f>
        <x:v>191.63</x:v>
      </x:c>
      <x:c r="I72" s="3" t="n">
        <x:f>ROUND(I272*I392,2)</x:f>
        <x:v>158.25</x:v>
      </x:c>
      <x:c r="J72" s="3" t="n">
        <x:f>ROUND(J272*J392,2)</x:f>
        <x:v>233.65</x:v>
      </x:c>
      <x:c r="K72" s="3" t="n">
        <x:f>ROUND(K272*K392,2)</x:f>
        <x:v>247.09</x:v>
      </x:c>
      <x:c r="L72" s="3" t="n">
        <x:f>ROUND(L272*L392,2)</x:f>
        <x:v>214.93</x:v>
      </x:c>
      <x:c r="M72" s="3" t="n">
        <x:f>ROUND(M272*M392,2)</x:f>
        <x:v>269.67</x:v>
      </x:c>
      <x:c r="N72" s="3" t="n">
        <x:f>ROUND(N272*N392,2)</x:f>
        <x:v>199.38</x:v>
      </x:c>
      <x:c r="O72" s="3" t="n">
        <x:f>SUM(C72:N72)</x:f>
        <x:v>2914.44</x:v>
      </x:c>
      <x:c r="P72" s="2" t="str">
        <x:v>EXP1.012</x:v>
      </x:c>
      <x:c r="Q72" s="2" t="str">
        <x:v>演示占位-v1</x:v>
      </x:c>
      <x:c r="R72" s="2" t="str">
        <x:v>模拟权责发生制</x:v>
      </x:c>
      <x:c r="S72" s="2" t="str">
        <x:v>2027-01</x:v>
      </x:c>
      <x:c r="T72" s="2" t="str">
        <x:v>2027-06</x:v>
      </x:c>
      <x:c r="U72" s="2" t="str">
        <x:v>无</x:v>
      </x:c>
      <x:c r="V72" s="2" t="str">
        <x:v>无</x:v>
      </x:c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 t="str">
        <x:v>汽车费用</x:v>
      </x:c>
      <x:c r="C73" s="3" t="n">
        <x:f>ROUND(C273*C393,2)</x:f>
        <x:v>172.04</x:v>
      </x:c>
      <x:c r="D73" s="3" t="n">
        <x:f>ROUND(D273*D393,2)</x:f>
        <x:v>200.39</x:v>
      </x:c>
      <x:c r="E73" s="3" t="n">
        <x:f>ROUND(E273*E393,2)</x:f>
        <x:v>66.34</x:v>
      </x:c>
      <x:c r="F73" s="3" t="n">
        <x:f>ROUND(F273*F393,2)</x:f>
        <x:v>321.06</x:v>
      </x:c>
      <x:c r="G73" s="3" t="n">
        <x:f>ROUND(G273*G393,2)</x:f>
        <x:v>468.75</x:v>
      </x:c>
      <x:c r="H73" s="3" t="n">
        <x:f>ROUND(H273*H393,2)</x:f>
        <x:v>392.01</x:v>
      </x:c>
      <x:c r="I73" s="3" t="n">
        <x:f>ROUND(I273*I393,2)</x:f>
        <x:v>89.84</x:v>
      </x:c>
      <x:c r="J73" s="3" t="n">
        <x:f>ROUND(J273*J393,2)</x:f>
        <x:v>176.4</x:v>
      </x:c>
      <x:c r="K73" s="3" t="n">
        <x:f>ROUND(K273*K393,2)</x:f>
        <x:v>501.34</x:v>
      </x:c>
      <x:c r="L73" s="3" t="n">
        <x:f>ROUND(L273*L393,2)</x:f>
        <x:v>236.63</x:v>
      </x:c>
      <x:c r="M73" s="3" t="n">
        <x:f>ROUND(M273*M393,2)</x:f>
        <x:v>245.84</x:v>
      </x:c>
      <x:c r="N73" s="3" t="n">
        <x:f>ROUND(N273*N393,2)</x:f>
        <x:v>467.93</x:v>
      </x:c>
      <x:c r="O73" s="3" t="n">
        <x:f>SUM(C73:N73)</x:f>
        <x:v>3338.57</x:v>
      </x:c>
      <x:c r="P73" s="2" t="str">
        <x:v>EXP1.013</x:v>
      </x:c>
      <x:c r="Q73" s="2" t="str">
        <x:v>演示占位-v1</x:v>
      </x:c>
      <x:c r="R73" s="2" t="str">
        <x:v>模拟权责发生制</x:v>
      </x:c>
      <x:c r="S73" s="2" t="str">
        <x:v>2027-01</x:v>
      </x:c>
      <x:c r="T73" s="2" t="str">
        <x:v>2027-06</x:v>
      </x:c>
      <x:c r="U73" s="2" t="str">
        <x:v>无</x:v>
      </x:c>
      <x:c r="V73" s="2" t="str">
        <x:v>无</x:v>
      </x:c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 t="str">
        <x:v>办公费</x:v>
      </x:c>
      <x:c r="C74" s="3" t="n">
        <x:f>ROUND(C274*C394,2)</x:f>
        <x:v>115.55</x:v>
      </x:c>
      <x:c r="D74" s="3" t="n">
        <x:f>ROUND(D274*D394,2)</x:f>
        <x:v>284.44</x:v>
      </x:c>
      <x:c r="E74" s="3" t="n">
        <x:f>ROUND(E274*E394,2)</x:f>
        <x:v>191.4</x:v>
      </x:c>
      <x:c r="F74" s="3" t="n">
        <x:f>ROUND(F274*F394,2)</x:f>
        <x:v>408.19</x:v>
      </x:c>
      <x:c r="G74" s="3" t="n">
        <x:f>ROUND(G274*G394,2)</x:f>
        <x:v>198.92</x:v>
      </x:c>
      <x:c r="H74" s="3" t="n">
        <x:f>ROUND(H274*H394,2)</x:f>
        <x:v>122.77</x:v>
      </x:c>
      <x:c r="I74" s="3" t="n">
        <x:f>ROUND(I274*I394,2)</x:f>
        <x:v>253.85</x:v>
      </x:c>
      <x:c r="J74" s="3" t="n">
        <x:f>ROUND(J274*J394,2)</x:f>
        <x:v>218.04</x:v>
      </x:c>
      <x:c r="K74" s="3" t="n">
        <x:f>ROUND(K274*K394,2)</x:f>
        <x:v>81.42</x:v>
      </x:c>
      <x:c r="L74" s="3" t="n">
        <x:f>ROUND(L274*L394,2)</x:f>
        <x:v>89.85</x:v>
      </x:c>
      <x:c r="M74" s="3" t="n">
        <x:f>ROUND(M274*M394,2)</x:f>
        <x:v>215</x:v>
      </x:c>
      <x:c r="N74" s="3" t="n">
        <x:f>ROUND(N274*N394,2)</x:f>
        <x:v>104.79</x:v>
      </x:c>
      <x:c r="O74" s="3" t="n">
        <x:f>SUM(C74:N74)</x:f>
        <x:v>2284.22</x:v>
      </x:c>
      <x:c r="P74" s="2" t="str">
        <x:v>EXP1.014</x:v>
      </x:c>
      <x:c r="Q74" s="2" t="str">
        <x:v>演示占位-v1</x:v>
      </x:c>
      <x:c r="R74" s="2" t="str">
        <x:v>模拟权责发生制</x:v>
      </x:c>
      <x:c r="S74" s="2" t="str">
        <x:v>2027-01</x:v>
      </x:c>
      <x:c r="T74" s="2" t="str">
        <x:v>2027-06</x:v>
      </x:c>
      <x:c r="U74" s="2" t="str">
        <x:v>无</x:v>
      </x:c>
      <x:c r="V74" s="2" t="str">
        <x:v>无</x:v>
      </x:c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 t="str">
        <x:v>办公用品</x:v>
      </x:c>
      <x:c r="C75" s="3" t="n">
        <x:f>ROUND(C275*C395,2)</x:f>
        <x:v>105.7</x:v>
      </x:c>
      <x:c r="D75" s="3" t="n">
        <x:f>ROUND(D275*D395,2)</x:f>
        <x:v>462.94</x:v>
      </x:c>
      <x:c r="E75" s="3" t="n">
        <x:f>ROUND(E275*E395,2)</x:f>
        <x:v>236.06</x:v>
      </x:c>
      <x:c r="F75" s="3" t="n">
        <x:f>ROUND(F275*F395,2)</x:f>
        <x:v>260.02</x:v>
      </x:c>
      <x:c r="G75" s="3" t="n">
        <x:f>ROUND(G275*G395,2)</x:f>
        <x:v>231.38</x:v>
      </x:c>
      <x:c r="H75" s="3" t="n">
        <x:f>ROUND(H275*H395,2)</x:f>
        <x:v>244.78</x:v>
      </x:c>
      <x:c r="I75" s="3" t="n">
        <x:f>ROUND(I275*I395,2)</x:f>
        <x:v>135.71</x:v>
      </x:c>
      <x:c r="J75" s="3" t="n">
        <x:f>ROUND(J275*J395,2)</x:f>
        <x:v>110.47</x:v>
      </x:c>
      <x:c r="K75" s="3" t="n">
        <x:f>ROUND(K275*K395,2)</x:f>
        <x:v>285.9</x:v>
      </x:c>
      <x:c r="L75" s="3" t="n">
        <x:f>ROUND(L275*L395,2)</x:f>
        <x:v>346.73</x:v>
      </x:c>
      <x:c r="M75" s="3" t="n">
        <x:f>ROUND(M275*M395,2)</x:f>
        <x:v>517.44</x:v>
      </x:c>
      <x:c r="N75" s="3" t="n">
        <x:f>ROUND(N275*N395,2)</x:f>
        <x:v>251.23</x:v>
      </x:c>
      <x:c r="O75" s="3" t="n">
        <x:f>SUM(C75:N75)</x:f>
        <x:v>3188.36</x:v>
      </x:c>
      <x:c r="P75" s="2" t="str">
        <x:v>EXP1.015</x:v>
      </x:c>
      <x:c r="Q75" s="2" t="str">
        <x:v>演示占位-v1</x:v>
      </x:c>
      <x:c r="R75" s="2" t="str">
        <x:v>模拟权责发生制</x:v>
      </x:c>
      <x:c r="S75" s="2" t="str">
        <x:v>2027-01</x:v>
      </x:c>
      <x:c r="T75" s="2" t="str">
        <x:v>2027-06</x:v>
      </x:c>
      <x:c r="U75" s="2" t="str">
        <x:v>无</x:v>
      </x:c>
      <x:c r="V75" s="2" t="str">
        <x:v>无</x:v>
      </x:c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 t="str">
        <x:v>水电煤</x:v>
      </x:c>
      <x:c r="C76" s="3" t="n">
        <x:f>ROUND(C276*C396,2)</x:f>
        <x:v>284.5</x:v>
      </x:c>
      <x:c r="D76" s="3" t="n">
        <x:f>ROUND(D276*D396,2)</x:f>
        <x:v>292.86</x:v>
      </x:c>
      <x:c r="E76" s="3" t="n">
        <x:f>ROUND(E276*E396,2)</x:f>
        <x:v>248.29</x:v>
      </x:c>
      <x:c r="F76" s="3" t="n">
        <x:f>ROUND(F276*F396,2)</x:f>
        <x:v>221.66</x:v>
      </x:c>
      <x:c r="G76" s="3" t="n">
        <x:f>ROUND(G276*G396,2)</x:f>
        <x:v>235.94</x:v>
      </x:c>
      <x:c r="H76" s="3" t="n">
        <x:f>ROUND(H276*H396,2)</x:f>
        <x:v>183.69</x:v>
      </x:c>
      <x:c r="I76" s="3" t="n">
        <x:f>ROUND(I276*I396,2)</x:f>
        <x:v>90.72</x:v>
      </x:c>
      <x:c r="J76" s="3" t="n">
        <x:f>ROUND(J276*J396,2)</x:f>
        <x:v>229.49</x:v>
      </x:c>
      <x:c r="K76" s="3" t="n">
        <x:f>ROUND(K276*K396,2)</x:f>
        <x:v>207.49</x:v>
      </x:c>
      <x:c r="L76" s="3" t="n">
        <x:f>ROUND(L276*L396,2)</x:f>
        <x:v>367.01</x:v>
      </x:c>
      <x:c r="M76" s="3" t="n">
        <x:f>ROUND(M276*M396,2)</x:f>
        <x:v>60.2</x:v>
      </x:c>
      <x:c r="N76" s="3" t="n">
        <x:f>ROUND(N276*N396,2)</x:f>
        <x:v>288.57</x:v>
      </x:c>
      <x:c r="O76" s="3" t="n">
        <x:f>SUM(C76:N76)</x:f>
        <x:v>2710.42</x:v>
      </x:c>
      <x:c r="P76" s="2" t="str">
        <x:v>EXP1.016</x:v>
      </x:c>
      <x:c r="Q76" s="2" t="str">
        <x:v>演示占位-v1</x:v>
      </x:c>
      <x:c r="R76" s="2" t="str">
        <x:v>模拟权责发生制</x:v>
      </x:c>
      <x:c r="S76" s="2" t="str">
        <x:v>2027-01</x:v>
      </x:c>
      <x:c r="T76" s="2" t="str">
        <x:v>2027-06</x:v>
      </x:c>
      <x:c r="U76" s="2" t="str">
        <x:v>无</x:v>
      </x:c>
      <x:c r="V76" s="2" t="str">
        <x:v>无</x:v>
      </x:c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 t="str">
        <x:v>咨询服务费</x:v>
      </x:c>
      <x:c r="C77" s="3" t="n">
        <x:f>ROUND(C277*C397,2)</x:f>
        <x:v>449.66</x:v>
      </x:c>
      <x:c r="D77" s="3" t="n">
        <x:f>ROUND(D277*D397,2)</x:f>
        <x:v>136.15</x:v>
      </x:c>
      <x:c r="E77" s="3" t="n">
        <x:f>ROUND(E277*E397,2)</x:f>
        <x:v>109.48</x:v>
      </x:c>
      <x:c r="F77" s="3" t="n">
        <x:f>ROUND(F277*F397,2)</x:f>
        <x:v>240.66</x:v>
      </x:c>
      <x:c r="G77" s="3" t="n">
        <x:f>ROUND(G277*G397,2)</x:f>
        <x:v>236.38</x:v>
      </x:c>
      <x:c r="H77" s="3" t="n">
        <x:f>ROUND(H277*H397,2)</x:f>
        <x:v>319.08</x:v>
      </x:c>
      <x:c r="I77" s="3" t="n">
        <x:f>ROUND(I277*I397,2)</x:f>
        <x:v>344.99</x:v>
      </x:c>
      <x:c r="J77" s="3" t="n">
        <x:f>ROUND(J277*J397,2)</x:f>
        <x:v>401.15</x:v>
      </x:c>
      <x:c r="K77" s="3" t="n">
        <x:f>ROUND(K277*K397,2)</x:f>
        <x:v>274.03</x:v>
      </x:c>
      <x:c r="L77" s="3" t="n">
        <x:f>ROUND(L277*L397,2)</x:f>
        <x:v>267.44</x:v>
      </x:c>
      <x:c r="M77" s="3" t="n">
        <x:f>ROUND(M277*M397,2)</x:f>
        <x:v>394.6</x:v>
      </x:c>
      <x:c r="N77" s="3" t="n">
        <x:f>ROUND(N277*N397,2)</x:f>
        <x:v>133.95</x:v>
      </x:c>
      <x:c r="O77" s="3" t="n">
        <x:f>SUM(C77:N77)</x:f>
        <x:v>3307.5699999999997</x:v>
      </x:c>
      <x:c r="P77" s="2" t="str">
        <x:v>EXP1.017</x:v>
      </x:c>
      <x:c r="Q77" s="2" t="str">
        <x:v>演示占位-v1</x:v>
      </x:c>
      <x:c r="R77" s="2" t="str">
        <x:v>模拟权责发生制</x:v>
      </x:c>
      <x:c r="S77" s="2" t="str">
        <x:v>2027-01</x:v>
      </x:c>
      <x:c r="T77" s="2" t="str">
        <x:v>2027-06</x:v>
      </x:c>
      <x:c r="U77" s="2" t="str">
        <x:v>无</x:v>
      </x:c>
      <x:c r="V77" s="2" t="str">
        <x:v>无</x:v>
      </x:c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 t="str">
        <x:v>电话费</x:v>
      </x:c>
      <x:c r="C78" s="3" t="n">
        <x:f>ROUND(C278*C398,2)</x:f>
        <x:v>221.19</x:v>
      </x:c>
      <x:c r="D78" s="3" t="n">
        <x:f>ROUND(D278*D398,2)</x:f>
        <x:v>324.29</x:v>
      </x:c>
      <x:c r="E78" s="3" t="n">
        <x:f>ROUND(E278*E398,2)</x:f>
        <x:v>424.69</x:v>
      </x:c>
      <x:c r="F78" s="3" t="n">
        <x:f>ROUND(F278*F398,2)</x:f>
        <x:v>139.29</x:v>
      </x:c>
      <x:c r="G78" s="3" t="n">
        <x:f>ROUND(G278*G398,2)</x:f>
        <x:v>156.96</x:v>
      </x:c>
      <x:c r="H78" s="3" t="n">
        <x:f>ROUND(H278*H398,2)</x:f>
        <x:v>43.75</x:v>
      </x:c>
      <x:c r="I78" s="3" t="n">
        <x:f>ROUND(I278*I398,2)</x:f>
        <x:v>50</x:v>
      </x:c>
      <x:c r="J78" s="3" t="n">
        <x:f>ROUND(J278*J398,2)</x:f>
        <x:v>109.24</x:v>
      </x:c>
      <x:c r="K78" s="3" t="n">
        <x:f>ROUND(K278*K398,2)</x:f>
        <x:v>391.79</x:v>
      </x:c>
      <x:c r="L78" s="3" t="n">
        <x:f>ROUND(L278*L398,2)</x:f>
        <x:v>254.47</x:v>
      </x:c>
      <x:c r="M78" s="3" t="n">
        <x:f>ROUND(M278*M398,2)</x:f>
        <x:v>152.47</x:v>
      </x:c>
      <x:c r="N78" s="3" t="n">
        <x:f>ROUND(N278*N398,2)</x:f>
        <x:v>69.68</x:v>
      </x:c>
      <x:c r="O78" s="3" t="n">
        <x:f>SUM(C78:N78)</x:f>
        <x:v>2337.8199999999997</x:v>
      </x:c>
      <x:c r="P78" s="2" t="str">
        <x:v>EXP1.018</x:v>
      </x:c>
      <x:c r="Q78" s="2" t="str">
        <x:v>演示占位-v1</x:v>
      </x:c>
      <x:c r="R78" s="2" t="str">
        <x:v>模拟权责发生制</x:v>
      </x:c>
      <x:c r="S78" s="2" t="str">
        <x:v>2027-01</x:v>
      </x:c>
      <x:c r="T78" s="2" t="str">
        <x:v>2027-06</x:v>
      </x:c>
      <x:c r="U78" s="2" t="str">
        <x:v>无</x:v>
      </x:c>
      <x:c r="V78" s="2" t="str">
        <x:v>无</x:v>
      </x:c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 t="str">
        <x:v>快递费</x:v>
      </x:c>
      <x:c r="C79" s="3" t="n">
        <x:f>ROUND(C279*C399,2)</x:f>
        <x:v>134.55</x:v>
      </x:c>
      <x:c r="D79" s="3" t="n">
        <x:f>ROUND(D279*D399,2)</x:f>
        <x:v>196.15</x:v>
      </x:c>
      <x:c r="E79" s="3" t="n">
        <x:f>ROUND(E279*E399,2)</x:f>
        <x:v>413.18</x:v>
      </x:c>
      <x:c r="F79" s="3" t="n">
        <x:f>ROUND(F279*F399,2)</x:f>
        <x:v>320.01</x:v>
      </x:c>
      <x:c r="G79" s="3" t="n">
        <x:f>ROUND(G279*G399,2)</x:f>
        <x:v>321.75</x:v>
      </x:c>
      <x:c r="H79" s="3" t="n">
        <x:f>ROUND(H279*H399,2)</x:f>
        <x:v>99.38</x:v>
      </x:c>
      <x:c r="I79" s="3" t="n">
        <x:f>ROUND(I279*I399,2)</x:f>
        <x:v>350.39</x:v>
      </x:c>
      <x:c r="J79" s="3" t="n">
        <x:f>ROUND(J279*J399,2)</x:f>
        <x:v>393.55</x:v>
      </x:c>
      <x:c r="K79" s="3" t="n">
        <x:f>ROUND(K279*K399,2)</x:f>
        <x:v>238.2</x:v>
      </x:c>
      <x:c r="L79" s="3" t="n">
        <x:f>ROUND(L279*L399,2)</x:f>
        <x:v>295.23</x:v>
      </x:c>
      <x:c r="M79" s="3" t="n">
        <x:f>ROUND(M279*M399,2)</x:f>
        <x:v>245.7</x:v>
      </x:c>
      <x:c r="N79" s="3" t="n">
        <x:f>ROUND(N279*N399,2)</x:f>
        <x:v>407.62</x:v>
      </x:c>
      <x:c r="O79" s="3" t="n">
        <x:f>SUM(C79:N79)</x:f>
        <x:v>3415.7099999999996</x:v>
      </x:c>
      <x:c r="P79" s="2" t="str">
        <x:v>EXP1.019</x:v>
      </x:c>
      <x:c r="Q79" s="2" t="str">
        <x:v>演示占位-v1</x:v>
      </x:c>
      <x:c r="R79" s="2" t="str">
        <x:v>模拟权责发生制</x:v>
      </x:c>
      <x:c r="S79" s="2" t="str">
        <x:v>2027-01</x:v>
      </x:c>
      <x:c r="T79" s="2" t="str">
        <x:v>2027-06</x:v>
      </x:c>
      <x:c r="U79" s="2" t="str">
        <x:v>无</x:v>
      </x:c>
      <x:c r="V79" s="2" t="str">
        <x:v>无</x:v>
      </x:c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折旧及摊销</x:v>
      </x:c>
      <x:c r="C80" s="3" t="n">
        <x:f>ROUND('摊销明细'!C93/3,2)</x:f>
        <x:v>511.11</x:v>
      </x:c>
      <x:c r="D80" s="3" t="n">
        <x:f>ROUND('摊销明细'!D93/3,2)</x:f>
        <x:v>511.11</x:v>
      </x:c>
      <x:c r="E80" s="3" t="n">
        <x:f>ROUND('摊销明细'!E93/3,2)</x:f>
        <x:v>511.11</x:v>
      </x:c>
      <x:c r="F80" s="3" t="n">
        <x:f>ROUND('摊销明细'!F93/3,2)</x:f>
        <x:v>511.11</x:v>
      </x:c>
      <x:c r="G80" s="3" t="n">
        <x:f>ROUND('摊销明细'!G93/3,2)</x:f>
        <x:v>511.11</x:v>
      </x:c>
      <x:c r="H80" s="3" t="n">
        <x:f>ROUND('摊销明细'!H93/3,2)</x:f>
        <x:v>511.11</x:v>
      </x:c>
      <x:c r="I80" s="3" t="n">
        <x:f>ROUND('摊销明细'!I93/3,2)</x:f>
        <x:v>511.11</x:v>
      </x:c>
      <x:c r="J80" s="3" t="n">
        <x:f>ROUND('摊销明细'!J93/3,2)</x:f>
        <x:v>511.11</x:v>
      </x:c>
      <x:c r="K80" s="3" t="n">
        <x:f>ROUND('摊销明细'!K93/3,2)</x:f>
        <x:v>511.11</x:v>
      </x:c>
      <x:c r="L80" s="3" t="n">
        <x:f>ROUND('摊销明细'!L93/3,2)</x:f>
        <x:v>511.11</x:v>
      </x:c>
      <x:c r="M80" s="3" t="n">
        <x:f>ROUND('摊销明细'!M93/3,2)</x:f>
        <x:v>511.11</x:v>
      </x:c>
      <x:c r="N80" s="3" t="n">
        <x:f>ROUND('摊销明细'!N93/3,2)</x:f>
        <x:v>511.11</x:v>
      </x:c>
      <x:c r="O80" s="3" t="n">
        <x:f>SUM(C80:N80)</x:f>
        <x:v>6133.32</x:v>
      </x:c>
      <x:c r="P80" s="2" t="str">
        <x:v>EXP1.020</x:v>
      </x:c>
      <x:c r="Q80" s="2" t="str">
        <x:v>演示占位-v1</x:v>
      </x:c>
      <x:c r="R80" s="2" t="str">
        <x:v>模拟权责发生制</x:v>
      </x:c>
      <x:c r="S80" s="2" t="str">
        <x:v>2027-01</x:v>
      </x:c>
      <x:c r="T80" s="2" t="str">
        <x:v>2027-06</x:v>
      </x:c>
      <x:c r="U80" s="2" t="str">
        <x:v>无</x:v>
      </x:c>
      <x:c r="V80" s="2" t="str">
        <x:v>无</x:v>
      </x:c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 t="str">
        <x:v>机票火车票</x:v>
      </x:c>
      <x:c r="C81" s="3" t="n">
        <x:f>ROUND(C281*C401,2)</x:f>
        <x:v>208.72</x:v>
      </x:c>
      <x:c r="D81" s="3" t="n">
        <x:f>ROUND(D281*D401,2)</x:f>
        <x:v>190.41</x:v>
      </x:c>
      <x:c r="E81" s="3" t="n">
        <x:f>ROUND(E281*E401,2)</x:f>
        <x:v>182.4</x:v>
      </x:c>
      <x:c r="F81" s="3" t="n">
        <x:f>ROUND(F281*F401,2)</x:f>
        <x:v>363.97</x:v>
      </x:c>
      <x:c r="G81" s="3" t="n">
        <x:f>ROUND(G281*G401,2)</x:f>
        <x:v>172.9</x:v>
      </x:c>
      <x:c r="H81" s="3" t="n">
        <x:f>ROUND(H281*H401,2)</x:f>
        <x:v>80.73</x:v>
      </x:c>
      <x:c r="I81" s="3" t="n">
        <x:f>ROUND(I281*I401,2)</x:f>
        <x:v>110.7</x:v>
      </x:c>
      <x:c r="J81" s="3" t="n">
        <x:f>ROUND(J281*J401,2)</x:f>
        <x:v>109.84</x:v>
      </x:c>
      <x:c r="K81" s="3" t="n">
        <x:f>ROUND(K281*K401,2)</x:f>
        <x:v>279.96</x:v>
      </x:c>
      <x:c r="L81" s="3" t="n">
        <x:f>ROUND(L281*L401,2)</x:f>
        <x:v>158.79</x:v>
      </x:c>
      <x:c r="M81" s="3" t="n">
        <x:f>ROUND(M281*M401,2)</x:f>
        <x:v>196.9</x:v>
      </x:c>
      <x:c r="N81" s="3" t="n">
        <x:f>ROUND(N281*N401,2)</x:f>
        <x:v>580.51</x:v>
      </x:c>
      <x:c r="O81" s="3" t="n">
        <x:f>SUM(C81:N81)</x:f>
        <x:v>2635.83</x:v>
      </x:c>
      <x:c r="P81" s="2" t="str">
        <x:v>EXP1.021</x:v>
      </x:c>
      <x:c r="Q81" s="2" t="str">
        <x:v>演示占位-v1</x:v>
      </x:c>
      <x:c r="R81" s="2" t="str">
        <x:v>模拟权责发生制</x:v>
      </x:c>
      <x:c r="S81" s="2" t="str">
        <x:v>2027-01</x:v>
      </x:c>
      <x:c r="T81" s="2" t="str">
        <x:v>2027-06</x:v>
      </x:c>
      <x:c r="U81" s="2" t="str">
        <x:v>无</x:v>
      </x:c>
      <x:c r="V81" s="2" t="str">
        <x:v>无</x:v>
      </x:c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 t="str">
        <x:v>住宿费</x:v>
      </x:c>
      <x:c r="C82" s="3" t="n">
        <x:f>ROUND(C282*C402,2)</x:f>
        <x:v>447.67</x:v>
      </x:c>
      <x:c r="D82" s="3" t="n">
        <x:f>ROUND(D282*D402,2)</x:f>
        <x:v>95.39</x:v>
      </x:c>
      <x:c r="E82" s="3" t="n">
        <x:f>ROUND(E282*E402,2)</x:f>
        <x:v>351.18</x:v>
      </x:c>
      <x:c r="F82" s="3" t="n">
        <x:f>ROUND(F282*F402,2)</x:f>
        <x:v>409.79</x:v>
      </x:c>
      <x:c r="G82" s="3" t="n">
        <x:f>ROUND(G282*G402,2)</x:f>
        <x:v>143.99</x:v>
      </x:c>
      <x:c r="H82" s="3" t="n">
        <x:f>ROUND(H282*H402,2)</x:f>
        <x:v>302.39</x:v>
      </x:c>
      <x:c r="I82" s="3" t="n">
        <x:f>ROUND(I282*I402,2)</x:f>
        <x:v>167.98</x:v>
      </x:c>
      <x:c r="J82" s="3" t="n">
        <x:f>ROUND(J282*J402,2)</x:f>
        <x:v>535.48</x:v>
      </x:c>
      <x:c r="K82" s="3" t="n">
        <x:f>ROUND(K282*K402,2)</x:f>
        <x:v>107.89</x:v>
      </x:c>
      <x:c r="L82" s="3" t="n">
        <x:f>ROUND(L282*L402,2)</x:f>
        <x:v>184.66</x:v>
      </x:c>
      <x:c r="M82" s="3" t="n">
        <x:f>ROUND(M282*M402,2)</x:f>
        <x:v>71.96</x:v>
      </x:c>
      <x:c r="N82" s="3" t="n">
        <x:f>ROUND(N282*N402,2)</x:f>
        <x:v>169.25</x:v>
      </x:c>
      <x:c r="O82" s="3" t="n">
        <x:f>SUM(C82:N82)</x:f>
        <x:v>2987.6299999999997</x:v>
      </x:c>
      <x:c r="P82" s="2" t="str">
        <x:v>EXP1.022</x:v>
      </x:c>
      <x:c r="Q82" s="2" t="str">
        <x:v>演示占位-v1</x:v>
      </x:c>
      <x:c r="R82" s="2" t="str">
        <x:v>模拟权责发生制</x:v>
      </x:c>
      <x:c r="S82" s="2" t="str">
        <x:v>2027-01</x:v>
      </x:c>
      <x:c r="T82" s="2" t="str">
        <x:v>2027-06</x:v>
      </x:c>
      <x:c r="U82" s="2" t="str">
        <x:v>无</x:v>
      </x:c>
      <x:c r="V82" s="2" t="str">
        <x:v>无</x:v>
      </x:c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 t="str">
        <x:v>交通费</x:v>
      </x:c>
      <x:c r="C83" s="3" t="n">
        <x:f>ROUND(C283*C403,2)</x:f>
        <x:v>425.51</x:v>
      </x:c>
      <x:c r="D83" s="3" t="n">
        <x:f>ROUND(D283*D403,2)</x:f>
        <x:v>325.49</x:v>
      </x:c>
      <x:c r="E83" s="3" t="n">
        <x:f>ROUND(E283*E403,2)</x:f>
        <x:v>173.68</x:v>
      </x:c>
      <x:c r="F83" s="3" t="n">
        <x:f>ROUND(F283*F403,2)</x:f>
        <x:v>119.08</x:v>
      </x:c>
      <x:c r="G83" s="3" t="n">
        <x:f>ROUND(G283*G403,2)</x:f>
        <x:v>323.46</x:v>
      </x:c>
      <x:c r="H83" s="3" t="n">
        <x:f>ROUND(H283*H403,2)</x:f>
        <x:v>161.66</x:v>
      </x:c>
      <x:c r="I83" s="3" t="n">
        <x:f>ROUND(I283*I403,2)</x:f>
        <x:v>123.48</x:v>
      </x:c>
      <x:c r="J83" s="3" t="n">
        <x:f>ROUND(J283*J403,2)</x:f>
        <x:v>225.04</x:v>
      </x:c>
      <x:c r="K83" s="3" t="n">
        <x:f>ROUND(K283*K403,2)</x:f>
        <x:v>103.3</x:v>
      </x:c>
      <x:c r="L83" s="3" t="n">
        <x:f>ROUND(L283*L403,2)</x:f>
        <x:v>431.58</x:v>
      </x:c>
      <x:c r="M83" s="3" t="n">
        <x:f>ROUND(M283*M403,2)</x:f>
        <x:v>213.72</x:v>
      </x:c>
      <x:c r="N83" s="3" t="n">
        <x:f>ROUND(N283*N403,2)</x:f>
        <x:v>179.92</x:v>
      </x:c>
      <x:c r="O83" s="3" t="n">
        <x:f>SUM(C83:N83)</x:f>
        <x:v>2805.92</x:v>
      </x:c>
      <x:c r="P83" s="2" t="str">
        <x:v>EXP1.023</x:v>
      </x:c>
      <x:c r="Q83" s="2" t="str">
        <x:v>演示占位-v1</x:v>
      </x:c>
      <x:c r="R83" s="2" t="str">
        <x:v>模拟权责发生制</x:v>
      </x:c>
      <x:c r="S83" s="2" t="str">
        <x:v>2027-01</x:v>
      </x:c>
      <x:c r="T83" s="2" t="str">
        <x:v>2027-06</x:v>
      </x:c>
      <x:c r="U83" s="2" t="str">
        <x:v>无</x:v>
      </x:c>
      <x:c r="V83" s="2" t="str">
        <x:v>无</x:v>
      </x:c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 t="str">
        <x:v>差旅补贴</x:v>
      </x:c>
      <x:c r="C84" s="3" t="n">
        <x:f>ROUND(C284*C404,2)</x:f>
        <x:v>292.07</x:v>
      </x:c>
      <x:c r="D84" s="3" t="n">
        <x:f>ROUND(D284*D404,2)</x:f>
        <x:v>65.3</x:v>
      </x:c>
      <x:c r="E84" s="3" t="n">
        <x:f>ROUND(E284*E404,2)</x:f>
        <x:v>107.73</x:v>
      </x:c>
      <x:c r="F84" s="3" t="n">
        <x:f>ROUND(F284*F404,2)</x:f>
        <x:v>44.69</x:v>
      </x:c>
      <x:c r="G84" s="3" t="n">
        <x:f>ROUND(G284*G404,2)</x:f>
        <x:v>365.05</x:v>
      </x:c>
      <x:c r="H84" s="3" t="n">
        <x:f>ROUND(H284*H404,2)</x:f>
        <x:v>176.84</x:v>
      </x:c>
      <x:c r="I84" s="3" t="n">
        <x:f>ROUND(I284*I404,2)</x:f>
        <x:v>114.51</x:v>
      </x:c>
      <x:c r="J84" s="3" t="n">
        <x:f>ROUND(J284*J404,2)</x:f>
        <x:v>248.76</x:v>
      </x:c>
      <x:c r="K84" s="3" t="n">
        <x:f>ROUND(K284*K404,2)</x:f>
        <x:v>354.72</x:v>
      </x:c>
      <x:c r="L84" s="3" t="n">
        <x:f>ROUND(L284*L404,2)</x:f>
        <x:v>104.8</x:v>
      </x:c>
      <x:c r="M84" s="3" t="n">
        <x:f>ROUND(M284*M404,2)</x:f>
        <x:v>168.67</x:v>
      </x:c>
      <x:c r="N84" s="3" t="n">
        <x:f>ROUND(N284*N404,2)</x:f>
        <x:v>250.1</x:v>
      </x:c>
      <x:c r="O84" s="3" t="n">
        <x:f>SUM(C84:N84)</x:f>
        <x:v>2293.2400000000002</x:v>
      </x:c>
      <x:c r="P84" s="2" t="str">
        <x:v>EXP1.024</x:v>
      </x:c>
      <x:c r="Q84" s="2" t="str">
        <x:v>演示占位-v1</x:v>
      </x:c>
      <x:c r="R84" s="2" t="str">
        <x:v>模拟权责发生制</x:v>
      </x:c>
      <x:c r="S84" s="2" t="str">
        <x:v>2027-01</x:v>
      </x:c>
      <x:c r="T84" s="2" t="str">
        <x:v>2027-06</x:v>
      </x:c>
      <x:c r="U84" s="2" t="str">
        <x:v>无</x:v>
      </x:c>
      <x:c r="V84" s="2" t="str">
        <x:v>无</x:v>
      </x:c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 t="str">
        <x:v>业务招待费</x:v>
      </x:c>
      <x:c r="C85" s="3" t="n">
        <x:f>ROUND(C285*C405,2)</x:f>
        <x:v>454.1</x:v>
      </x:c>
      <x:c r="D85" s="3" t="n">
        <x:f>ROUND(D285*D405,2)</x:f>
        <x:v>320.24</x:v>
      </x:c>
      <x:c r="E85" s="3" t="n">
        <x:f>ROUND(E285*E405,2)</x:f>
        <x:v>458.08</x:v>
      </x:c>
      <x:c r="F85" s="3" t="n">
        <x:f>ROUND(F285*F405,2)</x:f>
        <x:v>280.73</x:v>
      </x:c>
      <x:c r="G85" s="3" t="n">
        <x:f>ROUND(G285*G405,2)</x:f>
        <x:v>441.16</x:v>
      </x:c>
      <x:c r="H85" s="3" t="n">
        <x:f>ROUND(H285*H405,2)</x:f>
        <x:v>177.52</x:v>
      </x:c>
      <x:c r="I85" s="3" t="n">
        <x:f>ROUND(I285*I405,2)</x:f>
        <x:v>268.75</x:v>
      </x:c>
      <x:c r="J85" s="3" t="n">
        <x:f>ROUND(J285*J405,2)</x:f>
        <x:v>188.7</x:v>
      </x:c>
      <x:c r="K85" s="3" t="n">
        <x:f>ROUND(K285*K405,2)</x:f>
        <x:v>311.83</x:v>
      </x:c>
      <x:c r="L85" s="3" t="n">
        <x:f>ROUND(L285*L405,2)</x:f>
        <x:v>85.31</x:v>
      </x:c>
      <x:c r="M85" s="3" t="n">
        <x:f>ROUND(M285*M405,2)</x:f>
        <x:v>337.36</x:v>
      </x:c>
      <x:c r="N85" s="3" t="n">
        <x:f>ROUND(N285*N405,2)</x:f>
        <x:v>489.12</x:v>
      </x:c>
      <x:c r="O85" s="3" t="n">
        <x:f>SUM(C85:N85)</x:f>
        <x:v>3812.9</x:v>
      </x:c>
      <x:c r="P85" s="2" t="str">
        <x:v>EXP1.025</x:v>
      </x:c>
      <x:c r="Q85" s="2" t="str">
        <x:v>演示占位-v1</x:v>
      </x:c>
      <x:c r="R85" s="2" t="str">
        <x:v>模拟权责发生制</x:v>
      </x:c>
      <x:c r="S85" s="2" t="str">
        <x:v>2027-01</x:v>
      </x:c>
      <x:c r="T85" s="2" t="str">
        <x:v>2027-06</x:v>
      </x:c>
      <x:c r="U85" s="2" t="str">
        <x:v>无</x:v>
      </x:c>
      <x:c r="V85" s="2" t="str">
        <x:v>无</x:v>
      </x:c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 t="str">
        <x:v>市内交通费</x:v>
      </x:c>
      <x:c r="C86" s="3" t="n">
        <x:f>ROUND(C286*C406,2)</x:f>
        <x:v>420.01</x:v>
      </x:c>
      <x:c r="D86" s="3" t="n">
        <x:f>ROUND(D286*D406,2)</x:f>
        <x:v>233.05</x:v>
      </x:c>
      <x:c r="E86" s="3" t="n">
        <x:f>ROUND(E286*E406,2)</x:f>
        <x:v>141.25</x:v>
      </x:c>
      <x:c r="F86" s="3" t="n">
        <x:f>ROUND(F286*F406,2)</x:f>
        <x:v>136.02</x:v>
      </x:c>
      <x:c r="G86" s="3" t="n">
        <x:f>ROUND(G286*G406,2)</x:f>
        <x:v>244.63</x:v>
      </x:c>
      <x:c r="H86" s="3" t="n">
        <x:f>ROUND(H286*H406,2)</x:f>
        <x:v>152.25</x:v>
      </x:c>
      <x:c r="I86" s="3" t="n">
        <x:f>ROUND(I286*I406,2)</x:f>
        <x:v>102.64</x:v>
      </x:c>
      <x:c r="J86" s="3" t="n">
        <x:f>ROUND(J286*J406,2)</x:f>
        <x:v>248.9</x:v>
      </x:c>
      <x:c r="K86" s="3" t="n">
        <x:f>ROUND(K286*K406,2)</x:f>
        <x:v>448.69</x:v>
      </x:c>
      <x:c r="L86" s="3" t="n">
        <x:f>ROUND(L286*L406,2)</x:f>
        <x:v>218.7</x:v>
      </x:c>
      <x:c r="M86" s="3" t="n">
        <x:f>ROUND(M286*M406,2)</x:f>
        <x:v>351.41</x:v>
      </x:c>
      <x:c r="N86" s="3" t="n">
        <x:f>ROUND(N286*N406,2)</x:f>
        <x:v>112.4</x:v>
      </x:c>
      <x:c r="O86" s="3" t="n">
        <x:f>SUM(C86:N86)</x:f>
        <x:v>2809.95</x:v>
      </x:c>
      <x:c r="P86" s="2" t="str">
        <x:v>EXP1.026</x:v>
      </x:c>
      <x:c r="Q86" s="2" t="str">
        <x:v>演示占位-v1</x:v>
      </x:c>
      <x:c r="R86" s="2" t="str">
        <x:v>模拟权责发生制</x:v>
      </x:c>
      <x:c r="S86" s="2" t="str">
        <x:v>2027-01</x:v>
      </x:c>
      <x:c r="T86" s="2" t="str">
        <x:v>2027-06</x:v>
      </x:c>
      <x:c r="U86" s="2" t="str">
        <x:v>无</x:v>
      </x:c>
      <x:c r="V86" s="2" t="str">
        <x:v>无</x:v>
      </x:c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 t="str">
        <x:v>调研费用</x:v>
      </x:c>
      <x:c r="C87" s="3" t="n">
        <x:f>ROUND(C287*C407,2)</x:f>
        <x:v>316.77</x:v>
      </x:c>
      <x:c r="D87" s="3" t="n">
        <x:f>ROUND(D287*D407,2)</x:f>
        <x:v>102.68</x:v>
      </x:c>
      <x:c r="E87" s="3" t="n">
        <x:f>ROUND(E287*E407,2)</x:f>
        <x:v>166.49</x:v>
      </x:c>
      <x:c r="F87" s="3" t="n">
        <x:f>ROUND(F287*F407,2)</x:f>
        <x:v>153.97</x:v>
      </x:c>
      <x:c r="G87" s="3" t="n">
        <x:f>ROUND(G287*G407,2)</x:f>
        <x:v>207.18</x:v>
      </x:c>
      <x:c r="H87" s="3" t="n">
        <x:f>ROUND(H287*H407,2)</x:f>
        <x:v>214.53</x:v>
      </x:c>
      <x:c r="I87" s="3" t="n">
        <x:f>ROUND(I287*I407,2)</x:f>
        <x:v>233.04</x:v>
      </x:c>
      <x:c r="J87" s="3" t="n">
        <x:f>ROUND(J287*J407,2)</x:f>
        <x:v>119.06</x:v>
      </x:c>
      <x:c r="K87" s="3" t="n">
        <x:f>ROUND(K287*K407,2)</x:f>
        <x:v>229.81</x:v>
      </x:c>
      <x:c r="L87" s="3" t="n">
        <x:f>ROUND(L287*L407,2)</x:f>
        <x:v>137.24</x:v>
      </x:c>
      <x:c r="M87" s="3" t="n">
        <x:f>ROUND(M287*M407,2)</x:f>
        <x:v>405.55</x:v>
      </x:c>
      <x:c r="N87" s="3" t="n">
        <x:f>ROUND(N287*N407,2)</x:f>
        <x:v>222.04</x:v>
      </x:c>
      <x:c r="O87" s="3" t="n">
        <x:f>SUM(C87:N87)</x:f>
        <x:v>2508.36</x:v>
      </x:c>
      <x:c r="P87" s="2" t="str">
        <x:v>EXP1.027</x:v>
      </x:c>
      <x:c r="Q87" s="2" t="str">
        <x:v>演示占位-v1</x:v>
      </x:c>
      <x:c r="R87" s="2" t="str">
        <x:v>模拟权责发生制</x:v>
      </x:c>
      <x:c r="S87" s="2" t="str">
        <x:v>2027-01</x:v>
      </x:c>
      <x:c r="T87" s="2" t="str">
        <x:v>2027-06</x:v>
      </x:c>
      <x:c r="U87" s="2" t="str">
        <x:v>无</x:v>
      </x:c>
      <x:c r="V87" s="2" t="str">
        <x:v>无</x:v>
      </x:c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 t="str">
        <x:v>手续费</x:v>
      </x:c>
      <x:c r="C88" s="3" t="n">
        <x:f>ROUND(C288*C408,2)</x:f>
        <x:v>288.45</x:v>
      </x:c>
      <x:c r="D88" s="3" t="n">
        <x:f>ROUND(D288*D408,2)</x:f>
        <x:v>41.31</x:v>
      </x:c>
      <x:c r="E88" s="3" t="n">
        <x:f>ROUND(E288*E408,2)</x:f>
        <x:v>151.18</x:v>
      </x:c>
      <x:c r="F88" s="3" t="n">
        <x:f>ROUND(F288*F408,2)</x:f>
        <x:v>142.38</x:v>
      </x:c>
      <x:c r="G88" s="3" t="n">
        <x:f>ROUND(G288*G408,2)</x:f>
        <x:v>319.97</x:v>
      </x:c>
      <x:c r="H88" s="3" t="n">
        <x:f>ROUND(H288*H408,2)</x:f>
        <x:v>258.68</x:v>
      </x:c>
      <x:c r="I88" s="3" t="n">
        <x:f>ROUND(I288*I408,2)</x:f>
        <x:v>264.81</x:v>
      </x:c>
      <x:c r="J88" s="3" t="n">
        <x:f>ROUND(J288*J408,2)</x:f>
        <x:v>468.77</x:v>
      </x:c>
      <x:c r="K88" s="3" t="n">
        <x:f>ROUND(K288*K408,2)</x:f>
        <x:v>248.53</x:v>
      </x:c>
      <x:c r="L88" s="3" t="n">
        <x:f>ROUND(L288*L408,2)</x:f>
        <x:v>61.05</x:v>
      </x:c>
      <x:c r="M88" s="3" t="n">
        <x:f>ROUND(M288*M408,2)</x:f>
        <x:v>104.19</x:v>
      </x:c>
      <x:c r="N88" s="3" t="n">
        <x:f>ROUND(N288*N408,2)</x:f>
        <x:v>260.94</x:v>
      </x:c>
      <x:c r="O88" s="3" t="n">
        <x:f>SUM(C88:N88)</x:f>
        <x:v>2610.26</x:v>
      </x:c>
      <x:c r="P88" s="2" t="str">
        <x:v>EXP1.028</x:v>
      </x:c>
      <x:c r="Q88" s="2" t="str">
        <x:v>演示占位-v1</x:v>
      </x:c>
      <x:c r="R88" s="2" t="str">
        <x:v>模拟权责发生制</x:v>
      </x:c>
      <x:c r="S88" s="2" t="str">
        <x:v>2027-01</x:v>
      </x:c>
      <x:c r="T88" s="2" t="str">
        <x:v>2027-06</x:v>
      </x:c>
      <x:c r="U88" s="2" t="str">
        <x:v>无</x:v>
      </x:c>
      <x:c r="V88" s="2" t="str">
        <x:v>无</x:v>
      </x:c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 t="str">
        <x:v>利息收入</x:v>
      </x:c>
      <x:c r="C89" s="3" t="n">
        <x:f>0</x:f>
        <x:v>0</x:v>
      </x:c>
      <x:c r="D89" s="3" t="n">
        <x:f>0</x:f>
        <x:v>0</x:v>
      </x:c>
      <x:c r="E89" s="3" t="n">
        <x:f>0</x:f>
        <x:v>0</x:v>
      </x:c>
      <x:c r="F89" s="3" t="n">
        <x:f>0</x:f>
        <x:v>0</x:v>
      </x:c>
      <x:c r="G89" s="3" t="n">
        <x:f>0</x:f>
        <x:v>0</x:v>
      </x:c>
      <x:c r="H89" s="3" t="n">
        <x:f>0</x:f>
        <x:v>0</x:v>
      </x:c>
      <x:c r="I89" s="3" t="n">
        <x:f>0</x:f>
        <x:v>0</x:v>
      </x:c>
      <x:c r="J89" s="3" t="n">
        <x:f>0</x:f>
        <x:v>0</x:v>
      </x:c>
      <x:c r="K89" s="3" t="n">
        <x:f>0</x:f>
        <x:v>0</x:v>
      </x:c>
      <x:c r="L89" s="3" t="n">
        <x:f>0</x:f>
        <x:v>0</x:v>
      </x:c>
      <x:c r="M89" s="3" t="n">
        <x:f>0</x:f>
        <x:v>0</x:v>
      </x:c>
      <x:c r="N89" s="3" t="n">
        <x:f>0</x:f>
        <x:v>0</x:v>
      </x:c>
      <x:c r="O89" s="3" t="n">
        <x:f>SUM(C89:N89)</x:f>
        <x:v>0</x:v>
      </x:c>
      <x:c r="P89" s="2" t="str">
        <x:v>EXP1.029</x:v>
      </x:c>
      <x:c r="Q89" s="2" t="str">
        <x:v>演示占位-v1</x:v>
      </x:c>
      <x:c r="R89" s="2" t="str">
        <x:v>模拟权责发生制</x:v>
      </x:c>
      <x:c r="S89" s="2" t="str">
        <x:v>2027-01</x:v>
      </x:c>
      <x:c r="T89" s="2" t="str">
        <x:v>2027-06</x:v>
      </x:c>
      <x:c r="U89" s="2" t="str">
        <x:v>无</x:v>
      </x:c>
      <x:c r="V89" s="2" t="str">
        <x:v>无</x:v>
      </x:c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利息支出</x:v>
      </x:c>
      <x:c r="C90" s="6" t="n">
        <x:f>ROUND(C290*C410,2)</x:f>
        <x:v>483.02</x:v>
      </x:c>
      <x:c r="D90" s="6" t="n">
        <x:f>ROUND(D290*D410,2)</x:f>
        <x:v>189.51</x:v>
      </x:c>
      <x:c r="E90" s="6" t="n">
        <x:f>ROUND(E290*E410,2)</x:f>
        <x:v>162.6</x:v>
      </x:c>
      <x:c r="F90" s="6" t="n">
        <x:f>ROUND(F290*F410,2)</x:f>
        <x:v>212.35</x:v>
      </x:c>
      <x:c r="G90" s="6" t="n">
        <x:f>ROUND(G290*G410,2)</x:f>
        <x:v>540.16</x:v>
      </x:c>
      <x:c r="H90" s="6" t="n">
        <x:f>ROUND(H290*H410,2)</x:f>
        <x:v>212.26</x:v>
      </x:c>
      <x:c r="I90" s="6" t="n">
        <x:f>ROUND(I290*I410,2)</x:f>
        <x:v>273.04</x:v>
      </x:c>
      <x:c r="J90" s="6" t="n">
        <x:f>ROUND(J290*J410,2)</x:f>
        <x:v>204.47</x:v>
      </x:c>
      <x:c r="K90" s="6" t="n">
        <x:f>ROUND(K290*K410,2)</x:f>
        <x:v>244.57</x:v>
      </x:c>
      <x:c r="L90" s="6" t="n">
        <x:f>ROUND(L290*L410,2)</x:f>
        <x:v>113.87</x:v>
      </x:c>
      <x:c r="M90" s="6" t="n">
        <x:f>ROUND(M290*M410,2)</x:f>
        <x:v>493.27</x:v>
      </x:c>
      <x:c r="N90" s="6" t="n">
        <x:f>ROUND(N290*N410,2)</x:f>
        <x:v>183.34</x:v>
      </x:c>
      <x:c r="O90" s="6" t="n">
        <x:f>SUM(C90:N90)</x:f>
        <x:v>3312.46</x:v>
      </x:c>
      <x:c r="P90" s="2" t="str">
        <x:v>EXP1.030</x:v>
      </x:c>
      <x:c r="Q90" s="2" t="str">
        <x:v>演示占位-v1</x:v>
      </x:c>
      <x:c r="R90" s="2" t="str">
        <x:v>模拟权责发生制</x:v>
      </x:c>
      <x:c r="S90" s="2" t="str">
        <x:v>2027-01</x:v>
      </x:c>
      <x:c r="T90" s="2" t="str">
        <x:v>2027-06</x:v>
      </x:c>
      <x:c r="U90" s="2" t="str">
        <x:v>无</x:v>
      </x:c>
      <x:c r="V90" s="2" t="str">
        <x:v>无</x:v>
      </x:c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车船税</x:v>
      </x:c>
      <x:c r="C91" s="3" t="n">
        <x:f>ROUND(C291*C411,2)</x:f>
        <x:v>408.85</x:v>
      </x:c>
      <x:c r="D91" s="3" t="n">
        <x:f>ROUND(D291*D411,2)</x:f>
        <x:v>243.15</x:v>
      </x:c>
      <x:c r="E91" s="3" t="n">
        <x:f>ROUND(E291*E411,2)</x:f>
        <x:v>453.05</x:v>
      </x:c>
      <x:c r="F91" s="3" t="n">
        <x:f>ROUND(F291*F411,2)</x:f>
        <x:v>461.45</x:v>
      </x:c>
      <x:c r="G91" s="3" t="n">
        <x:f>ROUND(G291*G411,2)</x:f>
        <x:v>375.24</x:v>
      </x:c>
      <x:c r="H91" s="3" t="n">
        <x:f>ROUND(H291*H411,2)</x:f>
        <x:v>320.03</x:v>
      </x:c>
      <x:c r="I91" s="3" t="n">
        <x:f>ROUND(I291*I411,2)</x:f>
        <x:v>123.2</x:v>
      </x:c>
      <x:c r="J91" s="3" t="n">
        <x:f>ROUND(J291*J411,2)</x:f>
        <x:v>236.56</x:v>
      </x:c>
      <x:c r="K91" s="3" t="n">
        <x:f>ROUND(K291*K411,2)</x:f>
        <x:v>270.26</x:v>
      </x:c>
      <x:c r="L91" s="3" t="n">
        <x:f>ROUND(L291*L411,2)</x:f>
        <x:v>157.05</x:v>
      </x:c>
      <x:c r="M91" s="3" t="n">
        <x:f>ROUND(M291*M411,2)</x:f>
        <x:v>199.32</x:v>
      </x:c>
      <x:c r="N91" s="3" t="n">
        <x:f>ROUND(N291*N411,2)</x:f>
        <x:v>412.59</x:v>
      </x:c>
      <x:c r="O91" s="3" t="n">
        <x:f>SUM(C91:N91)</x:f>
        <x:v>3660.7500000000005</x:v>
      </x:c>
      <x:c r="P91" s="2" t="str">
        <x:v>EXP1.031</x:v>
      </x:c>
      <x:c r="Q91" s="2" t="str">
        <x:v>演示占位-v1</x:v>
      </x:c>
      <x:c r="R91" s="2" t="str">
        <x:v>模拟权责发生制</x:v>
      </x:c>
      <x:c r="S91" s="2" t="str">
        <x:v>2027-01</x:v>
      </x:c>
      <x:c r="T91" s="2" t="str">
        <x:v>2027-06</x:v>
      </x:c>
      <x:c r="U91" s="2" t="str">
        <x:v>无</x:v>
      </x:c>
      <x:c r="V91" s="2" t="str">
        <x:v>无</x:v>
      </x:c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印花税</x:v>
      </x:c>
      <x:c r="C92" s="3" t="n">
        <x:f>ROUND(C292*C412,2)</x:f>
        <x:v>175.01</x:v>
      </x:c>
      <x:c r="D92" s="3" t="n">
        <x:f>ROUND(D292*D412,2)</x:f>
        <x:v>161.3</x:v>
      </x:c>
      <x:c r="E92" s="3" t="n">
        <x:f>ROUND(E292*E412,2)</x:f>
        <x:v>217.27</x:v>
      </x:c>
      <x:c r="F92" s="3" t="n">
        <x:f>ROUND(F292*F412,2)</x:f>
        <x:v>438.37</x:v>
      </x:c>
      <x:c r="G92" s="3" t="n">
        <x:f>ROUND(G292*G412,2)</x:f>
        <x:v>275.18</x:v>
      </x:c>
      <x:c r="H92" s="3" t="n">
        <x:f>ROUND(H292*H412,2)</x:f>
        <x:v>351.6</x:v>
      </x:c>
      <x:c r="I92" s="3" t="n">
        <x:f>ROUND(I292*I412,2)</x:f>
        <x:v>280.13</x:v>
      </x:c>
      <x:c r="J92" s="3" t="n">
        <x:f>ROUND(J292*J412,2)</x:f>
        <x:v>145.88</x:v>
      </x:c>
      <x:c r="K92" s="3" t="n">
        <x:f>ROUND(K292*K412,2)</x:f>
        <x:v>287.18</x:v>
      </x:c>
      <x:c r="L92" s="3" t="n">
        <x:f>ROUND(L292*L412,2)</x:f>
        <x:v>144.21</x:v>
      </x:c>
      <x:c r="M92" s="3" t="n">
        <x:f>ROUND(M292*M412,2)</x:f>
        <x:v>173.71</x:v>
      </x:c>
      <x:c r="N92" s="3" t="n">
        <x:f>ROUND(N292*N412,2)</x:f>
        <x:v>293.78</x:v>
      </x:c>
      <x:c r="O92" s="3" t="n">
        <x:f>SUM(C92:N92)</x:f>
        <x:v>2943.62</x:v>
      </x:c>
      <x:c r="P92" s="2" t="str">
        <x:v>EXP1.032</x:v>
      </x:c>
      <x:c r="Q92" s="2" t="str">
        <x:v>演示占位-v1</x:v>
      </x:c>
      <x:c r="R92" s="2" t="str">
        <x:v>模拟权责发生制</x:v>
      </x:c>
      <x:c r="S92" s="2" t="str">
        <x:v>2027-01</x:v>
      </x:c>
      <x:c r="T92" s="2" t="str">
        <x:v>2027-06</x:v>
      </x:c>
      <x:c r="U92" s="2" t="str">
        <x:v>无</x:v>
      </x:c>
      <x:c r="V92" s="2" t="str">
        <x:v>无</x:v>
      </x:c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其他</x:v>
      </x:c>
      <x:c r="C93" s="3" t="n">
        <x:f>ROUND(C293*C413,2)</x:f>
        <x:v>96.57</x:v>
      </x:c>
      <x:c r="D93" s="3" t="n">
        <x:f>ROUND(D293*D413,2)</x:f>
        <x:v>154.25</x:v>
      </x:c>
      <x:c r="E93" s="3" t="n">
        <x:f>ROUND(E293*E413,2)</x:f>
        <x:v>113.16</x:v>
      </x:c>
      <x:c r="F93" s="3" t="n">
        <x:f>ROUND(F293*F413,2)</x:f>
        <x:v>152.15</x:v>
      </x:c>
      <x:c r="G93" s="3" t="n">
        <x:f>ROUND(G293*G413,2)</x:f>
        <x:v>68.63</x:v>
      </x:c>
      <x:c r="H93" s="3" t="n">
        <x:f>ROUND(H293*H413,2)</x:f>
        <x:v>229.21</x:v>
      </x:c>
      <x:c r="I93" s="3" t="n">
        <x:f>ROUND(I293*I413,2)</x:f>
        <x:v>456.97</x:v>
      </x:c>
      <x:c r="J93" s="3" t="n">
        <x:f>ROUND(J293*J413,2)</x:f>
        <x:v>223.97</x:v>
      </x:c>
      <x:c r="K93" s="3" t="n">
        <x:f>ROUND(K293*K413,2)</x:f>
        <x:v>108.47</x:v>
      </x:c>
      <x:c r="L93" s="3" t="n">
        <x:f>ROUND(L293*L413,2)</x:f>
        <x:v>298.14</x:v>
      </x:c>
      <x:c r="M93" s="3" t="n">
        <x:f>ROUND(M293*M413,2)</x:f>
        <x:v>265.14</x:v>
      </x:c>
      <x:c r="N93" s="3" t="n">
        <x:f>ROUND(N293*N413,2)</x:f>
        <x:v>299.5</x:v>
      </x:c>
      <x:c r="O93" s="3" t="n">
        <x:f>SUM(C93:N93)</x:f>
        <x:v>2466.16</x:v>
      </x:c>
      <x:c r="P93" s="2" t="str">
        <x:v>EXP1.033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 t="str">
        <x:v>合计</x:v>
      </x:c>
      <x:c r="B94" s="2"/>
      <x:c r="C94" s="3" t="n">
        <x:f>SUM(C64:C93)</x:f>
        <x:v>8698.89</x:v>
      </x:c>
      <x:c r="D94" s="3" t="n">
        <x:f>SUM(D64:D93)</x:f>
        <x:v>6167.590000000001</x:v>
      </x:c>
      <x:c r="E94" s="3" t="n">
        <x:f>SUM(E64:E93)</x:f>
        <x:v>6839.72</x:v>
      </x:c>
      <x:c r="F94" s="3" t="n">
        <x:f>SUM(F64:F93)</x:f>
        <x:v>7756.4</x:v>
      </x:c>
      <x:c r="G94" s="3" t="n">
        <x:f>SUM(G64:G93)</x:f>
        <x:v>8261.05</x:v>
      </x:c>
      <x:c r="H94" s="3" t="n">
        <x:f>SUM(H64:H93)</x:f>
        <x:v>6535.910000000002</x:v>
      </x:c>
      <x:c r="I94" s="3" t="n">
        <x:f>SUM(I64:I93)</x:f>
        <x:v>6234.630000000001</x:v>
      </x:c>
      <x:c r="J94" s="3" t="n">
        <x:f>SUM(J64:J93)</x:f>
        <x:v>7532.360000000001</x:v>
      </x:c>
      <x:c r="K94" s="3" t="n">
        <x:f>SUM(K64:K93)</x:f>
        <x:v>7819.06</x:v>
      </x:c>
      <x:c r="L94" s="3" t="n">
        <x:f>SUM(L64:L93)</x:f>
        <x:v>6262.320000000001</x:v>
      </x:c>
      <x:c r="M94" s="3" t="n">
        <x:f>SUM(M64:M93)</x:f>
        <x:v>7669.549999999999</x:v>
      </x:c>
      <x:c r="N94" s="3" t="n">
        <x:f>SUM(N64:N93)</x:f>
        <x:v>8102.379999999999</x:v>
      </x:c>
      <x:c r="O94" s="3" t="n">
        <x:f>SUM(C94:N94)</x:f>
        <x:v>87879.86000000002</x:v>
      </x:c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21.99</x:v>
      </x:c>
      <x:c r="D204" s="4" t="n">
        <x:v>26.85</x:v>
      </x:c>
      <x:c r="E204" s="4" t="n">
        <x:v>65.11</x:v>
      </x:c>
      <x:c r="F204" s="4" t="n">
        <x:v>21.42</x:v>
      </x:c>
      <x:c r="G204" s="4" t="n">
        <x:v>48.74</x:v>
      </x:c>
      <x:c r="H204" s="4" t="n">
        <x:v>29.44</x:v>
      </x:c>
      <x:c r="I204" s="4" t="n">
        <x:v>65.13</x:v>
      </x:c>
      <x:c r="J204" s="4" t="n">
        <x:v>56.49</x:v>
      </x:c>
      <x:c r="K204" s="4" t="n">
        <x:v>35.51</x:v>
      </x:c>
      <x:c r="L204" s="4" t="n">
        <x:v>43.41</x:v>
      </x:c>
      <x:c r="M204" s="4" t="n">
        <x:v>29.3</x:v>
      </x:c>
      <x:c r="N204" s="4" t="n">
        <x:v>21.1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44.01</x:v>
      </x:c>
      <x:c r="D205" s="4" t="n">
        <x:v>23.62</x:v>
      </x:c>
      <x:c r="E205" s="4" t="n">
        <x:v>48.8</x:v>
      </x:c>
      <x:c r="F205" s="4" t="n">
        <x:v>36.54</x:v>
      </x:c>
      <x:c r="G205" s="4" t="n">
        <x:v>52.04</x:v>
      </x:c>
      <x:c r="H205" s="4" t="n">
        <x:v>31.29</x:v>
      </x:c>
      <x:c r="I205" s="4" t="n">
        <x:v>45.64</x:v>
      </x:c>
      <x:c r="J205" s="4" t="n">
        <x:v>29.35</x:v>
      </x:c>
      <x:c r="K205" s="4" t="n">
        <x:v>59.38</x:v>
      </x:c>
      <x:c r="L205" s="4" t="n">
        <x:v>47.02</x:v>
      </x:c>
      <x:c r="M205" s="4" t="n">
        <x:v>48.95</x:v>
      </x:c>
      <x:c r="N205" s="4" t="n">
        <x:v>46.47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34.21</x:v>
      </x:c>
      <x:c r="D206" s="4" t="n">
        <x:v>22.47</x:v>
      </x:c>
      <x:c r="E206" s="4" t="n">
        <x:v>26.26</x:v>
      </x:c>
      <x:c r="F206" s="4" t="n">
        <x:v>28.54</x:v>
      </x:c>
      <x:c r="G206" s="4" t="n">
        <x:v>55</x:v>
      </x:c>
      <x:c r="H206" s="4" t="n">
        <x:v>18.22</x:v>
      </x:c>
      <x:c r="I206" s="4" t="n">
        <x:v>38.6</x:v>
      </x:c>
      <x:c r="J206" s="4" t="n">
        <x:v>58.17</x:v>
      </x:c>
      <x:c r="K206" s="4" t="n">
        <x:v>28.61</x:v>
      </x:c>
      <x:c r="L206" s="4" t="n">
        <x:v>24.6</x:v>
      </x:c>
      <x:c r="M206" s="4" t="n">
        <x:v>30.63</x:v>
      </x:c>
      <x:c r="N206" s="4" t="n">
        <x:v>33.7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42.26</x:v>
      </x:c>
      <x:c r="D207" s="4" t="n">
        <x:v>44.77</x:v>
      </x:c>
      <x:c r="E207" s="4" t="n">
        <x:v>55.15</x:v>
      </x:c>
      <x:c r="F207" s="4" t="n">
        <x:v>36.79</x:v>
      </x:c>
      <x:c r="G207" s="4" t="n">
        <x:v>63.81</x:v>
      </x:c>
      <x:c r="H207" s="4" t="n">
        <x:v>20.89</x:v>
      </x:c>
      <x:c r="I207" s="4" t="n">
        <x:v>67.27</x:v>
      </x:c>
      <x:c r="J207" s="4" t="n">
        <x:v>52.65</x:v>
      </x:c>
      <x:c r="K207" s="4" t="n">
        <x:v>20.12</x:v>
      </x:c>
      <x:c r="L207" s="4" t="n">
        <x:v>28.3</x:v>
      </x:c>
      <x:c r="M207" s="4" t="n">
        <x:v>46.55</x:v>
      </x:c>
      <x:c r="N207" s="4" t="n">
        <x:v>40.7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63.09</x:v>
      </x:c>
      <x:c r="D208" s="4" t="n">
        <x:v>58.5</x:v>
      </x:c>
      <x:c r="E208" s="4" t="n">
        <x:v>30.56</x:v>
      </x:c>
      <x:c r="F208" s="4" t="n">
        <x:v>47.34</x:v>
      </x:c>
      <x:c r="G208" s="4" t="n">
        <x:v>30.42</x:v>
      </x:c>
      <x:c r="H208" s="4" t="n">
        <x:v>37.46</x:v>
      </x:c>
      <x:c r="I208" s="4" t="n">
        <x:v>23.75</x:v>
      </x:c>
      <x:c r="J208" s="4" t="n">
        <x:v>48.85</x:v>
      </x:c>
      <x:c r="K208" s="4" t="n">
        <x:v>46.82</x:v>
      </x:c>
      <x:c r="L208" s="4" t="n">
        <x:v>30.35</x:v>
      </x:c>
      <x:c r="M208" s="4" t="n">
        <x:v>63.47</x:v>
      </x:c>
      <x:c r="N208" s="4" t="n">
        <x:v>52.84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40.27</x:v>
      </x:c>
      <x:c r="D209" s="4" t="n">
        <x:v>67.82</x:v>
      </x:c>
      <x:c r="E209" s="4" t="n">
        <x:v>60.29</x:v>
      </x:c>
      <x:c r="F209" s="4" t="n">
        <x:v>41.84</x:v>
      </x:c>
      <x:c r="G209" s="4" t="n">
        <x:v>59.8</x:v>
      </x:c>
      <x:c r="H209" s="4" t="n">
        <x:v>39.38</x:v>
      </x:c>
      <x:c r="I209" s="4" t="n">
        <x:v>29.17</x:v>
      </x:c>
      <x:c r="J209" s="4" t="n">
        <x:v>57.54</x:v>
      </x:c>
      <x:c r="K209" s="4" t="n">
        <x:v>25.27</x:v>
      </x:c>
      <x:c r="L209" s="4" t="n">
        <x:v>29.42</x:v>
      </x:c>
      <x:c r="M209" s="4" t="n">
        <x:v>62.86</x:v>
      </x:c>
      <x:c r="N209" s="4" t="n">
        <x:v>52.63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57.79</x:v>
      </x:c>
      <x:c r="D210" s="4" t="n">
        <x:v>52.78</x:v>
      </x:c>
      <x:c r="E210" s="4" t="n">
        <x:v>53.99</x:v>
      </x:c>
      <x:c r="F210" s="4" t="n">
        <x:v>54.43</x:v>
      </x:c>
      <x:c r="G210" s="4" t="n">
        <x:v>18.82</x:v>
      </x:c>
      <x:c r="H210" s="4" t="n">
        <x:v>44.47</x:v>
      </x:c>
      <x:c r="I210" s="4" t="n">
        <x:v>45.9</x:v>
      </x:c>
      <x:c r="J210" s="4" t="n">
        <x:v>39.45</x:v>
      </x:c>
      <x:c r="K210" s="4" t="n">
        <x:v>40.99</x:v>
      </x:c>
      <x:c r="L210" s="4" t="n">
        <x:v>50.43</x:v>
      </x:c>
      <x:c r="M210" s="4" t="n">
        <x:v>57.33</x:v>
      </x:c>
      <x:c r="N210" s="4" t="n">
        <x:v>40.79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22.57</x:v>
      </x:c>
      <x:c r="D211" s="4" t="n">
        <x:v>64.16</x:v>
      </x:c>
      <x:c r="E211" s="4" t="n">
        <x:v>25.64</x:v>
      </x:c>
      <x:c r="F211" s="4" t="n">
        <x:v>24.86</x:v>
      </x:c>
      <x:c r="G211" s="4" t="n">
        <x:v>31.76</x:v>
      </x:c>
      <x:c r="H211" s="4" t="n">
        <x:v>67.05</x:v>
      </x:c>
      <x:c r="I211" s="4" t="n">
        <x:v>64.15</x:v>
      </x:c>
      <x:c r="J211" s="4" t="n">
        <x:v>39.09</x:v>
      </x:c>
      <x:c r="K211" s="4" t="n">
        <x:v>19.62</x:v>
      </x:c>
      <x:c r="L211" s="4" t="n">
        <x:v>29.92</x:v>
      </x:c>
      <x:c r="M211" s="4" t="n">
        <x:v>49.67</x:v>
      </x:c>
      <x:c r="N211" s="4" t="n">
        <x:v>53.72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20.18</x:v>
      </x:c>
      <x:c r="D212" s="4" t="n">
        <x:v>19.36</x:v>
      </x:c>
      <x:c r="E212" s="4" t="n">
        <x:v>61.53</x:v>
      </x:c>
      <x:c r="F212" s="4" t="n">
        <x:v>41.71</x:v>
      </x:c>
      <x:c r="G212" s="4" t="n">
        <x:v>40.52</x:v>
      </x:c>
      <x:c r="H212" s="4" t="n">
        <x:v>59.95</x:v>
      </x:c>
      <x:c r="I212" s="4" t="n">
        <x:v>26.23</x:v>
      </x:c>
      <x:c r="J212" s="4" t="n">
        <x:v>33.13</x:v>
      </x:c>
      <x:c r="K212" s="4" t="n">
        <x:v>27.14</x:v>
      </x:c>
      <x:c r="L212" s="4" t="n">
        <x:v>59.23</x:v>
      </x:c>
      <x:c r="M212" s="4" t="n">
        <x:v>45.92</x:v>
      </x:c>
      <x:c r="N212" s="4" t="n">
        <x:v>18.81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67.06</x:v>
      </x:c>
      <x:c r="D213" s="4" t="n">
        <x:v>45.78</x:v>
      </x:c>
      <x:c r="E213" s="4" t="n">
        <x:v>19.86</x:v>
      </x:c>
      <x:c r="F213" s="4" t="n">
        <x:v>46.71</x:v>
      </x:c>
      <x:c r="G213" s="4" t="n">
        <x:v>38.66</x:v>
      </x:c>
      <x:c r="H213" s="4" t="n">
        <x:v>24.11</x:v>
      </x:c>
      <x:c r="I213" s="4" t="n">
        <x:v>37.94</x:v>
      </x:c>
      <x:c r="J213" s="4" t="n">
        <x:v>31.97</x:v>
      </x:c>
      <x:c r="K213" s="4" t="n">
        <x:v>45.57</x:v>
      </x:c>
      <x:c r="L213" s="4" t="n">
        <x:v>54.76</x:v>
      </x:c>
      <x:c r="M213" s="4" t="n">
        <x:v>18.76</x:v>
      </x:c>
      <x:c r="N213" s="4" t="n">
        <x:v>50.69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21.51</x:v>
      </x:c>
      <x:c r="D214" s="4" t="n">
        <x:v>52.33</x:v>
      </x:c>
      <x:c r="E214" s="4" t="n">
        <x:v>45.69</x:v>
      </x:c>
      <x:c r="F214" s="4" t="n">
        <x:v>49.13</x:v>
      </x:c>
      <x:c r="G214" s="4" t="n">
        <x:v>21.19</x:v>
      </x:c>
      <x:c r="H214" s="4" t="n">
        <x:v>59.63</x:v>
      </x:c>
      <x:c r="I214" s="4" t="n">
        <x:v>52.51</x:v>
      </x:c>
      <x:c r="J214" s="4" t="n">
        <x:v>34.91</x:v>
      </x:c>
      <x:c r="K214" s="4" t="n">
        <x:v>51.68</x:v>
      </x:c>
      <x:c r="L214" s="4" t="n">
        <x:v>37.39</x:v>
      </x:c>
      <x:c r="M214" s="4" t="n">
        <x:v>56.76</x:v>
      </x:c>
      <x:c r="N214" s="4" t="n">
        <x:v>17.59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64.3</x:v>
      </x:c>
      <x:c r="D215" s="4" t="n">
        <x:v>65.03</x:v>
      </x:c>
      <x:c r="E215" s="4" t="n">
        <x:v>46.96</x:v>
      </x:c>
      <x:c r="F215" s="4" t="n">
        <x:v>30.48</x:v>
      </x:c>
      <x:c r="G215" s="4" t="n">
        <x:v>37.55</x:v>
      </x:c>
      <x:c r="H215" s="4" t="n">
        <x:v>53.25</x:v>
      </x:c>
      <x:c r="I215" s="4" t="n">
        <x:v>42.54</x:v>
      </x:c>
      <x:c r="J215" s="4" t="n">
        <x:v>53.63</x:v>
      </x:c>
      <x:c r="K215" s="4" t="n">
        <x:v>20.16</x:v>
      </x:c>
      <x:c r="L215" s="4" t="n">
        <x:v>58.43</x:v>
      </x:c>
      <x:c r="M215" s="4" t="n">
        <x:v>26.88</x:v>
      </x:c>
      <x:c r="N215" s="4" t="n">
        <x:v>60.23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67.13</x:v>
      </x:c>
      <x:c r="D216" s="4" t="n">
        <x:v>26.48</x:v>
      </x:c>
      <x:c r="E216" s="4" t="n">
        <x:v>36.54</x:v>
      </x:c>
      <x:c r="F216" s="4" t="n">
        <x:v>51.48</x:v>
      </x:c>
      <x:c r="G216" s="4" t="n">
        <x:v>17.57</x:v>
      </x:c>
      <x:c r="H216" s="4" t="n">
        <x:v>59.76</x:v>
      </x:c>
      <x:c r="I216" s="4" t="n">
        <x:v>18.68</x:v>
      </x:c>
      <x:c r="J216" s="4" t="n">
        <x:v>29.8</x:v>
      </x:c>
      <x:c r="K216" s="4" t="n">
        <x:v>44.74</x:v>
      </x:c>
      <x:c r="L216" s="4" t="n">
        <x:v>64.28</x:v>
      </x:c>
      <x:c r="M216" s="4" t="n">
        <x:v>29.35</x:v>
      </x:c>
      <x:c r="N216" s="4" t="n">
        <x:v>64.43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22.79</x:v>
      </x:c>
      <x:c r="D217" s="4" t="n">
        <x:v>61.98</x:v>
      </x:c>
      <x:c r="E217" s="4" t="n">
        <x:v>37.24</x:v>
      </x:c>
      <x:c r="F217" s="4" t="n">
        <x:v>30.08</x:v>
      </x:c>
      <x:c r="G217" s="4" t="n">
        <x:v>24.52</x:v>
      </x:c>
      <x:c r="H217" s="4" t="n">
        <x:v>26.8</x:v>
      </x:c>
      <x:c r="I217" s="4" t="n">
        <x:v>66.62</x:v>
      </x:c>
      <x:c r="J217" s="4" t="n">
        <x:v>49.08</x:v>
      </x:c>
      <x:c r="K217" s="4" t="n">
        <x:v>66.83</x:v>
      </x:c>
      <x:c r="L217" s="4" t="n">
        <x:v>34.18</x:v>
      </x:c>
      <x:c r="M217" s="4" t="n">
        <x:v>24.01</x:v>
      </x:c>
      <x:c r="N217" s="4" t="n">
        <x:v>43.75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25.29</x:v>
      </x:c>
      <x:c r="D218" s="4" t="n">
        <x:v>63.54</x:v>
      </x:c>
      <x:c r="E218" s="4" t="n">
        <x:v>61.45</x:v>
      </x:c>
      <x:c r="F218" s="4" t="n">
        <x:v>65.98</x:v>
      </x:c>
      <x:c r="G218" s="4" t="n">
        <x:v>42.38</x:v>
      </x:c>
      <x:c r="H218" s="4" t="n">
        <x:v>35.86</x:v>
      </x:c>
      <x:c r="I218" s="4" t="n">
        <x:v>26.59</x:v>
      </x:c>
      <x:c r="J218" s="4" t="n">
        <x:v>44.87</x:v>
      </x:c>
      <x:c r="K218" s="4" t="n">
        <x:v>26.66</x:v>
      </x:c>
      <x:c r="L218" s="4" t="n">
        <x:v>59.39</x:v>
      </x:c>
      <x:c r="M218" s="4" t="n">
        <x:v>28.38</x:v>
      </x:c>
      <x:c r="N218" s="4" t="n">
        <x:v>63.48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41.66</x:v>
      </x:c>
      <x:c r="D219" s="4" t="n">
        <x:v>36.23</x:v>
      </x:c>
      <x:c r="E219" s="4" t="n">
        <x:v>34.04</x:v>
      </x:c>
      <x:c r="F219" s="4" t="n">
        <x:v>59.62</x:v>
      </x:c>
      <x:c r="G219" s="4" t="n">
        <x:v>31.01</x:v>
      </x:c>
      <x:c r="H219" s="4" t="n">
        <x:v>46.07</x:v>
      </x:c>
      <x:c r="I219" s="4" t="n">
        <x:v>35.18</x:v>
      </x:c>
      <x:c r="J219" s="4" t="n">
        <x:v>43.44</x:v>
      </x:c>
      <x:c r="K219" s="4" t="n">
        <x:v>57.51</x:v>
      </x:c>
      <x:c r="L219" s="4" t="n">
        <x:v>21.28</x:v>
      </x:c>
      <x:c r="M219" s="4" t="n">
        <x:v>41.07</x:v>
      </x:c>
      <x:c r="N219" s="4" t="n">
        <x:v>52.42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53.04</x:v>
      </x:c>
      <x:c r="D221" s="4" t="n">
        <x:v>24.36</x:v>
      </x:c>
      <x:c r="E221" s="4" t="n">
        <x:v>61.96</x:v>
      </x:c>
      <x:c r="F221" s="4" t="n">
        <x:v>36.25</x:v>
      </x:c>
      <x:c r="G221" s="4" t="n">
        <x:v>29.4</x:v>
      </x:c>
      <x:c r="H221" s="4" t="n">
        <x:v>60.13</x:v>
      </x:c>
      <x:c r="I221" s="4" t="n">
        <x:v>60.88</x:v>
      </x:c>
      <x:c r="J221" s="4" t="n">
        <x:v>62.51</x:v>
      </x:c>
      <x:c r="K221" s="4" t="n">
        <x:v>27.93</x:v>
      </x:c>
      <x:c r="L221" s="4" t="n">
        <x:v>42.85</x:v>
      </x:c>
      <x:c r="M221" s="4" t="n">
        <x:v>25.86</x:v>
      </x:c>
      <x:c r="N221" s="4" t="n">
        <x:v>41.59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34.81</x:v>
      </x:c>
      <x:c r="D222" s="4" t="n">
        <x:v>54.13</x:v>
      </x:c>
      <x:c r="E222" s="4" t="n">
        <x:v>51.54</x:v>
      </x:c>
      <x:c r="F222" s="4" t="n">
        <x:v>58.1</x:v>
      </x:c>
      <x:c r="G222" s="4" t="n">
        <x:v>57.96</x:v>
      </x:c>
      <x:c r="H222" s="4" t="n">
        <x:v>33.6</x:v>
      </x:c>
      <x:c r="I222" s="4" t="n">
        <x:v>64.11</x:v>
      </x:c>
      <x:c r="J222" s="4" t="n">
        <x:v>35.97</x:v>
      </x:c>
      <x:c r="K222" s="4" t="n">
        <x:v>55.53</x:v>
      </x:c>
      <x:c r="L222" s="4" t="n">
        <x:v>22.53</x:v>
      </x:c>
      <x:c r="M222" s="4" t="n">
        <x:v>36.83</x:v>
      </x:c>
      <x:c r="N222" s="4" t="n">
        <x:v>65.88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46.25</x:v>
      </x:c>
      <x:c r="D223" s="4" t="n">
        <x:v>34.68</x:v>
      </x:c>
      <x:c r="E223" s="4" t="n">
        <x:v>54.63</x:v>
      </x:c>
      <x:c r="F223" s="4" t="n">
        <x:v>28.97</x:v>
      </x:c>
      <x:c r="G223" s="4" t="n">
        <x:v>63.81</x:v>
      </x:c>
      <x:c r="H223" s="4" t="n">
        <x:v>58.61</x:v>
      </x:c>
      <x:c r="I223" s="4" t="n">
        <x:v>31.92</x:v>
      </x:c>
      <x:c r="J223" s="4" t="n">
        <x:v>62.16</x:v>
      </x:c>
      <x:c r="K223" s="4" t="n">
        <x:v>30.63</x:v>
      </x:c>
      <x:c r="L223" s="4" t="n">
        <x:v>57.25</x:v>
      </x:c>
      <x:c r="M223" s="4" t="n">
        <x:v>33.33</x:v>
      </x:c>
      <x:c r="N223" s="4" t="n">
        <x:v>48.32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18.95</x:v>
      </x:c>
      <x:c r="D224" s="4" t="n">
        <x:v>35.99</x:v>
      </x:c>
      <x:c r="E224" s="4" t="n">
        <x:v>20.78</x:v>
      </x:c>
      <x:c r="F224" s="4" t="n">
        <x:v>32.42</x:v>
      </x:c>
      <x:c r="G224" s="4" t="n">
        <x:v>62.46</x:v>
      </x:c>
      <x:c r="H224" s="4" t="n">
        <x:v>32.84</x:v>
      </x:c>
      <x:c r="I224" s="4" t="n">
        <x:v>57.99</x:v>
      </x:c>
      <x:c r="J224" s="4" t="n">
        <x:v>48.09</x:v>
      </x:c>
      <x:c r="K224" s="4" t="n">
        <x:v>51.96</x:v>
      </x:c>
      <x:c r="L224" s="4" t="n">
        <x:v>38.55</x:v>
      </x:c>
      <x:c r="M224" s="4" t="n">
        <x:v>63.61</x:v>
      </x:c>
      <x:c r="N224" s="4" t="n">
        <x:v>55.01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51.02</x:v>
      </x:c>
      <x:c r="D225" s="4" t="n">
        <x:v>39.99</x:v>
      </x:c>
      <x:c r="E225" s="4" t="n">
        <x:v>34.05</x:v>
      </x:c>
      <x:c r="F225" s="4" t="n">
        <x:v>65.05</x:v>
      </x:c>
      <x:c r="G225" s="4" t="n">
        <x:v>28.86</x:v>
      </x:c>
      <x:c r="H225" s="4" t="n">
        <x:v>33.33</x:v>
      </x:c>
      <x:c r="I225" s="4" t="n">
        <x:v>51.98</x:v>
      </x:c>
      <x:c r="J225" s="4" t="n">
        <x:v>28.63</x:v>
      </x:c>
      <x:c r="K225" s="4" t="n">
        <x:v>27.89</x:v>
      </x:c>
      <x:c r="L225" s="4" t="n">
        <x:v>44.32</x:v>
      </x:c>
      <x:c r="M225" s="4" t="n">
        <x:v>46.62</x:v>
      </x:c>
      <x:c r="N225" s="4" t="n">
        <x:v>58.2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66.27</x:v>
      </x:c>
      <x:c r="D226" s="4" t="n">
        <x:v>60.76</x:v>
      </x:c>
      <x:c r="E226" s="4" t="n">
        <x:v>36.76</x:v>
      </x:c>
      <x:c r="F226" s="4" t="n">
        <x:v>32.89</x:v>
      </x:c>
      <x:c r="G226" s="4" t="n">
        <x:v>30.56</x:v>
      </x:c>
      <x:c r="H226" s="4" t="n">
        <x:v>24.71</x:v>
      </x:c>
      <x:c r="I226" s="4" t="n">
        <x:v>34.17</x:v>
      </x:c>
      <x:c r="J226" s="4" t="n">
        <x:v>67.56</x:v>
      </x:c>
      <x:c r="K226" s="4" t="n">
        <x:v>36.98</x:v>
      </x:c>
      <x:c r="L226" s="4" t="n">
        <x:v>36.97</x:v>
      </x:c>
      <x:c r="M226" s="4" t="n">
        <x:v>18.73</x:v>
      </x:c>
      <x:c r="N226" s="4" t="n">
        <x:v>25.28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25.91</x:v>
      </x:c>
      <x:c r="D227" s="4" t="n">
        <x:v>22.13</x:v>
      </x:c>
      <x:c r="E227" s="4" t="n">
        <x:v>53.16</x:v>
      </x:c>
      <x:c r="F227" s="4" t="n">
        <x:v>40.36</x:v>
      </x:c>
      <x:c r="G227" s="4" t="n">
        <x:v>58.96</x:v>
      </x:c>
      <x:c r="H227" s="4" t="n">
        <x:v>30.08</x:v>
      </x:c>
      <x:c r="I227" s="4" t="n">
        <x:v>29.98</x:v>
      </x:c>
      <x:c r="J227" s="4" t="n">
        <x:v>22.12</x:v>
      </x:c>
      <x:c r="K227" s="4" t="n">
        <x:v>35.46</x:v>
      </x:c>
      <x:c r="L227" s="4" t="n">
        <x:v>45.58</x:v>
      </x:c>
      <x:c r="M227" s="4" t="n">
        <x:v>65.22</x:v>
      </x:c>
      <x:c r="N227" s="4" t="n">
        <x:v>25.19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29.58</x:v>
      </x:c>
      <x:c r="D228" s="4" t="n">
        <x:v>20.67</x:v>
      </x:c>
      <x:c r="E228" s="4" t="n">
        <x:v>47.6</x:v>
      </x:c>
      <x:c r="F228" s="4" t="n">
        <x:v>46.35</x:v>
      </x:c>
      <x:c r="G228" s="4" t="n">
        <x:v>44.97</x:v>
      </x:c>
      <x:c r="H228" s="4" t="n">
        <x:v>17.3</x:v>
      </x:c>
      <x:c r="I228" s="4" t="n">
        <x:v>58.13</x:v>
      </x:c>
      <x:c r="J228" s="4" t="n">
        <x:v>57.57</x:v>
      </x:c>
      <x:c r="K228" s="4" t="n">
        <x:v>62.57</x:v>
      </x:c>
      <x:c r="L228" s="4" t="n">
        <x:v>23.57</x:v>
      </x:c>
      <x:c r="M228" s="4" t="n">
        <x:v>39.45</x:v>
      </x:c>
      <x:c r="N228" s="4" t="n">
        <x:v>38.34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21.15</x:v>
      </x:c>
      <x:c r="D230" s="4" t="n">
        <x:v>29.9</x:v>
      </x:c>
      <x:c r="E230" s="4" t="n">
        <x:v>19.76</x:v>
      </x:c>
      <x:c r="F230" s="4" t="n">
        <x:v>42.83</x:v>
      </x:c>
      <x:c r="G230" s="4" t="n">
        <x:v>37.97</x:v>
      </x:c>
      <x:c r="H230" s="4" t="n">
        <x:v>23.47</x:v>
      </x:c>
      <x:c r="I230" s="4" t="n">
        <x:v>49.21</x:v>
      </x:c>
      <x:c r="J230" s="4" t="n">
        <x:v>40.91</x:v>
      </x:c>
      <x:c r="K230" s="4" t="n">
        <x:v>57.07</x:v>
      </x:c>
      <x:c r="L230" s="4" t="n">
        <x:v>39.79</x:v>
      </x:c>
      <x:c r="M230" s="4" t="n">
        <x:v>30.85</x:v>
      </x:c>
      <x:c r="N230" s="4" t="n">
        <x:v>19.72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49.65</x:v>
      </x:c>
      <x:c r="D231" s="4" t="n">
        <x:v>48.41</x:v>
      </x:c>
      <x:c r="E231" s="4" t="n">
        <x:v>29.88</x:v>
      </x:c>
      <x:c r="F231" s="4" t="n">
        <x:v>30.02</x:v>
      </x:c>
      <x:c r="G231" s="4" t="n">
        <x:v>37.93</x:v>
      </x:c>
      <x:c r="H231" s="4" t="n">
        <x:v>49.43</x:v>
      </x:c>
      <x:c r="I231" s="4" t="n">
        <x:v>67.12</x:v>
      </x:c>
      <x:c r="J231" s="4" t="n">
        <x:v>35.42</x:v>
      </x:c>
      <x:c r="K231" s="4" t="n">
        <x:v>53.85</x:v>
      </x:c>
      <x:c r="L231" s="4" t="n">
        <x:v>60.24</x:v>
      </x:c>
      <x:c r="M231" s="4" t="n">
        <x:v>20.17</x:v>
      </x:c>
      <x:c r="N231" s="4" t="n">
        <x:v>50.87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24.49</x:v>
      </x:c>
      <x:c r="D232" s="4" t="n">
        <x:v>47.35</x:v>
      </x:c>
      <x:c r="E232" s="4" t="n">
        <x:v>26.86</x:v>
      </x:c>
      <x:c r="F232" s="4" t="n">
        <x:v>32.59</x:v>
      </x:c>
      <x:c r="G232" s="4" t="n">
        <x:v>50.86</x:v>
      </x:c>
      <x:c r="H232" s="4" t="n">
        <x:v>18.6</x:v>
      </x:c>
      <x:c r="I232" s="4" t="n">
        <x:v>58.73</x:v>
      </x:c>
      <x:c r="J232" s="4" t="n">
        <x:v>28.73</x:v>
      </x:c>
      <x:c r="K232" s="4" t="n">
        <x:v>47.81</x:v>
      </x:c>
      <x:c r="L232" s="4" t="n">
        <x:v>53.27</x:v>
      </x:c>
      <x:c r="M232" s="4" t="n">
        <x:v>43.01</x:v>
      </x:c>
      <x:c r="N232" s="4" t="n">
        <x:v>52.68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19.96</x:v>
      </x:c>
      <x:c r="D233" s="4" t="n">
        <x:v>62.43</x:v>
      </x:c>
      <x:c r="E233" s="4" t="n">
        <x:v>33.57</x:v>
      </x:c>
      <x:c r="F233" s="4" t="n">
        <x:v>20.81</x:v>
      </x:c>
      <x:c r="G233" s="4" t="n">
        <x:v>66.85</x:v>
      </x:c>
      <x:c r="H233" s="4" t="n">
        <x:v>21.02</x:v>
      </x:c>
      <x:c r="I233" s="4" t="n">
        <x:v>31.8</x:v>
      </x:c>
      <x:c r="J233" s="4" t="n">
        <x:v>21.28</x:v>
      </x:c>
      <x:c r="K233" s="4" t="n">
        <x:v>28.42</x:v>
      </x:c>
      <x:c r="L233" s="4" t="n">
        <x:v>28.21</x:v>
      </x:c>
      <x:c r="M233" s="4" t="n">
        <x:v>59.63</x:v>
      </x:c>
      <x:c r="N233" s="4" t="n">
        <x:v>32.71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 t="str">
        <x:v>工资单价</x:v>
      </x:c>
      <x:c r="C264" s="4" t="n">
        <x:v>57.61</x:v>
      </x:c>
      <x:c r="D264" s="4" t="n">
        <x:v>21.99</x:v>
      </x:c>
      <x:c r="E264" s="4" t="n">
        <x:v>42.28</x:v>
      </x:c>
      <x:c r="F264" s="4" t="n">
        <x:v>66.29</x:v>
      </x:c>
      <x:c r="G264" s="4" t="n">
        <x:v>37.82</x:v>
      </x:c>
      <x:c r="H264" s="4" t="n">
        <x:v>56.87</x:v>
      </x:c>
      <x:c r="I264" s="4" t="n">
        <x:v>32.45</x:v>
      </x:c>
      <x:c r="J264" s="4" t="n">
        <x:v>56.99</x:v>
      </x:c>
      <x:c r="K264" s="4" t="n">
        <x:v>48.59</x:v>
      </x:c>
      <x:c r="L264" s="4" t="n">
        <x:v>42.67</x:v>
      </x:c>
      <x:c r="M264" s="4" t="n">
        <x:v>23.42</x:v>
      </x:c>
      <x:c r="N264" s="4" t="n">
        <x:v>27.33</x:v>
      </x:c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 t="str">
        <x:v>十三薪单价</x:v>
      </x:c>
      <x:c r="C265" s="4" t="n">
        <x:v>23.54</x:v>
      </x:c>
      <x:c r="D265" s="4" t="n">
        <x:v>29.21</x:v>
      </x:c>
      <x:c r="E265" s="4" t="n">
        <x:v>62.23</x:v>
      </x:c>
      <x:c r="F265" s="4" t="n">
        <x:v>29.16</x:v>
      </x:c>
      <x:c r="G265" s="4" t="n">
        <x:v>31.13</x:v>
      </x:c>
      <x:c r="H265" s="4" t="n">
        <x:v>36.03</x:v>
      </x:c>
      <x:c r="I265" s="4" t="n">
        <x:v>45.21</x:v>
      </x:c>
      <x:c r="J265" s="4" t="n">
        <x:v>48.37</x:v>
      </x:c>
      <x:c r="K265" s="4" t="n">
        <x:v>60.23</x:v>
      </x:c>
      <x:c r="L265" s="4" t="n">
        <x:v>64.95</x:v>
      </x:c>
      <x:c r="M265" s="4" t="n">
        <x:v>54.45</x:v>
      </x:c>
      <x:c r="N265" s="4" t="n">
        <x:v>60.75</x:v>
      </x:c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 t="str">
        <x:v>离职补偿金单价</x:v>
      </x:c>
      <x:c r="C266" s="4" t="n">
        <x:v>34.94</x:v>
      </x:c>
      <x:c r="D266" s="4" t="n">
        <x:v>55.76</x:v>
      </x:c>
      <x:c r="E266" s="4" t="n">
        <x:v>19.47</x:v>
      </x:c>
      <x:c r="F266" s="4" t="n">
        <x:v>56.6</x:v>
      </x:c>
      <x:c r="G266" s="4" t="n">
        <x:v>33.93</x:v>
      </x:c>
      <x:c r="H266" s="4" t="n">
        <x:v>40.56</x:v>
      </x:c>
      <x:c r="I266" s="4" t="n">
        <x:v>41.49</x:v>
      </x:c>
      <x:c r="J266" s="4" t="n">
        <x:v>28.09</x:v>
      </x:c>
      <x:c r="K266" s="4" t="n">
        <x:v>51.97</x:v>
      </x:c>
      <x:c r="L266" s="4" t="n">
        <x:v>64.18</x:v>
      </x:c>
      <x:c r="M266" s="4" t="n">
        <x:v>51.56</x:v>
      </x:c>
      <x:c r="N266" s="4" t="n">
        <x:v>59.98</x:v>
      </x:c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 t="str">
        <x:v>五险一金单价</x:v>
      </x:c>
      <x:c r="C267" s="4" t="n">
        <x:v>55.24</x:v>
      </x:c>
      <x:c r="D267" s="4" t="n">
        <x:v>38.14</x:v>
      </x:c>
      <x:c r="E267" s="4" t="n">
        <x:v>54.37</x:v>
      </x:c>
      <x:c r="F267" s="4" t="n">
        <x:v>43.7</x:v>
      </x:c>
      <x:c r="G267" s="4" t="n">
        <x:v>61.14</x:v>
      </x:c>
      <x:c r="H267" s="4" t="n">
        <x:v>55.35</x:v>
      </x:c>
      <x:c r="I267" s="4" t="n">
        <x:v>42.98</x:v>
      </x:c>
      <x:c r="J267" s="4" t="n">
        <x:v>56.64</x:v>
      </x:c>
      <x:c r="K267" s="4" t="n">
        <x:v>59.52</x:v>
      </x:c>
      <x:c r="L267" s="4" t="n">
        <x:v>62.9</x:v>
      </x:c>
      <x:c r="M267" s="4" t="n">
        <x:v>35.76</x:v>
      </x:c>
      <x:c r="N267" s="4" t="n">
        <x:v>29.86</x:v>
      </x:c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 t="str">
        <x:v>福利费单价</x:v>
      </x:c>
      <x:c r="C268" s="4" t="n">
        <x:v>62.3</x:v>
      </x:c>
      <x:c r="D268" s="4" t="n">
        <x:v>22.56</x:v>
      </x:c>
      <x:c r="E268" s="4" t="n">
        <x:v>49.83</x:v>
      </x:c>
      <x:c r="F268" s="4" t="n">
        <x:v>30.25</x:v>
      </x:c>
      <x:c r="G268" s="4" t="n">
        <x:v>21.15</x:v>
      </x:c>
      <x:c r="H268" s="4" t="n">
        <x:v>51.27</x:v>
      </x:c>
      <x:c r="I268" s="4" t="n">
        <x:v>27.68</x:v>
      </x:c>
      <x:c r="J268" s="4" t="n">
        <x:v>43.52</x:v>
      </x:c>
      <x:c r="K268" s="4" t="n">
        <x:v>53.87</x:v>
      </x:c>
      <x:c r="L268" s="4" t="n">
        <x:v>23.83</x:v>
      </x:c>
      <x:c r="M268" s="4" t="n">
        <x:v>28.01</x:v>
      </x:c>
      <x:c r="N268" s="4" t="n">
        <x:v>31.57</x:v>
      </x:c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 t="str">
        <x:v>招聘费单价</x:v>
      </x:c>
      <x:c r="C269" s="4" t="n">
        <x:v>49.24</x:v>
      </x:c>
      <x:c r="D269" s="4" t="n">
        <x:v>50.48</x:v>
      </x:c>
      <x:c r="E269" s="4" t="n">
        <x:v>37.91</x:v>
      </x:c>
      <x:c r="F269" s="4" t="n">
        <x:v>23.14</x:v>
      </x:c>
      <x:c r="G269" s="4" t="n">
        <x:v>44.8</x:v>
      </x:c>
      <x:c r="H269" s="4" t="n">
        <x:v>54.71</x:v>
      </x:c>
      <x:c r="I269" s="4" t="n">
        <x:v>25.98</x:v>
      </x:c>
      <x:c r="J269" s="4" t="n">
        <x:v>58.17</x:v>
      </x:c>
      <x:c r="K269" s="4" t="n">
        <x:v>66.11</x:v>
      </x:c>
      <x:c r="L269" s="4" t="n">
        <x:v>18.79</x:v>
      </x:c>
      <x:c r="M269" s="4" t="n">
        <x:v>38.58</x:v>
      </x:c>
      <x:c r="N269" s="4" t="n">
        <x:v>27.7</x:v>
      </x:c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 t="str">
        <x:v>培训费单价</x:v>
      </x:c>
      <x:c r="C270" s="4" t="n">
        <x:v>42.04</x:v>
      </x:c>
      <x:c r="D270" s="4" t="n">
        <x:v>23.72</x:v>
      </x:c>
      <x:c r="E270" s="4" t="n">
        <x:v>24.28</x:v>
      </x:c>
      <x:c r="F270" s="4" t="n">
        <x:v>57.15</x:v>
      </x:c>
      <x:c r="G270" s="4" t="n">
        <x:v>42.11</x:v>
      </x:c>
      <x:c r="H270" s="4" t="n">
        <x:v>45.41</x:v>
      </x:c>
      <x:c r="I270" s="4" t="n">
        <x:v>51.95</x:v>
      </x:c>
      <x:c r="J270" s="4" t="n">
        <x:v>52.07</x:v>
      </x:c>
      <x:c r="K270" s="4" t="n">
        <x:v>28.22</x:v>
      </x:c>
      <x:c r="L270" s="4" t="n">
        <x:v>24.9</x:v>
      </x:c>
      <x:c r="M270" s="4" t="n">
        <x:v>47.16</x:v>
      </x:c>
      <x:c r="N270" s="4" t="n">
        <x:v>41.5</x:v>
      </x:c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 t="str">
        <x:v>房租单价</x:v>
      </x:c>
      <x:c r="C271" s="4" t="n">
        <x:v>39.54</x:v>
      </x:c>
      <x:c r="D271" s="4" t="n">
        <x:v>44.76</x:v>
      </x:c>
      <x:c r="E271" s="4" t="n">
        <x:v>67.58</x:v>
      </x:c>
      <x:c r="F271" s="4" t="n">
        <x:v>58.42</x:v>
      </x:c>
      <x:c r="G271" s="4" t="n">
        <x:v>50.6</x:v>
      </x:c>
      <x:c r="H271" s="4" t="n">
        <x:v>36.37</x:v>
      </x:c>
      <x:c r="I271" s="4" t="n">
        <x:v>56.85</x:v>
      </x:c>
      <x:c r="J271" s="4" t="n">
        <x:v>17.83</x:v>
      </x:c>
      <x:c r="K271" s="4" t="n">
        <x:v>25.66</x:v>
      </x:c>
      <x:c r="L271" s="4" t="n">
        <x:v>41.19</x:v>
      </x:c>
      <x:c r="M271" s="4" t="n">
        <x:v>51.08</x:v>
      </x:c>
      <x:c r="N271" s="4" t="n">
        <x:v>50.19</x:v>
      </x:c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 t="str">
        <x:v>物业管理费单价</x:v>
      </x:c>
      <x:c r="C272" s="4" t="n">
        <x:v>59.66</x:v>
      </x:c>
      <x:c r="D272" s="4" t="n">
        <x:v>40.34</x:v>
      </x:c>
      <x:c r="E272" s="4" t="n">
        <x:v>25.07</x:v>
      </x:c>
      <x:c r="F272" s="4" t="n">
        <x:v>41.02</x:v>
      </x:c>
      <x:c r="G272" s="4" t="n">
        <x:v>47.24</x:v>
      </x:c>
      <x:c r="H272" s="4" t="n">
        <x:v>33.62</x:v>
      </x:c>
      <x:c r="I272" s="4" t="n">
        <x:v>38.04</x:v>
      </x:c>
      <x:c r="J272" s="4" t="n">
        <x:v>53.96</x:v>
      </x:c>
      <x:c r="K272" s="4" t="n">
        <x:v>37.1</x:v>
      </x:c>
      <x:c r="L272" s="4" t="n">
        <x:v>59.21</x:v>
      </x:c>
      <x:c r="M272" s="4" t="n">
        <x:v>43.01</x:v>
      </x:c>
      <x:c r="N272" s="4" t="n">
        <x:v>49.97</x:v>
      </x:c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 t="str">
        <x:v>汽车费用单价</x:v>
      </x:c>
      <x:c r="C273" s="4" t="n">
        <x:v>52.45</x:v>
      </x:c>
      <x:c r="D273" s="4" t="n">
        <x:v>44.83</x:v>
      </x:c>
      <x:c r="E273" s="4" t="n">
        <x:v>22.04</x:v>
      </x:c>
      <x:c r="F273" s="4" t="n">
        <x:v>63.2</x:v>
      </x:c>
      <x:c r="G273" s="4" t="n">
        <x:v>57.87</x:v>
      </x:c>
      <x:c r="H273" s="4" t="n">
        <x:v>51.11</x:v>
      </x:c>
      <x:c r="I273" s="4" t="n">
        <x:v>38.89</x:v>
      </x:c>
      <x:c r="J273" s="4" t="n">
        <x:v>51.43</x:v>
      </x:c>
      <x:c r="K273" s="4" t="n">
        <x:v>64.44</x:v>
      </x:c>
      <x:c r="L273" s="4" t="n">
        <x:v>37.62</x:v>
      </x:c>
      <x:c r="M273" s="4" t="n">
        <x:v>34.97</x:v>
      </x:c>
      <x:c r="N273" s="4" t="n">
        <x:v>56.04</x:v>
      </x:c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 t="str">
        <x:v>办公费单价</x:v>
      </x:c>
      <x:c r="C274" s="4" t="n">
        <x:v>33.3</x:v>
      </x:c>
      <x:c r="D274" s="4" t="n">
        <x:v>34.52</x:v>
      </x:c>
      <x:c r="E274" s="4" t="n">
        <x:v>47.97</x:v>
      </x:c>
      <x:c r="F274" s="4" t="n">
        <x:v>57.41</x:v>
      </x:c>
      <x:c r="G274" s="4" t="n">
        <x:v>23.32</x:v>
      </x:c>
      <x:c r="H274" s="4" t="n">
        <x:v>55.55</x:v>
      </x:c>
      <x:c r="I274" s="4" t="n">
        <x:v>34.12</x:v>
      </x:c>
      <x:c r="J274" s="4" t="n">
        <x:v>27.74</x:v>
      </x:c>
      <x:c r="K274" s="4" t="n">
        <x:v>30.61</x:v>
      </x:c>
      <x:c r="L274" s="4" t="n">
        <x:v>40.11</x:v>
      </x:c>
      <x:c r="M274" s="4" t="n">
        <x:v>33.23</x:v>
      </x:c>
      <x:c r="N274" s="4" t="n">
        <x:v>31.28</x:v>
      </x:c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 t="str">
        <x:v>办公用品单价</x:v>
      </x:c>
      <x:c r="C275" s="4" t="n">
        <x:v>30.46</x:v>
      </x:c>
      <x:c r="D275" s="4" t="n">
        <x:v>62.14</x:v>
      </x:c>
      <x:c r="E275" s="4" t="n">
        <x:v>46.93</x:v>
      </x:c>
      <x:c r="F275" s="4" t="n">
        <x:v>64.52</x:v>
      </x:c>
      <x:c r="G275" s="4" t="n">
        <x:v>55.62</x:v>
      </x:c>
      <x:c r="H275" s="4" t="n">
        <x:v>60.74</x:v>
      </x:c>
      <x:c r="I275" s="4" t="n">
        <x:v>17.88</x:v>
      </x:c>
      <x:c r="J275" s="4" t="n">
        <x:v>17.59</x:v>
      </x:c>
      <x:c r="K275" s="4" t="n">
        <x:v>32.6</x:v>
      </x:c>
      <x:c r="L275" s="4" t="n">
        <x:v>61.26</x:v>
      </x:c>
      <x:c r="M275" s="4" t="n">
        <x:v>63.18</x:v>
      </x:c>
      <x:c r="N275" s="4" t="n">
        <x:v>34.7</x:v>
      </x:c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 t="str">
        <x:v>水电煤单价</x:v>
      </x:c>
      <x:c r="C276" s="4" t="n">
        <x:v>38.55</x:v>
      </x:c>
      <x:c r="D276" s="4" t="n">
        <x:v>33.74</x:v>
      </x:c>
      <x:c r="E276" s="4" t="n">
        <x:v>32.33</x:v>
      </x:c>
      <x:c r="F276" s="4" t="n">
        <x:v>63.33</x:v>
      </x:c>
      <x:c r="G276" s="4" t="n">
        <x:v>67.22</x:v>
      </x:c>
      <x:c r="H276" s="4" t="n">
        <x:v>29.82</x:v>
      </x:c>
      <x:c r="I276" s="4" t="n">
        <x:v>38.28</x:v>
      </x:c>
      <x:c r="J276" s="4" t="n">
        <x:v>28.65</x:v>
      </x:c>
      <x:c r="K276" s="4" t="n">
        <x:v>56.23</x:v>
      </x:c>
      <x:c r="L276" s="4" t="n">
        <x:v>62.1</x:v>
      </x:c>
      <x:c r="M276" s="4" t="n">
        <x:v>18.41</x:v>
      </x:c>
      <x:c r="N276" s="4" t="n">
        <x:v>62.46</x:v>
      </x:c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 t="str">
        <x:v>咨询服务费单价</x:v>
      </x:c>
      <x:c r="C277" s="4" t="n">
        <x:v>60.52</x:v>
      </x:c>
      <x:c r="D277" s="4" t="n">
        <x:v>41.01</x:v>
      </x:c>
      <x:c r="E277" s="4" t="n">
        <x:v>40.7</x:v>
      </x:c>
      <x:c r="F277" s="4" t="n">
        <x:v>38.2</x:v>
      </x:c>
      <x:c r="G277" s="4" t="n">
        <x:v>33.2</x:v>
      </x:c>
      <x:c r="H277" s="4" t="n">
        <x:v>58.44</x:v>
      </x:c>
      <x:c r="I277" s="4" t="n">
        <x:v>67.38</x:v>
      </x:c>
      <x:c r="J277" s="4" t="n">
        <x:v>49.1</x:v>
      </x:c>
      <x:c r="K277" s="4" t="n">
        <x:v>51.9</x:v>
      </x:c>
      <x:c r="L277" s="4" t="n">
        <x:v>31.28</x:v>
      </x:c>
      <x:c r="M277" s="4" t="n">
        <x:v>50.72</x:v>
      </x:c>
      <x:c r="N277" s="4" t="n">
        <x:v>57</x:v>
      </x:c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 t="str">
        <x:v>电话费单价</x:v>
      </x:c>
      <x:c r="C278" s="4" t="n">
        <x:v>29.69</x:v>
      </x:c>
      <x:c r="D278" s="4" t="n">
        <x:v>47.69</x:v>
      </x:c>
      <x:c r="E278" s="4" t="n">
        <x:v>63.01</x:v>
      </x:c>
      <x:c r="F278" s="4" t="n">
        <x:v>61.09</x:v>
      </x:c>
      <x:c r="G278" s="4" t="n">
        <x:v>18</x:v>
      </x:c>
      <x:c r="H278" s="4" t="n">
        <x:v>17.5</x:v>
      </x:c>
      <x:c r="I278" s="4" t="n">
        <x:v>21.74</x:v>
      </x:c>
      <x:c r="J278" s="4" t="n">
        <x:v>20.69</x:v>
      </x:c>
      <x:c r="K278" s="4" t="n">
        <x:v>55.26</x:v>
      </x:c>
      <x:c r="L278" s="4" t="n">
        <x:v>67.32</x:v>
      </x:c>
      <x:c r="M278" s="4" t="n">
        <x:v>36.39</x:v>
      </x:c>
      <x:c r="N278" s="4" t="n">
        <x:v>17.82</x:v>
      </x:c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 t="str">
        <x:v>快递费单价</x:v>
      </x:c>
      <x:c r="C279" s="4" t="n">
        <x:v>59.8</x:v>
      </x:c>
      <x:c r="D279" s="4" t="n">
        <x:v>54.79</x:v>
      </x:c>
      <x:c r="E279" s="4" t="n">
        <x:v>56.99</x:v>
      </x:c>
      <x:c r="F279" s="4" t="n">
        <x:v>56.24</x:v>
      </x:c>
      <x:c r="G279" s="4" t="n">
        <x:v>60.14</x:v>
      </x:c>
      <x:c r="H279" s="4" t="n">
        <x:v>26.86</x:v>
      </x:c>
      <x:c r="I279" s="4" t="n">
        <x:v>49.56</x:v>
      </x:c>
      <x:c r="J279" s="4" t="n">
        <x:v>60.64</x:v>
      </x:c>
      <x:c r="K279" s="4" t="n">
        <x:v>51.67</x:v>
      </x:c>
      <x:c r="L279" s="4" t="n">
        <x:v>44.13</x:v>
      </x:c>
      <x:c r="M279" s="4" t="n">
        <x:v>55.09</x:v>
      </x:c>
      <x:c r="N279" s="4" t="n">
        <x:v>63.79</x:v>
      </x:c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 t="str">
        <x:v>折旧及摊销单价</x:v>
      </x:c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 t="str">
        <x:v>机票火车票单价</x:v>
      </x:c>
      <x:c r="C281" s="4" t="n">
        <x:v>51.92</x:v>
      </x:c>
      <x:c r="D281" s="4" t="n">
        <x:v>33.76</x:v>
      </x:c>
      <x:c r="E281" s="4" t="n">
        <x:v>26.32</x:v>
      </x:c>
      <x:c r="F281" s="4" t="n">
        <x:v>63.52</x:v>
      </x:c>
      <x:c r="G281" s="4" t="n">
        <x:v>48.98</x:v>
      </x:c>
      <x:c r="H281" s="4" t="n">
        <x:v>19.36</x:v>
      </x:c>
      <x:c r="I281" s="4" t="n">
        <x:v>18</x:v>
      </x:c>
      <x:c r="J281" s="4" t="n">
        <x:v>47.55</x:v>
      </x:c>
      <x:c r="K281" s="4" t="n">
        <x:v>62.49</x:v>
      </x:c>
      <x:c r="L281" s="4" t="n">
        <x:v>27.19</x:v>
      </x:c>
      <x:c r="M281" s="4" t="n">
        <x:v>22.4</x:v>
      </x:c>
      <x:c r="N281" s="4" t="n">
        <x:v>65.52</x:v>
      </x:c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 t="str">
        <x:v>住宿费单价</x:v>
      </x:c>
      <x:c r="C282" s="4" t="n">
        <x:v>60.09</x:v>
      </x:c>
      <x:c r="D282" s="4" t="n">
        <x:v>25.78</x:v>
      </x:c>
      <x:c r="E282" s="4" t="n">
        <x:v>57.01</x:v>
      </x:c>
      <x:c r="F282" s="4" t="n">
        <x:v>60.71</x:v>
      </x:c>
      <x:c r="G282" s="4" t="n">
        <x:v>38.81</x:v>
      </x:c>
      <x:c r="H282" s="4" t="n">
        <x:v>53.52</x:v>
      </x:c>
      <x:c r="I282" s="4" t="n">
        <x:v>19.51</x:v>
      </x:c>
      <x:c r="J282" s="4" t="n">
        <x:v>61.55</x:v>
      </x:c>
      <x:c r="K282" s="4" t="n">
        <x:v>29.16</x:v>
      </x:c>
      <x:c r="L282" s="4" t="n">
        <x:v>52.76</x:v>
      </x:c>
      <x:c r="M282" s="4" t="n">
        <x:v>29.37</x:v>
      </x:c>
      <x:c r="N282" s="4" t="n">
        <x:v>26.95</x:v>
      </x:c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 t="str">
        <x:v>交通费单价</x:v>
      </x:c>
      <x:c r="C283" s="4" t="n">
        <x:v>56.81</x:v>
      </x:c>
      <x:c r="D283" s="4" t="n">
        <x:v>48.22</x:v>
      </x:c>
      <x:c r="E283" s="4" t="n">
        <x:v>27.7</x:v>
      </x:c>
      <x:c r="F283" s="4" t="n">
        <x:v>18.18</x:v>
      </x:c>
      <x:c r="G283" s="4" t="n">
        <x:v>62.93</x:v>
      </x:c>
      <x:c r="H283" s="4" t="n">
        <x:v>50.36</x:v>
      </x:c>
      <x:c r="I283" s="4" t="n">
        <x:v>28</x:v>
      </x:c>
      <x:c r="J283" s="4" t="n">
        <x:v>31.43</x:v>
      </x:c>
      <x:c r="K283" s="4" t="n">
        <x:v>18.68</x:v>
      </x:c>
      <x:c r="L283" s="4" t="n">
        <x:v>59.12</x:v>
      </x:c>
      <x:c r="M283" s="4" t="n">
        <x:v>27.4</x:v>
      </x:c>
      <x:c r="N283" s="4" t="n">
        <x:v>37.64</x:v>
      </x:c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 t="str">
        <x:v>差旅补贴单价</x:v>
      </x:c>
      <x:c r="C284" s="4" t="n">
        <x:v>38.43</x:v>
      </x:c>
      <x:c r="D284" s="4" t="n">
        <x:v>19.61</x:v>
      </x:c>
      <x:c r="E284" s="4" t="n">
        <x:v>18.26</x:v>
      </x:c>
      <x:c r="F284" s="4" t="n">
        <x:v>20.04</x:v>
      </x:c>
      <x:c r="G284" s="4" t="n">
        <x:v>51.78</x:v>
      </x:c>
      <x:c r="H284" s="4" t="n">
        <x:v>46.66</x:v>
      </x:c>
      <x:c r="I284" s="4" t="n">
        <x:v>27.46</x:v>
      </x:c>
      <x:c r="J284" s="4" t="n">
        <x:v>38.33</x:v>
      </x:c>
      <x:c r="K284" s="4" t="n">
        <x:v>55.08</x:v>
      </x:c>
      <x:c r="L284" s="4" t="n">
        <x:v>23.71</x:v>
      </x:c>
      <x:c r="M284" s="4" t="n">
        <x:v>22.98</x:v>
      </x:c>
      <x:c r="N284" s="4" t="n">
        <x:v>29.88</x:v>
      </x:c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 t="str">
        <x:v>业务招待费单价</x:v>
      </x:c>
      <x:c r="C285" s="4" t="n">
        <x:v>56.55</x:v>
      </x:c>
      <x:c r="D285" s="4" t="n">
        <x:v>65.09</x:v>
      </x:c>
      <x:c r="E285" s="4" t="n">
        <x:v>62.07</x:v>
      </x:c>
      <x:c r="F285" s="4" t="n">
        <x:v>33.38</x:v>
      </x:c>
      <x:c r="G285" s="4" t="n">
        <x:v>51.06</x:v>
      </x:c>
      <x:c r="H285" s="4" t="n">
        <x:v>28.96</x:v>
      </x:c>
      <x:c r="I285" s="4" t="n">
        <x:v>60.53</x:v>
      </x:c>
      <x:c r="J285" s="4" t="n">
        <x:v>43.68</x:v>
      </x:c>
      <x:c r="K285" s="4" t="n">
        <x:v>43.19</x:v>
      </x:c>
      <x:c r="L285" s="4" t="n">
        <x:v>37.09</x:v>
      </x:c>
      <x:c r="M285" s="4" t="n">
        <x:v>59.29</x:v>
      </x:c>
      <x:c r="N285" s="4" t="n">
        <x:v>58.93</x:v>
      </x:c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 t="str">
        <x:v>市内交通费单价</x:v>
      </x:c>
      <x:c r="C286" s="4" t="n">
        <x:v>60.52</x:v>
      </x:c>
      <x:c r="D286" s="4" t="n">
        <x:v>48.15</x:v>
      </x:c>
      <x:c r="E286" s="4" t="n">
        <x:v>23.9</x:v>
      </x:c>
      <x:c r="F286" s="4" t="n">
        <x:v>17.35</x:v>
      </x:c>
      <x:c r="G286" s="4" t="n">
        <x:v>64.04</x:v>
      </x:c>
      <x:c r="H286" s="4" t="n">
        <x:v>57.89</x:v>
      </x:c>
      <x:c r="I286" s="4" t="n">
        <x:v>28.75</x:v>
      </x:c>
      <x:c r="J286" s="4" t="n">
        <x:v>40.21</x:v>
      </x:c>
      <x:c r="K286" s="4" t="n">
        <x:v>55.19</x:v>
      </x:c>
      <x:c r="L286" s="4" t="n">
        <x:v>36.03</x:v>
      </x:c>
      <x:c r="M286" s="4" t="n">
        <x:v>57.42</x:v>
      </x:c>
      <x:c r="N286" s="4" t="n">
        <x:v>22.17</x:v>
      </x:c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 t="str">
        <x:v>调研费用单价</x:v>
      </x:c>
      <x:c r="C287" s="4" t="n">
        <x:v>59.21</x:v>
      </x:c>
      <x:c r="D287" s="4" t="n">
        <x:v>25.29</x:v>
      </x:c>
      <x:c r="E287" s="4" t="n">
        <x:v>46.12</x:v>
      </x:c>
      <x:c r="F287" s="4" t="n">
        <x:v>59.68</x:v>
      </x:c>
      <x:c r="G287" s="4" t="n">
        <x:v>40.23</x:v>
      </x:c>
      <x:c r="H287" s="4" t="n">
        <x:v>34.38</x:v>
      </x:c>
      <x:c r="I287" s="4" t="n">
        <x:v>37.77</x:v>
      </x:c>
      <x:c r="J287" s="4" t="n">
        <x:v>44.59</x:v>
      </x:c>
      <x:c r="K287" s="4" t="n">
        <x:v>44.11</x:v>
      </x:c>
      <x:c r="L287" s="4" t="n">
        <x:v>22.1</x:v>
      </x:c>
      <x:c r="M287" s="4" t="n">
        <x:v>54.73</x:v>
      </x:c>
      <x:c r="N287" s="4" t="n">
        <x:v>45.5</x:v>
      </x:c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 t="str">
        <x:v>手续费单价</x:v>
      </x:c>
      <x:c r="C288" s="4" t="n">
        <x:v>33.58</x:v>
      </x:c>
      <x:c r="D288" s="4" t="n">
        <x:v>18.95</x:v>
      </x:c>
      <x:c r="E288" s="4" t="n">
        <x:v>26.71</x:v>
      </x:c>
      <x:c r="F288" s="4" t="n">
        <x:v>39.77</x:v>
      </x:c>
      <x:c r="G288" s="4" t="n">
        <x:v>61.77</x:v>
      </x:c>
      <x:c r="H288" s="4" t="n">
        <x:v>57.87</x:v>
      </x:c>
      <x:c r="I288" s="4" t="n">
        <x:v>49.87</x:v>
      </x:c>
      <x:c r="J288" s="4" t="n">
        <x:v>57.73</x:v>
      </x:c>
      <x:c r="K288" s="4" t="n">
        <x:v>66.63</x:v>
      </x:c>
      <x:c r="L288" s="4" t="n">
        <x:v>26.2</x:v>
      </x:c>
      <x:c r="M288" s="4" t="n">
        <x:v>29.35</x:v>
      </x:c>
      <x:c r="N288" s="4" t="n">
        <x:v>39.18</x:v>
      </x:c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 t="str">
        <x:v>利息收入单价</x:v>
      </x:c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 t="str">
        <x:v>利息支出单价</x:v>
      </x:c>
      <x:c r="C290" s="4" t="n">
        <x:v>55.84</x:v>
      </x:c>
      <x:c r="D290" s="4" t="n">
        <x:v>67.44</x:v>
      </x:c>
      <x:c r="E290" s="4" t="n">
        <x:v>54.38</x:v>
      </x:c>
      <x:c r="F290" s="4" t="n">
        <x:v>49.73</x:v>
      </x:c>
      <x:c r="G290" s="4" t="n">
        <x:v>64.69</x:v>
      </x:c>
      <x:c r="H290" s="4" t="n">
        <x:v>32.96</x:v>
      </x:c>
      <x:c r="I290" s="4" t="n">
        <x:v>34.96</x:v>
      </x:c>
      <x:c r="J290" s="4" t="n">
        <x:v>25.15</x:v>
      </x:c>
      <x:c r="K290" s="4" t="n">
        <x:v>38.82</x:v>
      </x:c>
      <x:c r="L290" s="4" t="n">
        <x:v>20.97</x:v>
      </x:c>
      <x:c r="M290" s="4" t="n">
        <x:v>64.99</x:v>
      </x:c>
      <x:c r="N290" s="4" t="n">
        <x:v>46.77</x:v>
      </x:c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 t="str">
        <x:v>车船税单价</x:v>
      </x:c>
      <x:c r="C291" s="4" t="n">
        <x:v>58.49</x:v>
      </x:c>
      <x:c r="D291" s="4" t="n">
        <x:v>29.33</x:v>
      </x:c>
      <x:c r="E291" s="4" t="n">
        <x:v>60.73</x:v>
      </x:c>
      <x:c r="F291" s="4" t="n">
        <x:v>52.2</x:v>
      </x:c>
      <x:c r="G291" s="4" t="n">
        <x:v>54.54</x:v>
      </x:c>
      <x:c r="H291" s="4" t="n">
        <x:v>67.66</x:v>
      </x:c>
      <x:c r="I291" s="4" t="n">
        <x:v>17.45</x:v>
      </x:c>
      <x:c r="J291" s="4" t="n">
        <x:v>50.44</x:v>
      </x:c>
      <x:c r="K291" s="4" t="n">
        <x:v>43.66</x:v>
      </x:c>
      <x:c r="L291" s="4" t="n">
        <x:v>39.66</x:v>
      </x:c>
      <x:c r="M291" s="4" t="n">
        <x:v>61.52</x:v>
      </x:c>
      <x:c r="N291" s="4" t="n">
        <x:v>56.83</x:v>
      </x:c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 t="str">
        <x:v>印花税单价</x:v>
      </x:c>
      <x:c r="C292" s="4" t="n">
        <x:v>21.06</x:v>
      </x:c>
      <x:c r="D292" s="4" t="n">
        <x:v>31.02</x:v>
      </x:c>
      <x:c r="E292" s="4" t="n">
        <x:v>52.48</x:v>
      </x:c>
      <x:c r="F292" s="4" t="n">
        <x:v>59.4</x:v>
      </x:c>
      <x:c r="G292" s="4" t="n">
        <x:v>51.34</x:v>
      </x:c>
      <x:c r="H292" s="4" t="n">
        <x:v>67.1</x:v>
      </x:c>
      <x:c r="I292" s="4" t="n">
        <x:v>33.71</x:v>
      </x:c>
      <x:c r="J292" s="4" t="n">
        <x:v>21.39</x:v>
      </x:c>
      <x:c r="K292" s="4" t="n">
        <x:v>56.09</x:v>
      </x:c>
      <x:c r="L292" s="4" t="n">
        <x:v>17.48</x:v>
      </x:c>
      <x:c r="M292" s="4" t="n">
        <x:v>22.53</x:v>
      </x:c>
      <x:c r="N292" s="4" t="n">
        <x:v>41.73</x:v>
      </x:c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 t="str">
        <x:v>其他单价</x:v>
      </x:c>
      <x:c r="C293" s="4" t="n">
        <x:v>22.25</x:v>
      </x:c>
      <x:c r="D293" s="4" t="n">
        <x:v>21.91</x:v>
      </x:c>
      <x:c r="E293" s="4" t="n">
        <x:v>39.02</x:v>
      </x:c>
      <x:c r="F293" s="4" t="n">
        <x:v>25.92</x:v>
      </x:c>
      <x:c r="G293" s="4" t="n">
        <x:v>24.25</x:v>
      </x:c>
      <x:c r="H293" s="4" t="n">
        <x:v>28.58</x:v>
      </x:c>
      <x:c r="I293" s="4" t="n">
        <x:v>67.3</x:v>
      </x:c>
      <x:c r="J293" s="4" t="n">
        <x:v>56.7</x:v>
      </x:c>
      <x:c r="K293" s="4" t="n">
        <x:v>41.56</x:v>
      </x:c>
      <x:c r="L293" s="4" t="n">
        <x:v>38.47</x:v>
      </x:c>
      <x:c r="M293" s="4" t="n">
        <x:v>31.01</x:v>
      </x:c>
      <x:c r="N293" s="4" t="n">
        <x:v>46.29</x:v>
      </x:c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2.94</x:v>
      </x:c>
      <x:c r="D324" s="4" t="n">
        <x:v>3.83</x:v>
      </x:c>
      <x:c r="E324" s="4" t="n">
        <x:v>5.17</x:v>
      </x:c>
      <x:c r="F324" s="4" t="n">
        <x:v>2.3</x:v>
      </x:c>
      <x:c r="G324" s="4" t="n">
        <x:v>5.8</x:v>
      </x:c>
      <x:c r="H324" s="4" t="n">
        <x:v>5.45</x:v>
      </x:c>
      <x:c r="I324" s="4" t="n">
        <x:v>4.57</x:v>
      </x:c>
      <x:c r="J324" s="4" t="n">
        <x:v>7.62</x:v>
      </x:c>
      <x:c r="K324" s="4" t="n">
        <x:v>7.1</x:v>
      </x:c>
      <x:c r="L324" s="4" t="n">
        <x:v>7.42</x:v>
      </x:c>
      <x:c r="M324" s="4" t="n">
        <x:v>3.86</x:v>
      </x:c>
      <x:c r="N324" s="4" t="n">
        <x:v>5.8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7.13</x:v>
      </x:c>
      <x:c r="D325" s="4" t="n">
        <x:v>3.18</x:v>
      </x:c>
      <x:c r="E325" s="4" t="n">
        <x:v>8.06</x:v>
      </x:c>
      <x:c r="F325" s="4" t="n">
        <x:v>6.05</x:v>
      </x:c>
      <x:c r="G325" s="4" t="n">
        <x:v>8.42</x:v>
      </x:c>
      <x:c r="H325" s="4" t="n">
        <x:v>5.83</x:v>
      </x:c>
      <x:c r="I325" s="4" t="n">
        <x:v>6.91</x:v>
      </x:c>
      <x:c r="J325" s="4" t="n">
        <x:v>2.64</x:v>
      </x:c>
      <x:c r="K325" s="4" t="n">
        <x:v>7.15</x:v>
      </x:c>
      <x:c r="L325" s="4" t="n">
        <x:v>2.32</x:v>
      </x:c>
      <x:c r="M325" s="4" t="n">
        <x:v>2.42</x:v>
      </x:c>
      <x:c r="N325" s="4" t="n">
        <x:v>2.73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6.71</x:v>
      </x:c>
      <x:c r="D326" s="4" t="n">
        <x:v>7.79</x:v>
      </x:c>
      <x:c r="E326" s="4" t="n">
        <x:v>4.52</x:v>
      </x:c>
      <x:c r="F326" s="4" t="n">
        <x:v>4.15</x:v>
      </x:c>
      <x:c r="G326" s="4" t="n">
        <x:v>7.73</x:v>
      </x:c>
      <x:c r="H326" s="4" t="n">
        <x:v>7.85</x:v>
      </x:c>
      <x:c r="I326" s="4" t="n">
        <x:v>6.85</x:v>
      </x:c>
      <x:c r="J326" s="4" t="n">
        <x:v>6.49</x:v>
      </x:c>
      <x:c r="K326" s="4" t="n">
        <x:v>8.42</x:v>
      </x:c>
      <x:c r="L326" s="4" t="n">
        <x:v>7.74</x:v>
      </x:c>
      <x:c r="M326" s="4" t="n">
        <x:v>7.28</x:v>
      </x:c>
      <x:c r="N326" s="4" t="n">
        <x:v>4.79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5.73</x:v>
      </x:c>
      <x:c r="D327" s="4" t="n">
        <x:v>4.23</x:v>
      </x:c>
      <x:c r="E327" s="4" t="n">
        <x:v>2.24</x:v>
      </x:c>
      <x:c r="F327" s="4" t="n">
        <x:v>7.13</x:v>
      </x:c>
      <x:c r="G327" s="4" t="n">
        <x:v>6.84</x:v>
      </x:c>
      <x:c r="H327" s="4" t="n">
        <x:v>6.13</x:v>
      </x:c>
      <x:c r="I327" s="4" t="n">
        <x:v>7.49</x:v>
      </x:c>
      <x:c r="J327" s="4" t="n">
        <x:v>6.37</x:v>
      </x:c>
      <x:c r="K327" s="4" t="n">
        <x:v>6.86</x:v>
      </x:c>
      <x:c r="L327" s="4" t="n">
        <x:v>2.96</x:v>
      </x:c>
      <x:c r="M327" s="4" t="n">
        <x:v>7.94</x:v>
      </x:c>
      <x:c r="N327" s="4" t="n">
        <x:v>7.85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6.89</x:v>
      </x:c>
      <x:c r="D328" s="4" t="n">
        <x:v>6.56</x:v>
      </x:c>
      <x:c r="E328" s="4" t="n">
        <x:v>5.6</x:v>
      </x:c>
      <x:c r="F328" s="4" t="n">
        <x:v>2.3</x:v>
      </x:c>
      <x:c r="G328" s="4" t="n">
        <x:v>6.39</x:v>
      </x:c>
      <x:c r="H328" s="4" t="n">
        <x:v>8.33</x:v>
      </x:c>
      <x:c r="I328" s="4" t="n">
        <x:v>5.07</x:v>
      </x:c>
      <x:c r="J328" s="4" t="n">
        <x:v>2.61</x:v>
      </x:c>
      <x:c r="K328" s="4" t="n">
        <x:v>6.35</x:v>
      </x:c>
      <x:c r="L328" s="4" t="n">
        <x:v>7.02</x:v>
      </x:c>
      <x:c r="M328" s="4" t="n">
        <x:v>3.32</x:v>
      </x:c>
      <x:c r="N328" s="4" t="n">
        <x:v>3.19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2.81</x:v>
      </x:c>
      <x:c r="D329" s="4" t="n">
        <x:v>4.63</x:v>
      </x:c>
      <x:c r="E329" s="4" t="n">
        <x:v>4.37</x:v>
      </x:c>
      <x:c r="F329" s="4" t="n">
        <x:v>3.29</x:v>
      </x:c>
      <x:c r="G329" s="4" t="n">
        <x:v>4.48</x:v>
      </x:c>
      <x:c r="H329" s="4" t="n">
        <x:v>6.76</x:v>
      </x:c>
      <x:c r="I329" s="4" t="n">
        <x:v>6.73</x:v>
      </x:c>
      <x:c r="J329" s="4" t="n">
        <x:v>2.21</x:v>
      </x:c>
      <x:c r="K329" s="4" t="n">
        <x:v>5.97</x:v>
      </x:c>
      <x:c r="L329" s="4" t="n">
        <x:v>4.8</x:v>
      </x:c>
      <x:c r="M329" s="4" t="n">
        <x:v>5.18</x:v>
      </x:c>
      <x:c r="N329" s="4" t="n">
        <x:v>7.66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2.97</x:v>
      </x:c>
      <x:c r="D330" s="4" t="n">
        <x:v>7.93</x:v>
      </x:c>
      <x:c r="E330" s="4" t="n">
        <x:v>7.78</x:v>
      </x:c>
      <x:c r="F330" s="4" t="n">
        <x:v>5.64</x:v>
      </x:c>
      <x:c r="G330" s="4" t="n">
        <x:v>2.53</x:v>
      </x:c>
      <x:c r="H330" s="4" t="n">
        <x:v>7.64</x:v>
      </x:c>
      <x:c r="I330" s="4" t="n">
        <x:v>3.45</x:v>
      </x:c>
      <x:c r="J330" s="4" t="n">
        <x:v>6.65</x:v>
      </x:c>
      <x:c r="K330" s="4" t="n">
        <x:v>7.25</x:v>
      </x:c>
      <x:c r="L330" s="4" t="n">
        <x:v>8.27</x:v>
      </x:c>
      <x:c r="M330" s="4" t="n">
        <x:v>2.42</x:v>
      </x:c>
      <x:c r="N330" s="4" t="n">
        <x:v>5.55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7.49</x:v>
      </x:c>
      <x:c r="D331" s="4" t="n">
        <x:v>6.4</x:v>
      </x:c>
      <x:c r="E331" s="4" t="n">
        <x:v>8.57</x:v>
      </x:c>
      <x:c r="F331" s="4" t="n">
        <x:v>7.57</x:v>
      </x:c>
      <x:c r="G331" s="4" t="n">
        <x:v>8.65</x:v>
      </x:c>
      <x:c r="H331" s="4" t="n">
        <x:v>8.64</x:v>
      </x:c>
      <x:c r="I331" s="4" t="n">
        <x:v>6.5</x:v>
      </x:c>
      <x:c r="J331" s="4" t="n">
        <x:v>4.4</x:v>
      </x:c>
      <x:c r="K331" s="4" t="n">
        <x:v>5.33</x:v>
      </x:c>
      <x:c r="L331" s="4" t="n">
        <x:v>2.48</x:v>
      </x:c>
      <x:c r="M331" s="4" t="n">
        <x:v>4.8</x:v>
      </x:c>
      <x:c r="N331" s="4" t="n">
        <x:v>7.84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8.4</x:v>
      </x:c>
      <x:c r="D332" s="4" t="n">
        <x:v>5.34</x:v>
      </x:c>
      <x:c r="E332" s="4" t="n">
        <x:v>8.29</x:v>
      </x:c>
      <x:c r="F332" s="4" t="n">
        <x:v>5.45</x:v>
      </x:c>
      <x:c r="G332" s="4" t="n">
        <x:v>7.11</x:v>
      </x:c>
      <x:c r="H332" s="4" t="n">
        <x:v>6.81</x:v>
      </x:c>
      <x:c r="I332" s="4" t="n">
        <x:v>5.41</x:v>
      </x:c>
      <x:c r="J332" s="4" t="n">
        <x:v>3.01</x:v>
      </x:c>
      <x:c r="K332" s="4" t="n">
        <x:v>8.57</x:v>
      </x:c>
      <x:c r="L332" s="4" t="n">
        <x:v>7.99</x:v>
      </x:c>
      <x:c r="M332" s="4" t="n">
        <x:v>8.83</x:v>
      </x:c>
      <x:c r="N332" s="4" t="n">
        <x:v>7.39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8.87</x:v>
      </x:c>
      <x:c r="D333" s="4" t="n">
        <x:v>2.93</x:v>
      </x:c>
      <x:c r="E333" s="4" t="n">
        <x:v>7.1</x:v>
      </x:c>
      <x:c r="F333" s="4" t="n">
        <x:v>4.93</x:v>
      </x:c>
      <x:c r="G333" s="4" t="n">
        <x:v>2.47</x:v>
      </x:c>
      <x:c r="H333" s="4" t="n">
        <x:v>4.38</x:v>
      </x:c>
      <x:c r="I333" s="4" t="n">
        <x:v>7.32</x:v>
      </x:c>
      <x:c r="J333" s="4" t="n">
        <x:v>4.98</x:v>
      </x:c>
      <x:c r="K333" s="4" t="n">
        <x:v>4.28</x:v>
      </x:c>
      <x:c r="L333" s="4" t="n">
        <x:v>8.13</x:v>
      </x:c>
      <x:c r="M333" s="4" t="n">
        <x:v>7.31</x:v>
      </x:c>
      <x:c r="N333" s="4" t="n">
        <x:v>3.66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2.79</x:v>
      </x:c>
      <x:c r="D334" s="4" t="n">
        <x:v>6.06</x:v>
      </x:c>
      <x:c r="E334" s="4" t="n">
        <x:v>8.4</x:v>
      </x:c>
      <x:c r="F334" s="4" t="n">
        <x:v>6.27</x:v>
      </x:c>
      <x:c r="G334" s="4" t="n">
        <x:v>2.24</x:v>
      </x:c>
      <x:c r="H334" s="4" t="n">
        <x:v>3.35</x:v>
      </x:c>
      <x:c r="I334" s="4" t="n">
        <x:v>7.12</x:v>
      </x:c>
      <x:c r="J334" s="4" t="n">
        <x:v>5.74</x:v>
      </x:c>
      <x:c r="K334" s="4" t="n">
        <x:v>8.03</x:v>
      </x:c>
      <x:c r="L334" s="4" t="n">
        <x:v>6.26</x:v>
      </x:c>
      <x:c r="M334" s="4" t="n">
        <x:v>3.84</x:v>
      </x:c>
      <x:c r="N334" s="4" t="n">
        <x:v>6.75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3.76</x:v>
      </x:c>
      <x:c r="D335" s="4" t="n">
        <x:v>2.5</x:v>
      </x:c>
      <x:c r="E335" s="4" t="n">
        <x:v>7.21</x:v>
      </x:c>
      <x:c r="F335" s="4" t="n">
        <x:v>2.17</x:v>
      </x:c>
      <x:c r="G335" s="4" t="n">
        <x:v>2.22</x:v>
      </x:c>
      <x:c r="H335" s="4" t="n">
        <x:v>2.35</x:v>
      </x:c>
      <x:c r="I335" s="4" t="n">
        <x:v>2.49</x:v>
      </x:c>
      <x:c r="J335" s="4" t="n">
        <x:v>3.64</x:v>
      </x:c>
      <x:c r="K335" s="4" t="n">
        <x:v>5.86</x:v>
      </x:c>
      <x:c r="L335" s="4" t="n">
        <x:v>4.14</x:v>
      </x:c>
      <x:c r="M335" s="4" t="n">
        <x:v>8.4</x:v>
      </x:c>
      <x:c r="N335" s="4" t="n">
        <x:v>5.96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3.79</x:v>
      </x:c>
      <x:c r="D336" s="4" t="n">
        <x:v>4.43</x:v>
      </x:c>
      <x:c r="E336" s="4" t="n">
        <x:v>7.48</x:v>
      </x:c>
      <x:c r="F336" s="4" t="n">
        <x:v>7.51</x:v>
      </x:c>
      <x:c r="G336" s="4" t="n">
        <x:v>8.48</x:v>
      </x:c>
      <x:c r="H336" s="4" t="n">
        <x:v>4.35</x:v>
      </x:c>
      <x:c r="I336" s="4" t="n">
        <x:v>4.81</x:v>
      </x:c>
      <x:c r="J336" s="4" t="n">
        <x:v>8.47</x:v>
      </x:c>
      <x:c r="K336" s="4" t="n">
        <x:v>5.05</x:v>
      </x:c>
      <x:c r="L336" s="4" t="n">
        <x:v>6.14</x:v>
      </x:c>
      <x:c r="M336" s="4" t="n">
        <x:v>4.85</x:v>
      </x:c>
      <x:c r="N336" s="4" t="n">
        <x:v>6.8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6.95</x:v>
      </x:c>
      <x:c r="D337" s="4" t="n">
        <x:v>4.43</x:v>
      </x:c>
      <x:c r="E337" s="4" t="n">
        <x:v>8.86</x:v>
      </x:c>
      <x:c r="F337" s="4" t="n">
        <x:v>4.17</x:v>
      </x:c>
      <x:c r="G337" s="4" t="n">
        <x:v>6.64</x:v>
      </x:c>
      <x:c r="H337" s="4" t="n">
        <x:v>5.99</x:v>
      </x:c>
      <x:c r="I337" s="4" t="n">
        <x:v>8.78</x:v>
      </x:c>
      <x:c r="J337" s="4" t="n">
        <x:v>5.8</x:v>
      </x:c>
      <x:c r="K337" s="4" t="n">
        <x:v>2.36</x:v>
      </x:c>
      <x:c r="L337" s="4" t="n">
        <x:v>7.96</x:v>
      </x:c>
      <x:c r="M337" s="4" t="n">
        <x:v>7.27</x:v>
      </x:c>
      <x:c r="N337" s="4" t="n">
        <x:v>3.8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7.44</x:v>
      </x:c>
      <x:c r="D338" s="4" t="n">
        <x:v>4.12</x:v>
      </x:c>
      <x:c r="E338" s="4" t="n">
        <x:v>7.34</x:v>
      </x:c>
      <x:c r="F338" s="4" t="n">
        <x:v>7.39</x:v>
      </x:c>
      <x:c r="G338" s="4" t="n">
        <x:v>2.68</x:v>
      </x:c>
      <x:c r="H338" s="4" t="n">
        <x:v>2.85</x:v>
      </x:c>
      <x:c r="I338" s="4" t="n">
        <x:v>5.01</x:v>
      </x:c>
      <x:c r="J338" s="4" t="n">
        <x:v>5.38</x:v>
      </x:c>
      <x:c r="K338" s="4" t="n">
        <x:v>4.46</x:v>
      </x:c>
      <x:c r="L338" s="4" t="n">
        <x:v>3.66</x:v>
      </x:c>
      <x:c r="M338" s="4" t="n">
        <x:v>7.76</x:v>
      </x:c>
      <x:c r="N338" s="4" t="n">
        <x:v>7.19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2.23</x:v>
      </x:c>
      <x:c r="D339" s="4" t="n">
        <x:v>6.53</x:v>
      </x:c>
      <x:c r="E339" s="4" t="n">
        <x:v>3.8</x:v>
      </x:c>
      <x:c r="F339" s="4" t="n">
        <x:v>5.76</x:v>
      </x:c>
      <x:c r="G339" s="4" t="n">
        <x:v>5.53</x:v>
      </x:c>
      <x:c r="H339" s="4" t="n">
        <x:v>2.86</x:v>
      </x:c>
      <x:c r="I339" s="4" t="n">
        <x:v>5.95</x:v>
      </x:c>
      <x:c r="J339" s="4" t="n">
        <x:v>3.05</x:v>
      </x:c>
      <x:c r="K339" s="4" t="n">
        <x:v>6.99</x:v>
      </x:c>
      <x:c r="L339" s="4" t="n">
        <x:v>5.49</x:v>
      </x:c>
      <x:c r="M339" s="4" t="n">
        <x:v>5.34</x:v>
      </x:c>
      <x:c r="N339" s="4" t="n">
        <x:v>7.64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6.99</x:v>
      </x:c>
      <x:c r="D341" s="4" t="n">
        <x:v>5.9</x:v>
      </x:c>
      <x:c r="E341" s="4" t="n">
        <x:v>7.97</x:v>
      </x:c>
      <x:c r="F341" s="4" t="n">
        <x:v>5.94</x:v>
      </x:c>
      <x:c r="G341" s="4" t="n">
        <x:v>8.23</x:v>
      </x:c>
      <x:c r="H341" s="4" t="n">
        <x:v>6.55</x:v>
      </x:c>
      <x:c r="I341" s="4" t="n">
        <x:v>3.66</x:v>
      </x:c>
      <x:c r="J341" s="4" t="n">
        <x:v>5.97</x:v>
      </x:c>
      <x:c r="K341" s="4" t="n">
        <x:v>5.69</x:v>
      </x:c>
      <x:c r="L341" s="4" t="n">
        <x:v>5.14</x:v>
      </x:c>
      <x:c r="M341" s="4" t="n">
        <x:v>3.09</x:v>
      </x:c>
      <x:c r="N341" s="4" t="n">
        <x:v>2.47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6.18</x:v>
      </x:c>
      <x:c r="D342" s="4" t="n">
        <x:v>2.31</x:v>
      </x:c>
      <x:c r="E342" s="4" t="n">
        <x:v>8.52</x:v>
      </x:c>
      <x:c r="F342" s="4" t="n">
        <x:v>4.28</x:v>
      </x:c>
      <x:c r="G342" s="4" t="n">
        <x:v>2.95</x:v>
      </x:c>
      <x:c r="H342" s="4" t="n">
        <x:v>6.67</x:v>
      </x:c>
      <x:c r="I342" s="4" t="n">
        <x:v>2.28</x:v>
      </x:c>
      <x:c r="J342" s="4" t="n">
        <x:v>7.82</x:v>
      </x:c>
      <x:c r="K342" s="4" t="n">
        <x:v>3.51</x:v>
      </x:c>
      <x:c r="L342" s="4" t="n">
        <x:v>4.49</x:v>
      </x:c>
      <x:c r="M342" s="4" t="n">
        <x:v>7.29</x:v>
      </x:c>
      <x:c r="N342" s="4" t="n">
        <x:v>7.9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2.31</x:v>
      </x:c>
      <x:c r="D343" s="4" t="n">
        <x:v>2.49</x:v>
      </x:c>
      <x:c r="E343" s="4" t="n">
        <x:v>2.57</x:v>
      </x:c>
      <x:c r="F343" s="4" t="n">
        <x:v>2.62</x:v>
      </x:c>
      <x:c r="G343" s="4" t="n">
        <x:v>7.79</x:v>
      </x:c>
      <x:c r="H343" s="4" t="n">
        <x:v>2.53</x:v>
      </x:c>
      <x:c r="I343" s="4" t="n">
        <x:v>7.08</x:v>
      </x:c>
      <x:c r="J343" s="4" t="n">
        <x:v>7.59</x:v>
      </x:c>
      <x:c r="K343" s="4" t="n">
        <x:v>2.84</x:v>
      </x:c>
      <x:c r="L343" s="4" t="n">
        <x:v>4.42</x:v>
      </x:c>
      <x:c r="M343" s="4" t="n">
        <x:v>5.95</x:v>
      </x:c>
      <x:c r="N343" s="4" t="n">
        <x:v>5.85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5.08</x:v>
      </x:c>
      <x:c r="D344" s="4" t="n">
        <x:v>8.6</x:v>
      </x:c>
      <x:c r="E344" s="4" t="n">
        <x:v>7.37</x:v>
      </x:c>
      <x:c r="F344" s="4" t="n">
        <x:v>6.84</x:v>
      </x:c>
      <x:c r="G344" s="4" t="n">
        <x:v>8.72</x:v>
      </x:c>
      <x:c r="H344" s="4" t="n">
        <x:v>7.23</x:v>
      </x:c>
      <x:c r="I344" s="4" t="n">
        <x:v>5.67</x:v>
      </x:c>
      <x:c r="J344" s="4" t="n">
        <x:v>4.37</x:v>
      </x:c>
      <x:c r="K344" s="4" t="n">
        <x:v>6.77</x:v>
      </x:c>
      <x:c r="L344" s="4" t="n">
        <x:v>7.68</x:v>
      </x:c>
      <x:c r="M344" s="4" t="n">
        <x:v>3.78</x:v>
      </x:c>
      <x:c r="N344" s="4" t="n">
        <x:v>8.69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8.31</x:v>
      </x:c>
      <x:c r="D345" s="4" t="n">
        <x:v>7.92</x:v>
      </x:c>
      <x:c r="E345" s="4" t="n">
        <x:v>4.13</x:v>
      </x:c>
      <x:c r="F345" s="4" t="n">
        <x:v>3.59</x:v>
      </x:c>
      <x:c r="G345" s="4" t="n">
        <x:v>6.24</x:v>
      </x:c>
      <x:c r="H345" s="4" t="n">
        <x:v>2.59</x:v>
      </x:c>
      <x:c r="I345" s="4" t="n">
        <x:v>6.49</x:v>
      </x:c>
      <x:c r="J345" s="4" t="n">
        <x:v>8.06</x:v>
      </x:c>
      <x:c r="K345" s="4" t="n">
        <x:v>3.09</x:v>
      </x:c>
      <x:c r="L345" s="4" t="n">
        <x:v>8.85</x:v>
      </x:c>
      <x:c r="M345" s="4" t="n">
        <x:v>8.03</x:v>
      </x:c>
      <x:c r="N345" s="4" t="n">
        <x:v>3.51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7.9</x:v>
      </x:c>
      <x:c r="D346" s="4" t="n">
        <x:v>8.18</x:v>
      </x:c>
      <x:c r="E346" s="4" t="n">
        <x:v>2.53</x:v>
      </x:c>
      <x:c r="F346" s="4" t="n">
        <x:v>7.5</x:v>
      </x:c>
      <x:c r="G346" s="4" t="n">
        <x:v>8.67</x:v>
      </x:c>
      <x:c r="H346" s="4" t="n">
        <x:v>5.64</x:v>
      </x:c>
      <x:c r="I346" s="4" t="n">
        <x:v>7.69</x:v>
      </x:c>
      <x:c r="J346" s="4" t="n">
        <x:v>6.9</x:v>
      </x:c>
      <x:c r="K346" s="4" t="n">
        <x:v>8.76</x:v>
      </x:c>
      <x:c r="L346" s="4" t="n">
        <x:v>8.52</x:v>
      </x:c>
      <x:c r="M346" s="4" t="n">
        <x:v>5.35</x:v>
      </x:c>
      <x:c r="N346" s="4" t="n">
        <x:v>2.31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6.04</x:v>
      </x:c>
      <x:c r="D347" s="4" t="n">
        <x:v>6.91</x:v>
      </x:c>
      <x:c r="E347" s="4" t="n">
        <x:v>6.68</x:v>
      </x:c>
      <x:c r="F347" s="4" t="n">
        <x:v>4.35</x:v>
      </x:c>
      <x:c r="G347" s="4" t="n">
        <x:v>3.55</x:v>
      </x:c>
      <x:c r="H347" s="4" t="n">
        <x:v>2.23</x:v>
      </x:c>
      <x:c r="I347" s="4" t="n">
        <x:v>6.17</x:v>
      </x:c>
      <x:c r="J347" s="4" t="n">
        <x:v>8.61</x:v>
      </x:c>
      <x:c r="K347" s="4" t="n">
        <x:v>2.8</x:v>
      </x:c>
      <x:c r="L347" s="4" t="n">
        <x:v>8.1</x:v>
      </x:c>
      <x:c r="M347" s="4" t="n">
        <x:v>7.71</x:v>
      </x:c>
      <x:c r="N347" s="4" t="n">
        <x:v>7.55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6.31</x:v>
      </x:c>
      <x:c r="D348" s="4" t="n">
        <x:v>7.16</x:v>
      </x:c>
      <x:c r="E348" s="4" t="n">
        <x:v>2.7</x:v>
      </x:c>
      <x:c r="F348" s="4" t="n">
        <x:v>5.64</x:v>
      </x:c>
      <x:c r="G348" s="4" t="n">
        <x:v>7.47</x:v>
      </x:c>
      <x:c r="H348" s="4" t="n">
        <x:v>5.47</x:v>
      </x:c>
      <x:c r="I348" s="4" t="n">
        <x:v>8.49</x:v>
      </x:c>
      <x:c r="J348" s="4" t="n">
        <x:v>4.93</x:v>
      </x:c>
      <x:c r="K348" s="4" t="n">
        <x:v>6.32</x:v>
      </x:c>
      <x:c r="L348" s="4" t="n">
        <x:v>8.82</x:v>
      </x:c>
      <x:c r="M348" s="4" t="n">
        <x:v>8.22</x:v>
      </x:c>
      <x:c r="N348" s="4" t="n">
        <x:v>6.8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3.67</x:v>
      </x:c>
      <x:c r="D350" s="4" t="n">
        <x:v>6.89</x:v>
      </x:c>
      <x:c r="E350" s="4" t="n">
        <x:v>4.24</x:v>
      </x:c>
      <x:c r="F350" s="4" t="n">
        <x:v>3.13</x:v>
      </x:c>
      <x:c r="G350" s="4" t="n">
        <x:v>3.27</x:v>
      </x:c>
      <x:c r="H350" s="4" t="n">
        <x:v>3.09</x:v>
      </x:c>
      <x:c r="I350" s="4" t="n">
        <x:v>4.01</x:v>
      </x:c>
      <x:c r="J350" s="4" t="n">
        <x:v>4.97</x:v>
      </x:c>
      <x:c r="K350" s="4" t="n">
        <x:v>3.77</x:v>
      </x:c>
      <x:c r="L350" s="4" t="n">
        <x:v>5.99</x:v>
      </x:c>
      <x:c r="M350" s="4" t="n">
        <x:v>7.42</x:v>
      </x:c>
      <x:c r="N350" s="4" t="n">
        <x:v>4.93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6.01</x:v>
      </x:c>
      <x:c r="D351" s="4" t="n">
        <x:v>4.13</x:v>
      </x:c>
      <x:c r="E351" s="4" t="n">
        <x:v>5.24</x:v>
      </x:c>
      <x:c r="F351" s="4" t="n">
        <x:v>8.18</x:v>
      </x:c>
      <x:c r="G351" s="4" t="n">
        <x:v>5.21</x:v>
      </x:c>
      <x:c r="H351" s="4" t="n">
        <x:v>5.23</x:v>
      </x:c>
      <x:c r="I351" s="4" t="n">
        <x:v>8.08</x:v>
      </x:c>
      <x:c r="J351" s="4" t="n">
        <x:v>5.91</x:v>
      </x:c>
      <x:c r="K351" s="4" t="n">
        <x:v>8.75</x:v>
      </x:c>
      <x:c r="L351" s="4" t="n">
        <x:v>6.34</x:v>
      </x:c>
      <x:c r="M351" s="4" t="n">
        <x:v>8.09</x:v>
      </x:c>
      <x:c r="N351" s="4" t="n">
        <x:v>7.25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5.4</x:v>
      </x:c>
      <x:c r="D352" s="4" t="n">
        <x:v>3.55</x:v>
      </x:c>
      <x:c r="E352" s="4" t="n">
        <x:v>2.54</x:v>
      </x:c>
      <x:c r="F352" s="4" t="n">
        <x:v>2.19</x:v>
      </x:c>
      <x:c r="G352" s="4" t="n">
        <x:v>7.16</x:v>
      </x:c>
      <x:c r="H352" s="4" t="n">
        <x:v>4.09</x:v>
      </x:c>
      <x:c r="I352" s="4" t="n">
        <x:v>8.02</x:v>
      </x:c>
      <x:c r="J352" s="4" t="n">
        <x:v>3.86</x:v>
      </x:c>
      <x:c r="K352" s="4" t="n">
        <x:v>6.95</x:v>
      </x:c>
      <x:c r="L352" s="4" t="n">
        <x:v>4.94</x:v>
      </x:c>
      <x:c r="M352" s="4" t="n">
        <x:v>8.49</x:v>
      </x:c>
      <x:c r="N352" s="4" t="n">
        <x:v>5.77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2.76</x:v>
      </x:c>
      <x:c r="D353" s="4" t="n">
        <x:v>2.24</x:v>
      </x:c>
      <x:c r="E353" s="4" t="n">
        <x:v>8.7</x:v>
      </x:c>
      <x:c r="F353" s="4" t="n">
        <x:v>7.17</x:v>
      </x:c>
      <x:c r="G353" s="4" t="n">
        <x:v>7.09</x:v>
      </x:c>
      <x:c r="H353" s="4" t="n">
        <x:v>3.62</x:v>
      </x:c>
      <x:c r="I353" s="4" t="n">
        <x:v>8.36</x:v>
      </x:c>
      <x:c r="J353" s="4" t="n">
        <x:v>2.95</x:v>
      </x:c>
      <x:c r="K353" s="4" t="n">
        <x:v>8.25</x:v>
      </x:c>
      <x:c r="L353" s="4" t="n">
        <x:v>3.77</x:v>
      </x:c>
      <x:c r="M353" s="4" t="n">
        <x:v>5.39</x:v>
      </x:c>
      <x:c r="N353" s="4" t="n">
        <x:v>6.31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 t="str">
        <x:v>工资数量</x:v>
      </x:c>
      <x:c r="C384" s="4" t="n">
        <x:v>5.83</x:v>
      </x:c>
      <x:c r="D384" s="4" t="n">
        <x:v>3.04</x:v>
      </x:c>
      <x:c r="E384" s="4" t="n">
        <x:v>2.48</x:v>
      </x:c>
      <x:c r="F384" s="4" t="n">
        <x:v>4.53</x:v>
      </x:c>
      <x:c r="G384" s="4" t="n">
        <x:v>6.26</x:v>
      </x:c>
      <x:c r="H384" s="4" t="n">
        <x:v>7.48</x:v>
      </x:c>
      <x:c r="I384" s="4" t="n">
        <x:v>5.29</x:v>
      </x:c>
      <x:c r="J384" s="4" t="n">
        <x:v>7.57</x:v>
      </x:c>
      <x:c r="K384" s="4" t="n">
        <x:v>2.69</x:v>
      </x:c>
      <x:c r="L384" s="4" t="n">
        <x:v>2.94</x:v>
      </x:c>
      <x:c r="M384" s="4" t="n">
        <x:v>4.65</x:v>
      </x:c>
      <x:c r="N384" s="4" t="n">
        <x:v>5.26</x:v>
      </x:c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 t="str">
        <x:v>十三薪数量</x:v>
      </x:c>
      <x:c r="C385" s="4" t="n">
        <x:v>3.37</x:v>
      </x:c>
      <x:c r="D385" s="4" t="n">
        <x:v>5.21</x:v>
      </x:c>
      <x:c r="E385" s="4" t="n">
        <x:v>5.64</x:v>
      </x:c>
      <x:c r="F385" s="4" t="n">
        <x:v>8.06</x:v>
      </x:c>
      <x:c r="G385" s="4" t="n">
        <x:v>5.57</x:v>
      </x:c>
      <x:c r="H385" s="4" t="n">
        <x:v>7.53</x:v>
      </x:c>
      <x:c r="I385" s="4" t="n">
        <x:v>2.4</x:v>
      </x:c>
      <x:c r="J385" s="4" t="n">
        <x:v>4.14</x:v>
      </x:c>
      <x:c r="K385" s="4" t="n">
        <x:v>4.72</x:v>
      </x:c>
      <x:c r="L385" s="4" t="n">
        <x:v>5.27</x:v>
      </x:c>
      <x:c r="M385" s="4" t="n">
        <x:v>4.21</x:v>
      </x:c>
      <x:c r="N385" s="4" t="n">
        <x:v>6.47</x:v>
      </x:c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 t="str">
        <x:v>离职补偿金数量</x:v>
      </x:c>
      <x:c r="C386" s="4" t="n">
        <x:v>6.17</x:v>
      </x:c>
      <x:c r="D386" s="4" t="n">
        <x:v>5.34</x:v>
      </x:c>
      <x:c r="E386" s="4" t="n">
        <x:v>8.58</x:v>
      </x:c>
      <x:c r="F386" s="4" t="n">
        <x:v>5.61</x:v>
      </x:c>
      <x:c r="G386" s="4" t="n">
        <x:v>4.27</x:v>
      </x:c>
      <x:c r="H386" s="4" t="n">
        <x:v>3.55</x:v>
      </x:c>
      <x:c r="I386" s="4" t="n">
        <x:v>5.67</x:v>
      </x:c>
      <x:c r="J386" s="4" t="n">
        <x:v>7.48</x:v>
      </x:c>
      <x:c r="K386" s="4" t="n">
        <x:v>6.4</x:v>
      </x:c>
      <x:c r="L386" s="4" t="n">
        <x:v>3.84</x:v>
      </x:c>
      <x:c r="M386" s="4" t="n">
        <x:v>6.74</x:v>
      </x:c>
      <x:c r="N386" s="4" t="n">
        <x:v>8.44</x:v>
      </x:c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 t="str">
        <x:v>五险一金数量</x:v>
      </x:c>
      <x:c r="C387" s="4" t="n">
        <x:v>3.34</x:v>
      </x:c>
      <x:c r="D387" s="4" t="n">
        <x:v>4.22</x:v>
      </x:c>
      <x:c r="E387" s="4" t="n">
        <x:v>6.25</x:v>
      </x:c>
      <x:c r="F387" s="4" t="n">
        <x:v>4.24</x:v>
      </x:c>
      <x:c r="G387" s="4" t="n">
        <x:v>4.8</x:v>
      </x:c>
      <x:c r="H387" s="4" t="n">
        <x:v>2.92</x:v>
      </x:c>
      <x:c r="I387" s="4" t="n">
        <x:v>6.95</x:v>
      </x:c>
      <x:c r="J387" s="4" t="n">
        <x:v>7.83</x:v>
      </x:c>
      <x:c r="K387" s="4" t="n">
        <x:v>7.94</x:v>
      </x:c>
      <x:c r="L387" s="4" t="n">
        <x:v>4.11</x:v>
      </x:c>
      <x:c r="M387" s="4" t="n">
        <x:v>8.03</x:v>
      </x:c>
      <x:c r="N387" s="4" t="n">
        <x:v>6.74</x:v>
      </x:c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 t="str">
        <x:v>福利费数量</x:v>
      </x:c>
      <x:c r="C388" s="4" t="n">
        <x:v>8.6</x:v>
      </x:c>
      <x:c r="D388" s="4" t="n">
        <x:v>4.31</x:v>
      </x:c>
      <x:c r="E388" s="4" t="n">
        <x:v>2.27</x:v>
      </x:c>
      <x:c r="F388" s="4" t="n">
        <x:v>4.84</x:v>
      </x:c>
      <x:c r="G388" s="4" t="n">
        <x:v>8.13</x:v>
      </x:c>
      <x:c r="H388" s="4" t="n">
        <x:v>3.98</x:v>
      </x:c>
      <x:c r="I388" s="4" t="n">
        <x:v>7.21</x:v>
      </x:c>
      <x:c r="J388" s="4" t="n">
        <x:v>4.22</x:v>
      </x:c>
      <x:c r="K388" s="4" t="n">
        <x:v>4.92</x:v>
      </x:c>
      <x:c r="L388" s="4" t="n">
        <x:v>8.43</x:v>
      </x:c>
      <x:c r="M388" s="4" t="n">
        <x:v>6.63</x:v>
      </x:c>
      <x:c r="N388" s="4" t="n">
        <x:v>7.49</x:v>
      </x:c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 t="str">
        <x:v>招聘费数量</x:v>
      </x:c>
      <x:c r="C389" s="4" t="n">
        <x:v>4.35</x:v>
      </x:c>
      <x:c r="D389" s="4" t="n">
        <x:v>5.74</x:v>
      </x:c>
      <x:c r="E389" s="4" t="n">
        <x:v>7.86</x:v>
      </x:c>
      <x:c r="F389" s="4" t="n">
        <x:v>7.3</x:v>
      </x:c>
      <x:c r="G389" s="4" t="n">
        <x:v>6.86</x:v>
      </x:c>
      <x:c r="H389" s="4" t="n">
        <x:v>3.5</x:v>
      </x:c>
      <x:c r="I389" s="4" t="n">
        <x:v>7.69</x:v>
      </x:c>
      <x:c r="J389" s="4" t="n">
        <x:v>7.56</x:v>
      </x:c>
      <x:c r="K389" s="4" t="n">
        <x:v>5.85</x:v>
      </x:c>
      <x:c r="L389" s="4" t="n">
        <x:v>7.23</x:v>
      </x:c>
      <x:c r="M389" s="4" t="n">
        <x:v>7.95</x:v>
      </x:c>
      <x:c r="N389" s="4" t="n">
        <x:v>6.9</x:v>
      </x:c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 t="str">
        <x:v>培训费数量</x:v>
      </x:c>
      <x:c r="C390" s="4" t="n">
        <x:v>7.18</x:v>
      </x:c>
      <x:c r="D390" s="4" t="n">
        <x:v>2.94</x:v>
      </x:c>
      <x:c r="E390" s="4" t="n">
        <x:v>6.92</x:v>
      </x:c>
      <x:c r="F390" s="4" t="n">
        <x:v>7.83</x:v>
      </x:c>
      <x:c r="G390" s="4" t="n">
        <x:v>6.07</x:v>
      </x:c>
      <x:c r="H390" s="4" t="n">
        <x:v>3.43</x:v>
      </x:c>
      <x:c r="I390" s="4" t="n">
        <x:v>7.37</x:v>
      </x:c>
      <x:c r="J390" s="4" t="n">
        <x:v>4.24</x:v>
      </x:c>
      <x:c r="K390" s="4" t="n">
        <x:v>2.71</x:v>
      </x:c>
      <x:c r="L390" s="4" t="n">
        <x:v>4.34</x:v>
      </x:c>
      <x:c r="M390" s="4" t="n">
        <x:v>4.25</x:v>
      </x:c>
      <x:c r="N390" s="4" t="n">
        <x:v>8.18</x:v>
      </x:c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 t="str">
        <x:v>房租数量</x:v>
      </x:c>
      <x:c r="C391" s="4" t="n">
        <x:v>7.6</x:v>
      </x:c>
      <x:c r="D391" s="4" t="n">
        <x:v>5.95</x:v>
      </x:c>
      <x:c r="E391" s="4" t="n">
        <x:v>5.37</x:v>
      </x:c>
      <x:c r="F391" s="4" t="n">
        <x:v>7.61</x:v>
      </x:c>
      <x:c r="G391" s="4" t="n">
        <x:v>8.42</x:v>
      </x:c>
      <x:c r="H391" s="4" t="n">
        <x:v>6.5</x:v>
      </x:c>
      <x:c r="I391" s="4" t="n">
        <x:v>2.36</x:v>
      </x:c>
      <x:c r="J391" s="4" t="n">
        <x:v>3.61</x:v>
      </x:c>
      <x:c r="K391" s="4" t="n">
        <x:v>5.34</x:v>
      </x:c>
      <x:c r="L391" s="4" t="n">
        <x:v>4.03</x:v>
      </x:c>
      <x:c r="M391" s="4" t="n">
        <x:v>8.04</x:v>
      </x:c>
      <x:c r="N391" s="4" t="n">
        <x:v>4.05</x:v>
      </x:c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 t="str">
        <x:v>物业管理费数量</x:v>
      </x:c>
      <x:c r="C392" s="4" t="n">
        <x:v>8.72</x:v>
      </x:c>
      <x:c r="D392" s="4" t="n">
        <x:v>5.86</x:v>
      </x:c>
      <x:c r="E392" s="4" t="n">
        <x:v>2.25</x:v>
      </x:c>
      <x:c r="F392" s="4" t="n">
        <x:v>4.24</x:v>
      </x:c>
      <x:c r="G392" s="4" t="n">
        <x:v>8.74</x:v>
      </x:c>
      <x:c r="H392" s="4" t="n">
        <x:v>5.7</x:v>
      </x:c>
      <x:c r="I392" s="4" t="n">
        <x:v>4.16</x:v>
      </x:c>
      <x:c r="J392" s="4" t="n">
        <x:v>4.33</x:v>
      </x:c>
      <x:c r="K392" s="4" t="n">
        <x:v>6.66</x:v>
      </x:c>
      <x:c r="L392" s="4" t="n">
        <x:v>3.63</x:v>
      </x:c>
      <x:c r="M392" s="4" t="n">
        <x:v>6.27</x:v>
      </x:c>
      <x:c r="N392" s="4" t="n">
        <x:v>3.99</x:v>
      </x:c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 t="str">
        <x:v>汽车费用数量</x:v>
      </x:c>
      <x:c r="C393" s="4" t="n">
        <x:v>3.28</x:v>
      </x:c>
      <x:c r="D393" s="4" t="n">
        <x:v>4.47</x:v>
      </x:c>
      <x:c r="E393" s="4" t="n">
        <x:v>3.01</x:v>
      </x:c>
      <x:c r="F393" s="4" t="n">
        <x:v>5.08</x:v>
      </x:c>
      <x:c r="G393" s="4" t="n">
        <x:v>8.1</x:v>
      </x:c>
      <x:c r="H393" s="4" t="n">
        <x:v>7.67</x:v>
      </x:c>
      <x:c r="I393" s="4" t="n">
        <x:v>2.31</x:v>
      </x:c>
      <x:c r="J393" s="4" t="n">
        <x:v>3.43</x:v>
      </x:c>
      <x:c r="K393" s="4" t="n">
        <x:v>7.78</x:v>
      </x:c>
      <x:c r="L393" s="4" t="n">
        <x:v>6.29</x:v>
      </x:c>
      <x:c r="M393" s="4" t="n">
        <x:v>7.03</x:v>
      </x:c>
      <x:c r="N393" s="4" t="n">
        <x:v>8.35</x:v>
      </x:c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 t="str">
        <x:v>办公费数量</x:v>
      </x:c>
      <x:c r="C394" s="4" t="n">
        <x:v>3.47</x:v>
      </x:c>
      <x:c r="D394" s="4" t="n">
        <x:v>8.24</x:v>
      </x:c>
      <x:c r="E394" s="4" t="n">
        <x:v>3.99</x:v>
      </x:c>
      <x:c r="F394" s="4" t="n">
        <x:v>7.11</x:v>
      </x:c>
      <x:c r="G394" s="4" t="n">
        <x:v>8.53</x:v>
      </x:c>
      <x:c r="H394" s="4" t="n">
        <x:v>2.21</x:v>
      </x:c>
      <x:c r="I394" s="4" t="n">
        <x:v>7.44</x:v>
      </x:c>
      <x:c r="J394" s="4" t="n">
        <x:v>7.86</x:v>
      </x:c>
      <x:c r="K394" s="4" t="n">
        <x:v>2.66</x:v>
      </x:c>
      <x:c r="L394" s="4" t="n">
        <x:v>2.24</x:v>
      </x:c>
      <x:c r="M394" s="4" t="n">
        <x:v>6.47</x:v>
      </x:c>
      <x:c r="N394" s="4" t="n">
        <x:v>3.35</x:v>
      </x:c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 t="str">
        <x:v>办公用品数量</x:v>
      </x:c>
      <x:c r="C395" s="4" t="n">
        <x:v>3.47</x:v>
      </x:c>
      <x:c r="D395" s="4" t="n">
        <x:v>7.45</x:v>
      </x:c>
      <x:c r="E395" s="4" t="n">
        <x:v>5.03</x:v>
      </x:c>
      <x:c r="F395" s="4" t="n">
        <x:v>4.03</x:v>
      </x:c>
      <x:c r="G395" s="4" t="n">
        <x:v>4.16</x:v>
      </x:c>
      <x:c r="H395" s="4" t="n">
        <x:v>4.03</x:v>
      </x:c>
      <x:c r="I395" s="4" t="n">
        <x:v>7.59</x:v>
      </x:c>
      <x:c r="J395" s="4" t="n">
        <x:v>6.28</x:v>
      </x:c>
      <x:c r="K395" s="4" t="n">
        <x:v>8.77</x:v>
      </x:c>
      <x:c r="L395" s="4" t="n">
        <x:v>5.66</x:v>
      </x:c>
      <x:c r="M395" s="4" t="n">
        <x:v>8.19</x:v>
      </x:c>
      <x:c r="N395" s="4" t="n">
        <x:v>7.24</x:v>
      </x:c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 t="str">
        <x:v>水电煤数量</x:v>
      </x:c>
      <x:c r="C396" s="4" t="n">
        <x:v>7.38</x:v>
      </x:c>
      <x:c r="D396" s="4" t="n">
        <x:v>8.68</x:v>
      </x:c>
      <x:c r="E396" s="4" t="n">
        <x:v>7.68</x:v>
      </x:c>
      <x:c r="F396" s="4" t="n">
        <x:v>3.5</x:v>
      </x:c>
      <x:c r="G396" s="4" t="n">
        <x:v>3.51</x:v>
      </x:c>
      <x:c r="H396" s="4" t="n">
        <x:v>6.16</x:v>
      </x:c>
      <x:c r="I396" s="4" t="n">
        <x:v>2.37</x:v>
      </x:c>
      <x:c r="J396" s="4" t="n">
        <x:v>8.01</x:v>
      </x:c>
      <x:c r="K396" s="4" t="n">
        <x:v>3.69</x:v>
      </x:c>
      <x:c r="L396" s="4" t="n">
        <x:v>5.91</x:v>
      </x:c>
      <x:c r="M396" s="4" t="n">
        <x:v>3.27</x:v>
      </x:c>
      <x:c r="N396" s="4" t="n">
        <x:v>4.62</x:v>
      </x:c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 t="str">
        <x:v>咨询服务费数量</x:v>
      </x:c>
      <x:c r="C397" s="4" t="n">
        <x:v>7.43</x:v>
      </x:c>
      <x:c r="D397" s="4" t="n">
        <x:v>3.32</x:v>
      </x:c>
      <x:c r="E397" s="4" t="n">
        <x:v>2.69</x:v>
      </x:c>
      <x:c r="F397" s="4" t="n">
        <x:v>6.3</x:v>
      </x:c>
      <x:c r="G397" s="4" t="n">
        <x:v>7.12</x:v>
      </x:c>
      <x:c r="H397" s="4" t="n">
        <x:v>5.46</x:v>
      </x:c>
      <x:c r="I397" s="4" t="n">
        <x:v>5.12</x:v>
      </x:c>
      <x:c r="J397" s="4" t="n">
        <x:v>8.17</x:v>
      </x:c>
      <x:c r="K397" s="4" t="n">
        <x:v>5.28</x:v>
      </x:c>
      <x:c r="L397" s="4" t="n">
        <x:v>8.55</x:v>
      </x:c>
      <x:c r="M397" s="4" t="n">
        <x:v>7.78</x:v>
      </x:c>
      <x:c r="N397" s="4" t="n">
        <x:v>2.35</x:v>
      </x:c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 t="str">
        <x:v>电话费数量</x:v>
      </x:c>
      <x:c r="C398" s="4" t="n">
        <x:v>7.45</x:v>
      </x:c>
      <x:c r="D398" s="4" t="n">
        <x:v>6.8</x:v>
      </x:c>
      <x:c r="E398" s="4" t="n">
        <x:v>6.74</x:v>
      </x:c>
      <x:c r="F398" s="4" t="n">
        <x:v>2.28</x:v>
      </x:c>
      <x:c r="G398" s="4" t="n">
        <x:v>8.72</x:v>
      </x:c>
      <x:c r="H398" s="4" t="n">
        <x:v>2.5</x:v>
      </x:c>
      <x:c r="I398" s="4" t="n">
        <x:v>2.3</x:v>
      </x:c>
      <x:c r="J398" s="4" t="n">
        <x:v>5.28</x:v>
      </x:c>
      <x:c r="K398" s="4" t="n">
        <x:v>7.09</x:v>
      </x:c>
      <x:c r="L398" s="4" t="n">
        <x:v>3.78</x:v>
      </x:c>
      <x:c r="M398" s="4" t="n">
        <x:v>4.19</x:v>
      </x:c>
      <x:c r="N398" s="4" t="n">
        <x:v>3.91</x:v>
      </x:c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 t="str">
        <x:v>快递费数量</x:v>
      </x:c>
      <x:c r="C399" s="4" t="n">
        <x:v>2.25</x:v>
      </x:c>
      <x:c r="D399" s="4" t="n">
        <x:v>3.58</x:v>
      </x:c>
      <x:c r="E399" s="4" t="n">
        <x:v>7.25</x:v>
      </x:c>
      <x:c r="F399" s="4" t="n">
        <x:v>5.69</x:v>
      </x:c>
      <x:c r="G399" s="4" t="n">
        <x:v>5.35</x:v>
      </x:c>
      <x:c r="H399" s="4" t="n">
        <x:v>3.7</x:v>
      </x:c>
      <x:c r="I399" s="4" t="n">
        <x:v>7.07</x:v>
      </x:c>
      <x:c r="J399" s="4" t="n">
        <x:v>6.49</x:v>
      </x:c>
      <x:c r="K399" s="4" t="n">
        <x:v>4.61</x:v>
      </x:c>
      <x:c r="L399" s="4" t="n">
        <x:v>6.69</x:v>
      </x:c>
      <x:c r="M399" s="4" t="n">
        <x:v>4.46</x:v>
      </x:c>
      <x:c r="N399" s="4" t="n">
        <x:v>6.39</x:v>
      </x:c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 t="str">
        <x:v>折旧及摊销数量</x:v>
      </x:c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 t="str">
        <x:v>机票火车票数量</x:v>
      </x:c>
      <x:c r="C401" s="4" t="n">
        <x:v>4.02</x:v>
      </x:c>
      <x:c r="D401" s="4" t="n">
        <x:v>5.64</x:v>
      </x:c>
      <x:c r="E401" s="4" t="n">
        <x:v>6.93</x:v>
      </x:c>
      <x:c r="F401" s="4" t="n">
        <x:v>5.73</x:v>
      </x:c>
      <x:c r="G401" s="4" t="n">
        <x:v>3.53</x:v>
      </x:c>
      <x:c r="H401" s="4" t="n">
        <x:v>4.17</x:v>
      </x:c>
      <x:c r="I401" s="4" t="n">
        <x:v>6.15</x:v>
      </x:c>
      <x:c r="J401" s="4" t="n">
        <x:v>2.31</x:v>
      </x:c>
      <x:c r="K401" s="4" t="n">
        <x:v>4.48</x:v>
      </x:c>
      <x:c r="L401" s="4" t="n">
        <x:v>5.84</x:v>
      </x:c>
      <x:c r="M401" s="4" t="n">
        <x:v>8.79</x:v>
      </x:c>
      <x:c r="N401" s="4" t="n">
        <x:v>8.86</x:v>
      </x:c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 t="str">
        <x:v>住宿费数量</x:v>
      </x:c>
      <x:c r="C402" s="4" t="n">
        <x:v>7.45</x:v>
      </x:c>
      <x:c r="D402" s="4" t="n">
        <x:v>3.7</x:v>
      </x:c>
      <x:c r="E402" s="4" t="n">
        <x:v>6.16</x:v>
      </x:c>
      <x:c r="F402" s="4" t="n">
        <x:v>6.75</x:v>
      </x:c>
      <x:c r="G402" s="4" t="n">
        <x:v>3.71</x:v>
      </x:c>
      <x:c r="H402" s="4" t="n">
        <x:v>5.65</x:v>
      </x:c>
      <x:c r="I402" s="4" t="n">
        <x:v>8.61</x:v>
      </x:c>
      <x:c r="J402" s="4" t="n">
        <x:v>8.7</x:v>
      </x:c>
      <x:c r="K402" s="4" t="n">
        <x:v>3.7</x:v>
      </x:c>
      <x:c r="L402" s="4" t="n">
        <x:v>3.5</x:v>
      </x:c>
      <x:c r="M402" s="4" t="n">
        <x:v>2.45</x:v>
      </x:c>
      <x:c r="N402" s="4" t="n">
        <x:v>6.28</x:v>
      </x:c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 t="str">
        <x:v>交通费数量</x:v>
      </x:c>
      <x:c r="C403" s="4" t="n">
        <x:v>7.49</x:v>
      </x:c>
      <x:c r="D403" s="4" t="n">
        <x:v>6.75</x:v>
      </x:c>
      <x:c r="E403" s="4" t="n">
        <x:v>6.27</x:v>
      </x:c>
      <x:c r="F403" s="4" t="n">
        <x:v>6.55</x:v>
      </x:c>
      <x:c r="G403" s="4" t="n">
        <x:v>5.14</x:v>
      </x:c>
      <x:c r="H403" s="4" t="n">
        <x:v>3.21</x:v>
      </x:c>
      <x:c r="I403" s="4" t="n">
        <x:v>4.41</x:v>
      </x:c>
      <x:c r="J403" s="4" t="n">
        <x:v>7.16</x:v>
      </x:c>
      <x:c r="K403" s="4" t="n">
        <x:v>5.53</x:v>
      </x:c>
      <x:c r="L403" s="4" t="n">
        <x:v>7.3</x:v>
      </x:c>
      <x:c r="M403" s="4" t="n">
        <x:v>7.8</x:v>
      </x:c>
      <x:c r="N403" s="4" t="n">
        <x:v>4.78</x:v>
      </x:c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 t="str">
        <x:v>差旅补贴数量</x:v>
      </x:c>
      <x:c r="C404" s="4" t="n">
        <x:v>7.6</x:v>
      </x:c>
      <x:c r="D404" s="4" t="n">
        <x:v>3.33</x:v>
      </x:c>
      <x:c r="E404" s="4" t="n">
        <x:v>5.9</x:v>
      </x:c>
      <x:c r="F404" s="4" t="n">
        <x:v>2.23</x:v>
      </x:c>
      <x:c r="G404" s="4" t="n">
        <x:v>7.05</x:v>
      </x:c>
      <x:c r="H404" s="4" t="n">
        <x:v>3.79</x:v>
      </x:c>
      <x:c r="I404" s="4" t="n">
        <x:v>4.17</x:v>
      </x:c>
      <x:c r="J404" s="4" t="n">
        <x:v>6.49</x:v>
      </x:c>
      <x:c r="K404" s="4" t="n">
        <x:v>6.44</x:v>
      </x:c>
      <x:c r="L404" s="4" t="n">
        <x:v>4.42</x:v>
      </x:c>
      <x:c r="M404" s="4" t="n">
        <x:v>7.34</x:v>
      </x:c>
      <x:c r="N404" s="4" t="n">
        <x:v>8.37</x:v>
      </x:c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 t="str">
        <x:v>业务招待费数量</x:v>
      </x:c>
      <x:c r="C405" s="4" t="n">
        <x:v>8.03</x:v>
      </x:c>
      <x:c r="D405" s="4" t="n">
        <x:v>4.92</x:v>
      </x:c>
      <x:c r="E405" s="4" t="n">
        <x:v>7.38</x:v>
      </x:c>
      <x:c r="F405" s="4" t="n">
        <x:v>8.41</x:v>
      </x:c>
      <x:c r="G405" s="4" t="n">
        <x:v>8.64</x:v>
      </x:c>
      <x:c r="H405" s="4" t="n">
        <x:v>6.13</x:v>
      </x:c>
      <x:c r="I405" s="4" t="n">
        <x:v>4.44</x:v>
      </x:c>
      <x:c r="J405" s="4" t="n">
        <x:v>4.32</x:v>
      </x:c>
      <x:c r="K405" s="4" t="n">
        <x:v>7.22</x:v>
      </x:c>
      <x:c r="L405" s="4" t="n">
        <x:v>2.3</x:v>
      </x:c>
      <x:c r="M405" s="4" t="n">
        <x:v>5.69</x:v>
      </x:c>
      <x:c r="N405" s="4" t="n">
        <x:v>8.3</x:v>
      </x:c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 t="str">
        <x:v>市内交通费数量</x:v>
      </x:c>
      <x:c r="C406" s="4" t="n">
        <x:v>6.94</x:v>
      </x:c>
      <x:c r="D406" s="4" t="n">
        <x:v>4.84</x:v>
      </x:c>
      <x:c r="E406" s="4" t="n">
        <x:v>5.91</x:v>
      </x:c>
      <x:c r="F406" s="4" t="n">
        <x:v>7.84</x:v>
      </x:c>
      <x:c r="G406" s="4" t="n">
        <x:v>3.82</x:v>
      </x:c>
      <x:c r="H406" s="4" t="n">
        <x:v>2.63</x:v>
      </x:c>
      <x:c r="I406" s="4" t="n">
        <x:v>3.57</x:v>
      </x:c>
      <x:c r="J406" s="4" t="n">
        <x:v>6.19</x:v>
      </x:c>
      <x:c r="K406" s="4" t="n">
        <x:v>8.13</x:v>
      </x:c>
      <x:c r="L406" s="4" t="n">
        <x:v>6.07</x:v>
      </x:c>
      <x:c r="M406" s="4" t="n">
        <x:v>6.12</x:v>
      </x:c>
      <x:c r="N406" s="4" t="n">
        <x:v>5.07</x:v>
      </x:c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 t="str">
        <x:v>调研费用数量</x:v>
      </x:c>
      <x:c r="C407" s="4" t="n">
        <x:v>5.35</x:v>
      </x:c>
      <x:c r="D407" s="4" t="n">
        <x:v>4.06</x:v>
      </x:c>
      <x:c r="E407" s="4" t="n">
        <x:v>3.61</x:v>
      </x:c>
      <x:c r="F407" s="4" t="n">
        <x:v>2.58</x:v>
      </x:c>
      <x:c r="G407" s="4" t="n">
        <x:v>5.15</x:v>
      </x:c>
      <x:c r="H407" s="4" t="n">
        <x:v>6.24</x:v>
      </x:c>
      <x:c r="I407" s="4" t="n">
        <x:v>6.17</x:v>
      </x:c>
      <x:c r="J407" s="4" t="n">
        <x:v>2.67</x:v>
      </x:c>
      <x:c r="K407" s="4" t="n">
        <x:v>5.21</x:v>
      </x:c>
      <x:c r="L407" s="4" t="n">
        <x:v>6.21</x:v>
      </x:c>
      <x:c r="M407" s="4" t="n">
        <x:v>7.41</x:v>
      </x:c>
      <x:c r="N407" s="4" t="n">
        <x:v>4.88</x:v>
      </x:c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 t="str">
        <x:v>手续费数量</x:v>
      </x:c>
      <x:c r="C408" s="4" t="n">
        <x:v>8.59</x:v>
      </x:c>
      <x:c r="D408" s="4" t="n">
        <x:v>2.18</x:v>
      </x:c>
      <x:c r="E408" s="4" t="n">
        <x:v>5.66</x:v>
      </x:c>
      <x:c r="F408" s="4" t="n">
        <x:v>3.58</x:v>
      </x:c>
      <x:c r="G408" s="4" t="n">
        <x:v>5.18</x:v>
      </x:c>
      <x:c r="H408" s="4" t="n">
        <x:v>4.47</x:v>
      </x:c>
      <x:c r="I408" s="4" t="n">
        <x:v>5.31</x:v>
      </x:c>
      <x:c r="J408" s="4" t="n">
        <x:v>8.12</x:v>
      </x:c>
      <x:c r="K408" s="4" t="n">
        <x:v>3.73</x:v>
      </x:c>
      <x:c r="L408" s="4" t="n">
        <x:v>2.33</x:v>
      </x:c>
      <x:c r="M408" s="4" t="n">
        <x:v>3.55</x:v>
      </x:c>
      <x:c r="N408" s="4" t="n">
        <x:v>6.66</x:v>
      </x:c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 t="str">
        <x:v>利息收入数量</x:v>
      </x:c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 t="str">
        <x:v>利息支出数量</x:v>
      </x:c>
      <x:c r="C410" s="4" t="n">
        <x:v>8.65</x:v>
      </x:c>
      <x:c r="D410" s="4" t="n">
        <x:v>2.81</x:v>
      </x:c>
      <x:c r="E410" s="4" t="n">
        <x:v>2.99</x:v>
      </x:c>
      <x:c r="F410" s="4" t="n">
        <x:v>4.27</x:v>
      </x:c>
      <x:c r="G410" s="4" t="n">
        <x:v>8.35</x:v>
      </x:c>
      <x:c r="H410" s="4" t="n">
        <x:v>6.44</x:v>
      </x:c>
      <x:c r="I410" s="4" t="n">
        <x:v>7.81</x:v>
      </x:c>
      <x:c r="J410" s="4" t="n">
        <x:v>8.13</x:v>
      </x:c>
      <x:c r="K410" s="4" t="n">
        <x:v>6.3</x:v>
      </x:c>
      <x:c r="L410" s="4" t="n">
        <x:v>5.43</x:v>
      </x:c>
      <x:c r="M410" s="4" t="n">
        <x:v>7.59</x:v>
      </x:c>
      <x:c r="N410" s="4" t="n">
        <x:v>3.92</x:v>
      </x:c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 t="str">
        <x:v>车船税数量</x:v>
      </x:c>
      <x:c r="C411" s="4" t="n">
        <x:v>6.99</x:v>
      </x:c>
      <x:c r="D411" s="4" t="n">
        <x:v>8.29</x:v>
      </x:c>
      <x:c r="E411" s="4" t="n">
        <x:v>7.46</x:v>
      </x:c>
      <x:c r="F411" s="4" t="n">
        <x:v>8.84</x:v>
      </x:c>
      <x:c r="G411" s="4" t="n">
        <x:v>6.88</x:v>
      </x:c>
      <x:c r="H411" s="4" t="n">
        <x:v>4.73</x:v>
      </x:c>
      <x:c r="I411" s="4" t="n">
        <x:v>7.06</x:v>
      </x:c>
      <x:c r="J411" s="4" t="n">
        <x:v>4.69</x:v>
      </x:c>
      <x:c r="K411" s="4" t="n">
        <x:v>6.19</x:v>
      </x:c>
      <x:c r="L411" s="4" t="n">
        <x:v>3.96</x:v>
      </x:c>
      <x:c r="M411" s="4" t="n">
        <x:v>3.24</x:v>
      </x:c>
      <x:c r="N411" s="4" t="n">
        <x:v>7.26</x:v>
      </x:c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 t="str">
        <x:v>印花税数量</x:v>
      </x:c>
      <x:c r="C412" s="4" t="n">
        <x:v>8.31</x:v>
      </x:c>
      <x:c r="D412" s="4" t="n">
        <x:v>5.2</x:v>
      </x:c>
      <x:c r="E412" s="4" t="n">
        <x:v>4.14</x:v>
      </x:c>
      <x:c r="F412" s="4" t="n">
        <x:v>7.38</x:v>
      </x:c>
      <x:c r="G412" s="4" t="n">
        <x:v>5.36</x:v>
      </x:c>
      <x:c r="H412" s="4" t="n">
        <x:v>5.24</x:v>
      </x:c>
      <x:c r="I412" s="4" t="n">
        <x:v>8.31</x:v>
      </x:c>
      <x:c r="J412" s="4" t="n">
        <x:v>6.82</x:v>
      </x:c>
      <x:c r="K412" s="4" t="n">
        <x:v>5.12</x:v>
      </x:c>
      <x:c r="L412" s="4" t="n">
        <x:v>8.25</x:v>
      </x:c>
      <x:c r="M412" s="4" t="n">
        <x:v>7.71</x:v>
      </x:c>
      <x:c r="N412" s="4" t="n">
        <x:v>7.04</x:v>
      </x:c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 t="str">
        <x:v>其他数量</x:v>
      </x:c>
      <x:c r="C413" s="4" t="n">
        <x:v>4.34</x:v>
      </x:c>
      <x:c r="D413" s="4" t="n">
        <x:v>7.04</x:v>
      </x:c>
      <x:c r="E413" s="4" t="n">
        <x:v>2.9</x:v>
      </x:c>
      <x:c r="F413" s="4" t="n">
        <x:v>5.87</x:v>
      </x:c>
      <x:c r="G413" s="4" t="n">
        <x:v>2.83</x:v>
      </x:c>
      <x:c r="H413" s="4" t="n">
        <x:v>8.02</x:v>
      </x:c>
      <x:c r="I413" s="4" t="n">
        <x:v>6.79</x:v>
      </x:c>
      <x:c r="J413" s="4" t="n">
        <x:v>3.95</x:v>
      </x:c>
      <x:c r="K413" s="4" t="n">
        <x:v>2.61</x:v>
      </x:c>
      <x:c r="L413" s="4" t="n">
        <x:v>7.75</x:v>
      </x:c>
      <x:c r="M413" s="4" t="n">
        <x:v>8.55</x:v>
      </x:c>
      <x:c r="N413" s="4" t="n">
        <x:v>6.47</x:v>
      </x:c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9" hidden="0" customWidth="1"/>
    <x:col min="19" max="19" width="9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管理费用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435.24</x:v>
      </x:c>
      <x:c r="D4" s="3" t="n">
        <x:f>ROUND(D204*D324,2)</x:f>
        <x:v>142.36</x:v>
      </x:c>
      <x:c r="E4" s="3" t="n">
        <x:f>ROUND(E204*E324,2)</x:f>
        <x:v>136</x:v>
      </x:c>
      <x:c r="F4" s="3" t="n">
        <x:f>ROUND(F204*F324,2)</x:f>
        <x:v>324.46</x:v>
      </x:c>
      <x:c r="G4" s="3" t="n">
        <x:f>ROUND(G204*G324,2)</x:f>
        <x:v>152.94</x:v>
      </x:c>
      <x:c r="H4" s="3" t="n">
        <x:f>ROUND(H204*H324,2)</x:f>
        <x:v>201.83</x:v>
      </x:c>
      <x:c r="I4" s="3" t="n">
        <x:f>ROUND(I204*I324,2)</x:f>
        <x:v>99.43</x:v>
      </x:c>
      <x:c r="J4" s="3" t="n">
        <x:f>ROUND(J204*J324,2)</x:f>
        <x:v>190.7</x:v>
      </x:c>
      <x:c r="K4" s="3" t="n">
        <x:f>ROUND(K204*K324,2)</x:f>
        <x:v>192.15</x:v>
      </x:c>
      <x:c r="L4" s="3" t="n">
        <x:f>ROUND(L204*L324,2)</x:f>
        <x:v>165.99</x:v>
      </x:c>
      <x:c r="M4" s="3" t="n">
        <x:f>ROUND(M204*M324,2)</x:f>
        <x:v>461.07</x:v>
      </x:c>
      <x:c r="N4" s="3" t="n">
        <x:f>ROUND(N204*N324,2)</x:f>
        <x:v>384.97</x:v>
      </x:c>
      <x:c r="O4" s="3" t="n">
        <x:f>SUM(C4:N4)</x:f>
        <x:v>2887.1400000000003</x:v>
      </x:c>
      <x:c r="P4" s="2" t="str">
        <x:v>EXP2.004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148</x:v>
      </x:c>
      <x:c r="D5" s="3" t="n">
        <x:f>ROUND(D205*D325,2)</x:f>
        <x:v>215.53</x:v>
      </x:c>
      <x:c r="E5" s="3" t="n">
        <x:f>ROUND(E205*E325,2)</x:f>
        <x:v>357.99</x:v>
      </x:c>
      <x:c r="F5" s="3" t="n">
        <x:f>ROUND(F205*F325,2)</x:f>
        <x:v>108.57</x:v>
      </x:c>
      <x:c r="G5" s="3" t="n">
        <x:f>ROUND(G205*G325,2)</x:f>
        <x:v>394.13</x:v>
      </x:c>
      <x:c r="H5" s="3" t="n">
        <x:f>ROUND(H205*H325,2)</x:f>
        <x:v>140.03</x:v>
      </x:c>
      <x:c r="I5" s="3" t="n">
        <x:f>ROUND(I205*I325,2)</x:f>
        <x:v>75.26</x:v>
      </x:c>
      <x:c r="J5" s="3" t="n">
        <x:f>ROUND(J205*J325,2)</x:f>
        <x:v>207.06</x:v>
      </x:c>
      <x:c r="K5" s="3" t="n">
        <x:f>ROUND(K205*K325,2)</x:f>
        <x:v>307.32</x:v>
      </x:c>
      <x:c r="L5" s="3" t="n">
        <x:f>ROUND(L205*L325,2)</x:f>
        <x:v>118.24</x:v>
      </x:c>
      <x:c r="M5" s="3" t="n">
        <x:f>ROUND(M205*M325,2)</x:f>
        <x:v>317.65</x:v>
      </x:c>
      <x:c r="N5" s="3" t="n">
        <x:f>ROUND(N205*N325,2)</x:f>
        <x:v>159.58</x:v>
      </x:c>
      <x:c r="O5" s="3" t="n">
        <x:f>SUM(C5:N5)</x:f>
        <x:v>2549.3599999999997</x:v>
      </x:c>
      <x:c r="P5" s="2" t="str">
        <x:v>EXP2.005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123.69</x:v>
      </x:c>
      <x:c r="D6" s="3" t="n">
        <x:f>ROUND(D206*D326,2)</x:f>
        <x:v>63.5</x:v>
      </x:c>
      <x:c r="E6" s="3" t="n">
        <x:f>ROUND(E206*E326,2)</x:f>
        <x:v>189.71</x:v>
      </x:c>
      <x:c r="F6" s="3" t="n">
        <x:f>ROUND(F206*F326,2)</x:f>
        <x:v>324.05</x:v>
      </x:c>
      <x:c r="G6" s="3" t="n">
        <x:f>ROUND(G206*G326,2)</x:f>
        <x:v>310.25</x:v>
      </x:c>
      <x:c r="H6" s="3" t="n">
        <x:f>ROUND(H206*H326,2)</x:f>
        <x:v>139.14</x:v>
      </x:c>
      <x:c r="I6" s="3" t="n">
        <x:f>ROUND(I206*I326,2)</x:f>
        <x:v>60.12</x:v>
      </x:c>
      <x:c r="J6" s="3" t="n">
        <x:f>ROUND(J206*J326,2)</x:f>
        <x:v>116.13</x:v>
      </x:c>
      <x:c r="K6" s="3" t="n">
        <x:f>ROUND(K206*K326,2)</x:f>
        <x:v>73.48</x:v>
      </x:c>
      <x:c r="L6" s="3" t="n">
        <x:f>ROUND(L206*L326,2)</x:f>
        <x:v>253.98</x:v>
      </x:c>
      <x:c r="M6" s="3" t="n">
        <x:f>ROUND(M206*M326,2)</x:f>
        <x:v>188.84</x:v>
      </x:c>
      <x:c r="N6" s="3" t="n">
        <x:f>ROUND(N206*N326,2)</x:f>
        <x:v>203.97</x:v>
      </x:c>
      <x:c r="O6" s="3" t="n">
        <x:f>SUM(C6:N6)</x:f>
        <x:v>2046.8600000000001</x:v>
      </x:c>
      <x:c r="P6" s="2" t="str">
        <x:v>EXP2.006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191.75</x:v>
      </x:c>
      <x:c r="D7" s="3" t="n">
        <x:f>ROUND(D207*D327,2)</x:f>
        <x:v>149.22</x:v>
      </x:c>
      <x:c r="E7" s="3" t="n">
        <x:f>ROUND(E207*E327,2)</x:f>
        <x:v>219.18</x:v>
      </x:c>
      <x:c r="F7" s="3" t="n">
        <x:f>ROUND(F207*F327,2)</x:f>
        <x:v>415.56</x:v>
      </x:c>
      <x:c r="G7" s="3" t="n">
        <x:f>ROUND(G207*G327,2)</x:f>
        <x:v>145.56</x:v>
      </x:c>
      <x:c r="H7" s="3" t="n">
        <x:f>ROUND(H207*H327,2)</x:f>
        <x:v>382.66</x:v>
      </x:c>
      <x:c r="I7" s="3" t="n">
        <x:f>ROUND(I207*I327,2)</x:f>
        <x:v>480.99</x:v>
      </x:c>
      <x:c r="J7" s="3" t="n">
        <x:f>ROUND(J207*J327,2)</x:f>
        <x:v>251.57</x:v>
      </x:c>
      <x:c r="K7" s="3" t="n">
        <x:f>ROUND(K207*K327,2)</x:f>
        <x:v>368.93</x:v>
      </x:c>
      <x:c r="L7" s="3" t="n">
        <x:f>ROUND(L207*L327,2)</x:f>
        <x:v>379.94</x:v>
      </x:c>
      <x:c r="M7" s="3" t="n">
        <x:f>ROUND(M207*M327,2)</x:f>
        <x:v>435.12</x:v>
      </x:c>
      <x:c r="N7" s="3" t="n">
        <x:f>ROUND(N207*N327,2)</x:f>
        <x:v>452.93</x:v>
      </x:c>
      <x:c r="O7" s="3" t="n">
        <x:f>SUM(C7:N7)</x:f>
        <x:v>3873.41</x:v>
      </x:c>
      <x:c r="P7" s="2" t="str">
        <x:v>EXP2.007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128.89</x:v>
      </x:c>
      <x:c r="D8" s="3" t="n">
        <x:f>ROUND(D208*D328,2)</x:f>
        <x:v>373.39</x:v>
      </x:c>
      <x:c r="E8" s="3" t="n">
        <x:f>ROUND(E208*E328,2)</x:f>
        <x:v>400.84</x:v>
      </x:c>
      <x:c r="F8" s="3" t="n">
        <x:f>ROUND(F208*F328,2)</x:f>
        <x:v>89.7</x:v>
      </x:c>
      <x:c r="G8" s="3" t="n">
        <x:f>ROUND(G208*G328,2)</x:f>
        <x:v>194.43</x:v>
      </x:c>
      <x:c r="H8" s="3" t="n">
        <x:f>ROUND(H208*H328,2)</x:f>
        <x:v>462.62</x:v>
      </x:c>
      <x:c r="I8" s="3" t="n">
        <x:f>ROUND(I208*I328,2)</x:f>
        <x:v>203.73</x:v>
      </x:c>
      <x:c r="J8" s="3" t="n">
        <x:f>ROUND(J208*J328,2)</x:f>
        <x:v>375.82</x:v>
      </x:c>
      <x:c r="K8" s="3" t="n">
        <x:f>ROUND(K208*K328,2)</x:f>
        <x:v>269.89</x:v>
      </x:c>
      <x:c r="L8" s="3" t="n">
        <x:f>ROUND(L208*L328,2)</x:f>
        <x:v>488.5</x:v>
      </x:c>
      <x:c r="M8" s="3" t="n">
        <x:f>ROUND(M208*M328,2)</x:f>
        <x:v>156.12</x:v>
      </x:c>
      <x:c r="N8" s="3" t="n">
        <x:f>ROUND(N208*N328,2)</x:f>
        <x:v>441.76</x:v>
      </x:c>
      <x:c r="O8" s="3" t="n">
        <x:f>SUM(C8:N8)</x:f>
        <x:v>3585.6899999999996</x:v>
      </x:c>
      <x:c r="P8" s="2" t="str">
        <x:v>EXP2.008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330.47</x:v>
      </x:c>
      <x:c r="D9" s="3" t="n">
        <x:f>ROUND(D209*D329,2)</x:f>
        <x:v>171.98</x:v>
      </x:c>
      <x:c r="E9" s="3" t="n">
        <x:f>ROUND(E209*E329,2)</x:f>
        <x:v>339.56</x:v>
      </x:c>
      <x:c r="F9" s="3" t="n">
        <x:f>ROUND(F209*F329,2)</x:f>
        <x:v>356.94</x:v>
      </x:c>
      <x:c r="G9" s="3" t="n">
        <x:f>ROUND(G209*G329,2)</x:f>
        <x:v>229.63</x:v>
      </x:c>
      <x:c r="H9" s="3" t="n">
        <x:f>ROUND(H209*H329,2)</x:f>
        <x:v>126.9</x:v>
      </x:c>
      <x:c r="I9" s="3" t="n">
        <x:f>ROUND(I209*I329,2)</x:f>
        <x:v>281.4</x:v>
      </x:c>
      <x:c r="J9" s="3" t="n">
        <x:f>ROUND(J209*J329,2)</x:f>
        <x:v>116.03</x:v>
      </x:c>
      <x:c r="K9" s="3" t="n">
        <x:f>ROUND(K209*K329,2)</x:f>
        <x:v>258.54</x:v>
      </x:c>
      <x:c r="L9" s="3" t="n">
        <x:f>ROUND(L209*L329,2)</x:f>
        <x:v>79.07</x:v>
      </x:c>
      <x:c r="M9" s="3" t="n">
        <x:f>ROUND(M209*M329,2)</x:f>
        <x:v>269.1</x:v>
      </x:c>
      <x:c r="N9" s="3" t="n">
        <x:f>ROUND(N209*N329,2)</x:f>
        <x:v>257.88</x:v>
      </x:c>
      <x:c r="O9" s="3" t="n">
        <x:f>SUM(C9:N9)</x:f>
        <x:v>2817.5000000000005</x:v>
      </x:c>
      <x:c r="P9" s="2" t="str">
        <x:v>EXP2.009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343.2</x:v>
      </x:c>
      <x:c r="D10" s="3" t="n">
        <x:f>ROUND(D210*D330,2)</x:f>
        <x:v>309.47</x:v>
      </x:c>
      <x:c r="E10" s="3" t="n">
        <x:f>ROUND(E210*E330,2)</x:f>
        <x:v>119.73</x:v>
      </x:c>
      <x:c r="F10" s="3" t="n">
        <x:f>ROUND(F210*F330,2)</x:f>
        <x:v>325.97</x:v>
      </x:c>
      <x:c r="G10" s="3" t="n">
        <x:f>ROUND(G210*G330,2)</x:f>
        <x:v>442.94</x:v>
      </x:c>
      <x:c r="H10" s="3" t="n">
        <x:f>ROUND(H210*H330,2)</x:f>
        <x:v>174.11</x:v>
      </x:c>
      <x:c r="I10" s="3" t="n">
        <x:f>ROUND(I210*I330,2)</x:f>
        <x:v>126.46</x:v>
      </x:c>
      <x:c r="J10" s="3" t="n">
        <x:f>ROUND(J210*J330,2)</x:f>
        <x:v>140.86</x:v>
      </x:c>
      <x:c r="K10" s="3" t="n">
        <x:f>ROUND(K210*K330,2)</x:f>
        <x:v>175.82</x:v>
      </x:c>
      <x:c r="L10" s="3" t="n">
        <x:f>ROUND(L210*L330,2)</x:f>
        <x:v>372.62</x:v>
      </x:c>
      <x:c r="M10" s="3" t="n">
        <x:f>ROUND(M210*M330,2)</x:f>
        <x:v>132.8</x:v>
      </x:c>
      <x:c r="N10" s="3" t="n">
        <x:f>ROUND(N210*N330,2)</x:f>
        <x:v>149.34</x:v>
      </x:c>
      <x:c r="O10" s="3" t="n">
        <x:f>SUM(C10:N10)</x:f>
        <x:v>2813.3200000000006</x:v>
      </x:c>
      <x:c r="P10" s="2" t="str">
        <x:v>EXP2.010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180.89</x:v>
      </x:c>
      <x:c r="D11" s="3" t="n">
        <x:f>ROUND(D211*D331,2)</x:f>
        <x:v>449.34</x:v>
      </x:c>
      <x:c r="E11" s="3" t="n">
        <x:f>ROUND(E211*E331,2)</x:f>
        <x:v>117.99</x:v>
      </x:c>
      <x:c r="F11" s="3" t="n">
        <x:f>ROUND(F211*F331,2)</x:f>
        <x:v>208.87</x:v>
      </x:c>
      <x:c r="G11" s="3" t="n">
        <x:f>ROUND(G211*G331,2)</x:f>
        <x:v>140.58</x:v>
      </x:c>
      <x:c r="H11" s="3" t="n">
        <x:f>ROUND(H211*H331,2)</x:f>
        <x:v>314.94</x:v>
      </x:c>
      <x:c r="I11" s="3" t="n">
        <x:f>ROUND(I211*I331,2)</x:f>
        <x:v>71.69</x:v>
      </x:c>
      <x:c r="J11" s="3" t="n">
        <x:f>ROUND(J211*J331,2)</x:f>
        <x:v>267.74</x:v>
      </x:c>
      <x:c r="K11" s="3" t="n">
        <x:f>ROUND(K211*K331,2)</x:f>
        <x:v>88.31</x:v>
      </x:c>
      <x:c r="L11" s="3" t="n">
        <x:f>ROUND(L211*L331,2)</x:f>
        <x:v>168.41</x:v>
      </x:c>
      <x:c r="M11" s="3" t="n">
        <x:f>ROUND(M211*M331,2)</x:f>
        <x:v>138.96</x:v>
      </x:c>
      <x:c r="N11" s="3" t="n">
        <x:f>ROUND(N211*N331,2)</x:f>
        <x:v>253.23</x:v>
      </x:c>
      <x:c r="O11" s="3" t="n">
        <x:f>SUM(C11:N11)</x:f>
        <x:v>2400.9500000000003</x:v>
      </x:c>
      <x:c r="P11" s="2" t="str">
        <x:v>EXP2.011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90.46</x:v>
      </x:c>
      <x:c r="D12" s="3" t="n">
        <x:f>ROUND(D212*D332,2)</x:f>
        <x:v>151.81</x:v>
      </x:c>
      <x:c r="E12" s="3" t="n">
        <x:f>ROUND(E212*E332,2)</x:f>
        <x:v>443.41</x:v>
      </x:c>
      <x:c r="F12" s="3" t="n">
        <x:f>ROUND(F212*F332,2)</x:f>
        <x:v>267.22</x:v>
      </x:c>
      <x:c r="G12" s="3" t="n">
        <x:f>ROUND(G212*G332,2)</x:f>
        <x:v>103.37</x:v>
      </x:c>
      <x:c r="H12" s="3" t="n">
        <x:f>ROUND(H212*H332,2)</x:f>
        <x:v>80.62</x:v>
      </x:c>
      <x:c r="I12" s="3" t="n">
        <x:f>ROUND(I212*I332,2)</x:f>
        <x:v>523</x:v>
      </x:c>
      <x:c r="J12" s="3" t="n">
        <x:f>ROUND(J212*J332,2)</x:f>
        <x:v>148.62</x:v>
      </x:c>
      <x:c r="K12" s="3" t="n">
        <x:f>ROUND(K212*K332,2)</x:f>
        <x:v>397.96</x:v>
      </x:c>
      <x:c r="L12" s="3" t="n">
        <x:f>ROUND(L212*L332,2)</x:f>
        <x:v>297.91</x:v>
      </x:c>
      <x:c r="M12" s="3" t="n">
        <x:f>ROUND(M212*M332,2)</x:f>
        <x:v>399.17</x:v>
      </x:c>
      <x:c r="N12" s="3" t="n">
        <x:f>ROUND(N212*N332,2)</x:f>
        <x:v>244.84</x:v>
      </x:c>
      <x:c r="O12" s="3" t="n">
        <x:f>SUM(C12:N12)</x:f>
        <x:v>3148.39</x:v>
      </x:c>
      <x:c r="P12" s="2" t="str">
        <x:v>EXP2.012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297.17</x:v>
      </x:c>
      <x:c r="D13" s="3" t="n">
        <x:f>ROUND(D213*D333,2)</x:f>
        <x:v>359.23</x:v>
      </x:c>
      <x:c r="E13" s="3" t="n">
        <x:f>ROUND(E213*E333,2)</x:f>
        <x:v>215.36</x:v>
      </x:c>
      <x:c r="F13" s="3" t="n">
        <x:f>ROUND(F213*F333,2)</x:f>
        <x:v>93.81</x:v>
      </x:c>
      <x:c r="G13" s="3" t="n">
        <x:f>ROUND(G213*G333,2)</x:f>
        <x:v>166.43</x:v>
      </x:c>
      <x:c r="H13" s="3" t="n">
        <x:f>ROUND(H213*H333,2)</x:f>
        <x:v>355.42</x:v>
      </x:c>
      <x:c r="I13" s="3" t="n">
        <x:f>ROUND(I213*I333,2)</x:f>
        <x:v>200.26</x:v>
      </x:c>
      <x:c r="J13" s="3" t="n">
        <x:f>ROUND(J213*J333,2)</x:f>
        <x:v>254.2</x:v>
      </x:c>
      <x:c r="K13" s="3" t="n">
        <x:f>ROUND(K213*K333,2)</x:f>
        <x:v>336.53</x:v>
      </x:c>
      <x:c r="L13" s="3" t="n">
        <x:f>ROUND(L213*L333,2)</x:f>
        <x:v>268.22</x:v>
      </x:c>
      <x:c r="M13" s="3" t="n">
        <x:f>ROUND(M213*M333,2)</x:f>
        <x:v>190.29</x:v>
      </x:c>
      <x:c r="N13" s="3" t="n">
        <x:f>ROUND(N213*N333,2)</x:f>
        <x:v>166.33</x:v>
      </x:c>
      <x:c r="O13" s="3" t="n">
        <x:f>SUM(C13:N13)</x:f>
        <x:v>2903.25</x:v>
      </x:c>
      <x:c r="P13" s="2" t="str">
        <x:v>EXP2.013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359.53</x:v>
      </x:c>
      <x:c r="D14" s="3" t="n">
        <x:f>ROUND(D214*D334,2)</x:f>
        <x:v>234.14</x:v>
      </x:c>
      <x:c r="E14" s="3" t="n">
        <x:f>ROUND(E214*E334,2)</x:f>
        <x:v>119.81</x:v>
      </x:c>
      <x:c r="F14" s="3" t="n">
        <x:f>ROUND(F214*F334,2)</x:f>
        <x:v>318.79</x:v>
      </x:c>
      <x:c r="G14" s="3" t="n">
        <x:f>ROUND(G214*G334,2)</x:f>
        <x:v>176.14</x:v>
      </x:c>
      <x:c r="H14" s="3" t="n">
        <x:f>ROUND(H214*H334,2)</x:f>
        <x:v>165.93</x:v>
      </x:c>
      <x:c r="I14" s="3" t="n">
        <x:f>ROUND(I214*I334,2)</x:f>
        <x:v>144.7</x:v>
      </x:c>
      <x:c r="J14" s="3" t="n">
        <x:f>ROUND(J214*J334,2)</x:f>
        <x:v>165.07</x:v>
      </x:c>
      <x:c r="K14" s="3" t="n">
        <x:f>ROUND(K214*K334,2)</x:f>
        <x:v>215.83</x:v>
      </x:c>
      <x:c r="L14" s="3" t="n">
        <x:f>ROUND(L214*L334,2)</x:f>
        <x:v>189.55</x:v>
      </x:c>
      <x:c r="M14" s="3" t="n">
        <x:f>ROUND(M214*M334,2)</x:f>
        <x:v>200.85</x:v>
      </x:c>
      <x:c r="N14" s="3" t="n">
        <x:f>ROUND(N214*N334,2)</x:f>
        <x:v>148.22</x:v>
      </x:c>
      <x:c r="O14" s="3" t="n">
        <x:f>SUM(C14:N14)</x:f>
        <x:v>2438.5599999999995</x:v>
      </x:c>
      <x:c r="P14" s="2" t="str">
        <x:v>EXP2.014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316.21</x:v>
      </x:c>
      <x:c r="D15" s="3" t="n">
        <x:f>ROUND(D215*D335,2)</x:f>
        <x:v>115.63</x:v>
      </x:c>
      <x:c r="E15" s="3" t="n">
        <x:f>ROUND(E215*E335,2)</x:f>
        <x:v>311.55</x:v>
      </x:c>
      <x:c r="F15" s="3" t="n">
        <x:f>ROUND(F215*F335,2)</x:f>
        <x:v>218.79</x:v>
      </x:c>
      <x:c r="G15" s="3" t="n">
        <x:f>ROUND(G215*G335,2)</x:f>
        <x:v>287.92</x:v>
      </x:c>
      <x:c r="H15" s="3" t="n">
        <x:f>ROUND(H215*H335,2)</x:f>
        <x:v>287.41</x:v>
      </x:c>
      <x:c r="I15" s="3" t="n">
        <x:f>ROUND(I215*I335,2)</x:f>
        <x:v>305.84</x:v>
      </x:c>
      <x:c r="J15" s="3" t="n">
        <x:f>ROUND(J215*J335,2)</x:f>
        <x:v>489.07</x:v>
      </x:c>
      <x:c r="K15" s="3" t="n">
        <x:f>ROUND(K215*K335,2)</x:f>
        <x:v>151.46</x:v>
      </x:c>
      <x:c r="L15" s="3" t="n">
        <x:f>ROUND(L215*L335,2)</x:f>
        <x:v>180.68</x:v>
      </x:c>
      <x:c r="M15" s="3" t="n">
        <x:f>ROUND(M215*M335,2)</x:f>
        <x:v>165.56</x:v>
      </x:c>
      <x:c r="N15" s="3" t="n">
        <x:f>ROUND(N215*N335,2)</x:f>
        <x:v>269.09</x:v>
      </x:c>
      <x:c r="O15" s="3" t="n">
        <x:f>SUM(C15:N15)</x:f>
        <x:v>3099.21</x:v>
      </x:c>
      <x:c r="P15" s="2" t="str">
        <x:v>EXP2.015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367.35</x:v>
      </x:c>
      <x:c r="D16" s="3" t="n">
        <x:f>ROUND(D216*D336,2)</x:f>
        <x:v>88.57</x:v>
      </x:c>
      <x:c r="E16" s="3" t="n">
        <x:f>ROUND(E216*E336,2)</x:f>
        <x:v>124.71</x:v>
      </x:c>
      <x:c r="F16" s="3" t="n">
        <x:f>ROUND(F216*F336,2)</x:f>
        <x:v>263.59</x:v>
      </x:c>
      <x:c r="G16" s="3" t="n">
        <x:f>ROUND(G216*G336,2)</x:f>
        <x:v>164.5</x:v>
      </x:c>
      <x:c r="H16" s="3" t="n">
        <x:f>ROUND(H216*H336,2)</x:f>
        <x:v>89.66</x:v>
      </x:c>
      <x:c r="I16" s="3" t="n">
        <x:f>ROUND(I216*I336,2)</x:f>
        <x:v>129.31</x:v>
      </x:c>
      <x:c r="J16" s="3" t="n">
        <x:f>ROUND(J216*J336,2)</x:f>
        <x:v>111.91</x:v>
      </x:c>
      <x:c r="K16" s="3" t="n">
        <x:f>ROUND(K216*K336,2)</x:f>
        <x:v>413.46</x:v>
      </x:c>
      <x:c r="L16" s="3" t="n">
        <x:f>ROUND(L216*L336,2)</x:f>
        <x:v>276.94</x:v>
      </x:c>
      <x:c r="M16" s="3" t="n">
        <x:f>ROUND(M216*M336,2)</x:f>
        <x:v>437.03</x:v>
      </x:c>
      <x:c r="N16" s="3" t="n">
        <x:f>ROUND(N216*N336,2)</x:f>
        <x:v>487.97</x:v>
      </x:c>
      <x:c r="O16" s="3" t="n">
        <x:f>SUM(C16:N16)</x:f>
        <x:v>2955</x:v>
      </x:c>
      <x:c r="P16" s="2" t="str">
        <x:v>EXP2.016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 t="str">
        <x:v>咨询服务费</x:v>
      </x:c>
      <x:c r="C17" s="3" t="n">
        <x:f>ROUND(C217*C337,2)</x:f>
        <x:v>90.8</x:v>
      </x:c>
      <x:c r="D17" s="3" t="n">
        <x:f>ROUND(D217*D337,2)</x:f>
        <x:v>182.53</x:v>
      </x:c>
      <x:c r="E17" s="3" t="n">
        <x:f>ROUND(E217*E337,2)</x:f>
        <x:v>408.37</x:v>
      </x:c>
      <x:c r="F17" s="3" t="n">
        <x:f>ROUND(F217*F337,2)</x:f>
        <x:v>186.05</x:v>
      </x:c>
      <x:c r="G17" s="3" t="n">
        <x:f>ROUND(G217*G337,2)</x:f>
        <x:v>181.84</x:v>
      </x:c>
      <x:c r="H17" s="3" t="n">
        <x:f>ROUND(H217*H337,2)</x:f>
        <x:v>223.04</x:v>
      </x:c>
      <x:c r="I17" s="3" t="n">
        <x:f>ROUND(I217*I337,2)</x:f>
        <x:v>188.04</x:v>
      </x:c>
      <x:c r="J17" s="3" t="n">
        <x:f>ROUND(J217*J337,2)</x:f>
        <x:v>278.07</x:v>
      </x:c>
      <x:c r="K17" s="3" t="n">
        <x:f>ROUND(K217*K337,2)</x:f>
        <x:v>227.67</x:v>
      </x:c>
      <x:c r="L17" s="3" t="n">
        <x:f>ROUND(L217*L337,2)</x:f>
        <x:v>335.22</x:v>
      </x:c>
      <x:c r="M17" s="3" t="n">
        <x:f>ROUND(M217*M337,2)</x:f>
        <x:v>299.77</x:v>
      </x:c>
      <x:c r="N17" s="3" t="n">
        <x:f>ROUND(N217*N337,2)</x:f>
        <x:v>119.28</x:v>
      </x:c>
      <x:c r="O17" s="3" t="n">
        <x:f>SUM(C17:N17)</x:f>
        <x:v>2720.6800000000003</x:v>
      </x:c>
      <x:c r="P17" s="2" t="str">
        <x:v>EXP2.017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84.99</x:v>
      </x:c>
      <x:c r="D18" s="3" t="n">
        <x:f>ROUND(D218*D338,2)</x:f>
        <x:v>363.86</x:v>
      </x:c>
      <x:c r="E18" s="3" t="n">
        <x:f>ROUND(E218*E338,2)</x:f>
        <x:v>414.51</x:v>
      </x:c>
      <x:c r="F18" s="3" t="n">
        <x:f>ROUND(F218*F338,2)</x:f>
        <x:v>107.66</x:v>
      </x:c>
      <x:c r="G18" s="3" t="n">
        <x:f>ROUND(G218*G338,2)</x:f>
        <x:v>147.26</x:v>
      </x:c>
      <x:c r="H18" s="3" t="n">
        <x:f>ROUND(H218*H338,2)</x:f>
        <x:v>85.49</x:v>
      </x:c>
      <x:c r="I18" s="3" t="n">
        <x:f>ROUND(I218*I338,2)</x:f>
        <x:v>228.69</x:v>
      </x:c>
      <x:c r="J18" s="3" t="n">
        <x:f>ROUND(J218*J338,2)</x:f>
        <x:v>155.15</x:v>
      </x:c>
      <x:c r="K18" s="3" t="n">
        <x:f>ROUND(K218*K338,2)</x:f>
        <x:v>170.86</x:v>
      </x:c>
      <x:c r="L18" s="3" t="n">
        <x:f>ROUND(L218*L338,2)</x:f>
        <x:v>67.69</x:v>
      </x:c>
      <x:c r="M18" s="3" t="n">
        <x:f>ROUND(M218*M338,2)</x:f>
        <x:v>138.47</x:v>
      </x:c>
      <x:c r="N18" s="3" t="n">
        <x:f>ROUND(N218*N338,2)</x:f>
        <x:v>423.37</x:v>
      </x:c>
      <x:c r="O18" s="3" t="n">
        <x:f>SUM(C18:N18)</x:f>
        <x:v>2388.0000000000005</x:v>
      </x:c>
      <x:c r="P18" s="2" t="str">
        <x:v>EXP2.018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194.25</x:v>
      </x:c>
      <x:c r="D19" s="3" t="n">
        <x:f>ROUND(D219*D339,2)</x:f>
        <x:v>179.78</x:v>
      </x:c>
      <x:c r="E19" s="3" t="n">
        <x:f>ROUND(E219*E339,2)</x:f>
        <x:v>479.76</x:v>
      </x:c>
      <x:c r="F19" s="3" t="n">
        <x:f>ROUND(F219*F339,2)</x:f>
        <x:v>142.69</x:v>
      </x:c>
      <x:c r="G19" s="3" t="n">
        <x:f>ROUND(G219*G339,2)</x:f>
        <x:v>342.19</x:v>
      </x:c>
      <x:c r="H19" s="3" t="n">
        <x:f>ROUND(H219*H339,2)</x:f>
        <x:v>123.88</x:v>
      </x:c>
      <x:c r="I19" s="3" t="n">
        <x:f>ROUND(I219*I339,2)</x:f>
        <x:v>69.79</x:v>
      </x:c>
      <x:c r="J19" s="3" t="n">
        <x:f>ROUND(J219*J339,2)</x:f>
        <x:v>237.31</x:v>
      </x:c>
      <x:c r="K19" s="3" t="n">
        <x:f>ROUND(K219*K339,2)</x:f>
        <x:v>104.9</x:v>
      </x:c>
      <x:c r="L19" s="3" t="n">
        <x:f>ROUND(L219*L339,2)</x:f>
        <x:v>183.17</x:v>
      </x:c>
      <x:c r="M19" s="3" t="n">
        <x:f>ROUND(M219*M339,2)</x:f>
        <x:v>238.94</x:v>
      </x:c>
      <x:c r="N19" s="3" t="n">
        <x:f>ROUND(N219*N339,2)</x:f>
        <x:v>493.95</x:v>
      </x:c>
      <x:c r="O19" s="3" t="n">
        <x:f>SUM(C19:N19)</x:f>
        <x:v>2790.61</x:v>
      </x:c>
      <x:c r="P19" s="2" t="str">
        <x:v>EXP2.019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EXP2.020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294.49</x:v>
      </x:c>
      <x:c r="D21" s="3" t="n">
        <x:f>ROUND(D221*D341,2)</x:f>
        <x:v>222.22</x:v>
      </x:c>
      <x:c r="E21" s="3" t="n">
        <x:f>ROUND(E221*E341,2)</x:f>
        <x:v>293.09</x:v>
      </x:c>
      <x:c r="F21" s="3" t="n">
        <x:f>ROUND(F221*F341,2)</x:f>
        <x:v>384.21</x:v>
      </x:c>
      <x:c r="G21" s="3" t="n">
        <x:f>ROUND(G221*G341,2)</x:f>
        <x:v>311.76</x:v>
      </x:c>
      <x:c r="H21" s="3" t="n">
        <x:f>ROUND(H221*H341,2)</x:f>
        <x:v>405.83</x:v>
      </x:c>
      <x:c r="I21" s="3" t="n">
        <x:f>ROUND(I221*I341,2)</x:f>
        <x:v>276.56</x:v>
      </x:c>
      <x:c r="J21" s="3" t="n">
        <x:f>ROUND(J221*J341,2)</x:f>
        <x:v>104.06</x:v>
      </x:c>
      <x:c r="K21" s="3" t="n">
        <x:f>ROUND(K221*K341,2)</x:f>
        <x:v>290.05</x:v>
      </x:c>
      <x:c r="L21" s="3" t="n">
        <x:f>ROUND(L221*L341,2)</x:f>
        <x:v>310.06</x:v>
      </x:c>
      <x:c r="M21" s="3" t="n">
        <x:f>ROUND(M221*M341,2)</x:f>
        <x:v>290.91</x:v>
      </x:c>
      <x:c r="N21" s="3" t="n">
        <x:f>ROUND(N221*N341,2)</x:f>
        <x:v>147.7</x:v>
      </x:c>
      <x:c r="O21" s="3" t="n">
        <x:f>SUM(C21:N21)</x:f>
        <x:v>3330.9399999999996</x:v>
      </x:c>
      <x:c r="P21" s="2" t="str">
        <x:v>EXP2.021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153.04</x:v>
      </x:c>
      <x:c r="D22" s="3" t="n">
        <x:f>ROUND(D222*D342,2)</x:f>
        <x:v>151.75</x:v>
      </x:c>
      <x:c r="E22" s="3" t="n">
        <x:f>ROUND(E222*E342,2)</x:f>
        <x:v>125.32</x:v>
      </x:c>
      <x:c r="F22" s="3" t="n">
        <x:f>ROUND(F222*F342,2)</x:f>
        <x:v>305.71</x:v>
      </x:c>
      <x:c r="G22" s="3" t="n">
        <x:f>ROUND(G222*G342,2)</x:f>
        <x:v>279.58</x:v>
      </x:c>
      <x:c r="H22" s="3" t="n">
        <x:f>ROUND(H222*H342,2)</x:f>
        <x:v>128.09</x:v>
      </x:c>
      <x:c r="I22" s="3" t="n">
        <x:f>ROUND(I222*I342,2)</x:f>
        <x:v>264.34</x:v>
      </x:c>
      <x:c r="J22" s="3" t="n">
        <x:f>ROUND(J222*J342,2)</x:f>
        <x:v>462.7</x:v>
      </x:c>
      <x:c r="K22" s="3" t="n">
        <x:f>ROUND(K222*K342,2)</x:f>
        <x:v>208.67</x:v>
      </x:c>
      <x:c r="L22" s="3" t="n">
        <x:f>ROUND(L222*L342,2)</x:f>
        <x:v>315.87</x:v>
      </x:c>
      <x:c r="M22" s="3" t="n">
        <x:f>ROUND(M222*M342,2)</x:f>
        <x:v>340.11</x:v>
      </x:c>
      <x:c r="N22" s="3" t="n">
        <x:f>ROUND(N222*N342,2)</x:f>
        <x:v>257.71</x:v>
      </x:c>
      <x:c r="O22" s="3" t="n">
        <x:f>SUM(C22:N22)</x:f>
        <x:v>2992.89</x:v>
      </x:c>
      <x:c r="P22" s="2" t="str">
        <x:v>EXP2.022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475.85</x:v>
      </x:c>
      <x:c r="D23" s="3" t="n">
        <x:f>ROUND(D223*D343,2)</x:f>
        <x:v>318.92</x:v>
      </x:c>
      <x:c r="E23" s="3" t="n">
        <x:f>ROUND(E223*E343,2)</x:f>
        <x:v>453.21</x:v>
      </x:c>
      <x:c r="F23" s="3" t="n">
        <x:f>ROUND(F223*F343,2)</x:f>
        <x:v>54.27</x:v>
      </x:c>
      <x:c r="G23" s="3" t="n">
        <x:f>ROUND(G223*G343,2)</x:f>
        <x:v>428.09</x:v>
      </x:c>
      <x:c r="H23" s="3" t="n">
        <x:f>ROUND(H223*H343,2)</x:f>
        <x:v>346.74</x:v>
      </x:c>
      <x:c r="I23" s="3" t="n">
        <x:f>ROUND(I223*I343,2)</x:f>
        <x:v>101.39</x:v>
      </x:c>
      <x:c r="J23" s="3" t="n">
        <x:f>ROUND(J223*J343,2)</x:f>
        <x:v>477.16</x:v>
      </x:c>
      <x:c r="K23" s="3" t="n">
        <x:f>ROUND(K223*K343,2)</x:f>
        <x:v>210.59</x:v>
      </x:c>
      <x:c r="L23" s="3" t="n">
        <x:f>ROUND(L223*L343,2)</x:f>
        <x:v>86.61</x:v>
      </x:c>
      <x:c r="M23" s="3" t="n">
        <x:f>ROUND(M223*M343,2)</x:f>
        <x:v>243.57</x:v>
      </x:c>
      <x:c r="N23" s="3" t="n">
        <x:f>ROUND(N223*N343,2)</x:f>
        <x:v>407.71</x:v>
      </x:c>
      <x:c r="O23" s="3" t="n">
        <x:f>SUM(C23:N23)</x:f>
        <x:v>3604.11</x:v>
      </x:c>
      <x:c r="P23" s="2" t="str">
        <x:v>EXP2.023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80.95</x:v>
      </x:c>
      <x:c r="D24" s="3" t="n">
        <x:f>ROUND(D224*D344,2)</x:f>
        <x:v>228.64</x:v>
      </x:c>
      <x:c r="E24" s="3" t="n">
        <x:f>ROUND(E224*E344,2)</x:f>
        <x:v>246.3</x:v>
      </x:c>
      <x:c r="F24" s="3" t="n">
        <x:f>ROUND(F224*F344,2)</x:f>
        <x:v>207.07</x:v>
      </x:c>
      <x:c r="G24" s="3" t="n">
        <x:f>ROUND(G224*G344,2)</x:f>
        <x:v>56.14</x:v>
      </x:c>
      <x:c r="H24" s="3" t="n">
        <x:f>ROUND(H224*H344,2)</x:f>
        <x:v>133.53</x:v>
      </x:c>
      <x:c r="I24" s="3" t="n">
        <x:f>ROUND(I224*I344,2)</x:f>
        <x:v>382.39</x:v>
      </x:c>
      <x:c r="J24" s="3" t="n">
        <x:f>ROUND(J224*J344,2)</x:f>
        <x:v>288.95</x:v>
      </x:c>
      <x:c r="K24" s="3" t="n">
        <x:f>ROUND(K224*K344,2)</x:f>
        <x:v>316.44</x:v>
      </x:c>
      <x:c r="L24" s="3" t="n">
        <x:f>ROUND(L224*L344,2)</x:f>
        <x:v>157.79</x:v>
      </x:c>
      <x:c r="M24" s="3" t="n">
        <x:f>ROUND(M224*M344,2)</x:f>
        <x:v>330.94</x:v>
      </x:c>
      <x:c r="N24" s="3" t="n">
        <x:f>ROUND(N224*N344,2)</x:f>
        <x:v>226.32</x:v>
      </x:c>
      <x:c r="O24" s="3" t="n">
        <x:f>SUM(C24:N24)</x:f>
        <x:v>2655.4600000000005</x:v>
      </x:c>
      <x:c r="P24" s="2" t="str">
        <x:v>EXP2.024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231.13</x:v>
      </x:c>
      <x:c r="D25" s="3" t="n">
        <x:f>ROUND(D225*D345,2)</x:f>
        <x:v>265.08</x:v>
      </x:c>
      <x:c r="E25" s="3" t="n">
        <x:f>ROUND(E225*E345,2)</x:f>
        <x:v>243.33</x:v>
      </x:c>
      <x:c r="F25" s="3" t="n">
        <x:f>ROUND(F225*F345,2)</x:f>
        <x:v>236.09</x:v>
      </x:c>
      <x:c r="G25" s="3" t="n">
        <x:f>ROUND(G225*G345,2)</x:f>
        <x:v>472.85</x:v>
      </x:c>
      <x:c r="H25" s="3" t="n">
        <x:f>ROUND(H225*H345,2)</x:f>
        <x:v>374.51</x:v>
      </x:c>
      <x:c r="I25" s="3" t="n">
        <x:f>ROUND(I225*I345,2)</x:f>
        <x:v>375.91</x:v>
      </x:c>
      <x:c r="J25" s="3" t="n">
        <x:f>ROUND(J225*J345,2)</x:f>
        <x:v>200.41</x:v>
      </x:c>
      <x:c r="K25" s="3" t="n">
        <x:f>ROUND(K225*K345,2)</x:f>
        <x:v>199.11</x:v>
      </x:c>
      <x:c r="L25" s="3" t="n">
        <x:f>ROUND(L225*L345,2)</x:f>
        <x:v>122.12</x:v>
      </x:c>
      <x:c r="M25" s="3" t="n">
        <x:f>ROUND(M225*M345,2)</x:f>
        <x:v>55.29</x:v>
      </x:c>
      <x:c r="N25" s="3" t="n">
        <x:f>ROUND(N225*N345,2)</x:f>
        <x:v>178.54</x:v>
      </x:c>
      <x:c r="O25" s="3" t="n">
        <x:f>SUM(C25:N25)</x:f>
        <x:v>2954.37</x:v>
      </x:c>
      <x:c r="P25" s="2" t="str">
        <x:v>EXP2.025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203.6</x:v>
      </x:c>
      <x:c r="D26" s="3" t="n">
        <x:f>ROUND(D226*D346,2)</x:f>
        <x:v>410.46</x:v>
      </x:c>
      <x:c r="E26" s="3" t="n">
        <x:f>ROUND(E226*E346,2)</x:f>
        <x:v>265.21</x:v>
      </x:c>
      <x:c r="F26" s="3" t="n">
        <x:f>ROUND(F226*F346,2)</x:f>
        <x:v>295.16</x:v>
      </x:c>
      <x:c r="G26" s="3" t="n">
        <x:f>ROUND(G226*G346,2)</x:f>
        <x:v>114.06</x:v>
      </x:c>
      <x:c r="H26" s="3" t="n">
        <x:f>ROUND(H226*H346,2)</x:f>
        <x:v>143.27</x:v>
      </x:c>
      <x:c r="I26" s="3" t="n">
        <x:f>ROUND(I226*I346,2)</x:f>
        <x:v>418.94</x:v>
      </x:c>
      <x:c r="J26" s="3" t="n">
        <x:f>ROUND(J226*J346,2)</x:f>
        <x:v>167.93</x:v>
      </x:c>
      <x:c r="K26" s="3" t="n">
        <x:f>ROUND(K226*K346,2)</x:f>
        <x:v>309.16</x:v>
      </x:c>
      <x:c r="L26" s="3" t="n">
        <x:f>ROUND(L226*L346,2)</x:f>
        <x:v>180.07</x:v>
      </x:c>
      <x:c r="M26" s="3" t="n">
        <x:f>ROUND(M226*M346,2)</x:f>
        <x:v>234.44</x:v>
      </x:c>
      <x:c r="N26" s="3" t="n">
        <x:f>ROUND(N226*N346,2)</x:f>
        <x:v>135.57</x:v>
      </x:c>
      <x:c r="O26" s="3" t="n">
        <x:f>SUM(C26:N26)</x:f>
        <x:v>2877.8700000000003</x:v>
      </x:c>
      <x:c r="P26" s="2" t="str">
        <x:v>EXP2.026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137.43</x:v>
      </x:c>
      <x:c r="D27" s="3" t="n">
        <x:f>ROUND(D227*D347,2)</x:f>
        <x:v>129.83</x:v>
      </x:c>
      <x:c r="E27" s="3" t="n">
        <x:f>ROUND(E227*E347,2)</x:f>
        <x:v>298.44</x:v>
      </x:c>
      <x:c r="F27" s="3" t="n">
        <x:f>ROUND(F227*F347,2)</x:f>
        <x:v>340.91</x:v>
      </x:c>
      <x:c r="G27" s="3" t="n">
        <x:f>ROUND(G227*G347,2)</x:f>
        <x:v>173.21</x:v>
      </x:c>
      <x:c r="H27" s="3" t="n">
        <x:f>ROUND(H227*H347,2)</x:f>
        <x:v>134.62</x:v>
      </x:c>
      <x:c r="I27" s="3" t="n">
        <x:f>ROUND(I227*I347,2)</x:f>
        <x:v>162.79</x:v>
      </x:c>
      <x:c r="J27" s="3" t="n">
        <x:f>ROUND(J227*J347,2)</x:f>
        <x:v>197.64</x:v>
      </x:c>
      <x:c r="K27" s="3" t="n">
        <x:f>ROUND(K227*K347,2)</x:f>
        <x:v>229.47</x:v>
      </x:c>
      <x:c r="L27" s="3" t="n">
        <x:f>ROUND(L227*L347,2)</x:f>
        <x:v>137.57</x:v>
      </x:c>
      <x:c r="M27" s="3" t="n">
        <x:f>ROUND(M227*M347,2)</x:f>
        <x:v>55.23</x:v>
      </x:c>
      <x:c r="N27" s="3" t="n">
        <x:f>ROUND(N227*N347,2)</x:f>
        <x:v>353.58</x:v>
      </x:c>
      <x:c r="O27" s="3" t="n">
        <x:f>SUM(C27:N27)</x:f>
        <x:v>2350.72</x:v>
      </x:c>
      <x:c r="P27" s="2" t="str">
        <x:v>EXP2.027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256.89</x:v>
      </x:c>
      <x:c r="D28" s="3" t="n">
        <x:f>ROUND(D228*D348,2)</x:f>
        <x:v>196.06</x:v>
      </x:c>
      <x:c r="E28" s="3" t="n">
        <x:f>ROUND(E228*E348,2)</x:f>
        <x:v>236.86</x:v>
      </x:c>
      <x:c r="F28" s="3" t="n">
        <x:f>ROUND(F228*F348,2)</x:f>
        <x:v>263.68</x:v>
      </x:c>
      <x:c r="G28" s="3" t="n">
        <x:f>ROUND(G228*G348,2)</x:f>
        <x:v>345.68</x:v>
      </x:c>
      <x:c r="H28" s="3" t="n">
        <x:f>ROUND(H228*H348,2)</x:f>
        <x:v>380.03</x:v>
      </x:c>
      <x:c r="I28" s="3" t="n">
        <x:f>ROUND(I228*I348,2)</x:f>
        <x:v>374.91</x:v>
      </x:c>
      <x:c r="J28" s="3" t="n">
        <x:f>ROUND(J228*J348,2)</x:f>
        <x:v>105.38</x:v>
      </x:c>
      <x:c r="K28" s="3" t="n">
        <x:f>ROUND(K228*K348,2)</x:f>
        <x:v>110.01</x:v>
      </x:c>
      <x:c r="L28" s="3" t="n">
        <x:f>ROUND(L228*L348,2)</x:f>
        <x:v>196.6</x:v>
      </x:c>
      <x:c r="M28" s="3" t="n">
        <x:f>ROUND(M228*M348,2)</x:f>
        <x:v>119.03</x:v>
      </x:c>
      <x:c r="N28" s="3" t="n">
        <x:f>ROUND(N228*N348,2)</x:f>
        <x:v>482.87</x:v>
      </x:c>
      <x:c r="O28" s="3" t="n">
        <x:f>SUM(C28:N28)</x:f>
        <x:v>3068.0000000000005</x:v>
      </x:c>
      <x:c r="P28" s="2" t="str">
        <x:v>EXP2.028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EXP2.029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470.02</x:v>
      </x:c>
      <x:c r="D30" s="6" t="n">
        <x:f>ROUND(D230*D350,2)</x:f>
        <x:v>282</x:v>
      </x:c>
      <x:c r="E30" s="6" t="n">
        <x:f>ROUND(E230*E350,2)</x:f>
        <x:v>137.32</x:v>
      </x:c>
      <x:c r="F30" s="6" t="n">
        <x:f>ROUND(F230*F350,2)</x:f>
        <x:v>51.42</x:v>
      </x:c>
      <x:c r="G30" s="6" t="n">
        <x:f>ROUND(G230*G350,2)</x:f>
        <x:v>139.09</x:v>
      </x:c>
      <x:c r="H30" s="6" t="n">
        <x:f>ROUND(H230*H350,2)</x:f>
        <x:v>54.76</x:v>
      </x:c>
      <x:c r="I30" s="6" t="n">
        <x:f>ROUND(I230*I350,2)</x:f>
        <x:v>237.11</x:v>
      </x:c>
      <x:c r="J30" s="6" t="n">
        <x:f>ROUND(J230*J350,2)</x:f>
        <x:v>77.92</x:v>
      </x:c>
      <x:c r="K30" s="6" t="n">
        <x:f>ROUND(K230*K350,2)</x:f>
        <x:v>197.21</x:v>
      </x:c>
      <x:c r="L30" s="6" t="n">
        <x:f>ROUND(L230*L350,2)</x:f>
        <x:v>195.55</x:v>
      </x:c>
      <x:c r="M30" s="6" t="n">
        <x:f>ROUND(M230*M350,2)</x:f>
        <x:v>178.33</x:v>
      </x:c>
      <x:c r="N30" s="6" t="n">
        <x:f>ROUND(N230*N350,2)</x:f>
        <x:v>474.54</x:v>
      </x:c>
      <x:c r="O30" s="6" t="n">
        <x:f>SUM(C30:N30)</x:f>
        <x:v>2495.27</x:v>
      </x:c>
      <x:c r="P30" s="2" t="str">
        <x:v>EXP2.030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386.13</x:v>
      </x:c>
      <x:c r="D31" s="3" t="n">
        <x:f>ROUND(D231*D351,2)</x:f>
        <x:v>535.21</x:v>
      </x:c>
      <x:c r="E31" s="3" t="n">
        <x:f>ROUND(E231*E351,2)</x:f>
        <x:v>111.35</x:v>
      </x:c>
      <x:c r="F31" s="3" t="n">
        <x:f>ROUND(F231*F351,2)</x:f>
        <x:v>348.21</x:v>
      </x:c>
      <x:c r="G31" s="3" t="n">
        <x:f>ROUND(G231*G351,2)</x:f>
        <x:v>349.6</x:v>
      </x:c>
      <x:c r="H31" s="3" t="n">
        <x:f>ROUND(H231*H351,2)</x:f>
        <x:v>235.12</x:v>
      </x:c>
      <x:c r="I31" s="3" t="n">
        <x:f>ROUND(I231*I351,2)</x:f>
        <x:v>271.79</x:v>
      </x:c>
      <x:c r="J31" s="3" t="n">
        <x:f>ROUND(J231*J351,2)</x:f>
        <x:v>254.99</x:v>
      </x:c>
      <x:c r="K31" s="3" t="n">
        <x:f>ROUND(K231*K351,2)</x:f>
        <x:v>71.91</x:v>
      </x:c>
      <x:c r="L31" s="3" t="n">
        <x:f>ROUND(L231*L351,2)</x:f>
        <x:v>185.51</x:v>
      </x:c>
      <x:c r="M31" s="3" t="n">
        <x:f>ROUND(M231*M351,2)</x:f>
        <x:v>340.52</x:v>
      </x:c>
      <x:c r="N31" s="3" t="n">
        <x:f>ROUND(N231*N351,2)</x:f>
        <x:v>164.7</x:v>
      </x:c>
      <x:c r="O31" s="3" t="n">
        <x:f>SUM(C31:N31)</x:f>
        <x:v>3255.0399999999995</x:v>
      </x:c>
      <x:c r="P31" s="2" t="str">
        <x:v>EXP2.031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173.99</x:v>
      </x:c>
      <x:c r="D32" s="3" t="n">
        <x:f>ROUND(D232*D352,2)</x:f>
        <x:v>380.72</x:v>
      </x:c>
      <x:c r="E32" s="3" t="n">
        <x:f>ROUND(E232*E352,2)</x:f>
        <x:v>188.22</x:v>
      </x:c>
      <x:c r="F32" s="3" t="n">
        <x:f>ROUND(F232*F352,2)</x:f>
        <x:v>388.57</x:v>
      </x:c>
      <x:c r="G32" s="3" t="n">
        <x:f>ROUND(G232*G352,2)</x:f>
        <x:v>201.53</x:v>
      </x:c>
      <x:c r="H32" s="3" t="n">
        <x:f>ROUND(H232*H352,2)</x:f>
        <x:v>293.52</x:v>
      </x:c>
      <x:c r="I32" s="3" t="n">
        <x:f>ROUND(I232*I352,2)</x:f>
        <x:v>309.85</x:v>
      </x:c>
      <x:c r="J32" s="3" t="n">
        <x:f>ROUND(J232*J352,2)</x:f>
        <x:v>263.68</x:v>
      </x:c>
      <x:c r="K32" s="3" t="n">
        <x:f>ROUND(K232*K352,2)</x:f>
        <x:v>122.21</x:v>
      </x:c>
      <x:c r="L32" s="3" t="n">
        <x:f>ROUND(L232*L352,2)</x:f>
        <x:v>89.42</x:v>
      </x:c>
      <x:c r="M32" s="3" t="n">
        <x:f>ROUND(M232*M352,2)</x:f>
        <x:v>222.44</x:v>
      </x:c>
      <x:c r="N32" s="3" t="n">
        <x:f>ROUND(N232*N352,2)</x:f>
        <x:v>283.89</x:v>
      </x:c>
      <x:c r="O32" s="3" t="n">
        <x:f>SUM(C32:N32)</x:f>
        <x:v>2918.04</x:v>
      </x:c>
      <x:c r="P32" s="2" t="str">
        <x:v>EXP2.032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141.99</x:v>
      </x:c>
      <x:c r="D33" s="3" t="n">
        <x:f>ROUND(D233*D353,2)</x:f>
        <x:v>429.83</x:v>
      </x:c>
      <x:c r="E33" s="3" t="n">
        <x:f>ROUND(E233*E353,2)</x:f>
        <x:v>308.75</x:v>
      </x:c>
      <x:c r="F33" s="3" t="n">
        <x:f>ROUND(F233*F353,2)</x:f>
        <x:v>239.48</x:v>
      </x:c>
      <x:c r="G33" s="3" t="n">
        <x:f>ROUND(G233*G353,2)</x:f>
        <x:v>325.63</x:v>
      </x:c>
      <x:c r="H33" s="3" t="n">
        <x:f>ROUND(H233*H353,2)</x:f>
        <x:v>171.47</x:v>
      </x:c>
      <x:c r="I33" s="3" t="n">
        <x:f>ROUND(I233*I353,2)</x:f>
        <x:v>194.34</x:v>
      </x:c>
      <x:c r="J33" s="3" t="n">
        <x:f>ROUND(J233*J353,2)</x:f>
        <x:v>222.35</x:v>
      </x:c>
      <x:c r="K33" s="3" t="n">
        <x:f>ROUND(K233*K353,2)</x:f>
        <x:v>155.99</x:v>
      </x:c>
      <x:c r="L33" s="3" t="n">
        <x:f>ROUND(L233*L353,2)</x:f>
        <x:v>385.58</x:v>
      </x:c>
      <x:c r="M33" s="3" t="n">
        <x:f>ROUND(M233*M353,2)</x:f>
        <x:v>161.27</x:v>
      </x:c>
      <x:c r="N33" s="3" t="n">
        <x:f>ROUND(N233*N353,2)</x:f>
        <x:v>171.84</x:v>
      </x:c>
      <x:c r="O33" s="3" t="n">
        <x:f>SUM(C33:N33)</x:f>
        <x:v>2908.52</x:v>
      </x:c>
      <x:c r="P33" s="2" t="str">
        <x:v>EXP2.033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7229.37</x:v>
      </x:c>
      <x:c r="D34" s="3" t="n">
        <x:f>SUM(D4:D33)</x:f>
        <x:v>7642.030000000002</x:v>
      </x:c>
      <x:c r="E34" s="3" t="n">
        <x:f>SUM(E4:E33)</x:f>
        <x:v>7846.85</x:v>
      </x:c>
      <x:c r="F34" s="3" t="n">
        <x:f>SUM(F4:F33)</x:f>
        <x:v>7408.47</x:v>
      </x:c>
      <x:c r="G34" s="3" t="n">
        <x:f>SUM(G4:G33)</x:f>
        <x:v>7318.300000000002</x:v>
      </x:c>
      <x:c r="H34" s="3" t="n">
        <x:f>SUM(H4:H33)</x:f>
        <x:v>6696.14</x:v>
      </x:c>
      <x:c r="I34" s="3" t="n">
        <x:f>SUM(I4:I33)</x:f>
        <x:v>7100</x:v>
      </x:c>
      <x:c r="J34" s="3" t="n">
        <x:f>SUM(J4:J33)</x:f>
        <x:v>6869.450000000002</x:v>
      </x:c>
      <x:c r="K34" s="3" t="n">
        <x:f>SUM(K4:K33)</x:f>
        <x:v>6714.9</x:v>
      </x:c>
      <x:c r="L34" s="3" t="n">
        <x:f>SUM(L4:L33)</x:f>
        <x:v>6729.85</x:v>
      </x:c>
      <x:c r="M34" s="3" t="n">
        <x:f>SUM(M4:M33)</x:f>
        <x:v>7282.789999999996</x:v>
      </x:c>
      <x:c r="N34" s="3" t="n">
        <x:f>SUM(N4:N33)</x:f>
        <x:v>8482.65</x:v>
      </x:c>
      <x:c r="O34" s="3" t="n">
        <x:f>SUM(C34:N34)</x:f>
        <x:v>87320.8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 t="str">
        <x:v>管理费用</x:v>
      </x:c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 t="str">
        <x:v>实时经营（月度，元）</x:v>
      </x:c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 t="str">
        <x:v>2027-01</x:v>
      </x:c>
      <x:c r="D63" s="3" t="str">
        <x:v>2027-02</x:v>
      </x:c>
      <x:c r="E63" s="3" t="str">
        <x:v>2027-03</x:v>
      </x:c>
      <x:c r="F63" s="3" t="str">
        <x:v>2027-04</x:v>
      </x:c>
      <x:c r="G63" s="3" t="str">
        <x:v>2027-05</x:v>
      </x:c>
      <x:c r="H63" s="3" t="str">
        <x:v>2027-06</x:v>
      </x:c>
      <x:c r="I63" s="3" t="str">
        <x:v>2027-07</x:v>
      </x:c>
      <x:c r="J63" s="3" t="str">
        <x:v>2027-08</x:v>
      </x:c>
      <x:c r="K63" s="3" t="str">
        <x:v>2027-09</x:v>
      </x:c>
      <x:c r="L63" s="3" t="str">
        <x:v>2027-10</x:v>
      </x:c>
      <x:c r="M63" s="3" t="str">
        <x:v>2027-11</x:v>
      </x:c>
      <x:c r="N63" s="3" t="str">
        <x:v>2027-12</x:v>
      </x:c>
      <x:c r="O63" s="3" t="str">
        <x:v>小计</x:v>
      </x:c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工资</x:v>
      </x:c>
      <x:c r="C64" s="3" t="n">
        <x:f>ROUND(C264*C384,2)</x:f>
        <x:v>461.58</x:v>
      </x:c>
      <x:c r="D64" s="3" t="n">
        <x:f>ROUND(D264*D384,2)</x:f>
        <x:v>468.17</x:v>
      </x:c>
      <x:c r="E64" s="3" t="n">
        <x:f>ROUND(E264*E384,2)</x:f>
        <x:v>92.62</x:v>
      </x:c>
      <x:c r="F64" s="3" t="n">
        <x:f>ROUND(F264*F384,2)</x:f>
        <x:v>261.44</x:v>
      </x:c>
      <x:c r="G64" s="3" t="n">
        <x:f>ROUND(G264*G384,2)</x:f>
        <x:v>207.22</x:v>
      </x:c>
      <x:c r="H64" s="3" t="n">
        <x:f>ROUND(H264*H384,2)</x:f>
        <x:v>358.44</x:v>
      </x:c>
      <x:c r="I64" s="3" t="n">
        <x:f>ROUND(I264*I384,2)</x:f>
        <x:v>332.67</x:v>
      </x:c>
      <x:c r="J64" s="3" t="n">
        <x:f>ROUND(J264*J384,2)</x:f>
        <x:v>121.72</x:v>
      </x:c>
      <x:c r="K64" s="3" t="n">
        <x:f>ROUND(K264*K384,2)</x:f>
        <x:v>261.65</x:v>
      </x:c>
      <x:c r="L64" s="3" t="n">
        <x:f>ROUND(L264*L384,2)</x:f>
        <x:v>182.8</x:v>
      </x:c>
      <x:c r="M64" s="3" t="n">
        <x:f>ROUND(M264*M384,2)</x:f>
        <x:v>61.11</x:v>
      </x:c>
      <x:c r="N64" s="3" t="n">
        <x:f>ROUND(N264*N384,2)</x:f>
        <x:v>140.15</x:v>
      </x:c>
      <x:c r="O64" s="3" t="n">
        <x:f>SUM(C64:N64)</x:f>
        <x:v>2949.57</x:v>
      </x:c>
      <x:c r="P64" s="2" t="str">
        <x:v>EXP2.004</x:v>
      </x:c>
      <x:c r="Q64" s="2" t="str">
        <x:v>演示占位-v1</x:v>
      </x:c>
      <x:c r="R64" s="2" t="str">
        <x:v>模拟权责发生制</x:v>
      </x:c>
      <x:c r="S64" s="2" t="str">
        <x:v>2027-01</x:v>
      </x:c>
      <x:c r="T64" s="2" t="str">
        <x:v>2027-06</x:v>
      </x:c>
      <x:c r="U64" s="2" t="str">
        <x:v>无</x:v>
      </x:c>
      <x:c r="V64" s="2" t="str">
        <x:v>无</x:v>
      </x:c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十三薪</x:v>
      </x:c>
      <x:c r="C65" s="3" t="n">
        <x:f>ROUND(C265*C385,2)</x:f>
        <x:v>177.42</x:v>
      </x:c>
      <x:c r="D65" s="3" t="n">
        <x:f>ROUND(D265*D385,2)</x:f>
        <x:v>181.26</x:v>
      </x:c>
      <x:c r="E65" s="3" t="n">
        <x:f>ROUND(E265*E385,2)</x:f>
        <x:v>269.53</x:v>
      </x:c>
      <x:c r="F65" s="3" t="n">
        <x:f>ROUND(F265*F385,2)</x:f>
        <x:v>261.23</x:v>
      </x:c>
      <x:c r="G65" s="3" t="n">
        <x:f>ROUND(G265*G385,2)</x:f>
        <x:v>195.39</x:v>
      </x:c>
      <x:c r="H65" s="3" t="n">
        <x:f>ROUND(H265*H385,2)</x:f>
        <x:v>121.07</x:v>
      </x:c>
      <x:c r="I65" s="3" t="n">
        <x:f>ROUND(I265*I385,2)</x:f>
        <x:v>308.26</x:v>
      </x:c>
      <x:c r="J65" s="3" t="n">
        <x:f>ROUND(J265*J385,2)</x:f>
        <x:v>77.93</x:v>
      </x:c>
      <x:c r="K65" s="3" t="n">
        <x:f>ROUND(K265*K385,2)</x:f>
        <x:v>408.04</x:v>
      </x:c>
      <x:c r="L65" s="3" t="n">
        <x:f>ROUND(L265*L385,2)</x:f>
        <x:v>115.75</x:v>
      </x:c>
      <x:c r="M65" s="3" t="n">
        <x:f>ROUND(M265*M385,2)</x:f>
        <x:v>348.15</x:v>
      </x:c>
      <x:c r="N65" s="3" t="n">
        <x:f>ROUND(N265*N385,2)</x:f>
        <x:v>316.38</x:v>
      </x:c>
      <x:c r="O65" s="3" t="n">
        <x:f>SUM(C65:N65)</x:f>
        <x:v>2780.4100000000003</x:v>
      </x:c>
      <x:c r="P65" s="2" t="str">
        <x:v>EXP2.005</x:v>
      </x:c>
      <x:c r="Q65" s="2" t="str">
        <x:v>演示占位-v1</x:v>
      </x:c>
      <x:c r="R65" s="2" t="str">
        <x:v>模拟权责发生制</x:v>
      </x:c>
      <x:c r="S65" s="2" t="str">
        <x:v>2027-01</x:v>
      </x:c>
      <x:c r="T65" s="2" t="str">
        <x:v>2027-06</x:v>
      </x:c>
      <x:c r="U65" s="2" t="str">
        <x:v>无</x:v>
      </x:c>
      <x:c r="V65" s="2" t="str">
        <x:v>无</x:v>
      </x:c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离职补偿金</x:v>
      </x:c>
      <x:c r="C66" s="3" t="n">
        <x:f>ROUND(C266*C386,2)</x:f>
        <x:v>204.92</x:v>
      </x:c>
      <x:c r="D66" s="3" t="n">
        <x:f>ROUND(D266*D386,2)</x:f>
        <x:v>175.03</x:v>
      </x:c>
      <x:c r="E66" s="3" t="n">
        <x:f>ROUND(E266*E386,2)</x:f>
        <x:v>311.09</x:v>
      </x:c>
      <x:c r="F66" s="3" t="n">
        <x:f>ROUND(F266*F386,2)</x:f>
        <x:v>346.37</x:v>
      </x:c>
      <x:c r="G66" s="3" t="n">
        <x:f>ROUND(G266*G386,2)</x:f>
        <x:v>81.09</x:v>
      </x:c>
      <x:c r="H66" s="3" t="n">
        <x:f>ROUND(H266*H386,2)</x:f>
        <x:v>355.99</x:v>
      </x:c>
      <x:c r="I66" s="3" t="n">
        <x:f>ROUND(I266*I386,2)</x:f>
        <x:v>202.79</x:v>
      </x:c>
      <x:c r="J66" s="3" t="n">
        <x:f>ROUND(J266*J386,2)</x:f>
        <x:v>432.28</x:v>
      </x:c>
      <x:c r="K66" s="3" t="n">
        <x:f>ROUND(K266*K386,2)</x:f>
        <x:v>265.14</x:v>
      </x:c>
      <x:c r="L66" s="3" t="n">
        <x:f>ROUND(L266*L386,2)</x:f>
        <x:v>352.6</x:v>
      </x:c>
      <x:c r="M66" s="3" t="n">
        <x:f>ROUND(M266*M386,2)</x:f>
        <x:v>246.79</x:v>
      </x:c>
      <x:c r="N66" s="3" t="n">
        <x:f>ROUND(N266*N386,2)</x:f>
        <x:v>133.22</x:v>
      </x:c>
      <x:c r="O66" s="3" t="n">
        <x:f>SUM(C66:N66)</x:f>
        <x:v>3107.309999999999</x:v>
      </x:c>
      <x:c r="P66" s="2" t="str">
        <x:v>EXP2.006</x:v>
      </x:c>
      <x:c r="Q66" s="2" t="str">
        <x:v>演示占位-v1</x:v>
      </x:c>
      <x:c r="R66" s="2" t="str">
        <x:v>模拟权责发生制</x:v>
      </x:c>
      <x:c r="S66" s="2" t="str">
        <x:v>2027-01</x:v>
      </x:c>
      <x:c r="T66" s="2" t="str">
        <x:v>2027-06</x:v>
      </x:c>
      <x:c r="U66" s="2" t="str">
        <x:v>无</x:v>
      </x:c>
      <x:c r="V66" s="2" t="str">
        <x:v>无</x:v>
      </x:c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五险一金</x:v>
      </x:c>
      <x:c r="C67" s="3" t="n">
        <x:f>ROUND(C267*C387,2)</x:f>
        <x:v>359.73</x:v>
      </x:c>
      <x:c r="D67" s="3" t="n">
        <x:f>ROUND(D267*D387,2)</x:f>
        <x:v>215.1</x:v>
      </x:c>
      <x:c r="E67" s="3" t="n">
        <x:f>ROUND(E267*E387,2)</x:f>
        <x:v>209.33</x:v>
      </x:c>
      <x:c r="F67" s="3" t="n">
        <x:f>ROUND(F267*F387,2)</x:f>
        <x:v>318.75</x:v>
      </x:c>
      <x:c r="G67" s="3" t="n">
        <x:f>ROUND(G267*G387,2)</x:f>
        <x:v>274.99</x:v>
      </x:c>
      <x:c r="H67" s="3" t="n">
        <x:f>ROUND(H267*H387,2)</x:f>
        <x:v>139.18</x:v>
      </x:c>
      <x:c r="I67" s="3" t="n">
        <x:f>ROUND(I267*I387,2)</x:f>
        <x:v>250</x:v>
      </x:c>
      <x:c r="J67" s="3" t="n">
        <x:f>ROUND(J267*J387,2)</x:f>
        <x:v>324.79</x:v>
      </x:c>
      <x:c r="K67" s="3" t="n">
        <x:f>ROUND(K267*K387,2)</x:f>
        <x:v>228.03</x:v>
      </x:c>
      <x:c r="L67" s="3" t="n">
        <x:f>ROUND(L267*L387,2)</x:f>
        <x:v>260.53</x:v>
      </x:c>
      <x:c r="M67" s="3" t="n">
        <x:f>ROUND(M267*M387,2)</x:f>
        <x:v>138.8</x:v>
      </x:c>
      <x:c r="N67" s="3" t="n">
        <x:f>ROUND(N267*N387,2)</x:f>
        <x:v>193.56</x:v>
      </x:c>
      <x:c r="O67" s="3" t="n">
        <x:f>SUM(C67:N67)</x:f>
        <x:v>2912.7900000000004</x:v>
      </x:c>
      <x:c r="P67" s="2" t="str">
        <x:v>EXP2.007</x:v>
      </x:c>
      <x:c r="Q67" s="2" t="str">
        <x:v>演示占位-v1</x:v>
      </x:c>
      <x:c r="R67" s="2" t="str">
        <x:v>模拟权责发生制</x:v>
      </x:c>
      <x:c r="S67" s="2" t="str">
        <x:v>2027-01</x:v>
      </x:c>
      <x:c r="T67" s="2" t="str">
        <x:v>2027-06</x:v>
      </x:c>
      <x:c r="U67" s="2" t="str">
        <x:v>无</x:v>
      </x:c>
      <x:c r="V67" s="2" t="str">
        <x:v>无</x:v>
      </x:c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福利费</x:v>
      </x:c>
      <x:c r="C68" s="3" t="n">
        <x:f>ROUND(C268*C388,2)</x:f>
        <x:v>185.36</x:v>
      </x:c>
      <x:c r="D68" s="3" t="n">
        <x:f>ROUND(D268*D388,2)</x:f>
        <x:v>185.35</x:v>
      </x:c>
      <x:c r="E68" s="3" t="n">
        <x:f>ROUND(E268*E388,2)</x:f>
        <x:v>201.69</x:v>
      </x:c>
      <x:c r="F68" s="3" t="n">
        <x:f>ROUND(F268*F388,2)</x:f>
        <x:v>236.64</x:v>
      </x:c>
      <x:c r="G68" s="3" t="n">
        <x:f>ROUND(G268*G388,2)</x:f>
        <x:v>540.84</x:v>
      </x:c>
      <x:c r="H68" s="3" t="n">
        <x:f>ROUND(H268*H388,2)</x:f>
        <x:v>198.8</x:v>
      </x:c>
      <x:c r="I68" s="3" t="n">
        <x:f>ROUND(I268*I388,2)</x:f>
        <x:v>222.84</x:v>
      </x:c>
      <x:c r="J68" s="3" t="n">
        <x:f>ROUND(J268*J388,2)</x:f>
        <x:v>446.66</x:v>
      </x:c>
      <x:c r="K68" s="3" t="n">
        <x:f>ROUND(K268*K388,2)</x:f>
        <x:v>319.69</x:v>
      </x:c>
      <x:c r="L68" s="3" t="n">
        <x:f>ROUND(L268*L388,2)</x:f>
        <x:v>245.11</x:v>
      </x:c>
      <x:c r="M68" s="3" t="n">
        <x:f>ROUND(M268*M388,2)</x:f>
        <x:v>177.97</x:v>
      </x:c>
      <x:c r="N68" s="3" t="n">
        <x:f>ROUND(N268*N388,2)</x:f>
        <x:v>123.44</x:v>
      </x:c>
      <x:c r="O68" s="3" t="n">
        <x:f>SUM(C68:N68)</x:f>
        <x:v>3084.39</x:v>
      </x:c>
      <x:c r="P68" s="2" t="str">
        <x:v>EXP2.008</x:v>
      </x:c>
      <x:c r="Q68" s="2" t="str">
        <x:v>演示占位-v1</x:v>
      </x:c>
      <x:c r="R68" s="2" t="str">
        <x:v>模拟权责发生制</x:v>
      </x:c>
      <x:c r="S68" s="2" t="str">
        <x:v>2027-01</x:v>
      </x:c>
      <x:c r="T68" s="2" t="str">
        <x:v>2027-06</x:v>
      </x:c>
      <x:c r="U68" s="2" t="str">
        <x:v>无</x:v>
      </x:c>
      <x:c r="V68" s="2" t="str">
        <x:v>无</x:v>
      </x:c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招聘费</x:v>
      </x:c>
      <x:c r="C69" s="3" t="n">
        <x:f>ROUND(C269*C389,2)</x:f>
        <x:v>258.37</x:v>
      </x:c>
      <x:c r="D69" s="3" t="n">
        <x:f>ROUND(D269*D389,2)</x:f>
        <x:v>222.61</x:v>
      </x:c>
      <x:c r="E69" s="3" t="n">
        <x:f>ROUND(E269*E389,2)</x:f>
        <x:v>523.83</x:v>
      </x:c>
      <x:c r="F69" s="3" t="n">
        <x:f>ROUND(F269*F389,2)</x:f>
        <x:v>354.63</x:v>
      </x:c>
      <x:c r="G69" s="3" t="n">
        <x:f>ROUND(G269*G389,2)</x:f>
        <x:v>465.97</x:v>
      </x:c>
      <x:c r="H69" s="3" t="n">
        <x:f>ROUND(H269*H389,2)</x:f>
        <x:v>119.95</x:v>
      </x:c>
      <x:c r="I69" s="3" t="n">
        <x:f>ROUND(I269*I389,2)</x:f>
        <x:v>309.26</x:v>
      </x:c>
      <x:c r="J69" s="3" t="n">
        <x:f>ROUND(J269*J389,2)</x:f>
        <x:v>104.86</x:v>
      </x:c>
      <x:c r="K69" s="3" t="n">
        <x:f>ROUND(K269*K389,2)</x:f>
        <x:v>371.48</x:v>
      </x:c>
      <x:c r="L69" s="3" t="n">
        <x:f>ROUND(L269*L389,2)</x:f>
        <x:v>182.05</x:v>
      </x:c>
      <x:c r="M69" s="3" t="n">
        <x:f>ROUND(M269*M389,2)</x:f>
        <x:v>141.83</x:v>
      </x:c>
      <x:c r="N69" s="3" t="n">
        <x:f>ROUND(N269*N389,2)</x:f>
        <x:v>539.64</x:v>
      </x:c>
      <x:c r="O69" s="3" t="n">
        <x:f>SUM(C69:N69)</x:f>
        <x:v>3594.48</x:v>
      </x:c>
      <x:c r="P69" s="2" t="str">
        <x:v>EXP2.009</x:v>
      </x:c>
      <x:c r="Q69" s="2" t="str">
        <x:v>演示占位-v1</x:v>
      </x:c>
      <x:c r="R69" s="2" t="str">
        <x:v>模拟权责发生制</x:v>
      </x:c>
      <x:c r="S69" s="2" t="str">
        <x:v>2027-01</x:v>
      </x:c>
      <x:c r="T69" s="2" t="str">
        <x:v>2027-06</x:v>
      </x:c>
      <x:c r="U69" s="2" t="str">
        <x:v>无</x:v>
      </x:c>
      <x:c r="V69" s="2" t="str">
        <x:v>无</x:v>
      </x:c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 t="str">
        <x:v>培训费</x:v>
      </x:c>
      <x:c r="C70" s="3" t="n">
        <x:f>ROUND(C270*C390,2)</x:f>
        <x:v>357.72</x:v>
      </x:c>
      <x:c r="D70" s="3" t="n">
        <x:f>ROUND(D270*D390,2)</x:f>
        <x:v>246.23</x:v>
      </x:c>
      <x:c r="E70" s="3" t="n">
        <x:f>ROUND(E270*E390,2)</x:f>
        <x:v>220.05</x:v>
      </x:c>
      <x:c r="F70" s="3" t="n">
        <x:f>ROUND(F270*F390,2)</x:f>
        <x:v>215.95</x:v>
      </x:c>
      <x:c r="G70" s="3" t="n">
        <x:f>ROUND(G270*G390,2)</x:f>
        <x:v>158.36</x:v>
      </x:c>
      <x:c r="H70" s="3" t="n">
        <x:f>ROUND(H270*H390,2)</x:f>
        <x:v>126.53</x:v>
      </x:c>
      <x:c r="I70" s="3" t="n">
        <x:f>ROUND(I270*I390,2)</x:f>
        <x:v>205.86</x:v>
      </x:c>
      <x:c r="J70" s="3" t="n">
        <x:f>ROUND(J270*J390,2)</x:f>
        <x:v>133.88</x:v>
      </x:c>
      <x:c r="K70" s="3" t="n">
        <x:f>ROUND(K270*K390,2)</x:f>
        <x:v>408.26</x:v>
      </x:c>
      <x:c r="L70" s="3" t="n">
        <x:f>ROUND(L270*L390,2)</x:f>
        <x:v>134.98</x:v>
      </x:c>
      <x:c r="M70" s="3" t="n">
        <x:f>ROUND(M270*M390,2)</x:f>
        <x:v>142.29</x:v>
      </x:c>
      <x:c r="N70" s="3" t="n">
        <x:f>ROUND(N270*N390,2)</x:f>
        <x:v>321.41</x:v>
      </x:c>
      <x:c r="O70" s="3" t="n">
        <x:f>SUM(C70:N70)</x:f>
        <x:v>2671.52</x:v>
      </x:c>
      <x:c r="P70" s="2" t="str">
        <x:v>EXP2.010</x:v>
      </x:c>
      <x:c r="Q70" s="2" t="str">
        <x:v>演示占位-v1</x:v>
      </x:c>
      <x:c r="R70" s="2" t="str">
        <x:v>模拟权责发生制</x:v>
      </x:c>
      <x:c r="S70" s="2" t="str">
        <x:v>2027-01</x:v>
      </x:c>
      <x:c r="T70" s="2" t="str">
        <x:v>2027-06</x:v>
      </x:c>
      <x:c r="U70" s="2" t="str">
        <x:v>无</x:v>
      </x:c>
      <x:c r="V70" s="2" t="str">
        <x:v>无</x:v>
      </x:c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 t="str">
        <x:v>房租</x:v>
      </x:c>
      <x:c r="C71" s="3" t="n">
        <x:f>ROUND(C271*C391,2)</x:f>
        <x:v>87.7</x:v>
      </x:c>
      <x:c r="D71" s="3" t="n">
        <x:f>ROUND(D271*D391,2)</x:f>
        <x:v>95.25</x:v>
      </x:c>
      <x:c r="E71" s="3" t="n">
        <x:f>ROUND(E271*E391,2)</x:f>
        <x:v>212.51</x:v>
      </x:c>
      <x:c r="F71" s="3" t="n">
        <x:f>ROUND(F271*F391,2)</x:f>
        <x:v>74.83</x:v>
      </x:c>
      <x:c r="G71" s="3" t="n">
        <x:f>ROUND(G271*G391,2)</x:f>
        <x:v>273.09</x:v>
      </x:c>
      <x:c r="H71" s="3" t="n">
        <x:f>ROUND(H271*H391,2)</x:f>
        <x:v>179.25</x:v>
      </x:c>
      <x:c r="I71" s="3" t="n">
        <x:f>ROUND(I271*I391,2)</x:f>
        <x:v>121.03</x:v>
      </x:c>
      <x:c r="J71" s="3" t="n">
        <x:f>ROUND(J271*J391,2)</x:f>
        <x:v>194.77</x:v>
      </x:c>
      <x:c r="K71" s="3" t="n">
        <x:f>ROUND(K271*K391,2)</x:f>
        <x:v>227.75</x:v>
      </x:c>
      <x:c r="L71" s="3" t="n">
        <x:f>ROUND(L271*L391,2)</x:f>
        <x:v>338.84</x:v>
      </x:c>
      <x:c r="M71" s="3" t="n">
        <x:f>ROUND(M271*M391,2)</x:f>
        <x:v>130.92</x:v>
      </x:c>
      <x:c r="N71" s="3" t="n">
        <x:f>ROUND(N271*N391,2)</x:f>
        <x:v>175.64</x:v>
      </x:c>
      <x:c r="O71" s="3" t="n">
        <x:f>SUM(C71:N71)</x:f>
        <x:v>2111.58</x:v>
      </x:c>
      <x:c r="P71" s="2" t="str">
        <x:v>EXP2.011</x:v>
      </x:c>
      <x:c r="Q71" s="2" t="str">
        <x:v>演示占位-v1</x:v>
      </x:c>
      <x:c r="R71" s="2" t="str">
        <x:v>模拟权责发生制</x:v>
      </x:c>
      <x:c r="S71" s="2" t="str">
        <x:v>2027-01</x:v>
      </x:c>
      <x:c r="T71" s="2" t="str">
        <x:v>2027-06</x:v>
      </x:c>
      <x:c r="U71" s="2" t="str">
        <x:v>无</x:v>
      </x:c>
      <x:c r="V71" s="2" t="str">
        <x:v>无</x:v>
      </x:c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 t="str">
        <x:v>物业管理费</x:v>
      </x:c>
      <x:c r="C72" s="3" t="n">
        <x:f>ROUND(C272*C392,2)</x:f>
        <x:v>390.1</x:v>
      </x:c>
      <x:c r="D72" s="3" t="n">
        <x:f>ROUND(D272*D392,2)</x:f>
        <x:v>353.28</x:v>
      </x:c>
      <x:c r="E72" s="3" t="n">
        <x:f>ROUND(E272*E392,2)</x:f>
        <x:v>223.45</x:v>
      </x:c>
      <x:c r="F72" s="3" t="n">
        <x:f>ROUND(F272*F392,2)</x:f>
        <x:v>89.07</x:v>
      </x:c>
      <x:c r="G72" s="3" t="n">
        <x:f>ROUND(G272*G392,2)</x:f>
        <x:v>76.95</x:v>
      </x:c>
      <x:c r="H72" s="3" t="n">
        <x:f>ROUND(H272*H392,2)</x:f>
        <x:v>285.43</x:v>
      </x:c>
      <x:c r="I72" s="3" t="n">
        <x:f>ROUND(I272*I392,2)</x:f>
        <x:v>271.49</x:v>
      </x:c>
      <x:c r="J72" s="3" t="n">
        <x:f>ROUND(J272*J392,2)</x:f>
        <x:v>65.62</x:v>
      </x:c>
      <x:c r="K72" s="3" t="n">
        <x:f>ROUND(K272*K392,2)</x:f>
        <x:v>211.1</x:v>
      </x:c>
      <x:c r="L72" s="3" t="n">
        <x:f>ROUND(L272*L392,2)</x:f>
        <x:v>276.45</x:v>
      </x:c>
      <x:c r="M72" s="3" t="n">
        <x:f>ROUND(M272*M392,2)</x:f>
        <x:v>214.46</x:v>
      </x:c>
      <x:c r="N72" s="3" t="n">
        <x:f>ROUND(N272*N392,2)</x:f>
        <x:v>98.09</x:v>
      </x:c>
      <x:c r="O72" s="3" t="n">
        <x:f>SUM(C72:N72)</x:f>
        <x:v>2555.49</x:v>
      </x:c>
      <x:c r="P72" s="2" t="str">
        <x:v>EXP2.012</x:v>
      </x:c>
      <x:c r="Q72" s="2" t="str">
        <x:v>演示占位-v1</x:v>
      </x:c>
      <x:c r="R72" s="2" t="str">
        <x:v>模拟权责发生制</x:v>
      </x:c>
      <x:c r="S72" s="2" t="str">
        <x:v>2027-01</x:v>
      </x:c>
      <x:c r="T72" s="2" t="str">
        <x:v>2027-06</x:v>
      </x:c>
      <x:c r="U72" s="2" t="str">
        <x:v>无</x:v>
      </x:c>
      <x:c r="V72" s="2" t="str">
        <x:v>无</x:v>
      </x:c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 t="str">
        <x:v>汽车费用</x:v>
      </x:c>
      <x:c r="C73" s="3" t="n">
        <x:f>ROUND(C273*C393,2)</x:f>
        <x:v>237.54</x:v>
      </x:c>
      <x:c r="D73" s="3" t="n">
        <x:f>ROUND(D273*D393,2)</x:f>
        <x:v>117.2</x:v>
      </x:c>
      <x:c r="E73" s="3" t="n">
        <x:f>ROUND(E273*E393,2)</x:f>
        <x:v>96.55</x:v>
      </x:c>
      <x:c r="F73" s="3" t="n">
        <x:f>ROUND(F273*F393,2)</x:f>
        <x:v>404.51</x:v>
      </x:c>
      <x:c r="G73" s="3" t="n">
        <x:f>ROUND(G273*G393,2)</x:f>
        <x:v>152.8</x:v>
      </x:c>
      <x:c r="H73" s="3" t="n">
        <x:f>ROUND(H273*H393,2)</x:f>
        <x:v>136.19</x:v>
      </x:c>
      <x:c r="I73" s="3" t="n">
        <x:f>ROUND(I273*I393,2)</x:f>
        <x:v>71.76</x:v>
      </x:c>
      <x:c r="J73" s="3" t="n">
        <x:f>ROUND(J273*J393,2)</x:f>
        <x:v>370.48</x:v>
      </x:c>
      <x:c r="K73" s="3" t="n">
        <x:f>ROUND(K273*K393,2)</x:f>
        <x:v>156.36</x:v>
      </x:c>
      <x:c r="L73" s="3" t="n">
        <x:f>ROUND(L273*L393,2)</x:f>
        <x:v>305.2</x:v>
      </x:c>
      <x:c r="M73" s="3" t="n">
        <x:f>ROUND(M273*M393,2)</x:f>
        <x:v>137.38</x:v>
      </x:c>
      <x:c r="N73" s="3" t="n">
        <x:f>ROUND(N273*N393,2)</x:f>
        <x:v>264.19</x:v>
      </x:c>
      <x:c r="O73" s="3" t="n">
        <x:f>SUM(C73:N73)</x:f>
        <x:v>2450.16</x:v>
      </x:c>
      <x:c r="P73" s="2" t="str">
        <x:v>EXP2.013</x:v>
      </x:c>
      <x:c r="Q73" s="2" t="str">
        <x:v>演示占位-v1</x:v>
      </x:c>
      <x:c r="R73" s="2" t="str">
        <x:v>模拟权责发生制</x:v>
      </x:c>
      <x:c r="S73" s="2" t="str">
        <x:v>2027-01</x:v>
      </x:c>
      <x:c r="T73" s="2" t="str">
        <x:v>2027-06</x:v>
      </x:c>
      <x:c r="U73" s="2" t="str">
        <x:v>无</x:v>
      </x:c>
      <x:c r="V73" s="2" t="str">
        <x:v>无</x:v>
      </x:c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 t="str">
        <x:v>办公费</x:v>
      </x:c>
      <x:c r="C74" s="3" t="n">
        <x:f>ROUND(C274*C394,2)</x:f>
        <x:v>183.81</x:v>
      </x:c>
      <x:c r="D74" s="3" t="n">
        <x:f>ROUND(D274*D394,2)</x:f>
        <x:v>314.25</x:v>
      </x:c>
      <x:c r="E74" s="3" t="n">
        <x:f>ROUND(E274*E394,2)</x:f>
        <x:v>194.49</x:v>
      </x:c>
      <x:c r="F74" s="3" t="n">
        <x:f>ROUND(F274*F394,2)</x:f>
        <x:v>274.82</x:v>
      </x:c>
      <x:c r="G74" s="3" t="n">
        <x:f>ROUND(G274*G394,2)</x:f>
        <x:v>227.68</x:v>
      </x:c>
      <x:c r="H74" s="3" t="n">
        <x:f>ROUND(H274*H394,2)</x:f>
        <x:v>169.31</x:v>
      </x:c>
      <x:c r="I74" s="3" t="n">
        <x:f>ROUND(I274*I394,2)</x:f>
        <x:v>105.1</x:v>
      </x:c>
      <x:c r="J74" s="3" t="n">
        <x:f>ROUND(J274*J394,2)</x:f>
        <x:v>267.04</x:v>
      </x:c>
      <x:c r="K74" s="3" t="n">
        <x:f>ROUND(K274*K394,2)</x:f>
        <x:v>170.48</x:v>
      </x:c>
      <x:c r="L74" s="3" t="n">
        <x:f>ROUND(L274*L394,2)</x:f>
        <x:v>171.36</x:v>
      </x:c>
      <x:c r="M74" s="3" t="n">
        <x:f>ROUND(M274*M394,2)</x:f>
        <x:v>164.87</x:v>
      </x:c>
      <x:c r="N74" s="3" t="n">
        <x:f>ROUND(N274*N394,2)</x:f>
        <x:v>313.66</x:v>
      </x:c>
      <x:c r="O74" s="3" t="n">
        <x:f>SUM(C74:N74)</x:f>
        <x:v>2556.8699999999994</x:v>
      </x:c>
      <x:c r="P74" s="2" t="str">
        <x:v>EXP2.014</x:v>
      </x:c>
      <x:c r="Q74" s="2" t="str">
        <x:v>演示占位-v1</x:v>
      </x:c>
      <x:c r="R74" s="2" t="str">
        <x:v>模拟权责发生制</x:v>
      </x:c>
      <x:c r="S74" s="2" t="str">
        <x:v>2027-01</x:v>
      </x:c>
      <x:c r="T74" s="2" t="str">
        <x:v>2027-06</x:v>
      </x:c>
      <x:c r="U74" s="2" t="str">
        <x:v>无</x:v>
      </x:c>
      <x:c r="V74" s="2" t="str">
        <x:v>无</x:v>
      </x:c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 t="str">
        <x:v>办公用品</x:v>
      </x:c>
      <x:c r="C75" s="3" t="n">
        <x:f>ROUND(C275*C395,2)</x:f>
        <x:v>441</x:v>
      </x:c>
      <x:c r="D75" s="3" t="n">
        <x:f>ROUND(D275*D395,2)</x:f>
        <x:v>173.49</x:v>
      </x:c>
      <x:c r="E75" s="3" t="n">
        <x:f>ROUND(E275*E395,2)</x:f>
        <x:v>86.74</x:v>
      </x:c>
      <x:c r="F75" s="3" t="n">
        <x:f>ROUND(F275*F395,2)</x:f>
        <x:v>267.9</x:v>
      </x:c>
      <x:c r="G75" s="3" t="n">
        <x:f>ROUND(G275*G395,2)</x:f>
        <x:v>408.35</x:v>
      </x:c>
      <x:c r="H75" s="3" t="n">
        <x:f>ROUND(H275*H395,2)</x:f>
        <x:v>387.69</x:v>
      </x:c>
      <x:c r="I75" s="3" t="n">
        <x:f>ROUND(I275*I395,2)</x:f>
        <x:v>62.46</x:v>
      </x:c>
      <x:c r="J75" s="3" t="n">
        <x:f>ROUND(J275*J395,2)</x:f>
        <x:v>191.68</x:v>
      </x:c>
      <x:c r="K75" s="3" t="n">
        <x:f>ROUND(K275*K395,2)</x:f>
        <x:v>186.25</x:v>
      </x:c>
      <x:c r="L75" s="3" t="n">
        <x:f>ROUND(L275*L395,2)</x:f>
        <x:v>552.36</x:v>
      </x:c>
      <x:c r="M75" s="3" t="n">
        <x:f>ROUND(M275*M395,2)</x:f>
        <x:v>490.04</x:v>
      </x:c>
      <x:c r="N75" s="3" t="n">
        <x:f>ROUND(N275*N395,2)</x:f>
        <x:v>352.24</x:v>
      </x:c>
      <x:c r="O75" s="3" t="n">
        <x:f>SUM(C75:N75)</x:f>
        <x:v>3600.2000000000007</x:v>
      </x:c>
      <x:c r="P75" s="2" t="str">
        <x:v>EXP2.015</x:v>
      </x:c>
      <x:c r="Q75" s="2" t="str">
        <x:v>演示占位-v1</x:v>
      </x:c>
      <x:c r="R75" s="2" t="str">
        <x:v>模拟权责发生制</x:v>
      </x:c>
      <x:c r="S75" s="2" t="str">
        <x:v>2027-01</x:v>
      </x:c>
      <x:c r="T75" s="2" t="str">
        <x:v>2027-06</x:v>
      </x:c>
      <x:c r="U75" s="2" t="str">
        <x:v>无</x:v>
      </x:c>
      <x:c r="V75" s="2" t="str">
        <x:v>无</x:v>
      </x:c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 t="str">
        <x:v>水电煤</x:v>
      </x:c>
      <x:c r="C76" s="3" t="n">
        <x:f>ROUND(C276*C396,2)</x:f>
        <x:v>171.63</x:v>
      </x:c>
      <x:c r="D76" s="3" t="n">
        <x:f>ROUND(D276*D396,2)</x:f>
        <x:v>98.63</x:v>
      </x:c>
      <x:c r="E76" s="3" t="n">
        <x:f>ROUND(E276*E396,2)</x:f>
        <x:v>331.78</x:v>
      </x:c>
      <x:c r="F76" s="3" t="n">
        <x:f>ROUND(F276*F396,2)</x:f>
        <x:v>415.15</x:v>
      </x:c>
      <x:c r="G76" s="3" t="n">
        <x:f>ROUND(G276*G396,2)</x:f>
        <x:v>68.76</x:v>
      </x:c>
      <x:c r="H76" s="3" t="n">
        <x:f>ROUND(H276*H396,2)</x:f>
        <x:v>387.01</x:v>
      </x:c>
      <x:c r="I76" s="3" t="n">
        <x:f>ROUND(I276*I396,2)</x:f>
        <x:v>156.49</x:v>
      </x:c>
      <x:c r="J76" s="3" t="n">
        <x:f>ROUND(J276*J396,2)</x:f>
        <x:v>384.26</x:v>
      </x:c>
      <x:c r="K76" s="3" t="n">
        <x:f>ROUND(K276*K396,2)</x:f>
        <x:v>270.8</x:v>
      </x:c>
      <x:c r="L76" s="3" t="n">
        <x:f>ROUND(L276*L396,2)</x:f>
        <x:v>64.34</x:v>
      </x:c>
      <x:c r="M76" s="3" t="n">
        <x:f>ROUND(M276*M396,2)</x:f>
        <x:v>131.73</x:v>
      </x:c>
      <x:c r="N76" s="3" t="n">
        <x:f>ROUND(N276*N396,2)</x:f>
        <x:v>94.01</x:v>
      </x:c>
      <x:c r="O76" s="3" t="n">
        <x:f>SUM(C76:N76)</x:f>
        <x:v>2574.5900000000006</x:v>
      </x:c>
      <x:c r="P76" s="2" t="str">
        <x:v>EXP2.016</x:v>
      </x:c>
      <x:c r="Q76" s="2" t="str">
        <x:v>演示占位-v1</x:v>
      </x:c>
      <x:c r="R76" s="2" t="str">
        <x:v>模拟权责发生制</x:v>
      </x:c>
      <x:c r="S76" s="2" t="str">
        <x:v>2027-01</x:v>
      </x:c>
      <x:c r="T76" s="2" t="str">
        <x:v>2027-06</x:v>
      </x:c>
      <x:c r="U76" s="2" t="str">
        <x:v>无</x:v>
      </x:c>
      <x:c r="V76" s="2" t="str">
        <x:v>无</x:v>
      </x:c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 t="str">
        <x:v>咨询服务费</x:v>
      </x:c>
      <x:c r="C77" s="3" t="n">
        <x:f>ROUND(C277*C397,2)</x:f>
        <x:v>185.45</x:v>
      </x:c>
      <x:c r="D77" s="3" t="n">
        <x:f>ROUND(D277*D397,2)</x:f>
        <x:v>242.23</x:v>
      </x:c>
      <x:c r="E77" s="3" t="n">
        <x:f>ROUND(E277*E397,2)</x:f>
        <x:v>55.01</x:v>
      </x:c>
      <x:c r="F77" s="3" t="n">
        <x:f>ROUND(F277*F397,2)</x:f>
        <x:v>249.44</x:v>
      </x:c>
      <x:c r="G77" s="3" t="n">
        <x:f>ROUND(G277*G397,2)</x:f>
        <x:v>104.16</x:v>
      </x:c>
      <x:c r="H77" s="3" t="n">
        <x:f>ROUND(H277*H397,2)</x:f>
        <x:v>526.95</x:v>
      </x:c>
      <x:c r="I77" s="3" t="n">
        <x:f>ROUND(I277*I397,2)</x:f>
        <x:v>182.51</x:v>
      </x:c>
      <x:c r="J77" s="3" t="n">
        <x:f>ROUND(J277*J397,2)</x:f>
        <x:v>345.35</x:v>
      </x:c>
      <x:c r="K77" s="3" t="n">
        <x:f>ROUND(K277*K397,2)</x:f>
        <x:v>500.43</x:v>
      </x:c>
      <x:c r="L77" s="3" t="n">
        <x:f>ROUND(L277*L397,2)</x:f>
        <x:v>244.82</x:v>
      </x:c>
      <x:c r="M77" s="3" t="n">
        <x:f>ROUND(M277*M397,2)</x:f>
        <x:v>191.78</x:v>
      </x:c>
      <x:c r="N77" s="3" t="n">
        <x:f>ROUND(N277*N397,2)</x:f>
        <x:v>96.16</x:v>
      </x:c>
      <x:c r="O77" s="3" t="n">
        <x:f>SUM(C77:N77)</x:f>
        <x:v>2924.29</x:v>
      </x:c>
      <x:c r="P77" s="2" t="str">
        <x:v>EXP2.017</x:v>
      </x:c>
      <x:c r="Q77" s="2" t="str">
        <x:v>演示占位-v1</x:v>
      </x:c>
      <x:c r="R77" s="2" t="str">
        <x:v>模拟权责发生制</x:v>
      </x:c>
      <x:c r="S77" s="2" t="str">
        <x:v>2027-01</x:v>
      </x:c>
      <x:c r="T77" s="2" t="str">
        <x:v>2027-06</x:v>
      </x:c>
      <x:c r="U77" s="2" t="str">
        <x:v>无</x:v>
      </x:c>
      <x:c r="V77" s="2" t="str">
        <x:v>无</x:v>
      </x:c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 t="str">
        <x:v>电话费</x:v>
      </x:c>
      <x:c r="C78" s="3" t="n">
        <x:f>ROUND(C278*C398,2)</x:f>
        <x:v>282.52</x:v>
      </x:c>
      <x:c r="D78" s="3" t="n">
        <x:f>ROUND(D278*D398,2)</x:f>
        <x:v>386.08</x:v>
      </x:c>
      <x:c r="E78" s="3" t="n">
        <x:f>ROUND(E278*E398,2)</x:f>
        <x:v>86.73</x:v>
      </x:c>
      <x:c r="F78" s="3" t="n">
        <x:f>ROUND(F278*F398,2)</x:f>
        <x:v>157.2</x:v>
      </x:c>
      <x:c r="G78" s="3" t="n">
        <x:f>ROUND(G278*G398,2)</x:f>
        <x:v>214.03</x:v>
      </x:c>
      <x:c r="H78" s="3" t="n">
        <x:f>ROUND(H278*H398,2)</x:f>
        <x:v>201.15</x:v>
      </x:c>
      <x:c r="I78" s="3" t="n">
        <x:f>ROUND(I278*I398,2)</x:f>
        <x:v>214.66</x:v>
      </x:c>
      <x:c r="J78" s="3" t="n">
        <x:f>ROUND(J278*J398,2)</x:f>
        <x:v>125.56</x:v>
      </x:c>
      <x:c r="K78" s="3" t="n">
        <x:f>ROUND(K278*K398,2)</x:f>
        <x:v>131.89</x:v>
      </x:c>
      <x:c r="L78" s="3" t="n">
        <x:f>ROUND(L278*L398,2)</x:f>
        <x:v>236.62</x:v>
      </x:c>
      <x:c r="M78" s="3" t="n">
        <x:f>ROUND(M278*M398,2)</x:f>
        <x:v>357.29</x:v>
      </x:c>
      <x:c r="N78" s="3" t="n">
        <x:f>ROUND(N278*N398,2)</x:f>
        <x:v>182.91</x:v>
      </x:c>
      <x:c r="O78" s="3" t="n">
        <x:f>SUM(C78:N78)</x:f>
        <x:v>2576.64</x:v>
      </x:c>
      <x:c r="P78" s="2" t="str">
        <x:v>EXP2.018</x:v>
      </x:c>
      <x:c r="Q78" s="2" t="str">
        <x:v>演示占位-v1</x:v>
      </x:c>
      <x:c r="R78" s="2" t="str">
        <x:v>模拟权责发生制</x:v>
      </x:c>
      <x:c r="S78" s="2" t="str">
        <x:v>2027-01</x:v>
      </x:c>
      <x:c r="T78" s="2" t="str">
        <x:v>2027-06</x:v>
      </x:c>
      <x:c r="U78" s="2" t="str">
        <x:v>无</x:v>
      </x:c>
      <x:c r="V78" s="2" t="str">
        <x:v>无</x:v>
      </x:c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 t="str">
        <x:v>快递费</x:v>
      </x:c>
      <x:c r="C79" s="3" t="n">
        <x:f>ROUND(C279*C399,2)</x:f>
        <x:v>54</x:v>
      </x:c>
      <x:c r="D79" s="3" t="n">
        <x:f>ROUND(D279*D399,2)</x:f>
        <x:v>60.95</x:v>
      </x:c>
      <x:c r="E79" s="3" t="n">
        <x:f>ROUND(E279*E399,2)</x:f>
        <x:v>272.21</x:v>
      </x:c>
      <x:c r="F79" s="3" t="n">
        <x:f>ROUND(F279*F399,2)</x:f>
        <x:v>97.98</x:v>
      </x:c>
      <x:c r="G79" s="3" t="n">
        <x:f>ROUND(G279*G399,2)</x:f>
        <x:v>60.77</x:v>
      </x:c>
      <x:c r="H79" s="3" t="n">
        <x:f>ROUND(H279*H399,2)</x:f>
        <x:v>60.43</x:v>
      </x:c>
      <x:c r="I79" s="3" t="n">
        <x:f>ROUND(I279*I399,2)</x:f>
        <x:v>206.97</x:v>
      </x:c>
      <x:c r="J79" s="3" t="n">
        <x:f>ROUND(J279*J399,2)</x:f>
        <x:v>392.81</x:v>
      </x:c>
      <x:c r="K79" s="3" t="n">
        <x:f>ROUND(K279*K399,2)</x:f>
        <x:v>131.3</x:v>
      </x:c>
      <x:c r="L79" s="3" t="n">
        <x:f>ROUND(L279*L399,2)</x:f>
        <x:v>243.19</x:v>
      </x:c>
      <x:c r="M79" s="3" t="n">
        <x:f>ROUND(M279*M399,2)</x:f>
        <x:v>536.02</x:v>
      </x:c>
      <x:c r="N79" s="3" t="n">
        <x:f>ROUND(N279*N399,2)</x:f>
        <x:v>80.86</x:v>
      </x:c>
      <x:c r="O79" s="3" t="n">
        <x:f>SUM(C79:N79)</x:f>
        <x:v>2197.4900000000002</x:v>
      </x:c>
      <x:c r="P79" s="2" t="str">
        <x:v>EXP2.019</x:v>
      </x:c>
      <x:c r="Q79" s="2" t="str">
        <x:v>演示占位-v1</x:v>
      </x:c>
      <x:c r="R79" s="2" t="str">
        <x:v>模拟权责发生制</x:v>
      </x:c>
      <x:c r="S79" s="2" t="str">
        <x:v>2027-01</x:v>
      </x:c>
      <x:c r="T79" s="2" t="str">
        <x:v>2027-06</x:v>
      </x:c>
      <x:c r="U79" s="2" t="str">
        <x:v>无</x:v>
      </x:c>
      <x:c r="V79" s="2" t="str">
        <x:v>无</x:v>
      </x:c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折旧及摊销</x:v>
      </x:c>
      <x:c r="C80" s="3" t="n">
        <x:f>ROUND('摊销明细'!C93/3,2)</x:f>
        <x:v>511.11</x:v>
      </x:c>
      <x:c r="D80" s="3" t="n">
        <x:f>ROUND('摊销明细'!D93/3,2)</x:f>
        <x:v>511.11</x:v>
      </x:c>
      <x:c r="E80" s="3" t="n">
        <x:f>ROUND('摊销明细'!E93/3,2)</x:f>
        <x:v>511.11</x:v>
      </x:c>
      <x:c r="F80" s="3" t="n">
        <x:f>ROUND('摊销明细'!F93/3,2)</x:f>
        <x:v>511.11</x:v>
      </x:c>
      <x:c r="G80" s="3" t="n">
        <x:f>ROUND('摊销明细'!G93/3,2)</x:f>
        <x:v>511.11</x:v>
      </x:c>
      <x:c r="H80" s="3" t="n">
        <x:f>ROUND('摊销明细'!H93/3,2)</x:f>
        <x:v>511.11</x:v>
      </x:c>
      <x:c r="I80" s="3" t="n">
        <x:f>ROUND('摊销明细'!I93/3,2)</x:f>
        <x:v>511.11</x:v>
      </x:c>
      <x:c r="J80" s="3" t="n">
        <x:f>ROUND('摊销明细'!J93/3,2)</x:f>
        <x:v>511.11</x:v>
      </x:c>
      <x:c r="K80" s="3" t="n">
        <x:f>ROUND('摊销明细'!K93/3,2)</x:f>
        <x:v>511.11</x:v>
      </x:c>
      <x:c r="L80" s="3" t="n">
        <x:f>ROUND('摊销明细'!L93/3,2)</x:f>
        <x:v>511.11</x:v>
      </x:c>
      <x:c r="M80" s="3" t="n">
        <x:f>ROUND('摊销明细'!M93/3,2)</x:f>
        <x:v>511.11</x:v>
      </x:c>
      <x:c r="N80" s="3" t="n">
        <x:f>ROUND('摊销明细'!N93/3,2)</x:f>
        <x:v>511.11</x:v>
      </x:c>
      <x:c r="O80" s="3" t="n">
        <x:f>SUM(C80:N80)</x:f>
        <x:v>6133.32</x:v>
      </x:c>
      <x:c r="P80" s="2" t="str">
        <x:v>EXP2.020</x:v>
      </x:c>
      <x:c r="Q80" s="2" t="str">
        <x:v>演示占位-v1</x:v>
      </x:c>
      <x:c r="R80" s="2" t="str">
        <x:v>模拟权责发生制</x:v>
      </x:c>
      <x:c r="S80" s="2" t="str">
        <x:v>2027-01</x:v>
      </x:c>
      <x:c r="T80" s="2" t="str">
        <x:v>2027-06</x:v>
      </x:c>
      <x:c r="U80" s="2" t="str">
        <x:v>无</x:v>
      </x:c>
      <x:c r="V80" s="2" t="str">
        <x:v>无</x:v>
      </x:c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 t="str">
        <x:v>机票火车票</x:v>
      </x:c>
      <x:c r="C81" s="3" t="n">
        <x:f>ROUND(C281*C401,2)</x:f>
        <x:v>254.34</x:v>
      </x:c>
      <x:c r="D81" s="3" t="n">
        <x:f>ROUND(D281*D401,2)</x:f>
        <x:v>222.64</x:v>
      </x:c>
      <x:c r="E81" s="3" t="n">
        <x:f>ROUND(E281*E401,2)</x:f>
        <x:v>291.26</x:v>
      </x:c>
      <x:c r="F81" s="3" t="n">
        <x:f>ROUND(F281*F401,2)</x:f>
        <x:v>248.25</x:v>
      </x:c>
      <x:c r="G81" s="3" t="n">
        <x:f>ROUND(G281*G401,2)</x:f>
        <x:v>161.26</x:v>
      </x:c>
      <x:c r="H81" s="3" t="n">
        <x:f>ROUND(H281*H401,2)</x:f>
        <x:v>338.28</x:v>
      </x:c>
      <x:c r="I81" s="3" t="n">
        <x:f>ROUND(I281*I401,2)</x:f>
        <x:v>163.57</x:v>
      </x:c>
      <x:c r="J81" s="3" t="n">
        <x:f>ROUND(J281*J401,2)</x:f>
        <x:v>339.61</x:v>
      </x:c>
      <x:c r="K81" s="3" t="n">
        <x:f>ROUND(K281*K401,2)</x:f>
        <x:v>276.95</x:v>
      </x:c>
      <x:c r="L81" s="3" t="n">
        <x:f>ROUND(L281*L401,2)</x:f>
        <x:v>458.78</x:v>
      </x:c>
      <x:c r="M81" s="3" t="n">
        <x:f>ROUND(M281*M401,2)</x:f>
        <x:v>124.62</x:v>
      </x:c>
      <x:c r="N81" s="3" t="n">
        <x:f>ROUND(N281*N401,2)</x:f>
        <x:v>178.05</x:v>
      </x:c>
      <x:c r="O81" s="3" t="n">
        <x:f>SUM(C81:N81)</x:f>
        <x:v>3057.6099999999997</x:v>
      </x:c>
      <x:c r="P81" s="2" t="str">
        <x:v>EXP2.021</x:v>
      </x:c>
      <x:c r="Q81" s="2" t="str">
        <x:v>演示占位-v1</x:v>
      </x:c>
      <x:c r="R81" s="2" t="str">
        <x:v>模拟权责发生制</x:v>
      </x:c>
      <x:c r="S81" s="2" t="str">
        <x:v>2027-01</x:v>
      </x:c>
      <x:c r="T81" s="2" t="str">
        <x:v>2027-06</x:v>
      </x:c>
      <x:c r="U81" s="2" t="str">
        <x:v>无</x:v>
      </x:c>
      <x:c r="V81" s="2" t="str">
        <x:v>无</x:v>
      </x:c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 t="str">
        <x:v>住宿费</x:v>
      </x:c>
      <x:c r="C82" s="3" t="n">
        <x:f>ROUND(C282*C402,2)</x:f>
        <x:v>444.65</x:v>
      </x:c>
      <x:c r="D82" s="3" t="n">
        <x:f>ROUND(D282*D402,2)</x:f>
        <x:v>211.56</x:v>
      </x:c>
      <x:c r="E82" s="3" t="n">
        <x:f>ROUND(E282*E402,2)</x:f>
        <x:v>187.16</x:v>
      </x:c>
      <x:c r="F82" s="3" t="n">
        <x:f>ROUND(F282*F402,2)</x:f>
        <x:v>99.95</x:v>
      </x:c>
      <x:c r="G82" s="3" t="n">
        <x:f>ROUND(G282*G402,2)</x:f>
        <x:v>509.49</x:v>
      </x:c>
      <x:c r="H82" s="3" t="n">
        <x:f>ROUND(H282*H402,2)</x:f>
        <x:v>145.61</x:v>
      </x:c>
      <x:c r="I82" s="3" t="n">
        <x:f>ROUND(I282*I402,2)</x:f>
        <x:v>163.89</x:v>
      </x:c>
      <x:c r="J82" s="3" t="n">
        <x:f>ROUND(J282*J402,2)</x:f>
        <x:v>151.25</x:v>
      </x:c>
      <x:c r="K82" s="3" t="n">
        <x:f>ROUND(K282*K402,2)</x:f>
        <x:v>145.74</x:v>
      </x:c>
      <x:c r="L82" s="3" t="n">
        <x:f>ROUND(L282*L402,2)</x:f>
        <x:v>528.69</x:v>
      </x:c>
      <x:c r="M82" s="3" t="n">
        <x:f>ROUND(M282*M402,2)</x:f>
        <x:v>394.24</x:v>
      </x:c>
      <x:c r="N82" s="3" t="n">
        <x:f>ROUND(N282*N402,2)</x:f>
        <x:v>225.57</x:v>
      </x:c>
      <x:c r="O82" s="3" t="n">
        <x:f>SUM(C82:N82)</x:f>
        <x:v>3207.8000000000006</x:v>
      </x:c>
      <x:c r="P82" s="2" t="str">
        <x:v>EXP2.022</x:v>
      </x:c>
      <x:c r="Q82" s="2" t="str">
        <x:v>演示占位-v1</x:v>
      </x:c>
      <x:c r="R82" s="2" t="str">
        <x:v>模拟权责发生制</x:v>
      </x:c>
      <x:c r="S82" s="2" t="str">
        <x:v>2027-01</x:v>
      </x:c>
      <x:c r="T82" s="2" t="str">
        <x:v>2027-06</x:v>
      </x:c>
      <x:c r="U82" s="2" t="str">
        <x:v>无</x:v>
      </x:c>
      <x:c r="V82" s="2" t="str">
        <x:v>无</x:v>
      </x:c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 t="str">
        <x:v>交通费</x:v>
      </x:c>
      <x:c r="C83" s="3" t="n">
        <x:f>ROUND(C283*C403,2)</x:f>
        <x:v>65.33</x:v>
      </x:c>
      <x:c r="D83" s="3" t="n">
        <x:f>ROUND(D283*D403,2)</x:f>
        <x:v>47.2</x:v>
      </x:c>
      <x:c r="E83" s="3" t="n">
        <x:f>ROUND(E283*E403,2)</x:f>
        <x:v>286.56</x:v>
      </x:c>
      <x:c r="F83" s="3" t="n">
        <x:f>ROUND(F283*F403,2)</x:f>
        <x:v>516.46</x:v>
      </x:c>
      <x:c r="G83" s="3" t="n">
        <x:f>ROUND(G283*G403,2)</x:f>
        <x:v>300.88</x:v>
      </x:c>
      <x:c r="H83" s="3" t="n">
        <x:f>ROUND(H283*H403,2)</x:f>
        <x:v>211.59</x:v>
      </x:c>
      <x:c r="I83" s="3" t="n">
        <x:f>ROUND(I283*I403,2)</x:f>
        <x:v>303.71</x:v>
      </x:c>
      <x:c r="J83" s="3" t="n">
        <x:f>ROUND(J283*J403,2)</x:f>
        <x:v>415</x:v>
      </x:c>
      <x:c r="K83" s="3" t="n">
        <x:f>ROUND(K283*K403,2)</x:f>
        <x:v>460.28</x:v>
      </x:c>
      <x:c r="L83" s="3" t="n">
        <x:f>ROUND(L283*L403,2)</x:f>
        <x:v>266.9</x:v>
      </x:c>
      <x:c r="M83" s="3" t="n">
        <x:f>ROUND(M283*M403,2)</x:f>
        <x:v>179.11</x:v>
      </x:c>
      <x:c r="N83" s="3" t="n">
        <x:f>ROUND(N283*N403,2)</x:f>
        <x:v>104.84</x:v>
      </x:c>
      <x:c r="O83" s="3" t="n">
        <x:f>SUM(C83:N83)</x:f>
        <x:v>3157.8600000000006</x:v>
      </x:c>
      <x:c r="P83" s="2" t="str">
        <x:v>EXP2.023</x:v>
      </x:c>
      <x:c r="Q83" s="2" t="str">
        <x:v>演示占位-v1</x:v>
      </x:c>
      <x:c r="R83" s="2" t="str">
        <x:v>模拟权责发生制</x:v>
      </x:c>
      <x:c r="S83" s="2" t="str">
        <x:v>2027-01</x:v>
      </x:c>
      <x:c r="T83" s="2" t="str">
        <x:v>2027-06</x:v>
      </x:c>
      <x:c r="U83" s="2" t="str">
        <x:v>无</x:v>
      </x:c>
      <x:c r="V83" s="2" t="str">
        <x:v>无</x:v>
      </x:c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 t="str">
        <x:v>差旅补贴</x:v>
      </x:c>
      <x:c r="C84" s="3" t="n">
        <x:f>ROUND(C284*C404,2)</x:f>
        <x:v>253.98</x:v>
      </x:c>
      <x:c r="D84" s="3" t="n">
        <x:f>ROUND(D284*D404,2)</x:f>
        <x:v>330.92</x:v>
      </x:c>
      <x:c r="E84" s="3" t="n">
        <x:f>ROUND(E284*E404,2)</x:f>
        <x:v>349.75</x:v>
      </x:c>
      <x:c r="F84" s="3" t="n">
        <x:f>ROUND(F284*F404,2)</x:f>
        <x:v>116.01</x:v>
      </x:c>
      <x:c r="G84" s="3" t="n">
        <x:f>ROUND(G284*G404,2)</x:f>
        <x:v>272.9</x:v>
      </x:c>
      <x:c r="H84" s="3" t="n">
        <x:f>ROUND(H284*H404,2)</x:f>
        <x:v>46.24</x:v>
      </x:c>
      <x:c r="I84" s="3" t="n">
        <x:f>ROUND(I284*I404,2)</x:f>
        <x:v>267.37</x:v>
      </x:c>
      <x:c r="J84" s="3" t="n">
        <x:f>ROUND(J284*J404,2)</x:f>
        <x:v>163.84</x:v>
      </x:c>
      <x:c r="K84" s="3" t="n">
        <x:f>ROUND(K284*K404,2)</x:f>
        <x:v>99.88</x:v>
      </x:c>
      <x:c r="L84" s="3" t="n">
        <x:f>ROUND(L284*L404,2)</x:f>
        <x:v>273.89</x:v>
      </x:c>
      <x:c r="M84" s="3" t="n">
        <x:f>ROUND(M284*M404,2)</x:f>
        <x:v>165.76</x:v>
      </x:c>
      <x:c r="N84" s="3" t="n">
        <x:f>ROUND(N284*N404,2)</x:f>
        <x:v>139.06</x:v>
      </x:c>
      <x:c r="O84" s="3" t="n">
        <x:f>SUM(C84:N84)</x:f>
        <x:v>2479.6</x:v>
      </x:c>
      <x:c r="P84" s="2" t="str">
        <x:v>EXP2.024</x:v>
      </x:c>
      <x:c r="Q84" s="2" t="str">
        <x:v>演示占位-v1</x:v>
      </x:c>
      <x:c r="R84" s="2" t="str">
        <x:v>模拟权责发生制</x:v>
      </x:c>
      <x:c r="S84" s="2" t="str">
        <x:v>2027-01</x:v>
      </x:c>
      <x:c r="T84" s="2" t="str">
        <x:v>2027-06</x:v>
      </x:c>
      <x:c r="U84" s="2" t="str">
        <x:v>无</x:v>
      </x:c>
      <x:c r="V84" s="2" t="str">
        <x:v>无</x:v>
      </x:c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 t="str">
        <x:v>业务招待费</x:v>
      </x:c>
      <x:c r="C85" s="3" t="n">
        <x:f>ROUND(C285*C405,2)</x:f>
        <x:v>286.22</x:v>
      </x:c>
      <x:c r="D85" s="3" t="n">
        <x:f>ROUND(D285*D405,2)</x:f>
        <x:v>100.32</x:v>
      </x:c>
      <x:c r="E85" s="3" t="n">
        <x:f>ROUND(E285*E405,2)</x:f>
        <x:v>316.56</x:v>
      </x:c>
      <x:c r="F85" s="3" t="n">
        <x:f>ROUND(F285*F405,2)</x:f>
        <x:v>444.7</x:v>
      </x:c>
      <x:c r="G85" s="3" t="n">
        <x:f>ROUND(G285*G405,2)</x:f>
        <x:v>153.52</x:v>
      </x:c>
      <x:c r="H85" s="3" t="n">
        <x:f>ROUND(H285*H405,2)</x:f>
        <x:v>450.95</x:v>
      </x:c>
      <x:c r="I85" s="3" t="n">
        <x:f>ROUND(I285*I405,2)</x:f>
        <x:v>127.05</x:v>
      </x:c>
      <x:c r="J85" s="3" t="n">
        <x:f>ROUND(J285*J405,2)</x:f>
        <x:v>283</x:v>
      </x:c>
      <x:c r="K85" s="3" t="n">
        <x:f>ROUND(K285*K405,2)</x:f>
        <x:v>160.09</x:v>
      </x:c>
      <x:c r="L85" s="3" t="n">
        <x:f>ROUND(L285*L405,2)</x:f>
        <x:v>304.17</x:v>
      </x:c>
      <x:c r="M85" s="3" t="n">
        <x:f>ROUND(M285*M405,2)</x:f>
        <x:v>401.99</x:v>
      </x:c>
      <x:c r="N85" s="3" t="n">
        <x:f>ROUND(N285*N405,2)</x:f>
        <x:v>133.98</x:v>
      </x:c>
      <x:c r="O85" s="3" t="n">
        <x:f>SUM(C85:N85)</x:f>
        <x:v>3162.5499999999997</x:v>
      </x:c>
      <x:c r="P85" s="2" t="str">
        <x:v>EXP2.025</x:v>
      </x:c>
      <x:c r="Q85" s="2" t="str">
        <x:v>演示占位-v1</x:v>
      </x:c>
      <x:c r="R85" s="2" t="str">
        <x:v>模拟权责发生制</x:v>
      </x:c>
      <x:c r="S85" s="2" t="str">
        <x:v>2027-01</x:v>
      </x:c>
      <x:c r="T85" s="2" t="str">
        <x:v>2027-06</x:v>
      </x:c>
      <x:c r="U85" s="2" t="str">
        <x:v>无</x:v>
      </x:c>
      <x:c r="V85" s="2" t="str">
        <x:v>无</x:v>
      </x:c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 t="str">
        <x:v>市内交通费</x:v>
      </x:c>
      <x:c r="C86" s="3" t="n">
        <x:f>ROUND(C286*C406,2)</x:f>
        <x:v>431.92</x:v>
      </x:c>
      <x:c r="D86" s="3" t="n">
        <x:f>ROUND(D286*D406,2)</x:f>
        <x:v>275.31</x:v>
      </x:c>
      <x:c r="E86" s="3" t="n">
        <x:f>ROUND(E286*E406,2)</x:f>
        <x:v>204.37</x:v>
      </x:c>
      <x:c r="F86" s="3" t="n">
        <x:f>ROUND(F286*F406,2)</x:f>
        <x:v>313.67</x:v>
      </x:c>
      <x:c r="G86" s="3" t="n">
        <x:f>ROUND(G286*G406,2)</x:f>
        <x:v>180.01</x:v>
      </x:c>
      <x:c r="H86" s="3" t="n">
        <x:f>ROUND(H286*H406,2)</x:f>
        <x:v>424.78</x:v>
      </x:c>
      <x:c r="I86" s="3" t="n">
        <x:f>ROUND(I286*I406,2)</x:f>
        <x:v>498.32</x:v>
      </x:c>
      <x:c r="J86" s="3" t="n">
        <x:f>ROUND(J286*J406,2)</x:f>
        <x:v>152.22</x:v>
      </x:c>
      <x:c r="K86" s="3" t="n">
        <x:f>ROUND(K286*K406,2)</x:f>
        <x:v>174.09</x:v>
      </x:c>
      <x:c r="L86" s="3" t="n">
        <x:f>ROUND(L286*L406,2)</x:f>
        <x:v>89.45</x:v>
      </x:c>
      <x:c r="M86" s="3" t="n">
        <x:f>ROUND(M286*M406,2)</x:f>
        <x:v>355.54</x:v>
      </x:c>
      <x:c r="N86" s="3" t="n">
        <x:f>ROUND(N286*N406,2)</x:f>
        <x:v>329.32</x:v>
      </x:c>
      <x:c r="O86" s="3" t="n">
        <x:f>SUM(C86:N86)</x:f>
        <x:v>3429</x:v>
      </x:c>
      <x:c r="P86" s="2" t="str">
        <x:v>EXP2.026</x:v>
      </x:c>
      <x:c r="Q86" s="2" t="str">
        <x:v>演示占位-v1</x:v>
      </x:c>
      <x:c r="R86" s="2" t="str">
        <x:v>模拟权责发生制</x:v>
      </x:c>
      <x:c r="S86" s="2" t="str">
        <x:v>2027-01</x:v>
      </x:c>
      <x:c r="T86" s="2" t="str">
        <x:v>2027-06</x:v>
      </x:c>
      <x:c r="U86" s="2" t="str">
        <x:v>无</x:v>
      </x:c>
      <x:c r="V86" s="2" t="str">
        <x:v>无</x:v>
      </x:c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 t="str">
        <x:v>调研费用</x:v>
      </x:c>
      <x:c r="C87" s="3" t="n">
        <x:f>ROUND(C287*C407,2)</x:f>
        <x:v>275.77</x:v>
      </x:c>
      <x:c r="D87" s="3" t="n">
        <x:f>ROUND(D287*D407,2)</x:f>
        <x:v>196.41</x:v>
      </x:c>
      <x:c r="E87" s="3" t="n">
        <x:f>ROUND(E287*E407,2)</x:f>
        <x:v>206.33</x:v>
      </x:c>
      <x:c r="F87" s="3" t="n">
        <x:f>ROUND(F287*F407,2)</x:f>
        <x:v>189.6</x:v>
      </x:c>
      <x:c r="G87" s="3" t="n">
        <x:f>ROUND(G287*G407,2)</x:f>
        <x:v>274.31</x:v>
      </x:c>
      <x:c r="H87" s="3" t="n">
        <x:f>ROUND(H287*H407,2)</x:f>
        <x:v>207.32</x:v>
      </x:c>
      <x:c r="I87" s="3" t="n">
        <x:f>ROUND(I287*I407,2)</x:f>
        <x:v>117.29</x:v>
      </x:c>
      <x:c r="J87" s="3" t="n">
        <x:f>ROUND(J287*J407,2)</x:f>
        <x:v>252.21</x:v>
      </x:c>
      <x:c r="K87" s="3" t="n">
        <x:f>ROUND(K287*K407,2)</x:f>
        <x:v>73.33</x:v>
      </x:c>
      <x:c r="L87" s="3" t="n">
        <x:f>ROUND(L287*L407,2)</x:f>
        <x:v>188.29</x:v>
      </x:c>
      <x:c r="M87" s="3" t="n">
        <x:f>ROUND(M287*M407,2)</x:f>
        <x:v>145.96</x:v>
      </x:c>
      <x:c r="N87" s="3" t="n">
        <x:f>ROUND(N287*N407,2)</x:f>
        <x:v>451.36</x:v>
      </x:c>
      <x:c r="O87" s="3" t="n">
        <x:f>SUM(C87:N87)</x:f>
        <x:v>2578.18</x:v>
      </x:c>
      <x:c r="P87" s="2" t="str">
        <x:v>EXP2.027</x:v>
      </x:c>
      <x:c r="Q87" s="2" t="str">
        <x:v>演示占位-v1</x:v>
      </x:c>
      <x:c r="R87" s="2" t="str">
        <x:v>模拟权责发生制</x:v>
      </x:c>
      <x:c r="S87" s="2" t="str">
        <x:v>2027-01</x:v>
      </x:c>
      <x:c r="T87" s="2" t="str">
        <x:v>2027-06</x:v>
      </x:c>
      <x:c r="U87" s="2" t="str">
        <x:v>无</x:v>
      </x:c>
      <x:c r="V87" s="2" t="str">
        <x:v>无</x:v>
      </x:c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 t="str">
        <x:v>手续费</x:v>
      </x:c>
      <x:c r="C88" s="3" t="n">
        <x:f>ROUND(C288*C408,2)</x:f>
        <x:v>314.62</x:v>
      </x:c>
      <x:c r="D88" s="3" t="n">
        <x:f>ROUND(D288*D408,2)</x:f>
        <x:v>199.48</x:v>
      </x:c>
      <x:c r="E88" s="3" t="n">
        <x:f>ROUND(E288*E408,2)</x:f>
        <x:v>150.05</x:v>
      </x:c>
      <x:c r="F88" s="3" t="n">
        <x:f>ROUND(F288*F408,2)</x:f>
        <x:v>428.38</x:v>
      </x:c>
      <x:c r="G88" s="3" t="n">
        <x:f>ROUND(G288*G408,2)</x:f>
        <x:v>213.43</x:v>
      </x:c>
      <x:c r="H88" s="3" t="n">
        <x:f>ROUND(H288*H408,2)</x:f>
        <x:v>224.31</x:v>
      </x:c>
      <x:c r="I88" s="3" t="n">
        <x:f>ROUND(I288*I408,2)</x:f>
        <x:v>85.08</x:v>
      </x:c>
      <x:c r="J88" s="3" t="n">
        <x:f>ROUND(J288*J408,2)</x:f>
        <x:v>222.95</x:v>
      </x:c>
      <x:c r="K88" s="3" t="n">
        <x:f>ROUND(K288*K408,2)</x:f>
        <x:v>212.44</x:v>
      </x:c>
      <x:c r="L88" s="3" t="n">
        <x:f>ROUND(L288*L408,2)</x:f>
        <x:v>434.58</x:v>
      </x:c>
      <x:c r="M88" s="3" t="n">
        <x:f>ROUND(M288*M408,2)</x:f>
        <x:v>238.88</x:v>
      </x:c>
      <x:c r="N88" s="3" t="n">
        <x:f>ROUND(N288*N408,2)</x:f>
        <x:v>258.86</x:v>
      </x:c>
      <x:c r="O88" s="3" t="n">
        <x:f>SUM(C88:N88)</x:f>
        <x:v>2983.0600000000004</x:v>
      </x:c>
      <x:c r="P88" s="2" t="str">
        <x:v>EXP2.028</x:v>
      </x:c>
      <x:c r="Q88" s="2" t="str">
        <x:v>演示占位-v1</x:v>
      </x:c>
      <x:c r="R88" s="2" t="str">
        <x:v>模拟权责发生制</x:v>
      </x:c>
      <x:c r="S88" s="2" t="str">
        <x:v>2027-01</x:v>
      </x:c>
      <x:c r="T88" s="2" t="str">
        <x:v>2027-06</x:v>
      </x:c>
      <x:c r="U88" s="2" t="str">
        <x:v>无</x:v>
      </x:c>
      <x:c r="V88" s="2" t="str">
        <x:v>无</x:v>
      </x:c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 t="str">
        <x:v>利息收入</x:v>
      </x:c>
      <x:c r="C89" s="3" t="n">
        <x:f>0</x:f>
        <x:v>0</x:v>
      </x:c>
      <x:c r="D89" s="3" t="n">
        <x:f>0</x:f>
        <x:v>0</x:v>
      </x:c>
      <x:c r="E89" s="3" t="n">
        <x:f>0</x:f>
        <x:v>0</x:v>
      </x:c>
      <x:c r="F89" s="3" t="n">
        <x:f>0</x:f>
        <x:v>0</x:v>
      </x:c>
      <x:c r="G89" s="3" t="n">
        <x:f>0</x:f>
        <x:v>0</x:v>
      </x:c>
      <x:c r="H89" s="3" t="n">
        <x:f>0</x:f>
        <x:v>0</x:v>
      </x:c>
      <x:c r="I89" s="3" t="n">
        <x:f>0</x:f>
        <x:v>0</x:v>
      </x:c>
      <x:c r="J89" s="3" t="n">
        <x:f>0</x:f>
        <x:v>0</x:v>
      </x:c>
      <x:c r="K89" s="3" t="n">
        <x:f>0</x:f>
        <x:v>0</x:v>
      </x:c>
      <x:c r="L89" s="3" t="n">
        <x:f>0</x:f>
        <x:v>0</x:v>
      </x:c>
      <x:c r="M89" s="3" t="n">
        <x:f>0</x:f>
        <x:v>0</x:v>
      </x:c>
      <x:c r="N89" s="3" t="n">
        <x:f>0</x:f>
        <x:v>0</x:v>
      </x:c>
      <x:c r="O89" s="3" t="n">
        <x:f>SUM(C89:N89)</x:f>
        <x:v>0</x:v>
      </x:c>
      <x:c r="P89" s="2" t="str">
        <x:v>EXP2.029</x:v>
      </x:c>
      <x:c r="Q89" s="2" t="str">
        <x:v>演示占位-v1</x:v>
      </x:c>
      <x:c r="R89" s="2" t="str">
        <x:v>模拟权责发生制</x:v>
      </x:c>
      <x:c r="S89" s="2" t="str">
        <x:v>2027-01</x:v>
      </x:c>
      <x:c r="T89" s="2" t="str">
        <x:v>2027-06</x:v>
      </x:c>
      <x:c r="U89" s="2" t="str">
        <x:v>无</x:v>
      </x:c>
      <x:c r="V89" s="2" t="str">
        <x:v>无</x:v>
      </x:c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利息支出</x:v>
      </x:c>
      <x:c r="C90" s="6" t="n">
        <x:f>ROUND(C290*C410,2)</x:f>
        <x:v>303.15</x:v>
      </x:c>
      <x:c r="D90" s="6" t="n">
        <x:f>ROUND(D290*D410,2)</x:f>
        <x:v>151.27</x:v>
      </x:c>
      <x:c r="E90" s="6" t="n">
        <x:f>ROUND(E290*E410,2)</x:f>
        <x:v>114.23</x:v>
      </x:c>
      <x:c r="F90" s="6" t="n">
        <x:f>ROUND(F290*F410,2)</x:f>
        <x:v>289.23</x:v>
      </x:c>
      <x:c r="G90" s="6" t="n">
        <x:f>ROUND(G290*G410,2)</x:f>
        <x:v>357.62</x:v>
      </x:c>
      <x:c r="H90" s="6" t="n">
        <x:f>ROUND(H290*H410,2)</x:f>
        <x:v>363.5</x:v>
      </x:c>
      <x:c r="I90" s="6" t="n">
        <x:f>ROUND(I290*I410,2)</x:f>
        <x:v>206.79</x:v>
      </x:c>
      <x:c r="J90" s="6" t="n">
        <x:f>ROUND(J290*J410,2)</x:f>
        <x:v>146.03</x:v>
      </x:c>
      <x:c r="K90" s="6" t="n">
        <x:f>ROUND(K290*K410,2)</x:f>
        <x:v>82.18</x:v>
      </x:c>
      <x:c r="L90" s="6" t="n">
        <x:f>ROUND(L290*L410,2)</x:f>
        <x:v>418.54</x:v>
      </x:c>
      <x:c r="M90" s="6" t="n">
        <x:f>ROUND(M290*M410,2)</x:f>
        <x:v>372.4</x:v>
      </x:c>
      <x:c r="N90" s="6" t="n">
        <x:f>ROUND(N290*N410,2)</x:f>
        <x:v>105</x:v>
      </x:c>
      <x:c r="O90" s="6" t="n">
        <x:f>SUM(C90:N90)</x:f>
        <x:v>2909.94</x:v>
      </x:c>
      <x:c r="P90" s="2" t="str">
        <x:v>EXP2.030</x:v>
      </x:c>
      <x:c r="Q90" s="2" t="str">
        <x:v>演示占位-v1</x:v>
      </x:c>
      <x:c r="R90" s="2" t="str">
        <x:v>模拟权责发生制</x:v>
      </x:c>
      <x:c r="S90" s="2" t="str">
        <x:v>2027-01</x:v>
      </x:c>
      <x:c r="T90" s="2" t="str">
        <x:v>2027-06</x:v>
      </x:c>
      <x:c r="U90" s="2" t="str">
        <x:v>无</x:v>
      </x:c>
      <x:c r="V90" s="2" t="str">
        <x:v>无</x:v>
      </x:c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车船税</x:v>
      </x:c>
      <x:c r="C91" s="3" t="n">
        <x:f>ROUND(C291*C411,2)</x:f>
        <x:v>147.85</x:v>
      </x:c>
      <x:c r="D91" s="3" t="n">
        <x:f>ROUND(D291*D411,2)</x:f>
        <x:v>449.97</x:v>
      </x:c>
      <x:c r="E91" s="3" t="n">
        <x:f>ROUND(E291*E411,2)</x:f>
        <x:v>530.34</x:v>
      </x:c>
      <x:c r="F91" s="3" t="n">
        <x:f>ROUND(F291*F411,2)</x:f>
        <x:v>123.98</x:v>
      </x:c>
      <x:c r="G91" s="3" t="n">
        <x:f>ROUND(G291*G411,2)</x:f>
        <x:v>251.32</x:v>
      </x:c>
      <x:c r="H91" s="3" t="n">
        <x:f>ROUND(H291*H411,2)</x:f>
        <x:v>58.25</x:v>
      </x:c>
      <x:c r="I91" s="3" t="n">
        <x:f>ROUND(I291*I411,2)</x:f>
        <x:v>99.7</x:v>
      </x:c>
      <x:c r="J91" s="3" t="n">
        <x:f>ROUND(J291*J411,2)</x:f>
        <x:v>215.92</x:v>
      </x:c>
      <x:c r="K91" s="3" t="n">
        <x:f>ROUND(K291*K411,2)</x:f>
        <x:v>377.04</x:v>
      </x:c>
      <x:c r="L91" s="3" t="n">
        <x:f>ROUND(L291*L411,2)</x:f>
        <x:v>271.21</x:v>
      </x:c>
      <x:c r="M91" s="3" t="n">
        <x:f>ROUND(M291*M411,2)</x:f>
        <x:v>450.02</x:v>
      </x:c>
      <x:c r="N91" s="3" t="n">
        <x:f>ROUND(N291*N411,2)</x:f>
        <x:v>321.31</x:v>
      </x:c>
      <x:c r="O91" s="3" t="n">
        <x:f>SUM(C91:N91)</x:f>
        <x:v>3296.9100000000003</x:v>
      </x:c>
      <x:c r="P91" s="2" t="str">
        <x:v>EXP2.031</x:v>
      </x:c>
      <x:c r="Q91" s="2" t="str">
        <x:v>演示占位-v1</x:v>
      </x:c>
      <x:c r="R91" s="2" t="str">
        <x:v>模拟权责发生制</x:v>
      </x:c>
      <x:c r="S91" s="2" t="str">
        <x:v>2027-01</x:v>
      </x:c>
      <x:c r="T91" s="2" t="str">
        <x:v>2027-06</x:v>
      </x:c>
      <x:c r="U91" s="2" t="str">
        <x:v>无</x:v>
      </x:c>
      <x:c r="V91" s="2" t="str">
        <x:v>无</x:v>
      </x:c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印花税</x:v>
      </x:c>
      <x:c r="C92" s="3" t="n">
        <x:f>ROUND(C292*C412,2)</x:f>
        <x:v>73.52</x:v>
      </x:c>
      <x:c r="D92" s="3" t="n">
        <x:f>ROUND(D292*D412,2)</x:f>
        <x:v>335.91</x:v>
      </x:c>
      <x:c r="E92" s="3" t="n">
        <x:f>ROUND(E292*E412,2)</x:f>
        <x:v>282.17</x:v>
      </x:c>
      <x:c r="F92" s="3" t="n">
        <x:f>ROUND(F292*F412,2)</x:f>
        <x:v>430.49</x:v>
      </x:c>
      <x:c r="G92" s="3" t="n">
        <x:f>ROUND(G292*G412,2)</x:f>
        <x:v>114.77</x:v>
      </x:c>
      <x:c r="H92" s="3" t="n">
        <x:f>ROUND(H292*H412,2)</x:f>
        <x:v>137.22</x:v>
      </x:c>
      <x:c r="I92" s="3" t="n">
        <x:f>ROUND(I292*I412,2)</x:f>
        <x:v>283.32</x:v>
      </x:c>
      <x:c r="J92" s="3" t="n">
        <x:f>ROUND(J292*J412,2)</x:f>
        <x:v>73.01</x:v>
      </x:c>
      <x:c r="K92" s="3" t="n">
        <x:f>ROUND(K292*K412,2)</x:f>
        <x:v>45.14</x:v>
      </x:c>
      <x:c r="L92" s="3" t="n">
        <x:f>ROUND(L292*L412,2)</x:f>
        <x:v>311.59</x:v>
      </x:c>
      <x:c r="M92" s="3" t="n">
        <x:f>ROUND(M292*M412,2)</x:f>
        <x:v>219.01</x:v>
      </x:c>
      <x:c r="N92" s="3" t="n">
        <x:f>ROUND(N292*N412,2)</x:f>
        <x:v>189.57</x:v>
      </x:c>
      <x:c r="O92" s="3" t="n">
        <x:f>SUM(C92:N92)</x:f>
        <x:v>2495.7200000000007</x:v>
      </x:c>
      <x:c r="P92" s="2" t="str">
        <x:v>EXP2.032</x:v>
      </x:c>
      <x:c r="Q92" s="2" t="str">
        <x:v>演示占位-v1</x:v>
      </x:c>
      <x:c r="R92" s="2" t="str">
        <x:v>模拟权责发生制</x:v>
      </x:c>
      <x:c r="S92" s="2" t="str">
        <x:v>2027-01</x:v>
      </x:c>
      <x:c r="T92" s="2" t="str">
        <x:v>2027-06</x:v>
      </x:c>
      <x:c r="U92" s="2" t="str">
        <x:v>无</x:v>
      </x:c>
      <x:c r="V92" s="2" t="str">
        <x:v>无</x:v>
      </x:c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其他</x:v>
      </x:c>
      <x:c r="C93" s="3" t="n">
        <x:f>ROUND(C293*C413,2)</x:f>
        <x:v>163.14</x:v>
      </x:c>
      <x:c r="D93" s="3" t="n">
        <x:f>ROUND(D293*D413,2)</x:f>
        <x:v>328.32</x:v>
      </x:c>
      <x:c r="E93" s="3" t="n">
        <x:f>ROUND(E293*E413,2)</x:f>
        <x:v>301.1</x:v>
      </x:c>
      <x:c r="F93" s="3" t="n">
        <x:f>ROUND(F293*F413,2)</x:f>
        <x:v>180.3</x:v>
      </x:c>
      <x:c r="G93" s="3" t="n">
        <x:f>ROUND(G293*G413,2)</x:f>
        <x:v>363.13</x:v>
      </x:c>
      <x:c r="H93" s="3" t="n">
        <x:f>ROUND(H293*H413,2)</x:f>
        <x:v>377.74</x:v>
      </x:c>
      <x:c r="I93" s="3" t="n">
        <x:f>ROUND(I293*I413,2)</x:f>
        <x:v>305.38</x:v>
      </x:c>
      <x:c r="J93" s="3" t="n">
        <x:f>ROUND(J293*J413,2)</x:f>
        <x:v>232.81</x:v>
      </x:c>
      <x:c r="K93" s="3" t="n">
        <x:f>ROUND(K293*K413,2)</x:f>
        <x:v>123.39</x:v>
      </x:c>
      <x:c r="L93" s="3" t="n">
        <x:f>ROUND(L293*L413,2)</x:f>
        <x:v>116.13</x:v>
      </x:c>
      <x:c r="M93" s="3" t="n">
        <x:f>ROUND(M293*M413,2)</x:f>
        <x:v>113.7</x:v>
      </x:c>
      <x:c r="N93" s="3" t="n">
        <x:f>ROUND(N293*N413,2)</x:f>
        <x:v>137.51</x:v>
      </x:c>
      <x:c r="O93" s="3" t="n">
        <x:f>SUM(C93:N93)</x:f>
        <x:v>2742.6499999999996</x:v>
      </x:c>
      <x:c r="P93" s="2" t="str">
        <x:v>EXP2.033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 t="str">
        <x:v>合计</x:v>
      </x:c>
      <x:c r="B94" s="2"/>
      <x:c r="C94" s="3" t="n">
        <x:f>SUM(C64:C93)</x:f>
        <x:v>7564.450000000001</x:v>
      </x:c>
      <x:c r="D94" s="3" t="n">
        <x:f>SUM(D64:D93)</x:f>
        <x:v>6895.53</x:v>
      </x:c>
      <x:c r="E94" s="3" t="n">
        <x:f>SUM(E64:E93)</x:f>
        <x:v>7118.600000000001</x:v>
      </x:c>
      <x:c r="F94" s="3" t="n">
        <x:f>SUM(F64:F93)</x:f>
        <x:v>7918.04</x:v>
      </x:c>
      <x:c r="G94" s="3" t="n">
        <x:f>SUM(G64:G93)</x:f>
        <x:v>7174.200000000002</x:v>
      </x:c>
      <x:c r="H94" s="3" t="n">
        <x:f>SUM(H64:H93)</x:f>
        <x:v>7250.269999999999</x:v>
      </x:c>
      <x:c r="I94" s="3" t="n">
        <x:f>SUM(I64:I93)</x:f>
        <x:v>6356.73</x:v>
      </x:c>
      <x:c r="J94" s="3" t="n">
        <x:f>SUM(J64:J93)</x:f>
        <x:v>7138.65</x:v>
      </x:c>
      <x:c r="K94" s="3" t="n">
        <x:f>SUM(K64:K93)</x:f>
        <x:v>6990.31</x:v>
      </x:c>
      <x:c r="L94" s="3" t="n">
        <x:f>SUM(L64:L93)</x:f>
        <x:v>8080.33</x:v>
      </x:c>
      <x:c r="M94" s="3" t="n">
        <x:f>SUM(M64:M93)</x:f>
        <x:v>7283.7699999999995</x:v>
      </x:c>
      <x:c r="N94" s="3" t="n">
        <x:f>SUM(N64:N93)</x:f>
        <x:v>6511.099999999999</x:v>
      </x:c>
      <x:c r="O94" s="3" t="n">
        <x:f>SUM(C94:N94)</x:f>
        <x:v>86281.98000000001</x:v>
      </x:c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59.54</x:v>
      </x:c>
      <x:c r="D204" s="4" t="n">
        <x:v>36.04</x:v>
      </x:c>
      <x:c r="E204" s="4" t="n">
        <x:v>29.06</x:v>
      </x:c>
      <x:c r="F204" s="4" t="n">
        <x:v>52.08</x:v>
      </x:c>
      <x:c r="G204" s="4" t="n">
        <x:v>17.62</x:v>
      </x:c>
      <x:c r="H204" s="4" t="n">
        <x:v>59.89</x:v>
      </x:c>
      <x:c r="I204" s="4" t="n">
        <x:v>40.42</x:v>
      </x:c>
      <x:c r="J204" s="4" t="n">
        <x:v>28.21</x:v>
      </x:c>
      <x:c r="K204" s="4" t="n">
        <x:v>61.39</x:v>
      </x:c>
      <x:c r="L204" s="4" t="n">
        <x:v>44.74</x:v>
      </x:c>
      <x:c r="M204" s="4" t="n">
        <x:v>63.86</x:v>
      </x:c>
      <x:c r="N204" s="4" t="n">
        <x:v>57.63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66.97</x:v>
      </x:c>
      <x:c r="D205" s="4" t="n">
        <x:v>42.68</x:v>
      </x:c>
      <x:c r="E205" s="4" t="n">
        <x:v>58.21</x:v>
      </x:c>
      <x:c r="F205" s="4" t="n">
        <x:v>23.5</x:v>
      </x:c>
      <x:c r="G205" s="4" t="n">
        <x:v>57.12</x:v>
      </x:c>
      <x:c r="H205" s="4" t="n">
        <x:v>36.85</x:v>
      </x:c>
      <x:c r="I205" s="4" t="n">
        <x:v>33.6</x:v>
      </x:c>
      <x:c r="J205" s="4" t="n">
        <x:v>40.68</x:v>
      </x:c>
      <x:c r="K205" s="4" t="n">
        <x:v>45.26</x:v>
      </x:c>
      <x:c r="L205" s="4" t="n">
        <x:v>53.26</x:v>
      </x:c>
      <x:c r="M205" s="4" t="n">
        <x:v>36.22</x:v>
      </x:c>
      <x:c r="N205" s="4" t="n">
        <x:v>33.04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40.03</x:v>
      </x:c>
      <x:c r="D206" s="4" t="n">
        <x:v>25.71</x:v>
      </x:c>
      <x:c r="E206" s="4" t="n">
        <x:v>50.32</x:v>
      </x:c>
      <x:c r="F206" s="4" t="n">
        <x:v>44.33</x:v>
      </x:c>
      <x:c r="G206" s="4" t="n">
        <x:v>46.1</x:v>
      </x:c>
      <x:c r="H206" s="4" t="n">
        <x:v>54.35</x:v>
      </x:c>
      <x:c r="I206" s="4" t="n">
        <x:v>20.73</x:v>
      </x:c>
      <x:c r="J206" s="4" t="n">
        <x:v>26.82</x:v>
      </x:c>
      <x:c r="K206" s="4" t="n">
        <x:v>22.61</x:v>
      </x:c>
      <x:c r="L206" s="4" t="n">
        <x:v>45.68</x:v>
      </x:c>
      <x:c r="M206" s="4" t="n">
        <x:v>35.1</x:v>
      </x:c>
      <x:c r="N206" s="4" t="n">
        <x:v>38.34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31.59</x:v>
      </x:c>
      <x:c r="D207" s="4" t="n">
        <x:v>19.79</x:v>
      </x:c>
      <x:c r="E207" s="4" t="n">
        <x:v>27.85</x:v>
      </x:c>
      <x:c r="F207" s="4" t="n">
        <x:v>67.57</x:v>
      </x:c>
      <x:c r="G207" s="4" t="n">
        <x:v>19.46</x:v>
      </x:c>
      <x:c r="H207" s="4" t="n">
        <x:v>53.82</x:v>
      </x:c>
      <x:c r="I207" s="4" t="n">
        <x:v>62.71</x:v>
      </x:c>
      <x:c r="J207" s="4" t="n">
        <x:v>53.87</x:v>
      </x:c>
      <x:c r="K207" s="4" t="n">
        <x:v>60.48</x:v>
      </x:c>
      <x:c r="L207" s="4" t="n">
        <x:v>60.5</x:v>
      </x:c>
      <x:c r="M207" s="4" t="n">
        <x:v>67.46</x:v>
      </x:c>
      <x:c r="N207" s="4" t="n">
        <x:v>62.13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19.83</x:v>
      </x:c>
      <x:c r="D208" s="4" t="n">
        <x:v>63.61</x:v>
      </x:c>
      <x:c r="E208" s="4" t="n">
        <x:v>60.55</x:v>
      </x:c>
      <x:c r="F208" s="4" t="n">
        <x:v>35.04</x:v>
      </x:c>
      <x:c r="G208" s="4" t="n">
        <x:v>31.77</x:v>
      </x:c>
      <x:c r="H208" s="4" t="n">
        <x:v>55.14</x:v>
      </x:c>
      <x:c r="I208" s="4" t="n">
        <x:v>42.98</x:v>
      </x:c>
      <x:c r="J208" s="4" t="n">
        <x:v>52.27</x:v>
      </x:c>
      <x:c r="K208" s="4" t="n">
        <x:v>61.2</x:v>
      </x:c>
      <x:c r="L208" s="4" t="n">
        <x:v>55.26</x:v>
      </x:c>
      <x:c r="M208" s="4" t="n">
        <x:v>21.27</x:v>
      </x:c>
      <x:c r="N208" s="4" t="n">
        <x:v>58.98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50.3</x:v>
      </x:c>
      <x:c r="D209" s="4" t="n">
        <x:v>29.6</x:v>
      </x:c>
      <x:c r="E209" s="4" t="n">
        <x:v>54.07</x:v>
      </x:c>
      <x:c r="F209" s="4" t="n">
        <x:v>43.85</x:v>
      </x:c>
      <x:c r="G209" s="4" t="n">
        <x:v>43.99</x:v>
      </x:c>
      <x:c r="H209" s="4" t="n">
        <x:v>32.79</x:v>
      </x:c>
      <x:c r="I209" s="4" t="n">
        <x:v>40.96</x:v>
      </x:c>
      <x:c r="J209" s="4" t="n">
        <x:v>45.5</x:v>
      </x:c>
      <x:c r="K209" s="4" t="n">
        <x:v>38.02</x:v>
      </x:c>
      <x:c r="L209" s="4" t="n">
        <x:v>27.84</x:v>
      </x:c>
      <x:c r="M209" s="4" t="n">
        <x:v>40.65</x:v>
      </x:c>
      <x:c r="N209" s="4" t="n">
        <x:v>32.52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44.17</x:v>
      </x:c>
      <x:c r="D210" s="4" t="n">
        <x:v>50.65</x:v>
      </x:c>
      <x:c r="E210" s="4" t="n">
        <x:v>21.69</x:v>
      </x:c>
      <x:c r="F210" s="4" t="n">
        <x:v>64.42</x:v>
      </x:c>
      <x:c r="G210" s="4" t="n">
        <x:v>67.01</x:v>
      </x:c>
      <x:c r="H210" s="4" t="n">
        <x:v>54.07</x:v>
      </x:c>
      <x:c r="I210" s="4" t="n">
        <x:v>41.6</x:v>
      </x:c>
      <x:c r="J210" s="4" t="n">
        <x:v>17.63</x:v>
      </x:c>
      <x:c r="K210" s="4" t="n">
        <x:v>34.61</x:v>
      </x:c>
      <x:c r="L210" s="4" t="n">
        <x:v>51.61</x:v>
      </x:c>
      <x:c r="M210" s="4" t="n">
        <x:v>22.06</x:v>
      </x:c>
      <x:c r="N210" s="4" t="n">
        <x:v>66.97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33.56</x:v>
      </x:c>
      <x:c r="D211" s="4" t="n">
        <x:v>67.57</x:v>
      </x:c>
      <x:c r="E211" s="4" t="n">
        <x:v>27</x:v>
      </x:c>
      <x:c r="F211" s="4" t="n">
        <x:v>26.54</x:v>
      </x:c>
      <x:c r="G211" s="4" t="n">
        <x:v>21.14</x:v>
      </x:c>
      <x:c r="H211" s="4" t="n">
        <x:v>63.24</x:v>
      </x:c>
      <x:c r="I211" s="4" t="n">
        <x:v>20.9</x:v>
      </x:c>
      <x:c r="J211" s="4" t="n">
        <x:v>48.68</x:v>
      </x:c>
      <x:c r="K211" s="4" t="n">
        <x:v>30.45</x:v>
      </x:c>
      <x:c r="L211" s="4" t="n">
        <x:v>27.25</x:v>
      </x:c>
      <x:c r="M211" s="4" t="n">
        <x:v>28.83</x:v>
      </x:c>
      <x:c r="N211" s="4" t="n">
        <x:v>63.15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29.18</x:v>
      </x:c>
      <x:c r="D212" s="4" t="n">
        <x:v>21.97</x:v>
      </x:c>
      <x:c r="E212" s="4" t="n">
        <x:v>59.2</x:v>
      </x:c>
      <x:c r="F212" s="4" t="n">
        <x:v>40.86</x:v>
      </x:c>
      <x:c r="G212" s="4" t="n">
        <x:v>24.73</x:v>
      </x:c>
      <x:c r="H212" s="4" t="n">
        <x:v>19.24</x:v>
      </x:c>
      <x:c r="I212" s="4" t="n">
        <x:v>65.05</x:v>
      </x:c>
      <x:c r="J212" s="4" t="n">
        <x:v>30.58</x:v>
      </x:c>
      <x:c r="K212" s="4" t="n">
        <x:v>57.26</x:v>
      </x:c>
      <x:c r="L212" s="4" t="n">
        <x:v>38.59</x:v>
      </x:c>
      <x:c r="M212" s="4" t="n">
        <x:v>59.4</x:v>
      </x:c>
      <x:c r="N212" s="4" t="n">
        <x:v>63.43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37.76</x:v>
      </x:c>
      <x:c r="D213" s="4" t="n">
        <x:v>63.58</x:v>
      </x:c>
      <x:c r="E213" s="4" t="n">
        <x:v>37.65</x:v>
      </x:c>
      <x:c r="F213" s="4" t="n">
        <x:v>18.54</x:v>
      </x:c>
      <x:c r="G213" s="4" t="n">
        <x:v>53.86</x:v>
      </x:c>
      <x:c r="H213" s="4" t="n">
        <x:v>67.06</x:v>
      </x:c>
      <x:c r="I213" s="4" t="n">
        <x:v>36.61</x:v>
      </x:c>
      <x:c r="J213" s="4" t="n">
        <x:v>34.03</x:v>
      </x:c>
      <x:c r="K213" s="4" t="n">
        <x:v>49.93</x:v>
      </x:c>
      <x:c r="L213" s="4" t="n">
        <x:v>41.91</x:v>
      </x:c>
      <x:c r="M213" s="4" t="n">
        <x:v>50.88</x:v>
      </x:c>
      <x:c r="N213" s="4" t="n">
        <x:v>55.26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54.64</x:v>
      </x:c>
      <x:c r="D214" s="4" t="n">
        <x:v>55.88</x:v>
      </x:c>
      <x:c r="E214" s="4" t="n">
        <x:v>20.48</x:v>
      </x:c>
      <x:c r="F214" s="4" t="n">
        <x:v>38.83</x:v>
      </x:c>
      <x:c r="G214" s="4" t="n">
        <x:v>28.97</x:v>
      </x:c>
      <x:c r="H214" s="4" t="n">
        <x:v>21.03</x:v>
      </x:c>
      <x:c r="I214" s="4" t="n">
        <x:v>50.07</x:v>
      </x:c>
      <x:c r="J214" s="4" t="n">
        <x:v>54.84</x:v>
      </x:c>
      <x:c r="K214" s="4" t="n">
        <x:v>31.1</x:v>
      </x:c>
      <x:c r="L214" s="4" t="n">
        <x:v>51.23</x:v>
      </x:c>
      <x:c r="M214" s="4" t="n">
        <x:v>52.17</x:v>
      </x:c>
      <x:c r="N214" s="4" t="n">
        <x:v>59.05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40.96</x:v>
      </x:c>
      <x:c r="D215" s="4" t="n">
        <x:v>39.6</x:v>
      </x:c>
      <x:c r="E215" s="4" t="n">
        <x:v>57.27</x:v>
      </x:c>
      <x:c r="F215" s="4" t="n">
        <x:v>58.5</x:v>
      </x:c>
      <x:c r="G215" s="4" t="n">
        <x:v>39.28</x:v>
      </x:c>
      <x:c r="H215" s="4" t="n">
        <x:v>62.21</x:v>
      </x:c>
      <x:c r="I215" s="4" t="n">
        <x:v>52.28</x:v>
      </x:c>
      <x:c r="J215" s="4" t="n">
        <x:v>66.54</x:v>
      </x:c>
      <x:c r="K215" s="4" t="n">
        <x:v>24.87</x:v>
      </x:c>
      <x:c r="L215" s="4" t="n">
        <x:v>25.13</x:v>
      </x:c>
      <x:c r="M215" s="4" t="n">
        <x:v>55.37</x:v>
      </x:c>
      <x:c r="N215" s="4" t="n">
        <x:v>39.34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48.85</x:v>
      </x:c>
      <x:c r="D216" s="4" t="n">
        <x:v>27.94</x:v>
      </x:c>
      <x:c r="E216" s="4" t="n">
        <x:v>30.27</x:v>
      </x:c>
      <x:c r="F216" s="4" t="n">
        <x:v>50.4</x:v>
      </x:c>
      <x:c r="G216" s="4" t="n">
        <x:v>28.91</x:v>
      </x:c>
      <x:c r="H216" s="4" t="n">
        <x:v>39.85</x:v>
      </x:c>
      <x:c r="I216" s="4" t="n">
        <x:v>25.06</x:v>
      </x:c>
      <x:c r="J216" s="4" t="n">
        <x:v>38.59</x:v>
      </x:c>
      <x:c r="K216" s="4" t="n">
        <x:v>48.93</x:v>
      </x:c>
      <x:c r="L216" s="4" t="n">
        <x:v>62.94</x:v>
      </x:c>
      <x:c r="M216" s="4" t="n">
        <x:v>57.58</x:v>
      </x:c>
      <x:c r="N216" s="4" t="n">
        <x:v>63.62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17.7</x:v>
      </x:c>
      <x:c r="D217" s="4" t="n">
        <x:v>36.36</x:v>
      </x:c>
      <x:c r="E217" s="4" t="n">
        <x:v>51.11</x:v>
      </x:c>
      <x:c r="F217" s="4" t="n">
        <x:v>24.94</x:v>
      </x:c>
      <x:c r="G217" s="4" t="n">
        <x:v>21.57</x:v>
      </x:c>
      <x:c r="H217" s="4" t="n">
        <x:v>51.99</x:v>
      </x:c>
      <x:c r="I217" s="4" t="n">
        <x:v>46.43</x:v>
      </x:c>
      <x:c r="J217" s="4" t="n">
        <x:v>49.39</x:v>
      </x:c>
      <x:c r="K217" s="4" t="n">
        <x:v>29.04</x:v>
      </x:c>
      <x:c r="L217" s="4" t="n">
        <x:v>54.33</x:v>
      </x:c>
      <x:c r="M217" s="4" t="n">
        <x:v>38.73</x:v>
      </x:c>
      <x:c r="N217" s="4" t="n">
        <x:v>17.75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22.19</x:v>
      </x:c>
      <x:c r="D218" s="4" t="n">
        <x:v>64.06</x:v>
      </x:c>
      <x:c r="E218" s="4" t="n">
        <x:v>59.3</x:v>
      </x:c>
      <x:c r="F218" s="4" t="n">
        <x:v>34.73</x:v>
      </x:c>
      <x:c r="G218" s="4" t="n">
        <x:v>30.68</x:v>
      </x:c>
      <x:c r="H218" s="4" t="n">
        <x:v>32.63</x:v>
      </x:c>
      <x:c r="I218" s="4" t="n">
        <x:v>42.35</x:v>
      </x:c>
      <x:c r="J218" s="4" t="n">
        <x:v>42.39</x:v>
      </x:c>
      <x:c r="K218" s="4" t="n">
        <x:v>63.28</x:v>
      </x:c>
      <x:c r="L218" s="4" t="n">
        <x:v>18.75</x:v>
      </x:c>
      <x:c r="M218" s="4" t="n">
        <x:v>22.85</x:v>
      </x:c>
      <x:c r="N218" s="4" t="n">
        <x:v>61.18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27.71</x:v>
      </x:c>
      <x:c r="D219" s="4" t="n">
        <x:v>35.53</x:v>
      </x:c>
      <x:c r="E219" s="4" t="n">
        <x:v>62.96</x:v>
      </x:c>
      <x:c r="F219" s="4" t="n">
        <x:v>19.6</x:v>
      </x:c>
      <x:c r="G219" s="4" t="n">
        <x:v>64.08</x:v>
      </x:c>
      <x:c r="H219" s="4" t="n">
        <x:v>55.8</x:v>
      </x:c>
      <x:c r="I219" s="4" t="n">
        <x:v>17.49</x:v>
      </x:c>
      <x:c r="J219" s="4" t="n">
        <x:v>46.35</x:v>
      </x:c>
      <x:c r="K219" s="4" t="n">
        <x:v>25.4</x:v>
      </x:c>
      <x:c r="L219" s="4" t="n">
        <x:v>26.74</x:v>
      </x:c>
      <x:c r="M219" s="4" t="n">
        <x:v>39.3</x:v>
      </x:c>
      <x:c r="N219" s="4" t="n">
        <x:v>59.44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47.73</x:v>
      </x:c>
      <x:c r="D221" s="4" t="n">
        <x:v>61.05</x:v>
      </x:c>
      <x:c r="E221" s="4" t="n">
        <x:v>33.08</x:v>
      </x:c>
      <x:c r="F221" s="4" t="n">
        <x:v>51.16</x:v>
      </x:c>
      <x:c r="G221" s="4" t="n">
        <x:v>50.61</x:v>
      </x:c>
      <x:c r="H221" s="4" t="n">
        <x:v>52.23</x:v>
      </x:c>
      <x:c r="I221" s="4" t="n">
        <x:v>39.85</x:v>
      </x:c>
      <x:c r="J221" s="4" t="n">
        <x:v>20.05</x:v>
      </x:c>
      <x:c r="K221" s="4" t="n">
        <x:v>65.92</x:v>
      </x:c>
      <x:c r="L221" s="4" t="n">
        <x:v>39.1</x:v>
      </x:c>
      <x:c r="M221" s="4" t="n">
        <x:v>50.07</x:v>
      </x:c>
      <x:c r="N221" s="4" t="n">
        <x:v>35.85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58.86</x:v>
      </x:c>
      <x:c r="D222" s="4" t="n">
        <x:v>30.23</x:v>
      </x:c>
      <x:c r="E222" s="4" t="n">
        <x:v>17.43</x:v>
      </x:c>
      <x:c r="F222" s="4" t="n">
        <x:v>43.61</x:v>
      </x:c>
      <x:c r="G222" s="4" t="n">
        <x:v>35.39</x:v>
      </x:c>
      <x:c r="H222" s="4" t="n">
        <x:v>20.76</x:v>
      </x:c>
      <x:c r="I222" s="4" t="n">
        <x:v>33.89</x:v>
      </x:c>
      <x:c r="J222" s="4" t="n">
        <x:v>56.29</x:v>
      </x:c>
      <x:c r="K222" s="4" t="n">
        <x:v>51.02</x:v>
      </x:c>
      <x:c r="L222" s="4" t="n">
        <x:v>66.36</x:v>
      </x:c>
      <x:c r="M222" s="4" t="n">
        <x:v>53.06</x:v>
      </x:c>
      <x:c r="N222" s="4" t="n">
        <x:v>43.24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67.21</x:v>
      </x:c>
      <x:c r="D223" s="4" t="n">
        <x:v>41.58</x:v>
      </x:c>
      <x:c r="E223" s="4" t="n">
        <x:v>58.63</x:v>
      </x:c>
      <x:c r="F223" s="4" t="n">
        <x:v>18.91</x:v>
      </x:c>
      <x:c r="G223" s="4" t="n">
        <x:v>66.37</x:v>
      </x:c>
      <x:c r="H223" s="4" t="n">
        <x:v>65.92</x:v>
      </x:c>
      <x:c r="I223" s="4" t="n">
        <x:v>38.7</x:v>
      </x:c>
      <x:c r="J223" s="4" t="n">
        <x:v>62.95</x:v>
      </x:c>
      <x:c r="K223" s="4" t="n">
        <x:v>25.25</x:v>
      </x:c>
      <x:c r="L223" s="4" t="n">
        <x:v>24.26</x:v>
      </x:c>
      <x:c r="M223" s="4" t="n">
        <x:v>52.38</x:v>
      </x:c>
      <x:c r="N223" s="4" t="n">
        <x:v>49.3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17.87</x:v>
      </x:c>
      <x:c r="D224" s="4" t="n">
        <x:v>46.19</x:v>
      </x:c>
      <x:c r="E224" s="4" t="n">
        <x:v>42.03</x:v>
      </x:c>
      <x:c r="F224" s="4" t="n">
        <x:v>38.85</x:v>
      </x:c>
      <x:c r="G224" s="4" t="n">
        <x:v>17.49</x:v>
      </x:c>
      <x:c r="H224" s="4" t="n">
        <x:v>20.08</x:v>
      </x:c>
      <x:c r="I224" s="4" t="n">
        <x:v>45.04</x:v>
      </x:c>
      <x:c r="J224" s="4" t="n">
        <x:v>60.96</x:v>
      </x:c>
      <x:c r="K224" s="4" t="n">
        <x:v>57.64</x:v>
      </x:c>
      <x:c r="L224" s="4" t="n">
        <x:v>18.52</x:v>
      </x:c>
      <x:c r="M224" s="4" t="n">
        <x:v>37.65</x:v>
      </x:c>
      <x:c r="N224" s="4" t="n">
        <x:v>37.47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54.77</x:v>
      </x:c>
      <x:c r="D225" s="4" t="n">
        <x:v>35.11</x:v>
      </x:c>
      <x:c r="E225" s="4" t="n">
        <x:v>67.78</x:v>
      </x:c>
      <x:c r="F225" s="4" t="n">
        <x:v>35.99</x:v>
      </x:c>
      <x:c r="G225" s="4" t="n">
        <x:v>61.81</x:v>
      </x:c>
      <x:c r="H225" s="4" t="n">
        <x:v>46.99</x:v>
      </x:c>
      <x:c r="I225" s="4" t="n">
        <x:v>45.51</x:v>
      </x:c>
      <x:c r="J225" s="4" t="n">
        <x:v>51.52</x:v>
      </x:c>
      <x:c r="K225" s="4" t="n">
        <x:v>35.24</x:v>
      </x:c>
      <x:c r="L225" s="4" t="n">
        <x:v>17.75</x:v>
      </x:c>
      <x:c r="M225" s="4" t="n">
        <x:v>23.63</x:v>
      </x:c>
      <x:c r="N225" s="4" t="n">
        <x:v>29.51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47.24</x:v>
      </x:c>
      <x:c r="D226" s="4" t="n">
        <x:v>56.46</x:v>
      </x:c>
      <x:c r="E226" s="4" t="n">
        <x:v>34.85</x:v>
      </x:c>
      <x:c r="F226" s="4" t="n">
        <x:v>39.46</x:v>
      </x:c>
      <x:c r="G226" s="4" t="n">
        <x:v>42.88</x:v>
      </x:c>
      <x:c r="H226" s="4" t="n">
        <x:v>29.12</x:v>
      </x:c>
      <x:c r="I226" s="4" t="n">
        <x:v>62.25</x:v>
      </x:c>
      <x:c r="J226" s="4" t="n">
        <x:v>36.27</x:v>
      </x:c>
      <x:c r="K226" s="4" t="n">
        <x:v>37.98</x:v>
      </x:c>
      <x:c r="L226" s="4" t="n">
        <x:v>43.08</x:v>
      </x:c>
      <x:c r="M226" s="4" t="n">
        <x:v>52.33</x:v>
      </x:c>
      <x:c r="N226" s="4" t="n">
        <x:v>26.53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40.78</x:v>
      </x:c>
      <x:c r="D227" s="4" t="n">
        <x:v>47.73</x:v>
      </x:c>
      <x:c r="E227" s="4" t="n">
        <x:v>58.29</x:v>
      </x:c>
      <x:c r="F227" s="4" t="n">
        <x:v>47.68</x:v>
      </x:c>
      <x:c r="G227" s="4" t="n">
        <x:v>20.62</x:v>
      </x:c>
      <x:c r="H227" s="4" t="n">
        <x:v>24.3</x:v>
      </x:c>
      <x:c r="I227" s="4" t="n">
        <x:v>59.63</x:v>
      </x:c>
      <x:c r="J227" s="4" t="n">
        <x:v>24.25</x:v>
      </x:c>
      <x:c r="K227" s="4" t="n">
        <x:v>66.9</x:v>
      </x:c>
      <x:c r="L227" s="4" t="n">
        <x:v>42.33</x:v>
      </x:c>
      <x:c r="M227" s="4" t="n">
        <x:v>24.12</x:v>
      </x:c>
      <x:c r="N227" s="4" t="n">
        <x:v>66.09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33.58</x:v>
      </x:c>
      <x:c r="D228" s="4" t="n">
        <x:v>52.99</x:v>
      </x:c>
      <x:c r="E228" s="4" t="n">
        <x:v>44.69</x:v>
      </x:c>
      <x:c r="F228" s="4" t="n">
        <x:v>36.42</x:v>
      </x:c>
      <x:c r="G228" s="4" t="n">
        <x:v>60.54</x:v>
      </x:c>
      <x:c r="H228" s="4" t="n">
        <x:v>59.66</x:v>
      </x:c>
      <x:c r="I228" s="4" t="n">
        <x:v>63.33</x:v>
      </x:c>
      <x:c r="J228" s="4" t="n">
        <x:v>46.22</x:v>
      </x:c>
      <x:c r="K228" s="4" t="n">
        <x:v>18.87</x:v>
      </x:c>
      <x:c r="L228" s="4" t="n">
        <x:v>59.04</x:v>
      </x:c>
      <x:c r="M228" s="4" t="n">
        <x:v>25.99</x:v>
      </x:c>
      <x:c r="N228" s="4" t="n">
        <x:v>55.63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62.09</x:v>
      </x:c>
      <x:c r="D230" s="4" t="n">
        <x:v>44.27</x:v>
      </x:c>
      <x:c r="E230" s="4" t="n">
        <x:v>61.03</x:v>
      </x:c>
      <x:c r="F230" s="4" t="n">
        <x:v>23.48</x:v>
      </x:c>
      <x:c r="G230" s="4" t="n">
        <x:v>42.93</x:v>
      </x:c>
      <x:c r="H230" s="4" t="n">
        <x:v>18.5</x:v>
      </x:c>
      <x:c r="I230" s="4" t="n">
        <x:v>29.75</x:v>
      </x:c>
      <x:c r="J230" s="4" t="n">
        <x:v>18.42</x:v>
      </x:c>
      <x:c r="K230" s="4" t="n">
        <x:v>24.62</x:v>
      </x:c>
      <x:c r="L230" s="4" t="n">
        <x:v>56.68</x:v>
      </x:c>
      <x:c r="M230" s="4" t="n">
        <x:v>51.69</x:v>
      </x:c>
      <x:c r="N230" s="4" t="n">
        <x:v>53.56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51.76</x:v>
      </x:c>
      <x:c r="D231" s="4" t="n">
        <x:v>65.75</x:v>
      </x:c>
      <x:c r="E231" s="4" t="n">
        <x:v>44.72</x:v>
      </x:c>
      <x:c r="F231" s="4" t="n">
        <x:v>55.01</x:v>
      </x:c>
      <x:c r="G231" s="4" t="n">
        <x:v>53.95</x:v>
      </x:c>
      <x:c r="H231" s="4" t="n">
        <x:v>37.5</x:v>
      </x:c>
      <x:c r="I231" s="4" t="n">
        <x:v>66.13</x:v>
      </x:c>
      <x:c r="J231" s="4" t="n">
        <x:v>40.41</x:v>
      </x:c>
      <x:c r="K231" s="4" t="n">
        <x:v>18.63</x:v>
      </x:c>
      <x:c r="L231" s="4" t="n">
        <x:v>30.97</x:v>
      </x:c>
      <x:c r="M231" s="4" t="n">
        <x:v>57.52</x:v>
      </x:c>
      <x:c r="N231" s="4" t="n">
        <x:v>47.6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25.07</x:v>
      </x:c>
      <x:c r="D232" s="4" t="n">
        <x:v>59.21</x:v>
      </x:c>
      <x:c r="E232" s="4" t="n">
        <x:v>27.2</x:v>
      </x:c>
      <x:c r="F232" s="4" t="n">
        <x:v>66.88</x:v>
      </x:c>
      <x:c r="G232" s="4" t="n">
        <x:v>24.88</x:v>
      </x:c>
      <x:c r="H232" s="4" t="n">
        <x:v>51.95</x:v>
      </x:c>
      <x:c r="I232" s="4" t="n">
        <x:v>38.3</x:v>
      </x:c>
      <x:c r="J232" s="4" t="n">
        <x:v>48.47</x:v>
      </x:c>
      <x:c r="K232" s="4" t="n">
        <x:v>36.92</x:v>
      </x:c>
      <x:c r="L232" s="4" t="n">
        <x:v>40.1</x:v>
      </x:c>
      <x:c r="M232" s="4" t="n">
        <x:v>27.91</x:v>
      </x:c>
      <x:c r="N232" s="4" t="n">
        <x:v>34.08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60.94</x:v>
      </x:c>
      <x:c r="D233" s="4" t="n">
        <x:v>58.8</x:v>
      </x:c>
      <x:c r="E233" s="4" t="n">
        <x:v>63.14</x:v>
      </x:c>
      <x:c r="F233" s="4" t="n">
        <x:v>48.38</x:v>
      </x:c>
      <x:c r="G233" s="4" t="n">
        <x:v>36.67</x:v>
      </x:c>
      <x:c r="H233" s="4" t="n">
        <x:v>42.13</x:v>
      </x:c>
      <x:c r="I233" s="4" t="n">
        <x:v>29.58</x:v>
      </x:c>
      <x:c r="J233" s="4" t="n">
        <x:v>65.98</x:v>
      </x:c>
      <x:c r="K233" s="4" t="n">
        <x:v>19.14</x:v>
      </x:c>
      <x:c r="L233" s="4" t="n">
        <x:v>58.07</x:v>
      </x:c>
      <x:c r="M233" s="4" t="n">
        <x:v>19.36</x:v>
      </x:c>
      <x:c r="N233" s="4" t="n">
        <x:v>21.32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 t="str">
        <x:v>工资单价</x:v>
      </x:c>
      <x:c r="C264" s="4" t="n">
        <x:v>62.46</x:v>
      </x:c>
      <x:c r="D264" s="4" t="n">
        <x:v>53.02</x:v>
      </x:c>
      <x:c r="E264" s="4" t="n">
        <x:v>36.61</x:v>
      </x:c>
      <x:c r="F264" s="4" t="n">
        <x:v>42.58</x:v>
      </x:c>
      <x:c r="G264" s="4" t="n">
        <x:v>43.17</x:v>
      </x:c>
      <x:c r="H264" s="4" t="n">
        <x:v>55.06</x:v>
      </x:c>
      <x:c r="I264" s="4" t="n">
        <x:v>55.26</x:v>
      </x:c>
      <x:c r="J264" s="4" t="n">
        <x:v>21.43</x:v>
      </x:c>
      <x:c r="K264" s="4" t="n">
        <x:v>65.74</x:v>
      </x:c>
      <x:c r="L264" s="4" t="n">
        <x:v>24.77</x:v>
      </x:c>
      <x:c r="M264" s="4" t="n">
        <x:v>25.15</x:v>
      </x:c>
      <x:c r="N264" s="4" t="n">
        <x:v>20.61</x:v>
      </x:c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 t="str">
        <x:v>十三薪单价</x:v>
      </x:c>
      <x:c r="C265" s="4" t="n">
        <x:v>21.85</x:v>
      </x:c>
      <x:c r="D265" s="4" t="n">
        <x:v>66.64</x:v>
      </x:c>
      <x:c r="E265" s="4" t="n">
        <x:v>35.89</x:v>
      </x:c>
      <x:c r="F265" s="4" t="n">
        <x:v>37.16</x:v>
      </x:c>
      <x:c r="G265" s="4" t="n">
        <x:v>25.31</x:v>
      </x:c>
      <x:c r="H265" s="4" t="n">
        <x:v>52.87</x:v>
      </x:c>
      <x:c r="I265" s="4" t="n">
        <x:v>62.15</x:v>
      </x:c>
      <x:c r="J265" s="4" t="n">
        <x:v>21.12</x:v>
      </x:c>
      <x:c r="K265" s="4" t="n">
        <x:v>52.65</x:v>
      </x:c>
      <x:c r="L265" s="4" t="n">
        <x:v>35.29</x:v>
      </x:c>
      <x:c r="M265" s="4" t="n">
        <x:v>42.77</x:v>
      </x:c>
      <x:c r="N265" s="4" t="n">
        <x:v>38.21</x:v>
      </x:c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 t="str">
        <x:v>离职补偿金单价</x:v>
      </x:c>
      <x:c r="C266" s="4" t="n">
        <x:v>54.5</x:v>
      </x:c>
      <x:c r="D266" s="4" t="n">
        <x:v>36.54</x:v>
      </x:c>
      <x:c r="E266" s="4" t="n">
        <x:v>48.99</x:v>
      </x:c>
      <x:c r="F266" s="4" t="n">
        <x:v>51.93</x:v>
      </x:c>
      <x:c r="G266" s="4" t="n">
        <x:v>29.17</x:v>
      </x:c>
      <x:c r="H266" s="4" t="n">
        <x:v>49.17</x:v>
      </x:c>
      <x:c r="I266" s="4" t="n">
        <x:v>31.15</x:v>
      </x:c>
      <x:c r="J266" s="4" t="n">
        <x:v>48.9</x:v>
      </x:c>
      <x:c r="K266" s="4" t="n">
        <x:v>36.42</x:v>
      </x:c>
      <x:c r="L266" s="4" t="n">
        <x:v>51.25</x:v>
      </x:c>
      <x:c r="M266" s="4" t="n">
        <x:v>37</x:v>
      </x:c>
      <x:c r="N266" s="4" t="n">
        <x:v>61.39</x:v>
      </x:c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 t="str">
        <x:v>五险一金单价</x:v>
      </x:c>
      <x:c r="C267" s="4" t="n">
        <x:v>59.46</x:v>
      </x:c>
      <x:c r="D267" s="4" t="n">
        <x:v>64.4</x:v>
      </x:c>
      <x:c r="E267" s="4" t="n">
        <x:v>35.36</x:v>
      </x:c>
      <x:c r="F267" s="4" t="n">
        <x:v>61.18</x:v>
      </x:c>
      <x:c r="G267" s="4" t="n">
        <x:v>32.39</x:v>
      </x:c>
      <x:c r="H267" s="4" t="n">
        <x:v>27.67</x:v>
      </x:c>
      <x:c r="I267" s="4" t="n">
        <x:v>30.94</x:v>
      </x:c>
      <x:c r="J267" s="4" t="n">
        <x:v>46.8</x:v>
      </x:c>
      <x:c r="K267" s="4" t="n">
        <x:v>27.54</x:v>
      </x:c>
      <x:c r="L267" s="4" t="n">
        <x:v>57.26</x:v>
      </x:c>
      <x:c r="M267" s="4" t="n">
        <x:v>22.46</x:v>
      </x:c>
      <x:c r="N267" s="4" t="n">
        <x:v>24.47</x:v>
      </x:c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 t="str">
        <x:v>福利费单价</x:v>
      </x:c>
      <x:c r="C268" s="4" t="n">
        <x:v>66.2</x:v>
      </x:c>
      <x:c r="D268" s="4" t="n">
        <x:v>21.78</x:v>
      </x:c>
      <x:c r="E268" s="4" t="n">
        <x:v>33.01</x:v>
      </x:c>
      <x:c r="F268" s="4" t="n">
        <x:v>47.71</x:v>
      </x:c>
      <x:c r="G268" s="4" t="n">
        <x:v>64.08</x:v>
      </x:c>
      <x:c r="H268" s="4" t="n">
        <x:v>28.98</x:v>
      </x:c>
      <x:c r="I268" s="4" t="n">
        <x:v>31.43</x:v>
      </x:c>
      <x:c r="J268" s="4" t="n">
        <x:v>55.28</x:v>
      </x:c>
      <x:c r="K268" s="4" t="n">
        <x:v>67.73</x:v>
      </x:c>
      <x:c r="L268" s="4" t="n">
        <x:v>65.89</x:v>
      </x:c>
      <x:c r="M268" s="4" t="n">
        <x:v>54.26</x:v>
      </x:c>
      <x:c r="N268" s="4" t="n">
        <x:v>26.32</x:v>
      </x:c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 t="str">
        <x:v>招聘费单价</x:v>
      </x:c>
      <x:c r="C269" s="4" t="n">
        <x:v>66.08</x:v>
      </x:c>
      <x:c r="D269" s="4" t="n">
        <x:v>64.9</x:v>
      </x:c>
      <x:c r="E269" s="4" t="n">
        <x:v>62.96</x:v>
      </x:c>
      <x:c r="F269" s="4" t="n">
        <x:v>53.57</x:v>
      </x:c>
      <x:c r="G269" s="4" t="n">
        <x:v>59.97</x:v>
      </x:c>
      <x:c r="H269" s="4" t="n">
        <x:v>47.04</x:v>
      </x:c>
      <x:c r="I269" s="4" t="n">
        <x:v>60.64</x:v>
      </x:c>
      <x:c r="J269" s="4" t="n">
        <x:v>18.56</x:v>
      </x:c>
      <x:c r="K269" s="4" t="n">
        <x:v>54.23</x:v>
      </x:c>
      <x:c r="L269" s="4" t="n">
        <x:v>50.71</x:v>
      </x:c>
      <x:c r="M269" s="4" t="n">
        <x:v>19.14</x:v>
      </x:c>
      <x:c r="N269" s="4" t="n">
        <x:v>67.54</x:v>
      </x:c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 t="str">
        <x:v>培训费单价</x:v>
      </x:c>
      <x:c r="C270" s="4" t="n">
        <x:v>48.08</x:v>
      </x:c>
      <x:c r="D270" s="4" t="n">
        <x:v>58.21</x:v>
      </x:c>
      <x:c r="E270" s="4" t="n">
        <x:v>41.44</x:v>
      </x:c>
      <x:c r="F270" s="4" t="n">
        <x:v>27.65</x:v>
      </x:c>
      <x:c r="G270" s="4" t="n">
        <x:v>33.06</x:v>
      </x:c>
      <x:c r="H270" s="4" t="n">
        <x:v>39.54</x:v>
      </x:c>
      <x:c r="I270" s="4" t="n">
        <x:v>55.34</x:v>
      </x:c>
      <x:c r="J270" s="4" t="n">
        <x:v>18.34</x:v>
      </x:c>
      <x:c r="K270" s="4" t="n">
        <x:v>56.39</x:v>
      </x:c>
      <x:c r="L270" s="4" t="n">
        <x:v>57.44</x:v>
      </x:c>
      <x:c r="M270" s="4" t="n">
        <x:v>22.06</x:v>
      </x:c>
      <x:c r="N270" s="4" t="n">
        <x:v>64.8</x:v>
      </x:c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 t="str">
        <x:v>房租单价</x:v>
      </x:c>
      <x:c r="C271" s="4" t="n">
        <x:v>18.66</x:v>
      </x:c>
      <x:c r="D271" s="4" t="n">
        <x:v>40.36</x:v>
      </x:c>
      <x:c r="E271" s="4" t="n">
        <x:v>59.36</x:v>
      </x:c>
      <x:c r="F271" s="4" t="n">
        <x:v>23.24</x:v>
      </x:c>
      <x:c r="G271" s="4" t="n">
        <x:v>64.56</x:v>
      </x:c>
      <x:c r="H271" s="4" t="n">
        <x:v>33.82</x:v>
      </x:c>
      <x:c r="I271" s="4" t="n">
        <x:v>25.11</x:v>
      </x:c>
      <x:c r="J271" s="4" t="n">
        <x:v>48.57</x:v>
      </x:c>
      <x:c r="K271" s="4" t="n">
        <x:v>32.77</x:v>
      </x:c>
      <x:c r="L271" s="4" t="n">
        <x:v>57.14</x:v>
      </x:c>
      <x:c r="M271" s="4" t="n">
        <x:v>33.83</x:v>
      </x:c>
      <x:c r="N271" s="4" t="n">
        <x:v>22.9</x:v>
      </x:c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 t="str">
        <x:v>物业管理费单价</x:v>
      </x:c>
      <x:c r="C272" s="4" t="n">
        <x:v>63.95</x:v>
      </x:c>
      <x:c r="D272" s="4" t="n">
        <x:v>41.71</x:v>
      </x:c>
      <x:c r="E272" s="4" t="n">
        <x:v>31.34</x:v>
      </x:c>
      <x:c r="F272" s="4" t="n">
        <x:v>27.49</x:v>
      </x:c>
      <x:c r="G272" s="4" t="n">
        <x:v>20.41</x:v>
      </x:c>
      <x:c r="H272" s="4" t="n">
        <x:v>39.37</x:v>
      </x:c>
      <x:c r="I272" s="4" t="n">
        <x:v>52.11</x:v>
      </x:c>
      <x:c r="J272" s="4" t="n">
        <x:v>20.13</x:v>
      </x:c>
      <x:c r="K272" s="4" t="n">
        <x:v>40.21</x:v>
      </x:c>
      <x:c r="L272" s="4" t="n">
        <x:v>39.55</x:v>
      </x:c>
      <x:c r="M272" s="4" t="n">
        <x:v>54.57</x:v>
      </x:c>
      <x:c r="N272" s="4" t="n">
        <x:v>21.05</x:v>
      </x:c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 t="str">
        <x:v>汽车费用单价</x:v>
      </x:c>
      <x:c r="C273" s="4" t="n">
        <x:v>30.93</x:v>
      </x:c>
      <x:c r="D273" s="4" t="n">
        <x:v>45.96</x:v>
      </x:c>
      <x:c r="E273" s="4" t="n">
        <x:v>20.99</x:v>
      </x:c>
      <x:c r="F273" s="4" t="n">
        <x:v>56.26</x:v>
      </x:c>
      <x:c r="G273" s="4" t="n">
        <x:v>34.57</x:v>
      </x:c>
      <x:c r="H273" s="4" t="n">
        <x:v>24.45</x:v>
      </x:c>
      <x:c r="I273" s="4" t="n">
        <x:v>23.84</x:v>
      </x:c>
      <x:c r="J273" s="4" t="n">
        <x:v>42.88</x:v>
      </x:c>
      <x:c r="K273" s="4" t="n">
        <x:v>21.93</x:v>
      </x:c>
      <x:c r="L273" s="4" t="n">
        <x:v>34.92</x:v>
      </x:c>
      <x:c r="M273" s="4" t="n">
        <x:v>29.8</x:v>
      </x:c>
      <x:c r="N273" s="4" t="n">
        <x:v>47.86</x:v>
      </x:c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 t="str">
        <x:v>办公费单价</x:v>
      </x:c>
      <x:c r="C274" s="4" t="n">
        <x:v>28.41</x:v>
      </x:c>
      <x:c r="D274" s="4" t="n">
        <x:v>37.59</x:v>
      </x:c>
      <x:c r="E274" s="4" t="n">
        <x:v>24.1</x:v>
      </x:c>
      <x:c r="F274" s="4" t="n">
        <x:v>48.64</x:v>
      </x:c>
      <x:c r="G274" s="4" t="n">
        <x:v>33.68</x:v>
      </x:c>
      <x:c r="H274" s="4" t="n">
        <x:v>21.35</x:v>
      </x:c>
      <x:c r="I274" s="4" t="n">
        <x:v>43.43</x:v>
      </x:c>
      <x:c r="J274" s="4" t="n">
        <x:v>46.28</x:v>
      </x:c>
      <x:c r="K274" s="4" t="n">
        <x:v>23.29</x:v>
      </x:c>
      <x:c r="L274" s="4" t="n">
        <x:v>44.28</x:v>
      </x:c>
      <x:c r="M274" s="4" t="n">
        <x:v>49.96</x:v>
      </x:c>
      <x:c r="N274" s="4" t="n">
        <x:v>43.93</x:v>
      </x:c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 t="str">
        <x:v>办公用品单价</x:v>
      </x:c>
      <x:c r="C275" s="4" t="n">
        <x:v>53.52</x:v>
      </x:c>
      <x:c r="D275" s="4" t="n">
        <x:v>29.86</x:v>
      </x:c>
      <x:c r="E275" s="4" t="n">
        <x:v>19.58</x:v>
      </x:c>
      <x:c r="F275" s="4" t="n">
        <x:v>36.8</x:v>
      </x:c>
      <x:c r="G275" s="4" t="n">
        <x:v>61.13</x:v>
      </x:c>
      <x:c r="H275" s="4" t="n">
        <x:v>63.87</x:v>
      </x:c>
      <x:c r="I275" s="4" t="n">
        <x:v>23.75</x:v>
      </x:c>
      <x:c r="J275" s="4" t="n">
        <x:v>41.76</x:v>
      </x:c>
      <x:c r="K275" s="4" t="n">
        <x:v>53.52</x:v>
      </x:c>
      <x:c r="L275" s="4" t="n">
        <x:v>66.63</x:v>
      </x:c>
      <x:c r="M275" s="4" t="n">
        <x:v>55.56</x:v>
      </x:c>
      <x:c r="N275" s="4" t="n">
        <x:v>42.8</x:v>
      </x:c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 t="str">
        <x:v>水电煤单价</x:v>
      </x:c>
      <x:c r="C276" s="4" t="n">
        <x:v>25.54</x:v>
      </x:c>
      <x:c r="D276" s="4" t="n">
        <x:v>38.23</x:v>
      </x:c>
      <x:c r="E276" s="4" t="n">
        <x:v>56.33</x:v>
      </x:c>
      <x:c r="F276" s="4" t="n">
        <x:v>55.06</x:v>
      </x:c>
      <x:c r="G276" s="4" t="n">
        <x:v>29.26</x:v>
      </x:c>
      <x:c r="H276" s="4" t="n">
        <x:v>58.11</x:v>
      </x:c>
      <x:c r="I276" s="4" t="n">
        <x:v>24.8</x:v>
      </x:c>
      <x:c r="J276" s="4" t="n">
        <x:v>65.24</x:v>
      </x:c>
      <x:c r="K276" s="4" t="n">
        <x:v>36.3</x:v>
      </x:c>
      <x:c r="L276" s="4" t="n">
        <x:v>19.32</x:v>
      </x:c>
      <x:c r="M276" s="4" t="n">
        <x:v>22.48</x:v>
      </x:c>
      <x:c r="N276" s="4" t="n">
        <x:v>35.08</x:v>
      </x:c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 t="str">
        <x:v>咨询服务费单价</x:v>
      </x:c>
      <x:c r="C277" s="4" t="n">
        <x:v>37.39</x:v>
      </x:c>
      <x:c r="D277" s="4" t="n">
        <x:v>35.78</x:v>
      </x:c>
      <x:c r="E277" s="4" t="n">
        <x:v>20.45</x:v>
      </x:c>
      <x:c r="F277" s="4" t="n">
        <x:v>63.96</x:v>
      </x:c>
      <x:c r="G277" s="4" t="n">
        <x:v>25.16</x:v>
      </x:c>
      <x:c r="H277" s="4" t="n">
        <x:v>60.43</x:v>
      </x:c>
      <x:c r="I277" s="4" t="n">
        <x:v>40.29</x:v>
      </x:c>
      <x:c r="J277" s="4" t="n">
        <x:v>44.39</x:v>
      </x:c>
      <x:c r="K277" s="4" t="n">
        <x:v>58.19</x:v>
      </x:c>
      <x:c r="L277" s="4" t="n">
        <x:v>29.82</x:v>
      </x:c>
      <x:c r="M277" s="4" t="n">
        <x:v>29.55</x:v>
      </x:c>
      <x:c r="N277" s="4" t="n">
        <x:v>25.92</x:v>
      </x:c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 t="str">
        <x:v>电话费单价</x:v>
      </x:c>
      <x:c r="C278" s="4" t="n">
        <x:v>37.82</x:v>
      </x:c>
      <x:c r="D278" s="4" t="n">
        <x:v>62.17</x:v>
      </x:c>
      <x:c r="E278" s="4" t="n">
        <x:v>30.22</x:v>
      </x:c>
      <x:c r="F278" s="4" t="n">
        <x:v>50.71</x:v>
      </x:c>
      <x:c r="G278" s="4" t="n">
        <x:v>29.12</x:v>
      </x:c>
      <x:c r="H278" s="4" t="n">
        <x:v>35.29</x:v>
      </x:c>
      <x:c r="I278" s="4" t="n">
        <x:v>33.28</x:v>
      </x:c>
      <x:c r="J278" s="4" t="n">
        <x:v>39.61</x:v>
      </x:c>
      <x:c r="K278" s="4" t="n">
        <x:v>37.47</x:v>
      </x:c>
      <x:c r="L278" s="4" t="n">
        <x:v>50.56</x:v>
      </x:c>
      <x:c r="M278" s="4" t="n">
        <x:v>63.35</x:v>
      </x:c>
      <x:c r="N278" s="4" t="n">
        <x:v>25.51</x:v>
      </x:c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 t="str">
        <x:v>快递费单价</x:v>
      </x:c>
      <x:c r="C279" s="4" t="n">
        <x:v>17.59</x:v>
      </x:c>
      <x:c r="D279" s="4" t="n">
        <x:v>19.41</x:v>
      </x:c>
      <x:c r="E279" s="4" t="n">
        <x:v>47.84</x:v>
      </x:c>
      <x:c r="F279" s="4" t="n">
        <x:v>39.67</x:v>
      </x:c>
      <x:c r="G279" s="4" t="n">
        <x:v>19.11</x:v>
      </x:c>
      <x:c r="H279" s="4" t="n">
        <x:v>22.3</x:v>
      </x:c>
      <x:c r="I279" s="4" t="n">
        <x:v>42.85</x:v>
      </x:c>
      <x:c r="J279" s="4" t="n">
        <x:v>61.09</x:v>
      </x:c>
      <x:c r="K279" s="4" t="n">
        <x:v>26.85</x:v>
      </x:c>
      <x:c r="L279" s="4" t="n">
        <x:v>29.73</x:v>
      </x:c>
      <x:c r="M279" s="4" t="n">
        <x:v>65.85</x:v>
      </x:c>
      <x:c r="N279" s="4" t="n">
        <x:v>19.77</x:v>
      </x:c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 t="str">
        <x:v>折旧及摊销单价</x:v>
      </x:c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 t="str">
        <x:v>机票火车票单价</x:v>
      </x:c>
      <x:c r="C281" s="4" t="n">
        <x:v>38.89</x:v>
      </x:c>
      <x:c r="D281" s="4" t="n">
        <x:v>32.79</x:v>
      </x:c>
      <x:c r="E281" s="4" t="n">
        <x:v>51.55</x:v>
      </x:c>
      <x:c r="F281" s="4" t="n">
        <x:v>50.87</x:v>
      </x:c>
      <x:c r="G281" s="4" t="n">
        <x:v>22.03</x:v>
      </x:c>
      <x:c r="H281" s="4" t="n">
        <x:v>50.64</x:v>
      </x:c>
      <x:c r="I281" s="4" t="n">
        <x:v>35.87</x:v>
      </x:c>
      <x:c r="J281" s="4" t="n">
        <x:v>66.33</x:v>
      </x:c>
      <x:c r="K281" s="4" t="n">
        <x:v>49.9</x:v>
      </x:c>
      <x:c r="L281" s="4" t="n">
        <x:v>55.61</x:v>
      </x:c>
      <x:c r="M281" s="4" t="n">
        <x:v>34.33</x:v>
      </x:c>
      <x:c r="N281" s="4" t="n">
        <x:v>38.79</x:v>
      </x:c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 t="str">
        <x:v>住宿费单价</x:v>
      </x:c>
      <x:c r="C282" s="4" t="n">
        <x:v>58.43</x:v>
      </x:c>
      <x:c r="D282" s="4" t="n">
        <x:v>25.8</x:v>
      </x:c>
      <x:c r="E282" s="4" t="n">
        <x:v>25.36</x:v>
      </x:c>
      <x:c r="F282" s="4" t="n">
        <x:v>45.64</x:v>
      </x:c>
      <x:c r="G282" s="4" t="n">
        <x:v>59.59</x:v>
      </x:c>
      <x:c r="H282" s="4" t="n">
        <x:v>23.04</x:v>
      </x:c>
      <x:c r="I282" s="4" t="n">
        <x:v>40.87</x:v>
      </x:c>
      <x:c r="J282" s="4" t="n">
        <x:v>22.71</x:v>
      </x:c>
      <x:c r="K282" s="4" t="n">
        <x:v>19.51</x:v>
      </x:c>
      <x:c r="L282" s="4" t="n">
        <x:v>60.63</x:v>
      </x:c>
      <x:c r="M282" s="4" t="n">
        <x:v>54.08</x:v>
      </x:c>
      <x:c r="N282" s="4" t="n">
        <x:v>47.19</x:v>
      </x:c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 t="str">
        <x:v>交通费单价</x:v>
      </x:c>
      <x:c r="C283" s="4" t="n">
        <x:v>21.49</x:v>
      </x:c>
      <x:c r="D283" s="4" t="n">
        <x:v>20</x:v>
      </x:c>
      <x:c r="E283" s="4" t="n">
        <x:v>63.68</x:v>
      </x:c>
      <x:c r="F283" s="4" t="n">
        <x:v>65.21</x:v>
      </x:c>
      <x:c r="G283" s="4" t="n">
        <x:v>54.31</x:v>
      </x:c>
      <x:c r="H283" s="4" t="n">
        <x:v>25.34</x:v>
      </x:c>
      <x:c r="I283" s="4" t="n">
        <x:v>45.74</x:v>
      </x:c>
      <x:c r="J283" s="4" t="n">
        <x:v>55.63</x:v>
      </x:c>
      <x:c r="K283" s="4" t="n">
        <x:v>57.97</x:v>
      </x:c>
      <x:c r="L283" s="4" t="n">
        <x:v>40.44</x:v>
      </x:c>
      <x:c r="M283" s="4" t="n">
        <x:v>56.68</x:v>
      </x:c>
      <x:c r="N283" s="4" t="n">
        <x:v>25.76</x:v>
      </x:c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 t="str">
        <x:v>差旅补贴单价</x:v>
      </x:c>
      <x:c r="C284" s="4" t="n">
        <x:v>54.62</x:v>
      </x:c>
      <x:c r="D284" s="4" t="n">
        <x:v>47.41</x:v>
      </x:c>
      <x:c r="E284" s="4" t="n">
        <x:v>57.81</x:v>
      </x:c>
      <x:c r="F284" s="4" t="n">
        <x:v>44.79</x:v>
      </x:c>
      <x:c r="G284" s="4" t="n">
        <x:v>31.26</x:v>
      </x:c>
      <x:c r="H284" s="4" t="n">
        <x:v>21.31</x:v>
      </x:c>
      <x:c r="I284" s="4" t="n">
        <x:v>41.07</x:v>
      </x:c>
      <x:c r="J284" s="4" t="n">
        <x:v>66.33</x:v>
      </x:c>
      <x:c r="K284" s="4" t="n">
        <x:v>28.7</x:v>
      </x:c>
      <x:c r="L284" s="4" t="n">
        <x:v>42.53</x:v>
      </x:c>
      <x:c r="M284" s="4" t="n">
        <x:v>22.31</x:v>
      </x:c>
      <x:c r="N284" s="4" t="n">
        <x:v>45.15</x:v>
      </x:c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 t="str">
        <x:v>业务招待费单价</x:v>
      </x:c>
      <x:c r="C285" s="4" t="n">
        <x:v>51.11</x:v>
      </x:c>
      <x:c r="D285" s="4" t="n">
        <x:v>42.69</x:v>
      </x:c>
      <x:c r="E285" s="4" t="n">
        <x:v>65.54</x:v>
      </x:c>
      <x:c r="F285" s="4" t="n">
        <x:v>56.94</x:v>
      </x:c>
      <x:c r="G285" s="4" t="n">
        <x:v>33.74</x:v>
      </x:c>
      <x:c r="H285" s="4" t="n">
        <x:v>57.74</x:v>
      </x:c>
      <x:c r="I285" s="4" t="n">
        <x:v>48.68</x:v>
      </x:c>
      <x:c r="J285" s="4" t="n">
        <x:v>43.14</x:v>
      </x:c>
      <x:c r="K285" s="4" t="n">
        <x:v>26.86</x:v>
      </x:c>
      <x:c r="L285" s="4" t="n">
        <x:v>39.4</x:v>
      </x:c>
      <x:c r="M285" s="4" t="n">
        <x:v>45.32</x:v>
      </x:c>
      <x:c r="N285" s="4" t="n">
        <x:v>24.14</x:v>
      </x:c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 t="str">
        <x:v>市内交通费单价</x:v>
      </x:c>
      <x:c r="C286" s="4" t="n">
        <x:v>48.86</x:v>
      </x:c>
      <x:c r="D286" s="4" t="n">
        <x:v>57</x:v>
      </x:c>
      <x:c r="E286" s="4" t="n">
        <x:v>32.91</x:v>
      </x:c>
      <x:c r="F286" s="4" t="n">
        <x:v>48.48</x:v>
      </x:c>
      <x:c r="G286" s="4" t="n">
        <x:v>48.13</x:v>
      </x:c>
      <x:c r="H286" s="4" t="n">
        <x:v>53.23</x:v>
      </x:c>
      <x:c r="I286" s="4" t="n">
        <x:v>66.09</x:v>
      </x:c>
      <x:c r="J286" s="4" t="n">
        <x:v>29.05</x:v>
      </x:c>
      <x:c r="K286" s="4" t="n">
        <x:v>23.15</x:v>
      </x:c>
      <x:c r="L286" s="4" t="n">
        <x:v>25.34</x:v>
      </x:c>
      <x:c r="M286" s="4" t="n">
        <x:v>67.21</x:v>
      </x:c>
      <x:c r="N286" s="4" t="n">
        <x:v>63.21</x:v>
      </x:c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 t="str">
        <x:v>调研费用单价</x:v>
      </x:c>
      <x:c r="C287" s="4" t="n">
        <x:v>37.52</x:v>
      </x:c>
      <x:c r="D287" s="4" t="n">
        <x:v>36.85</x:v>
      </x:c>
      <x:c r="E287" s="4" t="n">
        <x:v>28.42</x:v>
      </x:c>
      <x:c r="F287" s="4" t="n">
        <x:v>53.71</x:v>
      </x:c>
      <x:c r="G287" s="4" t="n">
        <x:v>46.73</x:v>
      </x:c>
      <x:c r="H287" s="4" t="n">
        <x:v>55.73</x:v>
      </x:c>
      <x:c r="I287" s="4" t="n">
        <x:v>31.53</x:v>
      </x:c>
      <x:c r="J287" s="4" t="n">
        <x:v>62.74</x:v>
      </x:c>
      <x:c r="K287" s="4" t="n">
        <x:v>21.89</x:v>
      </x:c>
      <x:c r="L287" s="4" t="n">
        <x:v>28.23</x:v>
      </x:c>
      <x:c r="M287" s="4" t="n">
        <x:v>64.87</x:v>
      </x:c>
      <x:c r="N287" s="4" t="n">
        <x:v>54.25</x:v>
      </x:c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 t="str">
        <x:v>手续费单价</x:v>
      </x:c>
      <x:c r="C288" s="4" t="n">
        <x:v>35.59</x:v>
      </x:c>
      <x:c r="D288" s="4" t="n">
        <x:v>47.27</x:v>
      </x:c>
      <x:c r="E288" s="4" t="n">
        <x:v>66.1</x:v>
      </x:c>
      <x:c r="F288" s="4" t="n">
        <x:v>66.83</x:v>
      </x:c>
      <x:c r="G288" s="4" t="n">
        <x:v>31.34</x:v>
      </x:c>
      <x:c r="H288" s="4" t="n">
        <x:v>43.47</x:v>
      </x:c>
      <x:c r="I288" s="4" t="n">
        <x:v>22.81</x:v>
      </x:c>
      <x:c r="J288" s="4" t="n">
        <x:v>36.37</x:v>
      </x:c>
      <x:c r="K288" s="4" t="n">
        <x:v>49.52</x:v>
      </x:c>
      <x:c r="L288" s="4" t="n">
        <x:v>65.35</x:v>
      </x:c>
      <x:c r="M288" s="4" t="n">
        <x:v>42.28</x:v>
      </x:c>
      <x:c r="N288" s="4" t="n">
        <x:v>58.17</x:v>
      </x:c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 t="str">
        <x:v>利息收入单价</x:v>
      </x:c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 t="str">
        <x:v>利息支出单价</x:v>
      </x:c>
      <x:c r="C290" s="4" t="n">
        <x:v>61.49</x:v>
      </x:c>
      <x:c r="D290" s="4" t="n">
        <x:v>65.77</x:v>
      </x:c>
      <x:c r="E290" s="4" t="n">
        <x:v>50.1</x:v>
      </x:c>
      <x:c r="F290" s="4" t="n">
        <x:v>63.15</x:v>
      </x:c>
      <x:c r="G290" s="4" t="n">
        <x:v>63.86</x:v>
      </x:c>
      <x:c r="H290" s="4" t="n">
        <x:v>58.16</x:v>
      </x:c>
      <x:c r="I290" s="4" t="n">
        <x:v>39.92</x:v>
      </x:c>
      <x:c r="J290" s="4" t="n">
        <x:v>54.49</x:v>
      </x:c>
      <x:c r="K290" s="4" t="n">
        <x:v>29.04</x:v>
      </x:c>
      <x:c r="L290" s="4" t="n">
        <x:v>61.37</x:v>
      </x:c>
      <x:c r="M290" s="4" t="n">
        <x:v>62.8</x:v>
      </x:c>
      <x:c r="N290" s="4" t="n">
        <x:v>20.71</x:v>
      </x:c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 t="str">
        <x:v>车船税单价</x:v>
      </x:c>
      <x:c r="C291" s="4" t="n">
        <x:v>22.47</x:v>
      </x:c>
      <x:c r="D291" s="4" t="n">
        <x:v>59.52</x:v>
      </x:c>
      <x:c r="E291" s="4" t="n">
        <x:v>66.21</x:v>
      </x:c>
      <x:c r="F291" s="4" t="n">
        <x:v>17.34</x:v>
      </x:c>
      <x:c r="G291" s="4" t="n">
        <x:v>30.17</x:v>
      </x:c>
      <x:c r="H291" s="4" t="n">
        <x:v>24.58</x:v>
      </x:c>
      <x:c r="I291" s="4" t="n">
        <x:v>17.43</x:v>
      </x:c>
      <x:c r="J291" s="4" t="n">
        <x:v>66.03</x:v>
      </x:c>
      <x:c r="K291" s="4" t="n">
        <x:v>60.52</x:v>
      </x:c>
      <x:c r="L291" s="4" t="n">
        <x:v>41.03</x:v>
      </x:c>
      <x:c r="M291" s="4" t="n">
        <x:v>62.33</x:v>
      </x:c>
      <x:c r="N291" s="4" t="n">
        <x:v>64.39</x:v>
      </x:c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 t="str">
        <x:v>印花税单价</x:v>
      </x:c>
      <x:c r="C292" s="4" t="n">
        <x:v>23.12</x:v>
      </x:c>
      <x:c r="D292" s="4" t="n">
        <x:v>47.85</x:v>
      </x:c>
      <x:c r="E292" s="4" t="n">
        <x:v>56.21</x:v>
      </x:c>
      <x:c r="F292" s="4" t="n">
        <x:v>58.57</x:v>
      </x:c>
      <x:c r="G292" s="4" t="n">
        <x:v>19.16</x:v>
      </x:c>
      <x:c r="H292" s="4" t="n">
        <x:v>51.78</x:v>
      </x:c>
      <x:c r="I292" s="4" t="n">
        <x:v>41.85</x:v>
      </x:c>
      <x:c r="J292" s="4" t="n">
        <x:v>26.17</x:v>
      </x:c>
      <x:c r="K292" s="4" t="n">
        <x:v>20.61</x:v>
      </x:c>
      <x:c r="L292" s="4" t="n">
        <x:v>41.27</x:v>
      </x:c>
      <x:c r="M292" s="4" t="n">
        <x:v>33.85</x:v>
      </x:c>
      <x:c r="N292" s="4" t="n">
        <x:v>38.53</x:v>
      </x:c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 t="str">
        <x:v>其他单价</x:v>
      </x:c>
      <x:c r="C293" s="4" t="n">
        <x:v>48.99</x:v>
      </x:c>
      <x:c r="D293" s="4" t="n">
        <x:v>47.79</x:v>
      </x:c>
      <x:c r="E293" s="4" t="n">
        <x:v>36.9</x:v>
      </x:c>
      <x:c r="F293" s="4" t="n">
        <x:v>20.82</x:v>
      </x:c>
      <x:c r="G293" s="4" t="n">
        <x:v>58.57</x:v>
      </x:c>
      <x:c r="H293" s="4" t="n">
        <x:v>46.52</x:v>
      </x:c>
      <x:c r="I293" s="4" t="n">
        <x:v>36.66</x:v>
      </x:c>
      <x:c r="J293" s="4" t="n">
        <x:v>44.26</x:v>
      </x:c>
      <x:c r="K293" s="4" t="n">
        <x:v>37.39</x:v>
      </x:c>
      <x:c r="L293" s="4" t="n">
        <x:v>28.05</x:v>
      </x:c>
      <x:c r="M293" s="4" t="n">
        <x:v>30.24</x:v>
      </x:c>
      <x:c r="N293" s="4" t="n">
        <x:v>42.18</x:v>
      </x:c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7.31</x:v>
      </x:c>
      <x:c r="D324" s="4" t="n">
        <x:v>3.95</x:v>
      </x:c>
      <x:c r="E324" s="4" t="n">
        <x:v>4.68</x:v>
      </x:c>
      <x:c r="F324" s="4" t="n">
        <x:v>6.23</x:v>
      </x:c>
      <x:c r="G324" s="4" t="n">
        <x:v>8.68</x:v>
      </x:c>
      <x:c r="H324" s="4" t="n">
        <x:v>3.37</x:v>
      </x:c>
      <x:c r="I324" s="4" t="n">
        <x:v>2.46</x:v>
      </x:c>
      <x:c r="J324" s="4" t="n">
        <x:v>6.76</x:v>
      </x:c>
      <x:c r="K324" s="4" t="n">
        <x:v>3.13</x:v>
      </x:c>
      <x:c r="L324" s="4" t="n">
        <x:v>3.71</x:v>
      </x:c>
      <x:c r="M324" s="4" t="n">
        <x:v>7.22</x:v>
      </x:c>
      <x:c r="N324" s="4" t="n">
        <x:v>6.68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2.21</x:v>
      </x:c>
      <x:c r="D325" s="4" t="n">
        <x:v>5.05</x:v>
      </x:c>
      <x:c r="E325" s="4" t="n">
        <x:v>6.15</x:v>
      </x:c>
      <x:c r="F325" s="4" t="n">
        <x:v>4.62</x:v>
      </x:c>
      <x:c r="G325" s="4" t="n">
        <x:v>6.9</x:v>
      </x:c>
      <x:c r="H325" s="4" t="n">
        <x:v>3.8</x:v>
      </x:c>
      <x:c r="I325" s="4" t="n">
        <x:v>2.24</x:v>
      </x:c>
      <x:c r="J325" s="4" t="n">
        <x:v>5.09</x:v>
      </x:c>
      <x:c r="K325" s="4" t="n">
        <x:v>6.79</x:v>
      </x:c>
      <x:c r="L325" s="4" t="n">
        <x:v>2.22</x:v>
      </x:c>
      <x:c r="M325" s="4" t="n">
        <x:v>8.77</x:v>
      </x:c>
      <x:c r="N325" s="4" t="n">
        <x:v>4.83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3.09</x:v>
      </x:c>
      <x:c r="D326" s="4" t="n">
        <x:v>2.47</x:v>
      </x:c>
      <x:c r="E326" s="4" t="n">
        <x:v>3.77</x:v>
      </x:c>
      <x:c r="F326" s="4" t="n">
        <x:v>7.31</x:v>
      </x:c>
      <x:c r="G326" s="4" t="n">
        <x:v>6.73</x:v>
      </x:c>
      <x:c r="H326" s="4" t="n">
        <x:v>2.56</x:v>
      </x:c>
      <x:c r="I326" s="4" t="n">
        <x:v>2.9</x:v>
      </x:c>
      <x:c r="J326" s="4" t="n">
        <x:v>4.33</x:v>
      </x:c>
      <x:c r="K326" s="4" t="n">
        <x:v>3.25</x:v>
      </x:c>
      <x:c r="L326" s="4" t="n">
        <x:v>5.56</x:v>
      </x:c>
      <x:c r="M326" s="4" t="n">
        <x:v>5.38</x:v>
      </x:c>
      <x:c r="N326" s="4" t="n">
        <x:v>5.32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6.07</x:v>
      </x:c>
      <x:c r="D327" s="4" t="n">
        <x:v>7.54</x:v>
      </x:c>
      <x:c r="E327" s="4" t="n">
        <x:v>7.87</x:v>
      </x:c>
      <x:c r="F327" s="4" t="n">
        <x:v>6.15</x:v>
      </x:c>
      <x:c r="G327" s="4" t="n">
        <x:v>7.48</x:v>
      </x:c>
      <x:c r="H327" s="4" t="n">
        <x:v>7.11</x:v>
      </x:c>
      <x:c r="I327" s="4" t="n">
        <x:v>7.67</x:v>
      </x:c>
      <x:c r="J327" s="4" t="n">
        <x:v>4.67</x:v>
      </x:c>
      <x:c r="K327" s="4" t="n">
        <x:v>6.1</x:v>
      </x:c>
      <x:c r="L327" s="4" t="n">
        <x:v>6.28</x:v>
      </x:c>
      <x:c r="M327" s="4" t="n">
        <x:v>6.45</x:v>
      </x:c>
      <x:c r="N327" s="4" t="n">
        <x:v>7.29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6.5</x:v>
      </x:c>
      <x:c r="D328" s="4" t="n">
        <x:v>5.87</x:v>
      </x:c>
      <x:c r="E328" s="4" t="n">
        <x:v>6.62</x:v>
      </x:c>
      <x:c r="F328" s="4" t="n">
        <x:v>2.56</x:v>
      </x:c>
      <x:c r="G328" s="4" t="n">
        <x:v>6.12</x:v>
      </x:c>
      <x:c r="H328" s="4" t="n">
        <x:v>8.39</x:v>
      </x:c>
      <x:c r="I328" s="4" t="n">
        <x:v>4.74</x:v>
      </x:c>
      <x:c r="J328" s="4" t="n">
        <x:v>7.19</x:v>
      </x:c>
      <x:c r="K328" s="4" t="n">
        <x:v>4.41</x:v>
      </x:c>
      <x:c r="L328" s="4" t="n">
        <x:v>8.84</x:v>
      </x:c>
      <x:c r="M328" s="4" t="n">
        <x:v>7.34</x:v>
      </x:c>
      <x:c r="N328" s="4" t="n">
        <x:v>7.49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6.57</x:v>
      </x:c>
      <x:c r="D329" s="4" t="n">
        <x:v>5.81</x:v>
      </x:c>
      <x:c r="E329" s="4" t="n">
        <x:v>6.28</x:v>
      </x:c>
      <x:c r="F329" s="4" t="n">
        <x:v>8.14</x:v>
      </x:c>
      <x:c r="G329" s="4" t="n">
        <x:v>5.22</x:v>
      </x:c>
      <x:c r="H329" s="4" t="n">
        <x:v>3.87</x:v>
      </x:c>
      <x:c r="I329" s="4" t="n">
        <x:v>6.87</x:v>
      </x:c>
      <x:c r="J329" s="4" t="n">
        <x:v>2.55</x:v>
      </x:c>
      <x:c r="K329" s="4" t="n">
        <x:v>6.8</x:v>
      </x:c>
      <x:c r="L329" s="4" t="n">
        <x:v>2.84</x:v>
      </x:c>
      <x:c r="M329" s="4" t="n">
        <x:v>6.62</x:v>
      </x:c>
      <x:c r="N329" s="4" t="n">
        <x:v>7.93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7.77</x:v>
      </x:c>
      <x:c r="D330" s="4" t="n">
        <x:v>6.11</x:v>
      </x:c>
      <x:c r="E330" s="4" t="n">
        <x:v>5.52</x:v>
      </x:c>
      <x:c r="F330" s="4" t="n">
        <x:v>5.06</x:v>
      </x:c>
      <x:c r="G330" s="4" t="n">
        <x:v>6.61</x:v>
      </x:c>
      <x:c r="H330" s="4" t="n">
        <x:v>3.22</x:v>
      </x:c>
      <x:c r="I330" s="4" t="n">
        <x:v>3.04</x:v>
      </x:c>
      <x:c r="J330" s="4" t="n">
        <x:v>7.99</x:v>
      </x:c>
      <x:c r="K330" s="4" t="n">
        <x:v>5.08</x:v>
      </x:c>
      <x:c r="L330" s="4" t="n">
        <x:v>7.22</x:v>
      </x:c>
      <x:c r="M330" s="4" t="n">
        <x:v>6.02</x:v>
      </x:c>
      <x:c r="N330" s="4" t="n">
        <x:v>2.23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5.39</x:v>
      </x:c>
      <x:c r="D331" s="4" t="n">
        <x:v>6.65</x:v>
      </x:c>
      <x:c r="E331" s="4" t="n">
        <x:v>4.37</x:v>
      </x:c>
      <x:c r="F331" s="4" t="n">
        <x:v>7.87</x:v>
      </x:c>
      <x:c r="G331" s="4" t="n">
        <x:v>6.65</x:v>
      </x:c>
      <x:c r="H331" s="4" t="n">
        <x:v>4.98</x:v>
      </x:c>
      <x:c r="I331" s="4" t="n">
        <x:v>3.43</x:v>
      </x:c>
      <x:c r="J331" s="4" t="n">
        <x:v>5.5</x:v>
      </x:c>
      <x:c r="K331" s="4" t="n">
        <x:v>2.9</x:v>
      </x:c>
      <x:c r="L331" s="4" t="n">
        <x:v>6.18</x:v>
      </x:c>
      <x:c r="M331" s="4" t="n">
        <x:v>4.82</x:v>
      </x:c>
      <x:c r="N331" s="4" t="n">
        <x:v>4.01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3.1</x:v>
      </x:c>
      <x:c r="D332" s="4" t="n">
        <x:v>6.91</x:v>
      </x:c>
      <x:c r="E332" s="4" t="n">
        <x:v>7.49</x:v>
      </x:c>
      <x:c r="F332" s="4" t="n">
        <x:v>6.54</x:v>
      </x:c>
      <x:c r="G332" s="4" t="n">
        <x:v>4.18</x:v>
      </x:c>
      <x:c r="H332" s="4" t="n">
        <x:v>4.19</x:v>
      </x:c>
      <x:c r="I332" s="4" t="n">
        <x:v>8.04</x:v>
      </x:c>
      <x:c r="J332" s="4" t="n">
        <x:v>4.86</x:v>
      </x:c>
      <x:c r="K332" s="4" t="n">
        <x:v>6.95</x:v>
      </x:c>
      <x:c r="L332" s="4" t="n">
        <x:v>7.72</x:v>
      </x:c>
      <x:c r="M332" s="4" t="n">
        <x:v>6.72</x:v>
      </x:c>
      <x:c r="N332" s="4" t="n">
        <x:v>3.86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7.87</x:v>
      </x:c>
      <x:c r="D333" s="4" t="n">
        <x:v>5.65</x:v>
      </x:c>
      <x:c r="E333" s="4" t="n">
        <x:v>5.72</x:v>
      </x:c>
      <x:c r="F333" s="4" t="n">
        <x:v>5.06</x:v>
      </x:c>
      <x:c r="G333" s="4" t="n">
        <x:v>3.09</x:v>
      </x:c>
      <x:c r="H333" s="4" t="n">
        <x:v>5.3</x:v>
      </x:c>
      <x:c r="I333" s="4" t="n">
        <x:v>5.47</x:v>
      </x:c>
      <x:c r="J333" s="4" t="n">
        <x:v>7.47</x:v>
      </x:c>
      <x:c r="K333" s="4" t="n">
        <x:v>6.74</x:v>
      </x:c>
      <x:c r="L333" s="4" t="n">
        <x:v>6.4</x:v>
      </x:c>
      <x:c r="M333" s="4" t="n">
        <x:v>3.74</x:v>
      </x:c>
      <x:c r="N333" s="4" t="n">
        <x:v>3.01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6.58</x:v>
      </x:c>
      <x:c r="D334" s="4" t="n">
        <x:v>4.19</x:v>
      </x:c>
      <x:c r="E334" s="4" t="n">
        <x:v>5.85</x:v>
      </x:c>
      <x:c r="F334" s="4" t="n">
        <x:v>8.21</x:v>
      </x:c>
      <x:c r="G334" s="4" t="n">
        <x:v>6.08</x:v>
      </x:c>
      <x:c r="H334" s="4" t="n">
        <x:v>7.89</x:v>
      </x:c>
      <x:c r="I334" s="4" t="n">
        <x:v>2.89</x:v>
      </x:c>
      <x:c r="J334" s="4" t="n">
        <x:v>3.01</x:v>
      </x:c>
      <x:c r="K334" s="4" t="n">
        <x:v>6.94</x:v>
      </x:c>
      <x:c r="L334" s="4" t="n">
        <x:v>3.7</x:v>
      </x:c>
      <x:c r="M334" s="4" t="n">
        <x:v>3.85</x:v>
      </x:c>
      <x:c r="N334" s="4" t="n">
        <x:v>2.51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7.72</x:v>
      </x:c>
      <x:c r="D335" s="4" t="n">
        <x:v>2.92</x:v>
      </x:c>
      <x:c r="E335" s="4" t="n">
        <x:v>5.44</x:v>
      </x:c>
      <x:c r="F335" s="4" t="n">
        <x:v>3.74</x:v>
      </x:c>
      <x:c r="G335" s="4" t="n">
        <x:v>7.33</x:v>
      </x:c>
      <x:c r="H335" s="4" t="n">
        <x:v>4.62</x:v>
      </x:c>
      <x:c r="I335" s="4" t="n">
        <x:v>5.85</x:v>
      </x:c>
      <x:c r="J335" s="4" t="n">
        <x:v>7.35</x:v>
      </x:c>
      <x:c r="K335" s="4" t="n">
        <x:v>6.09</x:v>
      </x:c>
      <x:c r="L335" s="4" t="n">
        <x:v>7.19</x:v>
      </x:c>
      <x:c r="M335" s="4" t="n">
        <x:v>2.99</x:v>
      </x:c>
      <x:c r="N335" s="4" t="n">
        <x:v>6.84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7.52</x:v>
      </x:c>
      <x:c r="D336" s="4" t="n">
        <x:v>3.17</x:v>
      </x:c>
      <x:c r="E336" s="4" t="n">
        <x:v>4.12</x:v>
      </x:c>
      <x:c r="F336" s="4" t="n">
        <x:v>5.23</x:v>
      </x:c>
      <x:c r="G336" s="4" t="n">
        <x:v>5.69</x:v>
      </x:c>
      <x:c r="H336" s="4" t="n">
        <x:v>2.25</x:v>
      </x:c>
      <x:c r="I336" s="4" t="n">
        <x:v>5.16</x:v>
      </x:c>
      <x:c r="J336" s="4" t="n">
        <x:v>2.9</x:v>
      </x:c>
      <x:c r="K336" s="4" t="n">
        <x:v>8.45</x:v>
      </x:c>
      <x:c r="L336" s="4" t="n">
        <x:v>4.4</x:v>
      </x:c>
      <x:c r="M336" s="4" t="n">
        <x:v>7.59</x:v>
      </x:c>
      <x:c r="N336" s="4" t="n">
        <x:v>7.67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5.13</x:v>
      </x:c>
      <x:c r="D337" s="4" t="n">
        <x:v>5.02</x:v>
      </x:c>
      <x:c r="E337" s="4" t="n">
        <x:v>7.99</x:v>
      </x:c>
      <x:c r="F337" s="4" t="n">
        <x:v>7.46</x:v>
      </x:c>
      <x:c r="G337" s="4" t="n">
        <x:v>8.43</x:v>
      </x:c>
      <x:c r="H337" s="4" t="n">
        <x:v>4.29</x:v>
      </x:c>
      <x:c r="I337" s="4" t="n">
        <x:v>4.05</x:v>
      </x:c>
      <x:c r="J337" s="4" t="n">
        <x:v>5.63</x:v>
      </x:c>
      <x:c r="K337" s="4" t="n">
        <x:v>7.84</x:v>
      </x:c>
      <x:c r="L337" s="4" t="n">
        <x:v>6.17</x:v>
      </x:c>
      <x:c r="M337" s="4" t="n">
        <x:v>7.74</x:v>
      </x:c>
      <x:c r="N337" s="4" t="n">
        <x:v>6.72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3.83</x:v>
      </x:c>
      <x:c r="D338" s="4" t="n">
        <x:v>5.68</x:v>
      </x:c>
      <x:c r="E338" s="4" t="n">
        <x:v>6.99</x:v>
      </x:c>
      <x:c r="F338" s="4" t="n">
        <x:v>3.1</x:v>
      </x:c>
      <x:c r="G338" s="4" t="n">
        <x:v>4.8</x:v>
      </x:c>
      <x:c r="H338" s="4" t="n">
        <x:v>2.62</x:v>
      </x:c>
      <x:c r="I338" s="4" t="n">
        <x:v>5.4</x:v>
      </x:c>
      <x:c r="J338" s="4" t="n">
        <x:v>3.66</x:v>
      </x:c>
      <x:c r="K338" s="4" t="n">
        <x:v>2.7</x:v>
      </x:c>
      <x:c r="L338" s="4" t="n">
        <x:v>3.61</x:v>
      </x:c>
      <x:c r="M338" s="4" t="n">
        <x:v>6.06</x:v>
      </x:c>
      <x:c r="N338" s="4" t="n">
        <x:v>6.92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7.01</x:v>
      </x:c>
      <x:c r="D339" s="4" t="n">
        <x:v>5.06</x:v>
      </x:c>
      <x:c r="E339" s="4" t="n">
        <x:v>7.62</x:v>
      </x:c>
      <x:c r="F339" s="4" t="n">
        <x:v>7.28</x:v>
      </x:c>
      <x:c r="G339" s="4" t="n">
        <x:v>5.34</x:v>
      </x:c>
      <x:c r="H339" s="4" t="n">
        <x:v>2.22</x:v>
      </x:c>
      <x:c r="I339" s="4" t="n">
        <x:v>3.99</x:v>
      </x:c>
      <x:c r="J339" s="4" t="n">
        <x:v>5.12</x:v>
      </x:c>
      <x:c r="K339" s="4" t="n">
        <x:v>4.13</x:v>
      </x:c>
      <x:c r="L339" s="4" t="n">
        <x:v>6.85</x:v>
      </x:c>
      <x:c r="M339" s="4" t="n">
        <x:v>6.08</x:v>
      </x:c>
      <x:c r="N339" s="4" t="n">
        <x:v>8.31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6.17</x:v>
      </x:c>
      <x:c r="D341" s="4" t="n">
        <x:v>3.64</x:v>
      </x:c>
      <x:c r="E341" s="4" t="n">
        <x:v>8.86</x:v>
      </x:c>
      <x:c r="F341" s="4" t="n">
        <x:v>7.51</x:v>
      </x:c>
      <x:c r="G341" s="4" t="n">
        <x:v>6.16</x:v>
      </x:c>
      <x:c r="H341" s="4" t="n">
        <x:v>7.77</x:v>
      </x:c>
      <x:c r="I341" s="4" t="n">
        <x:v>6.94</x:v>
      </x:c>
      <x:c r="J341" s="4" t="n">
        <x:v>5.19</x:v>
      </x:c>
      <x:c r="K341" s="4" t="n">
        <x:v>4.4</x:v>
      </x:c>
      <x:c r="L341" s="4" t="n">
        <x:v>7.93</x:v>
      </x:c>
      <x:c r="M341" s="4" t="n">
        <x:v>5.81</x:v>
      </x:c>
      <x:c r="N341" s="4" t="n">
        <x:v>4.12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2.6</x:v>
      </x:c>
      <x:c r="D342" s="4" t="n">
        <x:v>5.02</x:v>
      </x:c>
      <x:c r="E342" s="4" t="n">
        <x:v>7.19</x:v>
      </x:c>
      <x:c r="F342" s="4" t="n">
        <x:v>7.01</x:v>
      </x:c>
      <x:c r="G342" s="4" t="n">
        <x:v>7.9</x:v>
      </x:c>
      <x:c r="H342" s="4" t="n">
        <x:v>6.17</x:v>
      </x:c>
      <x:c r="I342" s="4" t="n">
        <x:v>7.8</x:v>
      </x:c>
      <x:c r="J342" s="4" t="n">
        <x:v>8.22</x:v>
      </x:c>
      <x:c r="K342" s="4" t="n">
        <x:v>4.09</x:v>
      </x:c>
      <x:c r="L342" s="4" t="n">
        <x:v>4.76</x:v>
      </x:c>
      <x:c r="M342" s="4" t="n">
        <x:v>6.41</x:v>
      </x:c>
      <x:c r="N342" s="4" t="n">
        <x:v>5.96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7.08</x:v>
      </x:c>
      <x:c r="D343" s="4" t="n">
        <x:v>7.67</x:v>
      </x:c>
      <x:c r="E343" s="4" t="n">
        <x:v>7.73</x:v>
      </x:c>
      <x:c r="F343" s="4" t="n">
        <x:v>2.87</x:v>
      </x:c>
      <x:c r="G343" s="4" t="n">
        <x:v>6.45</x:v>
      </x:c>
      <x:c r="H343" s="4" t="n">
        <x:v>5.26</x:v>
      </x:c>
      <x:c r="I343" s="4" t="n">
        <x:v>2.62</x:v>
      </x:c>
      <x:c r="J343" s="4" t="n">
        <x:v>7.58</x:v>
      </x:c>
      <x:c r="K343" s="4" t="n">
        <x:v>8.34</x:v>
      </x:c>
      <x:c r="L343" s="4" t="n">
        <x:v>3.57</x:v>
      </x:c>
      <x:c r="M343" s="4" t="n">
        <x:v>4.65</x:v>
      </x:c>
      <x:c r="N343" s="4" t="n">
        <x:v>8.27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4.53</x:v>
      </x:c>
      <x:c r="D344" s="4" t="n">
        <x:v>4.95</x:v>
      </x:c>
      <x:c r="E344" s="4" t="n">
        <x:v>5.86</x:v>
      </x:c>
      <x:c r="F344" s="4" t="n">
        <x:v>5.33</x:v>
      </x:c>
      <x:c r="G344" s="4" t="n">
        <x:v>3.21</x:v>
      </x:c>
      <x:c r="H344" s="4" t="n">
        <x:v>6.65</x:v>
      </x:c>
      <x:c r="I344" s="4" t="n">
        <x:v>8.49</x:v>
      </x:c>
      <x:c r="J344" s="4" t="n">
        <x:v>4.74</x:v>
      </x:c>
      <x:c r="K344" s="4" t="n">
        <x:v>5.49</x:v>
      </x:c>
      <x:c r="L344" s="4" t="n">
        <x:v>8.52</x:v>
      </x:c>
      <x:c r="M344" s="4" t="n">
        <x:v>8.79</x:v>
      </x:c>
      <x:c r="N344" s="4" t="n">
        <x:v>6.04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4.22</x:v>
      </x:c>
      <x:c r="D345" s="4" t="n">
        <x:v>7.55</x:v>
      </x:c>
      <x:c r="E345" s="4" t="n">
        <x:v>3.59</x:v>
      </x:c>
      <x:c r="F345" s="4" t="n">
        <x:v>6.56</x:v>
      </x:c>
      <x:c r="G345" s="4" t="n">
        <x:v>7.65</x:v>
      </x:c>
      <x:c r="H345" s="4" t="n">
        <x:v>7.97</x:v>
      </x:c>
      <x:c r="I345" s="4" t="n">
        <x:v>8.26</x:v>
      </x:c>
      <x:c r="J345" s="4" t="n">
        <x:v>3.89</x:v>
      </x:c>
      <x:c r="K345" s="4" t="n">
        <x:v>5.65</x:v>
      </x:c>
      <x:c r="L345" s="4" t="n">
        <x:v>6.88</x:v>
      </x:c>
      <x:c r="M345" s="4" t="n">
        <x:v>2.34</x:v>
      </x:c>
      <x:c r="N345" s="4" t="n">
        <x:v>6.05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4.31</x:v>
      </x:c>
      <x:c r="D346" s="4" t="n">
        <x:v>7.27</x:v>
      </x:c>
      <x:c r="E346" s="4" t="n">
        <x:v>7.61</x:v>
      </x:c>
      <x:c r="F346" s="4" t="n">
        <x:v>7.48</x:v>
      </x:c>
      <x:c r="G346" s="4" t="n">
        <x:v>2.66</x:v>
      </x:c>
      <x:c r="H346" s="4" t="n">
        <x:v>4.92</x:v>
      </x:c>
      <x:c r="I346" s="4" t="n">
        <x:v>6.73</x:v>
      </x:c>
      <x:c r="J346" s="4" t="n">
        <x:v>4.63</x:v>
      </x:c>
      <x:c r="K346" s="4" t="n">
        <x:v>8.14</x:v>
      </x:c>
      <x:c r="L346" s="4" t="n">
        <x:v>4.18</x:v>
      </x:c>
      <x:c r="M346" s="4" t="n">
        <x:v>4.48</x:v>
      </x:c>
      <x:c r="N346" s="4" t="n">
        <x:v>5.11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3.37</x:v>
      </x:c>
      <x:c r="D347" s="4" t="n">
        <x:v>2.72</x:v>
      </x:c>
      <x:c r="E347" s="4" t="n">
        <x:v>5.12</x:v>
      </x:c>
      <x:c r="F347" s="4" t="n">
        <x:v>7.15</x:v>
      </x:c>
      <x:c r="G347" s="4" t="n">
        <x:v>8.4</x:v>
      </x:c>
      <x:c r="H347" s="4" t="n">
        <x:v>5.54</x:v>
      </x:c>
      <x:c r="I347" s="4" t="n">
        <x:v>2.73</x:v>
      </x:c>
      <x:c r="J347" s="4" t="n">
        <x:v>8.15</x:v>
      </x:c>
      <x:c r="K347" s="4" t="n">
        <x:v>3.43</x:v>
      </x:c>
      <x:c r="L347" s="4" t="n">
        <x:v>3.25</x:v>
      </x:c>
      <x:c r="M347" s="4" t="n">
        <x:v>2.29</x:v>
      </x:c>
      <x:c r="N347" s="4" t="n">
        <x:v>5.35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7.65</x:v>
      </x:c>
      <x:c r="D348" s="4" t="n">
        <x:v>3.7</x:v>
      </x:c>
      <x:c r="E348" s="4" t="n">
        <x:v>5.3</x:v>
      </x:c>
      <x:c r="F348" s="4" t="n">
        <x:v>7.24</x:v>
      </x:c>
      <x:c r="G348" s="4" t="n">
        <x:v>5.71</x:v>
      </x:c>
      <x:c r="H348" s="4" t="n">
        <x:v>6.37</x:v>
      </x:c>
      <x:c r="I348" s="4" t="n">
        <x:v>5.92</x:v>
      </x:c>
      <x:c r="J348" s="4" t="n">
        <x:v>2.28</x:v>
      </x:c>
      <x:c r="K348" s="4" t="n">
        <x:v>5.83</x:v>
      </x:c>
      <x:c r="L348" s="4" t="n">
        <x:v>3.33</x:v>
      </x:c>
      <x:c r="M348" s="4" t="n">
        <x:v>4.58</x:v>
      </x:c>
      <x:c r="N348" s="4" t="n">
        <x:v>8.68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7.57</x:v>
      </x:c>
      <x:c r="D350" s="4" t="n">
        <x:v>6.37</x:v>
      </x:c>
      <x:c r="E350" s="4" t="n">
        <x:v>2.25</x:v>
      </x:c>
      <x:c r="F350" s="4" t="n">
        <x:v>2.19</x:v>
      </x:c>
      <x:c r="G350" s="4" t="n">
        <x:v>3.24</x:v>
      </x:c>
      <x:c r="H350" s="4" t="n">
        <x:v>2.96</x:v>
      </x:c>
      <x:c r="I350" s="4" t="n">
        <x:v>7.97</x:v>
      </x:c>
      <x:c r="J350" s="4" t="n">
        <x:v>4.23</x:v>
      </x:c>
      <x:c r="K350" s="4" t="n">
        <x:v>8.01</x:v>
      </x:c>
      <x:c r="L350" s="4" t="n">
        <x:v>3.45</x:v>
      </x:c>
      <x:c r="M350" s="4" t="n">
        <x:v>3.45</x:v>
      </x:c>
      <x:c r="N350" s="4" t="n">
        <x:v>8.86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7.46</x:v>
      </x:c>
      <x:c r="D351" s="4" t="n">
        <x:v>8.14</x:v>
      </x:c>
      <x:c r="E351" s="4" t="n">
        <x:v>2.49</x:v>
      </x:c>
      <x:c r="F351" s="4" t="n">
        <x:v>6.33</x:v>
      </x:c>
      <x:c r="G351" s="4" t="n">
        <x:v>6.48</x:v>
      </x:c>
      <x:c r="H351" s="4" t="n">
        <x:v>6.27</x:v>
      </x:c>
      <x:c r="I351" s="4" t="n">
        <x:v>4.11</x:v>
      </x:c>
      <x:c r="J351" s="4" t="n">
        <x:v>6.31</x:v>
      </x:c>
      <x:c r="K351" s="4" t="n">
        <x:v>3.86</x:v>
      </x:c>
      <x:c r="L351" s="4" t="n">
        <x:v>5.99</x:v>
      </x:c>
      <x:c r="M351" s="4" t="n">
        <x:v>5.92</x:v>
      </x:c>
      <x:c r="N351" s="4" t="n">
        <x:v>3.46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6.94</x:v>
      </x:c>
      <x:c r="D352" s="4" t="n">
        <x:v>6.43</x:v>
      </x:c>
      <x:c r="E352" s="4" t="n">
        <x:v>6.92</x:v>
      </x:c>
      <x:c r="F352" s="4" t="n">
        <x:v>5.81</x:v>
      </x:c>
      <x:c r="G352" s="4" t="n">
        <x:v>8.1</x:v>
      </x:c>
      <x:c r="H352" s="4" t="n">
        <x:v>5.65</x:v>
      </x:c>
      <x:c r="I352" s="4" t="n">
        <x:v>8.09</x:v>
      </x:c>
      <x:c r="J352" s="4" t="n">
        <x:v>5.44</x:v>
      </x:c>
      <x:c r="K352" s="4" t="n">
        <x:v>3.31</x:v>
      </x:c>
      <x:c r="L352" s="4" t="n">
        <x:v>2.23</x:v>
      </x:c>
      <x:c r="M352" s="4" t="n">
        <x:v>7.97</x:v>
      </x:c>
      <x:c r="N352" s="4" t="n">
        <x:v>8.33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2.33</x:v>
      </x:c>
      <x:c r="D353" s="4" t="n">
        <x:v>7.31</x:v>
      </x:c>
      <x:c r="E353" s="4" t="n">
        <x:v>4.89</x:v>
      </x:c>
      <x:c r="F353" s="4" t="n">
        <x:v>4.95</x:v>
      </x:c>
      <x:c r="G353" s="4" t="n">
        <x:v>8.88</x:v>
      </x:c>
      <x:c r="H353" s="4" t="n">
        <x:v>4.07</x:v>
      </x:c>
      <x:c r="I353" s="4" t="n">
        <x:v>6.57</x:v>
      </x:c>
      <x:c r="J353" s="4" t="n">
        <x:v>3.37</x:v>
      </x:c>
      <x:c r="K353" s="4" t="n">
        <x:v>8.15</x:v>
      </x:c>
      <x:c r="L353" s="4" t="n">
        <x:v>6.64</x:v>
      </x:c>
      <x:c r="M353" s="4" t="n">
        <x:v>8.33</x:v>
      </x:c>
      <x:c r="N353" s="4" t="n">
        <x:v>8.06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 t="str">
        <x:v>工资数量</x:v>
      </x:c>
      <x:c r="C384" s="4" t="n">
        <x:v>7.39</x:v>
      </x:c>
      <x:c r="D384" s="4" t="n">
        <x:v>8.83</x:v>
      </x:c>
      <x:c r="E384" s="4" t="n">
        <x:v>2.53</x:v>
      </x:c>
      <x:c r="F384" s="4" t="n">
        <x:v>6.14</x:v>
      </x:c>
      <x:c r="G384" s="4" t="n">
        <x:v>4.8</x:v>
      </x:c>
      <x:c r="H384" s="4" t="n">
        <x:v>6.51</x:v>
      </x:c>
      <x:c r="I384" s="4" t="n">
        <x:v>6.02</x:v>
      </x:c>
      <x:c r="J384" s="4" t="n">
        <x:v>5.68</x:v>
      </x:c>
      <x:c r="K384" s="4" t="n">
        <x:v>3.98</x:v>
      </x:c>
      <x:c r="L384" s="4" t="n">
        <x:v>7.38</x:v>
      </x:c>
      <x:c r="M384" s="4" t="n">
        <x:v>2.43</x:v>
      </x:c>
      <x:c r="N384" s="4" t="n">
        <x:v>6.8</x:v>
      </x:c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 t="str">
        <x:v>十三薪数量</x:v>
      </x:c>
      <x:c r="C385" s="4" t="n">
        <x:v>8.12</x:v>
      </x:c>
      <x:c r="D385" s="4" t="n">
        <x:v>2.72</x:v>
      </x:c>
      <x:c r="E385" s="4" t="n">
        <x:v>7.51</x:v>
      </x:c>
      <x:c r="F385" s="4" t="n">
        <x:v>7.03</x:v>
      </x:c>
      <x:c r="G385" s="4" t="n">
        <x:v>7.72</x:v>
      </x:c>
      <x:c r="H385" s="4" t="n">
        <x:v>2.29</x:v>
      </x:c>
      <x:c r="I385" s="4" t="n">
        <x:v>4.96</x:v>
      </x:c>
      <x:c r="J385" s="4" t="n">
        <x:v>3.69</x:v>
      </x:c>
      <x:c r="K385" s="4" t="n">
        <x:v>7.75</x:v>
      </x:c>
      <x:c r="L385" s="4" t="n">
        <x:v>3.28</x:v>
      </x:c>
      <x:c r="M385" s="4" t="n">
        <x:v>8.14</x:v>
      </x:c>
      <x:c r="N385" s="4" t="n">
        <x:v>8.28</x:v>
      </x:c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 t="str">
        <x:v>离职补偿金数量</x:v>
      </x:c>
      <x:c r="C386" s="4" t="n">
        <x:v>3.76</x:v>
      </x:c>
      <x:c r="D386" s="4" t="n">
        <x:v>4.79</x:v>
      </x:c>
      <x:c r="E386" s="4" t="n">
        <x:v>6.35</x:v>
      </x:c>
      <x:c r="F386" s="4" t="n">
        <x:v>6.67</x:v>
      </x:c>
      <x:c r="G386" s="4" t="n">
        <x:v>2.78</x:v>
      </x:c>
      <x:c r="H386" s="4" t="n">
        <x:v>7.24</x:v>
      </x:c>
      <x:c r="I386" s="4" t="n">
        <x:v>6.51</x:v>
      </x:c>
      <x:c r="J386" s="4" t="n">
        <x:v>8.84</x:v>
      </x:c>
      <x:c r="K386" s="4" t="n">
        <x:v>7.28</x:v>
      </x:c>
      <x:c r="L386" s="4" t="n">
        <x:v>6.88</x:v>
      </x:c>
      <x:c r="M386" s="4" t="n">
        <x:v>6.67</x:v>
      </x:c>
      <x:c r="N386" s="4" t="n">
        <x:v>2.17</x:v>
      </x:c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 t="str">
        <x:v>五险一金数量</x:v>
      </x:c>
      <x:c r="C387" s="4" t="n">
        <x:v>6.05</x:v>
      </x:c>
      <x:c r="D387" s="4" t="n">
        <x:v>3.34</x:v>
      </x:c>
      <x:c r="E387" s="4" t="n">
        <x:v>5.92</x:v>
      </x:c>
      <x:c r="F387" s="4" t="n">
        <x:v>5.21</x:v>
      </x:c>
      <x:c r="G387" s="4" t="n">
        <x:v>8.49</x:v>
      </x:c>
      <x:c r="H387" s="4" t="n">
        <x:v>5.03</x:v>
      </x:c>
      <x:c r="I387" s="4" t="n">
        <x:v>8.08</x:v>
      </x:c>
      <x:c r="J387" s="4" t="n">
        <x:v>6.94</x:v>
      </x:c>
      <x:c r="K387" s="4" t="n">
        <x:v>8.28</x:v>
      </x:c>
      <x:c r="L387" s="4" t="n">
        <x:v>4.55</x:v>
      </x:c>
      <x:c r="M387" s="4" t="n">
        <x:v>6.18</x:v>
      </x:c>
      <x:c r="N387" s="4" t="n">
        <x:v>7.91</x:v>
      </x:c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 t="str">
        <x:v>福利费数量</x:v>
      </x:c>
      <x:c r="C388" s="4" t="n">
        <x:v>2.8</x:v>
      </x:c>
      <x:c r="D388" s="4" t="n">
        <x:v>8.51</x:v>
      </x:c>
      <x:c r="E388" s="4" t="n">
        <x:v>6.11</x:v>
      </x:c>
      <x:c r="F388" s="4" t="n">
        <x:v>4.96</x:v>
      </x:c>
      <x:c r="G388" s="4" t="n">
        <x:v>8.44</x:v>
      </x:c>
      <x:c r="H388" s="4" t="n">
        <x:v>6.86</x:v>
      </x:c>
      <x:c r="I388" s="4" t="n">
        <x:v>7.09</x:v>
      </x:c>
      <x:c r="J388" s="4" t="n">
        <x:v>8.08</x:v>
      </x:c>
      <x:c r="K388" s="4" t="n">
        <x:v>4.72</x:v>
      </x:c>
      <x:c r="L388" s="4" t="n">
        <x:v>3.72</x:v>
      </x:c>
      <x:c r="M388" s="4" t="n">
        <x:v>3.28</x:v>
      </x:c>
      <x:c r="N388" s="4" t="n">
        <x:v>4.69</x:v>
      </x:c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 t="str">
        <x:v>招聘费数量</x:v>
      </x:c>
      <x:c r="C389" s="4" t="n">
        <x:v>3.91</x:v>
      </x:c>
      <x:c r="D389" s="4" t="n">
        <x:v>3.43</x:v>
      </x:c>
      <x:c r="E389" s="4" t="n">
        <x:v>8.32</x:v>
      </x:c>
      <x:c r="F389" s="4" t="n">
        <x:v>6.62</x:v>
      </x:c>
      <x:c r="G389" s="4" t="n">
        <x:v>7.77</x:v>
      </x:c>
      <x:c r="H389" s="4" t="n">
        <x:v>2.55</x:v>
      </x:c>
      <x:c r="I389" s="4" t="n">
        <x:v>5.1</x:v>
      </x:c>
      <x:c r="J389" s="4" t="n">
        <x:v>5.65</x:v>
      </x:c>
      <x:c r="K389" s="4" t="n">
        <x:v>6.85</x:v>
      </x:c>
      <x:c r="L389" s="4" t="n">
        <x:v>3.59</x:v>
      </x:c>
      <x:c r="M389" s="4" t="n">
        <x:v>7.41</x:v>
      </x:c>
      <x:c r="N389" s="4" t="n">
        <x:v>7.99</x:v>
      </x:c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 t="str">
        <x:v>培训费数量</x:v>
      </x:c>
      <x:c r="C390" s="4" t="n">
        <x:v>7.44</x:v>
      </x:c>
      <x:c r="D390" s="4" t="n">
        <x:v>4.23</x:v>
      </x:c>
      <x:c r="E390" s="4" t="n">
        <x:v>5.31</x:v>
      </x:c>
      <x:c r="F390" s="4" t="n">
        <x:v>7.81</x:v>
      </x:c>
      <x:c r="G390" s="4" t="n">
        <x:v>4.79</x:v>
      </x:c>
      <x:c r="H390" s="4" t="n">
        <x:v>3.2</x:v>
      </x:c>
      <x:c r="I390" s="4" t="n">
        <x:v>3.72</x:v>
      </x:c>
      <x:c r="J390" s="4" t="n">
        <x:v>7.3</x:v>
      </x:c>
      <x:c r="K390" s="4" t="n">
        <x:v>7.24</x:v>
      </x:c>
      <x:c r="L390" s="4" t="n">
        <x:v>2.35</x:v>
      </x:c>
      <x:c r="M390" s="4" t="n">
        <x:v>6.45</x:v>
      </x:c>
      <x:c r="N390" s="4" t="n">
        <x:v>4.96</x:v>
      </x:c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 t="str">
        <x:v>房租数量</x:v>
      </x:c>
      <x:c r="C391" s="4" t="n">
        <x:v>4.7</x:v>
      </x:c>
      <x:c r="D391" s="4" t="n">
        <x:v>2.36</x:v>
      </x:c>
      <x:c r="E391" s="4" t="n">
        <x:v>3.58</x:v>
      </x:c>
      <x:c r="F391" s="4" t="n">
        <x:v>3.22</x:v>
      </x:c>
      <x:c r="G391" s="4" t="n">
        <x:v>4.23</x:v>
      </x:c>
      <x:c r="H391" s="4" t="n">
        <x:v>5.3</x:v>
      </x:c>
      <x:c r="I391" s="4" t="n">
        <x:v>4.82</x:v>
      </x:c>
      <x:c r="J391" s="4" t="n">
        <x:v>4.01</x:v>
      </x:c>
      <x:c r="K391" s="4" t="n">
        <x:v>6.95</x:v>
      </x:c>
      <x:c r="L391" s="4" t="n">
        <x:v>5.93</x:v>
      </x:c>
      <x:c r="M391" s="4" t="n">
        <x:v>3.87</x:v>
      </x:c>
      <x:c r="N391" s="4" t="n">
        <x:v>7.67</x:v>
      </x:c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 t="str">
        <x:v>物业管理费数量</x:v>
      </x:c>
      <x:c r="C392" s="4" t="n">
        <x:v>6.1</x:v>
      </x:c>
      <x:c r="D392" s="4" t="n">
        <x:v>8.47</x:v>
      </x:c>
      <x:c r="E392" s="4" t="n">
        <x:v>7.13</x:v>
      </x:c>
      <x:c r="F392" s="4" t="n">
        <x:v>3.24</x:v>
      </x:c>
      <x:c r="G392" s="4" t="n">
        <x:v>3.77</x:v>
      </x:c>
      <x:c r="H392" s="4" t="n">
        <x:v>7.25</x:v>
      </x:c>
      <x:c r="I392" s="4" t="n">
        <x:v>5.21</x:v>
      </x:c>
      <x:c r="J392" s="4" t="n">
        <x:v>3.26</x:v>
      </x:c>
      <x:c r="K392" s="4" t="n">
        <x:v>5.25</x:v>
      </x:c>
      <x:c r="L392" s="4" t="n">
        <x:v>6.99</x:v>
      </x:c>
      <x:c r="M392" s="4" t="n">
        <x:v>3.93</x:v>
      </x:c>
      <x:c r="N392" s="4" t="n">
        <x:v>4.66</x:v>
      </x:c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 t="str">
        <x:v>汽车费用数量</x:v>
      </x:c>
      <x:c r="C393" s="4" t="n">
        <x:v>7.68</x:v>
      </x:c>
      <x:c r="D393" s="4" t="n">
        <x:v>2.55</x:v>
      </x:c>
      <x:c r="E393" s="4" t="n">
        <x:v>4.6</x:v>
      </x:c>
      <x:c r="F393" s="4" t="n">
        <x:v>7.19</x:v>
      </x:c>
      <x:c r="G393" s="4" t="n">
        <x:v>4.42</x:v>
      </x:c>
      <x:c r="H393" s="4" t="n">
        <x:v>5.57</x:v>
      </x:c>
      <x:c r="I393" s="4" t="n">
        <x:v>3.01</x:v>
      </x:c>
      <x:c r="J393" s="4" t="n">
        <x:v>8.64</x:v>
      </x:c>
      <x:c r="K393" s="4" t="n">
        <x:v>7.13</x:v>
      </x:c>
      <x:c r="L393" s="4" t="n">
        <x:v>8.74</x:v>
      </x:c>
      <x:c r="M393" s="4" t="n">
        <x:v>4.61</x:v>
      </x:c>
      <x:c r="N393" s="4" t="n">
        <x:v>5.52</x:v>
      </x:c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 t="str">
        <x:v>办公费数量</x:v>
      </x:c>
      <x:c r="C394" s="4" t="n">
        <x:v>6.47</x:v>
      </x:c>
      <x:c r="D394" s="4" t="n">
        <x:v>8.36</x:v>
      </x:c>
      <x:c r="E394" s="4" t="n">
        <x:v>8.07</x:v>
      </x:c>
      <x:c r="F394" s="4" t="n">
        <x:v>5.65</x:v>
      </x:c>
      <x:c r="G394" s="4" t="n">
        <x:v>6.76</x:v>
      </x:c>
      <x:c r="H394" s="4" t="n">
        <x:v>7.93</x:v>
      </x:c>
      <x:c r="I394" s="4" t="n">
        <x:v>2.42</x:v>
      </x:c>
      <x:c r="J394" s="4" t="n">
        <x:v>5.77</x:v>
      </x:c>
      <x:c r="K394" s="4" t="n">
        <x:v>7.32</x:v>
      </x:c>
      <x:c r="L394" s="4" t="n">
        <x:v>3.87</x:v>
      </x:c>
      <x:c r="M394" s="4" t="n">
        <x:v>3.3</x:v>
      </x:c>
      <x:c r="N394" s="4" t="n">
        <x:v>7.14</x:v>
      </x:c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 t="str">
        <x:v>办公用品数量</x:v>
      </x:c>
      <x:c r="C395" s="4" t="n">
        <x:v>8.24</x:v>
      </x:c>
      <x:c r="D395" s="4" t="n">
        <x:v>5.81</x:v>
      </x:c>
      <x:c r="E395" s="4" t="n">
        <x:v>4.43</x:v>
      </x:c>
      <x:c r="F395" s="4" t="n">
        <x:v>7.28</x:v>
      </x:c>
      <x:c r="G395" s="4" t="n">
        <x:v>6.68</x:v>
      </x:c>
      <x:c r="H395" s="4" t="n">
        <x:v>6.07</x:v>
      </x:c>
      <x:c r="I395" s="4" t="n">
        <x:v>2.63</x:v>
      </x:c>
      <x:c r="J395" s="4" t="n">
        <x:v>4.59</x:v>
      </x:c>
      <x:c r="K395" s="4" t="n">
        <x:v>3.48</x:v>
      </x:c>
      <x:c r="L395" s="4" t="n">
        <x:v>8.29</x:v>
      </x:c>
      <x:c r="M395" s="4" t="n">
        <x:v>8.82</x:v>
      </x:c>
      <x:c r="N395" s="4" t="n">
        <x:v>8.23</x:v>
      </x:c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 t="str">
        <x:v>水电煤数量</x:v>
      </x:c>
      <x:c r="C396" s="4" t="n">
        <x:v>6.72</x:v>
      </x:c>
      <x:c r="D396" s="4" t="n">
        <x:v>2.58</x:v>
      </x:c>
      <x:c r="E396" s="4" t="n">
        <x:v>5.89</x:v>
      </x:c>
      <x:c r="F396" s="4" t="n">
        <x:v>7.54</x:v>
      </x:c>
      <x:c r="G396" s="4" t="n">
        <x:v>2.35</x:v>
      </x:c>
      <x:c r="H396" s="4" t="n">
        <x:v>6.66</x:v>
      </x:c>
      <x:c r="I396" s="4" t="n">
        <x:v>6.31</x:v>
      </x:c>
      <x:c r="J396" s="4" t="n">
        <x:v>5.89</x:v>
      </x:c>
      <x:c r="K396" s="4" t="n">
        <x:v>7.46</x:v>
      </x:c>
      <x:c r="L396" s="4" t="n">
        <x:v>3.33</x:v>
      </x:c>
      <x:c r="M396" s="4" t="n">
        <x:v>5.86</x:v>
      </x:c>
      <x:c r="N396" s="4" t="n">
        <x:v>2.68</x:v>
      </x:c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 t="str">
        <x:v>咨询服务费数量</x:v>
      </x:c>
      <x:c r="C397" s="4" t="n">
        <x:v>4.96</x:v>
      </x:c>
      <x:c r="D397" s="4" t="n">
        <x:v>6.77</x:v>
      </x:c>
      <x:c r="E397" s="4" t="n">
        <x:v>2.69</x:v>
      </x:c>
      <x:c r="F397" s="4" t="n">
        <x:v>3.9</x:v>
      </x:c>
      <x:c r="G397" s="4" t="n">
        <x:v>4.14</x:v>
      </x:c>
      <x:c r="H397" s="4" t="n">
        <x:v>8.72</x:v>
      </x:c>
      <x:c r="I397" s="4" t="n">
        <x:v>4.53</x:v>
      </x:c>
      <x:c r="J397" s="4" t="n">
        <x:v>7.78</x:v>
      </x:c>
      <x:c r="K397" s="4" t="n">
        <x:v>8.6</x:v>
      </x:c>
      <x:c r="L397" s="4" t="n">
        <x:v>8.21</x:v>
      </x:c>
      <x:c r="M397" s="4" t="n">
        <x:v>6.49</x:v>
      </x:c>
      <x:c r="N397" s="4" t="n">
        <x:v>3.71</x:v>
      </x:c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 t="str">
        <x:v>电话费数量</x:v>
      </x:c>
      <x:c r="C398" s="4" t="n">
        <x:v>7.47</x:v>
      </x:c>
      <x:c r="D398" s="4" t="n">
        <x:v>6.21</x:v>
      </x:c>
      <x:c r="E398" s="4" t="n">
        <x:v>2.87</x:v>
      </x:c>
      <x:c r="F398" s="4" t="n">
        <x:v>3.1</x:v>
      </x:c>
      <x:c r="G398" s="4" t="n">
        <x:v>7.35</x:v>
      </x:c>
      <x:c r="H398" s="4" t="n">
        <x:v>5.7</x:v>
      </x:c>
      <x:c r="I398" s="4" t="n">
        <x:v>6.45</x:v>
      </x:c>
      <x:c r="J398" s="4" t="n">
        <x:v>3.17</x:v>
      </x:c>
      <x:c r="K398" s="4" t="n">
        <x:v>3.52</x:v>
      </x:c>
      <x:c r="L398" s="4" t="n">
        <x:v>4.68</x:v>
      </x:c>
      <x:c r="M398" s="4" t="n">
        <x:v>5.64</x:v>
      </x:c>
      <x:c r="N398" s="4" t="n">
        <x:v>7.17</x:v>
      </x:c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 t="str">
        <x:v>快递费数量</x:v>
      </x:c>
      <x:c r="C399" s="4" t="n">
        <x:v>3.07</x:v>
      </x:c>
      <x:c r="D399" s="4" t="n">
        <x:v>3.14</x:v>
      </x:c>
      <x:c r="E399" s="4" t="n">
        <x:v>5.69</x:v>
      </x:c>
      <x:c r="F399" s="4" t="n">
        <x:v>2.47</x:v>
      </x:c>
      <x:c r="G399" s="4" t="n">
        <x:v>3.18</x:v>
      </x:c>
      <x:c r="H399" s="4" t="n">
        <x:v>2.71</x:v>
      </x:c>
      <x:c r="I399" s="4" t="n">
        <x:v>4.83</x:v>
      </x:c>
      <x:c r="J399" s="4" t="n">
        <x:v>6.43</x:v>
      </x:c>
      <x:c r="K399" s="4" t="n">
        <x:v>4.89</x:v>
      </x:c>
      <x:c r="L399" s="4" t="n">
        <x:v>8.18</x:v>
      </x:c>
      <x:c r="M399" s="4" t="n">
        <x:v>8.14</x:v>
      </x:c>
      <x:c r="N399" s="4" t="n">
        <x:v>4.09</x:v>
      </x:c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 t="str">
        <x:v>折旧及摊销数量</x:v>
      </x:c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 t="str">
        <x:v>机票火车票数量</x:v>
      </x:c>
      <x:c r="C401" s="4" t="n">
        <x:v>6.54</x:v>
      </x:c>
      <x:c r="D401" s="4" t="n">
        <x:v>6.79</x:v>
      </x:c>
      <x:c r="E401" s="4" t="n">
        <x:v>5.65</x:v>
      </x:c>
      <x:c r="F401" s="4" t="n">
        <x:v>4.88</x:v>
      </x:c>
      <x:c r="G401" s="4" t="n">
        <x:v>7.32</x:v>
      </x:c>
      <x:c r="H401" s="4" t="n">
        <x:v>6.68</x:v>
      </x:c>
      <x:c r="I401" s="4" t="n">
        <x:v>4.56</x:v>
      </x:c>
      <x:c r="J401" s="4" t="n">
        <x:v>5.12</x:v>
      </x:c>
      <x:c r="K401" s="4" t="n">
        <x:v>5.55</x:v>
      </x:c>
      <x:c r="L401" s="4" t="n">
        <x:v>8.25</x:v>
      </x:c>
      <x:c r="M401" s="4" t="n">
        <x:v>3.63</x:v>
      </x:c>
      <x:c r="N401" s="4" t="n">
        <x:v>4.59</x:v>
      </x:c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 t="str">
        <x:v>住宿费数量</x:v>
      </x:c>
      <x:c r="C402" s="4" t="n">
        <x:v>7.61</x:v>
      </x:c>
      <x:c r="D402" s="4" t="n">
        <x:v>8.2</x:v>
      </x:c>
      <x:c r="E402" s="4" t="n">
        <x:v>7.38</x:v>
      </x:c>
      <x:c r="F402" s="4" t="n">
        <x:v>2.19</x:v>
      </x:c>
      <x:c r="G402" s="4" t="n">
        <x:v>8.55</x:v>
      </x:c>
      <x:c r="H402" s="4" t="n">
        <x:v>6.32</x:v>
      </x:c>
      <x:c r="I402" s="4" t="n">
        <x:v>4.01</x:v>
      </x:c>
      <x:c r="J402" s="4" t="n">
        <x:v>6.66</x:v>
      </x:c>
      <x:c r="K402" s="4" t="n">
        <x:v>7.47</x:v>
      </x:c>
      <x:c r="L402" s="4" t="n">
        <x:v>8.72</x:v>
      </x:c>
      <x:c r="M402" s="4" t="n">
        <x:v>7.29</x:v>
      </x:c>
      <x:c r="N402" s="4" t="n">
        <x:v>4.78</x:v>
      </x:c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 t="str">
        <x:v>交通费数量</x:v>
      </x:c>
      <x:c r="C403" s="4" t="n">
        <x:v>3.04</x:v>
      </x:c>
      <x:c r="D403" s="4" t="n">
        <x:v>2.36</x:v>
      </x:c>
      <x:c r="E403" s="4" t="n">
        <x:v>4.5</x:v>
      </x:c>
      <x:c r="F403" s="4" t="n">
        <x:v>7.92</x:v>
      </x:c>
      <x:c r="G403" s="4" t="n">
        <x:v>5.54</x:v>
      </x:c>
      <x:c r="H403" s="4" t="n">
        <x:v>8.35</x:v>
      </x:c>
      <x:c r="I403" s="4" t="n">
        <x:v>6.64</x:v>
      </x:c>
      <x:c r="J403" s="4" t="n">
        <x:v>7.46</x:v>
      </x:c>
      <x:c r="K403" s="4" t="n">
        <x:v>7.94</x:v>
      </x:c>
      <x:c r="L403" s="4" t="n">
        <x:v>6.6</x:v>
      </x:c>
      <x:c r="M403" s="4" t="n">
        <x:v>3.16</x:v>
      </x:c>
      <x:c r="N403" s="4" t="n">
        <x:v>4.07</x:v>
      </x:c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 t="str">
        <x:v>差旅补贴数量</x:v>
      </x:c>
      <x:c r="C404" s="4" t="n">
        <x:v>4.65</x:v>
      </x:c>
      <x:c r="D404" s="4" t="n">
        <x:v>6.98</x:v>
      </x:c>
      <x:c r="E404" s="4" t="n">
        <x:v>6.05</x:v>
      </x:c>
      <x:c r="F404" s="4" t="n">
        <x:v>2.59</x:v>
      </x:c>
      <x:c r="G404" s="4" t="n">
        <x:v>8.73</x:v>
      </x:c>
      <x:c r="H404" s="4" t="n">
        <x:v>2.17</x:v>
      </x:c>
      <x:c r="I404" s="4" t="n">
        <x:v>6.51</x:v>
      </x:c>
      <x:c r="J404" s="4" t="n">
        <x:v>2.47</x:v>
      </x:c>
      <x:c r="K404" s="4" t="n">
        <x:v>3.48</x:v>
      </x:c>
      <x:c r="L404" s="4" t="n">
        <x:v>6.44</x:v>
      </x:c>
      <x:c r="M404" s="4" t="n">
        <x:v>7.43</x:v>
      </x:c>
      <x:c r="N404" s="4" t="n">
        <x:v>3.08</x:v>
      </x:c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 t="str">
        <x:v>业务招待费数量</x:v>
      </x:c>
      <x:c r="C405" s="4" t="n">
        <x:v>5.6</x:v>
      </x:c>
      <x:c r="D405" s="4" t="n">
        <x:v>2.35</x:v>
      </x:c>
      <x:c r="E405" s="4" t="n">
        <x:v>4.83</x:v>
      </x:c>
      <x:c r="F405" s="4" t="n">
        <x:v>7.81</x:v>
      </x:c>
      <x:c r="G405" s="4" t="n">
        <x:v>4.55</x:v>
      </x:c>
      <x:c r="H405" s="4" t="n">
        <x:v>7.81</x:v>
      </x:c>
      <x:c r="I405" s="4" t="n">
        <x:v>2.61</x:v>
      </x:c>
      <x:c r="J405" s="4" t="n">
        <x:v>6.56</x:v>
      </x:c>
      <x:c r="K405" s="4" t="n">
        <x:v>5.96</x:v>
      </x:c>
      <x:c r="L405" s="4" t="n">
        <x:v>7.72</x:v>
      </x:c>
      <x:c r="M405" s="4" t="n">
        <x:v>8.87</x:v>
      </x:c>
      <x:c r="N405" s="4" t="n">
        <x:v>5.55</x:v>
      </x:c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 t="str">
        <x:v>市内交通费数量</x:v>
      </x:c>
      <x:c r="C406" s="4" t="n">
        <x:v>8.84</x:v>
      </x:c>
      <x:c r="D406" s="4" t="n">
        <x:v>4.83</x:v>
      </x:c>
      <x:c r="E406" s="4" t="n">
        <x:v>6.21</x:v>
      </x:c>
      <x:c r="F406" s="4" t="n">
        <x:v>6.47</x:v>
      </x:c>
      <x:c r="G406" s="4" t="n">
        <x:v>3.74</x:v>
      </x:c>
      <x:c r="H406" s="4" t="n">
        <x:v>7.98</x:v>
      </x:c>
      <x:c r="I406" s="4" t="n">
        <x:v>7.54</x:v>
      </x:c>
      <x:c r="J406" s="4" t="n">
        <x:v>5.24</x:v>
      </x:c>
      <x:c r="K406" s="4" t="n">
        <x:v>7.52</x:v>
      </x:c>
      <x:c r="L406" s="4" t="n">
        <x:v>3.53</x:v>
      </x:c>
      <x:c r="M406" s="4" t="n">
        <x:v>5.29</x:v>
      </x:c>
      <x:c r="N406" s="4" t="n">
        <x:v>5.21</x:v>
      </x:c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 t="str">
        <x:v>调研费用数量</x:v>
      </x:c>
      <x:c r="C407" s="4" t="n">
        <x:v>7.35</x:v>
      </x:c>
      <x:c r="D407" s="4" t="n">
        <x:v>5.33</x:v>
      </x:c>
      <x:c r="E407" s="4" t="n">
        <x:v>7.26</x:v>
      </x:c>
      <x:c r="F407" s="4" t="n">
        <x:v>3.53</x:v>
      </x:c>
      <x:c r="G407" s="4" t="n">
        <x:v>5.87</x:v>
      </x:c>
      <x:c r="H407" s="4" t="n">
        <x:v>3.72</x:v>
      </x:c>
      <x:c r="I407" s="4" t="n">
        <x:v>3.72</x:v>
      </x:c>
      <x:c r="J407" s="4" t="n">
        <x:v>4.02</x:v>
      </x:c>
      <x:c r="K407" s="4" t="n">
        <x:v>3.35</x:v>
      </x:c>
      <x:c r="L407" s="4" t="n">
        <x:v>6.67</x:v>
      </x:c>
      <x:c r="M407" s="4" t="n">
        <x:v>2.25</x:v>
      </x:c>
      <x:c r="N407" s="4" t="n">
        <x:v>8.32</x:v>
      </x:c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 t="str">
        <x:v>手续费数量</x:v>
      </x:c>
      <x:c r="C408" s="4" t="n">
        <x:v>8.84</x:v>
      </x:c>
      <x:c r="D408" s="4" t="n">
        <x:v>4.22</x:v>
      </x:c>
      <x:c r="E408" s="4" t="n">
        <x:v>2.27</x:v>
      </x:c>
      <x:c r="F408" s="4" t="n">
        <x:v>6.41</x:v>
      </x:c>
      <x:c r="G408" s="4" t="n">
        <x:v>6.81</x:v>
      </x:c>
      <x:c r="H408" s="4" t="n">
        <x:v>5.16</x:v>
      </x:c>
      <x:c r="I408" s="4" t="n">
        <x:v>3.73</x:v>
      </x:c>
      <x:c r="J408" s="4" t="n">
        <x:v>6.13</x:v>
      </x:c>
      <x:c r="K408" s="4" t="n">
        <x:v>4.29</x:v>
      </x:c>
      <x:c r="L408" s="4" t="n">
        <x:v>6.65</x:v>
      </x:c>
      <x:c r="M408" s="4" t="n">
        <x:v>5.65</x:v>
      </x:c>
      <x:c r="N408" s="4" t="n">
        <x:v>4.45</x:v>
      </x:c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 t="str">
        <x:v>利息收入数量</x:v>
      </x:c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 t="str">
        <x:v>利息支出数量</x:v>
      </x:c>
      <x:c r="C410" s="4" t="n">
        <x:v>4.93</x:v>
      </x:c>
      <x:c r="D410" s="4" t="n">
        <x:v>2.3</x:v>
      </x:c>
      <x:c r="E410" s="4" t="n">
        <x:v>2.28</x:v>
      </x:c>
      <x:c r="F410" s="4" t="n">
        <x:v>4.58</x:v>
      </x:c>
      <x:c r="G410" s="4" t="n">
        <x:v>5.6</x:v>
      </x:c>
      <x:c r="H410" s="4" t="n">
        <x:v>6.25</x:v>
      </x:c>
      <x:c r="I410" s="4" t="n">
        <x:v>5.18</x:v>
      </x:c>
      <x:c r="J410" s="4" t="n">
        <x:v>2.68</x:v>
      </x:c>
      <x:c r="K410" s="4" t="n">
        <x:v>2.83</x:v>
      </x:c>
      <x:c r="L410" s="4" t="n">
        <x:v>6.82</x:v>
      </x:c>
      <x:c r="M410" s="4" t="n">
        <x:v>5.93</x:v>
      </x:c>
      <x:c r="N410" s="4" t="n">
        <x:v>5.07</x:v>
      </x:c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 t="str">
        <x:v>车船税数量</x:v>
      </x:c>
      <x:c r="C411" s="4" t="n">
        <x:v>6.58</x:v>
      </x:c>
      <x:c r="D411" s="4" t="n">
        <x:v>7.56</x:v>
      </x:c>
      <x:c r="E411" s="4" t="n">
        <x:v>8.01</x:v>
      </x:c>
      <x:c r="F411" s="4" t="n">
        <x:v>7.15</x:v>
      </x:c>
      <x:c r="G411" s="4" t="n">
        <x:v>8.33</x:v>
      </x:c>
      <x:c r="H411" s="4" t="n">
        <x:v>2.37</x:v>
      </x:c>
      <x:c r="I411" s="4" t="n">
        <x:v>5.72</x:v>
      </x:c>
      <x:c r="J411" s="4" t="n">
        <x:v>3.27</x:v>
      </x:c>
      <x:c r="K411" s="4" t="n">
        <x:v>6.23</x:v>
      </x:c>
      <x:c r="L411" s="4" t="n">
        <x:v>6.61</x:v>
      </x:c>
      <x:c r="M411" s="4" t="n">
        <x:v>7.22</x:v>
      </x:c>
      <x:c r="N411" s="4" t="n">
        <x:v>4.99</x:v>
      </x:c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 t="str">
        <x:v>印花税数量</x:v>
      </x:c>
      <x:c r="C412" s="4" t="n">
        <x:v>3.18</x:v>
      </x:c>
      <x:c r="D412" s="4" t="n">
        <x:v>7.02</x:v>
      </x:c>
      <x:c r="E412" s="4" t="n">
        <x:v>5.02</x:v>
      </x:c>
      <x:c r="F412" s="4" t="n">
        <x:v>7.35</x:v>
      </x:c>
      <x:c r="G412" s="4" t="n">
        <x:v>5.99</x:v>
      </x:c>
      <x:c r="H412" s="4" t="n">
        <x:v>2.65</x:v>
      </x:c>
      <x:c r="I412" s="4" t="n">
        <x:v>6.77</x:v>
      </x:c>
      <x:c r="J412" s="4" t="n">
        <x:v>2.79</x:v>
      </x:c>
      <x:c r="K412" s="4" t="n">
        <x:v>2.19</x:v>
      </x:c>
      <x:c r="L412" s="4" t="n">
        <x:v>7.55</x:v>
      </x:c>
      <x:c r="M412" s="4" t="n">
        <x:v>6.47</x:v>
      </x:c>
      <x:c r="N412" s="4" t="n">
        <x:v>4.92</x:v>
      </x:c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 t="str">
        <x:v>其他数量</x:v>
      </x:c>
      <x:c r="C413" s="4" t="n">
        <x:v>3.33</x:v>
      </x:c>
      <x:c r="D413" s="4" t="n">
        <x:v>6.87</x:v>
      </x:c>
      <x:c r="E413" s="4" t="n">
        <x:v>8.16</x:v>
      </x:c>
      <x:c r="F413" s="4" t="n">
        <x:v>8.66</x:v>
      </x:c>
      <x:c r="G413" s="4" t="n">
        <x:v>6.2</x:v>
      </x:c>
      <x:c r="H413" s="4" t="n">
        <x:v>8.12</x:v>
      </x:c>
      <x:c r="I413" s="4" t="n">
        <x:v>8.33</x:v>
      </x:c>
      <x:c r="J413" s="4" t="n">
        <x:v>5.26</x:v>
      </x:c>
      <x:c r="K413" s="4" t="n">
        <x:v>3.3</x:v>
      </x:c>
      <x:c r="L413" s="4" t="n">
        <x:v>4.14</x:v>
      </x:c>
      <x:c r="M413" s="4" t="n">
        <x:v>3.76</x:v>
      </x:c>
      <x:c r="N413" s="4" t="n">
        <x:v>3.26</x:v>
      </x:c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A2:B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其他主体费用</x:v>
      </x:c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 t="str">
        <x:v>预算基础（月度，元）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 t="str">
        <x:v>2027-01</x:v>
      </x:c>
      <x:c r="D3" s="6" t="str">
        <x:v>2027-02</x:v>
      </x:c>
      <x:c r="E3" s="6" t="str">
        <x:v>2027-03</x:v>
      </x:c>
      <x:c r="F3" s="6" t="str">
        <x:v>2027-04</x:v>
      </x:c>
      <x:c r="G3" s="6" t="str">
        <x:v>2027-05</x:v>
      </x:c>
      <x:c r="H3" s="6" t="str">
        <x:v>2027-06</x:v>
      </x:c>
      <x:c r="I3" s="6" t="str">
        <x:v>2027-07</x:v>
      </x:c>
      <x:c r="J3" s="6" t="str">
        <x:v>2027-08</x:v>
      </x:c>
      <x:c r="K3" s="6" t="str">
        <x:v>2027-09</x:v>
      </x:c>
      <x:c r="L3" s="6" t="str">
        <x:v>2027-10</x:v>
      </x:c>
      <x:c r="M3" s="6" t="str">
        <x:v>2027-11</x:v>
      </x:c>
      <x:c r="N3" s="6" t="str">
        <x:v>2027-12</x:v>
      </x:c>
      <x:c r="O3" s="6" t="str">
        <x:v>小计</x:v>
      </x:c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ROUND(C204*C324,2)</x:f>
        <x:v>137.59</x:v>
      </x:c>
      <x:c r="D4" s="3" t="n">
        <x:f>ROUND(D204*D324,2)</x:f>
        <x:v>107.16</x:v>
      </x:c>
      <x:c r="E4" s="3" t="n">
        <x:f>ROUND(E204*E324,2)</x:f>
        <x:v>153.86</x:v>
      </x:c>
      <x:c r="F4" s="3" t="n">
        <x:f>ROUND(F204*F324,2)</x:f>
        <x:v>277.22</x:v>
      </x:c>
      <x:c r="G4" s="3" t="n">
        <x:f>ROUND(G204*G324,2)</x:f>
        <x:v>49.17</x:v>
      </x:c>
      <x:c r="H4" s="3" t="n">
        <x:f>ROUND(H204*H324,2)</x:f>
        <x:v>249.85</x:v>
      </x:c>
      <x:c r="I4" s="3" t="n">
        <x:f>ROUND(I204*I324,2)</x:f>
        <x:v>445.46</x:v>
      </x:c>
      <x:c r="J4" s="3" t="n">
        <x:f>ROUND(J204*J324,2)</x:f>
        <x:v>308.89</x:v>
      </x:c>
      <x:c r="K4" s="3" t="n">
        <x:f>ROUND(K204*K324,2)</x:f>
        <x:v>221.01</x:v>
      </x:c>
      <x:c r="L4" s="3" t="n">
        <x:f>ROUND(L204*L324,2)</x:f>
        <x:v>160.17</x:v>
      </x:c>
      <x:c r="M4" s="3" t="n">
        <x:f>ROUND(M204*M324,2)</x:f>
        <x:v>318.37</x:v>
      </x:c>
      <x:c r="N4" s="3" t="n">
        <x:f>ROUND(N204*N324,2)</x:f>
        <x:v>209.66</x:v>
      </x:c>
      <x:c r="O4" s="3" t="n">
        <x:f>SUM(C4:N4)</x:f>
        <x:v>2638.4099999999994</x:v>
      </x:c>
      <x:c r="P4" s="2" t="str">
        <x:v>EXP3.004</x:v>
      </x:c>
      <x:c r="Q4" s="2" t="str">
        <x:v>演示占位-v1</x:v>
      </x:c>
      <x:c r="R4" s="2" t="str">
        <x:v>模拟权责发生制</x:v>
      </x:c>
      <x:c r="S4" s="2" t="str">
        <x:v>2027-01</x:v>
      </x:c>
      <x:c r="T4" s="2" t="str">
        <x:v>2027-06</x:v>
      </x:c>
      <x:c r="U4" s="2" t="str">
        <x:v>无</x:v>
      </x:c>
      <x:c r="V4" s="2" t="str">
        <x:v>无</x:v>
      </x:c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ROUND(C205*C325,2)</x:f>
        <x:v>307.83</x:v>
      </x:c>
      <x:c r="D5" s="3" t="n">
        <x:f>ROUND(D205*D325,2)</x:f>
        <x:v>108.96</x:v>
      </x:c>
      <x:c r="E5" s="3" t="n">
        <x:f>ROUND(E205*E325,2)</x:f>
        <x:v>291.83</x:v>
      </x:c>
      <x:c r="F5" s="3" t="n">
        <x:f>ROUND(F205*F325,2)</x:f>
        <x:v>111.12</x:v>
      </x:c>
      <x:c r="G5" s="3" t="n">
        <x:f>ROUND(G205*G325,2)</x:f>
        <x:v>424.56</x:v>
      </x:c>
      <x:c r="H5" s="3" t="n">
        <x:f>ROUND(H205*H325,2)</x:f>
        <x:v>88.11</x:v>
      </x:c>
      <x:c r="I5" s="3" t="n">
        <x:f>ROUND(I205*I325,2)</x:f>
        <x:v>332.22</x:v>
      </x:c>
      <x:c r="J5" s="3" t="n">
        <x:f>ROUND(J205*J325,2)</x:f>
        <x:v>204.42</x:v>
      </x:c>
      <x:c r="K5" s="3" t="n">
        <x:f>ROUND(K205*K325,2)</x:f>
        <x:v>459.23</x:v>
      </x:c>
      <x:c r="L5" s="3" t="n">
        <x:f>ROUND(L205*L325,2)</x:f>
        <x:v>89.97</x:v>
      </x:c>
      <x:c r="M5" s="3" t="n">
        <x:f>ROUND(M205*M325,2)</x:f>
        <x:v>187.64</x:v>
      </x:c>
      <x:c r="N5" s="3" t="n">
        <x:f>ROUND(N205*N325,2)</x:f>
        <x:v>192.98</x:v>
      </x:c>
      <x:c r="O5" s="3" t="n">
        <x:f>SUM(C5:N5)</x:f>
        <x:v>2798.8699999999994</x:v>
      </x:c>
      <x:c r="P5" s="2" t="str">
        <x:v>EXP3.005</x:v>
      </x:c>
      <x:c r="Q5" s="2" t="str">
        <x:v>演示占位-v1</x:v>
      </x:c>
      <x:c r="R5" s="2" t="str">
        <x:v>模拟权责发生制</x:v>
      </x:c>
      <x:c r="S5" s="2" t="str">
        <x:v>2027-01</x:v>
      </x:c>
      <x:c r="T5" s="2" t="str">
        <x:v>2027-06</x:v>
      </x:c>
      <x:c r="U5" s="2" t="str">
        <x:v>无</x:v>
      </x:c>
      <x:c r="V5" s="2" t="str">
        <x:v>无</x:v>
      </x:c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ROUND(C206*C326,2)</x:f>
        <x:v>118.57</x:v>
      </x:c>
      <x:c r="D6" s="3" t="n">
        <x:f>ROUND(D206*D326,2)</x:f>
        <x:v>51.53</x:v>
      </x:c>
      <x:c r="E6" s="3" t="n">
        <x:f>ROUND(E206*E326,2)</x:f>
        <x:v>88.74</x:v>
      </x:c>
      <x:c r="F6" s="3" t="n">
        <x:f>ROUND(F206*F326,2)</x:f>
        <x:v>234.83</x:v>
      </x:c>
      <x:c r="G6" s="3" t="n">
        <x:f>ROUND(G206*G326,2)</x:f>
        <x:v>353.88</x:v>
      </x:c>
      <x:c r="H6" s="3" t="n">
        <x:f>ROUND(H206*H326,2)</x:f>
        <x:v>73.16</x:v>
      </x:c>
      <x:c r="I6" s="3" t="n">
        <x:f>ROUND(I206*I326,2)</x:f>
        <x:v>231.61</x:v>
      </x:c>
      <x:c r="J6" s="3" t="n">
        <x:f>ROUND(J206*J326,2)</x:f>
        <x:v>94.7</x:v>
      </x:c>
      <x:c r="K6" s="3" t="n">
        <x:f>ROUND(K206*K326,2)</x:f>
        <x:v>172.2</x:v>
      </x:c>
      <x:c r="L6" s="3" t="n">
        <x:f>ROUND(L206*L326,2)</x:f>
        <x:v>238.78</x:v>
      </x:c>
      <x:c r="M6" s="3" t="n">
        <x:f>ROUND(M206*M326,2)</x:f>
        <x:v>146.25</x:v>
      </x:c>
      <x:c r="N6" s="3" t="n">
        <x:f>ROUND(N206*N326,2)</x:f>
        <x:v>328.69</x:v>
      </x:c>
      <x:c r="O6" s="3" t="n">
        <x:f>SUM(C6:N6)</x:f>
        <x:v>2132.94</x:v>
      </x:c>
      <x:c r="P6" s="2" t="str">
        <x:v>EXP3.006</x:v>
      </x:c>
      <x:c r="Q6" s="2" t="str">
        <x:v>演示占位-v1</x:v>
      </x:c>
      <x:c r="R6" s="2" t="str">
        <x:v>模拟权责发生制</x:v>
      </x:c>
      <x:c r="S6" s="2" t="str">
        <x:v>2027-01</x:v>
      </x:c>
      <x:c r="T6" s="2" t="str">
        <x:v>2027-06</x:v>
      </x:c>
      <x:c r="U6" s="2" t="str">
        <x:v>无</x:v>
      </x:c>
      <x:c r="V6" s="2" t="str">
        <x:v>无</x:v>
      </x:c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ROUND(C207*C327,2)</x:f>
        <x:v>364.43</x:v>
      </x:c>
      <x:c r="D7" s="3" t="n">
        <x:f>ROUND(D207*D327,2)</x:f>
        <x:v>159</x:v>
      </x:c>
      <x:c r="E7" s="3" t="n">
        <x:f>ROUND(E207*E327,2)</x:f>
        <x:v>351.13</x:v>
      </x:c>
      <x:c r="F7" s="3" t="n">
        <x:f>ROUND(F207*F327,2)</x:f>
        <x:v>440.79</x:v>
      </x:c>
      <x:c r="G7" s="3" t="n">
        <x:f>ROUND(G207*G327,2)</x:f>
        <x:v>495.68</x:v>
      </x:c>
      <x:c r="H7" s="3" t="n">
        <x:f>ROUND(H207*H327,2)</x:f>
        <x:v>462.08</x:v>
      </x:c>
      <x:c r="I7" s="3" t="n">
        <x:f>ROUND(I207*I327,2)</x:f>
        <x:v>152.86</x:v>
      </x:c>
      <x:c r="J7" s="3" t="n">
        <x:f>ROUND(J207*J327,2)</x:f>
        <x:v>372.12</x:v>
      </x:c>
      <x:c r="K7" s="3" t="n">
        <x:f>ROUND(K207*K327,2)</x:f>
        <x:v>165.16</x:v>
      </x:c>
      <x:c r="L7" s="3" t="n">
        <x:f>ROUND(L207*L327,2)</x:f>
        <x:v>56.92</x:v>
      </x:c>
      <x:c r="M7" s="3" t="n">
        <x:f>ROUND(M207*M327,2)</x:f>
        <x:v>156.55</x:v>
      </x:c>
      <x:c r="N7" s="3" t="n">
        <x:f>ROUND(N207*N327,2)</x:f>
        <x:v>122.24</x:v>
      </x:c>
      <x:c r="O7" s="3" t="n">
        <x:f>SUM(C7:N7)</x:f>
        <x:v>3298.96</x:v>
      </x:c>
      <x:c r="P7" s="2" t="str">
        <x:v>EXP3.007</x:v>
      </x:c>
      <x:c r="Q7" s="2" t="str">
        <x:v>演示占位-v1</x:v>
      </x:c>
      <x:c r="R7" s="2" t="str">
        <x:v>模拟权责发生制</x:v>
      </x:c>
      <x:c r="S7" s="2" t="str">
        <x:v>2027-01</x:v>
      </x:c>
      <x:c r="T7" s="2" t="str">
        <x:v>2027-06</x:v>
      </x:c>
      <x:c r="U7" s="2" t="str">
        <x:v>无</x:v>
      </x:c>
      <x:c r="V7" s="2" t="str">
        <x:v>无</x:v>
      </x:c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ROUND(C208*C328,2)</x:f>
        <x:v>83.15</x:v>
      </x:c>
      <x:c r="D8" s="3" t="n">
        <x:f>ROUND(D208*D328,2)</x:f>
        <x:v>189.85</x:v>
      </x:c>
      <x:c r="E8" s="3" t="n">
        <x:f>ROUND(E208*E328,2)</x:f>
        <x:v>72.91</x:v>
      </x:c>
      <x:c r="F8" s="3" t="n">
        <x:f>ROUND(F208*F328,2)</x:f>
        <x:v>335.77</x:v>
      </x:c>
      <x:c r="G8" s="3" t="n">
        <x:f>ROUND(G208*G328,2)</x:f>
        <x:v>106.87</x:v>
      </x:c>
      <x:c r="H8" s="3" t="n">
        <x:f>ROUND(H208*H328,2)</x:f>
        <x:v>268.31</x:v>
      </x:c>
      <x:c r="I8" s="3" t="n">
        <x:f>ROUND(I208*I328,2)</x:f>
        <x:v>391.05</x:v>
      </x:c>
      <x:c r="J8" s="3" t="n">
        <x:f>ROUND(J208*J328,2)</x:f>
        <x:v>490.69</x:v>
      </x:c>
      <x:c r="K8" s="3" t="n">
        <x:f>ROUND(K208*K328,2)</x:f>
        <x:v>209.93</x:v>
      </x:c>
      <x:c r="L8" s="3" t="n">
        <x:f>ROUND(L208*L328,2)</x:f>
        <x:v>159.64</x:v>
      </x:c>
      <x:c r="M8" s="3" t="n">
        <x:f>ROUND(M208*M328,2)</x:f>
        <x:v>161.82</x:v>
      </x:c>
      <x:c r="N8" s="3" t="n">
        <x:f>ROUND(N208*N328,2)</x:f>
        <x:v>464.04</x:v>
      </x:c>
      <x:c r="O8" s="3" t="n">
        <x:f>SUM(C8:N8)</x:f>
        <x:v>2934.0299999999997</x:v>
      </x:c>
      <x:c r="P8" s="2" t="str">
        <x:v>EXP3.008</x:v>
      </x:c>
      <x:c r="Q8" s="2" t="str">
        <x:v>演示占位-v1</x:v>
      </x:c>
      <x:c r="R8" s="2" t="str">
        <x:v>模拟权责发生制</x:v>
      </x:c>
      <x:c r="S8" s="2" t="str">
        <x:v>2027-01</x:v>
      </x:c>
      <x:c r="T8" s="2" t="str">
        <x:v>2027-06</x:v>
      </x:c>
      <x:c r="U8" s="2" t="str">
        <x:v>无</x:v>
      </x:c>
      <x:c r="V8" s="2" t="str">
        <x:v>无</x:v>
      </x:c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ROUND(C209*C329,2)</x:f>
        <x:v>317.46</x:v>
      </x:c>
      <x:c r="D9" s="3" t="n">
        <x:f>ROUND(D209*D329,2)</x:f>
        <x:v>402.91</x:v>
      </x:c>
      <x:c r="E9" s="3" t="n">
        <x:f>ROUND(E209*E329,2)</x:f>
        <x:v>211.92</x:v>
      </x:c>
      <x:c r="F9" s="3" t="n">
        <x:f>ROUND(F209*F329,2)</x:f>
        <x:v>132.75</x:v>
      </x:c>
      <x:c r="G9" s="3" t="n">
        <x:f>ROUND(G209*G329,2)</x:f>
        <x:v>241.78</x:v>
      </x:c>
      <x:c r="H9" s="3" t="n">
        <x:f>ROUND(H209*H329,2)</x:f>
        <x:v>264.22</x:v>
      </x:c>
      <x:c r="I9" s="3" t="n">
        <x:f>ROUND(I209*I329,2)</x:f>
        <x:v>334.57</x:v>
      </x:c>
      <x:c r="J9" s="3" t="n">
        <x:f>ROUND(J209*J329,2)</x:f>
        <x:v>113.31</x:v>
      </x:c>
      <x:c r="K9" s="3" t="n">
        <x:f>ROUND(K209*K329,2)</x:f>
        <x:v>266.64</x:v>
      </x:c>
      <x:c r="L9" s="3" t="n">
        <x:f>ROUND(L209*L329,2)</x:f>
        <x:v>383.28</x:v>
      </x:c>
      <x:c r="M9" s="3" t="n">
        <x:f>ROUND(M209*M329,2)</x:f>
        <x:v>135.54</x:v>
      </x:c>
      <x:c r="N9" s="3" t="n">
        <x:f>ROUND(N209*N329,2)</x:f>
        <x:v>96.5</x:v>
      </x:c>
      <x:c r="O9" s="3" t="n">
        <x:f>SUM(C9:N9)</x:f>
        <x:v>2900.88</x:v>
      </x:c>
      <x:c r="P9" s="2" t="str">
        <x:v>EXP3.009</x:v>
      </x:c>
      <x:c r="Q9" s="2" t="str">
        <x:v>演示占位-v1</x:v>
      </x:c>
      <x:c r="R9" s="2" t="str">
        <x:v>模拟权责发生制</x:v>
      </x:c>
      <x:c r="S9" s="2" t="str">
        <x:v>2027-01</x:v>
      </x:c>
      <x:c r="T9" s="2" t="str">
        <x:v>2027-06</x:v>
      </x:c>
      <x:c r="U9" s="2" t="str">
        <x:v>无</x:v>
      </x:c>
      <x:c r="V9" s="2" t="str">
        <x:v>无</x:v>
      </x:c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ROUND(C210*C330,2)</x:f>
        <x:v>280.7</x:v>
      </x:c>
      <x:c r="D10" s="3" t="n">
        <x:f>ROUND(D210*D330,2)</x:f>
        <x:v>203.25</x:v>
      </x:c>
      <x:c r="E10" s="3" t="n">
        <x:f>ROUND(E210*E330,2)</x:f>
        <x:v>167.11</x:v>
      </x:c>
      <x:c r="F10" s="3" t="n">
        <x:f>ROUND(F210*F330,2)</x:f>
        <x:v>467.56</x:v>
      </x:c>
      <x:c r="G10" s="3" t="n">
        <x:f>ROUND(G210*G330,2)</x:f>
        <x:v>335</x:v>
      </x:c>
      <x:c r="H10" s="3" t="n">
        <x:f>ROUND(H210*H330,2)</x:f>
        <x:v>190.39</x:v>
      </x:c>
      <x:c r="I10" s="3" t="n">
        <x:f>ROUND(I210*I330,2)</x:f>
        <x:v>409.38</x:v>
      </x:c>
      <x:c r="J10" s="3" t="n">
        <x:f>ROUND(J210*J330,2)</x:f>
        <x:v>150.52</x:v>
      </x:c>
      <x:c r="K10" s="3" t="n">
        <x:f>ROUND(K210*K330,2)</x:f>
        <x:v>296.8</x:v>
      </x:c>
      <x:c r="L10" s="3" t="n">
        <x:f>ROUND(L210*L330,2)</x:f>
        <x:v>59.97</x:v>
      </x:c>
      <x:c r="M10" s="3" t="n">
        <x:f>ROUND(M210*M330,2)</x:f>
        <x:v>92.65</x:v>
      </x:c>
      <x:c r="N10" s="3" t="n">
        <x:f>ROUND(N210*N330,2)</x:f>
        <x:v>174.8</x:v>
      </x:c>
      <x:c r="O10" s="3" t="n">
        <x:f>SUM(C10:N10)</x:f>
        <x:v>2828.13</x:v>
      </x:c>
      <x:c r="P10" s="2" t="str">
        <x:v>EXP3.010</x:v>
      </x:c>
      <x:c r="Q10" s="2" t="str">
        <x:v>演示占位-v1</x:v>
      </x:c>
      <x:c r="R10" s="2" t="str">
        <x:v>模拟权责发生制</x:v>
      </x:c>
      <x:c r="S10" s="2" t="str">
        <x:v>2027-01</x:v>
      </x:c>
      <x:c r="T10" s="2" t="str">
        <x:v>2027-06</x:v>
      </x:c>
      <x:c r="U10" s="2" t="str">
        <x:v>无</x:v>
      </x:c>
      <x:c r="V10" s="2" t="str">
        <x:v>无</x:v>
      </x:c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ROUND(C211*C331,2)</x:f>
        <x:v>210.49</x:v>
      </x:c>
      <x:c r="D11" s="3" t="n">
        <x:f>ROUND(D211*D331,2)</x:f>
        <x:v>376.76</x:v>
      </x:c>
      <x:c r="E11" s="3" t="n">
        <x:f>ROUND(E211*E331,2)</x:f>
        <x:v>239.96</x:v>
      </x:c>
      <x:c r="F11" s="3" t="n">
        <x:f>ROUND(F211*F331,2)</x:f>
        <x:v>193.09</x:v>
      </x:c>
      <x:c r="G11" s="3" t="n">
        <x:f>ROUND(G211*G331,2)</x:f>
        <x:v>305.1</x:v>
      </x:c>
      <x:c r="H11" s="3" t="n">
        <x:f>ROUND(H211*H331,2)</x:f>
        <x:v>169.19</x:v>
      </x:c>
      <x:c r="I11" s="3" t="n">
        <x:f>ROUND(I211*I331,2)</x:f>
        <x:v>312.92</x:v>
      </x:c>
      <x:c r="J11" s="3" t="n">
        <x:f>ROUND(J211*J331,2)</x:f>
        <x:v>195.79</x:v>
      </x:c>
      <x:c r="K11" s="3" t="n">
        <x:f>ROUND(K211*K331,2)</x:f>
        <x:v>317.54</x:v>
      </x:c>
      <x:c r="L11" s="3" t="n">
        <x:f>ROUND(L211*L331,2)</x:f>
        <x:v>120.21</x:v>
      </x:c>
      <x:c r="M11" s="3" t="n">
        <x:f>ROUND(M211*M331,2)</x:f>
        <x:v>277.15</x:v>
      </x:c>
      <x:c r="N11" s="3" t="n">
        <x:f>ROUND(N211*N331,2)</x:f>
        <x:v>276.24</x:v>
      </x:c>
      <x:c r="O11" s="3" t="n">
        <x:f>SUM(C11:N11)</x:f>
        <x:v>2994.4400000000005</x:v>
      </x:c>
      <x:c r="P11" s="2" t="str">
        <x:v>EXP3.011</x:v>
      </x:c>
      <x:c r="Q11" s="2" t="str">
        <x:v>演示占位-v1</x:v>
      </x:c>
      <x:c r="R11" s="2" t="str">
        <x:v>模拟权责发生制</x:v>
      </x:c>
      <x:c r="S11" s="2" t="str">
        <x:v>2027-01</x:v>
      </x:c>
      <x:c r="T11" s="2" t="str">
        <x:v>2027-06</x:v>
      </x:c>
      <x:c r="U11" s="2" t="str">
        <x:v>无</x:v>
      </x:c>
      <x:c r="V11" s="2" t="str">
        <x:v>无</x:v>
      </x:c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ROUND(C212*C332,2)</x:f>
        <x:v>264.61</x:v>
      </x:c>
      <x:c r="D12" s="3" t="n">
        <x:f>ROUND(D212*D332,2)</x:f>
        <x:v>192.91</x:v>
      </x:c>
      <x:c r="E12" s="3" t="n">
        <x:f>ROUND(E212*E332,2)</x:f>
        <x:v>251.05</x:v>
      </x:c>
      <x:c r="F12" s="3" t="n">
        <x:f>ROUND(F212*F332,2)</x:f>
        <x:v>243.58</x:v>
      </x:c>
      <x:c r="G12" s="3" t="n">
        <x:f>ROUND(G212*G332,2)</x:f>
        <x:v>467.63</x:v>
      </x:c>
      <x:c r="H12" s="3" t="n">
        <x:f>ROUND(H212*H332,2)</x:f>
        <x:v>330.19</x:v>
      </x:c>
      <x:c r="I12" s="3" t="n">
        <x:f>ROUND(I212*I332,2)</x:f>
        <x:v>174.23</x:v>
      </x:c>
      <x:c r="J12" s="3" t="n">
        <x:f>ROUND(J212*J332,2)</x:f>
        <x:v>293.44</x:v>
      </x:c>
      <x:c r="K12" s="3" t="n">
        <x:f>ROUND(K212*K332,2)</x:f>
        <x:v>308.25</x:v>
      </x:c>
      <x:c r="L12" s="3" t="n">
        <x:f>ROUND(L212*L332,2)</x:f>
        <x:v>148.07</x:v>
      </x:c>
      <x:c r="M12" s="3" t="n">
        <x:f>ROUND(M212*M332,2)</x:f>
        <x:v>135.07</x:v>
      </x:c>
      <x:c r="N12" s="3" t="n">
        <x:f>ROUND(N212*N332,2)</x:f>
        <x:v>295.71</x:v>
      </x:c>
      <x:c r="O12" s="3" t="n">
        <x:f>SUM(C12:N12)</x:f>
        <x:v>3104.7400000000002</x:v>
      </x:c>
      <x:c r="P12" s="2" t="str">
        <x:v>EXP3.012</x:v>
      </x:c>
      <x:c r="Q12" s="2" t="str">
        <x:v>演示占位-v1</x:v>
      </x:c>
      <x:c r="R12" s="2" t="str">
        <x:v>模拟权责发生制</x:v>
      </x:c>
      <x:c r="S12" s="2" t="str">
        <x:v>2027-01</x:v>
      </x:c>
      <x:c r="T12" s="2" t="str">
        <x:v>2027-06</x:v>
      </x:c>
      <x:c r="U12" s="2" t="str">
        <x:v>无</x:v>
      </x:c>
      <x:c r="V12" s="2" t="str">
        <x:v>无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ROUND(C213*C333,2)</x:f>
        <x:v>131.1</x:v>
      </x:c>
      <x:c r="D13" s="3" t="n">
        <x:f>ROUND(D213*D333,2)</x:f>
        <x:v>461.95</x:v>
      </x:c>
      <x:c r="E13" s="3" t="n">
        <x:f>ROUND(E213*E333,2)</x:f>
        <x:v>195.17</x:v>
      </x:c>
      <x:c r="F13" s="3" t="n">
        <x:f>ROUND(F213*F333,2)</x:f>
        <x:v>231.79</x:v>
      </x:c>
      <x:c r="G13" s="3" t="n">
        <x:f>ROUND(G213*G333,2)</x:f>
        <x:v>198.75</x:v>
      </x:c>
      <x:c r="H13" s="3" t="n">
        <x:f>ROUND(H213*H333,2)</x:f>
        <x:v>188.59</x:v>
      </x:c>
      <x:c r="I13" s="3" t="n">
        <x:f>ROUND(I213*I333,2)</x:f>
        <x:v>559.05</x:v>
      </x:c>
      <x:c r="J13" s="3" t="n">
        <x:f>ROUND(J213*J333,2)</x:f>
        <x:v>277.58</x:v>
      </x:c>
      <x:c r="K13" s="3" t="n">
        <x:f>ROUND(K213*K333,2)</x:f>
        <x:v>462.44</x:v>
      </x:c>
      <x:c r="L13" s="3" t="n">
        <x:f>ROUND(L213*L333,2)</x:f>
        <x:v>362.38</x:v>
      </x:c>
      <x:c r="M13" s="3" t="n">
        <x:f>ROUND(M213*M333,2)</x:f>
        <x:v>436.38</x:v>
      </x:c>
      <x:c r="N13" s="3" t="n">
        <x:f>ROUND(N213*N333,2)</x:f>
        <x:v>280.79</x:v>
      </x:c>
      <x:c r="O13" s="3" t="n">
        <x:f>SUM(C13:N13)</x:f>
        <x:v>3785.97</x:v>
      </x:c>
      <x:c r="P13" s="2" t="str">
        <x:v>EXP3.013</x:v>
      </x:c>
      <x:c r="Q13" s="2" t="str">
        <x:v>演示占位-v1</x:v>
      </x:c>
      <x:c r="R13" s="2" t="str">
        <x:v>模拟权责发生制</x:v>
      </x:c>
      <x:c r="S13" s="2" t="str">
        <x:v>2027-01</x:v>
      </x:c>
      <x:c r="T13" s="2" t="str">
        <x:v>2027-06</x:v>
      </x:c>
      <x:c r="U13" s="2" t="str">
        <x:v>无</x:v>
      </x:c>
      <x:c r="V13" s="2" t="str">
        <x:v>无</x:v>
      </x:c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ROUND(C214*C334,2)</x:f>
        <x:v>319.72</x:v>
      </x:c>
      <x:c r="D14" s="3" t="n">
        <x:f>ROUND(D214*D334,2)</x:f>
        <x:v>65.12</x:v>
      </x:c>
      <x:c r="E14" s="3" t="n">
        <x:f>ROUND(E214*E334,2)</x:f>
        <x:v>390.99</x:v>
      </x:c>
      <x:c r="F14" s="3" t="n">
        <x:f>ROUND(F214*F334,2)</x:f>
        <x:v>140.7</x:v>
      </x:c>
      <x:c r="G14" s="3" t="n">
        <x:f>ROUND(G214*G334,2)</x:f>
        <x:v>276.12</x:v>
      </x:c>
      <x:c r="H14" s="3" t="n">
        <x:f>ROUND(H214*H334,2)</x:f>
        <x:v>188.05</x:v>
      </x:c>
      <x:c r="I14" s="3" t="n">
        <x:f>ROUND(I214*I334,2)</x:f>
        <x:v>445.64</x:v>
      </x:c>
      <x:c r="J14" s="3" t="n">
        <x:f>ROUND(J214*J334,2)</x:f>
        <x:v>231.73</x:v>
      </x:c>
      <x:c r="K14" s="3" t="n">
        <x:f>ROUND(K214*K334,2)</x:f>
        <x:v>383.61</x:v>
      </x:c>
      <x:c r="L14" s="3" t="n">
        <x:f>ROUND(L214*L334,2)</x:f>
        <x:v>267.7</x:v>
      </x:c>
      <x:c r="M14" s="3" t="n">
        <x:f>ROUND(M214*M334,2)</x:f>
        <x:v>381.73</x:v>
      </x:c>
      <x:c r="N14" s="3" t="n">
        <x:f>ROUND(N214*N334,2)</x:f>
        <x:v>401.92</x:v>
      </x:c>
      <x:c r="O14" s="3" t="n">
        <x:f>SUM(C14:N14)</x:f>
        <x:v>3493.03</x:v>
      </x:c>
      <x:c r="P14" s="2" t="str">
        <x:v>EXP3.014</x:v>
      </x:c>
      <x:c r="Q14" s="2" t="str">
        <x:v>演示占位-v1</x:v>
      </x:c>
      <x:c r="R14" s="2" t="str">
        <x:v>模拟权责发生制</x:v>
      </x:c>
      <x:c r="S14" s="2" t="str">
        <x:v>2027-01</x:v>
      </x:c>
      <x:c r="T14" s="2" t="str">
        <x:v>2027-06</x:v>
      </x:c>
      <x:c r="U14" s="2" t="str">
        <x:v>无</x:v>
      </x:c>
      <x:c r="V14" s="2" t="str">
        <x:v>无</x:v>
      </x:c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ROUND(C215*C335,2)</x:f>
        <x:v>111.34</x:v>
      </x:c>
      <x:c r="D15" s="3" t="n">
        <x:f>ROUND(D215*D335,2)</x:f>
        <x:v>143.49</x:v>
      </x:c>
      <x:c r="E15" s="3" t="n">
        <x:f>ROUND(E215*E335,2)</x:f>
        <x:v>82.97</x:v>
      </x:c>
      <x:c r="F15" s="3" t="n">
        <x:f>ROUND(F215*F335,2)</x:f>
        <x:v>210.02</x:v>
      </x:c>
      <x:c r="G15" s="3" t="n">
        <x:f>ROUND(G215*G335,2)</x:f>
        <x:v>114.14</x:v>
      </x:c>
      <x:c r="H15" s="3" t="n">
        <x:f>ROUND(H215*H335,2)</x:f>
        <x:v>283.96</x:v>
      </x:c>
      <x:c r="I15" s="3" t="n">
        <x:f>ROUND(I215*I335,2)</x:f>
        <x:v>185.55</x:v>
      </x:c>
      <x:c r="J15" s="3" t="n">
        <x:f>ROUND(J215*J335,2)</x:f>
        <x:v>145.39</x:v>
      </x:c>
      <x:c r="K15" s="3" t="n">
        <x:f>ROUND(K215*K335,2)</x:f>
        <x:v>402.45</x:v>
      </x:c>
      <x:c r="L15" s="3" t="n">
        <x:f>ROUND(L215*L335,2)</x:f>
        <x:v>139.1</x:v>
      </x:c>
      <x:c r="M15" s="3" t="n">
        <x:f>ROUND(M215*M335,2)</x:f>
        <x:v>137.97</x:v>
      </x:c>
      <x:c r="N15" s="3" t="n">
        <x:f>ROUND(N215*N335,2)</x:f>
        <x:v>485.01</x:v>
      </x:c>
      <x:c r="O15" s="3" t="n">
        <x:f>SUM(C15:N15)</x:f>
        <x:v>2441.3900000000003</x:v>
      </x:c>
      <x:c r="P15" s="2" t="str">
        <x:v>EXP3.015</x:v>
      </x:c>
      <x:c r="Q15" s="2" t="str">
        <x:v>演示占位-v1</x:v>
      </x:c>
      <x:c r="R15" s="2" t="str">
        <x:v>模拟权责发生制</x:v>
      </x:c>
      <x:c r="S15" s="2" t="str">
        <x:v>2027-01</x:v>
      </x:c>
      <x:c r="T15" s="2" t="str">
        <x:v>2027-06</x:v>
      </x:c>
      <x:c r="U15" s="2" t="str">
        <x:v>无</x:v>
      </x:c>
      <x:c r="V15" s="2" t="str">
        <x:v>无</x:v>
      </x:c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ROUND(C216*C336,2)</x:f>
        <x:v>73.05</x:v>
      </x:c>
      <x:c r="D16" s="3" t="n">
        <x:f>ROUND(D216*D336,2)</x:f>
        <x:v>120.59</x:v>
      </x:c>
      <x:c r="E16" s="3" t="n">
        <x:f>ROUND(E216*E336,2)</x:f>
        <x:v>79.93</x:v>
      </x:c>
      <x:c r="F16" s="3" t="n">
        <x:f>ROUND(F216*F336,2)</x:f>
        <x:v>90.14</x:v>
      </x:c>
      <x:c r="G16" s="3" t="n">
        <x:f>ROUND(G216*G336,2)</x:f>
        <x:v>293.56</x:v>
      </x:c>
      <x:c r="H16" s="3" t="n">
        <x:f>ROUND(H216*H336,2)</x:f>
        <x:v>136.68</x:v>
      </x:c>
      <x:c r="I16" s="3" t="n">
        <x:f>ROUND(I216*I336,2)</x:f>
        <x:v>133.38</x:v>
      </x:c>
      <x:c r="J16" s="3" t="n">
        <x:f>ROUND(J216*J336,2)</x:f>
        <x:v>404.73</x:v>
      </x:c>
      <x:c r="K16" s="3" t="n">
        <x:f>ROUND(K216*K336,2)</x:f>
        <x:v>142.26</x:v>
      </x:c>
      <x:c r="L16" s="3" t="n">
        <x:f>ROUND(L216*L336,2)</x:f>
        <x:v>426.51</x:v>
      </x:c>
      <x:c r="M16" s="3" t="n">
        <x:f>ROUND(M216*M336,2)</x:f>
        <x:v>117.35</x:v>
      </x:c>
      <x:c r="N16" s="3" t="n">
        <x:f>ROUND(N216*N336,2)</x:f>
        <x:v>121.76</x:v>
      </x:c>
      <x:c r="O16" s="3" t="n">
        <x:f>SUM(C16:N16)</x:f>
        <x:v>2139.94</x:v>
      </x:c>
      <x:c r="P16" s="2" t="str">
        <x:v>EXP3.016</x:v>
      </x:c>
      <x:c r="Q16" s="2" t="str">
        <x:v>演示占位-v1</x:v>
      </x:c>
      <x:c r="R16" s="2" t="str">
        <x:v>模拟权责发生制</x:v>
      </x:c>
      <x:c r="S16" s="2" t="str">
        <x:v>2027-01</x:v>
      </x:c>
      <x:c r="T16" s="2" t="str">
        <x:v>2027-06</x:v>
      </x:c>
      <x:c r="U16" s="2" t="str">
        <x:v>无</x:v>
      </x:c>
      <x:c r="V16" s="2" t="str">
        <x:v>无</x:v>
      </x:c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 t="str">
        <x:v>咨询服务费</x:v>
      </x:c>
      <x:c r="C17" s="3" t="n">
        <x:f>ROUND(C217*C337,2)</x:f>
        <x:v>85.72</x:v>
      </x:c>
      <x:c r="D17" s="3" t="n">
        <x:f>ROUND(D217*D337,2)</x:f>
        <x:v>313.13</x:v>
      </x:c>
      <x:c r="E17" s="3" t="n">
        <x:f>ROUND(E217*E337,2)</x:f>
        <x:v>57.59</x:v>
      </x:c>
      <x:c r="F17" s="3" t="n">
        <x:f>ROUND(F217*F337,2)</x:f>
        <x:v>563.21</x:v>
      </x:c>
      <x:c r="G17" s="3" t="n">
        <x:f>ROUND(G217*G337,2)</x:f>
        <x:v>173.62</x:v>
      </x:c>
      <x:c r="H17" s="3" t="n">
        <x:f>ROUND(H217*H337,2)</x:f>
        <x:v>152.31</x:v>
      </x:c>
      <x:c r="I17" s="3" t="n">
        <x:f>ROUND(I217*I337,2)</x:f>
        <x:v>172.36</x:v>
      </x:c>
      <x:c r="J17" s="3" t="n">
        <x:f>ROUND(J217*J337,2)</x:f>
        <x:v>194.79</x:v>
      </x:c>
      <x:c r="K17" s="3" t="n">
        <x:f>ROUND(K217*K337,2)</x:f>
        <x:v>212.96</x:v>
      </x:c>
      <x:c r="L17" s="3" t="n">
        <x:f>ROUND(L217*L337,2)</x:f>
        <x:v>453.58</x:v>
      </x:c>
      <x:c r="M17" s="3" t="n">
        <x:f>ROUND(M217*M337,2)</x:f>
        <x:v>159.8</x:v>
      </x:c>
      <x:c r="N17" s="3" t="n">
        <x:f>ROUND(N217*N337,2)</x:f>
        <x:v>399.49</x:v>
      </x:c>
      <x:c r="O17" s="3" t="n">
        <x:f>SUM(C17:N17)</x:f>
        <x:v>2938.5600000000004</x:v>
      </x:c>
      <x:c r="P17" s="2" t="str">
        <x:v>EXP3.017</x:v>
      </x:c>
      <x:c r="Q17" s="2" t="str">
        <x:v>演示占位-v1</x:v>
      </x:c>
      <x:c r="R17" s="2" t="str">
        <x:v>模拟权责发生制</x:v>
      </x:c>
      <x:c r="S17" s="2" t="str">
        <x:v>2027-01</x:v>
      </x:c>
      <x:c r="T17" s="2" t="str">
        <x:v>2027-06</x:v>
      </x:c>
      <x:c r="U17" s="2" t="str">
        <x:v>无</x:v>
      </x:c>
      <x:c r="V17" s="2" t="str">
        <x:v>无</x:v>
      </x:c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 t="str">
        <x:v>电话费</x:v>
      </x:c>
      <x:c r="C18" s="3" t="n">
        <x:f>ROUND(C218*C338,2)</x:f>
        <x:v>126.98</x:v>
      </x:c>
      <x:c r="D18" s="3" t="n">
        <x:f>ROUND(D218*D338,2)</x:f>
        <x:v>135.75</x:v>
      </x:c>
      <x:c r="E18" s="3" t="n">
        <x:f>ROUND(E218*E338,2)</x:f>
        <x:v>155.14</x:v>
      </x:c>
      <x:c r="F18" s="3" t="n">
        <x:f>ROUND(F218*F338,2)</x:f>
        <x:v>150.48</x:v>
      </x:c>
      <x:c r="G18" s="3" t="n">
        <x:f>ROUND(G218*G338,2)</x:f>
        <x:v>175.09</x:v>
      </x:c>
      <x:c r="H18" s="3" t="n">
        <x:f>ROUND(H218*H338,2)</x:f>
        <x:v>191.37</x:v>
      </x:c>
      <x:c r="I18" s="3" t="n">
        <x:f>ROUND(I218*I338,2)</x:f>
        <x:v>166.96</x:v>
      </x:c>
      <x:c r="J18" s="3" t="n">
        <x:f>ROUND(J218*J338,2)</x:f>
        <x:v>103.19</x:v>
      </x:c>
      <x:c r="K18" s="3" t="n">
        <x:f>ROUND(K218*K338,2)</x:f>
        <x:v>403.11</x:v>
      </x:c>
      <x:c r="L18" s="3" t="n">
        <x:f>ROUND(L218*L338,2)</x:f>
        <x:v>154.55</x:v>
      </x:c>
      <x:c r="M18" s="3" t="n">
        <x:f>ROUND(M218*M338,2)</x:f>
        <x:v>62.68</x:v>
      </x:c>
      <x:c r="N18" s="3" t="n">
        <x:f>ROUND(N218*N338,2)</x:f>
        <x:v>238.92</x:v>
      </x:c>
      <x:c r="O18" s="3" t="n">
        <x:f>SUM(C18:N18)</x:f>
        <x:v>2064.2200000000003</x:v>
      </x:c>
      <x:c r="P18" s="2" t="str">
        <x:v>EXP3.018</x:v>
      </x:c>
      <x:c r="Q18" s="2" t="str">
        <x:v>演示占位-v1</x:v>
      </x:c>
      <x:c r="R18" s="2" t="str">
        <x:v>模拟权责发生制</x:v>
      </x:c>
      <x:c r="S18" s="2" t="str">
        <x:v>2027-01</x:v>
      </x:c>
      <x:c r="T18" s="2" t="str">
        <x:v>2027-06</x:v>
      </x:c>
      <x:c r="U18" s="2" t="str">
        <x:v>无</x:v>
      </x:c>
      <x:c r="V18" s="2" t="str">
        <x:v>无</x:v>
      </x:c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ROUND(C219*C339,2)</x:f>
        <x:v>239.88</x:v>
      </x:c>
      <x:c r="D19" s="3" t="n">
        <x:f>ROUND(D219*D339,2)</x:f>
        <x:v>118.27</x:v>
      </x:c>
      <x:c r="E19" s="3" t="n">
        <x:f>ROUND(E219*E339,2)</x:f>
        <x:v>500</x:v>
      </x:c>
      <x:c r="F19" s="3" t="n">
        <x:f>ROUND(F219*F339,2)</x:f>
        <x:v>319.84</x:v>
      </x:c>
      <x:c r="G19" s="3" t="n">
        <x:f>ROUND(G219*G339,2)</x:f>
        <x:v>260.03</x:v>
      </x:c>
      <x:c r="H19" s="3" t="n">
        <x:f>ROUND(H219*H339,2)</x:f>
        <x:v>312.64</x:v>
      </x:c>
      <x:c r="I19" s="3" t="n">
        <x:f>ROUND(I219*I339,2)</x:f>
        <x:v>200.96</x:v>
      </x:c>
      <x:c r="J19" s="3" t="n">
        <x:f>ROUND(J219*J339,2)</x:f>
        <x:v>184.93</x:v>
      </x:c>
      <x:c r="K19" s="3" t="n">
        <x:f>ROUND(K219*K339,2)</x:f>
        <x:v>221.73</x:v>
      </x:c>
      <x:c r="L19" s="3" t="n">
        <x:f>ROUND(L219*L339,2)</x:f>
        <x:v>54.73</x:v>
      </x:c>
      <x:c r="M19" s="3" t="n">
        <x:f>ROUND(M219*M339,2)</x:f>
        <x:v>97.48</x:v>
      </x:c>
      <x:c r="N19" s="3" t="n">
        <x:f>ROUND(N219*N339,2)</x:f>
        <x:v>464.59</x:v>
      </x:c>
      <x:c r="O19" s="3" t="n">
        <x:f>SUM(C19:N19)</x:f>
        <x:v>2975.08</x:v>
      </x:c>
      <x:c r="P19" s="2" t="str">
        <x:v>EXP3.019</x:v>
      </x:c>
      <x:c r="Q19" s="2" t="str">
        <x:v>演示占位-v1</x:v>
      </x:c>
      <x:c r="R19" s="2" t="str">
        <x:v>模拟权责发生制</x:v>
      </x:c>
      <x:c r="S19" s="2" t="str">
        <x:v>2027-01</x:v>
      </x:c>
      <x:c r="T19" s="2" t="str">
        <x:v>2027-06</x:v>
      </x:c>
      <x:c r="U19" s="2" t="str">
        <x:v>无</x:v>
      </x:c>
      <x:c r="V19" s="2" t="str">
        <x:v>无</x:v>
      </x:c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ROUND('摊销明细'!C33/3,2)</x:f>
        <x:v>540.97</x:v>
      </x:c>
      <x:c r="D20" s="3" t="n">
        <x:f>ROUND('摊销明细'!D33/3,2)</x:f>
        <x:v>540.97</x:v>
      </x:c>
      <x:c r="E20" s="3" t="n">
        <x:f>ROUND('摊销明细'!E33/3,2)</x:f>
        <x:v>540.97</x:v>
      </x:c>
      <x:c r="F20" s="3" t="n">
        <x:f>ROUND('摊销明细'!F33/3,2)</x:f>
        <x:v>540.97</x:v>
      </x:c>
      <x:c r="G20" s="3" t="n">
        <x:f>ROUND('摊销明细'!G33/3,2)</x:f>
        <x:v>540.97</x:v>
      </x:c>
      <x:c r="H20" s="3" t="n">
        <x:f>ROUND('摊销明细'!H33/3,2)</x:f>
        <x:v>540.97</x:v>
      </x:c>
      <x:c r="I20" s="3" t="n">
        <x:f>ROUND('摊销明细'!I33/3,2)</x:f>
        <x:v>540.97</x:v>
      </x:c>
      <x:c r="J20" s="3" t="n">
        <x:f>ROUND('摊销明细'!J33/3,2)</x:f>
        <x:v>540.97</x:v>
      </x:c>
      <x:c r="K20" s="3" t="n">
        <x:f>ROUND('摊销明细'!K33/3,2)</x:f>
        <x:v>540.97</x:v>
      </x:c>
      <x:c r="L20" s="3" t="n">
        <x:f>ROUND('摊销明细'!L33/3,2)</x:f>
        <x:v>540.97</x:v>
      </x:c>
      <x:c r="M20" s="3" t="n">
        <x:f>ROUND('摊销明细'!M33/3,2)</x:f>
        <x:v>540.97</x:v>
      </x:c>
      <x:c r="N20" s="3" t="n">
        <x:f>ROUND('摊销明细'!N33/3,2)</x:f>
        <x:v>540.97</x:v>
      </x:c>
      <x:c r="O20" s="3" t="n">
        <x:f>SUM(C20:N20)</x:f>
        <x:v>6491.640000000002</x:v>
      </x:c>
      <x:c r="P20" s="2" t="str">
        <x:v>EXP3.020</x:v>
      </x:c>
      <x:c r="Q20" s="2" t="str">
        <x:v>演示占位-v1</x:v>
      </x:c>
      <x:c r="R20" s="2" t="str">
        <x:v>模拟权责发生制</x:v>
      </x:c>
      <x:c r="S20" s="2" t="str">
        <x:v>2027-01</x:v>
      </x:c>
      <x:c r="T20" s="2" t="str">
        <x:v>2027-06</x:v>
      </x:c>
      <x:c r="U20" s="2" t="str">
        <x:v>无</x:v>
      </x:c>
      <x:c r="V20" s="2" t="str">
        <x:v>无</x:v>
      </x:c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ROUND(C221*C341,2)</x:f>
        <x:v>145.43</x:v>
      </x:c>
      <x:c r="D21" s="3" t="n">
        <x:f>ROUND(D221*D341,2)</x:f>
        <x:v>79.08</x:v>
      </x:c>
      <x:c r="E21" s="3" t="n">
        <x:f>ROUND(E221*E341,2)</x:f>
        <x:v>113.58</x:v>
      </x:c>
      <x:c r="F21" s="3" t="n">
        <x:f>ROUND(F221*F341,2)</x:f>
        <x:v>131.75</x:v>
      </x:c>
      <x:c r="G21" s="3" t="n">
        <x:f>ROUND(G221*G341,2)</x:f>
        <x:v>328.1</x:v>
      </x:c>
      <x:c r="H21" s="3" t="n">
        <x:f>ROUND(H221*H341,2)</x:f>
        <x:v>348.36</x:v>
      </x:c>
      <x:c r="I21" s="3" t="n">
        <x:f>ROUND(I221*I341,2)</x:f>
        <x:v>544.76</x:v>
      </x:c>
      <x:c r="J21" s="3" t="n">
        <x:f>ROUND(J221*J341,2)</x:f>
        <x:v>252.35</x:v>
      </x:c>
      <x:c r="K21" s="3" t="n">
        <x:f>ROUND(K221*K341,2)</x:f>
        <x:v>211.46</x:v>
      </x:c>
      <x:c r="L21" s="3" t="n">
        <x:f>ROUND(L221*L341,2)</x:f>
        <x:v>353.01</x:v>
      </x:c>
      <x:c r="M21" s="3" t="n">
        <x:f>ROUND(M221*M341,2)</x:f>
        <x:v>346.4</x:v>
      </x:c>
      <x:c r="N21" s="3" t="n">
        <x:f>ROUND(N221*N341,2)</x:f>
        <x:v>215.36</x:v>
      </x:c>
      <x:c r="O21" s="3" t="n">
        <x:f>SUM(C21:N21)</x:f>
        <x:v>3069.6400000000003</x:v>
      </x:c>
      <x:c r="P21" s="2" t="str">
        <x:v>EXP3.021</x:v>
      </x:c>
      <x:c r="Q21" s="2" t="str">
        <x:v>演示占位-v1</x:v>
      </x:c>
      <x:c r="R21" s="2" t="str">
        <x:v>模拟权责发生制</x:v>
      </x:c>
      <x:c r="S21" s="2" t="str">
        <x:v>2027-01</x:v>
      </x:c>
      <x:c r="T21" s="2" t="str">
        <x:v>2027-06</x:v>
      </x:c>
      <x:c r="U21" s="2" t="str">
        <x:v>无</x:v>
      </x:c>
      <x:c r="V21" s="2" t="str">
        <x:v>无</x:v>
      </x:c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ROUND(C222*C342,2)</x:f>
        <x:v>319.88</x:v>
      </x:c>
      <x:c r="D22" s="3" t="n">
        <x:f>ROUND(D222*D342,2)</x:f>
        <x:v>351.12</x:v>
      </x:c>
      <x:c r="E22" s="3" t="n">
        <x:f>ROUND(E222*E342,2)</x:f>
        <x:v>136.04</x:v>
      </x:c>
      <x:c r="F22" s="3" t="n">
        <x:f>ROUND(F222*F342,2)</x:f>
        <x:v>371.72</x:v>
      </x:c>
      <x:c r="G22" s="3" t="n">
        <x:f>ROUND(G222*G342,2)</x:f>
        <x:v>227.6</x:v>
      </x:c>
      <x:c r="H22" s="3" t="n">
        <x:f>ROUND(H222*H342,2)</x:f>
        <x:v>204.2</x:v>
      </x:c>
      <x:c r="I22" s="3" t="n">
        <x:f>ROUND(I222*I342,2)</x:f>
        <x:v>101.13</x:v>
      </x:c>
      <x:c r="J22" s="3" t="n">
        <x:f>ROUND(J222*J342,2)</x:f>
        <x:v>295.54</x:v>
      </x:c>
      <x:c r="K22" s="3" t="n">
        <x:f>ROUND(K222*K342,2)</x:f>
        <x:v>176.11</x:v>
      </x:c>
      <x:c r="L22" s="3" t="n">
        <x:f>ROUND(L222*L342,2)</x:f>
        <x:v>335.65</x:v>
      </x:c>
      <x:c r="M22" s="3" t="n">
        <x:f>ROUND(M222*M342,2)</x:f>
        <x:v>125.14</x:v>
      </x:c>
      <x:c r="N22" s="3" t="n">
        <x:f>ROUND(N222*N342,2)</x:f>
        <x:v>184.35</x:v>
      </x:c>
      <x:c r="O22" s="3" t="n">
        <x:f>SUM(C22:N22)</x:f>
        <x:v>2828.48</x:v>
      </x:c>
      <x:c r="P22" s="2" t="str">
        <x:v>EXP3.022</x:v>
      </x:c>
      <x:c r="Q22" s="2" t="str">
        <x:v>演示占位-v1</x:v>
      </x:c>
      <x:c r="R22" s="2" t="str">
        <x:v>模拟权责发生制</x:v>
      </x:c>
      <x:c r="S22" s="2" t="str">
        <x:v>2027-01</x:v>
      </x:c>
      <x:c r="T22" s="2" t="str">
        <x:v>2027-06</x:v>
      </x:c>
      <x:c r="U22" s="2" t="str">
        <x:v>无</x:v>
      </x:c>
      <x:c r="V22" s="2" t="str">
        <x:v>无</x:v>
      </x:c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ROUND(C223*C343,2)</x:f>
        <x:v>264.67</x:v>
      </x:c>
      <x:c r="D23" s="3" t="n">
        <x:f>ROUND(D223*D343,2)</x:f>
        <x:v>261.7</x:v>
      </x:c>
      <x:c r="E23" s="3" t="n">
        <x:f>ROUND(E223*E343,2)</x:f>
        <x:v>291.64</x:v>
      </x:c>
      <x:c r="F23" s="3" t="n">
        <x:f>ROUND(F223*F343,2)</x:f>
        <x:v>321.61</x:v>
      </x:c>
      <x:c r="G23" s="3" t="n">
        <x:f>ROUND(G223*G343,2)</x:f>
        <x:v>299.11</x:v>
      </x:c>
      <x:c r="H23" s="3" t="n">
        <x:f>ROUND(H223*H343,2)</x:f>
        <x:v>394.47</x:v>
      </x:c>
      <x:c r="I23" s="3" t="n">
        <x:f>ROUND(I223*I343,2)</x:f>
        <x:v>252.58</x:v>
      </x:c>
      <x:c r="J23" s="3" t="n">
        <x:f>ROUND(J223*J343,2)</x:f>
        <x:v>161.71</x:v>
      </x:c>
      <x:c r="K23" s="3" t="n">
        <x:f>ROUND(K223*K343,2)</x:f>
        <x:v>205.7</x:v>
      </x:c>
      <x:c r="L23" s="3" t="n">
        <x:f>ROUND(L223*L343,2)</x:f>
        <x:v>170.2</x:v>
      </x:c>
      <x:c r="M23" s="3" t="n">
        <x:f>ROUND(M223*M343,2)</x:f>
        <x:v>461.42</x:v>
      </x:c>
      <x:c r="N23" s="3" t="n">
        <x:f>ROUND(N223*N343,2)</x:f>
        <x:v>196.03</x:v>
      </x:c>
      <x:c r="O23" s="3" t="n">
        <x:f>SUM(C23:N23)</x:f>
        <x:v>3280.84</x:v>
      </x:c>
      <x:c r="P23" s="2" t="str">
        <x:v>EXP3.023</x:v>
      </x:c>
      <x:c r="Q23" s="2" t="str">
        <x:v>演示占位-v1</x:v>
      </x:c>
      <x:c r="R23" s="2" t="str">
        <x:v>模拟权责发生制</x:v>
      </x:c>
      <x:c r="S23" s="2" t="str">
        <x:v>2027-01</x:v>
      </x:c>
      <x:c r="T23" s="2" t="str">
        <x:v>2027-06</x:v>
      </x:c>
      <x:c r="U23" s="2" t="str">
        <x:v>无</x:v>
      </x:c>
      <x:c r="V23" s="2" t="str">
        <x:v>无</x:v>
      </x:c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ROUND(C224*C344,2)</x:f>
        <x:v>142.01</x:v>
      </x:c>
      <x:c r="D24" s="3" t="n">
        <x:f>ROUND(D224*D344,2)</x:f>
        <x:v>199.98</x:v>
      </x:c>
      <x:c r="E24" s="3" t="n">
        <x:f>ROUND(E224*E344,2)</x:f>
        <x:v>197.8</x:v>
      </x:c>
      <x:c r="F24" s="3" t="n">
        <x:f>ROUND(F224*F344,2)</x:f>
        <x:v>347.97</x:v>
      </x:c>
      <x:c r="G24" s="3" t="n">
        <x:f>ROUND(G224*G344,2)</x:f>
        <x:v>187.05</x:v>
      </x:c>
      <x:c r="H24" s="3" t="n">
        <x:f>ROUND(H224*H344,2)</x:f>
        <x:v>112.42</x:v>
      </x:c>
      <x:c r="I24" s="3" t="n">
        <x:f>ROUND(I224*I344,2)</x:f>
        <x:v>150.85</x:v>
      </x:c>
      <x:c r="J24" s="3" t="n">
        <x:f>ROUND(J224*J344,2)</x:f>
        <x:v>134.61</x:v>
      </x:c>
      <x:c r="K24" s="3" t="n">
        <x:f>ROUND(K224*K344,2)</x:f>
        <x:v>432.24</x:v>
      </x:c>
      <x:c r="L24" s="3" t="n">
        <x:f>ROUND(L224*L344,2)</x:f>
        <x:v>484.29</x:v>
      </x:c>
      <x:c r="M24" s="3" t="n">
        <x:f>ROUND(M224*M344,2)</x:f>
        <x:v>315.55</x:v>
      </x:c>
      <x:c r="N24" s="3" t="n">
        <x:f>ROUND(N224*N344,2)</x:f>
        <x:v>271.99</x:v>
      </x:c>
      <x:c r="O24" s="3" t="n">
        <x:f>SUM(C24:N24)</x:f>
        <x:v>2976.76</x:v>
      </x:c>
      <x:c r="P24" s="2" t="str">
        <x:v>EXP3.024</x:v>
      </x:c>
      <x:c r="Q24" s="2" t="str">
        <x:v>演示占位-v1</x:v>
      </x:c>
      <x:c r="R24" s="2" t="str">
        <x:v>模拟权责发生制</x:v>
      </x:c>
      <x:c r="S24" s="2" t="str">
        <x:v>2027-01</x:v>
      </x:c>
      <x:c r="T24" s="2" t="str">
        <x:v>2027-06</x:v>
      </x:c>
      <x:c r="U24" s="2" t="str">
        <x:v>无</x:v>
      </x:c>
      <x:c r="V24" s="2" t="str">
        <x:v>无</x:v>
      </x:c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ROUND(C225*C345,2)</x:f>
        <x:v>562.9</x:v>
      </x:c>
      <x:c r="D25" s="3" t="n">
        <x:f>ROUND(D225*D345,2)</x:f>
        <x:v>107.81</x:v>
      </x:c>
      <x:c r="E25" s="3" t="n">
        <x:f>ROUND(E225*E345,2)</x:f>
        <x:v>275.65</x:v>
      </x:c>
      <x:c r="F25" s="3" t="n">
        <x:f>ROUND(F225*F345,2)</x:f>
        <x:v>118.44</x:v>
      </x:c>
      <x:c r="G25" s="3" t="n">
        <x:f>ROUND(G225*G345,2)</x:f>
        <x:v>284.43</x:v>
      </x:c>
      <x:c r="H25" s="3" t="n">
        <x:f>ROUND(H225*H345,2)</x:f>
        <x:v>287.63</x:v>
      </x:c>
      <x:c r="I25" s="3" t="n">
        <x:f>ROUND(I225*I345,2)</x:f>
        <x:v>398.37</x:v>
      </x:c>
      <x:c r="J25" s="3" t="n">
        <x:f>ROUND(J225*J345,2)</x:f>
        <x:v>281.3</x:v>
      </x:c>
      <x:c r="K25" s="3" t="n">
        <x:f>ROUND(K225*K345,2)</x:f>
        <x:v>288.15</x:v>
      </x:c>
      <x:c r="L25" s="3" t="n">
        <x:f>ROUND(L225*L345,2)</x:f>
        <x:v>176.37</x:v>
      </x:c>
      <x:c r="M25" s="3" t="n">
        <x:f>ROUND(M225*M345,2)</x:f>
        <x:v>218.3</x:v>
      </x:c>
      <x:c r="N25" s="3" t="n">
        <x:f>ROUND(N225*N345,2)</x:f>
        <x:v>345.24</x:v>
      </x:c>
      <x:c r="O25" s="3" t="n">
        <x:f>SUM(C25:N25)</x:f>
        <x:v>3344.59</x:v>
      </x:c>
      <x:c r="P25" s="2" t="str">
        <x:v>EXP3.025</x:v>
      </x:c>
      <x:c r="Q25" s="2" t="str">
        <x:v>演示占位-v1</x:v>
      </x:c>
      <x:c r="R25" s="2" t="str">
        <x:v>模拟权责发生制</x:v>
      </x:c>
      <x:c r="S25" s="2" t="str">
        <x:v>2027-01</x:v>
      </x:c>
      <x:c r="T25" s="2" t="str">
        <x:v>2027-06</x:v>
      </x:c>
      <x:c r="U25" s="2" t="str">
        <x:v>无</x:v>
      </x:c>
      <x:c r="V25" s="2" t="str">
        <x:v>无</x:v>
      </x:c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ROUND(C226*C346,2)</x:f>
        <x:v>183.53</x:v>
      </x:c>
      <x:c r="D26" s="3" t="n">
        <x:f>ROUND(D226*D346,2)</x:f>
        <x:v>259.93</x:v>
      </x:c>
      <x:c r="E26" s="3" t="n">
        <x:f>ROUND(E226*E346,2)</x:f>
        <x:v>321.41</x:v>
      </x:c>
      <x:c r="F26" s="3" t="n">
        <x:f>ROUND(F226*F346,2)</x:f>
        <x:v>106.75</x:v>
      </x:c>
      <x:c r="G26" s="3" t="n">
        <x:f>ROUND(G226*G346,2)</x:f>
        <x:v>254.68</x:v>
      </x:c>
      <x:c r="H26" s="3" t="n">
        <x:f>ROUND(H226*H346,2)</x:f>
        <x:v>160.99</x:v>
      </x:c>
      <x:c r="I26" s="3" t="n">
        <x:f>ROUND(I226*I346,2)</x:f>
        <x:v>416.7</x:v>
      </x:c>
      <x:c r="J26" s="3" t="n">
        <x:f>ROUND(J226*J346,2)</x:f>
        <x:v>147.46</x:v>
      </x:c>
      <x:c r="K26" s="3" t="n">
        <x:f>ROUND(K226*K346,2)</x:f>
        <x:v>209.51</x:v>
      </x:c>
      <x:c r="L26" s="3" t="n">
        <x:f>ROUND(L226*L346,2)</x:f>
        <x:v>95.14</x:v>
      </x:c>
      <x:c r="M26" s="3" t="n">
        <x:f>ROUND(M226*M346,2)</x:f>
        <x:v>123.52</x:v>
      </x:c>
      <x:c r="N26" s="3" t="n">
        <x:f>ROUND(N226*N346,2)</x:f>
        <x:v>391.67</x:v>
      </x:c>
      <x:c r="O26" s="3" t="n">
        <x:f>SUM(C26:N26)</x:f>
        <x:v>2671.29</x:v>
      </x:c>
      <x:c r="P26" s="2" t="str">
        <x:v>EXP3.026</x:v>
      </x:c>
      <x:c r="Q26" s="2" t="str">
        <x:v>演示占位-v1</x:v>
      </x:c>
      <x:c r="R26" s="2" t="str">
        <x:v>模拟权责发生制</x:v>
      </x:c>
      <x:c r="S26" s="2" t="str">
        <x:v>2027-01</x:v>
      </x:c>
      <x:c r="T26" s="2" t="str">
        <x:v>2027-06</x:v>
      </x:c>
      <x:c r="U26" s="2" t="str">
        <x:v>无</x:v>
      </x:c>
      <x:c r="V26" s="2" t="str">
        <x:v>无</x:v>
      </x:c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ROUND(C227*C347,2)</x:f>
        <x:v>376.28</x:v>
      </x:c>
      <x:c r="D27" s="3" t="n">
        <x:f>ROUND(D227*D347,2)</x:f>
        <x:v>518.71</x:v>
      </x:c>
      <x:c r="E27" s="3" t="n">
        <x:f>ROUND(E227*E347,2)</x:f>
        <x:v>487.52</x:v>
      </x:c>
      <x:c r="F27" s="3" t="n">
        <x:f>ROUND(F227*F347,2)</x:f>
        <x:v>139.26</x:v>
      </x:c>
      <x:c r="G27" s="3" t="n">
        <x:f>ROUND(G227*G347,2)</x:f>
        <x:v>167.21</x:v>
      </x:c>
      <x:c r="H27" s="3" t="n">
        <x:f>ROUND(H227*H347,2)</x:f>
        <x:v>329.72</x:v>
      </x:c>
      <x:c r="I27" s="3" t="n">
        <x:f>ROUND(I227*I347,2)</x:f>
        <x:v>122.86</x:v>
      </x:c>
      <x:c r="J27" s="3" t="n">
        <x:f>ROUND(J227*J347,2)</x:f>
        <x:v>139.23</x:v>
      </x:c>
      <x:c r="K27" s="3" t="n">
        <x:f>ROUND(K227*K347,2)</x:f>
        <x:v>95.69</x:v>
      </x:c>
      <x:c r="L27" s="3" t="n">
        <x:f>ROUND(L227*L347,2)</x:f>
        <x:v>237.76</x:v>
      </x:c>
      <x:c r="M27" s="3" t="n">
        <x:f>ROUND(M227*M347,2)</x:f>
        <x:v>416.71</x:v>
      </x:c>
      <x:c r="N27" s="3" t="n">
        <x:f>ROUND(N227*N347,2)</x:f>
        <x:v>290.55</x:v>
      </x:c>
      <x:c r="O27" s="3" t="n">
        <x:f>SUM(C27:N27)</x:f>
        <x:v>3321.5</x:v>
      </x:c>
      <x:c r="P27" s="2" t="str">
        <x:v>EXP3.027</x:v>
      </x:c>
      <x:c r="Q27" s="2" t="str">
        <x:v>演示占位-v1</x:v>
      </x:c>
      <x:c r="R27" s="2" t="str">
        <x:v>模拟权责发生制</x:v>
      </x:c>
      <x:c r="S27" s="2" t="str">
        <x:v>2027-01</x:v>
      </x:c>
      <x:c r="T27" s="2" t="str">
        <x:v>2027-06</x:v>
      </x:c>
      <x:c r="U27" s="2" t="str">
        <x:v>无</x:v>
      </x:c>
      <x:c r="V27" s="2" t="str">
        <x:v>无</x:v>
      </x:c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ROUND(C228*C348,2)</x:f>
        <x:v>54.83</x:v>
      </x:c>
      <x:c r="D28" s="3" t="n">
        <x:f>ROUND(D228*D348,2)</x:f>
        <x:v>196.2</x:v>
      </x:c>
      <x:c r="E28" s="3" t="n">
        <x:f>ROUND(E228*E348,2)</x:f>
        <x:v>148.83</x:v>
      </x:c>
      <x:c r="F28" s="3" t="n">
        <x:f>ROUND(F228*F348,2)</x:f>
        <x:v>297.85</x:v>
      </x:c>
      <x:c r="G28" s="3" t="n">
        <x:f>ROUND(G228*G348,2)</x:f>
        <x:v>205.63</x:v>
      </x:c>
      <x:c r="H28" s="3" t="n">
        <x:f>ROUND(H228*H348,2)</x:f>
        <x:v>226.65</x:v>
      </x:c>
      <x:c r="I28" s="3" t="n">
        <x:f>ROUND(I228*I348,2)</x:f>
        <x:v>116.66</x:v>
      </x:c>
      <x:c r="J28" s="3" t="n">
        <x:f>ROUND(J228*J348,2)</x:f>
        <x:v>233.25</x:v>
      </x:c>
      <x:c r="K28" s="3" t="n">
        <x:f>ROUND(K228*K348,2)</x:f>
        <x:v>156.06</x:v>
      </x:c>
      <x:c r="L28" s="3" t="n">
        <x:f>ROUND(L228*L348,2)</x:f>
        <x:v>556.18</x:v>
      </x:c>
      <x:c r="M28" s="3" t="n">
        <x:f>ROUND(M228*M348,2)</x:f>
        <x:v>398.56</x:v>
      </x:c>
      <x:c r="N28" s="3" t="n">
        <x:f>ROUND(N228*N348,2)</x:f>
        <x:v>310.58</x:v>
      </x:c>
      <x:c r="O28" s="3" t="n">
        <x:f>SUM(C28:N28)</x:f>
        <x:v>2901.2799999999997</x:v>
      </x:c>
      <x:c r="P28" s="2" t="str">
        <x:v>EXP3.028</x:v>
      </x:c>
      <x:c r="Q28" s="2" t="str">
        <x:v>演示占位-v1</x:v>
      </x:c>
      <x:c r="R28" s="2" t="str">
        <x:v>模拟权责发生制</x:v>
      </x:c>
      <x:c r="S28" s="2" t="str">
        <x:v>2027-01</x:v>
      </x:c>
      <x:c r="T28" s="2" t="str">
        <x:v>2027-06</x:v>
      </x:c>
      <x:c r="U28" s="2" t="str">
        <x:v>无</x:v>
      </x:c>
      <x:c r="V28" s="2" t="str">
        <x:v>无</x:v>
      </x:c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0</x:f>
        <x:v>0</x:v>
      </x:c>
      <x:c r="D29" s="3" t="n">
        <x:f>0</x:f>
        <x:v>0</x:v>
      </x:c>
      <x:c r="E29" s="3" t="n">
        <x:f>0</x:f>
        <x:v>0</x:v>
      </x:c>
      <x:c r="F29" s="3" t="n">
        <x:f>0</x:f>
        <x:v>0</x:v>
      </x:c>
      <x:c r="G29" s="3" t="n">
        <x:f>0</x:f>
        <x:v>0</x:v>
      </x:c>
      <x:c r="H29" s="3" t="n">
        <x:f>0</x:f>
        <x:v>0</x:v>
      </x:c>
      <x:c r="I29" s="3" t="n">
        <x:f>0</x:f>
        <x:v>0</x:v>
      </x:c>
      <x:c r="J29" s="3" t="n">
        <x:f>0</x:f>
        <x:v>0</x:v>
      </x:c>
      <x:c r="K29" s="3" t="n">
        <x:f>0</x:f>
        <x:v>0</x:v>
      </x:c>
      <x:c r="L29" s="3" t="n">
        <x:f>0</x:f>
        <x:v>0</x:v>
      </x:c>
      <x:c r="M29" s="3" t="n">
        <x:f>0</x:f>
        <x:v>0</x:v>
      </x:c>
      <x:c r="N29" s="3" t="n">
        <x:f>0</x:f>
        <x:v>0</x:v>
      </x:c>
      <x:c r="O29" s="3" t="n">
        <x:f>SUM(C29:N29)</x:f>
        <x:v>0</x:v>
      </x:c>
      <x:c r="P29" s="2" t="str">
        <x:v>EXP3.029</x:v>
      </x:c>
      <x:c r="Q29" s="2" t="str">
        <x:v>演示占位-v1</x:v>
      </x:c>
      <x:c r="R29" s="2" t="str">
        <x:v>模拟权责发生制</x:v>
      </x:c>
      <x:c r="S29" s="2" t="str">
        <x:v>2027-01</x:v>
      </x:c>
      <x:c r="T29" s="2" t="str">
        <x:v>2027-06</x:v>
      </x:c>
      <x:c r="U29" s="2" t="str">
        <x:v>无</x:v>
      </x:c>
      <x:c r="V29" s="2" t="str">
        <x:v>无</x:v>
      </x:c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ROUND(C230*C350,2)</x:f>
        <x:v>69.7</x:v>
      </x:c>
      <x:c r="D30" s="6" t="n">
        <x:f>ROUND(D230*D350,2)</x:f>
        <x:v>252.33</x:v>
      </x:c>
      <x:c r="E30" s="6" t="n">
        <x:f>ROUND(E230*E350,2)</x:f>
        <x:v>274.73</x:v>
      </x:c>
      <x:c r="F30" s="6" t="n">
        <x:f>ROUND(F230*F350,2)</x:f>
        <x:v>391.27</x:v>
      </x:c>
      <x:c r="G30" s="6" t="n">
        <x:f>ROUND(G230*G350,2)</x:f>
        <x:v>411.5</x:v>
      </x:c>
      <x:c r="H30" s="6" t="n">
        <x:f>ROUND(H230*H350,2)</x:f>
        <x:v>468.87</x:v>
      </x:c>
      <x:c r="I30" s="6" t="n">
        <x:f>ROUND(I230*I350,2)</x:f>
        <x:v>564.54</x:v>
      </x:c>
      <x:c r="J30" s="6" t="n">
        <x:f>ROUND(J230*J350,2)</x:f>
        <x:v>219.48</x:v>
      </x:c>
      <x:c r="K30" s="6" t="n">
        <x:f>ROUND(K230*K350,2)</x:f>
        <x:v>155.42</x:v>
      </x:c>
      <x:c r="L30" s="6" t="n">
        <x:f>ROUND(L230*L350,2)</x:f>
        <x:v>225.96</x:v>
      </x:c>
      <x:c r="M30" s="6" t="n">
        <x:f>ROUND(M230*M350,2)</x:f>
        <x:v>188.21</x:v>
      </x:c>
      <x:c r="N30" s="6" t="n">
        <x:f>ROUND(N230*N350,2)</x:f>
        <x:v>345.1</x:v>
      </x:c>
      <x:c r="O30" s="6" t="n">
        <x:f>SUM(C30:N30)</x:f>
        <x:v>3567.11</x:v>
      </x:c>
      <x:c r="P30" s="2" t="str">
        <x:v>EXP3.030</x:v>
      </x:c>
      <x:c r="Q30" s="2" t="str">
        <x:v>演示占位-v1</x:v>
      </x:c>
      <x:c r="R30" s="2" t="str">
        <x:v>模拟权责发生制</x:v>
      </x:c>
      <x:c r="S30" s="2" t="str">
        <x:v>2027-01</x:v>
      </x:c>
      <x:c r="T30" s="2" t="str">
        <x:v>2027-06</x:v>
      </x:c>
      <x:c r="U30" s="2" t="str">
        <x:v>无</x:v>
      </x:c>
      <x:c r="V30" s="2" t="str">
        <x:v>无</x:v>
      </x:c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ROUND(C231*C351,2)</x:f>
        <x:v>161.67</x:v>
      </x:c>
      <x:c r="D31" s="3" t="n">
        <x:f>ROUND(D231*D351,2)</x:f>
        <x:v>236.8</x:v>
      </x:c>
      <x:c r="E31" s="3" t="n">
        <x:f>ROUND(E231*E351,2)</x:f>
        <x:v>254.64</x:v>
      </x:c>
      <x:c r="F31" s="3" t="n">
        <x:f>ROUND(F231*F351,2)</x:f>
        <x:v>177.28</x:v>
      </x:c>
      <x:c r="G31" s="3" t="n">
        <x:f>ROUND(G231*G351,2)</x:f>
        <x:v>249.85</x:v>
      </x:c>
      <x:c r="H31" s="3" t="n">
        <x:f>ROUND(H231*H351,2)</x:f>
        <x:v>102.19</x:v>
      </x:c>
      <x:c r="I31" s="3" t="n">
        <x:f>ROUND(I231*I351,2)</x:f>
        <x:v>91.15</x:v>
      </x:c>
      <x:c r="J31" s="3" t="n">
        <x:f>ROUND(J231*J351,2)</x:f>
        <x:v>498.45</x:v>
      </x:c>
      <x:c r="K31" s="3" t="n">
        <x:f>ROUND(K231*K351,2)</x:f>
        <x:v>149.26</x:v>
      </x:c>
      <x:c r="L31" s="3" t="n">
        <x:f>ROUND(L231*L351,2)</x:f>
        <x:v>95.86</x:v>
      </x:c>
      <x:c r="M31" s="3" t="n">
        <x:f>ROUND(M231*M351,2)</x:f>
        <x:v>283.42</x:v>
      </x:c>
      <x:c r="N31" s="3" t="n">
        <x:f>ROUND(N231*N351,2)</x:f>
        <x:v>340.75</x:v>
      </x:c>
      <x:c r="O31" s="3" t="n">
        <x:f>SUM(C31:N31)</x:f>
        <x:v>2641.32</x:v>
      </x:c>
      <x:c r="P31" s="2" t="str">
        <x:v>EXP3.031</x:v>
      </x:c>
      <x:c r="Q31" s="2" t="str">
        <x:v>演示占位-v1</x:v>
      </x:c>
      <x:c r="R31" s="2" t="str">
        <x:v>模拟权责发生制</x:v>
      </x:c>
      <x:c r="S31" s="2" t="str">
        <x:v>2027-01</x:v>
      </x:c>
      <x:c r="T31" s="2" t="str">
        <x:v>2027-06</x:v>
      </x:c>
      <x:c r="U31" s="2" t="str">
        <x:v>无</x:v>
      </x:c>
      <x:c r="V31" s="2" t="str">
        <x:v>无</x:v>
      </x:c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ROUND(C232*C352,2)</x:f>
        <x:v>65.46</x:v>
      </x:c>
      <x:c r="D32" s="3" t="n">
        <x:f>ROUND(D232*D352,2)</x:f>
        <x:v>342.07</x:v>
      </x:c>
      <x:c r="E32" s="3" t="n">
        <x:f>ROUND(E232*E352,2)</x:f>
        <x:v>552.73</x:v>
      </x:c>
      <x:c r="F32" s="3" t="n">
        <x:f>ROUND(F232*F352,2)</x:f>
        <x:v>178.3</x:v>
      </x:c>
      <x:c r="G32" s="3" t="n">
        <x:f>ROUND(G232*G352,2)</x:f>
        <x:v>183.63</x:v>
      </x:c>
      <x:c r="H32" s="3" t="n">
        <x:f>ROUND(H232*H352,2)</x:f>
        <x:v>66.51</x:v>
      </x:c>
      <x:c r="I32" s="3" t="n">
        <x:f>ROUND(I232*I352,2)</x:f>
        <x:v>76.84</x:v>
      </x:c>
      <x:c r="J32" s="3" t="n">
        <x:f>ROUND(J232*J352,2)</x:f>
        <x:v>249.96</x:v>
      </x:c>
      <x:c r="K32" s="3" t="n">
        <x:f>ROUND(K232*K352,2)</x:f>
        <x:v>391.58</x:v>
      </x:c>
      <x:c r="L32" s="3" t="n">
        <x:f>ROUND(L232*L352,2)</x:f>
        <x:v>205.45</x:v>
      </x:c>
      <x:c r="M32" s="3" t="n">
        <x:f>ROUND(M232*M352,2)</x:f>
        <x:v>278.38</x:v>
      </x:c>
      <x:c r="N32" s="3" t="n">
        <x:f>ROUND(N232*N352,2)</x:f>
        <x:v>264.99</x:v>
      </x:c>
      <x:c r="O32" s="3" t="n">
        <x:f>SUM(C32:N32)</x:f>
        <x:v>2855.8999999999996</x:v>
      </x:c>
      <x:c r="P32" s="2" t="str">
        <x:v>EXP3.032</x:v>
      </x:c>
      <x:c r="Q32" s="2" t="str">
        <x:v>演示占位-v1</x:v>
      </x:c>
      <x:c r="R32" s="2" t="str">
        <x:v>模拟权责发生制</x:v>
      </x:c>
      <x:c r="S32" s="2" t="str">
        <x:v>2027-01</x:v>
      </x:c>
      <x:c r="T32" s="2" t="str">
        <x:v>2027-06</x:v>
      </x:c>
      <x:c r="U32" s="2" t="str">
        <x:v>无</x:v>
      </x:c>
      <x:c r="V32" s="2" t="str">
        <x:v>无</x:v>
      </x:c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ROUND(C233*C353,2)</x:f>
        <x:v>243.27</x:v>
      </x:c>
      <x:c r="D33" s="3" t="n">
        <x:f>ROUND(D233*D353,2)</x:f>
        <x:v>377.58</x:v>
      </x:c>
      <x:c r="E33" s="3" t="n">
        <x:f>ROUND(E233*E353,2)</x:f>
        <x:v>58.83</x:v>
      </x:c>
      <x:c r="F33" s="3" t="n">
        <x:f>ROUND(F233*F353,2)</x:f>
        <x:v>157.85</x:v>
      </x:c>
      <x:c r="G33" s="3" t="n">
        <x:f>ROUND(G233*G353,2)</x:f>
        <x:v>321.66</x:v>
      </x:c>
      <x:c r="H33" s="3" t="n">
        <x:f>ROUND(H233*H353,2)</x:f>
        <x:v>121.17</x:v>
      </x:c>
      <x:c r="I33" s="3" t="n">
        <x:f>ROUND(I233*I353,2)</x:f>
        <x:v>163.74</x:v>
      </x:c>
      <x:c r="J33" s="3" t="n">
        <x:f>ROUND(J233*J353,2)</x:f>
        <x:v>113.54</x:v>
      </x:c>
      <x:c r="K33" s="3" t="n">
        <x:f>ROUND(K233*K353,2)</x:f>
        <x:v>165.35</x:v>
      </x:c>
      <x:c r="L33" s="3" t="n">
        <x:f>ROUND(L233*L353,2)</x:f>
        <x:v>412.53</x:v>
      </x:c>
      <x:c r="M33" s="3" t="n">
        <x:f>ROUND(M233*M353,2)</x:f>
        <x:v>156.35</x:v>
      </x:c>
      <x:c r="N33" s="3" t="n">
        <x:f>ROUND(N233*N353,2)</x:f>
        <x:v>116.96</x:v>
      </x:c>
      <x:c r="O33" s="3" t="n">
        <x:f>SUM(C33:N33)</x:f>
        <x:v>2408.83</x:v>
      </x:c>
      <x:c r="P33" s="2" t="str">
        <x:v>EXP3.033</x:v>
      </x:c>
      <x:c r="Q33" s="2" t="str">
        <x:v>演示占位-v1</x:v>
      </x:c>
      <x:c r="R33" s="2" t="str">
        <x:v>模拟权责发生制</x:v>
      </x:c>
      <x:c r="S33" s="2" t="str">
        <x:v>2027-01</x:v>
      </x:c>
      <x:c r="T33" s="2" t="str">
        <x:v>2027-06</x:v>
      </x:c>
      <x:c r="U33" s="2" t="str">
        <x:v>无</x:v>
      </x:c>
      <x:c r="V33" s="2" t="str">
        <x:v>无</x:v>
      </x:c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6303.219999999999</x:v>
      </x:c>
      <x:c r="D34" s="3" t="n">
        <x:f>SUM(D4:D33)</x:f>
        <x:v>6874.91</x:v>
      </x:c>
      <x:c r="E34" s="3" t="n">
        <x:f>SUM(E4:E33)</x:f>
        <x:v>6944.67</x:v>
      </x:c>
      <x:c r="F34" s="3" t="n">
        <x:f>SUM(F4:F33)</x:f>
        <x:v>7423.91</x:v>
      </x:c>
      <x:c r="G34" s="3" t="n">
        <x:f>SUM(G4:G33)</x:f>
        <x:v>7932.4000000000015</x:v>
      </x:c>
      <x:c r="H34" s="3" t="n">
        <x:f>SUM(H4:H33)</x:f>
        <x:v>6913.249999999999</x:v>
      </x:c>
      <x:c r="I34" s="3" t="n">
        <x:f>SUM(I4:I33)</x:f>
        <x:v>8189.349999999999</x:v>
      </x:c>
      <x:c r="J34" s="3" t="n">
        <x:f>SUM(J4:J33)</x:f>
        <x:v>7034.069999999999</x:v>
      </x:c>
      <x:c r="K34" s="3" t="n">
        <x:f>SUM(K4:K33)</x:f>
        <x:v>7822.82</x:v>
      </x:c>
      <x:c r="L34" s="3" t="n">
        <x:f>SUM(L4:L33)</x:f>
        <x:v>7164.929999999999</x:v>
      </x:c>
      <x:c r="M34" s="3" t="n">
        <x:f>SUM(M4:M33)</x:f>
        <x:v>6857.3600000000015</x:v>
      </x:c>
      <x:c r="N34" s="3" t="n">
        <x:f>SUM(N4:N33)</x:f>
        <x:v>8367.88</x:v>
      </x:c>
      <x:c r="O34" s="3" t="n">
        <x:f>SUM(C34:N34)</x:f>
        <x:v>87828.77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 t="str">
        <x:v>其他主体费用</x:v>
      </x:c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 t="str">
        <x:v>实时经营（月度，元）</x:v>
      </x:c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 t="str">
        <x:v>2027-01</x:v>
      </x:c>
      <x:c r="D63" s="3" t="str">
        <x:v>2027-02</x:v>
      </x:c>
      <x:c r="E63" s="3" t="str">
        <x:v>2027-03</x:v>
      </x:c>
      <x:c r="F63" s="3" t="str">
        <x:v>2027-04</x:v>
      </x:c>
      <x:c r="G63" s="3" t="str">
        <x:v>2027-05</x:v>
      </x:c>
      <x:c r="H63" s="3" t="str">
        <x:v>2027-06</x:v>
      </x:c>
      <x:c r="I63" s="3" t="str">
        <x:v>2027-07</x:v>
      </x:c>
      <x:c r="J63" s="3" t="str">
        <x:v>2027-08</x:v>
      </x:c>
      <x:c r="K63" s="3" t="str">
        <x:v>2027-09</x:v>
      </x:c>
      <x:c r="L63" s="3" t="str">
        <x:v>2027-10</x:v>
      </x:c>
      <x:c r="M63" s="3" t="str">
        <x:v>2027-11</x:v>
      </x:c>
      <x:c r="N63" s="3" t="str">
        <x:v>2027-12</x:v>
      </x:c>
      <x:c r="O63" s="3" t="str">
        <x:v>小计</x:v>
      </x:c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工资</x:v>
      </x:c>
      <x:c r="C64" s="3" t="n">
        <x:f>ROUND(C264*C384,2)</x:f>
        <x:v>371.6</x:v>
      </x:c>
      <x:c r="D64" s="3" t="n">
        <x:f>ROUND(D264*D384,2)</x:f>
        <x:v>160.48</x:v>
      </x:c>
      <x:c r="E64" s="3" t="n">
        <x:f>ROUND(E264*E384,2)</x:f>
        <x:v>71.61</x:v>
      </x:c>
      <x:c r="F64" s="3" t="n">
        <x:f>ROUND(F264*F384,2)</x:f>
        <x:v>409.66</x:v>
      </x:c>
      <x:c r="G64" s="3" t="n">
        <x:f>ROUND(G264*G384,2)</x:f>
        <x:v>214.65</x:v>
      </x:c>
      <x:c r="H64" s="3" t="n">
        <x:f>ROUND(H264*H384,2)</x:f>
        <x:v>354.54</x:v>
      </x:c>
      <x:c r="I64" s="3" t="n">
        <x:f>ROUND(I264*I384,2)</x:f>
        <x:v>242.54</x:v>
      </x:c>
      <x:c r="J64" s="3" t="n">
        <x:f>ROUND(J264*J384,2)</x:f>
        <x:v>84.83</x:v>
      </x:c>
      <x:c r="K64" s="3" t="n">
        <x:f>ROUND(K264*K384,2)</x:f>
        <x:v>374.7</x:v>
      </x:c>
      <x:c r="L64" s="3" t="n">
        <x:f>ROUND(L264*L384,2)</x:f>
        <x:v>473.32</x:v>
      </x:c>
      <x:c r="M64" s="3" t="n">
        <x:f>ROUND(M264*M384,2)</x:f>
        <x:v>244.7</x:v>
      </x:c>
      <x:c r="N64" s="3" t="n">
        <x:f>ROUND(N264*N384,2)</x:f>
        <x:v>88.55</x:v>
      </x:c>
      <x:c r="O64" s="3" t="n">
        <x:f>SUM(C64:N64)</x:f>
        <x:v>3091.1800000000003</x:v>
      </x:c>
      <x:c r="P64" s="2" t="str">
        <x:v>EXP3.004</x:v>
      </x:c>
      <x:c r="Q64" s="2" t="str">
        <x:v>演示占位-v1</x:v>
      </x:c>
      <x:c r="R64" s="2" t="str">
        <x:v>模拟权责发生制</x:v>
      </x:c>
      <x:c r="S64" s="2" t="str">
        <x:v>2027-01</x:v>
      </x:c>
      <x:c r="T64" s="2" t="str">
        <x:v>2027-06</x:v>
      </x:c>
      <x:c r="U64" s="2" t="str">
        <x:v>无</x:v>
      </x:c>
      <x:c r="V64" s="2" t="str">
        <x:v>无</x:v>
      </x:c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十三薪</x:v>
      </x:c>
      <x:c r="C65" s="3" t="n">
        <x:f>ROUND(C265*C385,2)</x:f>
        <x:v>145.23</x:v>
      </x:c>
      <x:c r="D65" s="3" t="n">
        <x:f>ROUND(D265*D385,2)</x:f>
        <x:v>114.32</x:v>
      </x:c>
      <x:c r="E65" s="3" t="n">
        <x:f>ROUND(E265*E385,2)</x:f>
        <x:v>180.18</x:v>
      </x:c>
      <x:c r="F65" s="3" t="n">
        <x:f>ROUND(F265*F385,2)</x:f>
        <x:v>199.58</x:v>
      </x:c>
      <x:c r="G65" s="3" t="n">
        <x:f>ROUND(G265*G385,2)</x:f>
        <x:v>332.19</x:v>
      </x:c>
      <x:c r="H65" s="3" t="n">
        <x:f>ROUND(H265*H385,2)</x:f>
        <x:v>475.99</x:v>
      </x:c>
      <x:c r="I65" s="3" t="n">
        <x:f>ROUND(I265*I385,2)</x:f>
        <x:v>119.9</x:v>
      </x:c>
      <x:c r="J65" s="3" t="n">
        <x:f>ROUND(J265*J385,2)</x:f>
        <x:v>141.24</x:v>
      </x:c>
      <x:c r="K65" s="3" t="n">
        <x:f>ROUND(K265*K385,2)</x:f>
        <x:v>190.14</x:v>
      </x:c>
      <x:c r="L65" s="3" t="n">
        <x:f>ROUND(L265*L385,2)</x:f>
        <x:v>135.96</x:v>
      </x:c>
      <x:c r="M65" s="3" t="n">
        <x:f>ROUND(M265*M385,2)</x:f>
        <x:v>426.38</x:v>
      </x:c>
      <x:c r="N65" s="3" t="n">
        <x:f>ROUND(N265*N385,2)</x:f>
        <x:v>393.23</x:v>
      </x:c>
      <x:c r="O65" s="3" t="n">
        <x:f>SUM(C65:N65)</x:f>
        <x:v>2854.34</x:v>
      </x:c>
      <x:c r="P65" s="2" t="str">
        <x:v>EXP3.005</x:v>
      </x:c>
      <x:c r="Q65" s="2" t="str">
        <x:v>演示占位-v1</x:v>
      </x:c>
      <x:c r="R65" s="2" t="str">
        <x:v>模拟权责发生制</x:v>
      </x:c>
      <x:c r="S65" s="2" t="str">
        <x:v>2027-01</x:v>
      </x:c>
      <x:c r="T65" s="2" t="str">
        <x:v>2027-06</x:v>
      </x:c>
      <x:c r="U65" s="2" t="str">
        <x:v>无</x:v>
      </x:c>
      <x:c r="V65" s="2" t="str">
        <x:v>无</x:v>
      </x:c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离职补偿金</x:v>
      </x:c>
      <x:c r="C66" s="3" t="n">
        <x:f>ROUND(C266*C386,2)</x:f>
        <x:v>172.99</x:v>
      </x:c>
      <x:c r="D66" s="3" t="n">
        <x:f>ROUND(D266*D386,2)</x:f>
        <x:v>155.75</x:v>
      </x:c>
      <x:c r="E66" s="3" t="n">
        <x:f>ROUND(E266*E386,2)</x:f>
        <x:v>316.97</x:v>
      </x:c>
      <x:c r="F66" s="3" t="n">
        <x:f>ROUND(F266*F386,2)</x:f>
        <x:v>105.6</x:v>
      </x:c>
      <x:c r="G66" s="3" t="n">
        <x:f>ROUND(G266*G386,2)</x:f>
        <x:v>86.05</x:v>
      </x:c>
      <x:c r="H66" s="3" t="n">
        <x:f>ROUND(H266*H386,2)</x:f>
        <x:v>280.13</x:v>
      </x:c>
      <x:c r="I66" s="3" t="n">
        <x:f>ROUND(I266*I386,2)</x:f>
        <x:v>484.28</x:v>
      </x:c>
      <x:c r="J66" s="3" t="n">
        <x:f>ROUND(J266*J386,2)</x:f>
        <x:v>65.09</x:v>
      </x:c>
      <x:c r="K66" s="3" t="n">
        <x:f>ROUND(K266*K386,2)</x:f>
        <x:v>350.28</x:v>
      </x:c>
      <x:c r="L66" s="3" t="n">
        <x:f>ROUND(L266*L386,2)</x:f>
        <x:v>260.03</x:v>
      </x:c>
      <x:c r="M66" s="3" t="n">
        <x:f>ROUND(M266*M386,2)</x:f>
        <x:v>156.39</x:v>
      </x:c>
      <x:c r="N66" s="3" t="n">
        <x:f>ROUND(N266*N386,2)</x:f>
        <x:v>201.42</x:v>
      </x:c>
      <x:c r="O66" s="3" t="n">
        <x:f>SUM(C66:N66)</x:f>
        <x:v>2634.98</x:v>
      </x:c>
      <x:c r="P66" s="2" t="str">
        <x:v>EXP3.006</x:v>
      </x:c>
      <x:c r="Q66" s="2" t="str">
        <x:v>演示占位-v1</x:v>
      </x:c>
      <x:c r="R66" s="2" t="str">
        <x:v>模拟权责发生制</x:v>
      </x:c>
      <x:c r="S66" s="2" t="str">
        <x:v>2027-01</x:v>
      </x:c>
      <x:c r="T66" s="2" t="str">
        <x:v>2027-06</x:v>
      </x:c>
      <x:c r="U66" s="2" t="str">
        <x:v>无</x:v>
      </x:c>
      <x:c r="V66" s="2" t="str">
        <x:v>无</x:v>
      </x:c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五险一金</x:v>
      </x:c>
      <x:c r="C67" s="3" t="n">
        <x:f>ROUND(C267*C387,2)</x:f>
        <x:v>120.07</x:v>
      </x:c>
      <x:c r="D67" s="3" t="n">
        <x:f>ROUND(D267*D387,2)</x:f>
        <x:v>148.81</x:v>
      </x:c>
      <x:c r="E67" s="3" t="n">
        <x:f>ROUND(E267*E387,2)</x:f>
        <x:v>304.85</x:v>
      </x:c>
      <x:c r="F67" s="3" t="n">
        <x:f>ROUND(F267*F387,2)</x:f>
        <x:v>356.57</x:v>
      </x:c>
      <x:c r="G67" s="3" t="n">
        <x:f>ROUND(G267*G387,2)</x:f>
        <x:v>366.21</x:v>
      </x:c>
      <x:c r="H67" s="3" t="n">
        <x:f>ROUND(H267*H387,2)</x:f>
        <x:v>544</x:v>
      </x:c>
      <x:c r="I67" s="3" t="n">
        <x:f>ROUND(I267*I387,2)</x:f>
        <x:v>146.47</x:v>
      </x:c>
      <x:c r="J67" s="3" t="n">
        <x:f>ROUND(J267*J387,2)</x:f>
        <x:v>314.83</x:v>
      </x:c>
      <x:c r="K67" s="3" t="n">
        <x:f>ROUND(K267*K387,2)</x:f>
        <x:v>91.83</x:v>
      </x:c>
      <x:c r="L67" s="3" t="n">
        <x:f>ROUND(L267*L387,2)</x:f>
        <x:v>304.04</x:v>
      </x:c>
      <x:c r="M67" s="3" t="n">
        <x:f>ROUND(M267*M387,2)</x:f>
        <x:v>287.25</x:v>
      </x:c>
      <x:c r="N67" s="3" t="n">
        <x:f>ROUND(N267*N387,2)</x:f>
        <x:v>52.21</x:v>
      </x:c>
      <x:c r="O67" s="3" t="n">
        <x:f>SUM(C67:N67)</x:f>
        <x:v>3037.14</x:v>
      </x:c>
      <x:c r="P67" s="2" t="str">
        <x:v>EXP3.007</x:v>
      </x:c>
      <x:c r="Q67" s="2" t="str">
        <x:v>演示占位-v1</x:v>
      </x:c>
      <x:c r="R67" s="2" t="str">
        <x:v>模拟权责发生制</x:v>
      </x:c>
      <x:c r="S67" s="2" t="str">
        <x:v>2027-01</x:v>
      </x:c>
      <x:c r="T67" s="2" t="str">
        <x:v>2027-06</x:v>
      </x:c>
      <x:c r="U67" s="2" t="str">
        <x:v>无</x:v>
      </x:c>
      <x:c r="V67" s="2" t="str">
        <x:v>无</x:v>
      </x:c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福利费</x:v>
      </x:c>
      <x:c r="C68" s="3" t="n">
        <x:f>ROUND(C268*C388,2)</x:f>
        <x:v>339.31</x:v>
      </x:c>
      <x:c r="D68" s="3" t="n">
        <x:f>ROUND(D268*D388,2)</x:f>
        <x:v>108.7</x:v>
      </x:c>
      <x:c r="E68" s="3" t="n">
        <x:f>ROUND(E268*E388,2)</x:f>
        <x:v>262.4</x:v>
      </x:c>
      <x:c r="F68" s="3" t="n">
        <x:f>ROUND(F268*F388,2)</x:f>
        <x:v>440.56</x:v>
      </x:c>
      <x:c r="G68" s="3" t="n">
        <x:f>ROUND(G268*G388,2)</x:f>
        <x:v>128.69</x:v>
      </x:c>
      <x:c r="H68" s="3" t="n">
        <x:f>ROUND(H268*H388,2)</x:f>
        <x:v>117.21</x:v>
      </x:c>
      <x:c r="I68" s="3" t="n">
        <x:f>ROUND(I268*I388,2)</x:f>
        <x:v>110.19</x:v>
      </x:c>
      <x:c r="J68" s="3" t="n">
        <x:f>ROUND(J268*J388,2)</x:f>
        <x:v>112.82</x:v>
      </x:c>
      <x:c r="K68" s="3" t="n">
        <x:f>ROUND(K268*K388,2)</x:f>
        <x:v>422.93</x:v>
      </x:c>
      <x:c r="L68" s="3" t="n">
        <x:f>ROUND(L268*L388,2)</x:f>
        <x:v>134.46</x:v>
      </x:c>
      <x:c r="M68" s="3" t="n">
        <x:f>ROUND(M268*M388,2)</x:f>
        <x:v>313.63</x:v>
      </x:c>
      <x:c r="N68" s="3" t="n">
        <x:f>ROUND(N268*N388,2)</x:f>
        <x:v>120.33</x:v>
      </x:c>
      <x:c r="O68" s="3" t="n">
        <x:f>SUM(C68:N68)</x:f>
        <x:v>2611.23</x:v>
      </x:c>
      <x:c r="P68" s="2" t="str">
        <x:v>EXP3.008</x:v>
      </x:c>
      <x:c r="Q68" s="2" t="str">
        <x:v>演示占位-v1</x:v>
      </x:c>
      <x:c r="R68" s="2" t="str">
        <x:v>模拟权责发生制</x:v>
      </x:c>
      <x:c r="S68" s="2" t="str">
        <x:v>2027-01</x:v>
      </x:c>
      <x:c r="T68" s="2" t="str">
        <x:v>2027-06</x:v>
      </x:c>
      <x:c r="U68" s="2" t="str">
        <x:v>无</x:v>
      </x:c>
      <x:c r="V68" s="2" t="str">
        <x:v>无</x:v>
      </x:c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招聘费</x:v>
      </x:c>
      <x:c r="C69" s="3" t="n">
        <x:f>ROUND(C269*C389,2)</x:f>
        <x:v>227</x:v>
      </x:c>
      <x:c r="D69" s="3" t="n">
        <x:f>ROUND(D269*D389,2)</x:f>
        <x:v>155.85</x:v>
      </x:c>
      <x:c r="E69" s="3" t="n">
        <x:f>ROUND(E269*E389,2)</x:f>
        <x:v>322.89</x:v>
      </x:c>
      <x:c r="F69" s="3" t="n">
        <x:f>ROUND(F269*F389,2)</x:f>
        <x:v>233.51</x:v>
      </x:c>
      <x:c r="G69" s="3" t="n">
        <x:f>ROUND(G269*G389,2)</x:f>
        <x:v>168.59</x:v>
      </x:c>
      <x:c r="H69" s="3" t="n">
        <x:f>ROUND(H269*H389,2)</x:f>
        <x:v>166.54</x:v>
      </x:c>
      <x:c r="I69" s="3" t="n">
        <x:f>ROUND(I269*I389,2)</x:f>
        <x:v>78.02</x:v>
      </x:c>
      <x:c r="J69" s="3" t="n">
        <x:f>ROUND(J269*J389,2)</x:f>
        <x:v>402.67</x:v>
      </x:c>
      <x:c r="K69" s="3" t="n">
        <x:f>ROUND(K269*K389,2)</x:f>
        <x:v>363.19</x:v>
      </x:c>
      <x:c r="L69" s="3" t="n">
        <x:f>ROUND(L269*L389,2)</x:f>
        <x:v>47.95</x:v>
      </x:c>
      <x:c r="M69" s="3" t="n">
        <x:f>ROUND(M269*M389,2)</x:f>
        <x:v>172.38</x:v>
      </x:c>
      <x:c r="N69" s="3" t="n">
        <x:f>ROUND(N269*N389,2)</x:f>
        <x:v>289.62</x:v>
      </x:c>
      <x:c r="O69" s="3" t="n">
        <x:f>SUM(C69:N69)</x:f>
        <x:v>2628.2099999999996</x:v>
      </x:c>
      <x:c r="P69" s="2" t="str">
        <x:v>EXP3.009</x:v>
      </x:c>
      <x:c r="Q69" s="2" t="str">
        <x:v>演示占位-v1</x:v>
      </x:c>
      <x:c r="R69" s="2" t="str">
        <x:v>模拟权责发生制</x:v>
      </x:c>
      <x:c r="S69" s="2" t="str">
        <x:v>2027-01</x:v>
      </x:c>
      <x:c r="T69" s="2" t="str">
        <x:v>2027-06</x:v>
      </x:c>
      <x:c r="U69" s="2" t="str">
        <x:v>无</x:v>
      </x:c>
      <x:c r="V69" s="2" t="str">
        <x:v>无</x:v>
      </x:c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 t="str">
        <x:v>培训费</x:v>
      </x:c>
      <x:c r="C70" s="3" t="n">
        <x:f>ROUND(C270*C390,2)</x:f>
        <x:v>261.35</x:v>
      </x:c>
      <x:c r="D70" s="3" t="n">
        <x:f>ROUND(D270*D390,2)</x:f>
        <x:v>303.97</x:v>
      </x:c>
      <x:c r="E70" s="3" t="n">
        <x:f>ROUND(E270*E390,2)</x:f>
        <x:v>280.96</x:v>
      </x:c>
      <x:c r="F70" s="3" t="n">
        <x:f>ROUND(F270*F390,2)</x:f>
        <x:v>437.02</x:v>
      </x:c>
      <x:c r="G70" s="3" t="n">
        <x:f>ROUND(G270*G390,2)</x:f>
        <x:v>528.98</x:v>
      </x:c>
      <x:c r="H70" s="3" t="n">
        <x:f>ROUND(H270*H390,2)</x:f>
        <x:v>288.87</x:v>
      </x:c>
      <x:c r="I70" s="3" t="n">
        <x:f>ROUND(I270*I390,2)</x:f>
        <x:v>472.56</x:v>
      </x:c>
      <x:c r="J70" s="3" t="n">
        <x:f>ROUND(J270*J390,2)</x:f>
        <x:v>272.07</x:v>
      </x:c>
      <x:c r="K70" s="3" t="n">
        <x:f>ROUND(K270*K390,2)</x:f>
        <x:v>104.97</x:v>
      </x:c>
      <x:c r="L70" s="3" t="n">
        <x:f>ROUND(L270*L390,2)</x:f>
        <x:v>439.45</x:v>
      </x:c>
      <x:c r="M70" s="3" t="n">
        <x:f>ROUND(M270*M390,2)</x:f>
        <x:v>147.74</x:v>
      </x:c>
      <x:c r="N70" s="3" t="n">
        <x:f>ROUND(N270*N390,2)</x:f>
        <x:v>391.68</x:v>
      </x:c>
      <x:c r="O70" s="3" t="n">
        <x:f>SUM(C70:N70)</x:f>
        <x:v>3929.6199999999994</x:v>
      </x:c>
      <x:c r="P70" s="2" t="str">
        <x:v>EXP3.010</x:v>
      </x:c>
      <x:c r="Q70" s="2" t="str">
        <x:v>演示占位-v1</x:v>
      </x:c>
      <x:c r="R70" s="2" t="str">
        <x:v>模拟权责发生制</x:v>
      </x:c>
      <x:c r="S70" s="2" t="str">
        <x:v>2027-01</x:v>
      </x:c>
      <x:c r="T70" s="2" t="str">
        <x:v>2027-06</x:v>
      </x:c>
      <x:c r="U70" s="2" t="str">
        <x:v>无</x:v>
      </x:c>
      <x:c r="V70" s="2" t="str">
        <x:v>无</x:v>
      </x:c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 t="str">
        <x:v>房租</x:v>
      </x:c>
      <x:c r="C71" s="3" t="n">
        <x:f>ROUND(C271*C391,2)</x:f>
        <x:v>259.63</x:v>
      </x:c>
      <x:c r="D71" s="3" t="n">
        <x:f>ROUND(D271*D391,2)</x:f>
        <x:v>117.44</x:v>
      </x:c>
      <x:c r="E71" s="3" t="n">
        <x:f>ROUND(E271*E391,2)</x:f>
        <x:v>122.42</x:v>
      </x:c>
      <x:c r="F71" s="3" t="n">
        <x:f>ROUND(F271*F391,2)</x:f>
        <x:v>322.4</x:v>
      </x:c>
      <x:c r="G71" s="3" t="n">
        <x:f>ROUND(G271*G391,2)</x:f>
        <x:v>176.74</x:v>
      </x:c>
      <x:c r="H71" s="3" t="n">
        <x:f>ROUND(H271*H391,2)</x:f>
        <x:v>97.92</x:v>
      </x:c>
      <x:c r="I71" s="3" t="n">
        <x:f>ROUND(I271*I391,2)</x:f>
        <x:v>251.08</x:v>
      </x:c>
      <x:c r="J71" s="3" t="n">
        <x:f>ROUND(J271*J391,2)</x:f>
        <x:v>248.44</x:v>
      </x:c>
      <x:c r="K71" s="3" t="n">
        <x:f>ROUND(K271*K391,2)</x:f>
        <x:v>75.5</x:v>
      </x:c>
      <x:c r="L71" s="3" t="n">
        <x:f>ROUND(L271*L391,2)</x:f>
        <x:v>387.44</x:v>
      </x:c>
      <x:c r="M71" s="3" t="n">
        <x:f>ROUND(M271*M391,2)</x:f>
        <x:v>256.58</x:v>
      </x:c>
      <x:c r="N71" s="3" t="n">
        <x:f>ROUND(N271*N391,2)</x:f>
        <x:v>145.08</x:v>
      </x:c>
      <x:c r="O71" s="3" t="n">
        <x:f>SUM(C71:N71)</x:f>
        <x:v>2460.6699999999996</x:v>
      </x:c>
      <x:c r="P71" s="2" t="str">
        <x:v>EXP3.011</x:v>
      </x:c>
      <x:c r="Q71" s="2" t="str">
        <x:v>演示占位-v1</x:v>
      </x:c>
      <x:c r="R71" s="2" t="str">
        <x:v>模拟权责发生制</x:v>
      </x:c>
      <x:c r="S71" s="2" t="str">
        <x:v>2027-01</x:v>
      </x:c>
      <x:c r="T71" s="2" t="str">
        <x:v>2027-06</x:v>
      </x:c>
      <x:c r="U71" s="2" t="str">
        <x:v>无</x:v>
      </x:c>
      <x:c r="V71" s="2" t="str">
        <x:v>无</x:v>
      </x:c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 t="str">
        <x:v>物业管理费</x:v>
      </x:c>
      <x:c r="C72" s="3" t="n">
        <x:f>ROUND(C272*C392,2)</x:f>
        <x:v>143.95</x:v>
      </x:c>
      <x:c r="D72" s="3" t="n">
        <x:f>ROUND(D272*D392,2)</x:f>
        <x:v>165.69</x:v>
      </x:c>
      <x:c r="E72" s="3" t="n">
        <x:f>ROUND(E272*E392,2)</x:f>
        <x:v>217.43</x:v>
      </x:c>
      <x:c r="F72" s="3" t="n">
        <x:f>ROUND(F272*F392,2)</x:f>
        <x:v>42.16</x:v>
      </x:c>
      <x:c r="G72" s="3" t="n">
        <x:f>ROUND(G272*G392,2)</x:f>
        <x:v>503.14</x:v>
      </x:c>
      <x:c r="H72" s="3" t="n">
        <x:f>ROUND(H272*H392,2)</x:f>
        <x:v>179.25</x:v>
      </x:c>
      <x:c r="I72" s="3" t="n">
        <x:f>ROUND(I272*I392,2)</x:f>
        <x:v>207.39</x:v>
      </x:c>
      <x:c r="J72" s="3" t="n">
        <x:f>ROUND(J272*J392,2)</x:f>
        <x:v>71.2</x:v>
      </x:c>
      <x:c r="K72" s="3" t="n">
        <x:f>ROUND(K272*K392,2)</x:f>
        <x:v>178.86</x:v>
      </x:c>
      <x:c r="L72" s="3" t="n">
        <x:f>ROUND(L272*L392,2)</x:f>
        <x:v>137.43</x:v>
      </x:c>
      <x:c r="M72" s="3" t="n">
        <x:f>ROUND(M272*M392,2)</x:f>
        <x:v>192.21</x:v>
      </x:c>
      <x:c r="N72" s="3" t="n">
        <x:f>ROUND(N272*N392,2)</x:f>
        <x:v>70.1</x:v>
      </x:c>
      <x:c r="O72" s="3" t="n">
        <x:f>SUM(C72:N72)</x:f>
        <x:v>2108.81</x:v>
      </x:c>
      <x:c r="P72" s="2" t="str">
        <x:v>EXP3.012</x:v>
      </x:c>
      <x:c r="Q72" s="2" t="str">
        <x:v>演示占位-v1</x:v>
      </x:c>
      <x:c r="R72" s="2" t="str">
        <x:v>模拟权责发生制</x:v>
      </x:c>
      <x:c r="S72" s="2" t="str">
        <x:v>2027-01</x:v>
      </x:c>
      <x:c r="T72" s="2" t="str">
        <x:v>2027-06</x:v>
      </x:c>
      <x:c r="U72" s="2" t="str">
        <x:v>无</x:v>
      </x:c>
      <x:c r="V72" s="2" t="str">
        <x:v>无</x:v>
      </x:c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 t="str">
        <x:v>汽车费用</x:v>
      </x:c>
      <x:c r="C73" s="3" t="n">
        <x:f>ROUND(C273*C393,2)</x:f>
        <x:v>423.97</x:v>
      </x:c>
      <x:c r="D73" s="3" t="n">
        <x:f>ROUND(D273*D393,2)</x:f>
        <x:v>434.21</x:v>
      </x:c>
      <x:c r="E73" s="3" t="n">
        <x:f>ROUND(E273*E393,2)</x:f>
        <x:v>149.32</x:v>
      </x:c>
      <x:c r="F73" s="3" t="n">
        <x:f>ROUND(F273*F393,2)</x:f>
        <x:v>203.7</x:v>
      </x:c>
      <x:c r="G73" s="3" t="n">
        <x:f>ROUND(G273*G393,2)</x:f>
        <x:v>158.91</x:v>
      </x:c>
      <x:c r="H73" s="3" t="n">
        <x:f>ROUND(H273*H393,2)</x:f>
        <x:v>111.53</x:v>
      </x:c>
      <x:c r="I73" s="3" t="n">
        <x:f>ROUND(I273*I393,2)</x:f>
        <x:v>278.44</x:v>
      </x:c>
      <x:c r="J73" s="3" t="n">
        <x:f>ROUND(J273*J393,2)</x:f>
        <x:v>195</x:v>
      </x:c>
      <x:c r="K73" s="3" t="n">
        <x:f>ROUND(K273*K393,2)</x:f>
        <x:v>473.88</x:v>
      </x:c>
      <x:c r="L73" s="3" t="n">
        <x:f>ROUND(L273*L393,2)</x:f>
        <x:v>371.23</x:v>
      </x:c>
      <x:c r="M73" s="3" t="n">
        <x:f>ROUND(M273*M393,2)</x:f>
        <x:v>498.31</x:v>
      </x:c>
      <x:c r="N73" s="3" t="n">
        <x:f>ROUND(N273*N393,2)</x:f>
        <x:v>185.41</x:v>
      </x:c>
      <x:c r="O73" s="3" t="n">
        <x:f>SUM(C73:N73)</x:f>
        <x:v>3483.91</x:v>
      </x:c>
      <x:c r="P73" s="2" t="str">
        <x:v>EXP3.013</x:v>
      </x:c>
      <x:c r="Q73" s="2" t="str">
        <x:v>演示占位-v1</x:v>
      </x:c>
      <x:c r="R73" s="2" t="str">
        <x:v>模拟权责发生制</x:v>
      </x:c>
      <x:c r="S73" s="2" t="str">
        <x:v>2027-01</x:v>
      </x:c>
      <x:c r="T73" s="2" t="str">
        <x:v>2027-06</x:v>
      </x:c>
      <x:c r="U73" s="2" t="str">
        <x:v>无</x:v>
      </x:c>
      <x:c r="V73" s="2" t="str">
        <x:v>无</x:v>
      </x:c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 t="str">
        <x:v>办公费</x:v>
      </x:c>
      <x:c r="C74" s="3" t="n">
        <x:f>ROUND(C274*C394,2)</x:f>
        <x:v>143.79</x:v>
      </x:c>
      <x:c r="D74" s="3" t="n">
        <x:f>ROUND(D274*D394,2)</x:f>
        <x:v>39.07</x:v>
      </x:c>
      <x:c r="E74" s="3" t="n">
        <x:f>ROUND(E274*E394,2)</x:f>
        <x:v>242.09</x:v>
      </x:c>
      <x:c r="F74" s="3" t="n">
        <x:f>ROUND(F274*F394,2)</x:f>
        <x:v>59.26</x:v>
      </x:c>
      <x:c r="G74" s="3" t="n">
        <x:f>ROUND(G274*G394,2)</x:f>
        <x:v>195.83</x:v>
      </x:c>
      <x:c r="H74" s="3" t="n">
        <x:f>ROUND(H274*H394,2)</x:f>
        <x:v>270.16</x:v>
      </x:c>
      <x:c r="I74" s="3" t="n">
        <x:f>ROUND(I274*I394,2)</x:f>
        <x:v>86.06</x:v>
      </x:c>
      <x:c r="J74" s="3" t="n">
        <x:f>ROUND(J274*J394,2)</x:f>
        <x:v>180.34</x:v>
      </x:c>
      <x:c r="K74" s="3" t="n">
        <x:f>ROUND(K274*K394,2)</x:f>
        <x:v>438.85</x:v>
      </x:c>
      <x:c r="L74" s="3" t="n">
        <x:f>ROUND(L274*L394,2)</x:f>
        <x:v>223.81</x:v>
      </x:c>
      <x:c r="M74" s="3" t="n">
        <x:f>ROUND(M274*M394,2)</x:f>
        <x:v>110.74</x:v>
      </x:c>
      <x:c r="N74" s="3" t="n">
        <x:f>ROUND(N274*N394,2)</x:f>
        <x:v>107.82</x:v>
      </x:c>
      <x:c r="O74" s="3" t="n">
        <x:f>SUM(C74:N74)</x:f>
        <x:v>2097.8199999999997</x:v>
      </x:c>
      <x:c r="P74" s="2" t="str">
        <x:v>EXP3.014</x:v>
      </x:c>
      <x:c r="Q74" s="2" t="str">
        <x:v>演示占位-v1</x:v>
      </x:c>
      <x:c r="R74" s="2" t="str">
        <x:v>模拟权责发生制</x:v>
      </x:c>
      <x:c r="S74" s="2" t="str">
        <x:v>2027-01</x:v>
      </x:c>
      <x:c r="T74" s="2" t="str">
        <x:v>2027-06</x:v>
      </x:c>
      <x:c r="U74" s="2" t="str">
        <x:v>无</x:v>
      </x:c>
      <x:c r="V74" s="2" t="str">
        <x:v>无</x:v>
      </x:c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 t="str">
        <x:v>办公用品</x:v>
      </x:c>
      <x:c r="C75" s="3" t="n">
        <x:f>ROUND(C275*C395,2)</x:f>
        <x:v>400.18</x:v>
      </x:c>
      <x:c r="D75" s="3" t="n">
        <x:f>ROUND(D275*D395,2)</x:f>
        <x:v>98.75</x:v>
      </x:c>
      <x:c r="E75" s="3" t="n">
        <x:f>ROUND(E275*E395,2)</x:f>
        <x:v>293.14</x:v>
      </x:c>
      <x:c r="F75" s="3" t="n">
        <x:f>ROUND(F275*F395,2)</x:f>
        <x:v>97.18</x:v>
      </x:c>
      <x:c r="G75" s="3" t="n">
        <x:f>ROUND(G275*G395,2)</x:f>
        <x:v>89.97</x:v>
      </x:c>
      <x:c r="H75" s="3" t="n">
        <x:f>ROUND(H275*H395,2)</x:f>
        <x:v>441.68</x:v>
      </x:c>
      <x:c r="I75" s="3" t="n">
        <x:f>ROUND(I275*I395,2)</x:f>
        <x:v>375.13</x:v>
      </x:c>
      <x:c r="J75" s="3" t="n">
        <x:f>ROUND(J275*J395,2)</x:f>
        <x:v>249.9</x:v>
      </x:c>
      <x:c r="K75" s="3" t="n">
        <x:f>ROUND(K275*K395,2)</x:f>
        <x:v>150.46</x:v>
      </x:c>
      <x:c r="L75" s="3" t="n">
        <x:f>ROUND(L275*L395,2)</x:f>
        <x:v>130.35</x:v>
      </x:c>
      <x:c r="M75" s="3" t="n">
        <x:f>ROUND(M275*M395,2)</x:f>
        <x:v>239.12</x:v>
      </x:c>
      <x:c r="N75" s="3" t="n">
        <x:f>ROUND(N275*N395,2)</x:f>
        <x:v>93.81</x:v>
      </x:c>
      <x:c r="O75" s="3" t="n">
        <x:f>SUM(C75:N75)</x:f>
        <x:v>2659.67</x:v>
      </x:c>
      <x:c r="P75" s="2" t="str">
        <x:v>EXP3.015</x:v>
      </x:c>
      <x:c r="Q75" s="2" t="str">
        <x:v>演示占位-v1</x:v>
      </x:c>
      <x:c r="R75" s="2" t="str">
        <x:v>模拟权责发生制</x:v>
      </x:c>
      <x:c r="S75" s="2" t="str">
        <x:v>2027-01</x:v>
      </x:c>
      <x:c r="T75" s="2" t="str">
        <x:v>2027-06</x:v>
      </x:c>
      <x:c r="U75" s="2" t="str">
        <x:v>无</x:v>
      </x:c>
      <x:c r="V75" s="2" t="str">
        <x:v>无</x:v>
      </x:c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 t="str">
        <x:v>水电煤</x:v>
      </x:c>
      <x:c r="C76" s="3" t="n">
        <x:f>ROUND(C276*C396,2)</x:f>
        <x:v>212.49</x:v>
      </x:c>
      <x:c r="D76" s="3" t="n">
        <x:f>ROUND(D276*D396,2)</x:f>
        <x:v>56.6</x:v>
      </x:c>
      <x:c r="E76" s="3" t="n">
        <x:f>ROUND(E276*E396,2)</x:f>
        <x:v>143.03</x:v>
      </x:c>
      <x:c r="F76" s="3" t="n">
        <x:f>ROUND(F276*F396,2)</x:f>
        <x:v>496.68</x:v>
      </x:c>
      <x:c r="G76" s="3" t="n">
        <x:f>ROUND(G276*G396,2)</x:f>
        <x:v>111.83</x:v>
      </x:c>
      <x:c r="H76" s="3" t="n">
        <x:f>ROUND(H276*H396,2)</x:f>
        <x:v>147.31</x:v>
      </x:c>
      <x:c r="I76" s="3" t="n">
        <x:f>ROUND(I276*I396,2)</x:f>
        <x:v>67.59</x:v>
      </x:c>
      <x:c r="J76" s="3" t="n">
        <x:f>ROUND(J276*J396,2)</x:f>
        <x:v>245.88</x:v>
      </x:c>
      <x:c r="K76" s="3" t="n">
        <x:f>ROUND(K276*K396,2)</x:f>
        <x:v>94.11</x:v>
      </x:c>
      <x:c r="L76" s="3" t="n">
        <x:f>ROUND(L276*L396,2)</x:f>
        <x:v>198.91</x:v>
      </x:c>
      <x:c r="M76" s="3" t="n">
        <x:f>ROUND(M276*M396,2)</x:f>
        <x:v>188.34</x:v>
      </x:c>
      <x:c r="N76" s="3" t="n">
        <x:f>ROUND(N276*N396,2)</x:f>
        <x:v>197.91</x:v>
      </x:c>
      <x:c r="O76" s="3" t="n">
        <x:f>SUM(C76:N76)</x:f>
        <x:v>2160.68</x:v>
      </x:c>
      <x:c r="P76" s="2" t="str">
        <x:v>EXP3.016</x:v>
      </x:c>
      <x:c r="Q76" s="2" t="str">
        <x:v>演示占位-v1</x:v>
      </x:c>
      <x:c r="R76" s="2" t="str">
        <x:v>模拟权责发生制</x:v>
      </x:c>
      <x:c r="S76" s="2" t="str">
        <x:v>2027-01</x:v>
      </x:c>
      <x:c r="T76" s="2" t="str">
        <x:v>2027-06</x:v>
      </x:c>
      <x:c r="U76" s="2" t="str">
        <x:v>无</x:v>
      </x:c>
      <x:c r="V76" s="2" t="str">
        <x:v>无</x:v>
      </x:c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 t="str">
        <x:v>咨询服务费</x:v>
      </x:c>
      <x:c r="C77" s="3" t="n">
        <x:f>ROUND(C277*C397,2)</x:f>
        <x:v>98.59</x:v>
      </x:c>
      <x:c r="D77" s="3" t="n">
        <x:f>ROUND(D277*D397,2)</x:f>
        <x:v>72.65</x:v>
      </x:c>
      <x:c r="E77" s="3" t="n">
        <x:f>ROUND(E277*E397,2)</x:f>
        <x:v>76.58</x:v>
      </x:c>
      <x:c r="F77" s="3" t="n">
        <x:f>ROUND(F277*F397,2)</x:f>
        <x:v>137.86</x:v>
      </x:c>
      <x:c r="G77" s="3" t="n">
        <x:f>ROUND(G277*G397,2)</x:f>
        <x:v>345.76</x:v>
      </x:c>
      <x:c r="H77" s="3" t="n">
        <x:f>ROUND(H277*H397,2)</x:f>
        <x:v>464.42</x:v>
      </x:c>
      <x:c r="I77" s="3" t="n">
        <x:f>ROUND(I277*I397,2)</x:f>
        <x:v>336.63</x:v>
      </x:c>
      <x:c r="J77" s="3" t="n">
        <x:f>ROUND(J277*J397,2)</x:f>
        <x:v>174.39</x:v>
      </x:c>
      <x:c r="K77" s="3" t="n">
        <x:f>ROUND(K277*K397,2)</x:f>
        <x:v>148.72</x:v>
      </x:c>
      <x:c r="L77" s="3" t="n">
        <x:f>ROUND(L277*L397,2)</x:f>
        <x:v>260.42</x:v>
      </x:c>
      <x:c r="M77" s="3" t="n">
        <x:f>ROUND(M277*M397,2)</x:f>
        <x:v>322.79</x:v>
      </x:c>
      <x:c r="N77" s="3" t="n">
        <x:f>ROUND(N277*N397,2)</x:f>
        <x:v>239.51</x:v>
      </x:c>
      <x:c r="O77" s="3" t="n">
        <x:f>SUM(C77:N77)</x:f>
        <x:v>2678.3199999999997</x:v>
      </x:c>
      <x:c r="P77" s="2" t="str">
        <x:v>EXP3.017</x:v>
      </x:c>
      <x:c r="Q77" s="2" t="str">
        <x:v>演示占位-v1</x:v>
      </x:c>
      <x:c r="R77" s="2" t="str">
        <x:v>模拟权责发生制</x:v>
      </x:c>
      <x:c r="S77" s="2" t="str">
        <x:v>2027-01</x:v>
      </x:c>
      <x:c r="T77" s="2" t="str">
        <x:v>2027-06</x:v>
      </x:c>
      <x:c r="U77" s="2" t="str">
        <x:v>无</x:v>
      </x:c>
      <x:c r="V77" s="2" t="str">
        <x:v>无</x:v>
      </x:c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 t="str">
        <x:v>电话费</x:v>
      </x:c>
      <x:c r="C78" s="3" t="n">
        <x:f>ROUND(C278*C398,2)</x:f>
        <x:v>204.14</x:v>
      </x:c>
      <x:c r="D78" s="3" t="n">
        <x:f>ROUND(D278*D398,2)</x:f>
        <x:v>459.38</x:v>
      </x:c>
      <x:c r="E78" s="3" t="n">
        <x:f>ROUND(E278*E398,2)</x:f>
        <x:v>153.44</x:v>
      </x:c>
      <x:c r="F78" s="3" t="n">
        <x:f>ROUND(F278*F398,2)</x:f>
        <x:v>504.79</x:v>
      </x:c>
      <x:c r="G78" s="3" t="n">
        <x:f>ROUND(G278*G398,2)</x:f>
        <x:v>315.87</x:v>
      </x:c>
      <x:c r="H78" s="3" t="n">
        <x:f>ROUND(H278*H398,2)</x:f>
        <x:v>295.83</x:v>
      </x:c>
      <x:c r="I78" s="3" t="n">
        <x:f>ROUND(I278*I398,2)</x:f>
        <x:v>431.85</x:v>
      </x:c>
      <x:c r="J78" s="3" t="n">
        <x:f>ROUND(J278*J398,2)</x:f>
        <x:v>159.29</x:v>
      </x:c>
      <x:c r="K78" s="3" t="n">
        <x:f>ROUND(K278*K398,2)</x:f>
        <x:v>213.31</x:v>
      </x:c>
      <x:c r="L78" s="3" t="n">
        <x:f>ROUND(L278*L398,2)</x:f>
        <x:v>188.9</x:v>
      </x:c>
      <x:c r="M78" s="3" t="n">
        <x:f>ROUND(M278*M398,2)</x:f>
        <x:v>153.8</x:v>
      </x:c>
      <x:c r="N78" s="3" t="n">
        <x:f>ROUND(N278*N398,2)</x:f>
        <x:v>114.47</x:v>
      </x:c>
      <x:c r="O78" s="3" t="n">
        <x:f>SUM(C78:N78)</x:f>
        <x:v>3195.0699999999997</x:v>
      </x:c>
      <x:c r="P78" s="2" t="str">
        <x:v>EXP3.018</x:v>
      </x:c>
      <x:c r="Q78" s="2" t="str">
        <x:v>演示占位-v1</x:v>
      </x:c>
      <x:c r="R78" s="2" t="str">
        <x:v>模拟权责发生制</x:v>
      </x:c>
      <x:c r="S78" s="2" t="str">
        <x:v>2027-01</x:v>
      </x:c>
      <x:c r="T78" s="2" t="str">
        <x:v>2027-06</x:v>
      </x:c>
      <x:c r="U78" s="2" t="str">
        <x:v>无</x:v>
      </x:c>
      <x:c r="V78" s="2" t="str">
        <x:v>无</x:v>
      </x:c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 t="str">
        <x:v>快递费</x:v>
      </x:c>
      <x:c r="C79" s="3" t="n">
        <x:f>ROUND(C279*C399,2)</x:f>
        <x:v>187.31</x:v>
      </x:c>
      <x:c r="D79" s="3" t="n">
        <x:f>ROUND(D279*D399,2)</x:f>
        <x:v>410.16</x:v>
      </x:c>
      <x:c r="E79" s="3" t="n">
        <x:f>ROUND(E279*E399,2)</x:f>
        <x:v>176.54</x:v>
      </x:c>
      <x:c r="F79" s="3" t="n">
        <x:f>ROUND(F279*F399,2)</x:f>
        <x:v>163.4</x:v>
      </x:c>
      <x:c r="G79" s="3" t="n">
        <x:f>ROUND(G279*G399,2)</x:f>
        <x:v>129.77</x:v>
      </x:c>
      <x:c r="H79" s="3" t="n">
        <x:f>ROUND(H279*H399,2)</x:f>
        <x:v>78.12</x:v>
      </x:c>
      <x:c r="I79" s="3" t="n">
        <x:f>ROUND(I279*I399,2)</x:f>
        <x:v>408.63</x:v>
      </x:c>
      <x:c r="J79" s="3" t="n">
        <x:f>ROUND(J279*J399,2)</x:f>
        <x:v>103.78</x:v>
      </x:c>
      <x:c r="K79" s="3" t="n">
        <x:f>ROUND(K279*K399,2)</x:f>
        <x:v>151.09</x:v>
      </x:c>
      <x:c r="L79" s="3" t="n">
        <x:f>ROUND(L279*L399,2)</x:f>
        <x:v>223.23</x:v>
      </x:c>
      <x:c r="M79" s="3" t="n">
        <x:f>ROUND(M279*M399,2)</x:f>
        <x:v>339.56</x:v>
      </x:c>
      <x:c r="N79" s="3" t="n">
        <x:f>ROUND(N279*N399,2)</x:f>
        <x:v>183.31</x:v>
      </x:c>
      <x:c r="O79" s="3" t="n">
        <x:f>SUM(C79:N79)</x:f>
        <x:v>2554.9</x:v>
      </x:c>
      <x:c r="P79" s="2" t="str">
        <x:v>EXP3.019</x:v>
      </x:c>
      <x:c r="Q79" s="2" t="str">
        <x:v>演示占位-v1</x:v>
      </x:c>
      <x:c r="R79" s="2" t="str">
        <x:v>模拟权责发生制</x:v>
      </x:c>
      <x:c r="S79" s="2" t="str">
        <x:v>2027-01</x:v>
      </x:c>
      <x:c r="T79" s="2" t="str">
        <x:v>2027-06</x:v>
      </x:c>
      <x:c r="U79" s="2" t="str">
        <x:v>无</x:v>
      </x:c>
      <x:c r="V79" s="2" t="str">
        <x:v>无</x:v>
      </x:c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折旧及摊销</x:v>
      </x:c>
      <x:c r="C80" s="3" t="n">
        <x:f>ROUND('摊销明细'!C93/3,2)</x:f>
        <x:v>511.11</x:v>
      </x:c>
      <x:c r="D80" s="3" t="n">
        <x:f>ROUND('摊销明细'!D93/3,2)</x:f>
        <x:v>511.11</x:v>
      </x:c>
      <x:c r="E80" s="3" t="n">
        <x:f>ROUND('摊销明细'!E93/3,2)</x:f>
        <x:v>511.11</x:v>
      </x:c>
      <x:c r="F80" s="3" t="n">
        <x:f>ROUND('摊销明细'!F93/3,2)</x:f>
        <x:v>511.11</x:v>
      </x:c>
      <x:c r="G80" s="3" t="n">
        <x:f>ROUND('摊销明细'!G93/3,2)</x:f>
        <x:v>511.11</x:v>
      </x:c>
      <x:c r="H80" s="3" t="n">
        <x:f>ROUND('摊销明细'!H93/3,2)</x:f>
        <x:v>511.11</x:v>
      </x:c>
      <x:c r="I80" s="3" t="n">
        <x:f>ROUND('摊销明细'!I93/3,2)</x:f>
        <x:v>511.11</x:v>
      </x:c>
      <x:c r="J80" s="3" t="n">
        <x:f>ROUND('摊销明细'!J93/3,2)</x:f>
        <x:v>511.11</x:v>
      </x:c>
      <x:c r="K80" s="3" t="n">
        <x:f>ROUND('摊销明细'!K93/3,2)</x:f>
        <x:v>511.11</x:v>
      </x:c>
      <x:c r="L80" s="3" t="n">
        <x:f>ROUND('摊销明细'!L93/3,2)</x:f>
        <x:v>511.11</x:v>
      </x:c>
      <x:c r="M80" s="3" t="n">
        <x:f>ROUND('摊销明细'!M93/3,2)</x:f>
        <x:v>511.11</x:v>
      </x:c>
      <x:c r="N80" s="3" t="n">
        <x:f>ROUND('摊销明细'!N93/3,2)</x:f>
        <x:v>511.11</x:v>
      </x:c>
      <x:c r="O80" s="3" t="n">
        <x:f>SUM(C80:N80)</x:f>
        <x:v>6133.32</x:v>
      </x:c>
      <x:c r="P80" s="2" t="str">
        <x:v>EXP3.020</x:v>
      </x:c>
      <x:c r="Q80" s="2" t="str">
        <x:v>演示占位-v1</x:v>
      </x:c>
      <x:c r="R80" s="2" t="str">
        <x:v>模拟权责发生制</x:v>
      </x:c>
      <x:c r="S80" s="2" t="str">
        <x:v>2027-01</x:v>
      </x:c>
      <x:c r="T80" s="2" t="str">
        <x:v>2027-06</x:v>
      </x:c>
      <x:c r="U80" s="2" t="str">
        <x:v>无</x:v>
      </x:c>
      <x:c r="V80" s="2" t="str">
        <x:v>无</x:v>
      </x:c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 t="str">
        <x:v>机票火车票</x:v>
      </x:c>
      <x:c r="C81" s="3" t="n">
        <x:f>ROUND(C281*C401,2)</x:f>
        <x:v>135.58</x:v>
      </x:c>
      <x:c r="D81" s="3" t="n">
        <x:f>ROUND(D281*D401,2)</x:f>
        <x:v>217.54</x:v>
      </x:c>
      <x:c r="E81" s="3" t="n">
        <x:f>ROUND(E281*E401,2)</x:f>
        <x:v>134.66</x:v>
      </x:c>
      <x:c r="F81" s="3" t="n">
        <x:f>ROUND(F281*F401,2)</x:f>
        <x:v>567.59</x:v>
      </x:c>
      <x:c r="G81" s="3" t="n">
        <x:f>ROUND(G281*G401,2)</x:f>
        <x:v>164.62</x:v>
      </x:c>
      <x:c r="H81" s="3" t="n">
        <x:f>ROUND(H281*H401,2)</x:f>
        <x:v>168.73</x:v>
      </x:c>
      <x:c r="I81" s="3" t="n">
        <x:f>ROUND(I281*I401,2)</x:f>
        <x:v>345.33</x:v>
      </x:c>
      <x:c r="J81" s="3" t="n">
        <x:f>ROUND(J281*J401,2)</x:f>
        <x:v>144.44</x:v>
      </x:c>
      <x:c r="K81" s="3" t="n">
        <x:f>ROUND(K281*K401,2)</x:f>
        <x:v>309.56</x:v>
      </x:c>
      <x:c r="L81" s="3" t="n">
        <x:f>ROUND(L281*L401,2)</x:f>
        <x:v>162.8</x:v>
      </x:c>
      <x:c r="M81" s="3" t="n">
        <x:f>ROUND(M281*M401,2)</x:f>
        <x:v>150.39</x:v>
      </x:c>
      <x:c r="N81" s="3" t="n">
        <x:f>ROUND(N281*N401,2)</x:f>
        <x:v>435.13</x:v>
      </x:c>
      <x:c r="O81" s="3" t="n">
        <x:f>SUM(C81:N81)</x:f>
        <x:v>2936.37</x:v>
      </x:c>
      <x:c r="P81" s="2" t="str">
        <x:v>EXP3.021</x:v>
      </x:c>
      <x:c r="Q81" s="2" t="str">
        <x:v>演示占位-v1</x:v>
      </x:c>
      <x:c r="R81" s="2" t="str">
        <x:v>模拟权责发生制</x:v>
      </x:c>
      <x:c r="S81" s="2" t="str">
        <x:v>2027-01</x:v>
      </x:c>
      <x:c r="T81" s="2" t="str">
        <x:v>2027-06</x:v>
      </x:c>
      <x:c r="U81" s="2" t="str">
        <x:v>无</x:v>
      </x:c>
      <x:c r="V81" s="2" t="str">
        <x:v>无</x:v>
      </x:c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 t="str">
        <x:v>住宿费</x:v>
      </x:c>
      <x:c r="C82" s="3" t="n">
        <x:f>ROUND(C282*C402,2)</x:f>
        <x:v>157.6</x:v>
      </x:c>
      <x:c r="D82" s="3" t="n">
        <x:f>ROUND(D282*D402,2)</x:f>
        <x:v>230.25</x:v>
      </x:c>
      <x:c r="E82" s="3" t="n">
        <x:f>ROUND(E282*E402,2)</x:f>
        <x:v>401.85</x:v>
      </x:c>
      <x:c r="F82" s="3" t="n">
        <x:f>ROUND(F282*F402,2)</x:f>
        <x:v>88.54</x:v>
      </x:c>
      <x:c r="G82" s="3" t="n">
        <x:f>ROUND(G282*G402,2)</x:f>
        <x:v>297.4</x:v>
      </x:c>
      <x:c r="H82" s="3" t="n">
        <x:f>ROUND(H282*H402,2)</x:f>
        <x:v>72.58</x:v>
      </x:c>
      <x:c r="I82" s="3" t="n">
        <x:f>ROUND(I282*I402,2)</x:f>
        <x:v>92.13</x:v>
      </x:c>
      <x:c r="J82" s="3" t="n">
        <x:f>ROUND(J282*J402,2)</x:f>
        <x:v>286.4</x:v>
      </x:c>
      <x:c r="K82" s="3" t="n">
        <x:f>ROUND(K282*K402,2)</x:f>
        <x:v>323.42</x:v>
      </x:c>
      <x:c r="L82" s="3" t="n">
        <x:f>ROUND(L282*L402,2)</x:f>
        <x:v>239.41</x:v>
      </x:c>
      <x:c r="M82" s="3" t="n">
        <x:f>ROUND(M282*M402,2)</x:f>
        <x:v>212.51</x:v>
      </x:c>
      <x:c r="N82" s="3" t="n">
        <x:f>ROUND(N282*N402,2)</x:f>
        <x:v>299.57</x:v>
      </x:c>
      <x:c r="O82" s="3" t="n">
        <x:f>SUM(C82:N82)</x:f>
        <x:v>2701.6600000000003</x:v>
      </x:c>
      <x:c r="P82" s="2" t="str">
        <x:v>EXP3.022</x:v>
      </x:c>
      <x:c r="Q82" s="2" t="str">
        <x:v>演示占位-v1</x:v>
      </x:c>
      <x:c r="R82" s="2" t="str">
        <x:v>模拟权责发生制</x:v>
      </x:c>
      <x:c r="S82" s="2" t="str">
        <x:v>2027-01</x:v>
      </x:c>
      <x:c r="T82" s="2" t="str">
        <x:v>2027-06</x:v>
      </x:c>
      <x:c r="U82" s="2" t="str">
        <x:v>无</x:v>
      </x:c>
      <x:c r="V82" s="2" t="str">
        <x:v>无</x:v>
      </x:c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 t="str">
        <x:v>交通费</x:v>
      </x:c>
      <x:c r="C83" s="3" t="n">
        <x:f>ROUND(C283*C403,2)</x:f>
        <x:v>227.6</x:v>
      </x:c>
      <x:c r="D83" s="3" t="n">
        <x:f>ROUND(D283*D403,2)</x:f>
        <x:v>296.28</x:v>
      </x:c>
      <x:c r="E83" s="3" t="n">
        <x:f>ROUND(E283*E403,2)</x:f>
        <x:v>155.47</x:v>
      </x:c>
      <x:c r="F83" s="3" t="n">
        <x:f>ROUND(F283*F403,2)</x:f>
        <x:v>161.65</x:v>
      </x:c>
      <x:c r="G83" s="3" t="n">
        <x:f>ROUND(G283*G403,2)</x:f>
        <x:v>199.84</x:v>
      </x:c>
      <x:c r="H83" s="3" t="n">
        <x:f>ROUND(H283*H403,2)</x:f>
        <x:v>338.87</x:v>
      </x:c>
      <x:c r="I83" s="3" t="n">
        <x:f>ROUND(I283*I403,2)</x:f>
        <x:v>179.74</x:v>
      </x:c>
      <x:c r="J83" s="3" t="n">
        <x:f>ROUND(J283*J403,2)</x:f>
        <x:v>109.03</x:v>
      </x:c>
      <x:c r="K83" s="3" t="n">
        <x:f>ROUND(K283*K403,2)</x:f>
        <x:v>192.48</x:v>
      </x:c>
      <x:c r="L83" s="3" t="n">
        <x:f>ROUND(L283*L403,2)</x:f>
        <x:v>214.85</x:v>
      </x:c>
      <x:c r="M83" s="3" t="n">
        <x:f>ROUND(M283*M403,2)</x:f>
        <x:v>405.13</x:v>
      </x:c>
      <x:c r="N83" s="3" t="n">
        <x:f>ROUND(N283*N403,2)</x:f>
        <x:v>289.74</x:v>
      </x:c>
      <x:c r="O83" s="3" t="n">
        <x:f>SUM(C83:N83)</x:f>
        <x:v>2770.6800000000003</x:v>
      </x:c>
      <x:c r="P83" s="2" t="str">
        <x:v>EXP3.023</x:v>
      </x:c>
      <x:c r="Q83" s="2" t="str">
        <x:v>演示占位-v1</x:v>
      </x:c>
      <x:c r="R83" s="2" t="str">
        <x:v>模拟权责发生制</x:v>
      </x:c>
      <x:c r="S83" s="2" t="str">
        <x:v>2027-01</x:v>
      </x:c>
      <x:c r="T83" s="2" t="str">
        <x:v>2027-06</x:v>
      </x:c>
      <x:c r="U83" s="2" t="str">
        <x:v>无</x:v>
      </x:c>
      <x:c r="V83" s="2" t="str">
        <x:v>无</x:v>
      </x:c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 t="str">
        <x:v>差旅补贴</x:v>
      </x:c>
      <x:c r="C84" s="3" t="n">
        <x:f>ROUND(C284*C404,2)</x:f>
        <x:v>152.86</x:v>
      </x:c>
      <x:c r="D84" s="3" t="n">
        <x:f>ROUND(D284*D404,2)</x:f>
        <x:v>101.19</x:v>
      </x:c>
      <x:c r="E84" s="3" t="n">
        <x:f>ROUND(E284*E404,2)</x:f>
        <x:v>111.27</x:v>
      </x:c>
      <x:c r="F84" s="3" t="n">
        <x:f>ROUND(F284*F404,2)</x:f>
        <x:v>238.81</x:v>
      </x:c>
      <x:c r="G84" s="3" t="n">
        <x:f>ROUND(G284*G404,2)</x:f>
        <x:v>147.65</x:v>
      </x:c>
      <x:c r="H84" s="3" t="n">
        <x:f>ROUND(H284*H404,2)</x:f>
        <x:v>195.44</x:v>
      </x:c>
      <x:c r="I84" s="3" t="n">
        <x:f>ROUND(I284*I404,2)</x:f>
        <x:v>343.9</x:v>
      </x:c>
      <x:c r="J84" s="3" t="n">
        <x:f>ROUND(J284*J404,2)</x:f>
        <x:v>165.77</x:v>
      </x:c>
      <x:c r="K84" s="3" t="n">
        <x:f>ROUND(K284*K404,2)</x:f>
        <x:v>145.02</x:v>
      </x:c>
      <x:c r="L84" s="3" t="n">
        <x:f>ROUND(L284*L404,2)</x:f>
        <x:v>252.78</x:v>
      </x:c>
      <x:c r="M84" s="3" t="n">
        <x:f>ROUND(M284*M404,2)</x:f>
        <x:v>151.6</x:v>
      </x:c>
      <x:c r="N84" s="3" t="n">
        <x:f>ROUND(N284*N404,2)</x:f>
        <x:v>243.26</x:v>
      </x:c>
      <x:c r="O84" s="3" t="n">
        <x:f>SUM(C84:N84)</x:f>
        <x:v>2249.5499999999997</x:v>
      </x:c>
      <x:c r="P84" s="2" t="str">
        <x:v>EXP3.024</x:v>
      </x:c>
      <x:c r="Q84" s="2" t="str">
        <x:v>演示占位-v1</x:v>
      </x:c>
      <x:c r="R84" s="2" t="str">
        <x:v>模拟权责发生制</x:v>
      </x:c>
      <x:c r="S84" s="2" t="str">
        <x:v>2027-01</x:v>
      </x:c>
      <x:c r="T84" s="2" t="str">
        <x:v>2027-06</x:v>
      </x:c>
      <x:c r="U84" s="2" t="str">
        <x:v>无</x:v>
      </x:c>
      <x:c r="V84" s="2" t="str">
        <x:v>无</x:v>
      </x:c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 t="str">
        <x:v>业务招待费</x:v>
      </x:c>
      <x:c r="C85" s="3" t="n">
        <x:f>ROUND(C285*C405,2)</x:f>
        <x:v>84.17</x:v>
      </x:c>
      <x:c r="D85" s="3" t="n">
        <x:f>ROUND(D285*D405,2)</x:f>
        <x:v>420.46</x:v>
      </x:c>
      <x:c r="E85" s="3" t="n">
        <x:f>ROUND(E285*E405,2)</x:f>
        <x:v>239.62</x:v>
      </x:c>
      <x:c r="F85" s="3" t="n">
        <x:f>ROUND(F285*F405,2)</x:f>
        <x:v>194.58</x:v>
      </x:c>
      <x:c r="G85" s="3" t="n">
        <x:f>ROUND(G285*G405,2)</x:f>
        <x:v>81.91</x:v>
      </x:c>
      <x:c r="H85" s="3" t="n">
        <x:f>ROUND(H285*H405,2)</x:f>
        <x:v>130.88</x:v>
      </x:c>
      <x:c r="I85" s="3" t="n">
        <x:f>ROUND(I285*I405,2)</x:f>
        <x:v>192.16</x:v>
      </x:c>
      <x:c r="J85" s="3" t="n">
        <x:f>ROUND(J285*J405,2)</x:f>
        <x:v>173.55</x:v>
      </x:c>
      <x:c r="K85" s="3" t="n">
        <x:f>ROUND(K285*K405,2)</x:f>
        <x:v>217.57</x:v>
      </x:c>
      <x:c r="L85" s="3" t="n">
        <x:f>ROUND(L285*L405,2)</x:f>
        <x:v>419.38</x:v>
      </x:c>
      <x:c r="M85" s="3" t="n">
        <x:f>ROUND(M285*M405,2)</x:f>
        <x:v>124.66</x:v>
      </x:c>
      <x:c r="N85" s="3" t="n">
        <x:f>ROUND(N285*N405,2)</x:f>
        <x:v>288.9</x:v>
      </x:c>
      <x:c r="O85" s="3" t="n">
        <x:f>SUM(C85:N85)</x:f>
        <x:v>2567.8399999999997</x:v>
      </x:c>
      <x:c r="P85" s="2" t="str">
        <x:v>EXP3.025</x:v>
      </x:c>
      <x:c r="Q85" s="2" t="str">
        <x:v>演示占位-v1</x:v>
      </x:c>
      <x:c r="R85" s="2" t="str">
        <x:v>模拟权责发生制</x:v>
      </x:c>
      <x:c r="S85" s="2" t="str">
        <x:v>2027-01</x:v>
      </x:c>
      <x:c r="T85" s="2" t="str">
        <x:v>2027-06</x:v>
      </x:c>
      <x:c r="U85" s="2" t="str">
        <x:v>无</x:v>
      </x:c>
      <x:c r="V85" s="2" t="str">
        <x:v>无</x:v>
      </x:c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 t="str">
        <x:v>市内交通费</x:v>
      </x:c>
      <x:c r="C86" s="3" t="n">
        <x:f>ROUND(C286*C406,2)</x:f>
        <x:v>353.05</x:v>
      </x:c>
      <x:c r="D86" s="3" t="n">
        <x:f>ROUND(D286*D406,2)</x:f>
        <x:v>94.71</x:v>
      </x:c>
      <x:c r="E86" s="3" t="n">
        <x:f>ROUND(E286*E406,2)</x:f>
        <x:v>331.15</x:v>
      </x:c>
      <x:c r="F86" s="3" t="n">
        <x:f>ROUND(F286*F406,2)</x:f>
        <x:v>396.21</x:v>
      </x:c>
      <x:c r="G86" s="3" t="n">
        <x:f>ROUND(G286*G406,2)</x:f>
        <x:v>334.7</x:v>
      </x:c>
      <x:c r="H86" s="3" t="n">
        <x:f>ROUND(H286*H406,2)</x:f>
        <x:v>63.81</x:v>
      </x:c>
      <x:c r="I86" s="3" t="n">
        <x:f>ROUND(I286*I406,2)</x:f>
        <x:v>505.39</x:v>
      </x:c>
      <x:c r="J86" s="3" t="n">
        <x:f>ROUND(J286*J406,2)</x:f>
        <x:v>183.42</x:v>
      </x:c>
      <x:c r="K86" s="3" t="n">
        <x:f>ROUND(K286*K406,2)</x:f>
        <x:v>199.94</x:v>
      </x:c>
      <x:c r="L86" s="3" t="n">
        <x:f>ROUND(L286*L406,2)</x:f>
        <x:v>164.07</x:v>
      </x:c>
      <x:c r="M86" s="3" t="n">
        <x:f>ROUND(M286*M406,2)</x:f>
        <x:v>305.4</x:v>
      </x:c>
      <x:c r="N86" s="3" t="n">
        <x:f>ROUND(N286*N406,2)</x:f>
        <x:v>128.35</x:v>
      </x:c>
      <x:c r="O86" s="3" t="n">
        <x:f>SUM(C86:N86)</x:f>
        <x:v>3060.2000000000003</x:v>
      </x:c>
      <x:c r="P86" s="2" t="str">
        <x:v>EXP3.026</x:v>
      </x:c>
      <x:c r="Q86" s="2" t="str">
        <x:v>演示占位-v1</x:v>
      </x:c>
      <x:c r="R86" s="2" t="str">
        <x:v>模拟权责发生制</x:v>
      </x:c>
      <x:c r="S86" s="2" t="str">
        <x:v>2027-01</x:v>
      </x:c>
      <x:c r="T86" s="2" t="str">
        <x:v>2027-06</x:v>
      </x:c>
      <x:c r="U86" s="2" t="str">
        <x:v>无</x:v>
      </x:c>
      <x:c r="V86" s="2" t="str">
        <x:v>无</x:v>
      </x:c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 t="str">
        <x:v>调研费用</x:v>
      </x:c>
      <x:c r="C87" s="3" t="n">
        <x:f>ROUND(C287*C407,2)</x:f>
        <x:v>232.56</x:v>
      </x:c>
      <x:c r="D87" s="3" t="n">
        <x:f>ROUND(D287*D407,2)</x:f>
        <x:v>309.34</x:v>
      </x:c>
      <x:c r="E87" s="3" t="n">
        <x:f>ROUND(E287*E407,2)</x:f>
        <x:v>213.89</x:v>
      </x:c>
      <x:c r="F87" s="3" t="n">
        <x:f>ROUND(F287*F407,2)</x:f>
        <x:v>267.26</x:v>
      </x:c>
      <x:c r="G87" s="3" t="n">
        <x:f>ROUND(G287*G407,2)</x:f>
        <x:v>84.7</x:v>
      </x:c>
      <x:c r="H87" s="3" t="n">
        <x:f>ROUND(H287*H407,2)</x:f>
        <x:v>153.27</x:v>
      </x:c>
      <x:c r="I87" s="3" t="n">
        <x:f>ROUND(I287*I407,2)</x:f>
        <x:v>117.15</x:v>
      </x:c>
      <x:c r="J87" s="3" t="n">
        <x:f>ROUND(J287*J407,2)</x:f>
        <x:v>314.33</x:v>
      </x:c>
      <x:c r="K87" s="3" t="n">
        <x:f>ROUND(K287*K407,2)</x:f>
        <x:v>277.03</x:v>
      </x:c>
      <x:c r="L87" s="3" t="n">
        <x:f>ROUND(L287*L407,2)</x:f>
        <x:v>72.38</x:v>
      </x:c>
      <x:c r="M87" s="3" t="n">
        <x:f>ROUND(M287*M407,2)</x:f>
        <x:v>194.21</x:v>
      </x:c>
      <x:c r="N87" s="3" t="n">
        <x:f>ROUND(N287*N407,2)</x:f>
        <x:v>369.66</x:v>
      </x:c>
      <x:c r="O87" s="3" t="n">
        <x:f>SUM(C87:N87)</x:f>
        <x:v>2605.7799999999997</x:v>
      </x:c>
      <x:c r="P87" s="2" t="str">
        <x:v>EXP3.027</x:v>
      </x:c>
      <x:c r="Q87" s="2" t="str">
        <x:v>演示占位-v1</x:v>
      </x:c>
      <x:c r="R87" s="2" t="str">
        <x:v>模拟权责发生制</x:v>
      </x:c>
      <x:c r="S87" s="2" t="str">
        <x:v>2027-01</x:v>
      </x:c>
      <x:c r="T87" s="2" t="str">
        <x:v>2027-06</x:v>
      </x:c>
      <x:c r="U87" s="2" t="str">
        <x:v>无</x:v>
      </x:c>
      <x:c r="V87" s="2" t="str">
        <x:v>无</x:v>
      </x:c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 t="str">
        <x:v>手续费</x:v>
      </x:c>
      <x:c r="C88" s="3" t="n">
        <x:f>ROUND(C288*C408,2)</x:f>
        <x:v>195.92</x:v>
      </x:c>
      <x:c r="D88" s="3" t="n">
        <x:f>ROUND(D288*D408,2)</x:f>
        <x:v>207.83</x:v>
      </x:c>
      <x:c r="E88" s="3" t="n">
        <x:f>ROUND(E288*E408,2)</x:f>
        <x:v>379.19</x:v>
      </x:c>
      <x:c r="F88" s="3" t="n">
        <x:f>ROUND(F288*F408,2)</x:f>
        <x:v>188.51</x:v>
      </x:c>
      <x:c r="G88" s="3" t="n">
        <x:f>ROUND(G288*G408,2)</x:f>
        <x:v>185.47</x:v>
      </x:c>
      <x:c r="H88" s="3" t="n">
        <x:f>ROUND(H288*H408,2)</x:f>
        <x:v>181.66</x:v>
      </x:c>
      <x:c r="I88" s="3" t="n">
        <x:f>ROUND(I288*I408,2)</x:f>
        <x:v>397.35</x:v>
      </x:c>
      <x:c r="J88" s="3" t="n">
        <x:f>ROUND(J288*J408,2)</x:f>
        <x:v>227.83</x:v>
      </x:c>
      <x:c r="K88" s="3" t="n">
        <x:f>ROUND(K288*K408,2)</x:f>
        <x:v>106.11</x:v>
      </x:c>
      <x:c r="L88" s="3" t="n">
        <x:f>ROUND(L288*L408,2)</x:f>
        <x:v>71.33</x:v>
      </x:c>
      <x:c r="M88" s="3" t="n">
        <x:f>ROUND(M288*M408,2)</x:f>
        <x:v>173.82</x:v>
      </x:c>
      <x:c r="N88" s="3" t="n">
        <x:f>ROUND(N288*N408,2)</x:f>
        <x:v>423.14</x:v>
      </x:c>
      <x:c r="O88" s="3" t="n">
        <x:f>SUM(C88:N88)</x:f>
        <x:v>2738.1600000000003</x:v>
      </x:c>
      <x:c r="P88" s="2" t="str">
        <x:v>EXP3.028</x:v>
      </x:c>
      <x:c r="Q88" s="2" t="str">
        <x:v>演示占位-v1</x:v>
      </x:c>
      <x:c r="R88" s="2" t="str">
        <x:v>模拟权责发生制</x:v>
      </x:c>
      <x:c r="S88" s="2" t="str">
        <x:v>2027-01</x:v>
      </x:c>
      <x:c r="T88" s="2" t="str">
        <x:v>2027-06</x:v>
      </x:c>
      <x:c r="U88" s="2" t="str">
        <x:v>无</x:v>
      </x:c>
      <x:c r="V88" s="2" t="str">
        <x:v>无</x:v>
      </x:c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 t="str">
        <x:v>利息收入</x:v>
      </x:c>
      <x:c r="C89" s="3" t="n">
        <x:f>0</x:f>
        <x:v>0</x:v>
      </x:c>
      <x:c r="D89" s="3" t="n">
        <x:f>0</x:f>
        <x:v>0</x:v>
      </x:c>
      <x:c r="E89" s="3" t="n">
        <x:f>0</x:f>
        <x:v>0</x:v>
      </x:c>
      <x:c r="F89" s="3" t="n">
        <x:f>0</x:f>
        <x:v>0</x:v>
      </x:c>
      <x:c r="G89" s="3" t="n">
        <x:f>0</x:f>
        <x:v>0</x:v>
      </x:c>
      <x:c r="H89" s="3" t="n">
        <x:f>0</x:f>
        <x:v>0</x:v>
      </x:c>
      <x:c r="I89" s="3" t="n">
        <x:f>0</x:f>
        <x:v>0</x:v>
      </x:c>
      <x:c r="J89" s="3" t="n">
        <x:f>0</x:f>
        <x:v>0</x:v>
      </x:c>
      <x:c r="K89" s="3" t="n">
        <x:f>0</x:f>
        <x:v>0</x:v>
      </x:c>
      <x:c r="L89" s="3" t="n">
        <x:f>0</x:f>
        <x:v>0</x:v>
      </x:c>
      <x:c r="M89" s="3" t="n">
        <x:f>0</x:f>
        <x:v>0</x:v>
      </x:c>
      <x:c r="N89" s="3" t="n">
        <x:f>0</x:f>
        <x:v>0</x:v>
      </x:c>
      <x:c r="O89" s="3" t="n">
        <x:f>SUM(C89:N89)</x:f>
        <x:v>0</x:v>
      </x:c>
      <x:c r="P89" s="2" t="str">
        <x:v>EXP3.029</x:v>
      </x:c>
      <x:c r="Q89" s="2" t="str">
        <x:v>演示占位-v1</x:v>
      </x:c>
      <x:c r="R89" s="2" t="str">
        <x:v>模拟权责发生制</x:v>
      </x:c>
      <x:c r="S89" s="2" t="str">
        <x:v>2027-01</x:v>
      </x:c>
      <x:c r="T89" s="2" t="str">
        <x:v>2027-06</x:v>
      </x:c>
      <x:c r="U89" s="2" t="str">
        <x:v>无</x:v>
      </x:c>
      <x:c r="V89" s="2" t="str">
        <x:v>无</x:v>
      </x:c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利息支出</x:v>
      </x:c>
      <x:c r="C90" s="6" t="n">
        <x:f>ROUND(C290*C410,2)</x:f>
        <x:v>165.27</x:v>
      </x:c>
      <x:c r="D90" s="6" t="n">
        <x:f>ROUND(D290*D410,2)</x:f>
        <x:v>124.36</x:v>
      </x:c>
      <x:c r="E90" s="6" t="n">
        <x:f>ROUND(E290*E410,2)</x:f>
        <x:v>188.1</x:v>
      </x:c>
      <x:c r="F90" s="6" t="n">
        <x:f>ROUND(F290*F410,2)</x:f>
        <x:v>440.5</x:v>
      </x:c>
      <x:c r="G90" s="6" t="n">
        <x:f>ROUND(G290*G410,2)</x:f>
        <x:v>201.73</x:v>
      </x:c>
      <x:c r="H90" s="6" t="n">
        <x:f>ROUND(H290*H410,2)</x:f>
        <x:v>52.3</x:v>
      </x:c>
      <x:c r="I90" s="6" t="n">
        <x:f>ROUND(I290*I410,2)</x:f>
        <x:v>230.01</x:v>
      </x:c>
      <x:c r="J90" s="6" t="n">
        <x:f>ROUND(J290*J410,2)</x:f>
        <x:v>51.43</x:v>
      </x:c>
      <x:c r="K90" s="6" t="n">
        <x:f>ROUND(K290*K410,2)</x:f>
        <x:v>301.89</x:v>
      </x:c>
      <x:c r="L90" s="6" t="n">
        <x:f>ROUND(L290*L410,2)</x:f>
        <x:v>152.08</x:v>
      </x:c>
      <x:c r="M90" s="6" t="n">
        <x:f>ROUND(M290*M410,2)</x:f>
        <x:v>151.08</x:v>
      </x:c>
      <x:c r="N90" s="6" t="n">
        <x:f>ROUND(N290*N410,2)</x:f>
        <x:v>151.39</x:v>
      </x:c>
      <x:c r="O90" s="6" t="n">
        <x:f>SUM(C90:N90)</x:f>
        <x:v>2210.14</x:v>
      </x:c>
      <x:c r="P90" s="2" t="str">
        <x:v>EXP3.030</x:v>
      </x:c>
      <x:c r="Q90" s="2" t="str">
        <x:v>演示占位-v1</x:v>
      </x:c>
      <x:c r="R90" s="2" t="str">
        <x:v>模拟权责发生制</x:v>
      </x:c>
      <x:c r="S90" s="2" t="str">
        <x:v>2027-01</x:v>
      </x:c>
      <x:c r="T90" s="2" t="str">
        <x:v>2027-06</x:v>
      </x:c>
      <x:c r="U90" s="2" t="str">
        <x:v>无</x:v>
      </x:c>
      <x:c r="V90" s="2" t="str">
        <x:v>无</x:v>
      </x:c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车船税</x:v>
      </x:c>
      <x:c r="C91" s="3" t="n">
        <x:f>ROUND(C291*C411,2)</x:f>
        <x:v>542.57</x:v>
      </x:c>
      <x:c r="D91" s="3" t="n">
        <x:f>ROUND(D291*D411,2)</x:f>
        <x:v>77.03</x:v>
      </x:c>
      <x:c r="E91" s="3" t="n">
        <x:f>ROUND(E291*E411,2)</x:f>
        <x:v>96.01</x:v>
      </x:c>
      <x:c r="F91" s="3" t="n">
        <x:f>ROUND(F291*F411,2)</x:f>
        <x:v>154.36</x:v>
      </x:c>
      <x:c r="G91" s="3" t="n">
        <x:f>ROUND(G291*G411,2)</x:f>
        <x:v>101.27</x:v>
      </x:c>
      <x:c r="H91" s="3" t="n">
        <x:f>ROUND(H291*H411,2)</x:f>
        <x:v>187.63</x:v>
      </x:c>
      <x:c r="I91" s="3" t="n">
        <x:f>ROUND(I291*I411,2)</x:f>
        <x:v>128.52</x:v>
      </x:c>
      <x:c r="J91" s="3" t="n">
        <x:f>ROUND(J291*J411,2)</x:f>
        <x:v>132.69</x:v>
      </x:c>
      <x:c r="K91" s="3" t="n">
        <x:f>ROUND(K291*K411,2)</x:f>
        <x:v>118.68</x:v>
      </x:c>
      <x:c r="L91" s="3" t="n">
        <x:f>ROUND(L291*L411,2)</x:f>
        <x:v>93.78</x:v>
      </x:c>
      <x:c r="M91" s="3" t="n">
        <x:f>ROUND(M291*M411,2)</x:f>
        <x:v>152.35</x:v>
      </x:c>
      <x:c r="N91" s="3" t="n">
        <x:f>ROUND(N291*N411,2)</x:f>
        <x:v>98.29</x:v>
      </x:c>
      <x:c r="O91" s="3" t="n">
        <x:f>SUM(C91:N91)</x:f>
        <x:v>1883.1799999999998</x:v>
      </x:c>
      <x:c r="P91" s="2" t="str">
        <x:v>EXP3.031</x:v>
      </x:c>
      <x:c r="Q91" s="2" t="str">
        <x:v>演示占位-v1</x:v>
      </x:c>
      <x:c r="R91" s="2" t="str">
        <x:v>模拟权责发生制</x:v>
      </x:c>
      <x:c r="S91" s="2" t="str">
        <x:v>2027-01</x:v>
      </x:c>
      <x:c r="T91" s="2" t="str">
        <x:v>2027-06</x:v>
      </x:c>
      <x:c r="U91" s="2" t="str">
        <x:v>无</x:v>
      </x:c>
      <x:c r="V91" s="2" t="str">
        <x:v>无</x:v>
      </x:c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印花税</x:v>
      </x:c>
      <x:c r="C92" s="3" t="n">
        <x:f>ROUND(C292*C412,2)</x:f>
        <x:v>118.88</x:v>
      </x:c>
      <x:c r="D92" s="3" t="n">
        <x:f>ROUND(D292*D412,2)</x:f>
        <x:v>381.12</x:v>
      </x:c>
      <x:c r="E92" s="3" t="n">
        <x:f>ROUND(E292*E412,2)</x:f>
        <x:v>102.33</x:v>
      </x:c>
      <x:c r="F92" s="3" t="n">
        <x:f>ROUND(F292*F412,2)</x:f>
        <x:v>201.38</x:v>
      </x:c>
      <x:c r="G92" s="3" t="n">
        <x:f>ROUND(G292*G412,2)</x:f>
        <x:v>367.57</x:v>
      </x:c>
      <x:c r="H92" s="3" t="n">
        <x:f>ROUND(H292*H412,2)</x:f>
        <x:v>176.53</x:v>
      </x:c>
      <x:c r="I92" s="3" t="n">
        <x:f>ROUND(I292*I412,2)</x:f>
        <x:v>48.5</x:v>
      </x:c>
      <x:c r="J92" s="3" t="n">
        <x:f>ROUND(J292*J412,2)</x:f>
        <x:v>333.94</x:v>
      </x:c>
      <x:c r="K92" s="3" t="n">
        <x:f>ROUND(K292*K412,2)</x:f>
        <x:v>152.28</x:v>
      </x:c>
      <x:c r="L92" s="3" t="n">
        <x:f>ROUND(L292*L412,2)</x:f>
        <x:v>567.06</x:v>
      </x:c>
      <x:c r="M92" s="3" t="n">
        <x:f>ROUND(M292*M412,2)</x:f>
        <x:v>103.11</x:v>
      </x:c>
      <x:c r="N92" s="3" t="n">
        <x:f>ROUND(N292*N412,2)</x:f>
        <x:v>196.68</x:v>
      </x:c>
      <x:c r="O92" s="3" t="n">
        <x:f>SUM(C92:N92)</x:f>
        <x:v>2749.38</x:v>
      </x:c>
      <x:c r="P92" s="2" t="str">
        <x:v>EXP3.032</x:v>
      </x:c>
      <x:c r="Q92" s="2" t="str">
        <x:v>演示占位-v1</x:v>
      </x:c>
      <x:c r="R92" s="2" t="str">
        <x:v>模拟权责发生制</x:v>
      </x:c>
      <x:c r="S92" s="2" t="str">
        <x:v>2027-01</x:v>
      </x:c>
      <x:c r="T92" s="2" t="str">
        <x:v>2027-06</x:v>
      </x:c>
      <x:c r="U92" s="2" t="str">
        <x:v>无</x:v>
      </x:c>
      <x:c r="V92" s="2" t="str">
        <x:v>无</x:v>
      </x:c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其他</x:v>
      </x:c>
      <x:c r="C93" s="3" t="n">
        <x:f>ROUND(C293*C413,2)</x:f>
        <x:v>129.81</x:v>
      </x:c>
      <x:c r="D93" s="3" t="n">
        <x:f>ROUND(D293*D413,2)</x:f>
        <x:v>239.36</x:v>
      </x:c>
      <x:c r="E93" s="3" t="n">
        <x:f>ROUND(E293*E413,2)</x:f>
        <x:v>314.42</x:v>
      </x:c>
      <x:c r="F93" s="3" t="n">
        <x:f>ROUND(F293*F413,2)</x:f>
        <x:v>161.26</x:v>
      </x:c>
      <x:c r="G93" s="3" t="n">
        <x:f>ROUND(G293*G413,2)</x:f>
        <x:v>227.81</x:v>
      </x:c>
      <x:c r="H93" s="3" t="n">
        <x:f>ROUND(H293*H413,2)</x:f>
        <x:v>88.89</x:v>
      </x:c>
      <x:c r="I93" s="3" t="n">
        <x:f>ROUND(I293*I413,2)</x:f>
        <x:v>77.84</x:v>
      </x:c>
      <x:c r="J93" s="3" t="n">
        <x:f>ROUND(J293*J413,2)</x:f>
        <x:v>149.59</x:v>
      </x:c>
      <x:c r="K93" s="3" t="n">
        <x:f>ROUND(K293*K413,2)</x:f>
        <x:v>204.26</x:v>
      </x:c>
      <x:c r="L93" s="3" t="n">
        <x:f>ROUND(L293*L413,2)</x:f>
        <x:v>211.44</x:v>
      </x:c>
      <x:c r="M93" s="3" t="n">
        <x:f>ROUND(M293*M413,2)</x:f>
        <x:v>151.23</x:v>
      </x:c>
      <x:c r="N93" s="3" t="n">
        <x:f>ROUND(N293*N413,2)</x:f>
        <x:v>419.93</x:v>
      </x:c>
      <x:c r="O93" s="3" t="n">
        <x:f>SUM(C93:N93)</x:f>
        <x:v>2375.84</x:v>
      </x:c>
      <x:c r="P93" s="2" t="str">
        <x:v>EXP3.033</x:v>
      </x:c>
      <x:c r="Q93" s="2" t="str">
        <x:v>演示占位-v1</x:v>
      </x:c>
      <x:c r="R93" s="2" t="str">
        <x:v>模拟权责发生制</x:v>
      </x:c>
      <x:c r="S93" s="2" t="str">
        <x:v>2027-01</x:v>
      </x:c>
      <x:c r="T93" s="2" t="str">
        <x:v>2027-06</x:v>
      </x:c>
      <x:c r="U93" s="2" t="str">
        <x:v>无</x:v>
      </x:c>
      <x:c r="V93" s="2" t="str">
        <x:v>无</x:v>
      </x:c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 t="str">
        <x:v>合计</x:v>
      </x:c>
      <x:c r="B94" s="2"/>
      <x:c r="C94" s="3" t="n">
        <x:f>SUM(C64:C93)</x:f>
        <x:v>6718.580000000002</x:v>
      </x:c>
      <x:c r="D94" s="3" t="n">
        <x:f>SUM(D64:D93)</x:f>
        <x:v>6212.409999999999</x:v>
      </x:c>
      <x:c r="E94" s="3" t="n">
        <x:f>SUM(E64:E93)</x:f>
        <x:v>6492.920000000001</x:v>
      </x:c>
      <x:c r="F94" s="3" t="n">
        <x:f>SUM(F64:F93)</x:f>
        <x:v>7781.69</x:v>
      </x:c>
      <x:c r="G94" s="3" t="n">
        <x:f>SUM(G64:G93)</x:f>
        <x:v>6758.959999999998</x:v>
      </x:c>
      <x:c r="H94" s="3" t="n">
        <x:f>SUM(H64:H93)</x:f>
        <x:v>6635.2</x:v>
      </x:c>
      <x:c r="I94" s="3" t="n">
        <x:f>SUM(I64:I93)</x:f>
        <x:v>7265.89</x:v>
      </x:c>
      <x:c r="J94" s="3" t="n">
        <x:f>SUM(J64:J93)</x:f>
        <x:v>5805.300000000001</x:v>
      </x:c>
      <x:c r="K94" s="3" t="n">
        <x:f>SUM(K64:K93)</x:f>
        <x:v>6882.17</x:v>
      </x:c>
      <x:c r="L94" s="3" t="n">
        <x:f>SUM(L64:L93)</x:f>
        <x:v>7049.399999999999</x:v>
      </x:c>
      <x:c r="M94" s="3" t="n">
        <x:f>SUM(M64:M93)</x:f>
        <x:v>6836.5199999999995</x:v>
      </x:c>
      <x:c r="N94" s="3" t="n">
        <x:f>SUM(N64:N93)</x:f>
        <x:v>6729.6100000000015</x:v>
      </x:c>
      <x:c r="O94" s="3" t="n">
        <x:f>SUM(C94:N94)</x:f>
        <x:v>81168.65</x:v>
      </x:c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 t="str">
        <x:v>工资单价</x:v>
      </x:c>
      <x:c r="C204" s="4" t="n">
        <x:v>47.94</x:v>
      </x:c>
      <x:c r="D204" s="4" t="n">
        <x:v>21.22</x:v>
      </x:c>
      <x:c r="E204" s="4" t="n">
        <x:v>22.56</x:v>
      </x:c>
      <x:c r="F204" s="4" t="n">
        <x:v>32.5</x:v>
      </x:c>
      <x:c r="G204" s="4" t="n">
        <x:v>19.59</x:v>
      </x:c>
      <x:c r="H204" s="4" t="n">
        <x:v>60.06</x:v>
      </x:c>
      <x:c r="I204" s="4" t="n">
        <x:v>50.91</x:v>
      </x:c>
      <x:c r="J204" s="4" t="n">
        <x:v>52.09</x:v>
      </x:c>
      <x:c r="K204" s="4" t="n">
        <x:v>43.25</x:v>
      </x:c>
      <x:c r="L204" s="4" t="n">
        <x:v>46.97</x:v>
      </x:c>
      <x:c r="M204" s="4" t="n">
        <x:v>43.14</x:v>
      </x:c>
      <x:c r="N204" s="4" t="n">
        <x:v>24.55</x:v>
      </x:c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 t="str">
        <x:v>十三薪单价</x:v>
      </x:c>
      <x:c r="C205" s="4" t="n">
        <x:v>62.95</x:v>
      </x:c>
      <x:c r="D205" s="4" t="n">
        <x:v>30.35</x:v>
      </x:c>
      <x:c r="E205" s="4" t="n">
        <x:v>41.81</x:v>
      </x:c>
      <x:c r="F205" s="4" t="n">
        <x:v>27.37</x:v>
      </x:c>
      <x:c r="G205" s="4" t="n">
        <x:v>48.8</x:v>
      </x:c>
      <x:c r="H205" s="4" t="n">
        <x:v>31.81</x:v>
      </x:c>
      <x:c r="I205" s="4" t="n">
        <x:v>39.27</x:v>
      </x:c>
      <x:c r="J205" s="4" t="n">
        <x:v>65.31</x:v>
      </x:c>
      <x:c r="K205" s="4" t="n">
        <x:v>59.64</x:v>
      </x:c>
      <x:c r="L205" s="4" t="n">
        <x:v>20.54</x:v>
      </x:c>
      <x:c r="M205" s="4" t="n">
        <x:v>53.61</x:v>
      </x:c>
      <x:c r="N205" s="4" t="n">
        <x:v>34.96</x:v>
      </x:c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 t="str">
        <x:v>离职补偿金单价</x:v>
      </x:c>
      <x:c r="C206" s="4" t="n">
        <x:v>28.99</x:v>
      </x:c>
      <x:c r="D206" s="4" t="n">
        <x:v>22.9</x:v>
      </x:c>
      <x:c r="E206" s="4" t="n">
        <x:v>37.76</x:v>
      </x:c>
      <x:c r="F206" s="4" t="n">
        <x:v>45.51</x:v>
      </x:c>
      <x:c r="G206" s="4" t="n">
        <x:v>40.77</x:v>
      </x:c>
      <x:c r="H206" s="4" t="n">
        <x:v>27.4</x:v>
      </x:c>
      <x:c r="I206" s="4" t="n">
        <x:v>56.49</x:v>
      </x:c>
      <x:c r="J206" s="4" t="n">
        <x:v>21.82</x:v>
      </x:c>
      <x:c r="K206" s="4" t="n">
        <x:v>49.34</x:v>
      </x:c>
      <x:c r="L206" s="4" t="n">
        <x:v>33.21</x:v>
      </x:c>
      <x:c r="M206" s="4" t="n">
        <x:v>38.69</x:v>
      </x:c>
      <x:c r="N206" s="4" t="n">
        <x:v>60.31</x:v>
      </x:c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 t="str">
        <x:v>五险一金单价</x:v>
      </x:c>
      <x:c r="C207" s="4" t="n">
        <x:v>54.15</x:v>
      </x:c>
      <x:c r="D207" s="4" t="n">
        <x:v>55.4</x:v>
      </x:c>
      <x:c r="E207" s="4" t="n">
        <x:v>45.84</x:v>
      </x:c>
      <x:c r="F207" s="4" t="n">
        <x:v>55.03</x:v>
      </x:c>
      <x:c r="G207" s="4" t="n">
        <x:v>57.37</x:v>
      </x:c>
      <x:c r="H207" s="4" t="n">
        <x:v>55.74</x:v>
      </x:c>
      <x:c r="I207" s="4" t="n">
        <x:v>29.74</x:v>
      </x:c>
      <x:c r="J207" s="4" t="n">
        <x:v>42.92</x:v>
      </x:c>
      <x:c r="K207" s="4" t="n">
        <x:v>32.07</x:v>
      </x:c>
      <x:c r="L207" s="4" t="n">
        <x:v>19.36</x:v>
      </x:c>
      <x:c r="M207" s="4" t="n">
        <x:v>20.79</x:v>
      </x:c>
      <x:c r="N207" s="4" t="n">
        <x:v>21.79</x:v>
      </x:c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 t="str">
        <x:v>福利费单价</x:v>
      </x:c>
      <x:c r="C208" s="4" t="n">
        <x:v>36.79</x:v>
      </x:c>
      <x:c r="D208" s="4" t="n">
        <x:v>51.73</x:v>
      </x:c>
      <x:c r="E208" s="4" t="n">
        <x:v>22.16</x:v>
      </x:c>
      <x:c r="F208" s="4" t="n">
        <x:v>62.76</x:v>
      </x:c>
      <x:c r="G208" s="4" t="n">
        <x:v>47.08</x:v>
      </x:c>
      <x:c r="H208" s="4" t="n">
        <x:v>34.8</x:v>
      </x:c>
      <x:c r="I208" s="4" t="n">
        <x:v>50.72</x:v>
      </x:c>
      <x:c r="J208" s="4" t="n">
        <x:v>58.07</x:v>
      </x:c>
      <x:c r="K208" s="4" t="n">
        <x:v>29.61</x:v>
      </x:c>
      <x:c r="L208" s="4" t="n">
        <x:v>38.56</x:v>
      </x:c>
      <x:c r="M208" s="4" t="n">
        <x:v>29.53</x:v>
      </x:c>
      <x:c r="N208" s="4" t="n">
        <x:v>64.45</x:v>
      </x:c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 t="str">
        <x:v>招聘费单价</x:v>
      </x:c>
      <x:c r="C209" s="4" t="n">
        <x:v>60.24</x:v>
      </x:c>
      <x:c r="D209" s="4" t="n">
        <x:v>66.05</x:v>
      </x:c>
      <x:c r="E209" s="4" t="n">
        <x:v>27.03</x:v>
      </x:c>
      <x:c r="F209" s="4" t="n">
        <x:v>57.22</x:v>
      </x:c>
      <x:c r="G209" s="4" t="n">
        <x:v>30.8</x:v>
      </x:c>
      <x:c r="H209" s="4" t="n">
        <x:v>35.9</x:v>
      </x:c>
      <x:c r="I209" s="4" t="n">
        <x:v>62.42</x:v>
      </x:c>
      <x:c r="J209" s="4" t="n">
        <x:v>32.94</x:v>
      </x:c>
      <x:c r="K209" s="4" t="n">
        <x:v>62.3</x:v>
      </x:c>
      <x:c r="L209" s="4" t="n">
        <x:v>63.04</x:v>
      </x:c>
      <x:c r="M209" s="4" t="n">
        <x:v>19.39</x:v>
      </x:c>
      <x:c r="N209" s="4" t="n">
        <x:v>42.14</x:v>
      </x:c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 t="str">
        <x:v>培训费单价</x:v>
      </x:c>
      <x:c r="C210" s="4" t="n">
        <x:v>36.36</x:v>
      </x:c>
      <x:c r="D210" s="4" t="n">
        <x:v>26.26</x:v>
      </x:c>
      <x:c r="E210" s="4" t="n">
        <x:v>23.34</x:v>
      </x:c>
      <x:c r="F210" s="4" t="n">
        <x:v>64.67</x:v>
      </x:c>
      <x:c r="G210" s="4" t="n">
        <x:v>47.25</x:v>
      </x:c>
      <x:c r="H210" s="4" t="n">
        <x:v>55.67</x:v>
      </x:c>
      <x:c r="I210" s="4" t="n">
        <x:v>54.95</x:v>
      </x:c>
      <x:c r="J210" s="4" t="n">
        <x:v>44.93</x:v>
      </x:c>
      <x:c r="K210" s="4" t="n">
        <x:v>51.35</x:v>
      </x:c>
      <x:c r="L210" s="4" t="n">
        <x:v>22.46</x:v>
      </x:c>
      <x:c r="M210" s="4" t="n">
        <x:v>27.25</x:v>
      </x:c>
      <x:c r="N210" s="4" t="n">
        <x:v>23.59</x:v>
      </x:c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 t="str">
        <x:v>房租单价</x:v>
      </x:c>
      <x:c r="C211" s="4" t="n">
        <x:v>43.49</x:v>
      </x:c>
      <x:c r="D211" s="4" t="n">
        <x:v>43.86</x:v>
      </x:c>
      <x:c r="E211" s="4" t="n">
        <x:v>62.49</x:v>
      </x:c>
      <x:c r="F211" s="4" t="n">
        <x:v>35.3</x:v>
      </x:c>
      <x:c r="G211" s="4" t="n">
        <x:v>63.43</x:v>
      </x:c>
      <x:c r="H211" s="4" t="n">
        <x:v>40.38</x:v>
      </x:c>
      <x:c r="I211" s="4" t="n">
        <x:v>35.64</x:v>
      </x:c>
      <x:c r="J211" s="4" t="n">
        <x:v>43.9</x:v>
      </x:c>
      <x:c r="K211" s="4" t="n">
        <x:v>65.07</x:v>
      </x:c>
      <x:c r="L211" s="4" t="n">
        <x:v>17.73</x:v>
      </x:c>
      <x:c r="M211" s="4" t="n">
        <x:v>67.27</x:v>
      </x:c>
      <x:c r="N211" s="4" t="n">
        <x:v>48.21</x:v>
      </x:c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 t="str">
        <x:v>物业管理费单价</x:v>
      </x:c>
      <x:c r="C212" s="4" t="n">
        <x:v>45.78</x:v>
      </x:c>
      <x:c r="D212" s="4" t="n">
        <x:v>38.2</x:v>
      </x:c>
      <x:c r="E212" s="4" t="n">
        <x:v>62.45</x:v>
      </x:c>
      <x:c r="F212" s="4" t="n">
        <x:v>44.53</x:v>
      </x:c>
      <x:c r="G212" s="4" t="n">
        <x:v>55.67</x:v>
      </x:c>
      <x:c r="H212" s="4" t="n">
        <x:v>37.31</x:v>
      </x:c>
      <x:c r="I212" s="4" t="n">
        <x:v>23.64</x:v>
      </x:c>
      <x:c r="J212" s="4" t="n">
        <x:v>54.34</x:v>
      </x:c>
      <x:c r="K212" s="4" t="n">
        <x:v>67.01</x:v>
      </x:c>
      <x:c r="L212" s="4" t="n">
        <x:v>45.7</x:v>
      </x:c>
      <x:c r="M212" s="4" t="n">
        <x:v>23.49</x:v>
      </x:c>
      <x:c r="N212" s="4" t="n">
        <x:v>47.85</x:v>
      </x:c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 t="str">
        <x:v>汽车费用单价</x:v>
      </x:c>
      <x:c r="C213" s="4" t="n">
        <x:v>26.7</x:v>
      </x:c>
      <x:c r="D213" s="4" t="n">
        <x:v>58.18</x:v>
      </x:c>
      <x:c r="E213" s="4" t="n">
        <x:v>48.67</x:v>
      </x:c>
      <x:c r="F213" s="4" t="n">
        <x:v>53.78</x:v>
      </x:c>
      <x:c r="G213" s="4" t="n">
        <x:v>37.22</x:v>
      </x:c>
      <x:c r="H213" s="4" t="n">
        <x:v>37.27</x:v>
      </x:c>
      <x:c r="I213" s="4" t="n">
        <x:v>64.63</x:v>
      </x:c>
      <x:c r="J213" s="4" t="n">
        <x:v>48.87</x:v>
      </x:c>
      <x:c r="K213" s="4" t="n">
        <x:v>55.85</x:v>
      </x:c>
      <x:c r="L213" s="4" t="n">
        <x:v>56.01</x:v>
      </x:c>
      <x:c r="M213" s="4" t="n">
        <x:v>59.86</x:v>
      </x:c>
      <x:c r="N213" s="4" t="n">
        <x:v>46.72</x:v>
      </x:c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 t="str">
        <x:v>办公费单价</x:v>
      </x:c>
      <x:c r="C214" s="4" t="n">
        <x:v>38.99</x:v>
      </x:c>
      <x:c r="D214" s="4" t="n">
        <x:v>18.19</x:v>
      </x:c>
      <x:c r="E214" s="4" t="n">
        <x:v>64.52</x:v>
      </x:c>
      <x:c r="F214" s="4" t="n">
        <x:v>20.48</x:v>
      </x:c>
      <x:c r="G214" s="4" t="n">
        <x:v>38.35</x:v>
      </x:c>
      <x:c r="H214" s="4" t="n">
        <x:v>35.15</x:v>
      </x:c>
      <x:c r="I214" s="4" t="n">
        <x:v>59.34</x:v>
      </x:c>
      <x:c r="J214" s="4" t="n">
        <x:v>28.93</x:v>
      </x:c>
      <x:c r="K214" s="4" t="n">
        <x:v>48.62</x:v>
      </x:c>
      <x:c r="L214" s="4" t="n">
        <x:v>55.54</x:v>
      </x:c>
      <x:c r="M214" s="4" t="n">
        <x:v>54.07</x:v>
      </x:c>
      <x:c r="N214" s="4" t="n">
        <x:v>60.99</x:v>
      </x:c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 t="str">
        <x:v>办公用品单价</x:v>
      </x:c>
      <x:c r="C215" s="4" t="n">
        <x:v>24.31</x:v>
      </x:c>
      <x:c r="D215" s="4" t="n">
        <x:v>38.78</x:v>
      </x:c>
      <x:c r="E215" s="4" t="n">
        <x:v>27.75</x:v>
      </x:c>
      <x:c r="F215" s="4" t="n">
        <x:v>41.02</x:v>
      </x:c>
      <x:c r="G215" s="4" t="n">
        <x:v>23.68</x:v>
      </x:c>
      <x:c r="H215" s="4" t="n">
        <x:v>35.54</x:v>
      </x:c>
      <x:c r="I215" s="4" t="n">
        <x:v>55.06</x:v>
      </x:c>
      <x:c r="J215" s="4" t="n">
        <x:v>21.04</x:v>
      </x:c>
      <x:c r="K215" s="4" t="n">
        <x:v>47.74</x:v>
      </x:c>
      <x:c r="L215" s="4" t="n">
        <x:v>28.1</x:v>
      </x:c>
      <x:c r="M215" s="4" t="n">
        <x:v>26.33</x:v>
      </x:c>
      <x:c r="N215" s="4" t="n">
        <x:v>55.62</x:v>
      </x:c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 t="str">
        <x:v>水电煤单价</x:v>
      </x:c>
      <x:c r="C216" s="4" t="n">
        <x:v>20.87</x:v>
      </x:c>
      <x:c r="D216" s="4" t="n">
        <x:v>38.9</x:v>
      </x:c>
      <x:c r="E216" s="4" t="n">
        <x:v>23.1</x:v>
      </x:c>
      <x:c r="F216" s="4" t="n">
        <x:v>25.04</x:v>
      </x:c>
      <x:c r="G216" s="4" t="n">
        <x:v>36.88</x:v>
      </x:c>
      <x:c r="H216" s="4" t="n">
        <x:v>31.86</x:v>
      </x:c>
      <x:c r="I216" s="4" t="n">
        <x:v>31.91</x:v>
      </x:c>
      <x:c r="J216" s="4" t="n">
        <x:v>57.49</x:v>
      </x:c>
      <x:c r="K216" s="4" t="n">
        <x:v>50.09</x:v>
      </x:c>
      <x:c r="L216" s="4" t="n">
        <x:v>61.28</x:v>
      </x:c>
      <x:c r="M216" s="4" t="n">
        <x:v>22.61</x:v>
      </x:c>
      <x:c r="N216" s="4" t="n">
        <x:v>20.43</x:v>
      </x:c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 t="str">
        <x:v>咨询服务费单价</x:v>
      </x:c>
      <x:c r="C217" s="4" t="n">
        <x:v>29.56</x:v>
      </x:c>
      <x:c r="D217" s="4" t="n">
        <x:v>39.19</x:v>
      </x:c>
      <x:c r="E217" s="4" t="n">
        <x:v>23.22</x:v>
      </x:c>
      <x:c r="F217" s="4" t="n">
        <x:v>66.81</x:v>
      </x:c>
      <x:c r="G217" s="4" t="n">
        <x:v>47.18</x:v>
      </x:c>
      <x:c r="H217" s="4" t="n">
        <x:v>28.47</x:v>
      </x:c>
      <x:c r="I217" s="4" t="n">
        <x:v>34.75</x:v>
      </x:c>
      <x:c r="J217" s="4" t="n">
        <x:v>35.61</x:v>
      </x:c>
      <x:c r="K217" s="4" t="n">
        <x:v>66.55</x:v>
      </x:c>
      <x:c r="L217" s="4" t="n">
        <x:v>59.76</x:v>
      </x:c>
      <x:c r="M217" s="4" t="n">
        <x:v>36.82</x:v>
      </x:c>
      <x:c r="N217" s="4" t="n">
        <x:v>65.49</x:v>
      </x:c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 t="str">
        <x:v>电话费单价</x:v>
      </x:c>
      <x:c r="C218" s="4" t="n">
        <x:v>56.94</x:v>
      </x:c>
      <x:c r="D218" s="4" t="n">
        <x:v>24.07</x:v>
      </x:c>
      <x:c r="E218" s="4" t="n">
        <x:v>40.4</x:v>
      </x:c>
      <x:c r="F218" s="4" t="n">
        <x:v>36.26</x:v>
      </x:c>
      <x:c r="G218" s="4" t="n">
        <x:v>41.1</x:v>
      </x:c>
      <x:c r="H218" s="4" t="n">
        <x:v>25.55</x:v>
      </x:c>
      <x:c r="I218" s="4" t="n">
        <x:v>61.61</x:v>
      </x:c>
      <x:c r="J218" s="4" t="n">
        <x:v>18.56</x:v>
      </x:c>
      <x:c r="K218" s="4" t="n">
        <x:v>50.2</x:v>
      </x:c>
      <x:c r="L218" s="4" t="n">
        <x:v>40.67</x:v>
      </x:c>
      <x:c r="M218" s="4" t="n">
        <x:v>18.22</x:v>
      </x:c>
      <x:c r="N218" s="4" t="n">
        <x:v>60.03</x:v>
      </x:c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 t="str">
        <x:v>快递费单价</x:v>
      </x:c>
      <x:c r="C219" s="4" t="n">
        <x:v>37.19</x:v>
      </x:c>
      <x:c r="D219" s="4" t="n">
        <x:v>34.38</x:v>
      </x:c>
      <x:c r="E219" s="4" t="n">
        <x:v>57.87</x:v>
      </x:c>
      <x:c r="F219" s="4" t="n">
        <x:v>38.35</x:v>
      </x:c>
      <x:c r="G219" s="4" t="n">
        <x:v>34.35</x:v>
      </x:c>
      <x:c r="H219" s="4" t="n">
        <x:v>38.55</x:v>
      </x:c>
      <x:c r="I219" s="4" t="n">
        <x:v>42.94</x:v>
      </x:c>
      <x:c r="J219" s="4" t="n">
        <x:v>35.77</x:v>
      </x:c>
      <x:c r="K219" s="4" t="n">
        <x:v>27.89</x:v>
      </x:c>
      <x:c r="L219" s="4" t="n">
        <x:v>17.32</x:v>
      </x:c>
      <x:c r="M219" s="4" t="n">
        <x:v>38.08</x:v>
      </x:c>
      <x:c r="N219" s="4" t="n">
        <x:v>55.64</x:v>
      </x:c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 t="str">
        <x:v>折旧及摊销单价</x:v>
      </x:c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 t="str">
        <x:v>机票火车票单价</x:v>
      </x:c>
      <x:c r="C221" s="4" t="n">
        <x:v>19.76</x:v>
      </x:c>
      <x:c r="D221" s="4" t="n">
        <x:v>26.1</x:v>
      </x:c>
      <x:c r="E221" s="4" t="n">
        <x:v>21.15</x:v>
      </x:c>
      <x:c r="F221" s="4" t="n">
        <x:v>44.36</x:v>
      </x:c>
      <x:c r="G221" s="4" t="n">
        <x:v>44.04</x:v>
      </x:c>
      <x:c r="H221" s="4" t="n">
        <x:v>45.3</x:v>
      </x:c>
      <x:c r="I221" s="4" t="n">
        <x:v>64.93</x:v>
      </x:c>
      <x:c r="J221" s="4" t="n">
        <x:v>58.96</x:v>
      </x:c>
      <x:c r="K221" s="4" t="n">
        <x:v>58.74</x:v>
      </x:c>
      <x:c r="L221" s="4" t="n">
        <x:v>61.18</x:v>
      </x:c>
      <x:c r="M221" s="4" t="n">
        <x:v>48.72</x:v>
      </x:c>
      <x:c r="N221" s="4" t="n">
        <x:v>26.49</x:v>
      </x:c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 t="str">
        <x:v>住宿费单价</x:v>
      </x:c>
      <x:c r="C222" s="4" t="n">
        <x:v>47.18</x:v>
      </x:c>
      <x:c r="D222" s="4" t="n">
        <x:v>42.05</x:v>
      </x:c>
      <x:c r="E222" s="4" t="n">
        <x:v>53.35</x:v>
      </x:c>
      <x:c r="F222" s="4" t="n">
        <x:v>55.07</x:v>
      </x:c>
      <x:c r="G222" s="4" t="n">
        <x:v>33.13</x:v>
      </x:c>
      <x:c r="H222" s="4" t="n">
        <x:v>23.31</x:v>
      </x:c>
      <x:c r="I222" s="4" t="n">
        <x:v>42.49</x:v>
      </x:c>
      <x:c r="J222" s="4" t="n">
        <x:v>67.63</x:v>
      </x:c>
      <x:c r="K222" s="4" t="n">
        <x:v>29.4</x:v>
      </x:c>
      <x:c r="L222" s="4" t="n">
        <x:v>52.61</x:v>
      </x:c>
      <x:c r="M222" s="4" t="n">
        <x:v>26.57</x:v>
      </x:c>
      <x:c r="N222" s="4" t="n">
        <x:v>37.47</x:v>
      </x:c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 t="str">
        <x:v>交通费单价</x:v>
      </x:c>
      <x:c r="C223" s="4" t="n">
        <x:v>33.46</x:v>
      </x:c>
      <x:c r="D223" s="4" t="n">
        <x:v>58.81</x:v>
      </x:c>
      <x:c r="E223" s="4" t="n">
        <x:v>50.37</x:v>
      </x:c>
      <x:c r="F223" s="4" t="n">
        <x:v>37.44</x:v>
      </x:c>
      <x:c r="G223" s="4" t="n">
        <x:v>53.7</x:v>
      </x:c>
      <x:c r="H223" s="4" t="n">
        <x:v>53.89</x:v>
      </x:c>
      <x:c r="I223" s="4" t="n">
        <x:v>59.57</x:v>
      </x:c>
      <x:c r="J223" s="4" t="n">
        <x:v>24.84</x:v>
      </x:c>
      <x:c r="K223" s="4" t="n">
        <x:v>28.89</x:v>
      </x:c>
      <x:c r="L223" s="4" t="n">
        <x:v>27.54</x:v>
      </x:c>
      <x:c r="M223" s="4" t="n">
        <x:v>55.66</x:v>
      </x:c>
      <x:c r="N223" s="4" t="n">
        <x:v>40.17</x:v>
      </x:c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 t="str">
        <x:v>差旅补贴单价</x:v>
      </x:c>
      <x:c r="C224" s="4" t="n">
        <x:v>53.79</x:v>
      </x:c>
      <x:c r="D224" s="4" t="n">
        <x:v>27.32</x:v>
      </x:c>
      <x:c r="E224" s="4" t="n">
        <x:v>40.7</x:v>
      </x:c>
      <x:c r="F224" s="4" t="n">
        <x:v>59.38</x:v>
      </x:c>
      <x:c r="G224" s="4" t="n">
        <x:v>56.17</x:v>
      </x:c>
      <x:c r="H224" s="4" t="n">
        <x:v>30.97</x:v>
      </x:c>
      <x:c r="I224" s="4" t="n">
        <x:v>37.34</x:v>
      </x:c>
      <x:c r="J224" s="4" t="n">
        <x:v>52.79</x:v>
      </x:c>
      <x:c r="K224" s="4" t="n">
        <x:v>60.2</x:v>
      </x:c>
      <x:c r="L224" s="4" t="n">
        <x:v>58.56</x:v>
      </x:c>
      <x:c r="M224" s="4" t="n">
        <x:v>41.85</x:v>
      </x:c>
      <x:c r="N224" s="4" t="n">
        <x:v>65.07</x:v>
      </x:c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 t="str">
        <x:v>业务招待费单价</x:v>
      </x:c>
      <x:c r="C225" s="4" t="n">
        <x:v>65.53</x:v>
      </x:c>
      <x:c r="D225" s="4" t="n">
        <x:v>48.13</x:v>
      </x:c>
      <x:c r="E225" s="4" t="n">
        <x:v>34.63</x:v>
      </x:c>
      <x:c r="F225" s="4" t="n">
        <x:v>36.11</x:v>
      </x:c>
      <x:c r="G225" s="4" t="n">
        <x:v>52.77</x:v>
      </x:c>
      <x:c r="H225" s="4" t="n">
        <x:v>58.58</x:v>
      </x:c>
      <x:c r="I225" s="4" t="n">
        <x:v>54.2</x:v>
      </x:c>
      <x:c r="J225" s="4" t="n">
        <x:v>51.9</x:v>
      </x:c>
      <x:c r="K225" s="4" t="n">
        <x:v>41.52</x:v>
      </x:c>
      <x:c r="L225" s="4" t="n">
        <x:v>47.41</x:v>
      </x:c>
      <x:c r="M225" s="4" t="n">
        <x:v>26.95</x:v>
      </x:c>
      <x:c r="N225" s="4" t="n">
        <x:v>50.18</x:v>
      </x:c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 t="str">
        <x:v>市内交通费单价</x:v>
      </x:c>
      <x:c r="C226" s="4" t="n">
        <x:v>34.76</x:v>
      </x:c>
      <x:c r="D226" s="4" t="n">
        <x:v>30.58</x:v>
      </x:c>
      <x:c r="E226" s="4" t="n">
        <x:v>55.13</x:v>
      </x:c>
      <x:c r="F226" s="4" t="n">
        <x:v>20.89</x:v>
      </x:c>
      <x:c r="G226" s="4" t="n">
        <x:v>35.08</x:v>
      </x:c>
      <x:c r="H226" s="4" t="n">
        <x:v>33.47</x:v>
      </x:c>
      <x:c r="I226" s="4" t="n">
        <x:v>51.7</x:v>
      </x:c>
      <x:c r="J226" s="4" t="n">
        <x:v>26.57</x:v>
      </x:c>
      <x:c r="K226" s="4" t="n">
        <x:v>46.87</x:v>
      </x:c>
      <x:c r="L226" s="4" t="n">
        <x:v>22.87</x:v>
      </x:c>
      <x:c r="M226" s="4" t="n">
        <x:v>38.36</x:v>
      </x:c>
      <x:c r="N226" s="4" t="n">
        <x:v>66.16</x:v>
      </x:c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 t="str">
        <x:v>调研费用单价</x:v>
      </x:c>
      <x:c r="C227" s="4" t="n">
        <x:v>59.35</x:v>
      </x:c>
      <x:c r="D227" s="4" t="n">
        <x:v>62.27</x:v>
      </x:c>
      <x:c r="E227" s="4" t="n">
        <x:v>56.82</x:v>
      </x:c>
      <x:c r="F227" s="4" t="n">
        <x:v>54.61</x:v>
      </x:c>
      <x:c r="G227" s="4" t="n">
        <x:v>62.86</x:v>
      </x:c>
      <x:c r="H227" s="4" t="n">
        <x:v>41.37</x:v>
      </x:c>
      <x:c r="I227" s="4" t="n">
        <x:v>30.87</x:v>
      </x:c>
      <x:c r="J227" s="4" t="n">
        <x:v>40.24</x:v>
      </x:c>
      <x:c r="K227" s="4" t="n">
        <x:v>34.42</x:v>
      </x:c>
      <x:c r="L227" s="4" t="n">
        <x:v>62.24</x:v>
      </x:c>
      <x:c r="M227" s="4" t="n">
        <x:v>56.85</x:v>
      </x:c>
      <x:c r="N227" s="4" t="n">
        <x:v>40.75</x:v>
      </x:c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 t="str">
        <x:v>手续费单价</x:v>
      </x:c>
      <x:c r="C228" s="4" t="n">
        <x:v>21.67</x:v>
      </x:c>
      <x:c r="D228" s="4" t="n">
        <x:v>25.09</x:v>
      </x:c>
      <x:c r="E228" s="4" t="n">
        <x:v>17.53</x:v>
      </x:c>
      <x:c r="F228" s="4" t="n">
        <x:v>40.97</x:v>
      </x:c>
      <x:c r="G228" s="4" t="n">
        <x:v>59.95</x:v>
      </x:c>
      <x:c r="H228" s="4" t="n">
        <x:v>58.87</x:v>
      </x:c>
      <x:c r="I228" s="4" t="n">
        <x:v>20.36</x:v>
      </x:c>
      <x:c r="J228" s="4" t="n">
        <x:v>46.28</x:v>
      </x:c>
      <x:c r="K228" s="4" t="n">
        <x:v>52.9</x:v>
      </x:c>
      <x:c r="L228" s="4" t="n">
        <x:v>67.09</x:v>
      </x:c>
      <x:c r="M228" s="4" t="n">
        <x:v>59.31</x:v>
      </x:c>
      <x:c r="N228" s="4" t="n">
        <x:v>58.49</x:v>
      </x:c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 t="str">
        <x:v>利息收入单价</x:v>
      </x:c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 t="str">
        <x:v>利息支出单价</x:v>
      </x:c>
      <x:c r="C230" s="4" t="n">
        <x:v>28.45</x:v>
      </x:c>
      <x:c r="D230" s="4" t="n">
        <x:v>47.88</x:v>
      </x:c>
      <x:c r="E230" s="4" t="n">
        <x:v>55.84</x:v>
      </x:c>
      <x:c r="F230" s="4" t="n">
        <x:v>51.08</x:v>
      </x:c>
      <x:c r="G230" s="4" t="n">
        <x:v>64.6</x:v>
      </x:c>
      <x:c r="H230" s="4" t="n">
        <x:v>64.85</x:v>
      </x:c>
      <x:c r="I230" s="4" t="n">
        <x:v>63.79</x:v>
      </x:c>
      <x:c r="J230" s="4" t="n">
        <x:v>59.16</x:v>
      </x:c>
      <x:c r="K230" s="4" t="n">
        <x:v>42.58</x:v>
      </x:c>
      <x:c r="L230" s="4" t="n">
        <x:v>27.59</x:v>
      </x:c>
      <x:c r="M230" s="4" t="n">
        <x:v>39.96</x:v>
      </x:c>
      <x:c r="N230" s="4" t="n">
        <x:v>59.5</x:v>
      </x:c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 t="str">
        <x:v>车船税单价</x:v>
      </x:c>
      <x:c r="C231" s="4" t="n">
        <x:v>23.74</x:v>
      </x:c>
      <x:c r="D231" s="4" t="n">
        <x:v>38.63</x:v>
      </x:c>
      <x:c r="E231" s="4" t="n">
        <x:v>64.63</x:v>
      </x:c>
      <x:c r="F231" s="4" t="n">
        <x:v>64</x:v>
      </x:c>
      <x:c r="G231" s="4" t="n">
        <x:v>47.59</x:v>
      </x:c>
      <x:c r="H231" s="4" t="n">
        <x:v>19.92</x:v>
      </x:c>
      <x:c r="I231" s="4" t="n">
        <x:v>25.04</x:v>
      </x:c>
      <x:c r="J231" s="4" t="n">
        <x:v>63.74</x:v>
      </x:c>
      <x:c r="K231" s="4" t="n">
        <x:v>28.11</x:v>
      </x:c>
      <x:c r="L231" s="4" t="n">
        <x:v>30.24</x:v>
      </x:c>
      <x:c r="M231" s="4" t="n">
        <x:v>37.49</x:v>
      </x:c>
      <x:c r="N231" s="4" t="n">
        <x:v>47</x:v>
      </x:c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 t="str">
        <x:v>印花税单价</x:v>
      </x:c>
      <x:c r="C232" s="4" t="n">
        <x:v>24.7</x:v>
      </x:c>
      <x:c r="D232" s="4" t="n">
        <x:v>40.82</x:v>
      </x:c>
      <x:c r="E232" s="4" t="n">
        <x:v>67.16</x:v>
      </x:c>
      <x:c r="F232" s="4" t="n">
        <x:v>20.66</x:v>
      </x:c>
      <x:c r="G232" s="4" t="n">
        <x:v>32.33</x:v>
      </x:c>
      <x:c r="H232" s="4" t="n">
        <x:v>30.65</x:v>
      </x:c>
      <x:c r="I232" s="4" t="n">
        <x:v>30.25</x:v>
      </x:c>
      <x:c r="J232" s="4" t="n">
        <x:v>41.59</x:v>
      </x:c>
      <x:c r="K232" s="4" t="n">
        <x:v>60.15</x:v>
      </x:c>
      <x:c r="L232" s="4" t="n">
        <x:v>52.95</x:v>
      </x:c>
      <x:c r="M232" s="4" t="n">
        <x:v>50.8</x:v>
      </x:c>
      <x:c r="N232" s="4" t="n">
        <x:v>36.4</x:v>
      </x:c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 t="str">
        <x:v>其他单价</x:v>
      </x:c>
      <x:c r="C233" s="4" t="n">
        <x:v>42.98</x:v>
      </x:c>
      <x:c r="D233" s="4" t="n">
        <x:v>50.01</x:v>
      </x:c>
      <x:c r="E233" s="4" t="n">
        <x:v>25.14</x:v>
      </x:c>
      <x:c r="F233" s="4" t="n">
        <x:v>54.62</x:v>
      </x:c>
      <x:c r="G233" s="4" t="n">
        <x:v>48.37</x:v>
      </x:c>
      <x:c r="H233" s="4" t="n">
        <x:v>51.56</x:v>
      </x:c>
      <x:c r="I233" s="4" t="n">
        <x:v>34.69</x:v>
      </x:c>
      <x:c r="J233" s="4" t="n">
        <x:v>38.1</x:v>
      </x:c>
      <x:c r="K233" s="4" t="n">
        <x:v>23.42</x:v>
      </x:c>
      <x:c r="L233" s="4" t="n">
        <x:v>64.66</x:v>
      </x:c>
      <x:c r="M233" s="4" t="n">
        <x:v>27.82</x:v>
      </x:c>
      <x:c r="N233" s="4" t="n">
        <x:v>25.82</x:v>
      </x:c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 t="str">
        <x:v>工资单价</x:v>
      </x:c>
      <x:c r="C264" s="4" t="n">
        <x:v>60.62</x:v>
      </x:c>
      <x:c r="D264" s="4" t="n">
        <x:v>18.88</x:v>
      </x:c>
      <x:c r="E264" s="4" t="n">
        <x:v>25.76</x:v>
      </x:c>
      <x:c r="F264" s="4" t="n">
        <x:v>50.02</x:v>
      </x:c>
      <x:c r="G264" s="4" t="n">
        <x:v>24.56</x:v>
      </x:c>
      <x:c r="H264" s="4" t="n">
        <x:v>45.28</x:v>
      </x:c>
      <x:c r="I264" s="4" t="n">
        <x:v>39.12</x:v>
      </x:c>
      <x:c r="J264" s="4" t="n">
        <x:v>32.01</x:v>
      </x:c>
      <x:c r="K264" s="4" t="n">
        <x:v>47.37</x:v>
      </x:c>
      <x:c r="L264" s="4" t="n">
        <x:v>61.39</x:v>
      </x:c>
      <x:c r="M264" s="4" t="n">
        <x:v>32.24</x:v>
      </x:c>
      <x:c r="N264" s="4" t="n">
        <x:v>18.72</x:v>
      </x:c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 t="str">
        <x:v>十三薪单价</x:v>
      </x:c>
      <x:c r="C265" s="4" t="n">
        <x:v>50.78</x:v>
      </x:c>
      <x:c r="D265" s="4" t="n">
        <x:v>26.34</x:v>
      </x:c>
      <x:c r="E265" s="4" t="n">
        <x:v>34.19</x:v>
      </x:c>
      <x:c r="F265" s="4" t="n">
        <x:v>64.59</x:v>
      </x:c>
      <x:c r="G265" s="4" t="n">
        <x:v>44.89</x:v>
      </x:c>
      <x:c r="H265" s="4" t="n">
        <x:v>61.26</x:v>
      </x:c>
      <x:c r="I265" s="4" t="n">
        <x:v>40.37</x:v>
      </x:c>
      <x:c r="J265" s="4" t="n">
        <x:v>36.03</x:v>
      </x:c>
      <x:c r="K265" s="4" t="n">
        <x:v>37.21</x:v>
      </x:c>
      <x:c r="L265" s="4" t="n">
        <x:v>41.45</x:v>
      </x:c>
      <x:c r="M265" s="4" t="n">
        <x:v>67.68</x:v>
      </x:c>
      <x:c r="N265" s="4" t="n">
        <x:v>56.99</x:v>
      </x:c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 t="str">
        <x:v>离职补偿金单价</x:v>
      </x:c>
      <x:c r="C266" s="4" t="n">
        <x:v>32.95</x:v>
      </x:c>
      <x:c r="D266" s="4" t="n">
        <x:v>47.63</x:v>
      </x:c>
      <x:c r="E266" s="4" t="n">
        <x:v>46.75</x:v>
      </x:c>
      <x:c r="F266" s="4" t="n">
        <x:v>22.66</x:v>
      </x:c>
      <x:c r="G266" s="4" t="n">
        <x:v>23.51</x:v>
      </x:c>
      <x:c r="H266" s="4" t="n">
        <x:v>53.46</x:v>
      </x:c>
      <x:c r="I266" s="4" t="n">
        <x:v>62.73</x:v>
      </x:c>
      <x:c r="J266" s="4" t="n">
        <x:v>23.93</x:v>
      </x:c>
      <x:c r="K266" s="4" t="n">
        <x:v>55.6</x:v>
      </x:c>
      <x:c r="L266" s="4" t="n">
        <x:v>34.26</x:v>
      </x:c>
      <x:c r="M266" s="4" t="n">
        <x:v>23.1</x:v>
      </x:c>
      <x:c r="N266" s="4" t="n">
        <x:v>40.69</x:v>
      </x:c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 t="str">
        <x:v>五险一金单价</x:v>
      </x:c>
      <x:c r="C267" s="4" t="n">
        <x:v>20.35</x:v>
      </x:c>
      <x:c r="D267" s="4" t="n">
        <x:v>26.62</x:v>
      </x:c>
      <x:c r="E267" s="4" t="n">
        <x:v>43.18</x:v>
      </x:c>
      <x:c r="F267" s="4" t="n">
        <x:v>64.83</x:v>
      </x:c>
      <x:c r="G267" s="4" t="n">
        <x:v>57.31</x:v>
      </x:c>
      <x:c r="H267" s="4" t="n">
        <x:v>65.78</x:v>
      </x:c>
      <x:c r="I267" s="4" t="n">
        <x:v>20.63</x:v>
      </x:c>
      <x:c r="J267" s="4" t="n">
        <x:v>37.48</x:v>
      </x:c>
      <x:c r="K267" s="4" t="n">
        <x:v>19.58</x:v>
      </x:c>
      <x:c r="L267" s="4" t="n">
        <x:v>46.92</x:v>
      </x:c>
      <x:c r="M267" s="4" t="n">
        <x:v>47.48</x:v>
      </x:c>
      <x:c r="N267" s="4" t="n">
        <x:v>23</x:v>
      </x:c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 t="str">
        <x:v>福利费单价</x:v>
      </x:c>
      <x:c r="C268" s="4" t="n">
        <x:v>43.06</x:v>
      </x:c>
      <x:c r="D268" s="4" t="n">
        <x:v>20.51</x:v>
      </x:c>
      <x:c r="E268" s="4" t="n">
        <x:v>53.77</x:v>
      </x:c>
      <x:c r="F268" s="4" t="n">
        <x:v>58.43</x:v>
      </x:c>
      <x:c r="G268" s="4" t="n">
        <x:v>17.8</x:v>
      </x:c>
      <x:c r="H268" s="4" t="n">
        <x:v>37.81</x:v>
      </x:c>
      <x:c r="I268" s="4" t="n">
        <x:v>22.72</x:v>
      </x:c>
      <x:c r="J268" s="4" t="n">
        <x:v>48.84</x:v>
      </x:c>
      <x:c r="K268" s="4" t="n">
        <x:v>63.79</x:v>
      </x:c>
      <x:c r="L268" s="4" t="n">
        <x:v>17.88</x:v>
      </x:c>
      <x:c r="M268" s="4" t="n">
        <x:v>42.44</x:v>
      </x:c>
      <x:c r="N268" s="4" t="n">
        <x:v>20.19</x:v>
      </x:c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 t="str">
        <x:v>招聘费单价</x:v>
      </x:c>
      <x:c r="C269" s="4" t="n">
        <x:v>57.18</x:v>
      </x:c>
      <x:c r="D269" s="4" t="n">
        <x:v>52.83</x:v>
      </x:c>
      <x:c r="E269" s="4" t="n">
        <x:v>57.97</x:v>
      </x:c>
      <x:c r="F269" s="4" t="n">
        <x:v>52.95</x:v>
      </x:c>
      <x:c r="G269" s="4" t="n">
        <x:v>40.14</x:v>
      </x:c>
      <x:c r="H269" s="4" t="n">
        <x:v>63.81</x:v>
      </x:c>
      <x:c r="I269" s="4" t="n">
        <x:v>28.79</x:v>
      </x:c>
      <x:c r="J269" s="4" t="n">
        <x:v>54.05</x:v>
      </x:c>
      <x:c r="K269" s="4" t="n">
        <x:v>67.76</x:v>
      </x:c>
      <x:c r="L269" s="4" t="n">
        <x:v>19.65</x:v>
      </x:c>
      <x:c r="M269" s="4" t="n">
        <x:v>26.85</x:v>
      </x:c>
      <x:c r="N269" s="4" t="n">
        <x:v>55.59</x:v>
      </x:c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 t="str">
        <x:v>培训费单价</x:v>
      </x:c>
      <x:c r="C270" s="4" t="n">
        <x:v>45.77</x:v>
      </x:c>
      <x:c r="D270" s="4" t="n">
        <x:v>44.9</x:v>
      </x:c>
      <x:c r="E270" s="4" t="n">
        <x:v>31.64</x:v>
      </x:c>
      <x:c r="F270" s="4" t="n">
        <x:v>55.46</x:v>
      </x:c>
      <x:c r="G270" s="4" t="n">
        <x:v>59.57</x:v>
      </x:c>
      <x:c r="H270" s="4" t="n">
        <x:v>64.77</x:v>
      </x:c>
      <x:c r="I270" s="4" t="n">
        <x:v>55.4</x:v>
      </x:c>
      <x:c r="J270" s="4" t="n">
        <x:v>58.26</x:v>
      </x:c>
      <x:c r="K270" s="4" t="n">
        <x:v>22.77</x:v>
      </x:c>
      <x:c r="L270" s="4" t="n">
        <x:v>55.91</x:v>
      </x:c>
      <x:c r="M270" s="4" t="n">
        <x:v>17.93</x:v>
      </x:c>
      <x:c r="N270" s="4" t="n">
        <x:v>62.77</x:v>
      </x:c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 t="str">
        <x:v>房租单价</x:v>
      </x:c>
      <x:c r="C271" s="4" t="n">
        <x:v>36.01</x:v>
      </x:c>
      <x:c r="D271" s="4" t="n">
        <x:v>22.2</x:v>
      </x:c>
      <x:c r="E271" s="4" t="n">
        <x:v>19.97</x:v>
      </x:c>
      <x:c r="F271" s="4" t="n">
        <x:v>62.24</x:v>
      </x:c>
      <x:c r="G271" s="4" t="n">
        <x:v>22.26</x:v>
      </x:c>
      <x:c r="H271" s="4" t="n">
        <x:v>40.13</x:v>
      </x:c>
      <x:c r="I271" s="4" t="n">
        <x:v>41.16</x:v>
      </x:c>
      <x:c r="J271" s="4" t="n">
        <x:v>42.76</x:v>
      </x:c>
      <x:c r="K271" s="4" t="n">
        <x:v>19.51</x:v>
      </x:c>
      <x:c r="L271" s="4" t="n">
        <x:v>47.95</x:v>
      </x:c>
      <x:c r="M271" s="4" t="n">
        <x:v>31.1</x:v>
      </x:c>
      <x:c r="N271" s="4" t="n">
        <x:v>28.9</x:v>
      </x:c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 t="str">
        <x:v>物业管理费单价</x:v>
      </x:c>
      <x:c r="C272" s="4" t="n">
        <x:v>19.8</x:v>
      </x:c>
      <x:c r="D272" s="4" t="n">
        <x:v>51.94</x:v>
      </x:c>
      <x:c r="E272" s="4" t="n">
        <x:v>25.52</x:v>
      </x:c>
      <x:c r="F272" s="4" t="n">
        <x:v>18.99</x:v>
      </x:c>
      <x:c r="G272" s="4" t="n">
        <x:v>63.05</x:v>
      </x:c>
      <x:c r="H272" s="4" t="n">
        <x:v>20.58</x:v>
      </x:c>
      <x:c r="I272" s="4" t="n">
        <x:v>54.15</x:v>
      </x:c>
      <x:c r="J272" s="4" t="n">
        <x:v>26.37</x:v>
      </x:c>
      <x:c r="K272" s="4" t="n">
        <x:v>58.45</x:v>
      </x:c>
      <x:c r="L272" s="4" t="n">
        <x:v>20.18</x:v>
      </x:c>
      <x:c r="M272" s="4" t="n">
        <x:v>47.46</x:v>
      </x:c>
      <x:c r="N272" s="4" t="n">
        <x:v>29.83</x:v>
      </x:c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 t="str">
        <x:v>汽车费用单价</x:v>
      </x:c>
      <x:c r="C273" s="4" t="n">
        <x:v>54.99</x:v>
      </x:c>
      <x:c r="D273" s="4" t="n">
        <x:v>50.14</x:v>
      </x:c>
      <x:c r="E273" s="4" t="n">
        <x:v>32.25</x:v>
      </x:c>
      <x:c r="F273" s="4" t="n">
        <x:v>28.37</x:v>
      </x:c>
      <x:c r="G273" s="4" t="n">
        <x:v>64.86</x:v>
      </x:c>
      <x:c r="H273" s="4" t="n">
        <x:v>20.54</x:v>
      </x:c>
      <x:c r="I273" s="4" t="n">
        <x:v>48.09</x:v>
      </x:c>
      <x:c r="J273" s="4" t="n">
        <x:v>33.05</x:v>
      </x:c>
      <x:c r="K273" s="4" t="n">
        <x:v>54.72</x:v>
      </x:c>
      <x:c r="L273" s="4" t="n">
        <x:v>49.17</x:v>
      </x:c>
      <x:c r="M273" s="4" t="n">
        <x:v>61.52</x:v>
      </x:c>
      <x:c r="N273" s="4" t="n">
        <x:v>47.91</x:v>
      </x:c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 t="str">
        <x:v>办公费单价</x:v>
      </x:c>
      <x:c r="C274" s="4" t="n">
        <x:v>39.18</x:v>
      </x:c>
      <x:c r="D274" s="4" t="n">
        <x:v>17.76</x:v>
      </x:c>
      <x:c r="E274" s="4" t="n">
        <x:v>57.64</x:v>
      </x:c>
      <x:c r="F274" s="4" t="n">
        <x:v>19.82</x:v>
      </x:c>
      <x:c r="G274" s="4" t="n">
        <x:v>26.18</x:v>
      </x:c>
      <x:c r="H274" s="4" t="n">
        <x:v>63.27</x:v>
      </x:c>
      <x:c r="I274" s="4" t="n">
        <x:v>24.45</x:v>
      </x:c>
      <x:c r="J274" s="4" t="n">
        <x:v>26.06</x:v>
      </x:c>
      <x:c r="K274" s="4" t="n">
        <x:v>55.55</x:v>
      </x:c>
      <x:c r="L274" s="4" t="n">
        <x:v>33.86</x:v>
      </x:c>
      <x:c r="M274" s="4" t="n">
        <x:v>41.63</x:v>
      </x:c>
      <x:c r="N274" s="4" t="n">
        <x:v>33.8</x:v>
      </x:c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 t="str">
        <x:v>办公用品单价</x:v>
      </x:c>
      <x:c r="C275" s="4" t="n">
        <x:v>47.64</x:v>
      </x:c>
      <x:c r="D275" s="4" t="n">
        <x:v>44.48</x:v>
      </x:c>
      <x:c r="E275" s="4" t="n">
        <x:v>59.22</x:v>
      </x:c>
      <x:c r="F275" s="4" t="n">
        <x:v>22.29</x:v>
      </x:c>
      <x:c r="G275" s="4" t="n">
        <x:v>31.24</x:v>
      </x:c>
      <x:c r="H275" s="4" t="n">
        <x:v>52.77</x:v>
      </x:c>
      <x:c r="I275" s="4" t="n">
        <x:v>49.49</x:v>
      </x:c>
      <x:c r="J275" s="4" t="n">
        <x:v>32.71</x:v>
      </x:c>
      <x:c r="K275" s="4" t="n">
        <x:v>25.72</x:v>
      </x:c>
      <x:c r="L275" s="4" t="n">
        <x:v>40.48</x:v>
      </x:c>
      <x:c r="M275" s="4" t="n">
        <x:v>56.53</x:v>
      </x:c>
      <x:c r="N275" s="4" t="n">
        <x:v>22.02</x:v>
      </x:c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 t="str">
        <x:v>水电煤单价</x:v>
      </x:c>
      <x:c r="C276" s="4" t="n">
        <x:v>32.54</x:v>
      </x:c>
      <x:c r="D276" s="4" t="n">
        <x:v>22.11</x:v>
      </x:c>
      <x:c r="E276" s="4" t="n">
        <x:v>52.2</x:v>
      </x:c>
      <x:c r="F276" s="4" t="n">
        <x:v>62.95</x:v>
      </x:c>
      <x:c r="G276" s="4" t="n">
        <x:v>22.41</x:v>
      </x:c>
      <x:c r="H276" s="4" t="n">
        <x:v>40.36</x:v>
      </x:c>
      <x:c r="I276" s="4" t="n">
        <x:v>24.14</x:v>
      </x:c>
      <x:c r="J276" s="4" t="n">
        <x:v>54.64</x:v>
      </x:c>
      <x:c r="K276" s="4" t="n">
        <x:v>18.71</x:v>
      </x:c>
      <x:c r="L276" s="4" t="n">
        <x:v>41.7</x:v>
      </x:c>
      <x:c r="M276" s="4" t="n">
        <x:v>36.15</x:v>
      </x:c>
      <x:c r="N276" s="4" t="n">
        <x:v>38.28</x:v>
      </x:c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 t="str">
        <x:v>咨询服务费单价</x:v>
      </x:c>
      <x:c r="C277" s="4" t="n">
        <x:v>19.6</x:v>
      </x:c>
      <x:c r="D277" s="4" t="n">
        <x:v>23.36</x:v>
      </x:c>
      <x:c r="E277" s="4" t="n">
        <x:v>28.47</x:v>
      </x:c>
      <x:c r="F277" s="4" t="n">
        <x:v>24.06</x:v>
      </x:c>
      <x:c r="G277" s="4" t="n">
        <x:v>49.75</x:v>
      </x:c>
      <x:c r="H277" s="4" t="n">
        <x:v>53.94</x:v>
      </x:c>
      <x:c r="I277" s="4" t="n">
        <x:v>47.48</x:v>
      </x:c>
      <x:c r="J277" s="4" t="n">
        <x:v>33.28</x:v>
      </x:c>
      <x:c r="K277" s="4" t="n">
        <x:v>37.94</x:v>
      </x:c>
      <x:c r="L277" s="4" t="n">
        <x:v>46.67</x:v>
      </x:c>
      <x:c r="M277" s="4" t="n">
        <x:v>56.93</x:v>
      </x:c>
      <x:c r="N277" s="4" t="n">
        <x:v>43.39</x:v>
      </x:c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 t="str">
        <x:v>电话费单价</x:v>
      </x:c>
      <x:c r="C278" s="4" t="n">
        <x:v>66.28</x:v>
      </x:c>
      <x:c r="D278" s="4" t="n">
        <x:v>54.95</x:v>
      </x:c>
      <x:c r="E278" s="4" t="n">
        <x:v>58.79</x:v>
      </x:c>
      <x:c r="F278" s="4" t="n">
        <x:v>61.41</x:v>
      </x:c>
      <x:c r="G278" s="4" t="n">
        <x:v>37.03</x:v>
      </x:c>
      <x:c r="H278" s="4" t="n">
        <x:v>34.16</x:v>
      </x:c>
      <x:c r="I278" s="4" t="n">
        <x:v>52.03</x:v>
      </x:c>
      <x:c r="J278" s="4" t="n">
        <x:v>46.17</x:v>
      </x:c>
      <x:c r="K278" s="4" t="n">
        <x:v>33.54</x:v>
      </x:c>
      <x:c r="L278" s="4" t="n">
        <x:v>64.25</x:v>
      </x:c>
      <x:c r="M278" s="4" t="n">
        <x:v>35.85</x:v>
      </x:c>
      <x:c r="N278" s="4" t="n">
        <x:v>23.22</x:v>
      </x:c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 t="str">
        <x:v>快递费单价</x:v>
      </x:c>
      <x:c r="C279" s="4" t="n">
        <x:v>21.78</x:v>
      </x:c>
      <x:c r="D279" s="4" t="n">
        <x:v>56.34</x:v>
      </x:c>
      <x:c r="E279" s="4" t="n">
        <x:v>43.27</x:v>
      </x:c>
      <x:c r="F279" s="4" t="n">
        <x:v>35.14</x:v>
      </x:c>
      <x:c r="G279" s="4" t="n">
        <x:v>35.36</x:v>
      </x:c>
      <x:c r="H279" s="4" t="n">
        <x:v>25.2</x:v>
      </x:c>
      <x:c r="I279" s="4" t="n">
        <x:v>50.51</x:v>
      </x:c>
      <x:c r="J279" s="4" t="n">
        <x:v>31.64</x:v>
      </x:c>
      <x:c r="K279" s="4" t="n">
        <x:v>36.32</x:v>
      </x:c>
      <x:c r="L279" s="4" t="n">
        <x:v>38.89</x:v>
      </x:c>
      <x:c r="M279" s="4" t="n">
        <x:v>50.68</x:v>
      </x:c>
      <x:c r="N279" s="4" t="n">
        <x:v>36.3</x:v>
      </x:c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 t="str">
        <x:v>折旧及摊销单价</x:v>
      </x:c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 t="str">
        <x:v>机票火车票单价</x:v>
      </x:c>
      <x:c r="C281" s="4" t="n">
        <x:v>18.91</x:v>
      </x:c>
      <x:c r="D281" s="4" t="n">
        <x:v>26.89</x:v>
      </x:c>
      <x:c r="E281" s="4" t="n">
        <x:v>21.24</x:v>
      </x:c>
      <x:c r="F281" s="4" t="n">
        <x:v>63.99</x:v>
      </x:c>
      <x:c r="G281" s="4" t="n">
        <x:v>66.92</x:v>
      </x:c>
      <x:c r="H281" s="4" t="n">
        <x:v>33.28</x:v>
      </x:c>
      <x:c r="I281" s="4" t="n">
        <x:v>40.39</x:v>
      </x:c>
      <x:c r="J281" s="4" t="n">
        <x:v>26.6</x:v>
      </x:c>
      <x:c r="K281" s="4" t="n">
        <x:v>52.29</x:v>
      </x:c>
      <x:c r="L281" s="4" t="n">
        <x:v>65.91</x:v>
      </x:c>
      <x:c r="M281" s="4" t="n">
        <x:v>22.96</x:v>
      </x:c>
      <x:c r="N281" s="4" t="n">
        <x:v>64.56</x:v>
      </x:c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 t="str">
        <x:v>住宿费单价</x:v>
      </x:c>
      <x:c r="C282" s="4" t="n">
        <x:v>31.27</x:v>
      </x:c>
      <x:c r="D282" s="4" t="n">
        <x:v>51.51</x:v>
      </x:c>
      <x:c r="E282" s="4" t="n">
        <x:v>52.53</x:v>
      </x:c>
      <x:c r="F282" s="4" t="n">
        <x:v>24.94</x:v>
      </x:c>
      <x:c r="G282" s="4" t="n">
        <x:v>49.65</x:v>
      </x:c>
      <x:c r="H282" s="4" t="n">
        <x:v>29.15</x:v>
      </x:c>
      <x:c r="I282" s="4" t="n">
        <x:v>39.54</x:v>
      </x:c>
      <x:c r="J282" s="4" t="n">
        <x:v>62.26</x:v>
      </x:c>
      <x:c r="K282" s="4" t="n">
        <x:v>36.92</x:v>
      </x:c>
      <x:c r="L282" s="4" t="n">
        <x:v>46.04</x:v>
      </x:c>
      <x:c r="M282" s="4" t="n">
        <x:v>38.78</x:v>
      </x:c>
      <x:c r="N282" s="4" t="n">
        <x:v>58.51</x:v>
      </x:c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 t="str">
        <x:v>交通费单价</x:v>
      </x:c>
      <x:c r="C283" s="4" t="n">
        <x:v>25.66</x:v>
      </x:c>
      <x:c r="D283" s="4" t="n">
        <x:v>48.81</x:v>
      </x:c>
      <x:c r="E283" s="4" t="n">
        <x:v>25.57</x:v>
      </x:c>
      <x:c r="F283" s="4" t="n">
        <x:v>45.28</x:v>
      </x:c>
      <x:c r="G283" s="4" t="n">
        <x:v>24.43</x:v>
      </x:c>
      <x:c r="H283" s="4" t="n">
        <x:v>59.66</x:v>
      </x:c>
      <x:c r="I283" s="4" t="n">
        <x:v>20.9</x:v>
      </x:c>
      <x:c r="J283" s="4" t="n">
        <x:v>20.38</x:v>
      </x:c>
      <x:c r="K283" s="4" t="n">
        <x:v>50.52</x:v>
      </x:c>
      <x:c r="L283" s="4" t="n">
        <x:v>64.52</x:v>
      </x:c>
      <x:c r="M283" s="4" t="n">
        <x:v>52.41</x:v>
      </x:c>
      <x:c r="N283" s="4" t="n">
        <x:v>41.93</x:v>
      </x:c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 t="str">
        <x:v>差旅补贴单价</x:v>
      </x:c>
      <x:c r="C284" s="4" t="n">
        <x:v>17.43</x:v>
      </x:c>
      <x:c r="D284" s="4" t="n">
        <x:v>38.04</x:v>
      </x:c>
      <x:c r="E284" s="4" t="n">
        <x:v>47.55</x:v>
      </x:c>
      <x:c r="F284" s="4" t="n">
        <x:v>50.81</x:v>
      </x:c>
      <x:c r="G284" s="4" t="n">
        <x:v>24.65</x:v>
      </x:c>
      <x:c r="H284" s="4" t="n">
        <x:v>42.12</x:v>
      </x:c>
      <x:c r="I284" s="4" t="n">
        <x:v>49.84</x:v>
      </x:c>
      <x:c r="J284" s="4" t="n">
        <x:v>32.76</x:v>
      </x:c>
      <x:c r="K284" s="4" t="n">
        <x:v>26.13</x:v>
      </x:c>
      <x:c r="L284" s="4" t="n">
        <x:v>40.97</x:v>
      </x:c>
      <x:c r="M284" s="4" t="n">
        <x:v>26.32</x:v>
      </x:c>
      <x:c r="N284" s="4" t="n">
        <x:v>33.6</x:v>
      </x:c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 t="str">
        <x:v>业务招待费单价</x:v>
      </x:c>
      <x:c r="C285" s="4" t="n">
        <x:v>17.39</x:v>
      </x:c>
      <x:c r="D285" s="4" t="n">
        <x:v>59.64</x:v>
      </x:c>
      <x:c r="E285" s="4" t="n">
        <x:v>31.12</x:v>
      </x:c>
      <x:c r="F285" s="4" t="n">
        <x:v>36.37</x:v>
      </x:c>
      <x:c r="G285" s="4" t="n">
        <x:v>25.05</x:v>
      </x:c>
      <x:c r="H285" s="4" t="n">
        <x:v>35.76</x:v>
      </x:c>
      <x:c r="I285" s="4" t="n">
        <x:v>42.14</x:v>
      </x:c>
      <x:c r="J285" s="4" t="n">
        <x:v>33.83</x:v>
      </x:c>
      <x:c r="K285" s="4" t="n">
        <x:v>30.26</x:v>
      </x:c>
      <x:c r="L285" s="4" t="n">
        <x:v>64.62</x:v>
      </x:c>
      <x:c r="M285" s="4" t="n">
        <x:v>22.3</x:v>
      </x:c>
      <x:c r="N285" s="4" t="n">
        <x:v>36.34</x:v>
      </x:c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 t="str">
        <x:v>市内交通费单价</x:v>
      </x:c>
      <x:c r="C286" s="4" t="n">
        <x:v>58.94</x:v>
      </x:c>
      <x:c r="D286" s="4" t="n">
        <x:v>24.99</x:v>
      </x:c>
      <x:c r="E286" s="4" t="n">
        <x:v>44.81</x:v>
      </x:c>
      <x:c r="F286" s="4" t="n">
        <x:v>46.34</x:v>
      </x:c>
      <x:c r="G286" s="4" t="n">
        <x:v>39.33</x:v>
      </x:c>
      <x:c r="H286" s="4" t="n">
        <x:v>18.99</x:v>
      </x:c>
      <x:c r="I286" s="4" t="n">
        <x:v>60.89</x:v>
      </x:c>
      <x:c r="J286" s="4" t="n">
        <x:v>50.39</x:v>
      </x:c>
      <x:c r="K286" s="4" t="n">
        <x:v>55.85</x:v>
      </x:c>
      <x:c r="L286" s="4" t="n">
        <x:v>34.54</x:v>
      </x:c>
      <x:c r="M286" s="4" t="n">
        <x:v>39.56</x:v>
      </x:c>
      <x:c r="N286" s="4" t="n">
        <x:v>42.64</x:v>
      </x:c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 t="str">
        <x:v>调研费用单价</x:v>
      </x:c>
      <x:c r="C287" s="4" t="n">
        <x:v>64.6</x:v>
      </x:c>
      <x:c r="D287" s="4" t="n">
        <x:v>48.41</x:v>
      </x:c>
      <x:c r="E287" s="4" t="n">
        <x:v>54.15</x:v>
      </x:c>
      <x:c r="F287" s="4" t="n">
        <x:v>61.58</x:v>
      </x:c>
      <x:c r="G287" s="4" t="n">
        <x:v>29.72</x:v>
      </x:c>
      <x:c r="H287" s="4" t="n">
        <x:v>33.91</x:v>
      </x:c>
      <x:c r="I287" s="4" t="n">
        <x:v>28.16</x:v>
      </x:c>
      <x:c r="J287" s="4" t="n">
        <x:v>42.65</x:v>
      </x:c>
      <x:c r="K287" s="4" t="n">
        <x:v>54.32</x:v>
      </x:c>
      <x:c r="L287" s="4" t="n">
        <x:v>19.83</x:v>
      </x:c>
      <x:c r="M287" s="4" t="n">
        <x:v>22.53</x:v>
      </x:c>
      <x:c r="N287" s="4" t="n">
        <x:v>67.21</x:v>
      </x:c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 t="str">
        <x:v>手续费单价</x:v>
      </x:c>
      <x:c r="C288" s="4" t="n">
        <x:v>43.06</x:v>
      </x:c>
      <x:c r="D288" s="4" t="n">
        <x:v>47.02</x:v>
      </x:c>
      <x:c r="E288" s="4" t="n">
        <x:v>64.16</x:v>
      </x:c>
      <x:c r="F288" s="4" t="n">
        <x:v>39.11</x:v>
      </x:c>
      <x:c r="G288" s="4" t="n">
        <x:v>48.68</x:v>
      </x:c>
      <x:c r="H288" s="4" t="n">
        <x:v>32.79</x:v>
      </x:c>
      <x:c r="I288" s="4" t="n">
        <x:v>60.85</x:v>
      </x:c>
      <x:c r="J288" s="4" t="n">
        <x:v>34.73</x:v>
      </x:c>
      <x:c r="K288" s="4" t="n">
        <x:v>27.07</x:v>
      </x:c>
      <x:c r="L288" s="4" t="n">
        <x:v>23.01</x:v>
      </x:c>
      <x:c r="M288" s="4" t="n">
        <x:v>37.3</x:v>
      </x:c>
      <x:c r="N288" s="4" t="n">
        <x:v>59.85</x:v>
      </x:c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 t="str">
        <x:v>利息收入单价</x:v>
      </x:c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 t="str">
        <x:v>利息支出单价</x:v>
      </x:c>
      <x:c r="C290" s="4" t="n">
        <x:v>19.04</x:v>
      </x:c>
      <x:c r="D290" s="4" t="n">
        <x:v>20.83</x:v>
      </x:c>
      <x:c r="E290" s="4" t="n">
        <x:v>49.63</x:v>
      </x:c>
      <x:c r="F290" s="4" t="n">
        <x:v>54.72</x:v>
      </x:c>
      <x:c r="G290" s="4" t="n">
        <x:v>59.86</x:v>
      </x:c>
      <x:c r="H290" s="4" t="n">
        <x:v>22.35</x:v>
      </x:c>
      <x:c r="I290" s="4" t="n">
        <x:v>60.37</x:v>
      </x:c>
      <x:c r="J290" s="4" t="n">
        <x:v>18.7</x:v>
      </x:c>
      <x:c r="K290" s="4" t="n">
        <x:v>66.35</x:v>
      </x:c>
      <x:c r="L290" s="4" t="n">
        <x:v>47.23</x:v>
      </x:c>
      <x:c r="M290" s="4" t="n">
        <x:v>34.81</x:v>
      </x:c>
      <x:c r="N290" s="4" t="n">
        <x:v>20.43</x:v>
      </x:c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 t="str">
        <x:v>车船税单价</x:v>
      </x:c>
      <x:c r="C291" s="4" t="n">
        <x:v>67.4</x:v>
      </x:c>
      <x:c r="D291" s="4" t="n">
        <x:v>22.59</x:v>
      </x:c>
      <x:c r="E291" s="4" t="n">
        <x:v>25.67</x:v>
      </x:c>
      <x:c r="F291" s="4" t="n">
        <x:v>54.16</x:v>
      </x:c>
      <x:c r="G291" s="4" t="n">
        <x:v>26.58</x:v>
      </x:c>
      <x:c r="H291" s="4" t="n">
        <x:v>63.82</x:v>
      </x:c>
      <x:c r="I291" s="4" t="n">
        <x:v>55.16</x:v>
      </x:c>
      <x:c r="J291" s="4" t="n">
        <x:v>22.3</x:v>
      </x:c>
      <x:c r="K291" s="4" t="n">
        <x:v>39.04</x:v>
      </x:c>
      <x:c r="L291" s="4" t="n">
        <x:v>36.35</x:v>
      </x:c>
      <x:c r="M291" s="4" t="n">
        <x:v>23.62</x:v>
      </x:c>
      <x:c r="N291" s="4" t="n">
        <x:v>26.28</x:v>
      </x:c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 t="str">
        <x:v>印花税单价</x:v>
      </x:c>
      <x:c r="C292" s="4" t="n">
        <x:v>21.42</x:v>
      </x:c>
      <x:c r="D292" s="4" t="n">
        <x:v>45.21</x:v>
      </x:c>
      <x:c r="E292" s="4" t="n">
        <x:v>43.92</x:v>
      </x:c>
      <x:c r="F292" s="4" t="n">
        <x:v>56.25</x:v>
      </x:c>
      <x:c r="G292" s="4" t="n">
        <x:v>56.9</x:v>
      </x:c>
      <x:c r="H292" s="4" t="n">
        <x:v>54.15</x:v>
      </x:c>
      <x:c r="I292" s="4" t="n">
        <x:v>18.03</x:v>
      </x:c>
      <x:c r="J292" s="4" t="n">
        <x:v>47.57</x:v>
      </x:c>
      <x:c r="K292" s="4" t="n">
        <x:v>37.05</x:v>
      </x:c>
      <x:c r="L292" s="4" t="n">
        <x:v>65.48</x:v>
      </x:c>
      <x:c r="M292" s="4" t="n">
        <x:v>35.07</x:v>
      </x:c>
      <x:c r="N292" s="4" t="n">
        <x:v>59.6</x:v>
      </x:c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 t="str">
        <x:v>其他单价</x:v>
      </x:c>
      <x:c r="C293" s="4" t="n">
        <x:v>37.41</x:v>
      </x:c>
      <x:c r="D293" s="4" t="n">
        <x:v>39.96</x:v>
      </x:c>
      <x:c r="E293" s="4" t="n">
        <x:v>49.36</x:v>
      </x:c>
      <x:c r="F293" s="4" t="n">
        <x:v>18.95</x:v>
      </x:c>
      <x:c r="G293" s="4" t="n">
        <x:v>41.42</x:v>
      </x:c>
      <x:c r="H293" s="4" t="n">
        <x:v>24.22</x:v>
      </x:c>
      <x:c r="I293" s="4" t="n">
        <x:v>34.14</x:v>
      </x:c>
      <x:c r="J293" s="4" t="n">
        <x:v>23.41</x:v>
      </x:c>
      <x:c r="K293" s="4" t="n">
        <x:v>36.54</x:v>
      </x:c>
      <x:c r="L293" s="4" t="n">
        <x:v>30.12</x:v>
      </x:c>
      <x:c r="M293" s="4" t="n">
        <x:v>21.76</x:v>
      </x:c>
      <x:c r="N293" s="4" t="n">
        <x:v>58.65</x:v>
      </x:c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 t="str">
        <x:v>工资数量</x:v>
      </x:c>
      <x:c r="C324" s="4" t="n">
        <x:v>2.87</x:v>
      </x:c>
      <x:c r="D324" s="4" t="n">
        <x:v>5.05</x:v>
      </x:c>
      <x:c r="E324" s="4" t="n">
        <x:v>6.82</x:v>
      </x:c>
      <x:c r="F324" s="4" t="n">
        <x:v>8.53</x:v>
      </x:c>
      <x:c r="G324" s="4" t="n">
        <x:v>2.51</x:v>
      </x:c>
      <x:c r="H324" s="4" t="n">
        <x:v>4.16</x:v>
      </x:c>
      <x:c r="I324" s="4" t="n">
        <x:v>8.75</x:v>
      </x:c>
      <x:c r="J324" s="4" t="n">
        <x:v>5.93</x:v>
      </x:c>
      <x:c r="K324" s="4" t="n">
        <x:v>5.11</x:v>
      </x:c>
      <x:c r="L324" s="4" t="n">
        <x:v>3.41</x:v>
      </x:c>
      <x:c r="M324" s="4" t="n">
        <x:v>7.38</x:v>
      </x:c>
      <x:c r="N324" s="4" t="n">
        <x:v>8.54</x:v>
      </x:c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 t="str">
        <x:v>十三薪数量</x:v>
      </x:c>
      <x:c r="C325" s="4" t="n">
        <x:v>4.89</x:v>
      </x:c>
      <x:c r="D325" s="4" t="n">
        <x:v>3.59</x:v>
      </x:c>
      <x:c r="E325" s="4" t="n">
        <x:v>6.98</x:v>
      </x:c>
      <x:c r="F325" s="4" t="n">
        <x:v>4.06</x:v>
      </x:c>
      <x:c r="G325" s="4" t="n">
        <x:v>8.7</x:v>
      </x:c>
      <x:c r="H325" s="4" t="n">
        <x:v>2.77</x:v>
      </x:c>
      <x:c r="I325" s="4" t="n">
        <x:v>8.46</x:v>
      </x:c>
      <x:c r="J325" s="4" t="n">
        <x:v>3.13</x:v>
      </x:c>
      <x:c r="K325" s="4" t="n">
        <x:v>7.7</x:v>
      </x:c>
      <x:c r="L325" s="4" t="n">
        <x:v>4.38</x:v>
      </x:c>
      <x:c r="M325" s="4" t="n">
        <x:v>3.5</x:v>
      </x:c>
      <x:c r="N325" s="4" t="n">
        <x:v>5.52</x:v>
      </x:c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 t="str">
        <x:v>离职补偿金数量</x:v>
      </x:c>
      <x:c r="C326" s="4" t="n">
        <x:v>4.09</x:v>
      </x:c>
      <x:c r="D326" s="4" t="n">
        <x:v>2.25</x:v>
      </x:c>
      <x:c r="E326" s="4" t="n">
        <x:v>2.35</x:v>
      </x:c>
      <x:c r="F326" s="4" t="n">
        <x:v>5.16</x:v>
      </x:c>
      <x:c r="G326" s="4" t="n">
        <x:v>8.68</x:v>
      </x:c>
      <x:c r="H326" s="4" t="n">
        <x:v>2.67</x:v>
      </x:c>
      <x:c r="I326" s="4" t="n">
        <x:v>4.1</x:v>
      </x:c>
      <x:c r="J326" s="4" t="n">
        <x:v>4.34</x:v>
      </x:c>
      <x:c r="K326" s="4" t="n">
        <x:v>3.49</x:v>
      </x:c>
      <x:c r="L326" s="4" t="n">
        <x:v>7.19</x:v>
      </x:c>
      <x:c r="M326" s="4" t="n">
        <x:v>3.78</x:v>
      </x:c>
      <x:c r="N326" s="4" t="n">
        <x:v>5.45</x:v>
      </x:c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 t="str">
        <x:v>五险一金数量</x:v>
      </x:c>
      <x:c r="C327" s="4" t="n">
        <x:v>6.73</x:v>
      </x:c>
      <x:c r="D327" s="4" t="n">
        <x:v>2.87</x:v>
      </x:c>
      <x:c r="E327" s="4" t="n">
        <x:v>7.66</x:v>
      </x:c>
      <x:c r="F327" s="4" t="n">
        <x:v>8.01</x:v>
      </x:c>
      <x:c r="G327" s="4" t="n">
        <x:v>8.64</x:v>
      </x:c>
      <x:c r="H327" s="4" t="n">
        <x:v>8.29</x:v>
      </x:c>
      <x:c r="I327" s="4" t="n">
        <x:v>5.14</x:v>
      </x:c>
      <x:c r="J327" s="4" t="n">
        <x:v>8.67</x:v>
      </x:c>
      <x:c r="K327" s="4" t="n">
        <x:v>5.15</x:v>
      </x:c>
      <x:c r="L327" s="4" t="n">
        <x:v>2.94</x:v>
      </x:c>
      <x:c r="M327" s="4" t="n">
        <x:v>7.53</x:v>
      </x:c>
      <x:c r="N327" s="4" t="n">
        <x:v>5.61</x:v>
      </x:c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 t="str">
        <x:v>福利费数量</x:v>
      </x:c>
      <x:c r="C328" s="4" t="n">
        <x:v>2.26</x:v>
      </x:c>
      <x:c r="D328" s="4" t="n">
        <x:v>3.67</x:v>
      </x:c>
      <x:c r="E328" s="4" t="n">
        <x:v>3.29</x:v>
      </x:c>
      <x:c r="F328" s="4" t="n">
        <x:v>5.35</x:v>
      </x:c>
      <x:c r="G328" s="4" t="n">
        <x:v>2.27</x:v>
      </x:c>
      <x:c r="H328" s="4" t="n">
        <x:v>7.71</x:v>
      </x:c>
      <x:c r="I328" s="4" t="n">
        <x:v>7.71</x:v>
      </x:c>
      <x:c r="J328" s="4" t="n">
        <x:v>8.45</x:v>
      </x:c>
      <x:c r="K328" s="4" t="n">
        <x:v>7.09</x:v>
      </x:c>
      <x:c r="L328" s="4" t="n">
        <x:v>4.14</x:v>
      </x:c>
      <x:c r="M328" s="4" t="n">
        <x:v>5.48</x:v>
      </x:c>
      <x:c r="N328" s="4" t="n">
        <x:v>7.2</x:v>
      </x:c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 t="str">
        <x:v>招聘费数量</x:v>
      </x:c>
      <x:c r="C329" s="4" t="n">
        <x:v>5.27</x:v>
      </x:c>
      <x:c r="D329" s="4" t="n">
        <x:v>6.1</x:v>
      </x:c>
      <x:c r="E329" s="4" t="n">
        <x:v>7.84</x:v>
      </x:c>
      <x:c r="F329" s="4" t="n">
        <x:v>2.32</x:v>
      </x:c>
      <x:c r="G329" s="4" t="n">
        <x:v>7.85</x:v>
      </x:c>
      <x:c r="H329" s="4" t="n">
        <x:v>7.36</x:v>
      </x:c>
      <x:c r="I329" s="4" t="n">
        <x:v>5.36</x:v>
      </x:c>
      <x:c r="J329" s="4" t="n">
        <x:v>3.44</x:v>
      </x:c>
      <x:c r="K329" s="4" t="n">
        <x:v>4.28</x:v>
      </x:c>
      <x:c r="L329" s="4" t="n">
        <x:v>6.08</x:v>
      </x:c>
      <x:c r="M329" s="4" t="n">
        <x:v>6.99</x:v>
      </x:c>
      <x:c r="N329" s="4" t="n">
        <x:v>2.29</x:v>
      </x:c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 t="str">
        <x:v>培训费数量</x:v>
      </x:c>
      <x:c r="C330" s="4" t="n">
        <x:v>7.72</x:v>
      </x:c>
      <x:c r="D330" s="4" t="n">
        <x:v>7.74</x:v>
      </x:c>
      <x:c r="E330" s="4" t="n">
        <x:v>7.16</x:v>
      </x:c>
      <x:c r="F330" s="4" t="n">
        <x:v>7.23</x:v>
      </x:c>
      <x:c r="G330" s="4" t="n">
        <x:v>7.09</x:v>
      </x:c>
      <x:c r="H330" s="4" t="n">
        <x:v>3.42</x:v>
      </x:c>
      <x:c r="I330" s="4" t="n">
        <x:v>7.45</x:v>
      </x:c>
      <x:c r="J330" s="4" t="n">
        <x:v>3.35</x:v>
      </x:c>
      <x:c r="K330" s="4" t="n">
        <x:v>5.78</x:v>
      </x:c>
      <x:c r="L330" s="4" t="n">
        <x:v>2.67</x:v>
      </x:c>
      <x:c r="M330" s="4" t="n">
        <x:v>3.4</x:v>
      </x:c>
      <x:c r="N330" s="4" t="n">
        <x:v>7.41</x:v>
      </x:c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 t="str">
        <x:v>房租数量</x:v>
      </x:c>
      <x:c r="C331" s="4" t="n">
        <x:v>4.84</x:v>
      </x:c>
      <x:c r="D331" s="4" t="n">
        <x:v>8.59</x:v>
      </x:c>
      <x:c r="E331" s="4" t="n">
        <x:v>3.84</x:v>
      </x:c>
      <x:c r="F331" s="4" t="n">
        <x:v>5.47</x:v>
      </x:c>
      <x:c r="G331" s="4" t="n">
        <x:v>4.81</x:v>
      </x:c>
      <x:c r="H331" s="4" t="n">
        <x:v>4.19</x:v>
      </x:c>
      <x:c r="I331" s="4" t="n">
        <x:v>8.78</x:v>
      </x:c>
      <x:c r="J331" s="4" t="n">
        <x:v>4.46</x:v>
      </x:c>
      <x:c r="K331" s="4" t="n">
        <x:v>4.88</x:v>
      </x:c>
      <x:c r="L331" s="4" t="n">
        <x:v>6.78</x:v>
      </x:c>
      <x:c r="M331" s="4" t="n">
        <x:v>4.12</x:v>
      </x:c>
      <x:c r="N331" s="4" t="n">
        <x:v>5.73</x:v>
      </x:c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 t="str">
        <x:v>物业管理费数量</x:v>
      </x:c>
      <x:c r="C332" s="4" t="n">
        <x:v>5.78</x:v>
      </x:c>
      <x:c r="D332" s="4" t="n">
        <x:v>5.05</x:v>
      </x:c>
      <x:c r="E332" s="4" t="n">
        <x:v>4.02</x:v>
      </x:c>
      <x:c r="F332" s="4" t="n">
        <x:v>5.47</x:v>
      </x:c>
      <x:c r="G332" s="4" t="n">
        <x:v>8.4</x:v>
      </x:c>
      <x:c r="H332" s="4" t="n">
        <x:v>8.85</x:v>
      </x:c>
      <x:c r="I332" s="4" t="n">
        <x:v>7.37</x:v>
      </x:c>
      <x:c r="J332" s="4" t="n">
        <x:v>5.4</x:v>
      </x:c>
      <x:c r="K332" s="4" t="n">
        <x:v>4.6</x:v>
      </x:c>
      <x:c r="L332" s="4" t="n">
        <x:v>3.24</x:v>
      </x:c>
      <x:c r="M332" s="4" t="n">
        <x:v>5.75</x:v>
      </x:c>
      <x:c r="N332" s="4" t="n">
        <x:v>6.18</x:v>
      </x:c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 t="str">
        <x:v>汽车费用数量</x:v>
      </x:c>
      <x:c r="C333" s="4" t="n">
        <x:v>4.91</x:v>
      </x:c>
      <x:c r="D333" s="4" t="n">
        <x:v>7.94</x:v>
      </x:c>
      <x:c r="E333" s="4" t="n">
        <x:v>4.01</x:v>
      </x:c>
      <x:c r="F333" s="4" t="n">
        <x:v>4.31</x:v>
      </x:c>
      <x:c r="G333" s="4" t="n">
        <x:v>5.34</x:v>
      </x:c>
      <x:c r="H333" s="4" t="n">
        <x:v>5.06</x:v>
      </x:c>
      <x:c r="I333" s="4" t="n">
        <x:v>8.65</x:v>
      </x:c>
      <x:c r="J333" s="4" t="n">
        <x:v>5.68</x:v>
      </x:c>
      <x:c r="K333" s="4" t="n">
        <x:v>8.28</x:v>
      </x:c>
      <x:c r="L333" s="4" t="n">
        <x:v>6.47</x:v>
      </x:c>
      <x:c r="M333" s="4" t="n">
        <x:v>7.29</x:v>
      </x:c>
      <x:c r="N333" s="4" t="n">
        <x:v>6.01</x:v>
      </x:c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 t="str">
        <x:v>办公费数量</x:v>
      </x:c>
      <x:c r="C334" s="4" t="n">
        <x:v>8.2</x:v>
      </x:c>
      <x:c r="D334" s="4" t="n">
        <x:v>3.58</x:v>
      </x:c>
      <x:c r="E334" s="4" t="n">
        <x:v>6.06</x:v>
      </x:c>
      <x:c r="F334" s="4" t="n">
        <x:v>6.87</x:v>
      </x:c>
      <x:c r="G334" s="4" t="n">
        <x:v>7.2</x:v>
      </x:c>
      <x:c r="H334" s="4" t="n">
        <x:v>5.35</x:v>
      </x:c>
      <x:c r="I334" s="4" t="n">
        <x:v>7.51</x:v>
      </x:c>
      <x:c r="J334" s="4" t="n">
        <x:v>8.01</x:v>
      </x:c>
      <x:c r="K334" s="4" t="n">
        <x:v>7.89</x:v>
      </x:c>
      <x:c r="L334" s="4" t="n">
        <x:v>4.82</x:v>
      </x:c>
      <x:c r="M334" s="4" t="n">
        <x:v>7.06</x:v>
      </x:c>
      <x:c r="N334" s="4" t="n">
        <x:v>6.59</x:v>
      </x:c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 t="str">
        <x:v>办公用品数量</x:v>
      </x:c>
      <x:c r="C335" s="4" t="n">
        <x:v>4.58</x:v>
      </x:c>
      <x:c r="D335" s="4" t="n">
        <x:v>3.7</x:v>
      </x:c>
      <x:c r="E335" s="4" t="n">
        <x:v>2.99</x:v>
      </x:c>
      <x:c r="F335" s="4" t="n">
        <x:v>5.12</x:v>
      </x:c>
      <x:c r="G335" s="4" t="n">
        <x:v>4.82</x:v>
      </x:c>
      <x:c r="H335" s="4" t="n">
        <x:v>7.99</x:v>
      </x:c>
      <x:c r="I335" s="4" t="n">
        <x:v>3.37</x:v>
      </x:c>
      <x:c r="J335" s="4" t="n">
        <x:v>6.91</x:v>
      </x:c>
      <x:c r="K335" s="4" t="n">
        <x:v>8.43</x:v>
      </x:c>
      <x:c r="L335" s="4" t="n">
        <x:v>4.95</x:v>
      </x:c>
      <x:c r="M335" s="4" t="n">
        <x:v>5.24</x:v>
      </x:c>
      <x:c r="N335" s="4" t="n">
        <x:v>8.72</x:v>
      </x:c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 t="str">
        <x:v>水电煤数量</x:v>
      </x:c>
      <x:c r="C336" s="4" t="n">
        <x:v>3.5</x:v>
      </x:c>
      <x:c r="D336" s="4" t="n">
        <x:v>3.1</x:v>
      </x:c>
      <x:c r="E336" s="4" t="n">
        <x:v>3.46</x:v>
      </x:c>
      <x:c r="F336" s="4" t="n">
        <x:v>3.6</x:v>
      </x:c>
      <x:c r="G336" s="4" t="n">
        <x:v>7.96</x:v>
      </x:c>
      <x:c r="H336" s="4" t="n">
        <x:v>4.29</x:v>
      </x:c>
      <x:c r="I336" s="4" t="n">
        <x:v>4.18</x:v>
      </x:c>
      <x:c r="J336" s="4" t="n">
        <x:v>7.04</x:v>
      </x:c>
      <x:c r="K336" s="4" t="n">
        <x:v>2.84</x:v>
      </x:c>
      <x:c r="L336" s="4" t="n">
        <x:v>6.96</x:v>
      </x:c>
      <x:c r="M336" s="4" t="n">
        <x:v>5.19</x:v>
      </x:c>
      <x:c r="N336" s="4" t="n">
        <x:v>5.96</x:v>
      </x:c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 t="str">
        <x:v>咨询服务费数量</x:v>
      </x:c>
      <x:c r="C337" s="4" t="n">
        <x:v>2.9</x:v>
      </x:c>
      <x:c r="D337" s="4" t="n">
        <x:v>7.99</x:v>
      </x:c>
      <x:c r="E337" s="4" t="n">
        <x:v>2.48</x:v>
      </x:c>
      <x:c r="F337" s="4" t="n">
        <x:v>8.43</x:v>
      </x:c>
      <x:c r="G337" s="4" t="n">
        <x:v>3.68</x:v>
      </x:c>
      <x:c r="H337" s="4" t="n">
        <x:v>5.35</x:v>
      </x:c>
      <x:c r="I337" s="4" t="n">
        <x:v>4.96</x:v>
      </x:c>
      <x:c r="J337" s="4" t="n">
        <x:v>5.47</x:v>
      </x:c>
      <x:c r="K337" s="4" t="n">
        <x:v>3.2</x:v>
      </x:c>
      <x:c r="L337" s="4" t="n">
        <x:v>7.59</x:v>
      </x:c>
      <x:c r="M337" s="4" t="n">
        <x:v>4.34</x:v>
      </x:c>
      <x:c r="N337" s="4" t="n">
        <x:v>6.1</x:v>
      </x:c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 t="str">
        <x:v>电话费数量</x:v>
      </x:c>
      <x:c r="C338" s="4" t="n">
        <x:v>2.23</x:v>
      </x:c>
      <x:c r="D338" s="4" t="n">
        <x:v>5.64</x:v>
      </x:c>
      <x:c r="E338" s="4" t="n">
        <x:v>3.84</x:v>
      </x:c>
      <x:c r="F338" s="4" t="n">
        <x:v>4.15</x:v>
      </x:c>
      <x:c r="G338" s="4" t="n">
        <x:v>4.26</x:v>
      </x:c>
      <x:c r="H338" s="4" t="n">
        <x:v>7.49</x:v>
      </x:c>
      <x:c r="I338" s="4" t="n">
        <x:v>2.71</x:v>
      </x:c>
      <x:c r="J338" s="4" t="n">
        <x:v>5.56</x:v>
      </x:c>
      <x:c r="K338" s="4" t="n">
        <x:v>8.03</x:v>
      </x:c>
      <x:c r="L338" s="4" t="n">
        <x:v>3.8</x:v>
      </x:c>
      <x:c r="M338" s="4" t="n">
        <x:v>3.44</x:v>
      </x:c>
      <x:c r="N338" s="4" t="n">
        <x:v>3.98</x:v>
      </x:c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 t="str">
        <x:v>快递费数量</x:v>
      </x:c>
      <x:c r="C339" s="4" t="n">
        <x:v>6.45</x:v>
      </x:c>
      <x:c r="D339" s="4" t="n">
        <x:v>3.44</x:v>
      </x:c>
      <x:c r="E339" s="4" t="n">
        <x:v>8.64</x:v>
      </x:c>
      <x:c r="F339" s="4" t="n">
        <x:v>8.34</x:v>
      </x:c>
      <x:c r="G339" s="4" t="n">
        <x:v>7.57</x:v>
      </x:c>
      <x:c r="H339" s="4" t="n">
        <x:v>8.11</x:v>
      </x:c>
      <x:c r="I339" s="4" t="n">
        <x:v>4.68</x:v>
      </x:c>
      <x:c r="J339" s="4" t="n">
        <x:v>5.17</x:v>
      </x:c>
      <x:c r="K339" s="4" t="n">
        <x:v>7.95</x:v>
      </x:c>
      <x:c r="L339" s="4" t="n">
        <x:v>3.16</x:v>
      </x:c>
      <x:c r="M339" s="4" t="n">
        <x:v>2.56</x:v>
      </x:c>
      <x:c r="N339" s="4" t="n">
        <x:v>8.35</x:v>
      </x:c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 t="str">
        <x:v>折旧及摊销数量</x:v>
      </x:c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 t="str">
        <x:v>机票火车票数量</x:v>
      </x:c>
      <x:c r="C341" s="4" t="n">
        <x:v>7.36</x:v>
      </x:c>
      <x:c r="D341" s="4" t="n">
        <x:v>3.03</x:v>
      </x:c>
      <x:c r="E341" s="4" t="n">
        <x:v>5.37</x:v>
      </x:c>
      <x:c r="F341" s="4" t="n">
        <x:v>2.97</x:v>
      </x:c>
      <x:c r="G341" s="4" t="n">
        <x:v>7.45</x:v>
      </x:c>
      <x:c r="H341" s="4" t="n">
        <x:v>7.69</x:v>
      </x:c>
      <x:c r="I341" s="4" t="n">
        <x:v>8.39</x:v>
      </x:c>
      <x:c r="J341" s="4" t="n">
        <x:v>4.28</x:v>
      </x:c>
      <x:c r="K341" s="4" t="n">
        <x:v>3.6</x:v>
      </x:c>
      <x:c r="L341" s="4" t="n">
        <x:v>5.77</x:v>
      </x:c>
      <x:c r="M341" s="4" t="n">
        <x:v>7.11</x:v>
      </x:c>
      <x:c r="N341" s="4" t="n">
        <x:v>8.13</x:v>
      </x:c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 t="str">
        <x:v>住宿费数量</x:v>
      </x:c>
      <x:c r="C342" s="4" t="n">
        <x:v>6.78</x:v>
      </x:c>
      <x:c r="D342" s="4" t="n">
        <x:v>8.35</x:v>
      </x:c>
      <x:c r="E342" s="4" t="n">
        <x:v>2.55</x:v>
      </x:c>
      <x:c r="F342" s="4" t="n">
        <x:v>6.75</x:v>
      </x:c>
      <x:c r="G342" s="4" t="n">
        <x:v>6.87</x:v>
      </x:c>
      <x:c r="H342" s="4" t="n">
        <x:v>8.76</x:v>
      </x:c>
      <x:c r="I342" s="4" t="n">
        <x:v>2.38</x:v>
      </x:c>
      <x:c r="J342" s="4" t="n">
        <x:v>4.37</x:v>
      </x:c>
      <x:c r="K342" s="4" t="n">
        <x:v>5.99</x:v>
      </x:c>
      <x:c r="L342" s="4" t="n">
        <x:v>6.38</x:v>
      </x:c>
      <x:c r="M342" s="4" t="n">
        <x:v>4.71</x:v>
      </x:c>
      <x:c r="N342" s="4" t="n">
        <x:v>4.92</x:v>
      </x:c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 t="str">
        <x:v>交通费数量</x:v>
      </x:c>
      <x:c r="C343" s="4" t="n">
        <x:v>7.91</x:v>
      </x:c>
      <x:c r="D343" s="4" t="n">
        <x:v>4.45</x:v>
      </x:c>
      <x:c r="E343" s="4" t="n">
        <x:v>5.79</x:v>
      </x:c>
      <x:c r="F343" s="4" t="n">
        <x:v>8.59</x:v>
      </x:c>
      <x:c r="G343" s="4" t="n">
        <x:v>5.57</x:v>
      </x:c>
      <x:c r="H343" s="4" t="n">
        <x:v>7.32</x:v>
      </x:c>
      <x:c r="I343" s="4" t="n">
        <x:v>4.24</x:v>
      </x:c>
      <x:c r="J343" s="4" t="n">
        <x:v>6.51</x:v>
      </x:c>
      <x:c r="K343" s="4" t="n">
        <x:v>7.12</x:v>
      </x:c>
      <x:c r="L343" s="4" t="n">
        <x:v>6.18</x:v>
      </x:c>
      <x:c r="M343" s="4" t="n">
        <x:v>8.29</x:v>
      </x:c>
      <x:c r="N343" s="4" t="n">
        <x:v>4.88</x:v>
      </x:c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 t="str">
        <x:v>差旅补贴数量</x:v>
      </x:c>
      <x:c r="C344" s="4" t="n">
        <x:v>2.64</x:v>
      </x:c>
      <x:c r="D344" s="4" t="n">
        <x:v>7.32</x:v>
      </x:c>
      <x:c r="E344" s="4" t="n">
        <x:v>4.86</x:v>
      </x:c>
      <x:c r="F344" s="4" t="n">
        <x:v>5.86</x:v>
      </x:c>
      <x:c r="G344" s="4" t="n">
        <x:v>3.33</x:v>
      </x:c>
      <x:c r="H344" s="4" t="n">
        <x:v>3.63</x:v>
      </x:c>
      <x:c r="I344" s="4" t="n">
        <x:v>4.04</x:v>
      </x:c>
      <x:c r="J344" s="4" t="n">
        <x:v>2.55</x:v>
      </x:c>
      <x:c r="K344" s="4" t="n">
        <x:v>7.18</x:v>
      </x:c>
      <x:c r="L344" s="4" t="n">
        <x:v>8.27</x:v>
      </x:c>
      <x:c r="M344" s="4" t="n">
        <x:v>7.54</x:v>
      </x:c>
      <x:c r="N344" s="4" t="n">
        <x:v>4.18</x:v>
      </x:c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 t="str">
        <x:v>业务招待费数量</x:v>
      </x:c>
      <x:c r="C345" s="4" t="n">
        <x:v>8.59</x:v>
      </x:c>
      <x:c r="D345" s="4" t="n">
        <x:v>2.24</x:v>
      </x:c>
      <x:c r="E345" s="4" t="n">
        <x:v>7.96</x:v>
      </x:c>
      <x:c r="F345" s="4" t="n">
        <x:v>3.28</x:v>
      </x:c>
      <x:c r="G345" s="4" t="n">
        <x:v>5.39</x:v>
      </x:c>
      <x:c r="H345" s="4" t="n">
        <x:v>4.91</x:v>
      </x:c>
      <x:c r="I345" s="4" t="n">
        <x:v>7.35</x:v>
      </x:c>
      <x:c r="J345" s="4" t="n">
        <x:v>5.42</x:v>
      </x:c>
      <x:c r="K345" s="4" t="n">
        <x:v>6.94</x:v>
      </x:c>
      <x:c r="L345" s="4" t="n">
        <x:v>3.72</x:v>
      </x:c>
      <x:c r="M345" s="4" t="n">
        <x:v>8.1</x:v>
      </x:c>
      <x:c r="N345" s="4" t="n">
        <x:v>6.88</x:v>
      </x:c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 t="str">
        <x:v>市内交通费数量</x:v>
      </x:c>
      <x:c r="C346" s="4" t="n">
        <x:v>5.28</x:v>
      </x:c>
      <x:c r="D346" s="4" t="n">
        <x:v>8.5</x:v>
      </x:c>
      <x:c r="E346" s="4" t="n">
        <x:v>5.83</x:v>
      </x:c>
      <x:c r="F346" s="4" t="n">
        <x:v>5.11</x:v>
      </x:c>
      <x:c r="G346" s="4" t="n">
        <x:v>7.26</x:v>
      </x:c>
      <x:c r="H346" s="4" t="n">
        <x:v>4.81</x:v>
      </x:c>
      <x:c r="I346" s="4" t="n">
        <x:v>8.06</x:v>
      </x:c>
      <x:c r="J346" s="4" t="n">
        <x:v>5.55</x:v>
      </x:c>
      <x:c r="K346" s="4" t="n">
        <x:v>4.47</x:v>
      </x:c>
      <x:c r="L346" s="4" t="n">
        <x:v>4.16</x:v>
      </x:c>
      <x:c r="M346" s="4" t="n">
        <x:v>3.22</x:v>
      </x:c>
      <x:c r="N346" s="4" t="n">
        <x:v>5.92</x:v>
      </x:c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 t="str">
        <x:v>调研费用数量</x:v>
      </x:c>
      <x:c r="C347" s="4" t="n">
        <x:v>6.34</x:v>
      </x:c>
      <x:c r="D347" s="4" t="n">
        <x:v>8.33</x:v>
      </x:c>
      <x:c r="E347" s="4" t="n">
        <x:v>8.58</x:v>
      </x:c>
      <x:c r="F347" s="4" t="n">
        <x:v>2.55</x:v>
      </x:c>
      <x:c r="G347" s="4" t="n">
        <x:v>2.66</x:v>
      </x:c>
      <x:c r="H347" s="4" t="n">
        <x:v>7.97</x:v>
      </x:c>
      <x:c r="I347" s="4" t="n">
        <x:v>3.98</x:v>
      </x:c>
      <x:c r="J347" s="4" t="n">
        <x:v>3.46</x:v>
      </x:c>
      <x:c r="K347" s="4" t="n">
        <x:v>2.78</x:v>
      </x:c>
      <x:c r="L347" s="4" t="n">
        <x:v>3.82</x:v>
      </x:c>
      <x:c r="M347" s="4" t="n">
        <x:v>7.33</x:v>
      </x:c>
      <x:c r="N347" s="4" t="n">
        <x:v>7.13</x:v>
      </x:c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 t="str">
        <x:v>手续费数量</x:v>
      </x:c>
      <x:c r="C348" s="4" t="n">
        <x:v>2.53</x:v>
      </x:c>
      <x:c r="D348" s="4" t="n">
        <x:v>7.82</x:v>
      </x:c>
      <x:c r="E348" s="4" t="n">
        <x:v>8.49</x:v>
      </x:c>
      <x:c r="F348" s="4" t="n">
        <x:v>7.27</x:v>
      </x:c>
      <x:c r="G348" s="4" t="n">
        <x:v>3.43</x:v>
      </x:c>
      <x:c r="H348" s="4" t="n">
        <x:v>3.85</x:v>
      </x:c>
      <x:c r="I348" s="4" t="n">
        <x:v>5.73</x:v>
      </x:c>
      <x:c r="J348" s="4" t="n">
        <x:v>5.04</x:v>
      </x:c>
      <x:c r="K348" s="4" t="n">
        <x:v>2.95</x:v>
      </x:c>
      <x:c r="L348" s="4" t="n">
        <x:v>8.29</x:v>
      </x:c>
      <x:c r="M348" s="4" t="n">
        <x:v>6.72</x:v>
      </x:c>
      <x:c r="N348" s="4" t="n">
        <x:v>5.31</x:v>
      </x:c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 t="str">
        <x:v>利息收入数量</x:v>
      </x:c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 t="str">
        <x:v>利息支出数量</x:v>
      </x:c>
      <x:c r="C350" s="4" t="n">
        <x:v>2.45</x:v>
      </x:c>
      <x:c r="D350" s="4" t="n">
        <x:v>5.27</x:v>
      </x:c>
      <x:c r="E350" s="4" t="n">
        <x:v>4.92</x:v>
      </x:c>
      <x:c r="F350" s="4" t="n">
        <x:v>7.66</x:v>
      </x:c>
      <x:c r="G350" s="4" t="n">
        <x:v>6.37</x:v>
      </x:c>
      <x:c r="H350" s="4" t="n">
        <x:v>7.23</x:v>
      </x:c>
      <x:c r="I350" s="4" t="n">
        <x:v>8.85</x:v>
      </x:c>
      <x:c r="J350" s="4" t="n">
        <x:v>3.71</x:v>
      </x:c>
      <x:c r="K350" s="4" t="n">
        <x:v>3.65</x:v>
      </x:c>
      <x:c r="L350" s="4" t="n">
        <x:v>8.19</x:v>
      </x:c>
      <x:c r="M350" s="4" t="n">
        <x:v>4.71</x:v>
      </x:c>
      <x:c r="N350" s="4" t="n">
        <x:v>5.8</x:v>
      </x:c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 t="str">
        <x:v>车船税数量</x:v>
      </x:c>
      <x:c r="C351" s="4" t="n">
        <x:v>6.81</x:v>
      </x:c>
      <x:c r="D351" s="4" t="n">
        <x:v>6.13</x:v>
      </x:c>
      <x:c r="E351" s="4" t="n">
        <x:v>3.94</x:v>
      </x:c>
      <x:c r="F351" s="4" t="n">
        <x:v>2.77</x:v>
      </x:c>
      <x:c r="G351" s="4" t="n">
        <x:v>5.25</x:v>
      </x:c>
      <x:c r="H351" s="4" t="n">
        <x:v>5.13</x:v>
      </x:c>
      <x:c r="I351" s="4" t="n">
        <x:v>3.64</x:v>
      </x:c>
      <x:c r="J351" s="4" t="n">
        <x:v>7.82</x:v>
      </x:c>
      <x:c r="K351" s="4" t="n">
        <x:v>5.31</x:v>
      </x:c>
      <x:c r="L351" s="4" t="n">
        <x:v>3.17</x:v>
      </x:c>
      <x:c r="M351" s="4" t="n">
        <x:v>7.56</x:v>
      </x:c>
      <x:c r="N351" s="4" t="n">
        <x:v>7.25</x:v>
      </x:c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 t="str">
        <x:v>印花税数量</x:v>
      </x:c>
      <x:c r="C352" s="4" t="n">
        <x:v>2.65</x:v>
      </x:c>
      <x:c r="D352" s="4" t="n">
        <x:v>8.38</x:v>
      </x:c>
      <x:c r="E352" s="4" t="n">
        <x:v>8.23</x:v>
      </x:c>
      <x:c r="F352" s="4" t="n">
        <x:v>8.63</x:v>
      </x:c>
      <x:c r="G352" s="4" t="n">
        <x:v>5.68</x:v>
      </x:c>
      <x:c r="H352" s="4" t="n">
        <x:v>2.17</x:v>
      </x:c>
      <x:c r="I352" s="4" t="n">
        <x:v>2.54</x:v>
      </x:c>
      <x:c r="J352" s="4" t="n">
        <x:v>6.01</x:v>
      </x:c>
      <x:c r="K352" s="4" t="n">
        <x:v>6.51</x:v>
      </x:c>
      <x:c r="L352" s="4" t="n">
        <x:v>3.88</x:v>
      </x:c>
      <x:c r="M352" s="4" t="n">
        <x:v>5.48</x:v>
      </x:c>
      <x:c r="N352" s="4" t="n">
        <x:v>7.28</x:v>
      </x:c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 t="str">
        <x:v>其他数量</x:v>
      </x:c>
      <x:c r="C353" s="4" t="n">
        <x:v>5.66</x:v>
      </x:c>
      <x:c r="D353" s="4" t="n">
        <x:v>7.55</x:v>
      </x:c>
      <x:c r="E353" s="4" t="n">
        <x:v>2.34</x:v>
      </x:c>
      <x:c r="F353" s="4" t="n">
        <x:v>2.89</x:v>
      </x:c>
      <x:c r="G353" s="4" t="n">
        <x:v>6.65</x:v>
      </x:c>
      <x:c r="H353" s="4" t="n">
        <x:v>2.35</x:v>
      </x:c>
      <x:c r="I353" s="4" t="n">
        <x:v>4.72</x:v>
      </x:c>
      <x:c r="J353" s="4" t="n">
        <x:v>2.98</x:v>
      </x:c>
      <x:c r="K353" s="4" t="n">
        <x:v>7.06</x:v>
      </x:c>
      <x:c r="L353" s="4" t="n">
        <x:v>6.38</x:v>
      </x:c>
      <x:c r="M353" s="4" t="n">
        <x:v>5.62</x:v>
      </x:c>
      <x:c r="N353" s="4" t="n">
        <x:v>4.53</x:v>
      </x:c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 t="str">
        <x:v>工资数量</x:v>
      </x:c>
      <x:c r="C384" s="4" t="n">
        <x:v>6.13</x:v>
      </x:c>
      <x:c r="D384" s="4" t="n">
        <x:v>8.5</x:v>
      </x:c>
      <x:c r="E384" s="4" t="n">
        <x:v>2.78</x:v>
      </x:c>
      <x:c r="F384" s="4" t="n">
        <x:v>8.19</x:v>
      </x:c>
      <x:c r="G384" s="4" t="n">
        <x:v>8.74</x:v>
      </x:c>
      <x:c r="H384" s="4" t="n">
        <x:v>7.83</x:v>
      </x:c>
      <x:c r="I384" s="4" t="n">
        <x:v>6.2</x:v>
      </x:c>
      <x:c r="J384" s="4" t="n">
        <x:v>2.65</x:v>
      </x:c>
      <x:c r="K384" s="4" t="n">
        <x:v>7.91</x:v>
      </x:c>
      <x:c r="L384" s="4" t="n">
        <x:v>7.71</x:v>
      </x:c>
      <x:c r="M384" s="4" t="n">
        <x:v>7.59</x:v>
      </x:c>
      <x:c r="N384" s="4" t="n">
        <x:v>4.73</x:v>
      </x:c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 t="str">
        <x:v>十三薪数量</x:v>
      </x:c>
      <x:c r="C385" s="4" t="n">
        <x:v>2.86</x:v>
      </x:c>
      <x:c r="D385" s="4" t="n">
        <x:v>4.34</x:v>
      </x:c>
      <x:c r="E385" s="4" t="n">
        <x:v>5.27</x:v>
      </x:c>
      <x:c r="F385" s="4" t="n">
        <x:v>3.09</x:v>
      </x:c>
      <x:c r="G385" s="4" t="n">
        <x:v>7.4</x:v>
      </x:c>
      <x:c r="H385" s="4" t="n">
        <x:v>7.77</x:v>
      </x:c>
      <x:c r="I385" s="4" t="n">
        <x:v>2.97</x:v>
      </x:c>
      <x:c r="J385" s="4" t="n">
        <x:v>3.92</x:v>
      </x:c>
      <x:c r="K385" s="4" t="n">
        <x:v>5.11</x:v>
      </x:c>
      <x:c r="L385" s="4" t="n">
        <x:v>3.28</x:v>
      </x:c>
      <x:c r="M385" s="4" t="n">
        <x:v>6.3</x:v>
      </x:c>
      <x:c r="N385" s="4" t="n">
        <x:v>6.9</x:v>
      </x:c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 t="str">
        <x:v>离职补偿金数量</x:v>
      </x:c>
      <x:c r="C386" s="4" t="n">
        <x:v>5.25</x:v>
      </x:c>
      <x:c r="D386" s="4" t="n">
        <x:v>3.27</x:v>
      </x:c>
      <x:c r="E386" s="4" t="n">
        <x:v>6.78</x:v>
      </x:c>
      <x:c r="F386" s="4" t="n">
        <x:v>4.66</x:v>
      </x:c>
      <x:c r="G386" s="4" t="n">
        <x:v>3.66</x:v>
      </x:c>
      <x:c r="H386" s="4" t="n">
        <x:v>5.24</x:v>
      </x:c>
      <x:c r="I386" s="4" t="n">
        <x:v>7.72</x:v>
      </x:c>
      <x:c r="J386" s="4" t="n">
        <x:v>2.72</x:v>
      </x:c>
      <x:c r="K386" s="4" t="n">
        <x:v>6.3</x:v>
      </x:c>
      <x:c r="L386" s="4" t="n">
        <x:v>7.59</x:v>
      </x:c>
      <x:c r="M386" s="4" t="n">
        <x:v>6.77</x:v>
      </x:c>
      <x:c r="N386" s="4" t="n">
        <x:v>4.95</x:v>
      </x:c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 t="str">
        <x:v>五险一金数量</x:v>
      </x:c>
      <x:c r="C387" s="4" t="n">
        <x:v>5.9</x:v>
      </x:c>
      <x:c r="D387" s="4" t="n">
        <x:v>5.59</x:v>
      </x:c>
      <x:c r="E387" s="4" t="n">
        <x:v>7.06</x:v>
      </x:c>
      <x:c r="F387" s="4" t="n">
        <x:v>5.5</x:v>
      </x:c>
      <x:c r="G387" s="4" t="n">
        <x:v>6.39</x:v>
      </x:c>
      <x:c r="H387" s="4" t="n">
        <x:v>8.27</x:v>
      </x:c>
      <x:c r="I387" s="4" t="n">
        <x:v>7.1</x:v>
      </x:c>
      <x:c r="J387" s="4" t="n">
        <x:v>8.4</x:v>
      </x:c>
      <x:c r="K387" s="4" t="n">
        <x:v>4.69</x:v>
      </x:c>
      <x:c r="L387" s="4" t="n">
        <x:v>6.48</x:v>
      </x:c>
      <x:c r="M387" s="4" t="n">
        <x:v>6.05</x:v>
      </x:c>
      <x:c r="N387" s="4" t="n">
        <x:v>2.27</x:v>
      </x:c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 t="str">
        <x:v>福利费数量</x:v>
      </x:c>
      <x:c r="C388" s="4" t="n">
        <x:v>7.88</x:v>
      </x:c>
      <x:c r="D388" s="4" t="n">
        <x:v>5.3</x:v>
      </x:c>
      <x:c r="E388" s="4" t="n">
        <x:v>4.88</x:v>
      </x:c>
      <x:c r="F388" s="4" t="n">
        <x:v>7.54</x:v>
      </x:c>
      <x:c r="G388" s="4" t="n">
        <x:v>7.23</x:v>
      </x:c>
      <x:c r="H388" s="4" t="n">
        <x:v>3.1</x:v>
      </x:c>
      <x:c r="I388" s="4" t="n">
        <x:v>4.85</x:v>
      </x:c>
      <x:c r="J388" s="4" t="n">
        <x:v>2.31</x:v>
      </x:c>
      <x:c r="K388" s="4" t="n">
        <x:v>6.63</x:v>
      </x:c>
      <x:c r="L388" s="4" t="n">
        <x:v>7.52</x:v>
      </x:c>
      <x:c r="M388" s="4" t="n">
        <x:v>7.39</x:v>
      </x:c>
      <x:c r="N388" s="4" t="n">
        <x:v>5.96</x:v>
      </x:c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 t="str">
        <x:v>招聘费数量</x:v>
      </x:c>
      <x:c r="C389" s="4" t="n">
        <x:v>3.97</x:v>
      </x:c>
      <x:c r="D389" s="4" t="n">
        <x:v>2.95</x:v>
      </x:c>
      <x:c r="E389" s="4" t="n">
        <x:v>5.57</x:v>
      </x:c>
      <x:c r="F389" s="4" t="n">
        <x:v>4.41</x:v>
      </x:c>
      <x:c r="G389" s="4" t="n">
        <x:v>4.2</x:v>
      </x:c>
      <x:c r="H389" s="4" t="n">
        <x:v>2.61</x:v>
      </x:c>
      <x:c r="I389" s="4" t="n">
        <x:v>2.71</x:v>
      </x:c>
      <x:c r="J389" s="4" t="n">
        <x:v>7.45</x:v>
      </x:c>
      <x:c r="K389" s="4" t="n">
        <x:v>5.36</x:v>
      </x:c>
      <x:c r="L389" s="4" t="n">
        <x:v>2.44</x:v>
      </x:c>
      <x:c r="M389" s="4" t="n">
        <x:v>6.42</x:v>
      </x:c>
      <x:c r="N389" s="4" t="n">
        <x:v>5.21</x:v>
      </x:c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 t="str">
        <x:v>培训费数量</x:v>
      </x:c>
      <x:c r="C390" s="4" t="n">
        <x:v>5.71</x:v>
      </x:c>
      <x:c r="D390" s="4" t="n">
        <x:v>6.77</x:v>
      </x:c>
      <x:c r="E390" s="4" t="n">
        <x:v>8.88</x:v>
      </x:c>
      <x:c r="F390" s="4" t="n">
        <x:v>7.88</x:v>
      </x:c>
      <x:c r="G390" s="4" t="n">
        <x:v>8.88</x:v>
      </x:c>
      <x:c r="H390" s="4" t="n">
        <x:v>4.46</x:v>
      </x:c>
      <x:c r="I390" s="4" t="n">
        <x:v>8.53</x:v>
      </x:c>
      <x:c r="J390" s="4" t="n">
        <x:v>4.67</x:v>
      </x:c>
      <x:c r="K390" s="4" t="n">
        <x:v>4.61</x:v>
      </x:c>
      <x:c r="L390" s="4" t="n">
        <x:v>7.86</x:v>
      </x:c>
      <x:c r="M390" s="4" t="n">
        <x:v>8.24</x:v>
      </x:c>
      <x:c r="N390" s="4" t="n">
        <x:v>6.24</x:v>
      </x:c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 t="str">
        <x:v>房租数量</x:v>
      </x:c>
      <x:c r="C391" s="4" t="n">
        <x:v>7.21</x:v>
      </x:c>
      <x:c r="D391" s="4" t="n">
        <x:v>5.29</x:v>
      </x:c>
      <x:c r="E391" s="4" t="n">
        <x:v>6.13</x:v>
      </x:c>
      <x:c r="F391" s="4" t="n">
        <x:v>5.18</x:v>
      </x:c>
      <x:c r="G391" s="4" t="n">
        <x:v>7.94</x:v>
      </x:c>
      <x:c r="H391" s="4" t="n">
        <x:v>2.44</x:v>
      </x:c>
      <x:c r="I391" s="4" t="n">
        <x:v>6.1</x:v>
      </x:c>
      <x:c r="J391" s="4" t="n">
        <x:v>5.81</x:v>
      </x:c>
      <x:c r="K391" s="4" t="n">
        <x:v>3.87</x:v>
      </x:c>
      <x:c r="L391" s="4" t="n">
        <x:v>8.08</x:v>
      </x:c>
      <x:c r="M391" s="4" t="n">
        <x:v>8.25</x:v>
      </x:c>
      <x:c r="N391" s="4" t="n">
        <x:v>5.02</x:v>
      </x:c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 t="str">
        <x:v>物业管理费数量</x:v>
      </x:c>
      <x:c r="C392" s="4" t="n">
        <x:v>7.27</x:v>
      </x:c>
      <x:c r="D392" s="4" t="n">
        <x:v>3.19</x:v>
      </x:c>
      <x:c r="E392" s="4" t="n">
        <x:v>8.52</x:v>
      </x:c>
      <x:c r="F392" s="4" t="n">
        <x:v>2.22</x:v>
      </x:c>
      <x:c r="G392" s="4" t="n">
        <x:v>7.98</x:v>
      </x:c>
      <x:c r="H392" s="4" t="n">
        <x:v>8.71</x:v>
      </x:c>
      <x:c r="I392" s="4" t="n">
        <x:v>3.83</x:v>
      </x:c>
      <x:c r="J392" s="4" t="n">
        <x:v>2.7</x:v>
      </x:c>
      <x:c r="K392" s="4" t="n">
        <x:v>3.06</x:v>
      </x:c>
      <x:c r="L392" s="4" t="n">
        <x:v>6.81</x:v>
      </x:c>
      <x:c r="M392" s="4" t="n">
        <x:v>4.05</x:v>
      </x:c>
      <x:c r="N392" s="4" t="n">
        <x:v>2.35</x:v>
      </x:c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 t="str">
        <x:v>汽车费用数量</x:v>
      </x:c>
      <x:c r="C393" s="4" t="n">
        <x:v>7.71</x:v>
      </x:c>
      <x:c r="D393" s="4" t="n">
        <x:v>8.66</x:v>
      </x:c>
      <x:c r="E393" s="4" t="n">
        <x:v>4.63</x:v>
      </x:c>
      <x:c r="F393" s="4" t="n">
        <x:v>7.18</x:v>
      </x:c>
      <x:c r="G393" s="4" t="n">
        <x:v>2.45</x:v>
      </x:c>
      <x:c r="H393" s="4" t="n">
        <x:v>5.43</x:v>
      </x:c>
      <x:c r="I393" s="4" t="n">
        <x:v>5.79</x:v>
      </x:c>
      <x:c r="J393" s="4" t="n">
        <x:v>5.9</x:v>
      </x:c>
      <x:c r="K393" s="4" t="n">
        <x:v>8.66</x:v>
      </x:c>
      <x:c r="L393" s="4" t="n">
        <x:v>7.55</x:v>
      </x:c>
      <x:c r="M393" s="4" t="n">
        <x:v>8.1</x:v>
      </x:c>
      <x:c r="N393" s="4" t="n">
        <x:v>3.87</x:v>
      </x:c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 t="str">
        <x:v>办公费数量</x:v>
      </x:c>
      <x:c r="C394" s="4" t="n">
        <x:v>3.67</x:v>
      </x:c>
      <x:c r="D394" s="4" t="n">
        <x:v>2.2</x:v>
      </x:c>
      <x:c r="E394" s="4" t="n">
        <x:v>4.2</x:v>
      </x:c>
      <x:c r="F394" s="4" t="n">
        <x:v>2.99</x:v>
      </x:c>
      <x:c r="G394" s="4" t="n">
        <x:v>7.48</x:v>
      </x:c>
      <x:c r="H394" s="4" t="n">
        <x:v>4.27</x:v>
      </x:c>
      <x:c r="I394" s="4" t="n">
        <x:v>3.52</x:v>
      </x:c>
      <x:c r="J394" s="4" t="n">
        <x:v>6.92</x:v>
      </x:c>
      <x:c r="K394" s="4" t="n">
        <x:v>7.9</x:v>
      </x:c>
      <x:c r="L394" s="4" t="n">
        <x:v>6.61</x:v>
      </x:c>
      <x:c r="M394" s="4" t="n">
        <x:v>2.66</x:v>
      </x:c>
      <x:c r="N394" s="4" t="n">
        <x:v>3.19</x:v>
      </x:c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 t="str">
        <x:v>办公用品数量</x:v>
      </x:c>
      <x:c r="C395" s="4" t="n">
        <x:v>8.4</x:v>
      </x:c>
      <x:c r="D395" s="4" t="n">
        <x:v>2.22</x:v>
      </x:c>
      <x:c r="E395" s="4" t="n">
        <x:v>4.95</x:v>
      </x:c>
      <x:c r="F395" s="4" t="n">
        <x:v>4.36</x:v>
      </x:c>
      <x:c r="G395" s="4" t="n">
        <x:v>2.88</x:v>
      </x:c>
      <x:c r="H395" s="4" t="n">
        <x:v>8.37</x:v>
      </x:c>
      <x:c r="I395" s="4" t="n">
        <x:v>7.58</x:v>
      </x:c>
      <x:c r="J395" s="4" t="n">
        <x:v>7.64</x:v>
      </x:c>
      <x:c r="K395" s="4" t="n">
        <x:v>5.85</x:v>
      </x:c>
      <x:c r="L395" s="4" t="n">
        <x:v>3.22</x:v>
      </x:c>
      <x:c r="M395" s="4" t="n">
        <x:v>4.23</x:v>
      </x:c>
      <x:c r="N395" s="4" t="n">
        <x:v>4.26</x:v>
      </x:c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 t="str">
        <x:v>水电煤数量</x:v>
      </x:c>
      <x:c r="C396" s="4" t="n">
        <x:v>6.53</x:v>
      </x:c>
      <x:c r="D396" s="4" t="n">
        <x:v>2.56</x:v>
      </x:c>
      <x:c r="E396" s="4" t="n">
        <x:v>2.74</x:v>
      </x:c>
      <x:c r="F396" s="4" t="n">
        <x:v>7.89</x:v>
      </x:c>
      <x:c r="G396" s="4" t="n">
        <x:v>4.99</x:v>
      </x:c>
      <x:c r="H396" s="4" t="n">
        <x:v>3.65</x:v>
      </x:c>
      <x:c r="I396" s="4" t="n">
        <x:v>2.8</x:v>
      </x:c>
      <x:c r="J396" s="4" t="n">
        <x:v>4.5</x:v>
      </x:c>
      <x:c r="K396" s="4" t="n">
        <x:v>5.03</x:v>
      </x:c>
      <x:c r="L396" s="4" t="n">
        <x:v>4.77</x:v>
      </x:c>
      <x:c r="M396" s="4" t="n">
        <x:v>5.21</x:v>
      </x:c>
      <x:c r="N396" s="4" t="n">
        <x:v>5.17</x:v>
      </x:c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 t="str">
        <x:v>咨询服务费数量</x:v>
      </x:c>
      <x:c r="C397" s="4" t="n">
        <x:v>5.03</x:v>
      </x:c>
      <x:c r="D397" s="4" t="n">
        <x:v>3.11</x:v>
      </x:c>
      <x:c r="E397" s="4" t="n">
        <x:v>2.69</x:v>
      </x:c>
      <x:c r="F397" s="4" t="n">
        <x:v>5.73</x:v>
      </x:c>
      <x:c r="G397" s="4" t="n">
        <x:v>6.95</x:v>
      </x:c>
      <x:c r="H397" s="4" t="n">
        <x:v>8.61</x:v>
      </x:c>
      <x:c r="I397" s="4" t="n">
        <x:v>7.09</x:v>
      </x:c>
      <x:c r="J397" s="4" t="n">
        <x:v>5.24</x:v>
      </x:c>
      <x:c r="K397" s="4" t="n">
        <x:v>3.92</x:v>
      </x:c>
      <x:c r="L397" s="4" t="n">
        <x:v>5.58</x:v>
      </x:c>
      <x:c r="M397" s="4" t="n">
        <x:v>5.67</x:v>
      </x:c>
      <x:c r="N397" s="4" t="n">
        <x:v>5.52</x:v>
      </x:c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 t="str">
        <x:v>电话费数量</x:v>
      </x:c>
      <x:c r="C398" s="4" t="n">
        <x:v>3.08</x:v>
      </x:c>
      <x:c r="D398" s="4" t="n">
        <x:v>8.36</x:v>
      </x:c>
      <x:c r="E398" s="4" t="n">
        <x:v>2.61</x:v>
      </x:c>
      <x:c r="F398" s="4" t="n">
        <x:v>8.22</x:v>
      </x:c>
      <x:c r="G398" s="4" t="n">
        <x:v>8.53</x:v>
      </x:c>
      <x:c r="H398" s="4" t="n">
        <x:v>8.66</x:v>
      </x:c>
      <x:c r="I398" s="4" t="n">
        <x:v>8.3</x:v>
      </x:c>
      <x:c r="J398" s="4" t="n">
        <x:v>3.45</x:v>
      </x:c>
      <x:c r="K398" s="4" t="n">
        <x:v>6.36</x:v>
      </x:c>
      <x:c r="L398" s="4" t="n">
        <x:v>2.94</x:v>
      </x:c>
      <x:c r="M398" s="4" t="n">
        <x:v>4.29</x:v>
      </x:c>
      <x:c r="N398" s="4" t="n">
        <x:v>4.93</x:v>
      </x:c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 t="str">
        <x:v>快递费数量</x:v>
      </x:c>
      <x:c r="C399" s="4" t="n">
        <x:v>8.6</x:v>
      </x:c>
      <x:c r="D399" s="4" t="n">
        <x:v>7.28</x:v>
      </x:c>
      <x:c r="E399" s="4" t="n">
        <x:v>4.08</x:v>
      </x:c>
      <x:c r="F399" s="4" t="n">
        <x:v>4.65</x:v>
      </x:c>
      <x:c r="G399" s="4" t="n">
        <x:v>3.67</x:v>
      </x:c>
      <x:c r="H399" s="4" t="n">
        <x:v>3.1</x:v>
      </x:c>
      <x:c r="I399" s="4" t="n">
        <x:v>8.09</x:v>
      </x:c>
      <x:c r="J399" s="4" t="n">
        <x:v>3.28</x:v>
      </x:c>
      <x:c r="K399" s="4" t="n">
        <x:v>4.16</x:v>
      </x:c>
      <x:c r="L399" s="4" t="n">
        <x:v>5.74</x:v>
      </x:c>
      <x:c r="M399" s="4" t="n">
        <x:v>6.7</x:v>
      </x:c>
      <x:c r="N399" s="4" t="n">
        <x:v>5.05</x:v>
      </x:c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 t="str">
        <x:v>折旧及摊销数量</x:v>
      </x:c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 t="str">
        <x:v>机票火车票数量</x:v>
      </x:c>
      <x:c r="C401" s="4" t="n">
        <x:v>7.17</x:v>
      </x:c>
      <x:c r="D401" s="4" t="n">
        <x:v>8.09</x:v>
      </x:c>
      <x:c r="E401" s="4" t="n">
        <x:v>6.34</x:v>
      </x:c>
      <x:c r="F401" s="4" t="n">
        <x:v>8.87</x:v>
      </x:c>
      <x:c r="G401" s="4" t="n">
        <x:v>2.46</x:v>
      </x:c>
      <x:c r="H401" s="4" t="n">
        <x:v>5.07</x:v>
      </x:c>
      <x:c r="I401" s="4" t="n">
        <x:v>8.55</x:v>
      </x:c>
      <x:c r="J401" s="4" t="n">
        <x:v>5.43</x:v>
      </x:c>
      <x:c r="K401" s="4" t="n">
        <x:v>5.92</x:v>
      </x:c>
      <x:c r="L401" s="4" t="n">
        <x:v>2.47</x:v>
      </x:c>
      <x:c r="M401" s="4" t="n">
        <x:v>6.55</x:v>
      </x:c>
      <x:c r="N401" s="4" t="n">
        <x:v>6.74</x:v>
      </x:c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 t="str">
        <x:v>住宿费数量</x:v>
      </x:c>
      <x:c r="C402" s="4" t="n">
        <x:v>5.04</x:v>
      </x:c>
      <x:c r="D402" s="4" t="n">
        <x:v>4.47</x:v>
      </x:c>
      <x:c r="E402" s="4" t="n">
        <x:v>7.65</x:v>
      </x:c>
      <x:c r="F402" s="4" t="n">
        <x:v>3.55</x:v>
      </x:c>
      <x:c r="G402" s="4" t="n">
        <x:v>5.99</x:v>
      </x:c>
      <x:c r="H402" s="4" t="n">
        <x:v>2.49</x:v>
      </x:c>
      <x:c r="I402" s="4" t="n">
        <x:v>2.33</x:v>
      </x:c>
      <x:c r="J402" s="4" t="n">
        <x:v>4.6</x:v>
      </x:c>
      <x:c r="K402" s="4" t="n">
        <x:v>8.76</x:v>
      </x:c>
      <x:c r="L402" s="4" t="n">
        <x:v>5.2</x:v>
      </x:c>
      <x:c r="M402" s="4" t="n">
        <x:v>5.48</x:v>
      </x:c>
      <x:c r="N402" s="4" t="n">
        <x:v>5.12</x:v>
      </x:c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 t="str">
        <x:v>交通费数量</x:v>
      </x:c>
      <x:c r="C403" s="4" t="n">
        <x:v>8.87</x:v>
      </x:c>
      <x:c r="D403" s="4" t="n">
        <x:v>6.07</x:v>
      </x:c>
      <x:c r="E403" s="4" t="n">
        <x:v>6.08</x:v>
      </x:c>
      <x:c r="F403" s="4" t="n">
        <x:v>3.57</x:v>
      </x:c>
      <x:c r="G403" s="4" t="n">
        <x:v>8.18</x:v>
      </x:c>
      <x:c r="H403" s="4" t="n">
        <x:v>5.68</x:v>
      </x:c>
      <x:c r="I403" s="4" t="n">
        <x:v>8.6</x:v>
      </x:c>
      <x:c r="J403" s="4" t="n">
        <x:v>5.35</x:v>
      </x:c>
      <x:c r="K403" s="4" t="n">
        <x:v>3.81</x:v>
      </x:c>
      <x:c r="L403" s="4" t="n">
        <x:v>3.33</x:v>
      </x:c>
      <x:c r="M403" s="4" t="n">
        <x:v>7.73</x:v>
      </x:c>
      <x:c r="N403" s="4" t="n">
        <x:v>6.91</x:v>
      </x:c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 t="str">
        <x:v>差旅补贴数量</x:v>
      </x:c>
      <x:c r="C404" s="4" t="n">
        <x:v>8.77</x:v>
      </x:c>
      <x:c r="D404" s="4" t="n">
        <x:v>2.66</x:v>
      </x:c>
      <x:c r="E404" s="4" t="n">
        <x:v>2.34</x:v>
      </x:c>
      <x:c r="F404" s="4" t="n">
        <x:v>4.7</x:v>
      </x:c>
      <x:c r="G404" s="4" t="n">
        <x:v>5.99</x:v>
      </x:c>
      <x:c r="H404" s="4" t="n">
        <x:v>4.64</x:v>
      </x:c>
      <x:c r="I404" s="4" t="n">
        <x:v>6.9</x:v>
      </x:c>
      <x:c r="J404" s="4" t="n">
        <x:v>5.06</x:v>
      </x:c>
      <x:c r="K404" s="4" t="n">
        <x:v>5.55</x:v>
      </x:c>
      <x:c r="L404" s="4" t="n">
        <x:v>6.17</x:v>
      </x:c>
      <x:c r="M404" s="4" t="n">
        <x:v>5.76</x:v>
      </x:c>
      <x:c r="N404" s="4" t="n">
        <x:v>7.24</x:v>
      </x:c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 t="str">
        <x:v>业务招待费数量</x:v>
      </x:c>
      <x:c r="C405" s="4" t="n">
        <x:v>4.84</x:v>
      </x:c>
      <x:c r="D405" s="4" t="n">
        <x:v>7.05</x:v>
      </x:c>
      <x:c r="E405" s="4" t="n">
        <x:v>7.7</x:v>
      </x:c>
      <x:c r="F405" s="4" t="n">
        <x:v>5.35</x:v>
      </x:c>
      <x:c r="G405" s="4" t="n">
        <x:v>3.27</x:v>
      </x:c>
      <x:c r="H405" s="4" t="n">
        <x:v>3.66</x:v>
      </x:c>
      <x:c r="I405" s="4" t="n">
        <x:v>4.56</x:v>
      </x:c>
      <x:c r="J405" s="4" t="n">
        <x:v>5.13</x:v>
      </x:c>
      <x:c r="K405" s="4" t="n">
        <x:v>7.19</x:v>
      </x:c>
      <x:c r="L405" s="4" t="n">
        <x:v>6.49</x:v>
      </x:c>
      <x:c r="M405" s="4" t="n">
        <x:v>5.59</x:v>
      </x:c>
      <x:c r="N405" s="4" t="n">
        <x:v>7.95</x:v>
      </x:c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 t="str">
        <x:v>市内交通费数量</x:v>
      </x:c>
      <x:c r="C406" s="4" t="n">
        <x:v>5.99</x:v>
      </x:c>
      <x:c r="D406" s="4" t="n">
        <x:v>3.79</x:v>
      </x:c>
      <x:c r="E406" s="4" t="n">
        <x:v>7.39</x:v>
      </x:c>
      <x:c r="F406" s="4" t="n">
        <x:v>8.55</x:v>
      </x:c>
      <x:c r="G406" s="4" t="n">
        <x:v>8.51</x:v>
      </x:c>
      <x:c r="H406" s="4" t="n">
        <x:v>3.36</x:v>
      </x:c>
      <x:c r="I406" s="4" t="n">
        <x:v>8.3</x:v>
      </x:c>
      <x:c r="J406" s="4" t="n">
        <x:v>3.64</x:v>
      </x:c>
      <x:c r="K406" s="4" t="n">
        <x:v>3.58</x:v>
      </x:c>
      <x:c r="L406" s="4" t="n">
        <x:v>4.75</x:v>
      </x:c>
      <x:c r="M406" s="4" t="n">
        <x:v>7.72</x:v>
      </x:c>
      <x:c r="N406" s="4" t="n">
        <x:v>3.01</x:v>
      </x:c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 t="str">
        <x:v>调研费用数量</x:v>
      </x:c>
      <x:c r="C407" s="4" t="n">
        <x:v>3.6</x:v>
      </x:c>
      <x:c r="D407" s="4" t="n">
        <x:v>6.39</x:v>
      </x:c>
      <x:c r="E407" s="4" t="n">
        <x:v>3.95</x:v>
      </x:c>
      <x:c r="F407" s="4" t="n">
        <x:v>4.34</x:v>
      </x:c>
      <x:c r="G407" s="4" t="n">
        <x:v>2.85</x:v>
      </x:c>
      <x:c r="H407" s="4" t="n">
        <x:v>4.52</x:v>
      </x:c>
      <x:c r="I407" s="4" t="n">
        <x:v>4.16</x:v>
      </x:c>
      <x:c r="J407" s="4" t="n">
        <x:v>7.37</x:v>
      </x:c>
      <x:c r="K407" s="4" t="n">
        <x:v>5.1</x:v>
      </x:c>
      <x:c r="L407" s="4" t="n">
        <x:v>3.65</x:v>
      </x:c>
      <x:c r="M407" s="4" t="n">
        <x:v>8.62</x:v>
      </x:c>
      <x:c r="N407" s="4" t="n">
        <x:v>5.5</x:v>
      </x:c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 t="str">
        <x:v>手续费数量</x:v>
      </x:c>
      <x:c r="C408" s="4" t="n">
        <x:v>4.55</x:v>
      </x:c>
      <x:c r="D408" s="4" t="n">
        <x:v>4.42</x:v>
      </x:c>
      <x:c r="E408" s="4" t="n">
        <x:v>5.91</x:v>
      </x:c>
      <x:c r="F408" s="4" t="n">
        <x:v>4.82</x:v>
      </x:c>
      <x:c r="G408" s="4" t="n">
        <x:v>3.81</x:v>
      </x:c>
      <x:c r="H408" s="4" t="n">
        <x:v>5.54</x:v>
      </x:c>
      <x:c r="I408" s="4" t="n">
        <x:v>6.53</x:v>
      </x:c>
      <x:c r="J408" s="4" t="n">
        <x:v>6.56</x:v>
      </x:c>
      <x:c r="K408" s="4" t="n">
        <x:v>3.92</x:v>
      </x:c>
      <x:c r="L408" s="4" t="n">
        <x:v>3.1</x:v>
      </x:c>
      <x:c r="M408" s="4" t="n">
        <x:v>4.66</x:v>
      </x:c>
      <x:c r="N408" s="4" t="n">
        <x:v>7.07</x:v>
      </x:c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 t="str">
        <x:v>利息收入数量</x:v>
      </x:c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 t="str">
        <x:v>利息支出数量</x:v>
      </x:c>
      <x:c r="C410" s="4" t="n">
        <x:v>8.68</x:v>
      </x:c>
      <x:c r="D410" s="4" t="n">
        <x:v>5.97</x:v>
      </x:c>
      <x:c r="E410" s="4" t="n">
        <x:v>3.79</x:v>
      </x:c>
      <x:c r="F410" s="4" t="n">
        <x:v>8.05</x:v>
      </x:c>
      <x:c r="G410" s="4" t="n">
        <x:v>3.37</x:v>
      </x:c>
      <x:c r="H410" s="4" t="n">
        <x:v>2.34</x:v>
      </x:c>
      <x:c r="I410" s="4" t="n">
        <x:v>3.81</x:v>
      </x:c>
      <x:c r="J410" s="4" t="n">
        <x:v>2.75</x:v>
      </x:c>
      <x:c r="K410" s="4" t="n">
        <x:v>4.55</x:v>
      </x:c>
      <x:c r="L410" s="4" t="n">
        <x:v>3.22</x:v>
      </x:c>
      <x:c r="M410" s="4" t="n">
        <x:v>4.34</x:v>
      </x:c>
      <x:c r="N410" s="4" t="n">
        <x:v>7.41</x:v>
      </x:c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 t="str">
        <x:v>车船税数量</x:v>
      </x:c>
      <x:c r="C411" s="4" t="n">
        <x:v>8.05</x:v>
      </x:c>
      <x:c r="D411" s="4" t="n">
        <x:v>3.41</x:v>
      </x:c>
      <x:c r="E411" s="4" t="n">
        <x:v>3.74</x:v>
      </x:c>
      <x:c r="F411" s="4" t="n">
        <x:v>2.85</x:v>
      </x:c>
      <x:c r="G411" s="4" t="n">
        <x:v>3.81</x:v>
      </x:c>
      <x:c r="H411" s="4" t="n">
        <x:v>2.94</x:v>
      </x:c>
      <x:c r="I411" s="4" t="n">
        <x:v>2.33</x:v>
      </x:c>
      <x:c r="J411" s="4" t="n">
        <x:v>5.95</x:v>
      </x:c>
      <x:c r="K411" s="4" t="n">
        <x:v>3.04</x:v>
      </x:c>
      <x:c r="L411" s="4" t="n">
        <x:v>2.58</x:v>
      </x:c>
      <x:c r="M411" s="4" t="n">
        <x:v>6.45</x:v>
      </x:c>
      <x:c r="N411" s="4" t="n">
        <x:v>3.74</x:v>
      </x:c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 t="str">
        <x:v>印花税数量</x:v>
      </x:c>
      <x:c r="C412" s="4" t="n">
        <x:v>5.55</x:v>
      </x:c>
      <x:c r="D412" s="4" t="n">
        <x:v>8.43</x:v>
      </x:c>
      <x:c r="E412" s="4" t="n">
        <x:v>2.33</x:v>
      </x:c>
      <x:c r="F412" s="4" t="n">
        <x:v>3.58</x:v>
      </x:c>
      <x:c r="G412" s="4" t="n">
        <x:v>6.46</x:v>
      </x:c>
      <x:c r="H412" s="4" t="n">
        <x:v>3.26</x:v>
      </x:c>
      <x:c r="I412" s="4" t="n">
        <x:v>2.69</x:v>
      </x:c>
      <x:c r="J412" s="4" t="n">
        <x:v>7.02</x:v>
      </x:c>
      <x:c r="K412" s="4" t="n">
        <x:v>4.11</x:v>
      </x:c>
      <x:c r="L412" s="4" t="n">
        <x:v>8.66</x:v>
      </x:c>
      <x:c r="M412" s="4" t="n">
        <x:v>2.94</x:v>
      </x:c>
      <x:c r="N412" s="4" t="n">
        <x:v>3.3</x:v>
      </x:c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 t="str">
        <x:v>其他数量</x:v>
      </x:c>
      <x:c r="C413" s="4" t="n">
        <x:v>3.47</x:v>
      </x:c>
      <x:c r="D413" s="4" t="n">
        <x:v>5.99</x:v>
      </x:c>
      <x:c r="E413" s="4" t="n">
        <x:v>6.37</x:v>
      </x:c>
      <x:c r="F413" s="4" t="n">
        <x:v>8.51</x:v>
      </x:c>
      <x:c r="G413" s="4" t="n">
        <x:v>5.5</x:v>
      </x:c>
      <x:c r="H413" s="4" t="n">
        <x:v>3.67</x:v>
      </x:c>
      <x:c r="I413" s="4" t="n">
        <x:v>2.28</x:v>
      </x:c>
      <x:c r="J413" s="4" t="n">
        <x:v>6.39</x:v>
      </x:c>
      <x:c r="K413" s="4" t="n">
        <x:v>5.59</x:v>
      </x:c>
      <x:c r="L413" s="4" t="n">
        <x:v>7.02</x:v>
      </x:c>
      <x:c r="M413" s="4" t="n">
        <x:v>6.95</x:v>
      </x:c>
      <x:c r="N413" s="4" t="n">
        <x:v>7.16</x:v>
      </x:c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62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2.625" hidden="0" customWidth="1"/>
    <x:col min="17" max="17" width="12.625" hidden="0" customWidth="1"/>
    <x:col min="18" max="18" width="16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 t="str">
        <x:v>项目</x:v>
      </x:c>
      <x:c r="B2" s="2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 t="str">
        <x:v>合计</x:v>
      </x:c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 t="str">
        <x:v>员工费用</x:v>
      </x:c>
      <x:c r="B4" s="2" t="str">
        <x:v>工资</x:v>
      </x:c>
      <x:c r="C4" s="3" t="n">
        <x:f>'销售费用'!C4+'管理费用'!C4+'蓝恐龙费用'!C4</x:f>
        <x:v>637.48</x:v>
      </x:c>
      <x:c r="D4" s="3" t="n">
        <x:f>'销售费用'!D4+'管理费用'!D4+'蓝恐龙费用'!D4</x:f>
        <x:v>352.36</x:v>
      </x:c>
      <x:c r="E4" s="3" t="n">
        <x:f>'销售费用'!E4+'管理费用'!E4+'蓝恐龙费用'!E4</x:f>
        <x:v>626.48</x:v>
      </x:c>
      <x:c r="F4" s="3" t="n">
        <x:f>'销售费用'!F4+'管理费用'!F4+'蓝恐龙费用'!F4</x:f>
        <x:v>650.95</x:v>
      </x:c>
      <x:c r="G4" s="3" t="n">
        <x:f>'销售费用'!G4+'管理费用'!G4+'蓝恐龙费用'!G4</x:f>
        <x:v>484.8</x:v>
      </x:c>
      <x:c r="H4" s="3" t="n">
        <x:f>'销售费用'!H4+'管理费用'!H4+'蓝恐龙费用'!H4</x:f>
        <x:v>612.13</x:v>
      </x:c>
      <x:c r="I4" s="3" t="n">
        <x:f>'销售费用'!I4+'管理费用'!I4+'蓝恐龙费用'!I4</x:f>
        <x:v>842.53</x:v>
      </x:c>
      <x:c r="J4" s="3" t="n">
        <x:f>'销售费用'!J4+'管理费用'!J4+'蓝恐龙费用'!J4</x:f>
        <x:v>930.04</x:v>
      </x:c>
      <x:c r="K4" s="3" t="n">
        <x:f>'销售费用'!K4+'管理费用'!K4+'蓝恐龙费用'!K4</x:f>
        <x:v>665.28</x:v>
      </x:c>
      <x:c r="L4" s="3" t="n">
        <x:f>'销售费用'!L4+'管理费用'!L4+'蓝恐龙费用'!L4</x:f>
        <x:v>648.26</x:v>
      </x:c>
      <x:c r="M4" s="3" t="n">
        <x:f>'销售费用'!M4+'管理费用'!M4+'蓝恐龙费用'!M4</x:f>
        <x:v>892.54</x:v>
      </x:c>
      <x:c r="N4" s="3" t="n">
        <x:f>'销售费用'!N4+'管理费用'!N4+'蓝恐龙费用'!N4</x:f>
        <x:v>717.01</x:v>
      </x:c>
      <x:c r="O4" s="3" t="n">
        <x:f>SUM(C4:N4)</x:f>
        <x:v>8059.860000000001</x:v>
      </x:c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 t="str">
        <x:v>十三薪</x:v>
      </x:c>
      <x:c r="C5" s="3" t="n">
        <x:f>'销售费用'!C5+'管理费用'!C5+'蓝恐龙费用'!C5</x:f>
        <x:v>769.62</x:v>
      </x:c>
      <x:c r="D5" s="3" t="n">
        <x:f>'销售费用'!D5+'管理费用'!D5+'蓝恐龙费用'!D5</x:f>
        <x:v>399.59999999999997</x:v>
      </x:c>
      <x:c r="E5" s="3" t="n">
        <x:f>'销售费用'!E5+'管理费用'!E5+'蓝恐龙费用'!E5</x:f>
        <x:v>1043.1499999999999</x:v>
      </x:c>
      <x:c r="F5" s="3" t="n">
        <x:f>'销售费用'!F5+'管理费用'!F5+'蓝恐龙费用'!F5</x:f>
        <x:v>440.76</x:v>
      </x:c>
      <x:c r="G5" s="3" t="n">
        <x:f>'销售费用'!G5+'管理费用'!G5+'蓝恐龙费用'!G5</x:f>
        <x:v>1256.87</x:v>
      </x:c>
      <x:c r="H5" s="3" t="n">
        <x:f>'销售费用'!H5+'管理费用'!H5+'蓝恐龙费用'!H5</x:f>
        <x:v>410.56</x:v>
      </x:c>
      <x:c r="I5" s="3" t="n">
        <x:f>'销售费用'!I5+'管理费用'!I5+'蓝恐龙费用'!I5</x:f>
        <x:v>722.85</x:v>
      </x:c>
      <x:c r="J5" s="3" t="n">
        <x:f>'销售费用'!J5+'管理费用'!J5+'蓝恐龙费用'!J5</x:f>
        <x:v>488.96000000000004</x:v>
      </x:c>
      <x:c r="K5" s="3" t="n">
        <x:f>'销售费用'!K5+'管理费用'!K5+'蓝恐龙费用'!K5</x:f>
        <x:v>1191.12</x:v>
      </x:c>
      <x:c r="L5" s="3" t="n">
        <x:f>'销售费用'!L5+'管理费用'!L5+'蓝恐龙费用'!L5</x:f>
        <x:v>317.29999999999995</x:v>
      </x:c>
      <x:c r="M5" s="3" t="n">
        <x:f>'销售费用'!M5+'管理费用'!M5+'蓝恐龙费用'!M5</x:f>
        <x:v>623.75</x:v>
      </x:c>
      <x:c r="N5" s="3" t="n">
        <x:f>'销售费用'!N5+'管理费用'!N5+'蓝恐龙费用'!N5</x:f>
        <x:v>479.41999999999996</x:v>
      </x:c>
      <x:c r="O5" s="3" t="n">
        <x:f>SUM(C5:N5)</x:f>
        <x:v>8143.960000000001</x:v>
      </x:c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 t="str">
        <x:v>离职补偿金</x:v>
      </x:c>
      <x:c r="C6" s="3" t="n">
        <x:f>'销售费用'!C6+'管理费用'!C6+'蓝恐龙费用'!C6</x:f>
        <x:v>471.81</x:v>
      </x:c>
      <x:c r="D6" s="3" t="n">
        <x:f>'销售费用'!D6+'管理费用'!D6+'蓝恐龙费用'!D6</x:f>
        <x:v>290.07</x:v>
      </x:c>
      <x:c r="E6" s="3" t="n">
        <x:f>'销售费用'!E6+'管理费用'!E6+'蓝恐龙费用'!E6</x:f>
        <x:v>397.15000000000003</x:v>
      </x:c>
      <x:c r="F6" s="3" t="n">
        <x:f>'销售费用'!F6+'管理费用'!F6+'蓝恐龙费用'!F6</x:f>
        <x:v>677.32</x:v>
      </x:c>
      <x:c r="G6" s="3" t="n">
        <x:f>'销售费用'!G6+'管理费用'!G6+'蓝恐龙费用'!G6</x:f>
        <x:v>1089.28</x:v>
      </x:c>
      <x:c r="H6" s="3" t="n">
        <x:f>'销售费用'!H6+'管理费用'!H6+'蓝恐龙费用'!H6</x:f>
        <x:v>355.3299999999999</x:v>
      </x:c>
      <x:c r="I6" s="3" t="n">
        <x:f>'销售费用'!I6+'管理费用'!I6+'蓝恐龙费用'!I6</x:f>
        <x:v>556.1400000000001</x:v>
      </x:c>
      <x:c r="J6" s="3" t="n">
        <x:f>'销售费用'!J6+'管理费用'!J6+'蓝恐龙费用'!J6</x:f>
        <x:v>588.35</x:v>
      </x:c>
      <x:c r="K6" s="3" t="n">
        <x:f>'销售费用'!K6+'管理费用'!K6+'蓝恐龙费用'!K6</x:f>
        <x:v>486.58</x:v>
      </x:c>
      <x:c r="L6" s="3" t="n">
        <x:f>'销售费用'!L6+'管理费用'!L6+'蓝恐龙费用'!L6</x:f>
        <x:v>683.16</x:v>
      </x:c>
      <x:c r="M6" s="3" t="n">
        <x:f>'销售费用'!M6+'管理费用'!M6+'蓝恐龙费用'!M6</x:f>
        <x:v>558.08</x:v>
      </x:c>
      <x:c r="N6" s="3" t="n">
        <x:f>'销售费用'!N6+'管理费用'!N6+'蓝恐龙费用'!N6</x:f>
        <x:v>694.0799999999999</x:v>
      </x:c>
      <x:c r="O6" s="3" t="n">
        <x:f>SUM(C6:N6)</x:f>
        <x:v>6847.35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 t="str">
        <x:v>五险一金</x:v>
      </x:c>
      <x:c r="C7" s="3" t="n">
        <x:f>'销售费用'!C7+'管理费用'!C7+'蓝恐龙费用'!C7</x:f>
        <x:v>798.3299999999999</x:v>
      </x:c>
      <x:c r="D7" s="3" t="n">
        <x:f>'销售费用'!D7+'管理费用'!D7+'蓝恐龙费用'!D7</x:f>
        <x:v>497.6</x:v>
      </x:c>
      <x:c r="E7" s="3" t="n">
        <x:f>'销售费用'!E7+'管理费用'!E7+'蓝恐龙费用'!E7</x:f>
        <x:v>693.85</x:v>
      </x:c>
      <x:c r="F7" s="3" t="n">
        <x:f>'销售费用'!F7+'管理费用'!F7+'蓝恐龙费用'!F7</x:f>
        <x:v>1118.66</x:v>
      </x:c>
      <x:c r="G7" s="3" t="n">
        <x:f>'销售费用'!G7+'管理费用'!G7+'蓝恐龙费用'!G7</x:f>
        <x:v>1077.7</x:v>
      </x:c>
      <x:c r="H7" s="3" t="n">
        <x:f>'销售费用'!H7+'管理费用'!H7+'蓝恐龙费用'!H7</x:f>
        <x:v>972.8</x:v>
      </x:c>
      <x:c r="I7" s="3" t="n">
        <x:f>'销售费用'!I7+'管理费用'!I7+'蓝恐龙费用'!I7</x:f>
        <x:v>1137.7</x:v>
      </x:c>
      <x:c r="J7" s="3" t="n">
        <x:f>'销售费用'!J7+'管理费用'!J7+'蓝恐龙费用'!J7</x:f>
        <x:v>959.07</x:v>
      </x:c>
      <x:c r="K7" s="3" t="n">
        <x:f>'销售费用'!K7+'管理费用'!K7+'蓝恐龙费用'!K7</x:f>
        <x:v>672.11</x:v>
      </x:c>
      <x:c r="L7" s="3" t="n">
        <x:f>'销售费用'!L7+'管理费用'!L7+'蓝恐龙费用'!L7</x:f>
        <x:v>520.63</x:v>
      </x:c>
      <x:c r="M7" s="3" t="n">
        <x:f>'销售费用'!M7+'管理费用'!M7+'蓝恐龙费用'!M7</x:f>
        <x:v>961.28</x:v>
      </x:c>
      <x:c r="N7" s="3" t="n">
        <x:f>'销售费用'!N7+'管理费用'!N7+'蓝恐龙费用'!N7</x:f>
        <x:v>894.6700000000001</x:v>
      </x:c>
      <x:c r="O7" s="3" t="n">
        <x:f>SUM(C7:N7)</x:f>
        <x:v>10304.4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福利费</x:v>
      </x:c>
      <x:c r="C8" s="3" t="n">
        <x:f>'销售费用'!C8+'管理费用'!C8+'蓝恐龙费用'!C8</x:f>
        <x:v>646.7299999999999</x:v>
      </x:c>
      <x:c r="D8" s="3" t="n">
        <x:f>'销售费用'!D8+'管理费用'!D8+'蓝恐龙费用'!D8</x:f>
        <x:v>947</x:v>
      </x:c>
      <x:c r="E8" s="3" t="n">
        <x:f>'销售费用'!E8+'管理费用'!E8+'蓝恐龙费用'!E8</x:f>
        <x:v>644.89</x:v>
      </x:c>
      <x:c r="F8" s="3" t="n">
        <x:f>'销售费用'!F8+'管理费用'!F8+'蓝恐龙费用'!F8</x:f>
        <x:v>534.3499999999999</x:v>
      </x:c>
      <x:c r="G8" s="3" t="n">
        <x:f>'销售费用'!G8+'管理费用'!G8+'蓝恐龙费用'!G8</x:f>
        <x:v>495.68</x:v>
      </x:c>
      <x:c r="H8" s="3" t="n">
        <x:f>'销售费用'!H8+'管理费用'!H8+'蓝恐龙费用'!H8</x:f>
        <x:v>1042.97</x:v>
      </x:c>
      <x:c r="I8" s="3" t="n">
        <x:f>'销售费用'!I8+'管理费用'!I8+'蓝恐龙费用'!I8</x:f>
        <x:v>715.19</x:v>
      </x:c>
      <x:c r="J8" s="3" t="n">
        <x:f>'销售费用'!J8+'管理费用'!J8+'蓝恐龙费用'!J8</x:f>
        <x:v>994.01</x:v>
      </x:c>
      <x:c r="K8" s="3" t="n">
        <x:f>'销售费用'!K8+'管理费用'!K8+'蓝恐龙费用'!K8</x:f>
        <x:v>777.1300000000001</x:v>
      </x:c>
      <x:c r="L8" s="3" t="n">
        <x:f>'销售费用'!L8+'管理费用'!L8+'蓝恐龙费用'!L8</x:f>
        <x:v>861.1999999999999</x:v>
      </x:c>
      <x:c r="M8" s="3" t="n">
        <x:f>'销售费用'!M8+'管理费用'!M8+'蓝恐龙费用'!M8</x:f>
        <x:v>528.6600000000001</x:v>
      </x:c>
      <x:c r="N8" s="3" t="n">
        <x:f>'销售费用'!N8+'管理费用'!N8+'蓝恐龙费用'!N8</x:f>
        <x:v>1074.36</x:v>
      </x:c>
      <x:c r="O8" s="3" t="n">
        <x:f>SUM(C8:N8)</x:f>
        <x:v>9262.17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 t="str">
        <x:v>招聘费</x:v>
      </x:c>
      <x:c r="C9" s="3" t="n">
        <x:f>'销售费用'!C9+'管理费用'!C9+'蓝恐龙费用'!C9</x:f>
        <x:v>761.0899999999999</x:v>
      </x:c>
      <x:c r="D9" s="3" t="n">
        <x:f>'销售费用'!D9+'管理费用'!D9+'蓝恐龙费用'!D9</x:f>
        <x:v>888.9000000000001</x:v>
      </x:c>
      <x:c r="E9" s="3" t="n">
        <x:f>'销售费用'!E9+'管理费用'!E9+'蓝恐龙费用'!E9</x:f>
        <x:v>814.9499999999999</x:v>
      </x:c>
      <x:c r="F9" s="3" t="n">
        <x:f>'销售费用'!F9+'管理费用'!F9+'蓝恐龙费用'!F9</x:f>
        <x:v>627.34</x:v>
      </x:c>
      <x:c r="G9" s="3" t="n">
        <x:f>'销售费用'!G9+'管理费用'!G9+'蓝恐龙费用'!G9</x:f>
        <x:v>739.31</x:v>
      </x:c>
      <x:c r="H9" s="3" t="n">
        <x:f>'销售费用'!H9+'管理费用'!H9+'蓝恐龙费用'!H9</x:f>
        <x:v>657.33</x:v>
      </x:c>
      <x:c r="I9" s="3" t="n">
        <x:f>'销售费用'!I9+'管理费用'!I9+'蓝恐龙费用'!I9</x:f>
        <x:v>812.28</x:v>
      </x:c>
      <x:c r="J9" s="3" t="n">
        <x:f>'销售费用'!J9+'管理费用'!J9+'蓝恐龙费用'!J9</x:f>
        <x:v>356.5</x:v>
      </x:c>
      <x:c r="K9" s="3" t="n">
        <x:f>'销售费用'!K9+'管理费用'!K9+'蓝恐龙费用'!K9</x:f>
        <x:v>676.04</x:v>
      </x:c>
      <x:c r="L9" s="3" t="n">
        <x:f>'销售费用'!L9+'管理费用'!L9+'蓝恐龙费用'!L9</x:f>
        <x:v>603.5699999999999</x:v>
      </x:c>
      <x:c r="M9" s="3" t="n">
        <x:f>'销售费用'!M9+'管理费用'!M9+'蓝恐龙费用'!M9</x:f>
        <x:v>730.25</x:v>
      </x:c>
      <x:c r="N9" s="3" t="n">
        <x:f>'销售费用'!N9+'管理费用'!N9+'蓝恐龙费用'!N9</x:f>
        <x:v>757.53</x:v>
      </x:c>
      <x:c r="O9" s="3" t="n">
        <x:f>SUM(C9:N9)</x:f>
        <x:v>8425.09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 t="str">
        <x:v>培训费</x:v>
      </x:c>
      <x:c r="C10" s="3" t="n">
        <x:f>'销售费用'!C10+'管理费用'!C10+'蓝恐龙费用'!C10</x:f>
        <x:v>795.54</x:v>
      </x:c>
      <x:c r="D10" s="3" t="n">
        <x:f>'销售费用'!D10+'管理费用'!D10+'蓝恐龙费用'!D10</x:f>
        <x:v>931.27</x:v>
      </x:c>
      <x:c r="E10" s="3" t="n">
        <x:f>'销售费用'!E10+'管理费用'!E10+'蓝恐龙费用'!E10</x:f>
        <x:v>706.88</x:v>
      </x:c>
      <x:c r="F10" s="3" t="n">
        <x:f>'销售费用'!F10+'管理费用'!F10+'蓝恐龙费用'!F10</x:f>
        <x:v>1100.52</x:v>
      </x:c>
      <x:c r="G10" s="3" t="n">
        <x:f>'销售费用'!G10+'管理费用'!G10+'蓝恐龙费用'!G10</x:f>
        <x:v>825.55</x:v>
      </x:c>
      <x:c r="H10" s="3" t="n">
        <x:f>'销售费用'!H10+'管理费用'!H10+'蓝恐龙费用'!H10</x:f>
        <x:v>704.25</x:v>
      </x:c>
      <x:c r="I10" s="3" t="n">
        <x:f>'销售费用'!I10+'管理费用'!I10+'蓝恐龙费用'!I10</x:f>
        <x:v>694.19</x:v>
      </x:c>
      <x:c r="J10" s="3" t="n">
        <x:f>'销售费用'!J10+'管理费用'!J10+'蓝恐龙费用'!J10</x:f>
        <x:v>553.72</x:v>
      </x:c>
      <x:c r="K10" s="3" t="n">
        <x:f>'销售费用'!K10+'管理费用'!K10+'蓝恐龙费用'!K10</x:f>
        <x:v>769.8</x:v>
      </x:c>
      <x:c r="L10" s="3" t="n">
        <x:f>'销售费用'!L10+'管理费用'!L10+'蓝恐龙费用'!L10</x:f>
        <x:v>849.6500000000001</x:v>
      </x:c>
      <x:c r="M10" s="3" t="n">
        <x:f>'销售费用'!M10+'管理费用'!M10+'蓝恐龙费用'!M10</x:f>
        <x:v>364.19000000000005</x:v>
      </x:c>
      <x:c r="N10" s="3" t="n">
        <x:f>'销售费用'!N10+'管理费用'!N10+'蓝恐龙费用'!N10</x:f>
        <x:v>550.52</x:v>
      </x:c>
      <x:c r="O10" s="3" t="n">
        <x:f>SUM(C10:N10)</x:f>
        <x:v>8846.080000000002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房租</x:v>
      </x:c>
      <x:c r="C11" s="3" t="n">
        <x:f>'销售费用'!C11+'管理费用'!C11+'蓝恐龙费用'!C11</x:f>
        <x:v>560.4300000000001</x:v>
      </x:c>
      <x:c r="D11" s="3" t="n">
        <x:f>'销售费用'!D11+'管理费用'!D11+'蓝恐龙费用'!D11</x:f>
        <x:v>1236.72</x:v>
      </x:c>
      <x:c r="E11" s="3" t="n">
        <x:f>'销售费用'!E11+'管理费用'!E11+'蓝恐龙费用'!E11</x:f>
        <x:v>577.68</x:v>
      </x:c>
      <x:c r="F11" s="3" t="n">
        <x:f>'销售费用'!F11+'管理费用'!F11+'蓝恐龙费用'!F11</x:f>
        <x:v>590.15</x:v>
      </x:c>
      <x:c r="G11" s="3" t="n">
        <x:f>'销售费用'!G11+'管理费用'!G11+'蓝恐龙费用'!G11</x:f>
        <x:v>720.4000000000001</x:v>
      </x:c>
      <x:c r="H11" s="3" t="n">
        <x:f>'销售费用'!H11+'管理费用'!H11+'蓝恐龙费用'!H11</x:f>
        <x:v>1063.44</x:v>
      </x:c>
      <x:c r="I11" s="3" t="n">
        <x:f>'销售费用'!I11+'管理费用'!I11+'蓝恐龙费用'!I11</x:f>
        <x:v>801.59</x:v>
      </x:c>
      <x:c r="J11" s="3" t="n">
        <x:f>'销售费用'!J11+'管理费用'!J11+'蓝恐龙费用'!J11</x:f>
        <x:v>635.53</x:v>
      </x:c>
      <x:c r="K11" s="3" t="n">
        <x:f>'销售费用'!K11+'管理费用'!K11+'蓝恐龙费用'!K11</x:f>
        <x:v>510.42</x:v>
      </x:c>
      <x:c r="L11" s="3" t="n">
        <x:f>'销售费用'!L11+'管理费用'!L11+'蓝恐龙费用'!L11</x:f>
        <x:v>362.82</x:v>
      </x:c>
      <x:c r="M11" s="3" t="n">
        <x:f>'销售费用'!M11+'管理费用'!M11+'蓝恐龙费用'!M11</x:f>
        <x:v>654.53</x:v>
      </x:c>
      <x:c r="N11" s="3" t="n">
        <x:f>'销售费用'!N11+'管理费用'!N11+'蓝恐龙费用'!N11</x:f>
        <x:v>950.63</x:v>
      </x:c>
      <x:c r="O11" s="3" t="n">
        <x:f>SUM(C11:N11)</x:f>
        <x:v>8664.339999999998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物业管理费</x:v>
      </x:c>
      <x:c r="C12" s="3" t="n">
        <x:f>'销售费用'!C12+'管理费用'!C12+'蓝恐龙费用'!C12</x:f>
        <x:v>524.5799999999999</x:v>
      </x:c>
      <x:c r="D12" s="3" t="n">
        <x:f>'销售费用'!D12+'管理费用'!D12+'蓝恐龙费用'!D12</x:f>
        <x:v>448.1</x:v>
      </x:c>
      <x:c r="E12" s="3" t="n">
        <x:f>'销售费用'!E12+'管理费用'!E12+'蓝恐龙费用'!E12</x:f>
        <x:v>1204.54</x:v>
      </x:c>
      <x:c r="F12" s="3" t="n">
        <x:f>'销售费用'!F12+'管理费用'!F12+'蓝恐龙费用'!F12</x:f>
        <x:v>738.12</x:v>
      </x:c>
      <x:c r="G12" s="3" t="n">
        <x:f>'销售费用'!G12+'管理费用'!G12+'蓝恐龙费用'!G12</x:f>
        <x:v>859.1</x:v>
      </x:c>
      <x:c r="H12" s="3" t="n">
        <x:f>'销售费用'!H12+'管理费用'!H12+'蓝恐龙费用'!H12</x:f>
        <x:v>819.0699999999999</x:v>
      </x:c>
      <x:c r="I12" s="3" t="n">
        <x:f>'销售费用'!I12+'管理费用'!I12+'蓝恐龙费用'!I12</x:f>
        <x:v>839.13</x:v>
      </x:c>
      <x:c r="J12" s="3" t="n">
        <x:f>'销售费用'!J12+'管理费用'!J12+'蓝恐龙费用'!J12</x:f>
        <x:v>541.78</x:v>
      </x:c>
      <x:c r="K12" s="3" t="n">
        <x:f>'销售费用'!K12+'管理费用'!K12+'蓝恐龙费用'!K12</x:f>
        <x:v>938.8</x:v>
      </x:c>
      <x:c r="L12" s="3" t="n">
        <x:f>'销售费用'!L12+'管理费用'!L12+'蓝恐龙费用'!L12</x:f>
        <x:v>919.23</x:v>
      </x:c>
      <x:c r="M12" s="3" t="n">
        <x:f>'销售费用'!M12+'管理费用'!M12+'蓝恐龙费用'!M12</x:f>
        <x:v>939.71</x:v>
      </x:c>
      <x:c r="N12" s="3" t="n">
        <x:f>'销售费用'!N12+'管理费用'!N12+'蓝恐龙费用'!N12</x:f>
        <x:v>679.56</x:v>
      </x:c>
      <x:c r="O12" s="3" t="n">
        <x:f>SUM(C12:N12)</x:f>
        <x:v>9451.72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 t="str">
        <x:v>汽车费用</x:v>
      </x:c>
      <x:c r="C13" s="3" t="n">
        <x:f>'销售费用'!C13+'管理费用'!C13+'蓝恐龙费用'!C13</x:f>
        <x:v>1023.09</x:v>
      </x:c>
      <x:c r="D13" s="3" t="n">
        <x:f>'销售费用'!D13+'管理费用'!D13+'蓝恐龙费用'!D13</x:f>
        <x:v>955.3199999999999</x:v>
      </x:c>
      <x:c r="E13" s="3" t="n">
        <x:f>'销售费用'!E13+'管理费用'!E13+'蓝恐龙费用'!E13</x:f>
        <x:v>551.54</x:v>
      </x:c>
      <x:c r="F13" s="3" t="n">
        <x:f>'销售费用'!F13+'管理费用'!F13+'蓝恐龙费用'!F13</x:f>
        <x:v>555.88</x:v>
      </x:c>
      <x:c r="G13" s="3" t="n">
        <x:f>'销售费用'!G13+'管理费用'!G13+'蓝恐龙费用'!G13</x:f>
        <x:v>460.67</x:v>
      </x:c>
      <x:c r="H13" s="3" t="n">
        <x:f>'销售费用'!H13+'管理费用'!H13+'蓝恐龙费用'!H13</x:f>
        <x:v>649.61</x:v>
      </x:c>
      <x:c r="I13" s="3" t="n">
        <x:f>'销售费用'!I13+'管理费用'!I13+'蓝恐龙费用'!I13</x:f>
        <x:v>1037.03</x:v>
      </x:c>
      <x:c r="J13" s="3" t="n">
        <x:f>'销售费用'!J13+'管理费用'!J13+'蓝恐龙费用'!J13</x:f>
        <x:v>690.99</x:v>
      </x:c>
      <x:c r="K13" s="3" t="n">
        <x:f>'销售费用'!K13+'管理费用'!K13+'蓝恐龙费用'!K13</x:f>
        <x:v>994.01</x:v>
      </x:c>
      <x:c r="L13" s="3" t="n">
        <x:f>'销售费用'!L13+'管理费用'!L13+'蓝恐龙费用'!L13</x:f>
        <x:v>1075.8000000000002</x:v>
      </x:c>
      <x:c r="M13" s="3" t="n">
        <x:f>'销售费用'!M13+'管理费用'!M13+'蓝恐龙费用'!M13</x:f>
        <x:v>763.81</x:v>
      </x:c>
      <x:c r="N13" s="3" t="n">
        <x:f>'销售费用'!N13+'管理费用'!N13+'蓝恐龙费用'!N13</x:f>
        <x:v>632.6500000000001</x:v>
      </x:c>
      <x:c r="O13" s="3" t="n">
        <x:f>SUM(C13:N13)</x:f>
        <x:v>9390.4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 t="str">
        <x:v>办公费</x:v>
      </x:c>
      <x:c r="C14" s="3" t="n">
        <x:f>'销售费用'!C14+'管理费用'!C14+'蓝恐龙费用'!C14</x:f>
        <x:v>739.26</x:v>
      </x:c>
      <x:c r="D14" s="3" t="n">
        <x:f>'销售费用'!D14+'管理费用'!D14+'蓝恐龙费用'!D14</x:f>
        <x:v>616.38</x:v>
      </x:c>
      <x:c r="E14" s="3" t="n">
        <x:f>'销售费用'!E14+'管理费用'!E14+'蓝恐龙费用'!E14</x:f>
        <x:v>894.6</x:v>
      </x:c>
      <x:c r="F14" s="3" t="n">
        <x:f>'销售费用'!F14+'管理费用'!F14+'蓝恐龙费用'!F14</x:f>
        <x:v>767.54</x:v>
      </x:c>
      <x:c r="G14" s="3" t="n">
        <x:f>'销售费用'!G14+'管理费用'!G14+'蓝恐龙费用'!G14</x:f>
        <x:v>499.73</x:v>
      </x:c>
      <x:c r="H14" s="3" t="n">
        <x:f>'销售费用'!H14+'管理费用'!H14+'蓝恐龙费用'!H14</x:f>
        <x:v>553.74</x:v>
      </x:c>
      <x:c r="I14" s="3" t="n">
        <x:f>'销售费用'!I14+'管理费用'!I14+'蓝恐龙费用'!I14</x:f>
        <x:v>964.2099999999999</x:v>
      </x:c>
      <x:c r="J14" s="3" t="n">
        <x:f>'销售费用'!J14+'管理费用'!J14+'蓝恐龙费用'!J14</x:f>
        <x:v>597.18</x:v>
      </x:c>
      <x:c r="K14" s="3" t="n">
        <x:f>'销售费用'!K14+'管理费用'!K14+'蓝恐龙费用'!K14</x:f>
        <x:v>1014.4300000000001</x:v>
      </x:c>
      <x:c r="L14" s="3" t="n">
        <x:f>'销售费用'!L14+'管理费用'!L14+'蓝恐龙费用'!L14</x:f>
        <x:v>691.31</x:v>
      </x:c>
      <x:c r="M14" s="3" t="n">
        <x:f>'销售费用'!M14+'管理费用'!M14+'蓝恐龙费用'!M14</x:f>
        <x:v>800.54</x:v>
      </x:c>
      <x:c r="N14" s="3" t="n">
        <x:f>'销售费用'!N14+'管理费用'!N14+'蓝恐龙费用'!N14</x:f>
        <x:v>668.87</x:v>
      </x:c>
      <x:c r="O14" s="3" t="n">
        <x:f>SUM(C14:N14)</x:f>
        <x:v>8807.79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 t="str">
        <x:v>办公用品</x:v>
      </x:c>
      <x:c r="C15" s="3" t="n">
        <x:f>'销售费用'!C15+'管理费用'!C15+'蓝恐龙费用'!C15</x:f>
        <x:v>669.32</x:v>
      </x:c>
      <x:c r="D15" s="3" t="n">
        <x:f>'销售费用'!D15+'管理费用'!D15+'蓝恐龙费用'!D15</x:f>
        <x:v>421.69</x:v>
      </x:c>
      <x:c r="E15" s="3" t="n">
        <x:f>'销售费用'!E15+'管理费用'!E15+'蓝恐龙费用'!E15</x:f>
        <x:v>733.1</x:v>
      </x:c>
      <x:c r="F15" s="3" t="n">
        <x:f>'销售费用'!F15+'管理费用'!F15+'蓝恐龙费用'!F15</x:f>
        <x:v>494.95000000000005</x:v>
      </x:c>
      <x:c r="G15" s="3" t="n">
        <x:f>'销售费用'!G15+'管理费用'!G15+'蓝恐龙费用'!G15</x:f>
        <x:v>485.42</x:v>
      </x:c>
      <x:c r="H15" s="3" t="n">
        <x:f>'销售费用'!H15+'管理费用'!H15+'蓝恐龙费用'!H15</x:f>
        <x:v>696.51</x:v>
      </x:c>
      <x:c r="I15" s="3" t="n">
        <x:f>'销售费用'!I15+'管理费用'!I15+'蓝恐龙费用'!I15</x:f>
        <x:v>597.31</x:v>
      </x:c>
      <x:c r="J15" s="3" t="n">
        <x:f>'销售费用'!J15+'管理费用'!J15+'蓝恐龙费用'!J15</x:f>
        <x:v>829.67</x:v>
      </x:c>
      <x:c r="K15" s="3" t="n">
        <x:f>'销售费用'!K15+'管理费用'!K15+'蓝恐龙费用'!K15</x:f>
        <x:v>672.05</x:v>
      </x:c>
      <x:c r="L15" s="3" t="n">
        <x:f>'销售费用'!L15+'管理费用'!L15+'蓝恐龙费用'!L15</x:f>
        <x:v>561.6800000000001</x:v>
      </x:c>
      <x:c r="M15" s="3" t="n">
        <x:f>'销售费用'!M15+'管理费用'!M15+'蓝恐龙费用'!M15</x:f>
        <x:v>529.32</x:v>
      </x:c>
      <x:c r="N15" s="3" t="n">
        <x:f>'销售费用'!N15+'管理费用'!N15+'蓝恐龙费用'!N15</x:f>
        <x:v>1113.07</x:v>
      </x:c>
      <x:c r="O15" s="3" t="n">
        <x:f>SUM(C15:N15)</x:f>
        <x:v>7804.090000000001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 t="str">
        <x:v>水电煤</x:v>
      </x:c>
      <x:c r="C16" s="3" t="n">
        <x:f>'销售费用'!C16+'管理费用'!C16+'蓝恐龙费用'!C16</x:f>
        <x:v>694.8199999999999</x:v>
      </x:c>
      <x:c r="D16" s="3" t="n">
        <x:f>'销售费用'!D16+'管理费用'!D16+'蓝恐龙费用'!D16</x:f>
        <x:v>326.47</x:v>
      </x:c>
      <x:c r="E16" s="3" t="n">
        <x:f>'销售费用'!E16+'管理费用'!E16+'蓝恐龙费用'!E16</x:f>
        <x:v>477.96</x:v>
      </x:c>
      <x:c r="F16" s="3" t="n">
        <x:f>'销售费用'!F16+'管理费用'!F16+'蓝恐龙费用'!F16</x:f>
        <x:v>740.34</x:v>
      </x:c>
      <x:c r="G16" s="3" t="n">
        <x:f>'销售费用'!G16+'管理费用'!G16+'蓝恐龙费用'!G16</x:f>
        <x:v>607.05</x:v>
      </x:c>
      <x:c r="H16" s="3" t="n">
        <x:f>'销售费用'!H16+'管理费用'!H16+'蓝恐龙费用'!H16</x:f>
        <x:v>486.3</x:v>
      </x:c>
      <x:c r="I16" s="3" t="n">
        <x:f>'销售费用'!I16+'管理费用'!I16+'蓝恐龙费用'!I16</x:f>
        <x:v>352.53999999999996</x:v>
      </x:c>
      <x:c r="J16" s="3" t="n">
        <x:f>'销售费用'!J16+'管理费用'!J16+'蓝恐龙费用'!J16</x:f>
        <x:v>769.05</x:v>
      </x:c>
      <x:c r="K16" s="3" t="n">
        <x:f>'销售费用'!K16+'管理费用'!K16+'蓝恐龙费用'!K16</x:f>
        <x:v>781.66</x:v>
      </x:c>
      <x:c r="L16" s="3" t="n">
        <x:f>'销售费用'!L16+'管理费用'!L16+'蓝恐龙费用'!L16</x:f>
        <x:v>1098.13</x:v>
      </x:c>
      <x:c r="M16" s="3" t="n">
        <x:f>'销售费用'!M16+'管理费用'!M16+'蓝恐龙费用'!M16</x:f>
        <x:v>696.73</x:v>
      </x:c>
      <x:c r="N16" s="3" t="n">
        <x:f>'销售费用'!N16+'管理费用'!N16+'蓝恐龙费用'!N16</x:f>
        <x:v>1047.8500000000001</x:v>
      </x:c>
      <x:c r="O16" s="3" t="n">
        <x:f>SUM(C16:N16)</x:f>
        <x:v>8078.9000000000015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 t="str">
        <x:v>咨询服务费</x:v>
      </x:c>
      <x:c r="C17" s="3" t="n">
        <x:f>'销售费用'!C17+'管理费用'!C17+'蓝恐龙费用'!C17</x:f>
        <x:v>334.90999999999997</x:v>
      </x:c>
      <x:c r="D17" s="3" t="n">
        <x:f>'销售费用'!D17+'管理费用'!D17+'蓝恐龙费用'!D17</x:f>
        <x:v>770.23</x:v>
      </x:c>
      <x:c r="E17" s="3" t="n">
        <x:f>'销售费用'!E17+'管理费用'!E17+'蓝恐龙费用'!E17</x:f>
        <x:v>795.91</x:v>
      </x:c>
      <x:c r="F17" s="3" t="n">
        <x:f>'销售费用'!F17+'管理费用'!F17+'蓝恐龙费用'!F17</x:f>
        <x:v>874.69</x:v>
      </x:c>
      <x:c r="G17" s="3" t="n">
        <x:f>'销售费用'!G17+'管理费用'!G17+'蓝恐龙费用'!G17</x:f>
        <x:v>518.27</x:v>
      </x:c>
      <x:c r="H17" s="3" t="n">
        <x:f>'销售费用'!H17+'管理费用'!H17+'蓝恐龙费用'!H17</x:f>
        <x:v>535.88</x:v>
      </x:c>
      <x:c r="I17" s="3" t="n">
        <x:f>'销售费用'!I17+'管理费用'!I17+'蓝恐龙费用'!I17</x:f>
        <x:v>945.3199999999999</x:v>
      </x:c>
      <x:c r="J17" s="3" t="n">
        <x:f>'销售费用'!J17+'管理费用'!J17+'蓝恐龙费用'!J17</x:f>
        <x:v>757.52</x:v>
      </x:c>
      <x:c r="K17" s="3" t="n">
        <x:f>'销售费用'!K17+'管理费用'!K17+'蓝恐龙费用'!K17</x:f>
        <x:v>598.35</x:v>
      </x:c>
      <x:c r="L17" s="3" t="n">
        <x:f>'销售费用'!L17+'管理费用'!L17+'蓝恐龙费用'!L17</x:f>
        <x:v>1060.87</x:v>
      </x:c>
      <x:c r="M17" s="3" t="n">
        <x:f>'销售费用'!M17+'管理费用'!M17+'蓝恐龙费用'!M17</x:f>
        <x:v>634.12</x:v>
      </x:c>
      <x:c r="N17" s="3" t="n">
        <x:f>'销售费用'!N17+'管理费用'!N17+'蓝恐龙费用'!N17</x:f>
        <x:v>685.02</x:v>
      </x:c>
      <x:c r="O17" s="3" t="n">
        <x:f>SUM(C17:N17)</x:f>
        <x:v>8511.09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 t="str">
        <x:v>电话费</x:v>
      </x:c>
      <x:c r="C18" s="3" t="n">
        <x:f>'销售费用'!C18+'管理费用'!C18+'蓝恐龙费用'!C18</x:f>
        <x:v>400.13</x:v>
      </x:c>
      <x:c r="D18" s="3" t="n">
        <x:f>'销售费用'!D18+'管理费用'!D18+'蓝恐龙费用'!D18</x:f>
        <x:v>761.39</x:v>
      </x:c>
      <x:c r="E18" s="3" t="n">
        <x:f>'销售费用'!E18+'管理费用'!E18+'蓝恐龙费用'!E18</x:f>
        <x:v>1020.6899999999999</x:v>
      </x:c>
      <x:c r="F18" s="3" t="n">
        <x:f>'销售费用'!F18+'管理费用'!F18+'蓝恐龙费用'!F18</x:f>
        <x:v>745.73</x:v>
      </x:c>
      <x:c r="G18" s="3" t="n">
        <x:f>'销售费用'!G18+'管理费用'!G18+'蓝恐龙费用'!G18</x:f>
        <x:v>435.92999999999995</x:v>
      </x:c>
      <x:c r="H18" s="3" t="n">
        <x:f>'销售费用'!H18+'管理费用'!H18+'蓝恐龙费用'!H18</x:f>
        <x:v>379.06</x:v>
      </x:c>
      <x:c r="I18" s="3" t="n">
        <x:f>'销售费用'!I18+'管理费用'!I18+'蓝恐龙费用'!I18</x:f>
        <x:v>528.87</x:v>
      </x:c>
      <x:c r="J18" s="3" t="n">
        <x:f>'销售费用'!J18+'管理费用'!J18+'蓝恐龙费用'!J18</x:f>
        <x:v>499.74</x:v>
      </x:c>
      <x:c r="K18" s="3" t="n">
        <x:f>'销售费用'!K18+'管理费用'!K18+'蓝恐龙费用'!K18</x:f>
        <x:v>692.87</x:v>
      </x:c>
      <x:c r="L18" s="3" t="n">
        <x:f>'销售费用'!L18+'管理费用'!L18+'蓝恐龙费用'!L18</x:f>
        <x:v>439.61</x:v>
      </x:c>
      <x:c r="M18" s="3" t="n">
        <x:f>'销售费用'!M18+'管理费用'!M18+'蓝恐龙费用'!M18</x:f>
        <x:v>421.38</x:v>
      </x:c>
      <x:c r="N18" s="3" t="n">
        <x:f>'销售费用'!N18+'管理费用'!N18+'蓝恐龙费用'!N18</x:f>
        <x:v>1118.71</x:v>
      </x:c>
      <x:c r="O18" s="3" t="n">
        <x:f>SUM(C18:N18)</x:f>
        <x:v>7444.11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 t="str">
        <x:v>快递费</x:v>
      </x:c>
      <x:c r="C19" s="3" t="n">
        <x:f>'销售费用'!C19+'管理费用'!C19+'蓝恐龙费用'!C19</x:f>
        <x:v>527.03</x:v>
      </x:c>
      <x:c r="D19" s="3" t="n">
        <x:f>'销售费用'!D19+'管理费用'!D19+'蓝恐龙费用'!D19</x:f>
        <x:v>534.63</x:v>
      </x:c>
      <x:c r="E19" s="3" t="n">
        <x:f>'销售费用'!E19+'管理费用'!E19+'蓝恐龙费用'!E19</x:f>
        <x:v>1109.1100000000001</x:v>
      </x:c>
      <x:c r="F19" s="3" t="n">
        <x:f>'销售费用'!F19+'管理费用'!F19+'蓝恐龙费用'!F19</x:f>
        <x:v>805.94</x:v>
      </x:c>
      <x:c r="G19" s="3" t="n">
        <x:f>'销售费用'!G19+'管理费用'!G19+'蓝恐龙费用'!G19</x:f>
        <x:v>773.71</x:v>
      </x:c>
      <x:c r="H19" s="3" t="n">
        <x:f>'销售费用'!H19+'管理费用'!H19+'蓝恐龙费用'!H19</x:f>
        <x:v>568.28</x:v>
      </x:c>
      <x:c r="I19" s="3" t="n">
        <x:f>'销售费用'!I19+'管理费用'!I19+'蓝恐龙费用'!I19</x:f>
        <x:v>480.07000000000005</x:v>
      </x:c>
      <x:c r="J19" s="3" t="n">
        <x:f>'销售费用'!J19+'管理费用'!J19+'蓝恐龙费用'!J19</x:f>
        <x:v>554.73</x:v>
      </x:c>
      <x:c r="K19" s="3" t="n">
        <x:f>'销售费用'!K19+'管理费用'!K19+'蓝恐龙费用'!K19</x:f>
        <x:v>728.62</x:v>
      </x:c>
      <x:c r="L19" s="3" t="n">
        <x:f>'销售费用'!L19+'管理费用'!L19+'蓝恐龙费用'!L19</x:f>
        <x:v>354.73</x:v>
      </x:c>
      <x:c r="M19" s="3" t="n">
        <x:f>'销售费用'!M19+'管理费用'!M19+'蓝恐龙费用'!M19</x:f>
        <x:v>555.73</x:v>
      </x:c>
      <x:c r="N19" s="3" t="n">
        <x:f>'销售费用'!N19+'管理费用'!N19+'蓝恐龙费用'!N19</x:f>
        <x:v>1359.03</x:v>
      </x:c>
      <x:c r="O19" s="3" t="n">
        <x:f>SUM(C19:N19)</x:f>
        <x:v>8351.61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折旧及摊销</x:v>
      </x:c>
      <x:c r="C20" s="3" t="n">
        <x:f>'销售费用'!C20+'管理费用'!C20+'蓝恐龙费用'!C20</x:f>
        <x:v>1622.91</x:v>
      </x:c>
      <x:c r="D20" s="3" t="n">
        <x:f>'销售费用'!D20+'管理费用'!D20+'蓝恐龙费用'!D20</x:f>
        <x:v>1622.91</x:v>
      </x:c>
      <x:c r="E20" s="3" t="n">
        <x:f>'销售费用'!E20+'管理费用'!E20+'蓝恐龙费用'!E20</x:f>
        <x:v>1622.91</x:v>
      </x:c>
      <x:c r="F20" s="3" t="n">
        <x:f>'销售费用'!F20+'管理费用'!F20+'蓝恐龙费用'!F20</x:f>
        <x:v>1622.91</x:v>
      </x:c>
      <x:c r="G20" s="3" t="n">
        <x:f>'销售费用'!G20+'管理费用'!G20+'蓝恐龙费用'!G20</x:f>
        <x:v>1622.91</x:v>
      </x:c>
      <x:c r="H20" s="3" t="n">
        <x:f>'销售费用'!H20+'管理费用'!H20+'蓝恐龙费用'!H20</x:f>
        <x:v>1622.91</x:v>
      </x:c>
      <x:c r="I20" s="3" t="n">
        <x:f>'销售费用'!I20+'管理费用'!I20+'蓝恐龙费用'!I20</x:f>
        <x:v>1622.91</x:v>
      </x:c>
      <x:c r="J20" s="3" t="n">
        <x:f>'销售费用'!J20+'管理费用'!J20+'蓝恐龙费用'!J20</x:f>
        <x:v>1622.91</x:v>
      </x:c>
      <x:c r="K20" s="3" t="n">
        <x:f>'销售费用'!K20+'管理费用'!K20+'蓝恐龙费用'!K20</x:f>
        <x:v>1622.91</x:v>
      </x:c>
      <x:c r="L20" s="3" t="n">
        <x:f>'销售费用'!L20+'管理费用'!L20+'蓝恐龙费用'!L20</x:f>
        <x:v>1622.91</x:v>
      </x:c>
      <x:c r="M20" s="3" t="n">
        <x:f>'销售费用'!M20+'管理费用'!M20+'蓝恐龙费用'!M20</x:f>
        <x:v>1622.91</x:v>
      </x:c>
      <x:c r="N20" s="3" t="n">
        <x:f>'销售费用'!N20+'管理费用'!N20+'蓝恐龙费用'!N20</x:f>
        <x:v>1622.91</x:v>
      </x:c>
      <x:c r="O20" s="3" t="n">
        <x:f>SUM(C20:N20)</x:f>
        <x:v>19474.920000000002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 t="str">
        <x:v>差旅费</x:v>
      </x:c>
      <x:c r="B21" s="2" t="str">
        <x:v>机票火车票</x:v>
      </x:c>
      <x:c r="C21" s="3" t="n">
        <x:f>'销售费用'!C21+'管理费用'!C21+'蓝恐龙费用'!C21</x:f>
        <x:v>810.6700000000001</x:v>
      </x:c>
      <x:c r="D21" s="3" t="n">
        <x:f>'销售费用'!D21+'管理费用'!D21+'蓝恐龙费用'!D21</x:f>
        <x:v>445.02</x:v>
      </x:c>
      <x:c r="E21" s="3" t="n">
        <x:f>'销售费用'!E21+'管理费用'!E21+'蓝恐龙费用'!E21</x:f>
        <x:v>900.49</x:v>
      </x:c>
      <x:c r="F21" s="3" t="n">
        <x:f>'销售费用'!F21+'管理费用'!F21+'蓝恐龙费用'!F21</x:f>
        <x:v>731.29</x:v>
      </x:c>
      <x:c r="G21" s="3" t="n">
        <x:f>'销售费用'!G21+'管理费用'!G21+'蓝恐龙费用'!G21</x:f>
        <x:v>881.82</x:v>
      </x:c>
      <x:c r="H21" s="3" t="n">
        <x:f>'销售费用'!H21+'管理费用'!H21+'蓝恐龙费用'!H21</x:f>
        <x:v>1148.04</x:v>
      </x:c>
      <x:c r="I21" s="3" t="n">
        <x:f>'销售费用'!I21+'管理费用'!I21+'蓝恐龙费用'!I21</x:f>
        <x:v>1044.1399999999999</x:v>
      </x:c>
      <x:c r="J21" s="3" t="n">
        <x:f>'销售费用'!J21+'管理费用'!J21+'蓝恐龙费用'!J21</x:f>
        <x:v>729.59</x:v>
      </x:c>
      <x:c r="K21" s="3" t="n">
        <x:f>'销售费用'!K21+'管理费用'!K21+'蓝恐龙费用'!K21</x:f>
        <x:v>660.4300000000001</x:v>
      </x:c>
      <x:c r="L21" s="3" t="n">
        <x:f>'销售费用'!L21+'管理费用'!L21+'蓝恐龙费用'!L21</x:f>
        <x:v>883.3199999999999</x:v>
      </x:c>
      <x:c r="M21" s="3" t="n">
        <x:f>'销售费用'!M21+'管理费用'!M21+'蓝恐龙费用'!M21</x:f>
        <x:v>717.22</x:v>
      </x:c>
      <x:c r="N21" s="3" t="n">
        <x:f>'销售费用'!N21+'管理费用'!N21+'蓝恐龙费用'!N21</x:f>
        <x:v>465.79</x:v>
      </x:c>
      <x:c r="O21" s="3" t="n">
        <x:f>SUM(C21:N21)</x:f>
        <x:v>9417.82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 t="str">
        <x:v>住宿费</x:v>
      </x:c>
      <x:c r="C22" s="3" t="n">
        <x:f>'销售费用'!C22+'管理费用'!C22+'蓝恐龙费用'!C22</x:f>
        <x:v>688.05</x:v>
      </x:c>
      <x:c r="D22" s="3" t="n">
        <x:f>'销售费用'!D22+'管理费用'!D22+'蓝恐龙费用'!D22</x:f>
        <x:v>627.9100000000001</x:v>
      </x:c>
      <x:c r="E22" s="3" t="n">
        <x:f>'销售费用'!E22+'管理费用'!E22+'蓝恐龙费用'!E22</x:f>
        <x:v>700.48</x:v>
      </x:c>
      <x:c r="F22" s="3" t="n">
        <x:f>'销售费用'!F22+'管理费用'!F22+'蓝恐龙费用'!F22</x:f>
        <x:v>926.1</x:v>
      </x:c>
      <x:c r="G22" s="3" t="n">
        <x:f>'销售费用'!G22+'管理费用'!G22+'蓝恐龙费用'!G22</x:f>
        <x:v>678.16</x:v>
      </x:c>
      <x:c r="H22" s="3" t="n">
        <x:f>'销售费用'!H22+'管理费用'!H22+'蓝恐龙费用'!H22</x:f>
        <x:v>556.4000000000001</x:v>
      </x:c>
      <x:c r="I22" s="3" t="n">
        <x:f>'销售费用'!I22+'管理费用'!I22+'蓝恐龙费用'!I22</x:f>
        <x:v>511.64</x:v>
      </x:c>
      <x:c r="J22" s="3" t="n">
        <x:f>'销售费用'!J22+'管理费用'!J22+'蓝恐龙费用'!J22</x:f>
        <x:v>1039.53</x:v>
      </x:c>
      <x:c r="K22" s="3" t="n">
        <x:f>'销售费用'!K22+'管理费用'!K22+'蓝恐龙费用'!K22</x:f>
        <x:v>579.69</x:v>
      </x:c>
      <x:c r="L22" s="3" t="n">
        <x:f>'销售费用'!L22+'管理费用'!L22+'蓝恐龙费用'!L22</x:f>
        <x:v>752.68</x:v>
      </x:c>
      <x:c r="M22" s="3" t="n">
        <x:f>'销售费用'!M22+'管理费用'!M22+'蓝恐龙费用'!M22</x:f>
        <x:v>733.74</x:v>
      </x:c>
      <x:c r="N22" s="3" t="n">
        <x:f>'销售费用'!N22+'管理费用'!N22+'蓝恐龙费用'!N22</x:f>
        <x:v>962.5100000000001</x:v>
      </x:c>
      <x:c r="O22" s="3" t="n">
        <x:f>SUM(C22:N22)</x:f>
        <x:v>8756.890000000001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 t="str">
        <x:v>交通费</x:v>
      </x:c>
      <x:c r="C23" s="3" t="n">
        <x:f>'销售费用'!C23+'管理费用'!C23+'蓝恐龙费用'!C23</x:f>
        <x:v>847.3600000000001</x:v>
      </x:c>
      <x:c r="D23" s="3" t="n">
        <x:f>'销售费用'!D23+'管理费用'!D23+'蓝恐龙费用'!D23</x:f>
        <x:v>666.97</x:v>
      </x:c>
      <x:c r="E23" s="3" t="n">
        <x:f>'销售费用'!E23+'管理费用'!E23+'蓝恐龙费用'!E23</x:f>
        <x:v>885.25</x:v>
      </x:c>
      <x:c r="F23" s="3" t="n">
        <x:f>'销售费用'!F23+'管理费用'!F23+'蓝恐龙费用'!F23</x:f>
        <x:v>451.78000000000003</x:v>
      </x:c>
      <x:c r="G23" s="3" t="n">
        <x:f>'销售费用'!G23+'管理费用'!G23+'蓝恐龙费用'!G23</x:f>
        <x:v>1224.28</x:v>
      </x:c>
      <x:c r="H23" s="3" t="n">
        <x:f>'销售费用'!H23+'管理费用'!H23+'蓝恐龙费用'!H23</x:f>
        <x:v>889.49</x:v>
      </x:c>
      <x:c r="I23" s="3" t="n">
        <x:f>'销售费用'!I23+'管理费用'!I23+'蓝恐龙费用'!I23</x:f>
        <x:v>579.96</x:v>
      </x:c>
      <x:c r="J23" s="3" t="n">
        <x:f>'销售费用'!J23+'管理费用'!J23+'蓝恐龙费用'!J23</x:f>
        <x:v>1110.66</x:v>
      </x:c>
      <x:c r="K23" s="3" t="n">
        <x:f>'销售费用'!K23+'管理费用'!K23+'蓝恐龙费用'!K23</x:f>
        <x:v>503.28</x:v>
      </x:c>
      <x:c r="L23" s="3" t="n">
        <x:f>'销售费用'!L23+'管理费用'!L23+'蓝恐龙费用'!L23</x:f>
        <x:v>509.86</x:v>
      </x:c>
      <x:c r="M23" s="3" t="n">
        <x:f>'销售费用'!M23+'管理费用'!M23+'蓝恐龙费用'!M23</x:f>
        <x:v>903.3</x:v>
      </x:c>
      <x:c r="N23" s="3" t="n">
        <x:f>'销售费用'!N23+'管理费用'!N23+'蓝恐龙费用'!N23</x:f>
        <x:v>886.41</x:v>
      </x:c>
      <x:c r="O23" s="3" t="n">
        <x:f>SUM(C23:N23)</x:f>
        <x:v>9458.599999999999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 t="str">
        <x:v>差旅补贴</x:v>
      </x:c>
      <x:c r="C24" s="3" t="n">
        <x:f>'销售费用'!C24+'管理费用'!C24+'蓝恐龙费用'!C24</x:f>
        <x:v>319.23</x:v>
      </x:c>
      <x:c r="D24" s="3" t="n">
        <x:f>'销售费用'!D24+'管理费用'!D24+'蓝恐龙费用'!D24</x:f>
        <x:v>738.13</x:v>
      </x:c>
      <x:c r="E24" s="3" t="n">
        <x:f>'销售费用'!E24+'管理费用'!E24+'蓝恐龙费用'!E24</x:f>
        <x:v>597.25</x:v>
      </x:c>
      <x:c r="F24" s="3" t="n">
        <x:f>'销售费用'!F24+'管理费用'!F24+'蓝恐龙费用'!F24</x:f>
        <x:v>776.79</x:v>
      </x:c>
      <x:c r="G24" s="3" t="n">
        <x:f>'销售费用'!G24+'管理费用'!G24+'蓝恐龙费用'!G24</x:f>
        <x:v>787.8399999999999</x:v>
      </x:c>
      <x:c r="H24" s="3" t="n">
        <x:f>'销售费用'!H24+'管理费用'!H24+'蓝恐龙费用'!H24</x:f>
        <x:v>483.38000000000005</x:v>
      </x:c>
      <x:c r="I24" s="3" t="n">
        <x:f>'销售费用'!I24+'管理费用'!I24+'蓝恐龙费用'!I24</x:f>
        <x:v>862.0400000000001</x:v>
      </x:c>
      <x:c r="J24" s="3" t="n">
        <x:f>'销售费用'!J24+'管理费用'!J24+'蓝恐龙费用'!J24</x:f>
        <x:v>633.71</x:v>
      </x:c>
      <x:c r="K24" s="3" t="n">
        <x:f>'销售费用'!K24+'管理费用'!K24+'蓝恐龙费用'!K24</x:f>
        <x:v>1100.45</x:v>
      </x:c>
      <x:c r="L24" s="3" t="n">
        <x:f>'销售费用'!L24+'管理费用'!L24+'蓝恐龙费用'!L24</x:f>
        <x:v>938.1400000000001</x:v>
      </x:c>
      <x:c r="M24" s="3" t="n">
        <x:f>'销售费用'!M24+'管理费用'!M24+'蓝恐龙费用'!M24</x:f>
        <x:v>886.94</x:v>
      </x:c>
      <x:c r="N24" s="3" t="n">
        <x:f>'销售费用'!N24+'管理费用'!N24+'蓝恐龙费用'!N24</x:f>
        <x:v>976.35</x:v>
      </x:c>
      <x:c r="O24" s="3" t="n">
        <x:f>SUM(C24:N24)</x:f>
        <x:v>9100.25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 t="str">
        <x:v>业务招待费</x:v>
      </x:c>
      <x:c r="B25" s="2" t="str">
        <x:v>业务招待费</x:v>
      </x:c>
      <x:c r="C25" s="3" t="n">
        <x:f>'销售费用'!C25+'管理费用'!C25+'蓝恐龙费用'!C25</x:f>
        <x:v>1218.01</x:v>
      </x:c>
      <x:c r="D25" s="3" t="n">
        <x:f>'销售费用'!D25+'管理费用'!D25+'蓝恐龙费用'!D25</x:f>
        <x:v>689.6099999999999</x:v>
      </x:c>
      <x:c r="E25" s="3" t="n">
        <x:f>'销售费用'!E25+'管理费用'!E25+'蓝恐龙费用'!E25</x:f>
        <x:v>659.61</x:v>
      </x:c>
      <x:c r="F25" s="3" t="n">
        <x:f>'销售费用'!F25+'管理费用'!F25+'蓝恐龙费用'!F25</x:f>
        <x:v>588.06</x:v>
      </x:c>
      <x:c r="G25" s="3" t="n">
        <x:f>'销售费用'!G25+'管理费用'!G25+'蓝恐龙费用'!G25</x:f>
        <x:v>937.3700000000001</x:v>
      </x:c>
      <x:c r="H25" s="3" t="n">
        <x:f>'销售费用'!H25+'管理费用'!H25+'蓝恐龙费用'!H25</x:f>
        <x:v>748.46</x:v>
      </x:c>
      <x:c r="I25" s="3" t="n">
        <x:f>'销售费用'!I25+'管理费用'!I25+'蓝恐龙费用'!I25</x:f>
        <x:v>1111.63</x:v>
      </x:c>
      <x:c r="J25" s="3" t="n">
        <x:f>'销售费用'!J25+'管理费用'!J25+'蓝恐龙费用'!J25</x:f>
        <x:v>712.47</x:v>
      </x:c>
      <x:c r="K25" s="3" t="n">
        <x:f>'销售费用'!K25+'管理费用'!K25+'蓝恐龙费用'!K25</x:f>
        <x:v>573.44</x:v>
      </x:c>
      <x:c r="L25" s="3" t="n">
        <x:f>'销售费用'!L25+'管理费用'!L25+'蓝恐龙费用'!L25</x:f>
        <x:v>690.72</x:v>
      </x:c>
      <x:c r="M25" s="3" t="n">
        <x:f>'销售费用'!M25+'管理费用'!M25+'蓝恐龙费用'!M25</x:f>
        <x:v>647.95</x:v>
      </x:c>
      <x:c r="N25" s="3" t="n">
        <x:f>'销售费用'!N25+'管理费用'!N25+'蓝恐龙费用'!N25</x:f>
        <x:v>728.06</x:v>
      </x:c>
      <x:c r="O25" s="3" t="n">
        <x:f>SUM(C25:N25)</x:f>
        <x:v>9305.39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 t="str">
        <x:v>市内交通费</x:v>
      </x:c>
      <x:c r="B26" s="2" t="str">
        <x:v>市内交通费</x:v>
      </x:c>
      <x:c r="C26" s="3" t="n">
        <x:f>'销售费用'!C26+'管理费用'!C26+'蓝恐龙费用'!C26</x:f>
        <x:v>910.66</x:v>
      </x:c>
      <x:c r="D26" s="3" t="n">
        <x:f>'销售费用'!D26+'管理费用'!D26+'蓝恐龙费用'!D26</x:f>
        <x:v>1167.41</x:v>
      </x:c>
      <x:c r="E26" s="3" t="n">
        <x:f>'销售费用'!E26+'管理费用'!E26+'蓝恐龙费用'!E26</x:f>
        <x:v>679.62</x:v>
      </x:c>
      <x:c r="F26" s="3" t="n">
        <x:f>'销售费用'!F26+'管理费用'!F26+'蓝恐龙费用'!F26</x:f>
        <x:v>648.59</x:v>
      </x:c>
      <x:c r="G26" s="3" t="n">
        <x:f>'销售费用'!G26+'管理费用'!G26+'蓝恐龙费用'!G26</x:f>
        <x:v>633.7</x:v>
      </x:c>
      <x:c r="H26" s="3" t="n">
        <x:f>'销售费用'!H26+'管理费用'!H26+'蓝恐龙费用'!H26</x:f>
        <x:v>443.62</x:v>
      </x:c>
      <x:c r="I26" s="3" t="n">
        <x:f>'销售费用'!I26+'管理费用'!I26+'蓝恐龙费用'!I26</x:f>
        <x:v>1098.41</x:v>
      </x:c>
      <x:c r="J26" s="3" t="n">
        <x:f>'销售费用'!J26+'管理费用'!J26+'蓝恐龙费用'!J26</x:f>
        <x:v>781.5500000000001</x:v>
      </x:c>
      <x:c r="K26" s="3" t="n">
        <x:f>'销售费用'!K26+'管理费用'!K26+'蓝恐龙费用'!K26</x:f>
        <x:v>842.61</x:v>
      </x:c>
      <x:c r="L26" s="3" t="n">
        <x:f>'销售费用'!L26+'管理费用'!L26+'蓝恐龙费用'!L26</x:f>
        <x:v>590.19</x:v>
      </x:c>
      <x:c r="M26" s="3" t="n">
        <x:f>'销售费用'!M26+'管理费用'!M26+'蓝恐龙费用'!M26</x:f>
        <x:v>458.16999999999996</x:v>
      </x:c>
      <x:c r="N26" s="3" t="n">
        <x:f>'销售费用'!N26+'管理费用'!N26+'蓝恐龙费用'!N26</x:f>
        <x:v>585.64</x:v>
      </x:c>
      <x:c r="O26" s="3" t="n">
        <x:f>SUM(C26:N26)</x:f>
        <x:v>8840.17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 t="str">
        <x:v>调研费用</x:v>
      </x:c>
      <x:c r="B27" s="2" t="str">
        <x:v>调研费用</x:v>
      </x:c>
      <x:c r="C27" s="3" t="n">
        <x:f>'销售费用'!C27+'管理费用'!C27+'蓝恐龙费用'!C27</x:f>
        <x:v>670.21</x:v>
      </x:c>
      <x:c r="D27" s="3" t="n">
        <x:f>'销售费用'!D27+'管理费用'!D27+'蓝恐龙费用'!D27</x:f>
        <x:v>801.46</x:v>
      </x:c>
      <x:c r="E27" s="3" t="n">
        <x:f>'销售费用'!E27+'管理费用'!E27+'蓝恐龙费用'!E27</x:f>
        <x:v>1141.07</x:v>
      </x:c>
      <x:c r="F27" s="3" t="n">
        <x:f>'销售费用'!F27+'管理费用'!F27+'蓝恐龙费用'!F27</x:f>
        <x:v>655.74</x:v>
      </x:c>
      <x:c r="G27" s="3" t="n">
        <x:f>'销售费用'!G27+'管理费用'!G27+'蓝恐龙费用'!G27</x:f>
        <x:v>549.73</x:v>
      </x:c>
      <x:c r="H27" s="3" t="n">
        <x:f>'销售费用'!H27+'管理费用'!H27+'蓝恐龙费用'!H27</x:f>
        <x:v>531.4200000000001</x:v>
      </x:c>
      <x:c r="I27" s="3" t="n">
        <x:f>'销售费用'!I27+'管理费用'!I27+'蓝恐龙费用'!I27</x:f>
        <x:v>470.63</x:v>
      </x:c>
      <x:c r="J27" s="3" t="n">
        <x:f>'销售费用'!J27+'管理费用'!J27+'蓝恐龙费用'!J27</x:f>
        <x:v>527.3199999999999</x:v>
      </x:c>
      <x:c r="K27" s="3" t="n">
        <x:f>'销售费用'!K27+'管理费用'!K27+'蓝恐龙费用'!K27</x:f>
        <x:v>424.45</x:v>
      </x:c>
      <x:c r="L27" s="3" t="n">
        <x:f>'销售费用'!L27+'管理费用'!L27+'蓝恐龙费用'!L27</x:f>
        <x:v>744.53</x:v>
      </x:c>
      <x:c r="M27" s="3" t="n">
        <x:f>'销售费用'!M27+'管理费用'!M27+'蓝恐龙费用'!M27</x:f>
        <x:v>974.79</x:v>
      </x:c>
      <x:c r="N27" s="3" t="n">
        <x:f>'销售费用'!N27+'管理费用'!N27+'蓝恐龙费用'!N27</x:f>
        <x:v>834.31</x:v>
      </x:c>
      <x:c r="O27" s="3" t="n">
        <x:f>SUM(C27:N27)</x:f>
        <x:v>8325.659999999998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 t="str">
        <x:v>手续费</x:v>
      </x:c>
      <x:c r="B28" s="2" t="str">
        <x:v>手续费</x:v>
      </x:c>
      <x:c r="C28" s="3" t="n">
        <x:f>'销售费用'!C28+'管理费用'!C28+'蓝恐龙费用'!C28</x:f>
        <x:v>498.36999999999995</x:v>
      </x:c>
      <x:c r="D28" s="3" t="n">
        <x:f>'销售费用'!D28+'管理费用'!D28+'蓝恐龙费用'!D28</x:f>
        <x:v>540.26</x:v>
      </x:c>
      <x:c r="E28" s="3" t="n">
        <x:f>'销售费用'!E28+'管理费用'!E28+'蓝恐龙费用'!E28</x:f>
        <x:v>514.21</x:v>
      </x:c>
      <x:c r="F28" s="3" t="n">
        <x:f>'销售费用'!F28+'管理费用'!F28+'蓝恐龙费用'!F28</x:f>
        <x:v>822.94</x:v>
      </x:c>
      <x:c r="G28" s="3" t="n">
        <x:f>'销售费用'!G28+'管理费用'!G28+'蓝恐龙费用'!G28</x:f>
        <x:v>887.24</x:v>
      </x:c>
      <x:c r="H28" s="3" t="n">
        <x:f>'销售费用'!H28+'管理费用'!H28+'蓝恐龙费用'!H28</x:f>
        <x:v>701.31</x:v>
      </x:c>
      <x:c r="I28" s="3" t="n">
        <x:f>'销售费用'!I28+'管理费用'!I28+'蓝恐龙费用'!I28</x:f>
        <x:v>985.09</x:v>
      </x:c>
      <x:c r="J28" s="3" t="n">
        <x:f>'销售费用'!J28+'管理费用'!J28+'蓝恐龙费用'!J28</x:f>
        <x:v>622.45</x:v>
      </x:c>
      <x:c r="K28" s="3" t="n">
        <x:f>'销售费用'!K28+'管理费用'!K28+'蓝恐龙费用'!K28</x:f>
        <x:v>661.51</x:v>
      </x:c>
      <x:c r="L28" s="3" t="n">
        <x:f>'销售费用'!L28+'管理费用'!L28+'蓝恐龙费用'!L28</x:f>
        <x:v>960.67</x:v>
      </x:c>
      <x:c r="M28" s="3" t="n">
        <x:f>'销售费用'!M28+'管理费用'!M28+'蓝恐龙费用'!M28</x:f>
        <x:v>841.8699999999999</x:v>
      </x:c>
      <x:c r="N28" s="3" t="n">
        <x:f>'销售费用'!N28+'管理费用'!N28+'蓝恐龙费用'!N28</x:f>
        <x:v>1054.1599999999999</x:v>
      </x:c>
      <x:c r="O28" s="3" t="n">
        <x:f>SUM(C28:N28)</x:f>
        <x:v>9090.079999999998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利息收入</x:v>
      </x:c>
      <x:c r="C29" s="3" t="n">
        <x:f>'销售费用'!C29+'管理费用'!C29+'蓝恐龙费用'!C29</x:f>
        <x:v>0</x:v>
      </x:c>
      <x:c r="D29" s="3" t="n">
        <x:f>'销售费用'!D29+'管理费用'!D29+'蓝恐龙费用'!D29</x:f>
        <x:v>0</x:v>
      </x:c>
      <x:c r="E29" s="3" t="n">
        <x:f>'销售费用'!E29+'管理费用'!E29+'蓝恐龙费用'!E29</x:f>
        <x:v>0</x:v>
      </x:c>
      <x:c r="F29" s="3" t="n">
        <x:f>'销售费用'!F29+'管理费用'!F29+'蓝恐龙费用'!F29</x:f>
        <x:v>0</x:v>
      </x:c>
      <x:c r="G29" s="3" t="n">
        <x:f>'销售费用'!G29+'管理费用'!G29+'蓝恐龙费用'!G29</x:f>
        <x:v>0</x:v>
      </x:c>
      <x:c r="H29" s="3" t="n">
        <x:f>'销售费用'!H29+'管理费用'!H29+'蓝恐龙费用'!H29</x:f>
        <x:v>0</x:v>
      </x:c>
      <x:c r="I29" s="3" t="n">
        <x:f>'销售费用'!I29+'管理费用'!I29+'蓝恐龙费用'!I29</x:f>
        <x:v>0</x:v>
      </x:c>
      <x:c r="J29" s="3" t="n">
        <x:f>'销售费用'!J29+'管理费用'!J29+'蓝恐龙费用'!J29</x:f>
        <x:v>0</x:v>
      </x:c>
      <x:c r="K29" s="3" t="n">
        <x:f>'销售费用'!K29+'管理费用'!K29+'蓝恐龙费用'!K29</x:f>
        <x:v>0</x:v>
      </x:c>
      <x:c r="L29" s="3" t="n">
        <x:f>'销售费用'!L29+'管理费用'!L29+'蓝恐龙费用'!L29</x:f>
        <x:v>0</x:v>
      </x:c>
      <x:c r="M29" s="3" t="n">
        <x:f>'销售费用'!M29+'管理费用'!M29+'蓝恐龙费用'!M29</x:f>
        <x:v>0</x:v>
      </x:c>
      <x:c r="N29" s="3" t="n">
        <x:f>'销售费用'!N29+'管理费用'!N29+'蓝恐龙费用'!N29</x:f>
        <x:v>0</x:v>
      </x:c>
      <x:c r="O29" s="3" t="n">
        <x:f>SUM(C29:N29)</x:f>
        <x:v>0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利息支出</x:v>
      </x:c>
      <x:c r="C30" s="6" t="n">
        <x:f>'销售费用'!C30+'管理费用'!C30+'蓝恐龙费用'!C30</x:f>
        <x:v>617.34</x:v>
      </x:c>
      <x:c r="D30" s="6" t="n">
        <x:f>'销售费用'!D30+'管理费用'!D30+'蓝恐龙费用'!D30</x:f>
        <x:v>740.34</x:v>
      </x:c>
      <x:c r="E30" s="6" t="n">
        <x:f>'销售费用'!E30+'管理费用'!E30+'蓝恐龙费用'!E30</x:f>
        <x:v>495.83000000000004</x:v>
      </x:c>
      <x:c r="F30" s="6" t="n">
        <x:f>'销售费用'!F30+'管理费用'!F30+'蓝恐龙费用'!F30</x:f>
        <x:v>576.75</x:v>
      </x:c>
      <x:c r="G30" s="6" t="n">
        <x:f>'销售费用'!G30+'管理费用'!G30+'蓝恐龙费用'!G30</x:f>
        <x:v>674.75</x:v>
      </x:c>
      <x:c r="H30" s="6" t="n">
        <x:f>'销售费用'!H30+'管理费用'!H30+'蓝恐龙费用'!H30</x:f>
        <x:v>596.15</x:v>
      </x:c>
      <x:c r="I30" s="6" t="n">
        <x:f>'销售费用'!I30+'管理费用'!I30+'蓝恐龙费用'!I30</x:f>
        <x:v>998.98</x:v>
      </x:c>
      <x:c r="J30" s="6" t="n">
        <x:f>'销售费用'!J30+'管理费用'!J30+'蓝恐龙费用'!J30</x:f>
        <x:v>500.72</x:v>
      </x:c>
      <x:c r="K30" s="6" t="n">
        <x:f>'销售费用'!K30+'管理费用'!K30+'蓝恐龙费用'!K30</x:f>
        <x:v>567.78</x:v>
      </x:c>
      <x:c r="L30" s="6" t="n">
        <x:f>'销售费用'!L30+'管理费用'!L30+'蓝恐龙费用'!L30</x:f>
        <x:v>659.85</x:v>
      </x:c>
      <x:c r="M30" s="6" t="n">
        <x:f>'销售费用'!M30+'管理费用'!M30+'蓝恐龙费用'!M30</x:f>
        <x:v>595.45</x:v>
      </x:c>
      <x:c r="N30" s="6" t="n">
        <x:f>'销售费用'!N30+'管理费用'!N30+'蓝恐龙费用'!N30</x:f>
        <x:v>916.86</x:v>
      </x:c>
      <x:c r="O30" s="6" t="n">
        <x:f>SUM(C30:N30)</x:f>
        <x:v>7940.8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 t="str">
        <x:v>税金</x:v>
      </x:c>
      <x:c r="B31" s="2" t="str">
        <x:v>车船税</x:v>
      </x:c>
      <x:c r="C31" s="3" t="n">
        <x:f>'销售费用'!C31+'管理费用'!C31+'蓝恐龙费用'!C31</x:f>
        <x:v>846.1999999999999</x:v>
      </x:c>
      <x:c r="D31" s="3" t="n">
        <x:f>'销售费用'!D31+'管理费用'!D31+'蓝恐龙费用'!D31</x:f>
        <x:v>971.94</x:v>
      </x:c>
      <x:c r="E31" s="3" t="n">
        <x:f>'销售费用'!E31+'管理费用'!E31+'蓝恐龙费用'!E31</x:f>
        <x:v>522.56</x:v>
      </x:c>
      <x:c r="F31" s="3" t="n">
        <x:f>'销售费用'!F31+'管理费用'!F31+'蓝恐龙费用'!F31</x:f>
        <x:v>771.05</x:v>
      </x:c>
      <x:c r="G31" s="3" t="n">
        <x:f>'销售费用'!G31+'管理费用'!G31+'蓝恐龙费用'!G31</x:f>
        <x:v>797.07</x:v>
      </x:c>
      <x:c r="H31" s="3" t="n">
        <x:f>'销售费用'!H31+'管理费用'!H31+'蓝恐龙费用'!H31</x:f>
        <x:v>595.8299999999999</x:v>
      </x:c>
      <x:c r="I31" s="3" t="n">
        <x:f>'销售费用'!I31+'管理费用'!I31+'蓝恐龙费用'!I31</x:f>
        <x:v>905.2700000000001</x:v>
      </x:c>
      <x:c r="J31" s="3" t="n">
        <x:f>'销售费用'!J31+'管理费用'!J31+'蓝恐龙费用'!J31</x:f>
        <x:v>962.77</x:v>
      </x:c>
      <x:c r="K31" s="3" t="n">
        <x:f>'销售费用'!K31+'管理费用'!K31+'蓝恐龙费用'!K31</x:f>
        <x:v>692.36</x:v>
      </x:c>
      <x:c r="L31" s="3" t="n">
        <x:f>'销售费用'!L31+'管理费用'!L31+'蓝恐龙费用'!L31</x:f>
        <x:v>663.2900000000001</x:v>
      </x:c>
      <x:c r="M31" s="3" t="n">
        <x:f>'销售费用'!M31+'管理费用'!M31+'蓝恐龙费用'!M31</x:f>
        <x:v>787.12</x:v>
      </x:c>
      <x:c r="N31" s="3" t="n">
        <x:f>'销售费用'!N31+'管理费用'!N31+'蓝恐龙费用'!N31</x:f>
        <x:v>874.26</x:v>
      </x:c>
      <x:c r="O31" s="3" t="n">
        <x:f>SUM(C31:N31)</x:f>
        <x:v>9389.720000000001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印花税</x:v>
      </x:c>
      <x:c r="C32" s="3" t="n">
        <x:f>'销售费用'!C32+'管理费用'!C32+'蓝恐龙费用'!C32</x:f>
        <x:v>371.7</x:v>
      </x:c>
      <x:c r="D32" s="3" t="n">
        <x:f>'销售费用'!D32+'管理费用'!D32+'蓝恐龙费用'!D32</x:f>
        <x:v>890.8800000000001</x:v>
      </x:c>
      <x:c r="E32" s="3" t="n">
        <x:f>'销售费用'!E32+'管理费用'!E32+'蓝恐龙费用'!E32</x:f>
        <x:v>809.1700000000001</x:v>
      </x:c>
      <x:c r="F32" s="3" t="n">
        <x:f>'销售费用'!F32+'管理费用'!F32+'蓝恐龙费用'!F32</x:f>
        <x:v>638.24</x:v>
      </x:c>
      <x:c r="G32" s="3" t="n">
        <x:f>'销售费用'!G32+'管理费用'!G32+'蓝恐龙费用'!G32</x:f>
        <x:v>749.32</x:v>
      </x:c>
      <x:c r="H32" s="3" t="n">
        <x:f>'销售费用'!H32+'管理费用'!H32+'蓝恐龙费用'!H32</x:f>
        <x:v>436.09999999999997</x:v>
      </x:c>
      <x:c r="I32" s="3" t="n">
        <x:f>'销售费用'!I32+'管理费用'!I32+'蓝恐龙费用'!I32</x:f>
        <x:v>857.7</x:v>
      </x:c>
      <x:c r="J32" s="3" t="n">
        <x:f>'销售费用'!J32+'管理费用'!J32+'蓝恐龙费用'!J32</x:f>
        <x:v>624.5400000000001</x:v>
      </x:c>
      <x:c r="K32" s="3" t="n">
        <x:f>'销售费用'!K32+'管理费用'!K32+'蓝恐龙费用'!K32</x:f>
        <x:v>846.0699999999999</x:v>
      </x:c>
      <x:c r="L32" s="3" t="n">
        <x:f>'销售费用'!L32+'管理费用'!L32+'蓝恐龙费用'!L32</x:f>
        <x:v>558.02</x:v>
      </x:c>
      <x:c r="M32" s="3" t="n">
        <x:f>'销售费用'!M32+'管理费用'!M32+'蓝恐龙费用'!M32</x:f>
        <x:v>865.9699999999999</x:v>
      </x:c>
      <x:c r="N32" s="3" t="n">
        <x:f>'销售费用'!N32+'管理费用'!N32+'蓝恐龙费用'!N32</x:f>
        <x:v>852.8399999999999</x:v>
      </x:c>
      <x:c r="O32" s="3" t="n">
        <x:f>SUM(C32:N32)</x:f>
        <x:v>8500.55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 t="str">
        <x:v>其他</x:v>
      </x:c>
      <x:c r="B33" s="2" t="str">
        <x:v>其他</x:v>
      </x:c>
      <x:c r="C33" s="3" t="n">
        <x:f>'销售费用'!C33+'管理费用'!C33+'蓝恐龙费用'!C33</x:f>
        <x:v>440.35</x:v>
      </x:c>
      <x:c r="D33" s="3" t="n">
        <x:f>'销售费用'!D33+'管理费用'!D33+'蓝恐龙费用'!D33</x:f>
        <x:v>947.25</x:v>
      </x:c>
      <x:c r="E33" s="3" t="n">
        <x:f>'销售费用'!E33+'管理费用'!E33+'蓝恐龙费用'!E33</x:f>
        <x:v>659.64</x:v>
      </x:c>
      <x:c r="F33" s="3" t="n">
        <x:f>'销售费用'!F33+'管理费用'!F33+'蓝恐龙费用'!F33</x:f>
        <x:v>546.54</x:v>
      </x:c>
      <x:c r="G33" s="3" t="n">
        <x:f>'销售费用'!G33+'管理费用'!G33+'蓝恐龙费用'!G33</x:f>
        <x:v>1121.26</x:v>
      </x:c>
      <x:c r="H33" s="3" t="n">
        <x:f>'销售费用'!H33+'管理费用'!H33+'蓝恐龙费用'!H33</x:f>
        <x:v>368.73</x:v>
      </x:c>
      <x:c r="I33" s="3" t="n">
        <x:f>'销售费用'!I33+'管理费用'!I33+'蓝恐龙费用'!I33</x:f>
        <x:v>623.9300000000001</x:v>
      </x:c>
      <x:c r="J33" s="3" t="n">
        <x:f>'销售费用'!J33+'管理费用'!J33+'蓝恐龙费用'!J33</x:f>
        <x:v>398.67</x:v>
      </x:c>
      <x:c r="K33" s="3" t="n">
        <x:f>'销售费用'!K33+'管理费用'!K33+'蓝恐龙费用'!K33</x:f>
        <x:v>555.8100000000001</x:v>
      </x:c>
      <x:c r="L33" s="3" t="n">
        <x:f>'销售费用'!L33+'管理费用'!L33+'蓝恐龙费用'!L33</x:f>
        <x:v>904.4599999999999</x:v>
      </x:c>
      <x:c r="M33" s="3" t="n">
        <x:f>'销售费用'!M33+'管理费用'!M33+'蓝恐龙费用'!M33</x:f>
        <x:v>639.0300000000001</x:v>
      </x:c>
      <x:c r="N33" s="3" t="n">
        <x:f>'销售费用'!N33+'管理费用'!N33+'蓝恐龙费用'!N33</x:f>
        <x:v>495.2</x:v>
      </x:c>
      <x:c r="O33" s="3" t="n">
        <x:f>SUM(C33:N33)</x:f>
        <x:v>7700.87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 t="str">
        <x:v>合计</x:v>
      </x:c>
      <x:c r="B34" s="2"/>
      <x:c r="C34" s="3" t="n">
        <x:f>SUM(C4:C33)</x:f>
        <x:v>20215.23</x:v>
      </x:c>
      <x:c r="D34" s="3" t="n">
        <x:f>SUM(D4:D33)</x:f>
        <x:v>21227.819999999996</x:v>
      </x:c>
      <x:c r="E34" s="3" t="n">
        <x:f>SUM(E4:E33)</x:f>
        <x:v>22480.57</x:v>
      </x:c>
      <x:c r="F34" s="3" t="n">
        <x:f>SUM(F4:F33)</x:f>
        <x:v>21220.020000000008</x:v>
      </x:c>
      <x:c r="G34" s="3" t="n">
        <x:f>SUM(G4:G33)</x:f>
        <x:v>22874.92</x:v>
      </x:c>
      <x:c r="H34" s="3" t="n">
        <x:f>SUM(H4:H33)</x:f>
        <x:v>19629.099999999995</x:v>
      </x:c>
      <x:c r="I34" s="3" t="n">
        <x:f>SUM(I4:I33)</x:f>
        <x:v>23699.280000000002</x:v>
      </x:c>
      <x:c r="J34" s="3" t="n">
        <x:f>SUM(J4:J33)</x:f>
        <x:v>21013.730000000003</x:v>
      </x:c>
      <x:c r="K34" s="3" t="n">
        <x:f>SUM(K4:K33)</x:f>
        <x:v>21800.06</x:v>
      </x:c>
      <x:c r="L34" s="3" t="n">
        <x:f>SUM(L4:L33)</x:f>
        <x:v>21526.589999999997</x:v>
      </x:c>
      <x:c r="M34" s="3" t="n">
        <x:f>SUM(M4:M33)</x:f>
        <x:v>21329.079999999998</x:v>
      </x:c>
      <x:c r="N34" s="3" t="n">
        <x:f>SUM(N4:N33)</x:f>
        <x:v>24678.280000000002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 t="str">
        <x:v>增值税附加</x:v>
      </x:c>
      <x:c r="B35" s="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 t="str">
        <x:v>三费及税金合计</x:v>
      </x:c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 t="str">
        <x:v>工资</x:v>
      </x:c>
      <x:c r="C64" s="3" t="n">
        <x:f>'销售费用'!C64+'管理费用'!C64+'蓝恐龙费用'!C64</x:f>
        <x:v>1169.0500000000002</x:v>
      </x:c>
      <x:c r="D64" s="3" t="n">
        <x:f>'销售费用'!D64+'管理费用'!D64+'蓝恐龙费用'!D64</x:f>
        <x:v>695.5</x:v>
      </x:c>
      <x:c r="E64" s="3" t="n">
        <x:f>'销售费用'!E64+'管理费用'!E64+'蓝恐龙费用'!E64</x:f>
        <x:v>269.08</x:v>
      </x:c>
      <x:c r="F64" s="3" t="n">
        <x:f>'销售费用'!F64+'管理费用'!F64+'蓝恐龙费用'!F64</x:f>
        <x:v>971.3900000000001</x:v>
      </x:c>
      <x:c r="G64" s="3" t="n">
        <x:f>'销售费用'!G64+'管理费用'!G64+'蓝恐龙费用'!G64</x:f>
        <x:v>658.62</x:v>
      </x:c>
      <x:c r="H64" s="3" t="n">
        <x:f>'销售费用'!H64+'管理费用'!H64+'蓝恐龙费用'!H64</x:f>
        <x:v>1138.37</x:v>
      </x:c>
      <x:c r="I64" s="3" t="n">
        <x:f>'销售费用'!I64+'管理费用'!I64+'蓝恐龙费用'!I64</x:f>
        <x:v>746.87</x:v>
      </x:c>
      <x:c r="J64" s="3" t="n">
        <x:f>'销售费用'!J64+'管理费用'!J64+'蓝恐龙费用'!J64</x:f>
        <x:v>637.96</x:v>
      </x:c>
      <x:c r="K64" s="3" t="n">
        <x:f>'销售费用'!K64+'管理费用'!K64+'蓝恐龙费用'!K64</x:f>
        <x:v>767.06</x:v>
      </x:c>
      <x:c r="L64" s="3" t="n">
        <x:f>'销售费用'!L64+'管理费用'!L64+'蓝恐龙费用'!L64</x:f>
        <x:v>781.5699999999999</x:v>
      </x:c>
      <x:c r="M64" s="3" t="n">
        <x:f>'销售费用'!M64+'管理费用'!M64+'蓝恐龙费用'!M64</x:f>
        <x:v>414.71</x:v>
      </x:c>
      <x:c r="N64" s="3" t="n">
        <x:f>'销售费用'!N64+'管理费用'!N64+'蓝恐龙费用'!N64</x:f>
        <x:v>372.46</x:v>
      </x:c>
      <x:c r="O64" s="3" t="n">
        <x:f>SUM(C64:N64)</x:f>
        <x:v>8622.639999999998</x:v>
      </x:c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 t="str">
        <x:v>十三薪</x:v>
      </x:c>
      <x:c r="C65" s="3" t="n">
        <x:f>'销售费用'!C65+'管理费用'!C65+'蓝恐龙费用'!C65</x:f>
        <x:v>401.98</x:v>
      </x:c>
      <x:c r="D65" s="3" t="n">
        <x:f>'销售费用'!D65+'管理费用'!D65+'蓝恐龙费用'!D65</x:f>
        <x:v>447.76</x:v>
      </x:c>
      <x:c r="E65" s="3" t="n">
        <x:f>'销售费用'!E65+'管理费用'!E65+'蓝恐龙费用'!E65</x:f>
        <x:v>800.69</x:v>
      </x:c>
      <x:c r="F65" s="3" t="n">
        <x:f>'销售费用'!F65+'管理费用'!F65+'蓝恐龙费用'!F65</x:f>
        <x:v>695.84</x:v>
      </x:c>
      <x:c r="G65" s="3" t="n">
        <x:f>'销售费用'!G65+'管理费用'!G65+'蓝恐龙费用'!G65</x:f>
        <x:v>700.97</x:v>
      </x:c>
      <x:c r="H65" s="3" t="n">
        <x:f>'销售费用'!H65+'管理费用'!H65+'蓝恐龙费用'!H65</x:f>
        <x:v>868.37</x:v>
      </x:c>
      <x:c r="I65" s="3" t="n">
        <x:f>'销售费用'!I65+'管理费用'!I65+'蓝恐龙费用'!I65</x:f>
        <x:v>536.66</x:v>
      </x:c>
      <x:c r="J65" s="3" t="n">
        <x:f>'销售费用'!J65+'管理费用'!J65+'蓝恐龙费用'!J65</x:f>
        <x:v>419.42</x:v>
      </x:c>
      <x:c r="K65" s="3" t="n">
        <x:f>'销售费用'!K65+'管理费用'!K65+'蓝恐龙费用'!K65</x:f>
        <x:v>882.47</x:v>
      </x:c>
      <x:c r="L65" s="3" t="n">
        <x:f>'销售费用'!L65+'管理费用'!L65+'蓝恐龙费用'!L65</x:f>
        <x:v>594</x:v>
      </x:c>
      <x:c r="M65" s="3" t="n">
        <x:f>'销售费用'!M65+'管理费用'!M65+'蓝恐龙费用'!M65</x:f>
        <x:v>1003.76</x:v>
      </x:c>
      <x:c r="N65" s="3" t="n">
        <x:f>'销售费用'!N65+'管理费用'!N65+'蓝恐龙费用'!N65</x:f>
        <x:v>1102.66</x:v>
      </x:c>
      <x:c r="O65" s="3" t="n">
        <x:f>SUM(C65:N65)</x:f>
        <x:v>8454.58</x:v>
      </x:c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 t="str">
        <x:v>离职补偿金</x:v>
      </x:c>
      <x:c r="C66" s="3" t="n">
        <x:f>'销售费用'!C66+'管理费用'!C66+'蓝恐龙费用'!C66</x:f>
        <x:v>593.49</x:v>
      </x:c>
      <x:c r="D66" s="3" t="n">
        <x:f>'销售费用'!D66+'管理费用'!D66+'蓝恐龙费用'!D66</x:f>
        <x:v>628.54</x:v>
      </x:c>
      <x:c r="E66" s="3" t="n">
        <x:f>'销售费用'!E66+'管理费用'!E66+'蓝恐龙费用'!E66</x:f>
        <x:v>795.11</x:v>
      </x:c>
      <x:c r="F66" s="3" t="n">
        <x:f>'销售费用'!F66+'管理费用'!F66+'蓝恐龙费用'!F66</x:f>
        <x:v>769.5</x:v>
      </x:c>
      <x:c r="G66" s="3" t="n">
        <x:f>'销售费用'!G66+'管理费用'!G66+'蓝恐龙费用'!G66</x:f>
        <x:v>312.02</x:v>
      </x:c>
      <x:c r="H66" s="3" t="n">
        <x:f>'销售费用'!H66+'管理费用'!H66+'蓝恐龙费用'!H66</x:f>
        <x:v>780.11</x:v>
      </x:c>
      <x:c r="I66" s="3" t="n">
        <x:f>'销售费用'!I66+'管理费用'!I66+'蓝恐龙费用'!I66</x:f>
        <x:v>922.3199999999999</x:v>
      </x:c>
      <x:c r="J66" s="3" t="n">
        <x:f>'销售费用'!J66+'管理费用'!J66+'蓝恐龙费用'!J66</x:f>
        <x:v>707.48</x:v>
      </x:c>
      <x:c r="K66" s="3" t="n">
        <x:f>'销售费用'!K66+'管理费用'!K66+'蓝恐龙费用'!K66</x:f>
        <x:v>948.03</x:v>
      </x:c>
      <x:c r="L66" s="3" t="n">
        <x:f>'销售费用'!L66+'管理费用'!L66+'蓝恐龙费用'!L66</x:f>
        <x:v>859.0799999999999</x:v>
      </x:c>
      <x:c r="M66" s="3" t="n">
        <x:f>'销售费用'!M66+'管理费用'!M66+'蓝恐龙费用'!M66</x:f>
        <x:v>750.6899999999999</x:v>
      </x:c>
      <x:c r="N66" s="3" t="n">
        <x:f>'销售费用'!N66+'管理费用'!N66+'蓝恐龙费用'!N66</x:f>
        <x:v>840.87</x:v>
      </x:c>
      <x:c r="O66" s="3" t="n">
        <x:f>SUM(C66:N66)</x:f>
        <x:v>8907.24</x:v>
      </x:c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 t="str">
        <x:v>五险一金</x:v>
      </x:c>
      <x:c r="C67" s="3" t="n">
        <x:f>'销售费用'!C67+'管理费用'!C67+'蓝恐龙费用'!C67</x:f>
        <x:v>664.3</x:v>
      </x:c>
      <x:c r="D67" s="3" t="n">
        <x:f>'销售费用'!D67+'管理费用'!D67+'蓝恐龙费用'!D67</x:f>
        <x:v>524.8599999999999</x:v>
      </x:c>
      <x:c r="E67" s="3" t="n">
        <x:f>'销售费用'!E67+'管理费用'!E67+'蓝恐龙费用'!E67</x:f>
        <x:v>853.99</x:v>
      </x:c>
      <x:c r="F67" s="3" t="n">
        <x:f>'销售费用'!F67+'管理费用'!F67+'蓝恐龙费用'!F67</x:f>
        <x:v>860.6099999999999</x:v>
      </x:c>
      <x:c r="G67" s="3" t="n">
        <x:f>'销售费用'!G67+'管理费用'!G67+'蓝恐龙费用'!G67</x:f>
        <x:v>934.6700000000001</x:v>
      </x:c>
      <x:c r="H67" s="3" t="n">
        <x:f>'销售费用'!H67+'管理费用'!H67+'蓝恐龙费用'!H67</x:f>
        <x:v>844.8</x:v>
      </x:c>
      <x:c r="I67" s="3" t="n">
        <x:f>'销售费用'!I67+'管理费用'!I67+'蓝恐龙费用'!I67</x:f>
        <x:v>695.1800000000001</x:v>
      </x:c>
      <x:c r="J67" s="3" t="n">
        <x:f>'销售费用'!J67+'管理费用'!J67+'蓝恐龙费用'!J67</x:f>
        <x:v>1083.11</x:v>
      </x:c>
      <x:c r="K67" s="3" t="n">
        <x:f>'销售费用'!K67+'管理费用'!K67+'蓝恐龙费用'!K67</x:f>
        <x:v>792.45</x:v>
      </x:c>
      <x:c r="L67" s="3" t="n">
        <x:f>'销售费用'!L67+'管理费用'!L67+'蓝恐龙费用'!L67</x:f>
        <x:v>823.0899999999999</x:v>
      </x:c>
      <x:c r="M67" s="3" t="n">
        <x:f>'销售费用'!M67+'管理费用'!M67+'蓝恐龙费用'!M67</x:f>
        <x:v>713.2</x:v>
      </x:c>
      <x:c r="N67" s="3" t="n">
        <x:f>'销售费用'!N67+'管理费用'!N67+'蓝恐龙费用'!N67</x:f>
        <x:v>447.03</x:v>
      </x:c>
      <x:c r="O67" s="3" t="n">
        <x:f>SUM(C67:N67)</x:f>
        <x:v>9237.29</x:v>
      </x:c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 t="str">
        <x:v>福利费</x:v>
      </x:c>
      <x:c r="C68" s="3" t="n">
        <x:f>'销售费用'!C68+'管理费用'!C68+'蓝恐龙费用'!C68</x:f>
        <x:v>1060.45</x:v>
      </x:c>
      <x:c r="D68" s="3" t="n">
        <x:f>'销售费用'!D68+'管理费用'!D68+'蓝恐龙费用'!D68</x:f>
        <x:v>391.28</x:v>
      </x:c>
      <x:c r="E68" s="3" t="n">
        <x:f>'销售费用'!E68+'管理费用'!E68+'蓝恐龙费用'!E68</x:f>
        <x:v>577.2</x:v>
      </x:c>
      <x:c r="F68" s="3" t="n">
        <x:f>'销售费用'!F68+'管理费用'!F68+'蓝恐龙费用'!F68</x:f>
        <x:v>823.6099999999999</x:v>
      </x:c>
      <x:c r="G68" s="3" t="n">
        <x:f>'销售费用'!G68+'管理费用'!G68+'蓝恐龙费用'!G68</x:f>
        <x:v>841.48</x:v>
      </x:c>
      <x:c r="H68" s="3" t="n">
        <x:f>'销售费用'!H68+'管理费用'!H68+'蓝恐龙费用'!H68</x:f>
        <x:v>520.0600000000001</x:v>
      </x:c>
      <x:c r="I68" s="3" t="n">
        <x:f>'销售费用'!I68+'管理费用'!I68+'蓝恐龙费用'!I68</x:f>
        <x:v>532.5999999999999</x:v>
      </x:c>
      <x:c r="J68" s="3" t="n">
        <x:f>'销售费用'!J68+'管理费用'!J68+'蓝恐龙费用'!J68</x:f>
        <x:v>743.1300000000001</x:v>
      </x:c>
      <x:c r="K68" s="3" t="n">
        <x:f>'销售费用'!K68+'管理费用'!K68+'蓝恐龙费用'!K68</x:f>
        <x:v>1007.6600000000001</x:v>
      </x:c>
      <x:c r="L68" s="3" t="n">
        <x:f>'销售费用'!L68+'管理费用'!L68+'蓝恐龙费用'!L68</x:f>
        <x:v>580.46</x:v>
      </x:c>
      <x:c r="M68" s="3" t="n">
        <x:f>'销售费用'!M68+'管理费用'!M68+'蓝恐龙费用'!M68</x:f>
        <x:v>677.31</x:v>
      </x:c>
      <x:c r="N68" s="3" t="n">
        <x:f>'销售费用'!N68+'管理费用'!N68+'蓝恐龙费用'!N68</x:f>
        <x:v>480.22999999999996</x:v>
      </x:c>
      <x:c r="O68" s="3" t="n">
        <x:f>SUM(C68:N68)</x:f>
        <x:v>8235.47</x:v>
      </x:c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 t="str">
        <x:v>招聘费</x:v>
      </x:c>
      <x:c r="C69" s="3" t="n">
        <x:f>'销售费用'!C69+'管理费用'!C69+'蓝恐龙费用'!C69</x:f>
        <x:v>699.56</x:v>
      </x:c>
      <x:c r="D69" s="3" t="n">
        <x:f>'销售费用'!D69+'管理费用'!D69+'蓝恐龙费用'!D69</x:f>
        <x:v>668.22</x:v>
      </x:c>
      <x:c r="E69" s="3" t="n">
        <x:f>'销售费用'!E69+'管理费用'!E69+'蓝恐龙费用'!E69</x:f>
        <x:v>1144.69</x:v>
      </x:c>
      <x:c r="F69" s="3" t="n">
        <x:f>'销售费用'!F69+'管理费用'!F69+'蓝恐龙费用'!F69</x:f>
        <x:v>757.06</x:v>
      </x:c>
      <x:c r="G69" s="3" t="n">
        <x:f>'销售费用'!G69+'管理费用'!G69+'蓝恐龙费用'!G69</x:f>
        <x:v>941.89</x:v>
      </x:c>
      <x:c r="H69" s="3" t="n">
        <x:f>'销售费用'!H69+'管理费用'!H69+'蓝恐龙费用'!H69</x:f>
        <x:v>477.98</x:v>
      </x:c>
      <x:c r="I69" s="3" t="n">
        <x:f>'销售费用'!I69+'管理费用'!I69+'蓝恐龙费用'!I69</x:f>
        <x:v>587.0699999999999</x:v>
      </x:c>
      <x:c r="J69" s="3" t="n">
        <x:f>'销售费用'!J69+'管理费用'!J69+'蓝恐龙费用'!J69</x:f>
        <x:v>947.3</x:v>
      </x:c>
      <x:c r="K69" s="3" t="n">
        <x:f>'销售费用'!K69+'管理费用'!K69+'蓝恐龙费用'!K69</x:f>
        <x:v>1121.41</x:v>
      </x:c>
      <x:c r="L69" s="3" t="n">
        <x:f>'销售费用'!L69+'管理费用'!L69+'蓝恐龙费用'!L69</x:f>
        <x:v>365.84999999999997</x:v>
      </x:c>
      <x:c r="M69" s="3" t="n">
        <x:f>'销售费用'!M69+'管理费用'!M69+'蓝恐龙费用'!M69</x:f>
        <x:v>620.92</x:v>
      </x:c>
      <x:c r="N69" s="3" t="n">
        <x:f>'销售费用'!N69+'管理费用'!N69+'蓝恐龙费用'!N69</x:f>
        <x:v>1020.39</x:v>
      </x:c>
      <x:c r="O69" s="3" t="n">
        <x:f>SUM(C69:N69)</x:f>
        <x:v>9352.339999999998</x:v>
      </x:c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 t="str">
        <x:v>培训费</x:v>
      </x:c>
      <x:c r="C70" s="3" t="n">
        <x:f>'销售费用'!C70+'管理费用'!C70+'蓝恐龙费用'!C70</x:f>
        <x:v>920.9200000000001</x:v>
      </x:c>
      <x:c r="D70" s="3" t="n">
        <x:f>'销售费用'!D70+'管理费用'!D70+'蓝恐龙费用'!D70</x:f>
        <x:v>619.94</x:v>
      </x:c>
      <x:c r="E70" s="3" t="n">
        <x:f>'销售费用'!E70+'管理费用'!E70+'蓝恐龙费用'!E70</x:f>
        <x:v>669.03</x:v>
      </x:c>
      <x:c r="F70" s="3" t="n">
        <x:f>'销售费用'!F70+'管理费用'!F70+'蓝恐龙费用'!F70</x:f>
        <x:v>1100.45</x:v>
      </x:c>
      <x:c r="G70" s="3" t="n">
        <x:f>'销售费用'!G70+'管理费用'!G70+'蓝恐龙费用'!G70</x:f>
        <x:v>942.95</x:v>
      </x:c>
      <x:c r="H70" s="3" t="n">
        <x:f>'销售费用'!H70+'管理费用'!H70+'蓝恐龙费用'!H70</x:f>
        <x:v>571.16</x:v>
      </x:c>
      <x:c r="I70" s="3" t="n">
        <x:f>'销售费用'!I70+'管理费用'!I70+'蓝恐龙费用'!I70</x:f>
        <x:v>1061.29</x:v>
      </x:c>
      <x:c r="J70" s="3" t="n">
        <x:f>'销售费用'!J70+'管理费用'!J70+'蓝恐龙费用'!J70</x:f>
        <x:v>626.73</x:v>
      </x:c>
      <x:c r="K70" s="3" t="n">
        <x:f>'销售费用'!K70+'管理费用'!K70+'蓝恐龙费用'!K70</x:f>
        <x:v>589.71</x:v>
      </x:c>
      <x:c r="L70" s="3" t="n">
        <x:f>'销售费用'!L70+'管理费用'!L70+'蓝恐龙费用'!L70</x:f>
        <x:v>682.5</x:v>
      </x:c>
      <x:c r="M70" s="3" t="n">
        <x:f>'销售费用'!M70+'管理费用'!M70+'蓝恐龙费用'!M70</x:f>
        <x:v>490.46000000000004</x:v>
      </x:c>
      <x:c r="N70" s="3" t="n">
        <x:f>'销售费用'!N70+'管理费用'!N70+'蓝恐龙费用'!N70</x:f>
        <x:v>1052.5600000000002</x:v>
      </x:c>
      <x:c r="O70" s="3" t="n">
        <x:f>SUM(C70:N70)</x:f>
        <x:v>9327.699999999999</x:v>
      </x:c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 t="str">
        <x:v>房租</x:v>
      </x:c>
      <x:c r="C71" s="3" t="n">
        <x:f>'销售费用'!C71+'管理费用'!C71+'蓝恐龙费用'!C71</x:f>
        <x:v>647.8299999999999</x:v>
      </x:c>
      <x:c r="D71" s="3" t="n">
        <x:f>'销售费用'!D71+'管理费用'!D71+'蓝恐龙费用'!D71</x:f>
        <x:v>479.01</x:v>
      </x:c>
      <x:c r="E71" s="3" t="n">
        <x:f>'销售费用'!E71+'管理费用'!E71+'蓝恐龙费用'!E71</x:f>
        <x:v>697.8299999999999</x:v>
      </x:c>
      <x:c r="F71" s="3" t="n">
        <x:f>'销售费用'!F71+'管理费用'!F71+'蓝恐龙费用'!F71</x:f>
        <x:v>841.81</x:v>
      </x:c>
      <x:c r="G71" s="3" t="n">
        <x:f>'销售费用'!G71+'管理费用'!G71+'蓝恐龙费用'!G71</x:f>
        <x:v>875.88</x:v>
      </x:c>
      <x:c r="H71" s="3" t="n">
        <x:f>'销售费用'!H71+'管理费用'!H71+'蓝恐龙费用'!H71</x:f>
        <x:v>513.5699999999999</x:v>
      </x:c>
      <x:c r="I71" s="3" t="n">
        <x:f>'销售费用'!I71+'管理费用'!I71+'蓝恐龙费用'!I71</x:f>
        <x:v>506.28</x:v>
      </x:c>
      <x:c r="J71" s="3" t="n">
        <x:f>'销售费用'!J71+'管理费用'!J71+'蓝恐龙费用'!J71</x:f>
        <x:v>507.58</x:v>
      </x:c>
      <x:c r="K71" s="3" t="n">
        <x:f>'销售费用'!K71+'管理费用'!K71+'蓝恐龙费用'!K71</x:f>
        <x:v>440.27</x:v>
      </x:c>
      <x:c r="L71" s="3" t="n">
        <x:f>'销售费用'!L71+'管理费用'!L71+'蓝恐龙费用'!L71</x:f>
        <x:v>892.28</x:v>
      </x:c>
      <x:c r="M71" s="3" t="n">
        <x:f>'销售费用'!M71+'管理费用'!M71+'蓝恐龙费用'!M71</x:f>
        <x:v>798.1800000000001</x:v>
      </x:c>
      <x:c r="N71" s="3" t="n">
        <x:f>'销售费用'!N71+'管理费用'!N71+'蓝恐龙费用'!N71</x:f>
        <x:v>523.99</x:v>
      </x:c>
      <x:c r="O71" s="3" t="n">
        <x:f>SUM(C71:N71)</x:f>
        <x:v>7724.509999999999</x:v>
      </x:c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 t="str">
        <x:v>物业管理费</x:v>
      </x:c>
      <x:c r="C72" s="3" t="n">
        <x:f>'销售费用'!C72+'管理费用'!C72+'蓝恐龙费用'!C72</x:f>
        <x:v>1054.29</x:v>
      </x:c>
      <x:c r="D72" s="3" t="n">
        <x:f>'销售费用'!D72+'管理费用'!D72+'蓝恐龙费用'!D72</x:f>
        <x:v>755.3599999999999</x:v>
      </x:c>
      <x:c r="E72" s="3" t="n">
        <x:f>'销售费用'!E72+'管理费用'!E72+'蓝恐龙费用'!E72</x:f>
        <x:v>497.29</x:v>
      </x:c>
      <x:c r="F72" s="3" t="n">
        <x:f>'销售费用'!F72+'管理费用'!F72+'蓝恐龙费用'!F72</x:f>
        <x:v>305.15</x:v>
      </x:c>
      <x:c r="G72" s="3" t="n">
        <x:f>'销售费用'!G72+'管理费用'!G72+'蓝恐龙费用'!G72</x:f>
        <x:v>992.97</x:v>
      </x:c>
      <x:c r="H72" s="3" t="n">
        <x:f>'销售费用'!H72+'管理费用'!H72+'蓝恐龙费用'!H72</x:f>
        <x:v>656.31</x:v>
      </x:c>
      <x:c r="I72" s="3" t="n">
        <x:f>'销售费用'!I72+'管理费用'!I72+'蓝恐龙费用'!I72</x:f>
        <x:v>637.13</x:v>
      </x:c>
      <x:c r="J72" s="3" t="n">
        <x:f>'销售费用'!J72+'管理费用'!J72+'蓝恐龙费用'!J72</x:f>
        <x:v>370.46999999999997</x:v>
      </x:c>
      <x:c r="K72" s="3" t="n">
        <x:f>'销售费用'!K72+'管理费用'!K72+'蓝恐龙费用'!K72</x:f>
        <x:v>637.05</x:v>
      </x:c>
      <x:c r="L72" s="3" t="n">
        <x:f>'销售费用'!L72+'管理费用'!L72+'蓝恐龙费用'!L72</x:f>
        <x:v>628.81</x:v>
      </x:c>
      <x:c r="M72" s="3" t="n">
        <x:f>'销售费用'!M72+'管理费用'!M72+'蓝恐龙费用'!M72</x:f>
        <x:v>676.34</x:v>
      </x:c>
      <x:c r="N72" s="3" t="n">
        <x:f>'销售费用'!N72+'管理费用'!N72+'蓝恐龙费用'!N72</x:f>
        <x:v>367.57000000000005</x:v>
      </x:c>
      <x:c r="O72" s="3" t="n">
        <x:f>SUM(C72:N72)</x:f>
        <x:v>7578.740000000002</x:v>
      </x:c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 t="str">
        <x:v>汽车费用</x:v>
      </x:c>
      <x:c r="C73" s="3" t="n">
        <x:f>'销售费用'!C73+'管理费用'!C73+'蓝恐龙费用'!C73</x:f>
        <x:v>833.55</x:v>
      </x:c>
      <x:c r="D73" s="3" t="n">
        <x:f>'销售费用'!D73+'管理费用'!D73+'蓝恐龙费用'!D73</x:f>
        <x:v>751.8</x:v>
      </x:c>
      <x:c r="E73" s="3" t="n">
        <x:f>'销售费用'!E73+'管理费用'!E73+'蓝恐龙费用'!E73</x:f>
        <x:v>312.21</x:v>
      </x:c>
      <x:c r="F73" s="3" t="n">
        <x:f>'销售费用'!F73+'管理费用'!F73+'蓝恐龙费用'!F73</x:f>
        <x:v>929.27</x:v>
      </x:c>
      <x:c r="G73" s="3" t="n">
        <x:f>'销售费用'!G73+'管理费用'!G73+'蓝恐龙费用'!G73</x:f>
        <x:v>780.4599999999999</x:v>
      </x:c>
      <x:c r="H73" s="3" t="n">
        <x:f>'销售费用'!H73+'管理费用'!H73+'蓝恐龙费用'!H73</x:f>
        <x:v>639.73</x:v>
      </x:c>
      <x:c r="I73" s="3" t="n">
        <x:f>'销售费用'!I73+'管理费用'!I73+'蓝恐龙费用'!I73</x:f>
        <x:v>440.04</x:v>
      </x:c>
      <x:c r="J73" s="3" t="n">
        <x:f>'销售费用'!J73+'管理费用'!J73+'蓝恐龙费用'!J73</x:f>
        <x:v>741.88</x:v>
      </x:c>
      <x:c r="K73" s="3" t="n">
        <x:f>'销售费用'!K73+'管理费用'!K73+'蓝恐龙费用'!K73</x:f>
        <x:v>1131.58</x:v>
      </x:c>
      <x:c r="L73" s="3" t="n">
        <x:f>'销售费用'!L73+'管理费用'!L73+'蓝恐龙费用'!L73</x:f>
        <x:v>913.06</x:v>
      </x:c>
      <x:c r="M73" s="3" t="n">
        <x:f>'销售费用'!M73+'管理费用'!M73+'蓝恐龙费用'!M73</x:f>
        <x:v>881.53</x:v>
      </x:c>
      <x:c r="N73" s="3" t="n">
        <x:f>'销售费用'!N73+'管理费用'!N73+'蓝恐龙费用'!N73</x:f>
        <x:v>917.53</x:v>
      </x:c>
      <x:c r="O73" s="3" t="n">
        <x:f>SUM(C73:N73)</x:f>
        <x:v>9272.640000000001</x:v>
      </x:c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 t="str">
        <x:v>办公费</x:v>
      </x:c>
      <x:c r="C74" s="3" t="n">
        <x:f>'销售费用'!C74+'管理费用'!C74+'蓝恐龙费用'!C74</x:f>
        <x:v>443.15</x:v>
      </x:c>
      <x:c r="D74" s="3" t="n">
        <x:f>'销售费用'!D74+'管理费用'!D74+'蓝恐龙费用'!D74</x:f>
        <x:v>637.7600000000001</x:v>
      </x:c>
      <x:c r="E74" s="3" t="n">
        <x:f>'销售费用'!E74+'管理费用'!E74+'蓝恐龙费用'!E74</x:f>
        <x:v>627.98</x:v>
      </x:c>
      <x:c r="F74" s="3" t="n">
        <x:f>'销售费用'!F74+'管理费用'!F74+'蓝恐龙费用'!F74</x:f>
        <x:v>742.27</x:v>
      </x:c>
      <x:c r="G74" s="3" t="n">
        <x:f>'销售费用'!G74+'管理费用'!G74+'蓝恐龙费用'!G74</x:f>
        <x:v>622.4300000000001</x:v>
      </x:c>
      <x:c r="H74" s="3" t="n">
        <x:f>'销售费用'!H74+'管理费用'!H74+'蓝恐龙费用'!H74</x:f>
        <x:v>562.24</x:v>
      </x:c>
      <x:c r="I74" s="3" t="n">
        <x:f>'销售费用'!I74+'管理费用'!I74+'蓝恐龙费用'!I74</x:f>
        <x:v>445.01</x:v>
      </x:c>
      <x:c r="J74" s="3" t="n">
        <x:f>'销售费用'!J74+'管理费用'!J74+'蓝恐龙费用'!J74</x:f>
        <x:v>665.4200000000001</x:v>
      </x:c>
      <x:c r="K74" s="3" t="n">
        <x:f>'销售费用'!K74+'管理费用'!K74+'蓝恐龙费用'!K74</x:f>
        <x:v>690.75</x:v>
      </x:c>
      <x:c r="L74" s="3" t="n">
        <x:f>'销售费用'!L74+'管理费用'!L74+'蓝恐龙费用'!L74</x:f>
        <x:v>485.02000000000004</x:v>
      </x:c>
      <x:c r="M74" s="3" t="n">
        <x:f>'销售费用'!M74+'管理费用'!M74+'蓝恐龙费用'!M74</x:f>
        <x:v>490.61</x:v>
      </x:c>
      <x:c r="N74" s="3" t="n">
        <x:f>'销售费用'!N74+'管理费用'!N74+'蓝恐龙费用'!N74</x:f>
        <x:v>526.27</x:v>
      </x:c>
      <x:c r="O74" s="3" t="n">
        <x:f>SUM(C74:N74)</x:f>
        <x:v>6938.91</x:v>
      </x:c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 t="str">
        <x:v>办公用品</x:v>
      </x:c>
      <x:c r="C75" s="3" t="n">
        <x:f>'销售费用'!C75+'管理费用'!C75+'蓝恐龙费用'!C75</x:f>
        <x:v>946.8800000000001</x:v>
      </x:c>
      <x:c r="D75" s="3" t="n">
        <x:f>'销售费用'!D75+'管理费用'!D75+'蓝恐龙费用'!D75</x:f>
        <x:v>735.1800000000001</x:v>
      </x:c>
      <x:c r="E75" s="3" t="n">
        <x:f>'销售费用'!E75+'管理费用'!E75+'蓝恐龙费用'!E75</x:f>
        <x:v>615.94</x:v>
      </x:c>
      <x:c r="F75" s="3" t="n">
        <x:f>'销售费用'!F75+'管理费用'!F75+'蓝恐龙费用'!F75</x:f>
        <x:v>625.0999999999999</x:v>
      </x:c>
      <x:c r="G75" s="3" t="n">
        <x:f>'销售费用'!G75+'管理费用'!G75+'蓝恐龙费用'!G75</x:f>
        <x:v>729.7</x:v>
      </x:c>
      <x:c r="H75" s="3" t="n">
        <x:f>'销售费用'!H75+'管理费用'!H75+'蓝恐龙费用'!H75</x:f>
        <x:v>1074.15</x:v>
      </x:c>
      <x:c r="I75" s="3" t="n">
        <x:f>'销售费用'!I75+'管理费用'!I75+'蓝恐龙费用'!I75</x:f>
        <x:v>573.3</x:v>
      </x:c>
      <x:c r="J75" s="3" t="n">
        <x:f>'销售费用'!J75+'管理费用'!J75+'蓝恐龙费用'!J75</x:f>
        <x:v>552.05</x:v>
      </x:c>
      <x:c r="K75" s="3" t="n">
        <x:f>'销售费用'!K75+'管理费用'!K75+'蓝恐龙费用'!K75</x:f>
        <x:v>622.61</x:v>
      </x:c>
      <x:c r="L75" s="3" t="n">
        <x:f>'销售费用'!L75+'管理费用'!L75+'蓝恐龙费用'!L75</x:f>
        <x:v>1029.44</x:v>
      </x:c>
      <x:c r="M75" s="3" t="n">
        <x:f>'销售费用'!M75+'管理费用'!M75+'蓝恐龙费用'!M75</x:f>
        <x:v>1246.6</x:v>
      </x:c>
      <x:c r="N75" s="3" t="n">
        <x:f>'销售费用'!N75+'管理费用'!N75+'蓝恐龙费用'!N75</x:f>
        <x:v>697.28</x:v>
      </x:c>
      <x:c r="O75" s="3" t="n">
        <x:f>SUM(C75:N75)</x:f>
        <x:v>9448.230000000001</x:v>
      </x:c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 t="str">
        <x:v>水电煤</x:v>
      </x:c>
      <x:c r="C76" s="3" t="n">
        <x:f>'销售费用'!C76+'管理费用'!C76+'蓝恐龙费用'!C76</x:f>
        <x:v>668.62</x:v>
      </x:c>
      <x:c r="D76" s="3" t="n">
        <x:f>'销售费用'!D76+'管理费用'!D76+'蓝恐龙费用'!D76</x:f>
        <x:v>448.09000000000003</x:v>
      </x:c>
      <x:c r="E76" s="3" t="n">
        <x:f>'销售费用'!E76+'管理费用'!E76+'蓝恐龙费用'!E76</x:f>
        <x:v>723.0999999999999</x:v>
      </x:c>
      <x:c r="F76" s="3" t="n">
        <x:f>'销售费用'!F76+'管理费用'!F76+'蓝恐龙费用'!F76</x:f>
        <x:v>1133.49</x:v>
      </x:c>
      <x:c r="G76" s="3" t="n">
        <x:f>'销售费用'!G76+'管理费用'!G76+'蓝恐龙费用'!G76</x:f>
        <x:v>416.53</x:v>
      </x:c>
      <x:c r="H76" s="3" t="n">
        <x:f>'销售费用'!H76+'管理费用'!H76+'蓝恐龙费用'!H76</x:f>
        <x:v>718.01</x:v>
      </x:c>
      <x:c r="I76" s="3" t="n">
        <x:f>'销售费用'!I76+'管理费用'!I76+'蓝恐龙费用'!I76</x:f>
        <x:v>314.8</x:v>
      </x:c>
      <x:c r="J76" s="3" t="n">
        <x:f>'销售费用'!J76+'管理费用'!J76+'蓝恐龙费用'!J76</x:f>
        <x:v>859.63</x:v>
      </x:c>
      <x:c r="K76" s="3" t="n">
        <x:f>'销售费用'!K76+'管理费用'!K76+'蓝恐龙费用'!K76</x:f>
        <x:v>572.4</x:v>
      </x:c>
      <x:c r="L76" s="3" t="n">
        <x:f>'销售费用'!L76+'管理费用'!L76+'蓝恐龙费用'!L76</x:f>
        <x:v>630.26</x:v>
      </x:c>
      <x:c r="M76" s="3" t="n">
        <x:f>'销售费用'!M76+'管理费用'!M76+'蓝恐龙费用'!M76</x:f>
        <x:v>380.27</x:v>
      </x:c>
      <x:c r="N76" s="3" t="n">
        <x:f>'销售费用'!N76+'管理费用'!N76+'蓝恐龙费用'!N76</x:f>
        <x:v>580.49</x:v>
      </x:c>
      <x:c r="O76" s="3" t="n">
        <x:f>SUM(C76:N76)</x:f>
        <x:v>7445.6900000000005</x:v>
      </x:c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 t="str">
        <x:v>咨询服务费</x:v>
      </x:c>
      <x:c r="C77" s="3" t="n">
        <x:f>'销售费用'!C77+'管理费用'!C77+'蓝恐龙费用'!C77</x:f>
        <x:v>733.7</x:v>
      </x:c>
      <x:c r="D77" s="3" t="n">
        <x:f>'销售费用'!D77+'管理费用'!D77+'蓝恐龙费用'!D77</x:f>
        <x:v>451.03</x:v>
      </x:c>
      <x:c r="E77" s="3" t="n">
        <x:f>'销售费用'!E77+'管理费用'!E77+'蓝恐龙费用'!E77</x:f>
        <x:v>241.07</x:v>
      </x:c>
      <x:c r="F77" s="3" t="n">
        <x:f>'销售费用'!F77+'管理费用'!F77+'蓝恐龙费用'!F77</x:f>
        <x:v>627.96</x:v>
      </x:c>
      <x:c r="G77" s="3" t="n">
        <x:f>'销售费用'!G77+'管理费用'!G77+'蓝恐龙费用'!G77</x:f>
        <x:v>686.3</x:v>
      </x:c>
      <x:c r="H77" s="3" t="n">
        <x:f>'销售费用'!H77+'管理费用'!H77+'蓝恐龙费用'!H77</x:f>
        <x:v>1310.45</x:v>
      </x:c>
      <x:c r="I77" s="3" t="n">
        <x:f>'销售费用'!I77+'管理费用'!I77+'蓝恐龙费用'!I77</x:f>
        <x:v>864.13</x:v>
      </x:c>
      <x:c r="J77" s="3" t="n">
        <x:f>'销售费用'!J77+'管理费用'!J77+'蓝恐龙费用'!J77</x:f>
        <x:v>920.89</x:v>
      </x:c>
      <x:c r="K77" s="3" t="n">
        <x:f>'销售费用'!K77+'管理费用'!K77+'蓝恐龙费用'!K77</x:f>
        <x:v>923.1800000000001</x:v>
      </x:c>
      <x:c r="L77" s="3" t="n">
        <x:f>'销售费用'!L77+'管理费用'!L77+'蓝恐龙费用'!L77</x:f>
        <x:v>772.6800000000001</x:v>
      </x:c>
      <x:c r="M77" s="3" t="n">
        <x:f>'销售费用'!M77+'管理费用'!M77+'蓝恐龙费用'!M77</x:f>
        <x:v>909.1700000000001</x:v>
      </x:c>
      <x:c r="N77" s="3" t="n">
        <x:f>'销售费用'!N77+'管理费用'!N77+'蓝恐龙费用'!N77</x:f>
        <x:v>469.62</x:v>
      </x:c>
      <x:c r="O77" s="3" t="n">
        <x:f>SUM(C77:N77)</x:f>
        <x:v>8910.180000000002</x:v>
      </x:c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 t="str">
        <x:v>电话费</x:v>
      </x:c>
      <x:c r="C78" s="3" t="n">
        <x:f>'销售费用'!C78+'管理费用'!C78+'蓝恐龙费用'!C78</x:f>
        <x:v>707.8499999999999</x:v>
      </x:c>
      <x:c r="D78" s="3" t="n">
        <x:f>'销售费用'!D78+'管理费用'!D78+'蓝恐龙费用'!D78</x:f>
        <x:v>1169.75</x:v>
      </x:c>
      <x:c r="E78" s="3" t="n">
        <x:f>'销售费用'!E78+'管理费用'!E78+'蓝恐龙费用'!E78</x:f>
        <x:v>664.86</x:v>
      </x:c>
      <x:c r="F78" s="3" t="n">
        <x:f>'销售费用'!F78+'管理费用'!F78+'蓝恐龙费用'!F78</x:f>
        <x:v>801.28</x:v>
      </x:c>
      <x:c r="G78" s="3" t="n">
        <x:f>'销售费用'!G78+'管理费用'!G78+'蓝恐龙费用'!G78</x:f>
        <x:v>686.86</x:v>
      </x:c>
      <x:c r="H78" s="3" t="n">
        <x:f>'销售费用'!H78+'管理费用'!H78+'蓝恐龙费用'!H78</x:f>
        <x:v>540.73</x:v>
      </x:c>
      <x:c r="I78" s="3" t="n">
        <x:f>'销售费用'!I78+'管理费用'!I78+'蓝恐龙费用'!I78</x:f>
        <x:v>696.51</x:v>
      </x:c>
      <x:c r="J78" s="3" t="n">
        <x:f>'销售费用'!J78+'管理费用'!J78+'蓝恐龙费用'!J78</x:f>
        <x:v>394.09000000000003</x:v>
      </x:c>
      <x:c r="K78" s="3" t="n">
        <x:f>'销售费用'!K78+'管理费用'!K78+'蓝恐龙费用'!K78</x:f>
        <x:v>736.99</x:v>
      </x:c>
      <x:c r="L78" s="3" t="n">
        <x:f>'销售费用'!L78+'管理费用'!L78+'蓝恐龙费用'!L78</x:f>
        <x:v>679.99</x:v>
      </x:c>
      <x:c r="M78" s="3" t="n">
        <x:f>'销售费用'!M78+'管理费用'!M78+'蓝恐龙费用'!M78</x:f>
        <x:v>663.56</x:v>
      </x:c>
      <x:c r="N78" s="3" t="n">
        <x:f>'销售费用'!N78+'管理费用'!N78+'蓝恐龙费用'!N78</x:f>
        <x:v>367.06</x:v>
      </x:c>
      <x:c r="O78" s="3" t="n">
        <x:f>SUM(C78:N78)</x:f>
        <x:v>8109.53</x:v>
      </x:c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 t="str">
        <x:v>快递费</x:v>
      </x:c>
      <x:c r="C79" s="3" t="n">
        <x:f>'销售费用'!C79+'管理费用'!C79+'蓝恐龙费用'!C79</x:f>
        <x:v>375.86</x:v>
      </x:c>
      <x:c r="D79" s="3" t="n">
        <x:f>'销售费用'!D79+'管理费用'!D79+'蓝恐龙费用'!D79</x:f>
        <x:v>667.26</x:v>
      </x:c>
      <x:c r="E79" s="3" t="n">
        <x:f>'销售费用'!E79+'管理费用'!E79+'蓝恐龙费用'!E79</x:f>
        <x:v>861.93</x:v>
      </x:c>
      <x:c r="F79" s="3" t="n">
        <x:f>'销售费用'!F79+'管理费用'!F79+'蓝恐龙费用'!F79</x:f>
        <x:v>581.39</x:v>
      </x:c>
      <x:c r="G79" s="3" t="n">
        <x:f>'销售费用'!G79+'管理费用'!G79+'蓝恐龙费用'!G79</x:f>
        <x:v>512.29</x:v>
      </x:c>
      <x:c r="H79" s="3" t="n">
        <x:f>'销售费用'!H79+'管理费用'!H79+'蓝恐龙费用'!H79</x:f>
        <x:v>237.93</x:v>
      </x:c>
      <x:c r="I79" s="3" t="n">
        <x:f>'销售费用'!I79+'管理费用'!I79+'蓝恐龙费用'!I79</x:f>
        <x:v>965.99</x:v>
      </x:c>
      <x:c r="J79" s="3" t="n">
        <x:f>'销售费用'!J79+'管理费用'!J79+'蓝恐龙费用'!J79</x:f>
        <x:v>890.14</x:v>
      </x:c>
      <x:c r="K79" s="3" t="n">
        <x:f>'销售费用'!K79+'管理费用'!K79+'蓝恐龙费用'!K79</x:f>
        <x:v>520.59</x:v>
      </x:c>
      <x:c r="L79" s="3" t="n">
        <x:f>'销售费用'!L79+'管理费用'!L79+'蓝恐龙费用'!L79</x:f>
        <x:v>761.6500000000001</x:v>
      </x:c>
      <x:c r="M79" s="3" t="n">
        <x:f>'销售费用'!M79+'管理费用'!M79+'蓝恐龙费用'!M79</x:f>
        <x:v>1121.28</x:v>
      </x:c>
      <x:c r="N79" s="3" t="n">
        <x:f>'销售费用'!N79+'管理费用'!N79+'蓝恐龙费用'!N79</x:f>
        <x:v>671.79</x:v>
      </x:c>
      <x:c r="O79" s="3" t="n">
        <x:f>SUM(C79:N79)</x:f>
        <x:v>8168.1</x:v>
      </x:c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折旧及摊销</x:v>
      </x:c>
      <x:c r="C80" s="3" t="n">
        <x:f>'销售费用'!C80+'管理费用'!C80+'蓝恐龙费用'!C80</x:f>
        <x:v>1533.33</x:v>
      </x:c>
      <x:c r="D80" s="3" t="n">
        <x:f>'销售费用'!D80+'管理费用'!D80+'蓝恐龙费用'!D80</x:f>
        <x:v>1533.33</x:v>
      </x:c>
      <x:c r="E80" s="3" t="n">
        <x:f>'销售费用'!E80+'管理费用'!E80+'蓝恐龙费用'!E80</x:f>
        <x:v>1533.33</x:v>
      </x:c>
      <x:c r="F80" s="3" t="n">
        <x:f>'销售费用'!F80+'管理费用'!F80+'蓝恐龙费用'!F80</x:f>
        <x:v>1533.33</x:v>
      </x:c>
      <x:c r="G80" s="3" t="n">
        <x:f>'销售费用'!G80+'管理费用'!G80+'蓝恐龙费用'!G80</x:f>
        <x:v>1533.33</x:v>
      </x:c>
      <x:c r="H80" s="3" t="n">
        <x:f>'销售费用'!H80+'管理费用'!H80+'蓝恐龙费用'!H80</x:f>
        <x:v>1533.33</x:v>
      </x:c>
      <x:c r="I80" s="3" t="n">
        <x:f>'销售费用'!I80+'管理费用'!I80+'蓝恐龙费用'!I80</x:f>
        <x:v>1533.33</x:v>
      </x:c>
      <x:c r="J80" s="3" t="n">
        <x:f>'销售费用'!J80+'管理费用'!J80+'蓝恐龙费用'!J80</x:f>
        <x:v>1533.33</x:v>
      </x:c>
      <x:c r="K80" s="3" t="n">
        <x:f>'销售费用'!K80+'管理费用'!K80+'蓝恐龙费用'!K80</x:f>
        <x:v>1533.33</x:v>
      </x:c>
      <x:c r="L80" s="3" t="n">
        <x:f>'销售费用'!L80+'管理费用'!L80+'蓝恐龙费用'!L80</x:f>
        <x:v>1533.33</x:v>
      </x:c>
      <x:c r="M80" s="3" t="n">
        <x:f>'销售费用'!M80+'管理费用'!M80+'蓝恐龙费用'!M80</x:f>
        <x:v>1533.33</x:v>
      </x:c>
      <x:c r="N80" s="3" t="n">
        <x:f>'销售费用'!N80+'管理费用'!N80+'蓝恐龙费用'!N80</x:f>
        <x:v>1533.33</x:v>
      </x:c>
      <x:c r="O80" s="3" t="n">
        <x:f>SUM(C80:N80)</x:f>
        <x:v>18399.96</x:v>
      </x:c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 t="str">
        <x:v>机票火车票</x:v>
      </x:c>
      <x:c r="C81" s="3" t="n">
        <x:f>'销售费用'!C81+'管理费用'!C81+'蓝恐龙费用'!C81</x:f>
        <x:v>598.64</x:v>
      </x:c>
      <x:c r="D81" s="3" t="n">
        <x:f>'销售费用'!D81+'管理费用'!D81+'蓝恐龙费用'!D81</x:f>
        <x:v>630.5899999999999</x:v>
      </x:c>
      <x:c r="E81" s="3" t="n">
        <x:f>'销售费用'!E81+'管理费用'!E81+'蓝恐龙费用'!E81</x:f>
        <x:v>608.3199999999999</x:v>
      </x:c>
      <x:c r="F81" s="3" t="n">
        <x:f>'销售费用'!F81+'管理费用'!F81+'蓝恐龙费用'!F81</x:f>
        <x:v>1179.81</x:v>
      </x:c>
      <x:c r="G81" s="3" t="n">
        <x:f>'销售费用'!G81+'管理费用'!G81+'蓝恐龙费用'!G81</x:f>
        <x:v>498.78</x:v>
      </x:c>
      <x:c r="H81" s="3" t="n">
        <x:f>'销售费用'!H81+'管理费用'!H81+'蓝恐龙费用'!H81</x:f>
        <x:v>587.74</x:v>
      </x:c>
      <x:c r="I81" s="3" t="n">
        <x:f>'销售费用'!I81+'管理费用'!I81+'蓝恐龙费用'!I81</x:f>
        <x:v>619.5999999999999</x:v>
      </x:c>
      <x:c r="J81" s="3" t="n">
        <x:f>'销售费用'!J81+'管理费用'!J81+'蓝恐龙费用'!J81</x:f>
        <x:v>593.8900000000001</x:v>
      </x:c>
      <x:c r="K81" s="3" t="n">
        <x:f>'销售费用'!K81+'管理费用'!K81+'蓝恐龙费用'!K81</x:f>
        <x:v>866.47</x:v>
      </x:c>
      <x:c r="L81" s="3" t="n">
        <x:f>'销售费用'!L81+'管理费用'!L81+'蓝恐龙费用'!L81</x:f>
        <x:v>780.3699999999999</x:v>
      </x:c>
      <x:c r="M81" s="3" t="n">
        <x:f>'销售费用'!M81+'管理费用'!M81+'蓝恐龙费用'!M81</x:f>
        <x:v>471.90999999999997</x:v>
      </x:c>
      <x:c r="N81" s="3" t="n">
        <x:f>'销售费用'!N81+'管理费用'!N81+'蓝恐龙费用'!N81</x:f>
        <x:v>1193.69</x:v>
      </x:c>
      <x:c r="O81" s="3" t="n">
        <x:f>SUM(C81:N81)</x:f>
        <x:v>8629.81</x:v>
      </x:c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 t="str">
        <x:v>住宿费</x:v>
      </x:c>
      <x:c r="C82" s="3" t="n">
        <x:f>'销售费用'!C82+'管理费用'!C82+'蓝恐龙费用'!C82</x:f>
        <x:v>1049.9199999999998</x:v>
      </x:c>
      <x:c r="D82" s="3" t="n">
        <x:f>'销售费用'!D82+'管理费用'!D82+'蓝恐龙费用'!D82</x:f>
        <x:v>537.2</x:v>
      </x:c>
      <x:c r="E82" s="3" t="n">
        <x:f>'销售费用'!E82+'管理费用'!E82+'蓝恐龙费用'!E82</x:f>
        <x:v>940.19</x:v>
      </x:c>
      <x:c r="F82" s="3" t="n">
        <x:f>'销售费用'!F82+'管理费用'!F82+'蓝恐龙费用'!F82</x:f>
        <x:v>598.28</x:v>
      </x:c>
      <x:c r="G82" s="3" t="n">
        <x:f>'销售费用'!G82+'管理费用'!G82+'蓝恐龙费用'!G82</x:f>
        <x:v>950.88</x:v>
      </x:c>
      <x:c r="H82" s="3" t="n">
        <x:f>'销售费用'!H82+'管理费用'!H82+'蓝恐龙费用'!H82</x:f>
        <x:v>520.58</x:v>
      </x:c>
      <x:c r="I82" s="3" t="n">
        <x:f>'销售费用'!I82+'管理费用'!I82+'蓝恐龙费用'!I82</x:f>
        <x:v>424</x:v>
      </x:c>
      <x:c r="J82" s="3" t="n">
        <x:f>'销售费用'!J82+'管理费用'!J82+'蓝恐龙费用'!J82</x:f>
        <x:v>973.13</x:v>
      </x:c>
      <x:c r="K82" s="3" t="n">
        <x:f>'销售费用'!K82+'管理费用'!K82+'蓝恐龙费用'!K82</x:f>
        <x:v>577.05</x:v>
      </x:c>
      <x:c r="L82" s="3" t="n">
        <x:f>'销售费用'!L82+'管理费用'!L82+'蓝恐龙费用'!L82</x:f>
        <x:v>952.76</x:v>
      </x:c>
      <x:c r="M82" s="3" t="n">
        <x:f>'销售费用'!M82+'管理费用'!M82+'蓝恐龙费用'!M82</x:f>
        <x:v>678.71</x:v>
      </x:c>
      <x:c r="N82" s="3" t="n">
        <x:f>'销售费用'!N82+'管理费用'!N82+'蓝恐龙费用'!N82</x:f>
        <x:v>694.39</x:v>
      </x:c>
      <x:c r="O82" s="3" t="n">
        <x:f>SUM(C82:N82)</x:f>
        <x:v>8897.09</x:v>
      </x:c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 t="str">
        <x:v>交通费</x:v>
      </x:c>
      <x:c r="C83" s="3" t="n">
        <x:f>'销售费用'!C83+'管理费用'!C83+'蓝恐龙费用'!C83</x:f>
        <x:v>718.4399999999999</x:v>
      </x:c>
      <x:c r="D83" s="3" t="n">
        <x:f>'销售费用'!D83+'管理费用'!D83+'蓝恐龙费用'!D83</x:f>
        <x:v>668.97</x:v>
      </x:c>
      <x:c r="E83" s="3" t="n">
        <x:f>'销售费用'!E83+'管理费用'!E83+'蓝恐龙费用'!E83</x:f>
        <x:v>615.71</x:v>
      </x:c>
      <x:c r="F83" s="3" t="n">
        <x:f>'销售费用'!F83+'管理费用'!F83+'蓝恐龙费用'!F83</x:f>
        <x:v>797.19</x:v>
      </x:c>
      <x:c r="G83" s="3" t="n">
        <x:f>'销售费用'!G83+'管理费用'!G83+'蓝恐龙费用'!G83</x:f>
        <x:v>824.18</x:v>
      </x:c>
      <x:c r="H83" s="3" t="n">
        <x:f>'销售费用'!H83+'管理费用'!H83+'蓝恐龙费用'!H83</x:f>
        <x:v>712.12</x:v>
      </x:c>
      <x:c r="I83" s="3" t="n">
        <x:f>'销售费用'!I83+'管理费用'!I83+'蓝恐龙费用'!I83</x:f>
        <x:v>606.9300000000001</x:v>
      </x:c>
      <x:c r="J83" s="3" t="n">
        <x:f>'销售费用'!J83+'管理费用'!J83+'蓝恐龙费用'!J83</x:f>
        <x:v>749.0699999999999</x:v>
      </x:c>
      <x:c r="K83" s="3" t="n">
        <x:f>'销售费用'!K83+'管理费用'!K83+'蓝恐龙费用'!K83</x:f>
        <x:v>756.06</x:v>
      </x:c>
      <x:c r="L83" s="3" t="n">
        <x:f>'销售费用'!L83+'管理费用'!L83+'蓝恐龙费用'!L83</x:f>
        <x:v>913.33</x:v>
      </x:c>
      <x:c r="M83" s="3" t="n">
        <x:f>'销售费用'!M83+'管理费用'!M83+'蓝恐龙费用'!M83</x:f>
        <x:v>797.96</x:v>
      </x:c>
      <x:c r="N83" s="3" t="n">
        <x:f>'销售费用'!N83+'管理费用'!N83+'蓝恐龙费用'!N83</x:f>
        <x:v>574.5</x:v>
      </x:c>
      <x:c r="O83" s="3" t="n">
        <x:f>SUM(C83:N83)</x:f>
        <x:v>8734.46</x:v>
      </x:c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 t="str">
        <x:v>差旅补贴</x:v>
      </x:c>
      <x:c r="C84" s="3" t="n">
        <x:f>'销售费用'!C84+'管理费用'!C84+'蓝恐龙费用'!C84</x:f>
        <x:v>698.91</x:v>
      </x:c>
      <x:c r="D84" s="3" t="n">
        <x:f>'销售费用'!D84+'管理费用'!D84+'蓝恐龙费用'!D84</x:f>
        <x:v>497.41</x:v>
      </x:c>
      <x:c r="E84" s="3" t="n">
        <x:f>'销售费用'!E84+'管理费用'!E84+'蓝恐龙费用'!E84</x:f>
        <x:v>568.75</x:v>
      </x:c>
      <x:c r="F84" s="3" t="n">
        <x:f>'销售费用'!F84+'管理费用'!F84+'蓝恐龙费用'!F84</x:f>
        <x:v>399.51</x:v>
      </x:c>
      <x:c r="G84" s="3" t="n">
        <x:f>'销售费用'!G84+'管理费用'!G84+'蓝恐龙费用'!G84</x:f>
        <x:v>785.6</x:v>
      </x:c>
      <x:c r="H84" s="3" t="n">
        <x:f>'销售费用'!H84+'管理费用'!H84+'蓝恐龙费用'!H84</x:f>
        <x:v>418.52</x:v>
      </x:c>
      <x:c r="I84" s="3" t="n">
        <x:f>'销售费用'!I84+'管理费用'!I84+'蓝恐龙费用'!I84</x:f>
        <x:v>725.78</x:v>
      </x:c>
      <x:c r="J84" s="3" t="n">
        <x:f>'销售费用'!J84+'管理费用'!J84+'蓝恐龙费用'!J84</x:f>
        <x:v>578.37</x:v>
      </x:c>
      <x:c r="K84" s="3" t="n">
        <x:f>'销售费用'!K84+'管理费用'!K84+'蓝恐龙费用'!K84</x:f>
        <x:v>599.62</x:v>
      </x:c>
      <x:c r="L84" s="3" t="n">
        <x:f>'销售费用'!L84+'管理费用'!L84+'蓝恐龙费用'!L84</x:f>
        <x:v>631.47</x:v>
      </x:c>
      <x:c r="M84" s="3" t="n">
        <x:f>'销售费用'!M84+'管理费用'!M84+'蓝恐龙费用'!M84</x:f>
        <x:v>486.03</x:v>
      </x:c>
      <x:c r="N84" s="3" t="n">
        <x:f>'销售费用'!N84+'管理费用'!N84+'蓝恐龙费用'!N84</x:f>
        <x:v>632.42</x:v>
      </x:c>
      <x:c r="O84" s="3" t="n">
        <x:f>SUM(C84:N84)</x:f>
        <x:v>7022.389999999999</x:v>
      </x:c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 t="str">
        <x:v>业务招待费</x:v>
      </x:c>
      <x:c r="C85" s="3" t="n">
        <x:f>'销售费用'!C85+'管理费用'!C85+'蓝恐龙费用'!C85</x:f>
        <x:v>824.49</x:v>
      </x:c>
      <x:c r="D85" s="3" t="n">
        <x:f>'销售费用'!D85+'管理费用'!D85+'蓝恐龙费用'!D85</x:f>
        <x:v>841.02</x:v>
      </x:c>
      <x:c r="E85" s="3" t="n">
        <x:f>'销售费用'!E85+'管理费用'!E85+'蓝恐龙费用'!E85</x:f>
        <x:v>1014.26</x:v>
      </x:c>
      <x:c r="F85" s="3" t="n">
        <x:f>'销售费用'!F85+'管理费用'!F85+'蓝恐龙费用'!F85</x:f>
        <x:v>920.0100000000001</x:v>
      </x:c>
      <x:c r="G85" s="3" t="n">
        <x:f>'销售费用'!G85+'管理费用'!G85+'蓝恐龙费用'!G85</x:f>
        <x:v>676.59</x:v>
      </x:c>
      <x:c r="H85" s="3" t="n">
        <x:f>'销售费用'!H85+'管理费用'!H85+'蓝恐龙费用'!H85</x:f>
        <x:v>759.35</x:v>
      </x:c>
      <x:c r="I85" s="3" t="n">
        <x:f>'销售费用'!I85+'管理费用'!I85+'蓝恐龙费用'!I85</x:f>
        <x:v>587.96</x:v>
      </x:c>
      <x:c r="J85" s="3" t="n">
        <x:f>'销售费用'!J85+'管理费用'!J85+'蓝恐龙费用'!J85</x:f>
        <x:v>645.25</x:v>
      </x:c>
      <x:c r="K85" s="3" t="n">
        <x:f>'销售费用'!K85+'管理费用'!K85+'蓝恐龙费用'!K85</x:f>
        <x:v>689.49</x:v>
      </x:c>
      <x:c r="L85" s="3" t="n">
        <x:f>'销售费用'!L85+'管理费用'!L85+'蓝恐龙费用'!L85</x:f>
        <x:v>808.86</x:v>
      </x:c>
      <x:c r="M85" s="3" t="n">
        <x:f>'销售费用'!M85+'管理费用'!M85+'蓝恐龙费用'!M85</x:f>
        <x:v>864.01</x:v>
      </x:c>
      <x:c r="N85" s="3" t="n">
        <x:f>'销售费用'!N85+'管理费用'!N85+'蓝恐龙费用'!N85</x:f>
        <x:v>912</x:v>
      </x:c>
      <x:c r="O85" s="3" t="n">
        <x:f>SUM(C85:N85)</x:f>
        <x:v>9543.289999999999</x:v>
      </x:c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 t="str">
        <x:v>市内交通费</x:v>
      </x:c>
      <x:c r="C86" s="3" t="n">
        <x:f>'销售费用'!C86+'管理费用'!C86+'蓝恐龙费用'!C86</x:f>
        <x:v>1204.98</x:v>
      </x:c>
      <x:c r="D86" s="3" t="n">
        <x:f>'销售费用'!D86+'管理费用'!D86+'蓝恐龙费用'!D86</x:f>
        <x:v>603.07</x:v>
      </x:c>
      <x:c r="E86" s="3" t="n">
        <x:f>'销售费用'!E86+'管理费用'!E86+'蓝恐龙费用'!E86</x:f>
        <x:v>676.77</x:v>
      </x:c>
      <x:c r="F86" s="3" t="n">
        <x:f>'销售费用'!F86+'管理费用'!F86+'蓝恐龙费用'!F86</x:f>
        <x:v>845.9000000000001</x:v>
      </x:c>
      <x:c r="G86" s="3" t="n">
        <x:f>'销售费用'!G86+'管理费用'!G86+'蓝恐龙费用'!G86</x:f>
        <x:v>759.3399999999999</x:v>
      </x:c>
      <x:c r="H86" s="3" t="n">
        <x:f>'销售费用'!H86+'管理费用'!H86+'蓝恐龙费用'!H86</x:f>
        <x:v>640.8399999999999</x:v>
      </x:c>
      <x:c r="I86" s="3" t="n">
        <x:f>'销售费用'!I86+'管理费用'!I86+'蓝恐龙费用'!I86</x:f>
        <x:v>1106.35</x:v>
      </x:c>
      <x:c r="J86" s="3" t="n">
        <x:f>'销售费用'!J86+'管理费用'!J86+'蓝恐龙费用'!J86</x:f>
        <x:v>584.54</x:v>
      </x:c>
      <x:c r="K86" s="3" t="n">
        <x:f>'销售费用'!K86+'管理费用'!K86+'蓝恐龙费用'!K86</x:f>
        <x:v>822.72</x:v>
      </x:c>
      <x:c r="L86" s="3" t="n">
        <x:f>'销售费用'!L86+'管理费用'!L86+'蓝恐龙费用'!L86</x:f>
        <x:v>472.21999999999997</x:v>
      </x:c>
      <x:c r="M86" s="3" t="n">
        <x:f>'销售费用'!M86+'管理费用'!M86+'蓝恐龙费用'!M86</x:f>
        <x:v>1012.35</x:v>
      </x:c>
      <x:c r="N86" s="3" t="n">
        <x:f>'销售费用'!N86+'管理费用'!N86+'蓝恐龙费用'!N86</x:f>
        <x:v>570.07</x:v>
      </x:c>
      <x:c r="O86" s="3" t="n">
        <x:f>SUM(C86:N86)</x:f>
        <x:v>9299.15</x:v>
      </x:c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 t="str">
        <x:v>调研费用</x:v>
      </x:c>
      <x:c r="C87" s="3" t="n">
        <x:f>'销售费用'!C87+'管理费用'!C87+'蓝恐龙费用'!C87</x:f>
        <x:v>825.0999999999999</x:v>
      </x:c>
      <x:c r="D87" s="3" t="n">
        <x:f>'销售费用'!D87+'管理费用'!D87+'蓝恐龙费用'!D87</x:f>
        <x:v>608.4300000000001</x:v>
      </x:c>
      <x:c r="E87" s="3" t="n">
        <x:f>'销售费用'!E87+'管理费用'!E87+'蓝恐龙费用'!E87</x:f>
        <x:v>586.71</x:v>
      </x:c>
      <x:c r="F87" s="3" t="n">
        <x:f>'销售费用'!F87+'管理费用'!F87+'蓝恐龙费用'!F87</x:f>
        <x:v>610.8299999999999</x:v>
      </x:c>
      <x:c r="G87" s="3" t="n">
        <x:f>'销售费用'!G87+'管理费用'!G87+'蓝恐龙费用'!G87</x:f>
        <x:v>566.19</x:v>
      </x:c>
      <x:c r="H87" s="3" t="n">
        <x:f>'销售费用'!H87+'管理费用'!H87+'蓝恐龙费用'!H87</x:f>
        <x:v>575.12</x:v>
      </x:c>
      <x:c r="I87" s="3" t="n">
        <x:f>'销售费用'!I87+'管理费用'!I87+'蓝恐龙费用'!I87</x:f>
        <x:v>467.48</x:v>
      </x:c>
      <x:c r="J87" s="3" t="n">
        <x:f>'销售费用'!J87+'管理费用'!J87+'蓝恐龙费用'!J87</x:f>
        <x:v>685.5999999999999</x:v>
      </x:c>
      <x:c r="K87" s="3" t="n">
        <x:f>'销售费用'!K87+'管理费用'!K87+'蓝恐龙费用'!K87</x:f>
        <x:v>580.17</x:v>
      </x:c>
      <x:c r="L87" s="3" t="n">
        <x:f>'销售费用'!L87+'管理费用'!L87+'蓝恐龙费用'!L87</x:f>
        <x:v>397.90999999999997</x:v>
      </x:c>
      <x:c r="M87" s="3" t="n">
        <x:f>'销售费用'!M87+'管理费用'!M87+'蓝恐龙费用'!M87</x:f>
        <x:v>745.72</x:v>
      </x:c>
      <x:c r="N87" s="3" t="n">
        <x:f>'销售费用'!N87+'管理费用'!N87+'蓝恐龙费用'!N87</x:f>
        <x:v>1043.06</x:v>
      </x:c>
      <x:c r="O87" s="3" t="n">
        <x:f>SUM(C87:N87)</x:f>
        <x:v>7692.32</x:v>
      </x:c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 t="str">
        <x:v>手续费</x:v>
      </x:c>
      <x:c r="C88" s="3" t="n">
        <x:f>'销售费用'!C88+'管理费用'!C88+'蓝恐龙费用'!C88</x:f>
        <x:v>798.9899999999999</x:v>
      </x:c>
      <x:c r="D88" s="3" t="n">
        <x:f>'销售费用'!D88+'管理费用'!D88+'蓝恐龙费用'!D88</x:f>
        <x:v>448.62</x:v>
      </x:c>
      <x:c r="E88" s="3" t="n">
        <x:f>'销售费用'!E88+'管理费用'!E88+'蓝恐龙费用'!E88</x:f>
        <x:v>680.4200000000001</x:v>
      </x:c>
      <x:c r="F88" s="3" t="n">
        <x:f>'销售费用'!F88+'管理费用'!F88+'蓝恐龙费用'!F88</x:f>
        <x:v>759.27</x:v>
      </x:c>
      <x:c r="G88" s="3" t="n">
        <x:f>'销售费用'!G88+'管理费用'!G88+'蓝恐龙费用'!G88</x:f>
        <x:v>718.8700000000001</x:v>
      </x:c>
      <x:c r="H88" s="3" t="n">
        <x:f>'销售费用'!H88+'管理费用'!H88+'蓝恐龙费用'!H88</x:f>
        <x:v>664.65</x:v>
      </x:c>
      <x:c r="I88" s="3" t="n">
        <x:f>'销售费用'!I88+'管理费用'!I88+'蓝恐龙费用'!I88</x:f>
        <x:v>747.24</x:v>
      </x:c>
      <x:c r="J88" s="3" t="n">
        <x:f>'销售费用'!J88+'管理费用'!J88+'蓝恐龙费用'!J88</x:f>
        <x:v>919.5500000000001</x:v>
      </x:c>
      <x:c r="K88" s="3" t="n">
        <x:f>'销售费用'!K88+'管理费用'!K88+'蓝恐龙费用'!K88</x:f>
        <x:v>567.08</x:v>
      </x:c>
      <x:c r="L88" s="3" t="n">
        <x:f>'销售费用'!L88+'管理费用'!L88+'蓝恐龙费用'!L88</x:f>
        <x:v>566.96</x:v>
      </x:c>
      <x:c r="M88" s="3" t="n">
        <x:f>'销售费用'!M88+'管理费用'!M88+'蓝恐龙费用'!M88</x:f>
        <x:v>516.89</x:v>
      </x:c>
      <x:c r="N88" s="3" t="n">
        <x:f>'销售费用'!N88+'管理费用'!N88+'蓝恐龙费用'!N88</x:f>
        <x:v>942.9399999999999</x:v>
      </x:c>
      <x:c r="O88" s="3" t="n">
        <x:f>SUM(C88:N88)</x:f>
        <x:v>8331.480000000001</x:v>
      </x:c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 t="str">
        <x:v>利息收入</x:v>
      </x:c>
      <x:c r="C89" s="3" t="n">
        <x:f>'销售费用'!C89+'管理费用'!C89+'蓝恐龙费用'!C89</x:f>
        <x:v>0</x:v>
      </x:c>
      <x:c r="D89" s="3" t="n">
        <x:f>'销售费用'!D89+'管理费用'!D89+'蓝恐龙费用'!D89</x:f>
        <x:v>0</x:v>
      </x:c>
      <x:c r="E89" s="3" t="n">
        <x:f>'销售费用'!E89+'管理费用'!E89+'蓝恐龙费用'!E89</x:f>
        <x:v>0</x:v>
      </x:c>
      <x:c r="F89" s="3" t="n">
        <x:f>'销售费用'!F89+'管理费用'!F89+'蓝恐龙费用'!F89</x:f>
        <x:v>0</x:v>
      </x:c>
      <x:c r="G89" s="3" t="n">
        <x:f>'销售费用'!G89+'管理费用'!G89+'蓝恐龙费用'!G89</x:f>
        <x:v>0</x:v>
      </x:c>
      <x:c r="H89" s="3" t="n">
        <x:f>'销售费用'!H89+'管理费用'!H89+'蓝恐龙费用'!H89</x:f>
        <x:v>0</x:v>
      </x:c>
      <x:c r="I89" s="3" t="n">
        <x:f>'销售费用'!I89+'管理费用'!I89+'蓝恐龙费用'!I89</x:f>
        <x:v>0</x:v>
      </x:c>
      <x:c r="J89" s="3" t="n">
        <x:f>'销售费用'!J89+'管理费用'!J89+'蓝恐龙费用'!J89</x:f>
        <x:v>0</x:v>
      </x:c>
      <x:c r="K89" s="3" t="n">
        <x:f>'销售费用'!K89+'管理费用'!K89+'蓝恐龙费用'!K89</x:f>
        <x:v>0</x:v>
      </x:c>
      <x:c r="L89" s="3" t="n">
        <x:f>'销售费用'!L89+'管理费用'!L89+'蓝恐龙费用'!L89</x:f>
        <x:v>0</x:v>
      </x:c>
      <x:c r="M89" s="3" t="n">
        <x:f>'销售费用'!M89+'管理费用'!M89+'蓝恐龙费用'!M89</x:f>
        <x:v>0</x:v>
      </x:c>
      <x:c r="N89" s="3" t="n">
        <x:f>'销售费用'!N89+'管理费用'!N89+'蓝恐龙费用'!N89</x:f>
        <x:v>0</x:v>
      </x:c>
      <x:c r="O89" s="3" t="n">
        <x:f>SUM(C89:N89)</x:f>
        <x:v>0</x:v>
      </x:c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利息支出</x:v>
      </x:c>
      <x:c r="C90" s="6" t="n">
        <x:f>'销售费用'!C90+'管理费用'!C90+'蓝恐龙费用'!C90</x:f>
        <x:v>951.4399999999999</x:v>
      </x:c>
      <x:c r="D90" s="6" t="n">
        <x:f>'销售费用'!D90+'管理费用'!D90+'蓝恐龙费用'!D90</x:f>
        <x:v>465.14</x:v>
      </x:c>
      <x:c r="E90" s="6" t="n">
        <x:f>'销售费用'!E90+'管理费用'!E90+'蓝恐龙费用'!E90</x:f>
        <x:v>464.92999999999995</x:v>
      </x:c>
      <x:c r="F90" s="6" t="n">
        <x:f>'销售费用'!F90+'管理费用'!F90+'蓝恐龙费用'!F90</x:f>
        <x:v>942.08</x:v>
      </x:c>
      <x:c r="G90" s="6" t="n">
        <x:f>'销售费用'!G90+'管理费用'!G90+'蓝恐龙费用'!G90</x:f>
        <x:v>1099.51</x:v>
      </x:c>
      <x:c r="H90" s="6" t="n">
        <x:f>'销售费用'!H90+'管理费用'!H90+'蓝恐龙费用'!H90</x:f>
        <x:v>628.06</x:v>
      </x:c>
      <x:c r="I90" s="6" t="n">
        <x:f>'销售费用'!I90+'管理费用'!I90+'蓝恐龙费用'!I90</x:f>
        <x:v>709.84</x:v>
      </x:c>
      <x:c r="J90" s="6" t="n">
        <x:f>'销售费用'!J90+'管理费用'!J90+'蓝恐龙费用'!J90</x:f>
        <x:v>401.93</x:v>
      </x:c>
      <x:c r="K90" s="6" t="n">
        <x:f>'销售费用'!K90+'管理费用'!K90+'蓝恐龙费用'!K90</x:f>
        <x:v>628.64</x:v>
      </x:c>
      <x:c r="L90" s="6" t="n">
        <x:f>'销售费用'!L90+'管理费用'!L90+'蓝恐龙费用'!L90</x:f>
        <x:v>684.4900000000001</x:v>
      </x:c>
      <x:c r="M90" s="6" t="n">
        <x:f>'销售费用'!M90+'管理费用'!M90+'蓝恐龙费用'!M90</x:f>
        <x:v>1016.75</x:v>
      </x:c>
      <x:c r="N90" s="6" t="n">
        <x:f>'销售费用'!N90+'管理费用'!N90+'蓝恐龙费用'!N90</x:f>
        <x:v>439.73</x:v>
      </x:c>
      <x:c r="O90" s="6" t="n">
        <x:f>SUM(C90:N90)</x:f>
        <x:v>8432.54</x:v>
      </x:c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车船税</x:v>
      </x:c>
      <x:c r="C91" s="3" t="n">
        <x:f>'销售费用'!C91+'管理费用'!C91+'蓝恐龙费用'!C91</x:f>
        <x:v>1099.27</x:v>
      </x:c>
      <x:c r="D91" s="3" t="n">
        <x:f>'销售费用'!D91+'管理费用'!D91+'蓝恐龙费用'!D91</x:f>
        <x:v>770.15</x:v>
      </x:c>
      <x:c r="E91" s="3" t="n">
        <x:f>'销售费用'!E91+'管理费用'!E91+'蓝恐龙费用'!E91</x:f>
        <x:v>1079.4</x:v>
      </x:c>
      <x:c r="F91" s="3" t="n">
        <x:f>'销售费用'!F91+'管理费用'!F91+'蓝恐龙费用'!F91</x:f>
        <x:v>739.79</x:v>
      </x:c>
      <x:c r="G91" s="3" t="n">
        <x:f>'销售费用'!G91+'管理费用'!G91+'蓝恐龙费用'!G91</x:f>
        <x:v>727.8299999999999</x:v>
      </x:c>
      <x:c r="H91" s="3" t="n">
        <x:f>'销售费用'!H91+'管理费用'!H91+'蓝恐龙费用'!H91</x:f>
        <x:v>565.91</x:v>
      </x:c>
      <x:c r="I91" s="3" t="n">
        <x:f>'销售费用'!I91+'管理费用'!I91+'蓝恐龙费用'!I91</x:f>
        <x:v>351.42</x:v>
      </x:c>
      <x:c r="J91" s="3" t="n">
        <x:f>'销售费用'!J91+'管理费用'!J91+'蓝恐龙费用'!J91</x:f>
        <x:v>585.1700000000001</x:v>
      </x:c>
      <x:c r="K91" s="3" t="n">
        <x:f>'销售费用'!K91+'管理费用'!K91+'蓝恐龙费用'!K91</x:f>
        <x:v>765.98</x:v>
      </x:c>
      <x:c r="L91" s="3" t="n">
        <x:f>'销售费用'!L91+'管理费用'!L91+'蓝恐龙费用'!L91</x:f>
        <x:v>522.04</x:v>
      </x:c>
      <x:c r="M91" s="3" t="n">
        <x:f>'销售费用'!M91+'管理费用'!M91+'蓝恐龙费用'!M91</x:f>
        <x:v>801.6899999999999</x:v>
      </x:c>
      <x:c r="N91" s="3" t="n">
        <x:f>'销售费用'!N91+'管理费用'!N91+'蓝恐龙费用'!N91</x:f>
        <x:v>832.1899999999999</x:v>
      </x:c>
      <x:c r="O91" s="3" t="n">
        <x:f>SUM(C91:N91)</x:f>
        <x:v>8840.84</x:v>
      </x:c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印花税</x:v>
      </x:c>
      <x:c r="C92" s="3" t="n">
        <x:f>'销售费用'!C92+'管理费用'!C92+'蓝恐龙费用'!C92</x:f>
        <x:v>367.40999999999997</x:v>
      </x:c>
      <x:c r="D92" s="3" t="n">
        <x:f>'销售费用'!D92+'管理费用'!D92+'蓝恐龙费用'!D92</x:f>
        <x:v>878.33</x:v>
      </x:c>
      <x:c r="E92" s="3" t="n">
        <x:f>'销售费用'!E92+'管理费用'!E92+'蓝恐龙费用'!E92</x:f>
        <x:v>601.7700000000001</x:v>
      </x:c>
      <x:c r="F92" s="3" t="n">
        <x:f>'销售费用'!F92+'管理费用'!F92+'蓝恐龙费用'!F92</x:f>
        <x:v>1070.24</x:v>
      </x:c>
      <x:c r="G92" s="3" t="n">
        <x:f>'销售费用'!G92+'管理费用'!G92+'蓝恐龙费用'!G92</x:f>
        <x:v>757.52</x:v>
      </x:c>
      <x:c r="H92" s="3" t="n">
        <x:f>'销售费用'!H92+'管理费用'!H92+'蓝恐龙费用'!H92</x:f>
        <x:v>665.35</x:v>
      </x:c>
      <x:c r="I92" s="3" t="n">
        <x:f>'销售费用'!I92+'管理费用'!I92+'蓝恐龙费用'!I92</x:f>
        <x:v>611.95</x:v>
      </x:c>
      <x:c r="J92" s="3" t="n">
        <x:f>'销售费用'!J92+'管理费用'!J92+'蓝恐龙费用'!J92</x:f>
        <x:v>552.8299999999999</x:v>
      </x:c>
      <x:c r="K92" s="3" t="n">
        <x:f>'销售费用'!K92+'管理费用'!K92+'蓝恐龙费用'!K92</x:f>
        <x:v>484.6</x:v>
      </x:c>
      <x:c r="L92" s="3" t="n">
        <x:f>'销售费用'!L92+'管理费用'!L92+'蓝恐龙费用'!L92</x:f>
        <x:v>1022.8599999999999</x:v>
      </x:c>
      <x:c r="M92" s="3" t="n">
        <x:f>'销售费用'!M92+'管理费用'!M92+'蓝恐龙费用'!M92</x:f>
        <x:v>495.83000000000004</x:v>
      </x:c>
      <x:c r="N92" s="3" t="n">
        <x:f>'销售费用'!N92+'管理费用'!N92+'蓝恐龙费用'!N92</x:f>
        <x:v>680.03</x:v>
      </x:c>
      <x:c r="O92" s="3" t="n">
        <x:f>SUM(C92:N92)</x:f>
        <x:v>8188.719999999999</x:v>
      </x:c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其他</x:v>
      </x:c>
      <x:c r="C93" s="3" t="n">
        <x:f>'销售费用'!C93+'管理费用'!C93+'蓝恐龙费用'!C93</x:f>
        <x:v>389.52</x:v>
      </x:c>
      <x:c r="D93" s="3" t="n">
        <x:f>'销售费用'!D93+'管理费用'!D93+'蓝恐龙费用'!D93</x:f>
        <x:v>721.9300000000001</x:v>
      </x:c>
      <x:c r="E93" s="3" t="n">
        <x:f>'销售费用'!E93+'管理费用'!E93+'蓝恐龙费用'!E93</x:f>
        <x:v>728.6800000000001</x:v>
      </x:c>
      <x:c r="F93" s="3" t="n">
        <x:f>'销售费用'!F93+'管理费用'!F93+'蓝恐龙费用'!F93</x:f>
        <x:v>493.71000000000004</x:v>
      </x:c>
      <x:c r="G93" s="3" t="n">
        <x:f>'销售费用'!G93+'管理费用'!G93+'蓝恐龙费用'!G93</x:f>
        <x:v>659.5699999999999</x:v>
      </x:c>
      <x:c r="H93" s="3" t="n">
        <x:f>'销售费用'!H93+'管理费用'!H93+'蓝恐龙费用'!H93</x:f>
        <x:v>695.84</x:v>
      </x:c>
      <x:c r="I93" s="3" t="n">
        <x:f>'销售费用'!I93+'管理费用'!I93+'蓝恐龙费用'!I93</x:f>
        <x:v>840.19</x:v>
      </x:c>
      <x:c r="J93" s="3" t="n">
        <x:f>'销售费用'!J93+'管理费用'!J93+'蓝恐龙费用'!J93</x:f>
        <x:v>606.37</x:v>
      </x:c>
      <x:c r="K93" s="3" t="n">
        <x:f>'销售费用'!K93+'管理费用'!K93+'蓝恐龙费用'!K93</x:f>
        <x:v>436.12</x:v>
      </x:c>
      <x:c r="L93" s="3" t="n">
        <x:f>'销售费用'!L93+'管理费用'!L93+'蓝恐龙费用'!L93</x:f>
        <x:v>625.71</x:v>
      </x:c>
      <x:c r="M93" s="3" t="n">
        <x:f>'销售费用'!M93+'管理费用'!M93+'蓝恐龙费用'!M93</x:f>
        <x:v>530.0699999999999</x:v>
      </x:c>
      <x:c r="N93" s="3" t="n">
        <x:f>'销售费用'!N93+'管理费用'!N93+'蓝恐龙费用'!N93</x:f>
        <x:v>856.94</x:v>
      </x:c>
      <x:c r="O93" s="3" t="n">
        <x:f>SUM(C93:N93)</x:f>
        <x:v>7584.65</x:v>
      </x:c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 t="n">
        <x:f>SUM(C64:C93)</x:f>
        <x:v>22981.920000000006</x:v>
      </x:c>
      <x:c r="D94" s="3" t="n">
        <x:f>SUM(D64:D93)</x:f>
        <x:v>19275.530000000002</x:v>
      </x:c>
      <x:c r="E94" s="3" t="n">
        <x:f>SUM(E64:E93)</x:f>
        <x:v>20451.24000000001</x:v>
      </x:c>
      <x:c r="F94" s="3" t="n">
        <x:f>SUM(F64:F93)</x:f>
        <x:v>23456.130000000005</x:v>
      </x:c>
      <x:c r="G94" s="3" t="n">
        <x:f>SUM(G64:G93)</x:f>
        <x:v>22194.209999999995</x:v>
      </x:c>
      <x:c r="H94" s="3" t="n">
        <x:f>SUM(H64:H93)</x:f>
        <x:v>20421.38</x:v>
      </x:c>
      <x:c r="I94" s="3" t="n">
        <x:f>SUM(I64:I93)</x:f>
        <x:v>19857.250000000004</x:v>
      </x:c>
      <x:c r="J94" s="3" t="n">
        <x:f>SUM(J64:J93)</x:f>
        <x:v>20476.31</x:v>
      </x:c>
      <x:c r="K94" s="3" t="n">
        <x:f>SUM(K64:K93)</x:f>
        <x:v>21691.539999999997</x:v>
      </x:c>
      <x:c r="L94" s="3" t="n">
        <x:f>SUM(L64:L93)</x:f>
        <x:v>21392.05</x:v>
      </x:c>
      <x:c r="M94" s="3" t="n">
        <x:f>SUM(M64:M93)</x:f>
        <x:v>21789.84</x:v>
      </x:c>
      <x:c r="N94" s="3" t="n">
        <x:f>SUM(N64:N93)</x:f>
        <x:v>21343.089999999997</x:v>
      </x:c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 t="str">
        <x:v>预算基础月度勾稽</x:v>
      </x:c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 t="str">
        <x:v>指标</x:v>
      </x:c>
      <x:c r="C180" s="3" t="str">
        <x:v>参考值</x:v>
      </x:c>
      <x:c r="D180" s="3" t="str">
        <x:v>单位</x:v>
      </x:c>
      <x:c r="E180" s="3" t="str">
        <x:v>数据性质</x:v>
      </x:c>
      <x:c r="F180" s="3" t="str">
        <x:v>期间</x:v>
      </x:c>
      <x:c r="G180" s="3" t="str">
        <x:v>来源</x:v>
      </x:c>
      <x:c r="H180" s="3" t="str">
        <x:v>统计口径</x:v>
      </x:c>
      <x:c r="I180" s="3" t="str">
        <x:v>适用限制</x:v>
      </x:c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 t="str">
        <x:v>毛利率</x:v>
      </x:c>
      <x:c r="C181" s="4" t="n">
        <x:v>13.17</x:v>
      </x:c>
      <x:c r="D181" s="3" t="str">
        <x:v>%</x:v>
      </x:c>
      <x:c r="E181" s="3" t="str">
        <x:v>构造参考值</x:v>
      </x:c>
      <x:c r="F181" s="3" t="str">
        <x:v>2027</x:v>
      </x:c>
      <x:c r="G181" s="3" t="str">
        <x:v>确定性演示生成器</x:v>
      </x:c>
      <x:c r="H181" s="3" t="str">
        <x:v>演示参数，无统计总体</x:v>
      </x:c>
      <x:c r="I181" s="3" t="str">
        <x:v>不可作为真实行业均值</x:v>
      </x:c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 t="str">
        <x:v>采购成本变动率</x:v>
      </x:c>
      <x:c r="C182" s="4" t="n">
        <x:v>21.04</x:v>
      </x:c>
      <x:c r="D182" s="3" t="str">
        <x:v>%</x:v>
      </x:c>
      <x:c r="E182" s="3" t="str">
        <x:v>构造参考值</x:v>
      </x:c>
      <x:c r="F182" s="3" t="str">
        <x:v>2027</x:v>
      </x:c>
      <x:c r="G182" s="3" t="str">
        <x:v>确定性演示生成器</x:v>
      </x:c>
      <x:c r="H182" s="3" t="str">
        <x:v>演示参数，无统计总体</x:v>
      </x:c>
      <x:c r="I182" s="3" t="str">
        <x:v>不可作为真实行业均值</x:v>
      </x:c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 t="str">
        <x:v>产能利用率</x:v>
      </x:c>
      <x:c r="C183" s="4" t="n">
        <x:v>20.34</x:v>
      </x:c>
      <x:c r="D183" s="3" t="str">
        <x:v>%</x:v>
      </x:c>
      <x:c r="E183" s="3" t="str">
        <x:v>构造参考值</x:v>
      </x:c>
      <x:c r="F183" s="3" t="str">
        <x:v>2027</x:v>
      </x:c>
      <x:c r="G183" s="3" t="str">
        <x:v>确定性演示生成器</x:v>
      </x:c>
      <x:c r="H183" s="3" t="str">
        <x:v>演示参数，无统计总体</x:v>
      </x:c>
      <x:c r="I183" s="3" t="str">
        <x:v>不可作为真实行业均值</x:v>
      </x:c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 t="str">
        <x:v>费用阈值</x:v>
      </x:c>
      <x:c r="C184" s="4" t="n">
        <x:v>14.81</x:v>
      </x:c>
      <x:c r="D184" s="3" t="str">
        <x:v>%</x:v>
      </x:c>
      <x:c r="E184" s="3" t="str">
        <x:v>构造参考值</x:v>
      </x:c>
      <x:c r="F184" s="3" t="str">
        <x:v>2027</x:v>
      </x:c>
      <x:c r="G184" s="3" t="str">
        <x:v>确定性演示生成器</x:v>
      </x:c>
      <x:c r="H184" s="3" t="str">
        <x:v>演示参数，无统计总体</x:v>
      </x:c>
      <x:c r="I184" s="3" t="str">
        <x:v>不可作为真实行业均值</x:v>
      </x:c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 t="str">
        <x:v>原材料指数</x:v>
      </x:c>
      <x:c r="C185" s="4" t="n">
        <x:v>20.11</x:v>
      </x:c>
      <x:c r="D185" s="3" t="str">
        <x:v>指数</x:v>
      </x:c>
      <x:c r="E185" s="3" t="str">
        <x:v>构造参考值</x:v>
      </x:c>
      <x:c r="F185" s="3" t="str">
        <x:v>2027</x:v>
      </x:c>
      <x:c r="G185" s="3" t="str">
        <x:v>确定性演示生成器</x:v>
      </x:c>
      <x:c r="H185" s="3" t="str">
        <x:v>演示参数，无统计总体</x:v>
      </x:c>
      <x:c r="I185" s="3" t="str">
        <x:v>不可作为真实行业均值</x:v>
      </x:c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mergeCells>
    <x:mergeCell ref="A1:C1"/>
    <x:mergeCell ref="C2:N2"/>
    <x:mergeCell ref="A25:B25"/>
    <x:mergeCell ref="A26:B26"/>
    <x:mergeCell ref="A27:B27"/>
    <x:mergeCell ref="A33:B33"/>
    <x:mergeCell ref="A34:B34"/>
    <x:mergeCell ref="A35:B35"/>
    <x:mergeCell ref="A36:B36"/>
    <x:mergeCell ref="A42:B42"/>
    <x:mergeCell ref="A43:B43"/>
    <x:mergeCell ref="A44:B44"/>
    <x:mergeCell ref="A45:B45"/>
    <x:mergeCell ref="A4:A10"/>
    <x:mergeCell ref="A11:A20"/>
    <x:mergeCell ref="A21:A24"/>
    <x:mergeCell ref="A29:A30"/>
    <x:mergeCell ref="A31:A32"/>
    <x:mergeCell ref="O2:O3"/>
    <x:mergeCell ref="A2:B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日期</x:v>
      </x:c>
      <x:c r="C2" s="3"/>
      <x:c r="D2" s="3"/>
      <x:c r="E2" s="3"/>
      <x:c r="F2" s="3"/>
      <x:c r="G2" s="3"/>
      <x:c r="H2" s="3" t="str">
        <x:v>金额</x:v>
      </x:c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 t="str">
        <x:v>摘要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 t="str">
        <x:v>合计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 t="str">
        <x:v>预算基础内部底稿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 t="str">
        <x:v>摊销资产原值</x:v>
      </x:c>
      <x:c r="C31" s="4" t="n">
        <x:v>89259.78</x:v>
      </x:c>
      <x:c r="D31" s="3" t="n">
        <x:f>$C$31</x:f>
        <x:v>89259.78</x:v>
      </x:c>
      <x:c r="E31" s="3" t="n">
        <x:f>$C$31</x:f>
        <x:v>89259.78</x:v>
      </x:c>
      <x:c r="F31" s="3" t="n">
        <x:f>$C$31</x:f>
        <x:v>89259.78</x:v>
      </x:c>
      <x:c r="G31" s="3" t="n">
        <x:f>$C$31</x:f>
        <x:v>89259.78</x:v>
      </x:c>
      <x:c r="H31" s="3" t="n">
        <x:f>$C$31</x:f>
        <x:v>89259.78</x:v>
      </x:c>
      <x:c r="I31" s="3" t="n">
        <x:f>$C$31</x:f>
        <x:v>89259.78</x:v>
      </x:c>
      <x:c r="J31" s="3" t="n">
        <x:f>$C$31</x:f>
        <x:v>89259.78</x:v>
      </x:c>
      <x:c r="K31" s="3" t="n">
        <x:f>$C$31</x:f>
        <x:v>89259.78</x:v>
      </x:c>
      <x:c r="L31" s="3" t="n">
        <x:f>$C$31</x:f>
        <x:v>89259.78</x:v>
      </x:c>
      <x:c r="M31" s="3" t="n">
        <x:f>$C$31</x:f>
        <x:v>89259.78</x:v>
      </x:c>
      <x:c r="N31" s="3" t="n">
        <x:f>$C$31</x:f>
        <x:v>89259.78</x:v>
      </x:c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摊销月数</x:v>
      </x:c>
      <x:c r="C32" s="4" t="n">
        <x:v>55</x:v>
      </x:c>
      <x:c r="D32" s="3" t="n">
        <x:f>$C$32</x:f>
        <x:v>55</x:v>
      </x:c>
      <x:c r="E32" s="3" t="n">
        <x:f>$C$32</x:f>
        <x:v>55</x:v>
      </x:c>
      <x:c r="F32" s="3" t="n">
        <x:f>$C$32</x:f>
        <x:v>55</x:v>
      </x:c>
      <x:c r="G32" s="3" t="n">
        <x:f>$C$32</x:f>
        <x:v>55</x:v>
      </x:c>
      <x:c r="H32" s="3" t="n">
        <x:f>$C$32</x:f>
        <x:v>55</x:v>
      </x:c>
      <x:c r="I32" s="3" t="n">
        <x:f>$C$32</x:f>
        <x:v>55</x:v>
      </x:c>
      <x:c r="J32" s="3" t="n">
        <x:f>$C$32</x:f>
        <x:v>55</x:v>
      </x:c>
      <x:c r="K32" s="3" t="n">
        <x:f>$C$32</x:f>
        <x:v>55</x:v>
      </x:c>
      <x:c r="L32" s="3" t="n">
        <x:f>$C$32</x:f>
        <x:v>55</x:v>
      </x:c>
      <x:c r="M32" s="3" t="n">
        <x:f>$C$32</x:f>
        <x:v>55</x:v>
      </x:c>
      <x:c r="N32" s="3" t="n">
        <x:f>$C$32</x:f>
        <x:v>55</x:v>
      </x:c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本月摊销</x:v>
      </x:c>
      <x:c r="C33" s="3" t="n">
        <x:f>ROUND(C31/C32,2)</x:f>
        <x:v>1622.91</x:v>
      </x:c>
      <x:c r="D33" s="3" t="n">
        <x:f>ROUND(D31/D32,2)</x:f>
        <x:v>1622.91</x:v>
      </x:c>
      <x:c r="E33" s="3" t="n">
        <x:f>ROUND(E31/E32,2)</x:f>
        <x:v>1622.91</x:v>
      </x:c>
      <x:c r="F33" s="3" t="n">
        <x:f>ROUND(F31/F32,2)</x:f>
        <x:v>1622.91</x:v>
      </x:c>
      <x:c r="G33" s="3" t="n">
        <x:f>ROUND(G31/G32,2)</x:f>
        <x:v>1622.91</x:v>
      </x:c>
      <x:c r="H33" s="3" t="n">
        <x:f>ROUND(H31/H32,2)</x:f>
        <x:v>1622.91</x:v>
      </x:c>
      <x:c r="I33" s="3" t="n">
        <x:f>ROUND(I31/I32,2)</x:f>
        <x:v>1622.91</x:v>
      </x:c>
      <x:c r="J33" s="3" t="n">
        <x:f>ROUND(J31/J32,2)</x:f>
        <x:v>1622.91</x:v>
      </x:c>
      <x:c r="K33" s="3" t="n">
        <x:f>ROUND(K31/K32,2)</x:f>
        <x:v>1622.91</x:v>
      </x:c>
      <x:c r="L33" s="3" t="n">
        <x:f>ROUND(L31/L32,2)</x:f>
        <x:v>1622.91</x:v>
      </x:c>
      <x:c r="M33" s="3" t="n">
        <x:f>ROUND(M31/M32,2)</x:f>
        <x:v>1622.91</x:v>
      </x:c>
      <x:c r="N33" s="3" t="n">
        <x:f>ROUND(N31/N32,2)</x:f>
        <x:v>1622.91</x:v>
      </x:c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 t="str">
        <x:v>累计已摊销</x:v>
      </x:c>
      <x:c r="C34" s="3" t="n">
        <x:f>SUM($C33:C33)</x:f>
        <x:v>1622.91</x:v>
      </x:c>
      <x:c r="D34" s="3" t="n">
        <x:f>SUM($C33:D33)</x:f>
        <x:v>3245.82</x:v>
      </x:c>
      <x:c r="E34" s="3" t="n">
        <x:f>SUM($C33:E33)</x:f>
        <x:v>4868.7300000000005</x:v>
      </x:c>
      <x:c r="F34" s="3" t="n">
        <x:f>SUM($C33:F33)</x:f>
        <x:v>6491.64</x:v>
      </x:c>
      <x:c r="G34" s="3" t="n">
        <x:f>SUM($C33:G33)</x:f>
        <x:v>8114.55</x:v>
      </x:c>
      <x:c r="H34" s="3" t="n">
        <x:f>SUM($C33:H33)</x:f>
        <x:v>9737.460000000001</x:v>
      </x:c>
      <x:c r="I34" s="3" t="n">
        <x:f>SUM($C33:I33)</x:f>
        <x:v>11360.37</x:v>
      </x:c>
      <x:c r="J34" s="3" t="n">
        <x:f>SUM($C33:J33)</x:f>
        <x:v>12983.28</x:v>
      </x:c>
      <x:c r="K34" s="3" t="n">
        <x:f>SUM($C33:K33)</x:f>
        <x:v>14606.19</x:v>
      </x:c>
      <x:c r="L34" s="3" t="n">
        <x:f>SUM($C33:L33)</x:f>
        <x:v>16229.1</x:v>
      </x:c>
      <x:c r="M34" s="3" t="n">
        <x:f>SUM($C33:M33)</x:f>
        <x:v>17852.010000000002</x:v>
      </x:c>
      <x:c r="N34" s="3" t="n">
        <x:f>SUM($C33:N33)</x:f>
        <x:v>19474.920000000002</x:v>
      </x:c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尚未摊销</x:v>
      </x:c>
      <x:c r="C35" s="3" t="n">
        <x:f>C31-C34</x:f>
        <x:v>87636.87</x:v>
      </x:c>
      <x:c r="D35" s="3" t="n">
        <x:f>D31-D34</x:f>
        <x:v>86013.95999999999</x:v>
      </x:c>
      <x:c r="E35" s="3" t="n">
        <x:f>E31-E34</x:f>
        <x:v>84391.05</x:v>
      </x:c>
      <x:c r="F35" s="3" t="n">
        <x:f>F31-F34</x:f>
        <x:v>82768.14</x:v>
      </x:c>
      <x:c r="G35" s="3" t="n">
        <x:f>G31-G34</x:f>
        <x:v>81145.23</x:v>
      </x:c>
      <x:c r="H35" s="3" t="n">
        <x:f>H31-H34</x:f>
        <x:v>79522.31999999999</x:v>
      </x:c>
      <x:c r="I35" s="3" t="n">
        <x:f>I31-I34</x:f>
        <x:v>77899.41</x:v>
      </x:c>
      <x:c r="J35" s="3" t="n">
        <x:f>J31-J34</x:f>
        <x:v>76276.5</x:v>
      </x:c>
      <x:c r="K35" s="3" t="n">
        <x:f>K31-K34</x:f>
        <x:v>74653.59</x:v>
      </x:c>
      <x:c r="L35" s="3" t="n">
        <x:f>L31-L34</x:f>
        <x:v>73030.68</x:v>
      </x:c>
      <x:c r="M35" s="3" t="n">
        <x:f>M31-M34</x:f>
        <x:v>71407.76999999999</x:v>
      </x:c>
      <x:c r="N35" s="3" t="n">
        <x:f>N31-N34</x:f>
        <x:v>69784.86</x:v>
      </x:c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 t="str">
        <x:v>摊销起始日</x:v>
      </x:c>
      <x:c r="C36" s="3" t="str">
        <x:v>2027-01-01</x:v>
      </x:c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 t="str">
        <x:v>实时经营内部底稿</x:v>
      </x:c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 t="str">
        <x:v>摊销资产原值</x:v>
      </x:c>
      <x:c r="C91" s="4" t="n">
        <x:v>85866.61</x:v>
      </x:c>
      <x:c r="D91" s="3" t="n">
        <x:f>$C$91</x:f>
        <x:v>85866.61</x:v>
      </x:c>
      <x:c r="E91" s="3" t="n">
        <x:f>$C$91</x:f>
        <x:v>85866.61</x:v>
      </x:c>
      <x:c r="F91" s="3" t="n">
        <x:f>$C$91</x:f>
        <x:v>85866.61</x:v>
      </x:c>
      <x:c r="G91" s="3" t="n">
        <x:f>$C$91</x:f>
        <x:v>85866.61</x:v>
      </x:c>
      <x:c r="H91" s="3" t="n">
        <x:f>$C$91</x:f>
        <x:v>85866.61</x:v>
      </x:c>
      <x:c r="I91" s="3" t="n">
        <x:f>$C$91</x:f>
        <x:v>85866.61</x:v>
      </x:c>
      <x:c r="J91" s="3" t="n">
        <x:f>$C$91</x:f>
        <x:v>85866.61</x:v>
      </x:c>
      <x:c r="K91" s="3" t="n">
        <x:f>$C$91</x:f>
        <x:v>85866.61</x:v>
      </x:c>
      <x:c r="L91" s="3" t="n">
        <x:f>$C$91</x:f>
        <x:v>85866.61</x:v>
      </x:c>
      <x:c r="M91" s="3" t="n">
        <x:f>$C$91</x:f>
        <x:v>85866.61</x:v>
      </x:c>
      <x:c r="N91" s="3" t="n">
        <x:f>$C$91</x:f>
        <x:v>85866.61</x:v>
      </x:c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 t="str">
        <x:v>摊销月数</x:v>
      </x:c>
      <x:c r="C92" s="4" t="n">
        <x:v>56</x:v>
      </x:c>
      <x:c r="D92" s="3" t="n">
        <x:f>$C$92</x:f>
        <x:v>56</x:v>
      </x:c>
      <x:c r="E92" s="3" t="n">
        <x:f>$C$92</x:f>
        <x:v>56</x:v>
      </x:c>
      <x:c r="F92" s="3" t="n">
        <x:f>$C$92</x:f>
        <x:v>56</x:v>
      </x:c>
      <x:c r="G92" s="3" t="n">
        <x:f>$C$92</x:f>
        <x:v>56</x:v>
      </x:c>
      <x:c r="H92" s="3" t="n">
        <x:f>$C$92</x:f>
        <x:v>56</x:v>
      </x:c>
      <x:c r="I92" s="3" t="n">
        <x:f>$C$92</x:f>
        <x:v>56</x:v>
      </x:c>
      <x:c r="J92" s="3" t="n">
        <x:f>$C$92</x:f>
        <x:v>56</x:v>
      </x:c>
      <x:c r="K92" s="3" t="n">
        <x:f>$C$92</x:f>
        <x:v>56</x:v>
      </x:c>
      <x:c r="L92" s="3" t="n">
        <x:f>$C$92</x:f>
        <x:v>56</x:v>
      </x:c>
      <x:c r="M92" s="3" t="n">
        <x:f>$C$92</x:f>
        <x:v>56</x:v>
      </x:c>
      <x:c r="N92" s="3" t="n">
        <x:f>$C$92</x:f>
        <x:v>56</x:v>
      </x:c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 t="str">
        <x:v>本月摊销</x:v>
      </x:c>
      <x:c r="C93" s="3" t="n">
        <x:f>ROUND(C91/C92,2)</x:f>
        <x:v>1533.33</x:v>
      </x:c>
      <x:c r="D93" s="3" t="n">
        <x:f>ROUND(D91/D92,2)</x:f>
        <x:v>1533.33</x:v>
      </x:c>
      <x:c r="E93" s="3" t="n">
        <x:f>ROUND(E91/E92,2)</x:f>
        <x:v>1533.33</x:v>
      </x:c>
      <x:c r="F93" s="3" t="n">
        <x:f>ROUND(F91/F92,2)</x:f>
        <x:v>1533.33</x:v>
      </x:c>
      <x:c r="G93" s="3" t="n">
        <x:f>ROUND(G91/G92,2)</x:f>
        <x:v>1533.33</x:v>
      </x:c>
      <x:c r="H93" s="3" t="n">
        <x:f>ROUND(H91/H92,2)</x:f>
        <x:v>1533.33</x:v>
      </x:c>
      <x:c r="I93" s="3" t="n">
        <x:f>ROUND(I91/I92,2)</x:f>
        <x:v>1533.33</x:v>
      </x:c>
      <x:c r="J93" s="3" t="n">
        <x:f>ROUND(J91/J92,2)</x:f>
        <x:v>1533.33</x:v>
      </x:c>
      <x:c r="K93" s="3" t="n">
        <x:f>ROUND(K91/K92,2)</x:f>
        <x:v>1533.33</x:v>
      </x:c>
      <x:c r="L93" s="3" t="n">
        <x:f>ROUND(L91/L92,2)</x:f>
        <x:v>1533.33</x:v>
      </x:c>
      <x:c r="M93" s="3" t="n">
        <x:f>ROUND(M91/M92,2)</x:f>
        <x:v>1533.33</x:v>
      </x:c>
      <x:c r="N93" s="3" t="n">
        <x:f>ROUND(N91/N92,2)</x:f>
        <x:v>1533.33</x:v>
      </x:c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 t="str">
        <x:v>累计已摊销</x:v>
      </x:c>
      <x:c r="C94" s="3" t="n">
        <x:f>SUM($C93:C93)</x:f>
        <x:v>1533.33</x:v>
      </x:c>
      <x:c r="D94" s="3" t="n">
        <x:f>SUM($C93:D93)</x:f>
        <x:v>3066.66</x:v>
      </x:c>
      <x:c r="E94" s="3" t="n">
        <x:f>SUM($C93:E93)</x:f>
        <x:v>4599.99</x:v>
      </x:c>
      <x:c r="F94" s="3" t="n">
        <x:f>SUM($C93:F93)</x:f>
        <x:v>6133.32</x:v>
      </x:c>
      <x:c r="G94" s="3" t="n">
        <x:f>SUM($C93:G93)</x:f>
        <x:v>7666.65</x:v>
      </x:c>
      <x:c r="H94" s="3" t="n">
        <x:f>SUM($C93:H93)</x:f>
        <x:v>9199.98</x:v>
      </x:c>
      <x:c r="I94" s="3" t="n">
        <x:f>SUM($C93:I93)</x:f>
        <x:v>10733.31</x:v>
      </x:c>
      <x:c r="J94" s="3" t="n">
        <x:f>SUM($C93:J93)</x:f>
        <x:v>12266.64</x:v>
      </x:c>
      <x:c r="K94" s="3" t="n">
        <x:f>SUM($C93:K93)</x:f>
        <x:v>13799.97</x:v>
      </x:c>
      <x:c r="L94" s="3" t="n">
        <x:f>SUM($C93:L93)</x:f>
        <x:v>15333.3</x:v>
      </x:c>
      <x:c r="M94" s="3" t="n">
        <x:f>SUM($C93:M93)</x:f>
        <x:v>16866.629999999997</x:v>
      </x:c>
      <x:c r="N94" s="3" t="n">
        <x:f>SUM($C93:N93)</x:f>
        <x:v>18399.96</x:v>
      </x:c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 t="str">
        <x:v>尚未摊销</x:v>
      </x:c>
      <x:c r="C95" s="3" t="n">
        <x:f>C91-C94</x:f>
        <x:v>84333.28</x:v>
      </x:c>
      <x:c r="D95" s="3" t="n">
        <x:f>D91-D94</x:f>
        <x:v>82799.95</x:v>
      </x:c>
      <x:c r="E95" s="3" t="n">
        <x:f>E91-E94</x:f>
        <x:v>81266.62</x:v>
      </x:c>
      <x:c r="F95" s="3" t="n">
        <x:f>F91-F94</x:f>
        <x:v>79733.29000000001</x:v>
      </x:c>
      <x:c r="G95" s="3" t="n">
        <x:f>G91-G94</x:f>
        <x:v>78199.96</x:v>
      </x:c>
      <x:c r="H95" s="3" t="n">
        <x:f>H91-H94</x:f>
        <x:v>76666.63</x:v>
      </x:c>
      <x:c r="I95" s="3" t="n">
        <x:f>I91-I94</x:f>
        <x:v>75133.3</x:v>
      </x:c>
      <x:c r="J95" s="3" t="n">
        <x:f>J91-J94</x:f>
        <x:v>73599.97</x:v>
      </x:c>
      <x:c r="K95" s="3" t="n">
        <x:f>K91-K94</x:f>
        <x:v>72066.64</x:v>
      </x:c>
      <x:c r="L95" s="3" t="n">
        <x:f>L91-L94</x:f>
        <x:v>70533.31</x:v>
      </x:c>
      <x:c r="M95" s="3" t="n">
        <x:f>M91-M94</x:f>
        <x:v>68999.98000000001</x:v>
      </x:c>
      <x:c r="N95" s="3" t="n">
        <x:f>N91-N94</x:f>
        <x:v>67466.65</x:v>
      </x:c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 t="str">
        <x:v>摊销起始日</x:v>
      </x:c>
      <x:c r="C96" s="3" t="str">
        <x:v>2027-01-01</x:v>
      </x:c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/>
      <x:c r="B150" s="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/>
      <x:c r="B151" s="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/>
      <x:c r="B153" s="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/>
      <x:c r="B155" s="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/>
      <x:c r="B157" s="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/>
      <x:c r="B159" s="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/>
      <x:c r="B161" s="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/>
      <x:c r="B163" s="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/>
      <x:c r="B165" s="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/>
      <x:c r="B167" s="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/>
      <x:c r="B169" s="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/>
      <x:c r="B171" s="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/>
      <x:c r="B173" s="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.75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50" max="50" width="20" hidden="0" customWidth="1"/>
    <x:col min="51" max="51" width="65" hidden="0" customWidth="1"/>
  </x:cols>
  <x:sheetData>
    <x:row r="1" ht="20" customHeight="1">
      <x:c r="A1" s="2" t="str">
        <x:v>摘要</x:v>
      </x:c>
      <x:c r="B1" s="2" t="str">
        <x:v>科目</x:v>
      </x:c>
      <x:c r="C1" s="3" t="str">
        <x:v>借方</x:v>
      </x:c>
      <x:c r="D1" s="3" t="str">
        <x:v>贷方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5" t="str">
        <x:v>模板版本</x:v>
      </x:c>
      <x:c r="AY1" s="5" t="str">
        <x:v>衡策输入模板/1.0.5</x:v>
      </x:c>
    </x:row>
    <x:row r="2" ht="20" customHeight="1">
      <x:c r="A2" s="2"/>
      <x:c r="B2" s="2" t="str">
        <x:v>管理费用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 t="str">
        <x:v>主体编码</x:v>
      </x:c>
      <x:c r="AY2" s="2" t="str">
        <x:v>E-b5ba9f7789</x:v>
      </x:c>
    </x:row>
    <x:row r="3" ht="20" customHeight="1">
      <x:c r="A3" s="2"/>
      <x:c r="B3" s="2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 t="str">
        <x:v>主体名称</x:v>
      </x:c>
      <x:c r="AY3" s="2" t="str">
        <x:v>主体甲</x:v>
      </x:c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 t="str">
        <x:v>情景编码</x:v>
      </x:c>
      <x:c r="AY4" s="2" t="str">
        <x:v>S-8037e7f5de</x:v>
      </x:c>
    </x:row>
    <x:row r="5" ht="20" customHeight="1">
      <x:c r="A5" s="2"/>
      <x:c r="B5" s="2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 t="str">
        <x:v>情景名称</x:v>
      </x:c>
      <x:c r="AY5" s="2" t="str">
        <x:v>基础情景</x:v>
      </x:c>
    </x:row>
    <x:row r="6" ht="20" customHeight="1">
      <x:c r="A6" s="2"/>
      <x:c r="B6" s="2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 t="str">
        <x:v>年度</x:v>
      </x:c>
      <x:c r="AY6" s="2" t="str">
        <x:v>2027</x:v>
      </x:c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 t="str">
        <x:v>期间粒度</x:v>
      </x:c>
      <x:c r="AY7" s="2" t="str">
        <x:v>月度</x:v>
      </x:c>
    </x:row>
    <x:row r="8" ht="20" customHeight="1">
      <x:c r="A8" s="2"/>
      <x:c r="B8" s="2" t="str">
        <x:v>财务费用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 t="str">
        <x:v>数据版本号</x:v>
      </x:c>
      <x:c r="AY8" s="2" t="str">
        <x:v>演示占位-v1</x:v>
      </x:c>
    </x:row>
    <x:row r="9" ht="20" customHeight="1">
      <x:c r="A9" s="2"/>
      <x:c r="B9" s="2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 t="str">
        <x:v>口径标记</x:v>
      </x:c>
      <x:c r="AY9" s="2" t="str">
        <x:v>模拟权责发生制</x:v>
      </x:c>
    </x:row>
    <x:row r="10" ht="20" customHeight="1">
      <x:c r="A10" s="2"/>
      <x:c r="B10" s="2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 t="str">
        <x:v>生效周期</x:v>
      </x:c>
      <x:c r="AY10" s="2" t="str">
        <x:v>2027-01</x:v>
      </x:c>
    </x:row>
    <x:row r="11" ht="20" customHeight="1">
      <x:c r="A11" s="2"/>
      <x:c r="B11" s="2" t="str">
        <x:v>财务费用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 t="str">
        <x:v>已结账截至</x:v>
      </x:c>
      <x:c r="AY11" s="2" t="str">
        <x:v>2027-06</x:v>
      </x:c>
    </x:row>
    <x:row r="12" ht="20" customHeight="1">
      <x:c r="A12" s="2"/>
      <x:c r="B12" s="2" t="str">
        <x:v>财务费用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 t="str">
        <x:v>结构性变更标签</x:v>
      </x:c>
      <x:c r="AY12" s="2" t="str">
        <x:v>无</x:v>
      </x:c>
    </x:row>
    <x:row r="13" ht="20" customHeight="1">
      <x:c r="A13" s="2"/>
      <x:c r="B13" s="2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 t="str">
        <x:v>受影响科目</x:v>
      </x:c>
      <x:c r="AY13" s="2" t="str">
        <x:v>无</x:v>
      </x:c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 t="str">
        <x:v>实际数据状态</x:v>
      </x:c>
      <x:c r="AY14" s="2" t="str">
        <x:v>占位</x:v>
      </x:c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 t="str">
        <x:v>生成种子</x:v>
      </x:c>
      <x:c r="AY15" s="2" t="str">
        <x:v>种子-20260923</x:v>
      </x:c>
    </x:row>
    <x:row r="16" ht="20" customHeight="1">
      <x:c r="A16" s="2"/>
      <x:c r="B16" s="2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5" t="str">
        <x:v>使用说明</x:v>
      </x:c>
      <x:c r="AY17" s="5" t="str">
        <x:v>蓝色为输入参数；实际数为占位；金额单位：元</x:v>
      </x:c>
    </x:row>
    <x:row r="18" ht="20" customHeight="1">
      <x:c r="A18" s="2"/>
      <x:c r="B18" s="2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5" t="str">
        <x:v>计算链说明</x:v>
      </x:c>
      <x:c r="AY18" s="5" t="str">
        <x:v>副本已补齐缺失计算链；原文件未修改</x:v>
      </x:c>
    </x:row>
    <x:row r="19" ht="20" customHeight="1">
      <x:c r="A19" s="2"/>
      <x:c r="B19" s="2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</x:row>
    <x:row r="20" ht="20" customHeight="1">
      <x:c r="A20" s="2"/>
      <x:c r="B20" s="2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</x:row>
    <x:row r="21" ht="20" customHeight="1">
      <x:c r="A21" s="2"/>
      <x:c r="B21" s="2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</x:row>
    <x:row r="22" ht="20" customHeight="1">
      <x:c r="A22" s="2"/>
      <x:c r="B22" s="2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</x:row>
    <x:row r="23" ht="20" customHeight="1">
      <x:c r="A23" s="2"/>
      <x:c r="B23" s="2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</x:row>
    <x:row r="25" ht="20" customHeight="1">
      <x:c r="A25" s="2"/>
      <x:c r="B25" s="2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</x:row>
    <x:row r="26" ht="20" customHeight="1">
      <x:c r="A26" s="2"/>
      <x:c r="B26" s="2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</x:row>
    <x:row r="29" ht="20" customHeight="1">
      <x:c r="A29" s="2"/>
      <x:c r="B29" s="2" t="str">
        <x:v>财务费用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</x:row>
    <x:row r="30" ht="20" customHeight="1">
      <x:c r="A30" s="2"/>
      <x:c r="B30" s="5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</x:row>
    <x:row r="31" ht="20" customHeight="1">
      <x:c r="A31" s="2"/>
      <x:c r="B31" s="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</x:row>
    <x:row r="32" ht="20" customHeight="1">
      <x:c r="A32" s="2"/>
      <x:c r="B32" s="2" t="str">
        <x:v>财务费用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</x:row>
    <x:row r="33" ht="20" customHeight="1">
      <x:c r="A33" s="2"/>
      <x:c r="B33" s="2" t="str">
        <x:v>管理费用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</x:row>
    <x:row r="34" ht="20" customHeight="1">
      <x:c r="A34" s="2"/>
      <x:c r="B34" s="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</x:row>
    <x:row r="35" ht="20" customHeight="1">
      <x:c r="A35" s="2"/>
      <x:c r="B35" s="2" t="str">
        <x:v>管理费用</x:v>
      </x:c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</x:row>
    <x:row r="36" ht="20" customHeight="1">
      <x:c r="A36" s="2"/>
      <x:c r="B36" s="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</x:row>
    <x:row r="37" ht="20" customHeight="1">
      <x:c r="A37" s="2"/>
      <x:c r="B37" s="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</x:row>
    <x:row r="40" ht="20" customHeight="1">
      <x:c r="A40" s="2"/>
      <x:c r="B40" s="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</x:row>
    <x:row r="43" ht="20" customHeight="1">
      <x:c r="A43" s="2"/>
      <x:c r="B43" s="2" t="str">
        <x:v>管理费用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</x:row>
    <x:row r="44" ht="20" customHeight="1">
      <x:c r="A44" s="2"/>
      <x:c r="B44" s="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</x:row>
    <x:row r="45" ht="20" customHeight="1">
      <x:c r="A45" s="2"/>
      <x:c r="B45" s="2" t="str">
        <x:v>管理费用</x:v>
      </x:c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</x:row>
    <x:row r="46" ht="20" customHeight="1">
      <x:c r="A46" s="2"/>
      <x:c r="B46" s="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</x:row>
    <x:row r="47" ht="20" customHeight="1">
      <x:c r="A47" s="2"/>
      <x:c r="B47" s="2" t="str">
        <x:v>管理费用</x:v>
      </x:c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</x:row>
    <x:row r="48" ht="20" customHeight="1">
      <x:c r="A48" s="2"/>
      <x:c r="B48" s="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</x:row>
    <x:row r="49" ht="20" customHeight="1">
      <x:c r="A49" s="2"/>
      <x:c r="B49" s="2" t="str">
        <x:v>管理费用</x:v>
      </x:c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</x:row>
    <x:row r="52" ht="20" customHeight="1">
      <x:c r="A52" s="2"/>
      <x:c r="B52" s="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</x:row>
    <x:row r="55" ht="20" customHeight="1">
      <x:c r="A55" s="2"/>
      <x:c r="B55" s="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</x:row>
    <x:row r="56" ht="20" customHeight="1">
      <x:c r="A56" s="2"/>
      <x:c r="B56" s="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</x:row>
    <x:row r="57" ht="20" customHeight="1">
      <x:c r="A57" s="2"/>
      <x:c r="B57" s="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</x:row>
    <x:row r="59" ht="20" customHeight="1">
      <x:c r="A59" s="2"/>
      <x:c r="B59" s="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</x:row>
    <x:row r="60" ht="20" customHeight="1">
      <x:c r="A60" s="2"/>
      <x:c r="B60" s="5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</x:row>
    <x:row r="66" ht="20" customHeight="1">
      <x:c r="A66" s="2"/>
      <x:c r="B66" s="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</x:row>
    <x:row r="67" ht="20" customHeight="1">
      <x:c r="A67" s="2"/>
      <x:c r="B67" s="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</x:row>
    <x:row r="68" ht="20" customHeight="1">
      <x:c r="A68" s="2"/>
      <x:c r="B68" s="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</x:row>
    <x:row r="69" ht="20" customHeight="1">
      <x:c r="A69" s="2"/>
      <x:c r="B69" s="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</x:row>
    <x:row r="70" ht="20" customHeight="1">
      <x:c r="A70" s="2"/>
      <x:c r="B70" s="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</x:row>
    <x:row r="71" ht="20" customHeight="1">
      <x:c r="A71" s="2"/>
      <x:c r="B71" s="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</x:row>
    <x:row r="72" ht="20" customHeight="1">
      <x:c r="A72" s="2"/>
      <x:c r="B72" s="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</x:row>
    <x:row r="73" ht="20" customHeight="1">
      <x:c r="A73" s="2"/>
      <x:c r="B73" s="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</x:row>
    <x:row r="74" ht="20" customHeight="1">
      <x:c r="A74" s="2"/>
      <x:c r="B74" s="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</x:row>
    <x:row r="75" ht="20" customHeight="1">
      <x:c r="A75" s="2"/>
      <x:c r="B75" s="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</x:row>
    <x:row r="76" ht="20" customHeight="1">
      <x:c r="A76" s="2"/>
      <x:c r="B76" s="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</x:row>
    <x:row r="77" ht="20" customHeight="1">
      <x:c r="A77" s="2"/>
      <x:c r="B77" s="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</x:row>
    <x:row r="78" ht="20" customHeight="1">
      <x:c r="A78" s="2"/>
      <x:c r="B78" s="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</x:row>
    <x:row r="79" ht="20" customHeight="1">
      <x:c r="A79" s="2"/>
      <x:c r="B79" s="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</x:row>
    <x:row r="80" ht="20" customHeight="1">
      <x:c r="A80" s="2"/>
      <x:c r="B80" s="2" t="str">
        <x:v>管理费用</x:v>
      </x:c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</x:row>
    <x:row r="81" ht="20" customHeight="1">
      <x:c r="A81" s="2"/>
      <x:c r="B81" s="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</x:row>
    <x:row r="82" ht="20" customHeight="1">
      <x:c r="A82" s="2"/>
      <x:c r="B82" s="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</x:row>
    <x:row r="83" ht="20" customHeight="1">
      <x:c r="A83" s="2"/>
      <x:c r="B83" s="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</x:row>
    <x:row r="84" ht="20" customHeight="1">
      <x:c r="A84" s="2"/>
      <x:c r="B84" s="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</x:row>
    <x:row r="85" ht="20" customHeight="1">
      <x:c r="A85" s="2"/>
      <x:c r="B85" s="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</x:row>
    <x:row r="86" ht="20" customHeight="1">
      <x:c r="A86" s="2"/>
      <x:c r="B86" s="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</x:row>
    <x:row r="87" ht="20" customHeight="1">
      <x:c r="A87" s="2"/>
      <x:c r="B87" s="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</x:row>
    <x:row r="88" ht="20" customHeight="1">
      <x:c r="A88" s="2"/>
      <x:c r="B88" s="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</x:row>
    <x:row r="89" ht="20" customHeight="1">
      <x:c r="A89" s="2"/>
      <x:c r="B89" s="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</x:row>
    <x:row r="90" ht="20" customHeight="1">
      <x:c r="A90" s="2"/>
      <x:c r="B90" s="5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</x:row>
    <x:row r="91" ht="20" customHeight="1">
      <x:c r="A91" s="2"/>
      <x:c r="B91" s="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</x:row>
    <x:row r="92" ht="20" customHeight="1">
      <x:c r="A92" s="2"/>
      <x:c r="B92" s="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</x:row>
    <x:row r="93" ht="20" customHeight="1">
      <x:c r="A93" s="2"/>
      <x:c r="B93" s="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</x:row>
    <x:row r="94" ht="20" customHeight="1">
      <x:c r="A94" s="2"/>
      <x:c r="B94" s="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</x:row>
    <x:row r="95" ht="20" customHeight="1">
      <x:c r="A95" s="2"/>
      <x:c r="B95" s="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</x:row>
    <x:row r="96" ht="20" customHeight="1">
      <x:c r="A96" s="2"/>
      <x:c r="B96" s="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</x:row>
    <x:row r="97" ht="20" customHeight="1">
      <x:c r="A97" s="2"/>
      <x:c r="B97" s="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</x:row>
    <x:row r="98" ht="20" customHeight="1">
      <x:c r="A98" s="2"/>
      <x:c r="B98" s="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</x:row>
    <x:row r="99" ht="20" customHeight="1">
      <x:c r="A99" s="2"/>
      <x:c r="B99" s="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</x:row>
    <x:row r="100" ht="20" customHeight="1">
      <x:c r="A100" s="2"/>
      <x:c r="B100" s="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</x:row>
    <x:row r="101" ht="20" customHeight="1">
      <x:c r="A101" s="2"/>
      <x:c r="B101" s="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</x:row>
    <x:row r="102" ht="20" customHeight="1">
      <x:c r="A102" s="2"/>
      <x:c r="B102" s="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</x:row>
    <x:row r="103" ht="20" customHeight="1">
      <x:c r="A103" s="2"/>
      <x:c r="B103" s="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 t="str">
        <x:v>利息支出</x:v>
      </x:c>
      <x:c r="M103" s="3"/>
      <x:c r="N103" s="3"/>
      <x:c r="O103" s="3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</x:row>
    <x:row r="104" ht="20" customHeight="1">
      <x:c r="A104" s="2"/>
      <x:c r="B104" s="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</x:row>
    <x:row r="105" ht="20" customHeight="1">
      <x:c r="A105" s="2"/>
      <x:c r="B105" s="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</x:row>
    <x:row r="106" ht="20" customHeight="1">
      <x:c r="A106" s="2"/>
      <x:c r="B106" s="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</x:row>
    <x:row r="107" ht="20" customHeight="1">
      <x:c r="A107" s="2"/>
      <x:c r="B107" s="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</x:row>
    <x:row r="108" ht="20" customHeight="1">
      <x:c r="A108" s="2"/>
      <x:c r="B108" s="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</x:row>
    <x:row r="109" ht="20" customHeight="1">
      <x:c r="A109" s="2"/>
      <x:c r="B109" s="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</x:row>
    <x:row r="110" ht="20" customHeight="1">
      <x:c r="A110" s="2"/>
      <x:c r="B110" s="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</x:row>
    <x:row r="111" ht="20" customHeight="1">
      <x:c r="A111" s="2"/>
      <x:c r="B111" s="2" t="str">
        <x:v>财务费用</x:v>
      </x:c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</x:row>
    <x:row r="112" ht="20" customHeight="1">
      <x:c r="A112" s="2"/>
      <x:c r="B112" s="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</x:row>
    <x:row r="113" ht="20" customHeight="1">
      <x:c r="A113" s="2"/>
      <x:c r="B113" s="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</x:row>
    <x:row r="114" ht="20" customHeight="1">
      <x:c r="A114" s="2"/>
      <x:c r="B114" s="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</x:row>
    <x:row r="115" ht="20" customHeight="1">
      <x:c r="A115" s="2"/>
      <x:c r="B115" s="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</x:row>
    <x:row r="116" ht="20" customHeight="1">
      <x:c r="A116" s="2"/>
      <x:c r="B116" s="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</x:row>
    <x:row r="117" ht="20" customHeight="1">
      <x:c r="A117" s="2"/>
      <x:c r="B117" s="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</x:row>
    <x:row r="118" ht="20" customHeight="1">
      <x:c r="A118" s="2"/>
      <x:c r="B118" s="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</x:row>
    <x:row r="119" ht="20" customHeight="1">
      <x:c r="A119" s="2"/>
      <x:c r="B119" s="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</x:row>
    <x:row r="120" ht="20" customHeight="1">
      <x:c r="A120" s="2"/>
      <x:c r="B120" s="5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</x:row>
    <x:row r="121" ht="20" customHeight="1">
      <x:c r="A121" s="2"/>
      <x:c r="B121" s="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</x:row>
    <x:row r="122" ht="20" customHeight="1">
      <x:c r="A122" s="2"/>
      <x:c r="B122" s="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</x:row>
    <x:row r="123" ht="20" customHeight="1">
      <x:c r="A123" s="2"/>
      <x:c r="B123" s="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</x:row>
    <x:row r="124" ht="20" customHeight="1">
      <x:c r="A124" s="2"/>
      <x:c r="B124" s="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</x:row>
    <x:row r="125" ht="20" customHeight="1">
      <x:c r="A125" s="2"/>
      <x:c r="B125" s="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</x:row>
    <x:row r="126" ht="20" customHeight="1">
      <x:c r="A126" s="2"/>
      <x:c r="B126" s="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</x:row>
    <x:row r="127" ht="20" customHeight="1">
      <x:c r="A127" s="2"/>
      <x:c r="B127" s="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</x:row>
    <x:row r="128" ht="20" customHeight="1">
      <x:c r="A128" s="2"/>
      <x:c r="B128" s="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</x:row>
    <x:row r="129" ht="20" customHeight="1">
      <x:c r="A129" s="2"/>
      <x:c r="B129" s="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</x:row>
    <x:row r="130" ht="20" customHeight="1">
      <x:c r="A130" s="2"/>
      <x:c r="B130" s="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</x:row>
    <x:row r="131" ht="20" customHeight="1">
      <x:c r="A131" s="2"/>
      <x:c r="B131" s="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</x:row>
    <x:row r="132" ht="20" customHeight="1">
      <x:c r="A132" s="2"/>
      <x:c r="B132" s="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</x:row>
    <x:row r="133" ht="20" customHeight="1">
      <x:c r="A133" s="2"/>
      <x:c r="B133" s="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</x:row>
    <x:row r="134" ht="20" customHeight="1">
      <x:c r="A134" s="2"/>
      <x:c r="B134" s="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</x:row>
    <x:row r="135" ht="20" customHeight="1">
      <x:c r="A135" s="2"/>
      <x:c r="B135" s="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</x:row>
    <x:row r="136" ht="20" customHeight="1">
      <x:c r="A136" s="2"/>
      <x:c r="B136" s="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</x:row>
    <x:row r="137" ht="20" customHeight="1">
      <x:c r="A137" s="2"/>
      <x:c r="B137" s="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</x:row>
    <x:row r="138" ht="20" customHeight="1">
      <x:c r="A138" s="2"/>
      <x:c r="B138" s="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</x:row>
    <x:row r="139" ht="20" customHeight="1">
      <x:c r="A139" s="2"/>
      <x:c r="B139" s="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</x:row>
    <x:row r="140" ht="20" customHeight="1">
      <x:c r="A140" s="2"/>
      <x:c r="B140" s="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</x:row>
    <x:row r="141" ht="20" customHeight="1">
      <x:c r="A141" s="2"/>
      <x:c r="B141" s="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</x:row>
    <x:row r="142" ht="20" customHeight="1">
      <x:c r="A142" s="2"/>
      <x:c r="B142" s="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</x:row>
    <x:row r="143" ht="20" customHeight="1">
      <x:c r="A143" s="2"/>
      <x:c r="B143" s="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</x:row>
    <x:row r="144" ht="20" customHeight="1">
      <x:c r="A144" s="2"/>
      <x:c r="B144" s="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</x:row>
    <x:row r="145" ht="20" customHeight="1">
      <x:c r="A145" s="2"/>
      <x:c r="B145" s="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</x:row>
    <x:row r="146" ht="20" customHeight="1">
      <x:c r="A146" s="2"/>
      <x:c r="B146" s="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</x:row>
    <x:row r="147" ht="20" customHeight="1">
      <x:c r="A147" s="2"/>
      <x:c r="B147" s="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</x:row>
    <x:row r="148" ht="20" customHeight="1">
      <x:c r="A148" s="2"/>
      <x:c r="B148" s="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</x:row>
    <x:row r="149" ht="20" customHeight="1">
      <x:c r="A149" s="2"/>
      <x:c r="B149" s="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</x:row>
    <x:row r="150" ht="20" customHeight="1">
      <x:c r="A150" s="2" t="str">
        <x:v>期间</x:v>
      </x:c>
      <x:c r="B150" s="2" t="str">
        <x:v>科目</x:v>
      </x:c>
      <x:c r="C150" s="3" t="str">
        <x:v>借方</x:v>
      </x:c>
      <x:c r="D150" s="3" t="str">
        <x:v>贷方</x:v>
      </x:c>
      <x:c r="E150" s="3" t="str">
        <x:v>说明</x:v>
      </x:c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</x:row>
    <x:row r="151" ht="20" customHeight="1">
      <x:c r="A151" s="2" t="str">
        <x:v>2027-01</x:v>
      </x:c>
      <x:c r="B151" s="2" t="str">
        <x:v>银行存款</x:v>
      </x:c>
      <x:c r="C151" s="3" t="n">
        <x:f>'利润表'!C121</x:f>
        <x:v>437693.95999999996</x:v>
      </x:c>
      <x:c r="D151" s="3" t="n">
        <x:f>0</x:f>
        <x:v>0</x:v>
      </x:c>
      <x:c r="E151" s="3" t="str">
        <x:v>占位收入分录，非完整总账</x:v>
      </x:c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</x:row>
    <x:row r="152" ht="20" customHeight="1">
      <x:c r="A152" s="2"/>
      <x:c r="B152" s="2" t="str">
        <x:v>主营业务收入</x:v>
      </x:c>
      <x:c r="C152" s="3" t="n">
        <x:f>0</x:f>
        <x:v>0</x:v>
      </x:c>
      <x:c r="D152" s="3" t="n">
        <x:f>C151</x:f>
        <x:v>437693.95999999996</x:v>
      </x:c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</x:row>
    <x:row r="153" ht="20" customHeight="1">
      <x:c r="A153" s="2" t="str">
        <x:v>2027-02</x:v>
      </x:c>
      <x:c r="B153" s="2" t="str">
        <x:v>银行存款</x:v>
      </x:c>
      <x:c r="C153" s="3" t="n">
        <x:f>'利润表'!D121</x:f>
        <x:v>496432.69</x:v>
      </x:c>
      <x:c r="D153" s="3" t="n">
        <x:f>0</x:f>
        <x:v>0</x:v>
      </x:c>
      <x:c r="E153" s="3" t="str">
        <x:v>占位收入分录，非完整总账</x:v>
      </x:c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</x:row>
    <x:row r="154" ht="20" customHeight="1">
      <x:c r="A154" s="2"/>
      <x:c r="B154" s="2" t="str">
        <x:v>主营业务收入</x:v>
      </x:c>
      <x:c r="C154" s="3" t="n">
        <x:f>0</x:f>
        <x:v>0</x:v>
      </x:c>
      <x:c r="D154" s="3" t="n">
        <x:f>C153</x:f>
        <x:v>496432.69</x:v>
      </x:c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</x:row>
    <x:row r="155" ht="20" customHeight="1">
      <x:c r="A155" s="2" t="str">
        <x:v>2027-03</x:v>
      </x:c>
      <x:c r="B155" s="2" t="str">
        <x:v>银行存款</x:v>
      </x:c>
      <x:c r="C155" s="3" t="n">
        <x:f>'利润表'!E121</x:f>
        <x:v>468206.97</x:v>
      </x:c>
      <x:c r="D155" s="3" t="n">
        <x:f>0</x:f>
        <x:v>0</x:v>
      </x:c>
      <x:c r="E155" s="3" t="str">
        <x:v>占位收入分录，非完整总账</x:v>
      </x:c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</x:row>
    <x:row r="156" ht="20" customHeight="1">
      <x:c r="A156" s="2"/>
      <x:c r="B156" s="2" t="str">
        <x:v>主营业务收入</x:v>
      </x:c>
      <x:c r="C156" s="3" t="n">
        <x:f>0</x:f>
        <x:v>0</x:v>
      </x:c>
      <x:c r="D156" s="3" t="n">
        <x:f>C155</x:f>
        <x:v>468206.97</x:v>
      </x:c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</x:row>
    <x:row r="157" ht="20" customHeight="1">
      <x:c r="A157" s="2" t="str">
        <x:v>2027-04</x:v>
      </x:c>
      <x:c r="B157" s="2" t="str">
        <x:v>银行存款</x:v>
      </x:c>
      <x:c r="C157" s="3" t="n">
        <x:f>'利润表'!F121</x:f>
        <x:v>490315.99</x:v>
      </x:c>
      <x:c r="D157" s="3" t="n">
        <x:f>0</x:f>
        <x:v>0</x:v>
      </x:c>
      <x:c r="E157" s="3" t="str">
        <x:v>占位收入分录，非完整总账</x:v>
      </x:c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</x:row>
    <x:row r="158" ht="20" customHeight="1">
      <x:c r="A158" s="2"/>
      <x:c r="B158" s="2" t="str">
        <x:v>主营业务收入</x:v>
      </x:c>
      <x:c r="C158" s="3" t="n">
        <x:f>0</x:f>
        <x:v>0</x:v>
      </x:c>
      <x:c r="D158" s="3" t="n">
        <x:f>C157</x:f>
        <x:v>490315.99</x:v>
      </x:c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</x:row>
    <x:row r="159" ht="20" customHeight="1">
      <x:c r="A159" s="2" t="str">
        <x:v>2027-05</x:v>
      </x:c>
      <x:c r="B159" s="2" t="str">
        <x:v>银行存款</x:v>
      </x:c>
      <x:c r="C159" s="3" t="n">
        <x:f>'利润表'!G121</x:f>
        <x:v>559869.67</x:v>
      </x:c>
      <x:c r="D159" s="3" t="n">
        <x:f>0</x:f>
        <x:v>0</x:v>
      </x:c>
      <x:c r="E159" s="3" t="str">
        <x:v>占位收入分录，非完整总账</x:v>
      </x:c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</x:row>
    <x:row r="160" ht="20" customHeight="1">
      <x:c r="A160" s="2"/>
      <x:c r="B160" s="2" t="str">
        <x:v>主营业务收入</x:v>
      </x:c>
      <x:c r="C160" s="3" t="n">
        <x:f>0</x:f>
        <x:v>0</x:v>
      </x:c>
      <x:c r="D160" s="3" t="n">
        <x:f>C159</x:f>
        <x:v>559869.67</x:v>
      </x:c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</x:row>
    <x:row r="161" ht="20" customHeight="1">
      <x:c r="A161" s="2" t="str">
        <x:v>2027-06</x:v>
      </x:c>
      <x:c r="B161" s="2" t="str">
        <x:v>银行存款</x:v>
      </x:c>
      <x:c r="C161" s="3" t="n">
        <x:f>'利润表'!H121</x:f>
        <x:v>407197.85</x:v>
      </x:c>
      <x:c r="D161" s="3" t="n">
        <x:f>0</x:f>
        <x:v>0</x:v>
      </x:c>
      <x:c r="E161" s="3" t="str">
        <x:v>占位收入分录，非完整总账</x:v>
      </x:c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</x:row>
    <x:row r="162" ht="20" customHeight="1">
      <x:c r="A162" s="2"/>
      <x:c r="B162" s="2" t="str">
        <x:v>主营业务收入</x:v>
      </x:c>
      <x:c r="C162" s="3" t="n">
        <x:f>0</x:f>
        <x:v>0</x:v>
      </x:c>
      <x:c r="D162" s="3" t="n">
        <x:f>C161</x:f>
        <x:v>407197.85</x:v>
      </x:c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</x:row>
    <x:row r="163" ht="20" customHeight="1">
      <x:c r="A163" s="2" t="str">
        <x:v>2027-07</x:v>
      </x:c>
      <x:c r="B163" s="2" t="str">
        <x:v>银行存款</x:v>
      </x:c>
      <x:c r="C163" s="3" t="n">
        <x:f>'利润表'!I121</x:f>
        <x:v>536326.85</x:v>
      </x:c>
      <x:c r="D163" s="3" t="n">
        <x:f>0</x:f>
        <x:v>0</x:v>
      </x:c>
      <x:c r="E163" s="3" t="str">
        <x:v>占位收入分录，非完整总账</x:v>
      </x:c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</x:row>
    <x:row r="164" ht="20" customHeight="1">
      <x:c r="A164" s="2"/>
      <x:c r="B164" s="2" t="str">
        <x:v>主营业务收入</x:v>
      </x:c>
      <x:c r="C164" s="3" t="n">
        <x:f>0</x:f>
        <x:v>0</x:v>
      </x:c>
      <x:c r="D164" s="3" t="n">
        <x:f>C163</x:f>
        <x:v>536326.85</x:v>
      </x:c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</x:row>
    <x:row r="165" ht="20" customHeight="1">
      <x:c r="A165" s="2" t="str">
        <x:v>2027-08</x:v>
      </x:c>
      <x:c r="B165" s="2" t="str">
        <x:v>银行存款</x:v>
      </x:c>
      <x:c r="C165" s="3" t="n">
        <x:f>'利润表'!J121</x:f>
        <x:v>386904.92</x:v>
      </x:c>
      <x:c r="D165" s="3" t="n">
        <x:f>0</x:f>
        <x:v>0</x:v>
      </x:c>
      <x:c r="E165" s="3" t="str">
        <x:v>占位收入分录，非完整总账</x:v>
      </x:c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</x:row>
    <x:row r="166" ht="20" customHeight="1">
      <x:c r="A166" s="2"/>
      <x:c r="B166" s="2" t="str">
        <x:v>主营业务收入</x:v>
      </x:c>
      <x:c r="C166" s="3" t="n">
        <x:f>0</x:f>
        <x:v>0</x:v>
      </x:c>
      <x:c r="D166" s="3" t="n">
        <x:f>C165</x:f>
        <x:v>386904.92</x:v>
      </x:c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</x:row>
    <x:row r="167" ht="20" customHeight="1">
      <x:c r="A167" s="2" t="str">
        <x:v>2027-09</x:v>
      </x:c>
      <x:c r="B167" s="2" t="str">
        <x:v>银行存款</x:v>
      </x:c>
      <x:c r="C167" s="3" t="n">
        <x:f>'利润表'!K121</x:f>
        <x:v>473511.16000000003</x:v>
      </x:c>
      <x:c r="D167" s="3" t="n">
        <x:f>0</x:f>
        <x:v>0</x:v>
      </x:c>
      <x:c r="E167" s="3" t="str">
        <x:v>占位收入分录，非完整总账</x:v>
      </x:c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</x:row>
    <x:row r="168" ht="20" customHeight="1">
      <x:c r="A168" s="2"/>
      <x:c r="B168" s="2" t="str">
        <x:v>主营业务收入</x:v>
      </x:c>
      <x:c r="C168" s="3" t="n">
        <x:f>0</x:f>
        <x:v>0</x:v>
      </x:c>
      <x:c r="D168" s="3" t="n">
        <x:f>C167</x:f>
        <x:v>473511.16000000003</x:v>
      </x:c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</x:row>
    <x:row r="169" ht="20" customHeight="1">
      <x:c r="A169" s="2" t="str">
        <x:v>2027-10</x:v>
      </x:c>
      <x:c r="B169" s="2" t="str">
        <x:v>银行存款</x:v>
      </x:c>
      <x:c r="C169" s="3" t="n">
        <x:f>'利润表'!L121</x:f>
        <x:v>462381.05</x:v>
      </x:c>
      <x:c r="D169" s="3" t="n">
        <x:f>0</x:f>
        <x:v>0</x:v>
      </x:c>
      <x:c r="E169" s="3" t="str">
        <x:v>占位收入分录，非完整总账</x:v>
      </x:c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</x:row>
    <x:row r="170" ht="20" customHeight="1">
      <x:c r="A170" s="2"/>
      <x:c r="B170" s="2" t="str">
        <x:v>主营业务收入</x:v>
      </x:c>
      <x:c r="C170" s="3" t="n">
        <x:f>0</x:f>
        <x:v>0</x:v>
      </x:c>
      <x:c r="D170" s="3" t="n">
        <x:f>C169</x:f>
        <x:v>462381.05</x:v>
      </x:c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</x:row>
    <x:row r="171" ht="20" customHeight="1">
      <x:c r="A171" s="2" t="str">
        <x:v>2027-11</x:v>
      </x:c>
      <x:c r="B171" s="2" t="str">
        <x:v>银行存款</x:v>
      </x:c>
      <x:c r="C171" s="3" t="n">
        <x:f>'利润表'!M121</x:f>
        <x:v>494383.70999999996</x:v>
      </x:c>
      <x:c r="D171" s="3" t="n">
        <x:f>0</x:f>
        <x:v>0</x:v>
      </x:c>
      <x:c r="E171" s="3" t="str">
        <x:v>占位收入分录，非完整总账</x:v>
      </x:c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</x:row>
    <x:row r="172" ht="20" customHeight="1">
      <x:c r="A172" s="2"/>
      <x:c r="B172" s="2" t="str">
        <x:v>主营业务收入</x:v>
      </x:c>
      <x:c r="C172" s="3" t="n">
        <x:f>0</x:f>
        <x:v>0</x:v>
      </x:c>
      <x:c r="D172" s="3" t="n">
        <x:f>C171</x:f>
        <x:v>494383.70999999996</x:v>
      </x:c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</x:row>
    <x:row r="173" ht="20" customHeight="1">
      <x:c r="A173" s="2" t="str">
        <x:v>2027-12</x:v>
      </x:c>
      <x:c r="B173" s="2" t="str">
        <x:v>银行存款</x:v>
      </x:c>
      <x:c r="C173" s="3" t="n">
        <x:f>'利润表'!N121</x:f>
        <x:v>426671.06999999995</x:v>
      </x:c>
      <x:c r="D173" s="3" t="n">
        <x:f>0</x:f>
        <x:v>0</x:v>
      </x:c>
      <x:c r="E173" s="3" t="str">
        <x:v>占位收入分录，非完整总账</x:v>
      </x:c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</x:row>
    <x:row r="174" ht="20" customHeight="1">
      <x:c r="A174" s="2"/>
      <x:c r="B174" s="2" t="str">
        <x:v>主营业务收入</x:v>
      </x:c>
      <x:c r="C174" s="3" t="n">
        <x:f>0</x:f>
        <x:v>0</x:v>
      </x:c>
      <x:c r="D174" s="3" t="n">
        <x:f>C173</x:f>
        <x:v>426671.06999999995</x:v>
      </x:c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</x:row>
    <x:row r="175" ht="20" customHeight="1">
      <x:c r="A175" s="2"/>
      <x:c r="B175" s="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</x:row>
    <x:row r="176" ht="20" customHeight="1">
      <x:c r="A176" s="2"/>
      <x:c r="B176" s="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</x:row>
    <x:row r="177" ht="20" customHeight="1">
      <x:c r="A177" s="2"/>
      <x:c r="B177" s="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</x:row>
    <x:row r="178" ht="20" customHeight="1">
      <x:c r="A178" s="2"/>
      <x:c r="B178" s="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</x:row>
    <x:row r="179" ht="20" customHeight="1">
      <x:c r="A179" s="2"/>
      <x:c r="B179" s="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</x:row>
    <x:row r="180" ht="20" customHeight="1">
      <x:c r="A180" s="2"/>
      <x:c r="B180" s="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</x:row>
    <x:row r="181" ht="20" customHeight="1">
      <x:c r="A181" s="2"/>
      <x:c r="B181" s="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</x:row>
    <x:row r="182" ht="20" customHeight="1">
      <x:c r="A182" s="2"/>
      <x:c r="B182" s="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</x:row>
    <x:row r="183" ht="20" customHeight="1">
      <x:c r="A183" s="2"/>
      <x:c r="B183" s="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</x:row>
    <x:row r="184" ht="20" customHeight="1">
      <x:c r="A184" s="2"/>
      <x:c r="B184" s="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</x:row>
    <x:row r="185" ht="20" customHeight="1">
      <x:c r="A185" s="2"/>
      <x:c r="B185" s="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</x:row>
    <x:row r="186" ht="20" customHeight="1">
      <x:c r="A186" s="2"/>
      <x:c r="B186" s="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</x:row>
    <x:row r="187" ht="20" customHeight="1">
      <x:c r="A187" s="2"/>
      <x:c r="B187" s="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</x:row>
    <x:row r="188" ht="20" customHeight="1">
      <x:c r="A188" s="2"/>
      <x:c r="B188" s="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</x:row>
    <x:row r="189" ht="20" customHeight="1">
      <x:c r="A189" s="2"/>
      <x:c r="B189" s="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</x:row>
    <x:row r="190" ht="20" customHeight="1">
      <x:c r="A190" s="2"/>
      <x:c r="B190" s="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</x:row>
    <x:row r="191" ht="20" customHeight="1">
      <x:c r="A191" s="2"/>
      <x:c r="B191" s="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</x:row>
    <x:row r="192" ht="20" customHeight="1">
      <x:c r="A192" s="2"/>
      <x:c r="B192" s="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</x:row>
    <x:row r="193" ht="20" customHeight="1">
      <x:c r="A193" s="2"/>
      <x:c r="B193" s="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</x:row>
    <x:row r="194" ht="20" customHeight="1">
      <x:c r="A194" s="2"/>
      <x:c r="B194" s="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</x:row>
    <x:row r="195" ht="20" customHeight="1">
      <x:c r="A195" s="2"/>
      <x:c r="B195" s="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</x:row>
    <x:row r="196" ht="20" customHeight="1">
      <x:c r="A196" s="2"/>
      <x:c r="B196" s="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</x:row>
    <x:row r="197" ht="20" customHeight="1">
      <x:c r="A197" s="2"/>
      <x:c r="B197" s="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</x:row>
    <x:row r="198" ht="20" customHeight="1">
      <x:c r="A198" s="2"/>
      <x:c r="B198" s="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</x:row>
    <x:row r="199" ht="20" customHeight="1">
      <x:c r="A199" s="2"/>
      <x:c r="B199" s="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</x:row>
    <x:row r="200" ht="20" customHeight="1">
      <x:c r="A200" s="2"/>
      <x:c r="B200" s="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</x:row>
    <x:row r="201" ht="20" customHeight="1">
      <x:c r="A201" s="2"/>
      <x:c r="B201" s="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</x:row>
    <x:row r="202" ht="20" customHeight="1">
      <x:c r="A202" s="2"/>
      <x:c r="B202" s="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</x:row>
    <x:row r="203" ht="20" customHeight="1">
      <x:c r="A203" s="2"/>
      <x:c r="B203" s="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</x:row>
    <x:row r="204" ht="20" customHeight="1">
      <x:c r="A204" s="2"/>
      <x:c r="B204" s="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</x:row>
    <x:row r="205" ht="20" customHeight="1">
      <x:c r="A205" s="2"/>
      <x:c r="B205" s="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</x:row>
    <x:row r="206" ht="20" customHeight="1">
      <x:c r="A206" s="2"/>
      <x:c r="B206" s="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</x:row>
    <x:row r="207" ht="20" customHeight="1">
      <x:c r="A207" s="2"/>
      <x:c r="B207" s="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</x:row>
    <x:row r="208" ht="20" customHeight="1">
      <x:c r="A208" s="2"/>
      <x:c r="B208" s="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</x:row>
    <x:row r="209" ht="20" customHeight="1">
      <x:c r="A209" s="2"/>
      <x:c r="B209" s="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</x:row>
    <x:row r="210" ht="20" customHeight="1">
      <x:c r="A210" s="2"/>
      <x:c r="B210" s="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</x:row>
    <x:row r="211" ht="20" customHeight="1">
      <x:c r="A211" s="2"/>
      <x:c r="B211" s="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</x:row>
    <x:row r="212" ht="20" customHeight="1">
      <x:c r="A212" s="2"/>
      <x:c r="B212" s="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</x:row>
    <x:row r="213" ht="20" customHeight="1">
      <x:c r="A213" s="2"/>
      <x:c r="B213" s="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</x:row>
    <x:row r="214" ht="20" customHeight="1">
      <x:c r="A214" s="2"/>
      <x:c r="B214" s="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</x:row>
    <x:row r="215" ht="20" customHeight="1">
      <x:c r="A215" s="2"/>
      <x:c r="B215" s="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</x:row>
    <x:row r="216" ht="20" customHeight="1">
      <x:c r="A216" s="2"/>
      <x:c r="B216" s="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</x:row>
    <x:row r="217" ht="20" customHeight="1">
      <x:c r="A217" s="2"/>
      <x:c r="B217" s="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</x:row>
    <x:row r="218" ht="20" customHeight="1">
      <x:c r="A218" s="2"/>
      <x:c r="B218" s="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</x:row>
    <x:row r="219" ht="20" customHeight="1">
      <x:c r="A219" s="2"/>
      <x:c r="B219" s="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</x:row>
    <x:row r="220" ht="20" customHeight="1">
      <x:c r="A220" s="2"/>
      <x:c r="B220" s="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</x:row>
    <x:row r="221" ht="20" customHeight="1">
      <x:c r="A221" s="2"/>
      <x:c r="B221" s="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</x:row>
    <x:row r="222" ht="20" customHeight="1">
      <x:c r="A222" s="2"/>
      <x:c r="B222" s="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</x:row>
    <x:row r="223" ht="20" customHeight="1">
      <x:c r="A223" s="2"/>
      <x:c r="B223" s="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</x:row>
    <x:row r="224" ht="20" customHeight="1">
      <x:c r="A224" s="2"/>
      <x:c r="B224" s="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</x:row>
    <x:row r="225" ht="20" customHeight="1">
      <x:c r="A225" s="2"/>
      <x:c r="B225" s="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</x:row>
    <x:row r="226" ht="20" customHeight="1">
      <x:c r="A226" s="2"/>
      <x:c r="B226" s="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</x:row>
    <x:row r="227" ht="20" customHeight="1">
      <x:c r="A227" s="2"/>
      <x:c r="B227" s="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</x:row>
    <x:row r="228" ht="20" customHeight="1">
      <x:c r="A228" s="2"/>
      <x:c r="B228" s="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</x:row>
    <x:row r="229" ht="20" customHeight="1">
      <x:c r="A229" s="2"/>
      <x:c r="B229" s="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</x:row>
    <x:row r="230" ht="20" customHeight="1">
      <x:c r="A230" s="2"/>
      <x:c r="B230" s="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</x:row>
    <x:row r="231" ht="20" customHeight="1">
      <x:c r="A231" s="2"/>
      <x:c r="B231" s="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</x:row>
    <x:row r="232" ht="20" customHeight="1">
      <x:c r="A232" s="2"/>
      <x:c r="B232" s="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</x:row>
    <x:row r="233" ht="20" customHeight="1">
      <x:c r="A233" s="2"/>
      <x:c r="B233" s="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</x:row>
    <x:row r="234" ht="20" customHeight="1">
      <x:c r="A234" s="2"/>
      <x:c r="B234" s="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</x:row>
    <x:row r="235" ht="20" customHeight="1">
      <x:c r="A235" s="2"/>
      <x:c r="B235" s="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</x:row>
    <x:row r="236" ht="20" customHeight="1">
      <x:c r="A236" s="2"/>
      <x:c r="B236" s="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</x:row>
    <x:row r="237" ht="20" customHeight="1">
      <x:c r="A237" s="2"/>
      <x:c r="B237" s="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</x:row>
    <x:row r="238" ht="20" customHeight="1">
      <x:c r="A238" s="2"/>
      <x:c r="B238" s="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</x:row>
    <x:row r="239" ht="20" customHeight="1">
      <x:c r="A239" s="2"/>
      <x:c r="B239" s="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</x:row>
    <x:row r="240" ht="20" customHeight="1">
      <x:c r="A240" s="2"/>
      <x:c r="B240" s="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</x:row>
    <x:row r="241" ht="20" customHeight="1">
      <x:c r="A241" s="2"/>
      <x:c r="B241" s="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</x:row>
    <x:row r="242" ht="20" customHeight="1">
      <x:c r="A242" s="2"/>
      <x:c r="B242" s="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</x:row>
    <x:row r="243" ht="20" customHeight="1">
      <x:c r="A243" s="2"/>
      <x:c r="B243" s="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</x:row>
    <x:row r="244" ht="20" customHeight="1">
      <x:c r="A244" s="2"/>
      <x:c r="B244" s="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</x:row>
    <x:row r="245" ht="20" customHeight="1">
      <x:c r="A245" s="2"/>
      <x:c r="B245" s="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</x:row>
    <x:row r="246" ht="20" customHeight="1">
      <x:c r="A246" s="2"/>
      <x:c r="B246" s="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</x:row>
    <x:row r="247" ht="20" customHeight="1">
      <x:c r="A247" s="2"/>
      <x:c r="B247" s="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</x:row>
    <x:row r="248" ht="20" customHeight="1">
      <x:c r="A248" s="2"/>
      <x:c r="B248" s="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</x:row>
    <x:row r="249" ht="20" customHeight="1">
      <x:c r="A249" s="2"/>
      <x:c r="B249" s="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</x:row>
    <x:row r="250" ht="20" customHeight="1">
      <x:c r="A250" s="2"/>
      <x:c r="B250" s="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</x:row>
    <x:row r="251" ht="20" customHeight="1">
      <x:c r="A251" s="2"/>
      <x:c r="B251" s="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</x:row>
    <x:row r="252" ht="20" customHeight="1">
      <x:c r="A252" s="2"/>
      <x:c r="B252" s="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</x:row>
    <x:row r="253" ht="20" customHeight="1">
      <x:c r="A253" s="2"/>
      <x:c r="B253" s="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</x:row>
    <x:row r="254" ht="20" customHeight="1">
      <x:c r="A254" s="2"/>
      <x:c r="B254" s="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</x:row>
    <x:row r="255" ht="20" customHeight="1">
      <x:c r="A255" s="2"/>
      <x:c r="B255" s="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</x:row>
    <x:row r="256" ht="20" customHeight="1">
      <x:c r="A256" s="2"/>
      <x:c r="B256" s="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</x:row>
    <x:row r="257" ht="20" customHeight="1">
      <x:c r="A257" s="2"/>
      <x:c r="B257" s="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</x:row>
    <x:row r="258" ht="20" customHeight="1">
      <x:c r="A258" s="2"/>
      <x:c r="B258" s="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</x:row>
    <x:row r="259" ht="20" customHeight="1">
      <x:c r="A259" s="2"/>
      <x:c r="B259" s="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</x:row>
    <x:row r="260" ht="20" customHeight="1">
      <x:c r="A260" s="2"/>
      <x:c r="B260" s="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</x:row>
    <x:row r="261" ht="20" customHeight="1">
      <x:c r="A261" s="2"/>
      <x:c r="B261" s="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</x:row>
    <x:row r="262" ht="20" customHeight="1">
      <x:c r="A262" s="2"/>
      <x:c r="B262" s="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</x:row>
    <x:row r="263" ht="20" customHeight="1">
      <x:c r="A263" s="2"/>
      <x:c r="B263" s="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</x:row>
    <x:row r="264" ht="20" customHeight="1">
      <x:c r="A264" s="2"/>
      <x:c r="B264" s="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</x:row>
    <x:row r="265" ht="20" customHeight="1">
      <x:c r="A265" s="2"/>
      <x:c r="B265" s="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</x:row>
    <x:row r="266" ht="20" customHeight="1">
      <x:c r="A266" s="2"/>
      <x:c r="B266" s="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</x:row>
    <x:row r="267" ht="20" customHeight="1">
      <x:c r="A267" s="2"/>
      <x:c r="B267" s="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</x:row>
    <x:row r="268" ht="20" customHeight="1">
      <x:c r="A268" s="2"/>
      <x:c r="B268" s="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</x:row>
    <x:row r="269" ht="20" customHeight="1">
      <x:c r="A269" s="2"/>
      <x:c r="B269" s="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</x:row>
    <x:row r="270" ht="20" customHeight="1">
      <x:c r="A270" s="2"/>
      <x:c r="B270" s="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</x:row>
    <x:row r="271" ht="20" customHeight="1">
      <x:c r="A271" s="2"/>
      <x:c r="B271" s="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</x:row>
    <x:row r="272" ht="20" customHeight="1">
      <x:c r="A272" s="2"/>
      <x:c r="B272" s="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</x:row>
    <x:row r="273" ht="20" customHeight="1">
      <x:c r="A273" s="2"/>
      <x:c r="B273" s="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</x:row>
    <x:row r="274" ht="20" customHeight="1">
      <x:c r="A274" s="2"/>
      <x:c r="B274" s="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</x:row>
    <x:row r="275" ht="20" customHeight="1">
      <x:c r="A275" s="2"/>
      <x:c r="B275" s="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</x:row>
    <x:row r="276" ht="20" customHeight="1">
      <x:c r="A276" s="2"/>
      <x:c r="B276" s="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</x:row>
    <x:row r="277" ht="20" customHeight="1">
      <x:c r="A277" s="2"/>
      <x:c r="B277" s="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</x:row>
    <x:row r="278" ht="20" customHeight="1">
      <x:c r="A278" s="2"/>
      <x:c r="B278" s="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</x:row>
    <x:row r="279" ht="20" customHeight="1">
      <x:c r="A279" s="2"/>
      <x:c r="B279" s="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</x:row>
    <x:row r="280" ht="20" customHeight="1">
      <x:c r="A280" s="2"/>
      <x:c r="B280" s="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</x:row>
    <x:row r="281" ht="20" customHeight="1">
      <x:c r="A281" s="2"/>
      <x:c r="B281" s="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</x:row>
    <x:row r="282" ht="20" customHeight="1">
      <x:c r="A282" s="2"/>
      <x:c r="B282" s="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</x:row>
    <x:row r="283" ht="20" customHeight="1">
      <x:c r="A283" s="2"/>
      <x:c r="B283" s="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</x:row>
    <x:row r="284" ht="20" customHeight="1">
      <x:c r="A284" s="2"/>
      <x:c r="B284" s="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</x:row>
    <x:row r="285" ht="20" customHeight="1">
      <x:c r="A285" s="2"/>
      <x:c r="B285" s="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</x:row>
    <x:row r="286" ht="20" customHeight="1">
      <x:c r="A286" s="2"/>
      <x:c r="B286" s="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</x:row>
    <x:row r="287" ht="20" customHeight="1">
      <x:c r="A287" s="2"/>
      <x:c r="B287" s="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</x:row>
    <x:row r="288" ht="20" customHeight="1">
      <x:c r="A288" s="2"/>
      <x:c r="B288" s="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</x:row>
    <x:row r="289" ht="20" customHeight="1">
      <x:c r="A289" s="2"/>
      <x:c r="B289" s="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</x:row>
    <x:row r="290" ht="20" customHeight="1">
      <x:c r="A290" s="2"/>
      <x:c r="B290" s="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</x:row>
    <x:row r="291" ht="20" customHeight="1">
      <x:c r="A291" s="2"/>
      <x:c r="B291" s="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</x:row>
    <x:row r="292" ht="20" customHeight="1">
      <x:c r="A292" s="2"/>
      <x:c r="B292" s="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</x:row>
    <x:row r="293" ht="20" customHeight="1">
      <x:c r="A293" s="2"/>
      <x:c r="B293" s="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</x:row>
    <x:row r="294" ht="20" customHeight="1">
      <x:c r="A294" s="2"/>
      <x:c r="B294" s="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</x:row>
    <x:row r="295" ht="20" customHeight="1">
      <x:c r="A295" s="2"/>
      <x:c r="B295" s="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</x:row>
    <x:row r="296" ht="20" customHeight="1">
      <x:c r="A296" s="2"/>
      <x:c r="B296" s="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</x:row>
    <x:row r="297" ht="20" customHeight="1">
      <x:c r="A297" s="2"/>
      <x:c r="B297" s="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</x:row>
    <x:row r="298" ht="20" customHeight="1">
      <x:c r="A298" s="2"/>
      <x:c r="B298" s="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</x:row>
    <x:row r="299" ht="20" customHeight="1">
      <x:c r="A299" s="2"/>
      <x:c r="B299" s="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</x:row>
    <x:row r="300" ht="20" customHeight="1">
      <x:c r="A300" s="2"/>
      <x:c r="B300" s="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</x:row>
    <x:row r="301" ht="20" customHeight="1">
      <x:c r="A301" s="2"/>
      <x:c r="B301" s="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</x:row>
    <x:row r="302" ht="20" customHeight="1">
      <x:c r="A302" s="2"/>
      <x:c r="B302" s="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</x:row>
    <x:row r="303" ht="20" customHeight="1">
      <x:c r="A303" s="2"/>
      <x:c r="B303" s="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</x:row>
    <x:row r="304" ht="20" customHeight="1">
      <x:c r="A304" s="2"/>
      <x:c r="B304" s="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</x:row>
    <x:row r="305" ht="20" customHeight="1">
      <x:c r="A305" s="2"/>
      <x:c r="B305" s="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</x:row>
    <x:row r="306" ht="20" customHeight="1">
      <x:c r="A306" s="2"/>
      <x:c r="B306" s="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</x:row>
    <x:row r="307" ht="20" customHeight="1">
      <x:c r="A307" s="2"/>
      <x:c r="B307" s="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</x:row>
    <x:row r="308" ht="20" customHeight="1">
      <x:c r="A308" s="2"/>
      <x:c r="B308" s="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</x:row>
    <x:row r="309" ht="20" customHeight="1">
      <x:c r="A309" s="2"/>
      <x:c r="B309" s="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</x:row>
    <x:row r="310" ht="20" customHeight="1">
      <x:c r="A310" s="2"/>
      <x:c r="B310" s="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</x:row>
    <x:row r="311" ht="20" customHeight="1">
      <x:c r="A311" s="2"/>
      <x:c r="B311" s="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</x:row>
    <x:row r="312" ht="20" customHeight="1">
      <x:c r="A312" s="2"/>
      <x:c r="B312" s="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</x:row>
    <x:row r="313" ht="20" customHeight="1">
      <x:c r="A313" s="2"/>
      <x:c r="B313" s="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</x:row>
    <x:row r="314" ht="20" customHeight="1">
      <x:c r="A314" s="2"/>
      <x:c r="B314" s="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</x:row>
    <x:row r="315" ht="20" customHeight="1">
      <x:c r="A315" s="2"/>
      <x:c r="B315" s="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</x:row>
    <x:row r="316" ht="20" customHeight="1">
      <x:c r="A316" s="2"/>
      <x:c r="B316" s="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</x:row>
    <x:row r="317" ht="20" customHeight="1">
      <x:c r="A317" s="2"/>
      <x:c r="B317" s="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</x:row>
    <x:row r="318" ht="20" customHeight="1">
      <x:c r="A318" s="2"/>
      <x:c r="B318" s="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</x:row>
    <x:row r="319" ht="20" customHeight="1">
      <x:c r="A319" s="2"/>
      <x:c r="B319" s="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</x:row>
    <x:row r="320" ht="20" customHeight="1">
      <x:c r="A320" s="2"/>
      <x:c r="B320" s="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</x:row>
    <x:row r="321" ht="20" customHeight="1">
      <x:c r="A321" s="2"/>
      <x:c r="B321" s="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2"/>
      <x:c r="Q321" s="2"/>
      <x:c r="R321" s="2"/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</x:row>
    <x:row r="322" ht="20" customHeight="1">
      <x:c r="A322" s="2"/>
      <x:c r="B322" s="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2"/>
      <x:c r="Q322" s="2"/>
      <x:c r="R322" s="2"/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</x:row>
    <x:row r="323" ht="20" customHeight="1">
      <x:c r="A323" s="2"/>
      <x:c r="B323" s="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2"/>
      <x:c r="Q323" s="2"/>
      <x:c r="R323" s="2"/>
      <x:c r="S323" s="2"/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</x:row>
    <x:row r="324" ht="20" customHeight="1">
      <x:c r="A324" s="2"/>
      <x:c r="B324" s="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2"/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</x:row>
    <x:row r="325" ht="20" customHeight="1">
      <x:c r="A325" s="2"/>
      <x:c r="B325" s="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2"/>
      <x:c r="Q325" s="2"/>
      <x:c r="R325" s="2"/>
      <x:c r="S325" s="2"/>
      <x:c r="T325" s="2"/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</x:row>
    <x:row r="326" ht="20" customHeight="1">
      <x:c r="A326" s="2"/>
      <x:c r="B326" s="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2"/>
      <x:c r="Q326" s="2"/>
      <x:c r="R326" s="2"/>
      <x:c r="S326" s="2"/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</x:row>
    <x:row r="327" ht="20" customHeight="1">
      <x:c r="A327" s="2"/>
      <x:c r="B327" s="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</x:row>
    <x:row r="328" ht="20" customHeight="1">
      <x:c r="A328" s="2"/>
      <x:c r="B328" s="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</x:row>
    <x:row r="329" ht="20" customHeight="1">
      <x:c r="A329" s="2"/>
      <x:c r="B329" s="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2"/>
      <x:c r="Q329" s="2"/>
      <x:c r="R329" s="2"/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</x:row>
    <x:row r="330" ht="20" customHeight="1">
      <x:c r="A330" s="2"/>
      <x:c r="B330" s="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</x:row>
    <x:row r="331" ht="20" customHeight="1">
      <x:c r="A331" s="2"/>
      <x:c r="B331" s="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</x:row>
    <x:row r="332" ht="20" customHeight="1">
      <x:c r="A332" s="2"/>
      <x:c r="B332" s="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</x:row>
    <x:row r="333" ht="20" customHeight="1">
      <x:c r="A333" s="2"/>
      <x:c r="B333" s="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2"/>
      <x:c r="Q333" s="2"/>
      <x:c r="R333" s="2"/>
      <x:c r="S333" s="2"/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</x:row>
    <x:row r="334" ht="20" customHeight="1">
      <x:c r="A334" s="2"/>
      <x:c r="B334" s="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2"/>
      <x:c r="Q334" s="2"/>
      <x:c r="R334" s="2"/>
      <x:c r="S334" s="2"/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</x:row>
    <x:row r="335" ht="20" customHeight="1">
      <x:c r="A335" s="2"/>
      <x:c r="B335" s="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</x:row>
    <x:row r="336" ht="20" customHeight="1">
      <x:c r="A336" s="2"/>
      <x:c r="B336" s="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</x:row>
    <x:row r="337" ht="20" customHeight="1">
      <x:c r="A337" s="2"/>
      <x:c r="B337" s="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2"/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</x:row>
    <x:row r="338" ht="20" customHeight="1">
      <x:c r="A338" s="2"/>
      <x:c r="B338" s="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2"/>
      <x:c r="Q338" s="2"/>
      <x:c r="R338" s="2"/>
      <x:c r="S338" s="2"/>
      <x:c r="T338" s="2"/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</x:row>
    <x:row r="339" ht="20" customHeight="1">
      <x:c r="A339" s="2"/>
      <x:c r="B339" s="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</x:row>
    <x:row r="340" ht="20" customHeight="1">
      <x:c r="A340" s="2"/>
      <x:c r="B340" s="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</x:row>
    <x:row r="341" ht="20" customHeight="1">
      <x:c r="A341" s="2"/>
      <x:c r="B341" s="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</x:row>
    <x:row r="342" ht="20" customHeight="1">
      <x:c r="A342" s="2"/>
      <x:c r="B342" s="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</x:row>
    <x:row r="343" ht="20" customHeight="1">
      <x:c r="A343" s="2"/>
      <x:c r="B343" s="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2"/>
      <x:c r="Q343" s="2"/>
      <x:c r="R343" s="2"/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</x:row>
    <x:row r="344" ht="20" customHeight="1">
      <x:c r="A344" s="2"/>
      <x:c r="B344" s="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2"/>
      <x:c r="Q344" s="2"/>
      <x:c r="R344" s="2"/>
      <x:c r="S344" s="2"/>
      <x:c r="T344" s="2"/>
      <x:c r="U344" s="2"/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</x:row>
    <x:row r="345" ht="20" customHeight="1">
      <x:c r="A345" s="2"/>
      <x:c r="B345" s="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2"/>
      <x:c r="Q345" s="2"/>
      <x:c r="R345" s="2"/>
      <x:c r="S345" s="2"/>
      <x:c r="T345" s="2"/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</x:row>
    <x:row r="346" ht="20" customHeight="1">
      <x:c r="A346" s="2"/>
      <x:c r="B346" s="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2"/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</x:row>
    <x:row r="347" ht="20" customHeight="1">
      <x:c r="A347" s="2"/>
      <x:c r="B347" s="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2"/>
      <x:c r="Q347" s="2"/>
      <x:c r="R347" s="2"/>
      <x:c r="S347" s="2"/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</x:row>
    <x:row r="348" ht="20" customHeight="1">
      <x:c r="A348" s="2"/>
      <x:c r="B348" s="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2"/>
      <x:c r="Q348" s="2"/>
      <x:c r="R348" s="2"/>
      <x:c r="S348" s="2"/>
      <x:c r="T348" s="2"/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</x:row>
    <x:row r="349" ht="20" customHeight="1">
      <x:c r="A349" s="2"/>
      <x:c r="B349" s="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2"/>
      <x:c r="Q349" s="2"/>
      <x:c r="R349" s="2"/>
      <x:c r="S349" s="2"/>
      <x:c r="T349" s="2"/>
      <x:c r="U349" s="2"/>
      <x:c r="V349" s="2"/>
      <x:c r="W349" s="2"/>
      <x:c r="X349" s="2"/>
      <x:c r="Y349" s="2"/>
      <x:c r="Z349" s="2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</x:row>
    <x:row r="350" ht="20" customHeight="1">
      <x:c r="A350" s="2"/>
      <x:c r="B350" s="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2"/>
      <x:c r="Q350" s="2"/>
      <x:c r="R350" s="2"/>
      <x:c r="S350" s="2"/>
      <x:c r="T350" s="2"/>
      <x:c r="U350" s="2"/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</x:row>
    <x:row r="351" ht="20" customHeight="1">
      <x:c r="A351" s="2"/>
      <x:c r="B351" s="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2"/>
      <x:c r="Q351" s="2"/>
      <x:c r="R351" s="2"/>
      <x:c r="S351" s="2"/>
      <x:c r="T351" s="2"/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</x:row>
    <x:row r="352" ht="20" customHeight="1">
      <x:c r="A352" s="2"/>
      <x:c r="B352" s="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2"/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</x:row>
    <x:row r="353" ht="20" customHeight="1">
      <x:c r="A353" s="2"/>
      <x:c r="B353" s="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2"/>
      <x:c r="Q353" s="2"/>
      <x:c r="R353" s="2"/>
      <x:c r="S353" s="2"/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</x:row>
    <x:row r="354" ht="20" customHeight="1">
      <x:c r="A354" s="2"/>
      <x:c r="B354" s="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</x:row>
    <x:row r="355" ht="20" customHeight="1">
      <x:c r="A355" s="2"/>
      <x:c r="B355" s="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2"/>
      <x:c r="Q355" s="2"/>
      <x:c r="R355" s="2"/>
      <x:c r="S355" s="2"/>
      <x:c r="T355" s="2"/>
      <x:c r="U355" s="2"/>
      <x:c r="V355" s="2"/>
      <x:c r="W355" s="2"/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</x:row>
    <x:row r="356" ht="20" customHeight="1">
      <x:c r="A356" s="2"/>
      <x:c r="B356" s="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2"/>
      <x:c r="Q356" s="2"/>
      <x:c r="R356" s="2"/>
      <x:c r="S356" s="2"/>
      <x:c r="T356" s="2"/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</x:row>
    <x:row r="357" ht="20" customHeight="1">
      <x:c r="A357" s="2"/>
      <x:c r="B357" s="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2"/>
      <x:c r="Q357" s="2"/>
      <x:c r="R357" s="2"/>
      <x:c r="S357" s="2"/>
      <x:c r="T357" s="2"/>
      <x:c r="U357" s="2"/>
      <x:c r="V357" s="2"/>
      <x:c r="W357" s="2"/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</x:row>
    <x:row r="358" ht="20" customHeight="1">
      <x:c r="A358" s="2"/>
      <x:c r="B358" s="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</x:row>
    <x:row r="359" ht="20" customHeight="1">
      <x:c r="A359" s="2"/>
      <x:c r="B359" s="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2"/>
      <x:c r="Q359" s="2"/>
      <x:c r="R359" s="2"/>
      <x:c r="S359" s="2"/>
      <x:c r="T359" s="2"/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</x:row>
    <x:row r="360" ht="20" customHeight="1">
      <x:c r="A360" s="2"/>
      <x:c r="B360" s="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2"/>
      <x:c r="Q360" s="2"/>
      <x:c r="R360" s="2"/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</x:row>
    <x:row r="361" ht="20" customHeight="1">
      <x:c r="A361" s="2"/>
      <x:c r="B361" s="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</x:row>
    <x:row r="362" ht="20" customHeight="1">
      <x:c r="A362" s="2"/>
      <x:c r="B362" s="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2"/>
      <x:c r="Q362" s="2"/>
      <x:c r="R362" s="2"/>
      <x:c r="S362" s="2"/>
      <x:c r="T362" s="2"/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</x:row>
    <x:row r="363" ht="20" customHeight="1">
      <x:c r="A363" s="2"/>
      <x:c r="B363" s="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</x:row>
    <x:row r="364" ht="20" customHeight="1">
      <x:c r="A364" s="2"/>
      <x:c r="B364" s="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</x:row>
    <x:row r="365" ht="20" customHeight="1">
      <x:c r="A365" s="2"/>
      <x:c r="B365" s="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2"/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</x:row>
    <x:row r="366" ht="20" customHeight="1">
      <x:c r="A366" s="2"/>
      <x:c r="B366" s="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2"/>
      <x:c r="Q366" s="2"/>
      <x:c r="R366" s="2"/>
      <x:c r="S366" s="2"/>
      <x:c r="T366" s="2"/>
      <x:c r="U366" s="2"/>
      <x:c r="V366" s="2"/>
      <x:c r="W366" s="2"/>
      <x:c r="X366" s="2"/>
      <x:c r="Y366" s="2"/>
      <x:c r="Z366" s="2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</x:row>
    <x:row r="367" ht="20" customHeight="1">
      <x:c r="A367" s="2"/>
      <x:c r="B367" s="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2"/>
      <x:c r="Q367" s="2"/>
      <x:c r="R367" s="2"/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</x:row>
    <x:row r="368" ht="20" customHeight="1">
      <x:c r="A368" s="2"/>
      <x:c r="B368" s="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</x:row>
    <x:row r="369" ht="20" customHeight="1">
      <x:c r="A369" s="2"/>
      <x:c r="B369" s="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2"/>
      <x:c r="Q369" s="2"/>
      <x:c r="R369" s="2"/>
      <x:c r="S369" s="2"/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</x:row>
    <x:row r="370" ht="20" customHeight="1">
      <x:c r="A370" s="2"/>
      <x:c r="B370" s="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</x:row>
    <x:row r="371" ht="20" customHeight="1">
      <x:c r="A371" s="2"/>
      <x:c r="B371" s="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</x:row>
    <x:row r="372" ht="20" customHeight="1">
      <x:c r="A372" s="2"/>
      <x:c r="B372" s="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</x:row>
    <x:row r="373" ht="20" customHeight="1">
      <x:c r="A373" s="2"/>
      <x:c r="B373" s="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2"/>
      <x:c r="Q373" s="2"/>
      <x:c r="R373" s="2"/>
      <x:c r="S373" s="2"/>
      <x:c r="T373" s="2"/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</x:row>
    <x:row r="374" ht="20" customHeight="1">
      <x:c r="A374" s="2"/>
      <x:c r="B374" s="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</x:row>
    <x:row r="375" ht="20" customHeight="1">
      <x:c r="A375" s="2"/>
      <x:c r="B375" s="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</x:row>
    <x:row r="376" ht="20" customHeight="1">
      <x:c r="A376" s="2"/>
      <x:c r="B376" s="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2"/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</x:row>
    <x:row r="377" ht="20" customHeight="1">
      <x:c r="A377" s="2"/>
      <x:c r="B377" s="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2"/>
      <x:c r="Q377" s="2"/>
      <x:c r="R377" s="2"/>
      <x:c r="S377" s="2"/>
      <x:c r="T377" s="2"/>
      <x:c r="U377" s="2"/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</x:row>
    <x:row r="378" ht="20" customHeight="1">
      <x:c r="A378" s="2"/>
      <x:c r="B378" s="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2"/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</x:row>
    <x:row r="379" ht="20" customHeight="1">
      <x:c r="A379" s="2"/>
      <x:c r="B379" s="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2"/>
      <x:c r="Q379" s="2"/>
      <x:c r="R379" s="2"/>
      <x:c r="S379" s="2"/>
      <x:c r="T379" s="2"/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</x:row>
    <x:row r="380" ht="20" customHeight="1">
      <x:c r="A380" s="2"/>
      <x:c r="B380" s="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2"/>
      <x:c r="Q380" s="2"/>
      <x:c r="R380" s="2"/>
      <x:c r="S380" s="2"/>
      <x:c r="T380" s="2"/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</x:row>
    <x:row r="381" ht="20" customHeight="1">
      <x:c r="A381" s="2"/>
      <x:c r="B381" s="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</x:row>
    <x:row r="382" ht="20" customHeight="1">
      <x:c r="A382" s="2"/>
      <x:c r="B382" s="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2"/>
      <x:c r="Q382" s="2"/>
      <x:c r="R382" s="2"/>
      <x:c r="S382" s="2"/>
      <x:c r="T382" s="2"/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</x:row>
    <x:row r="383" ht="20" customHeight="1">
      <x:c r="A383" s="2"/>
      <x:c r="B383" s="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</x:row>
    <x:row r="384" ht="20" customHeight="1">
      <x:c r="A384" s="2"/>
      <x:c r="B384" s="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2"/>
      <x:c r="Q384" s="2"/>
      <x:c r="R384" s="2"/>
      <x:c r="S384" s="2"/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</x:row>
    <x:row r="385" ht="20" customHeight="1">
      <x:c r="A385" s="2"/>
      <x:c r="B385" s="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</x:row>
    <x:row r="386" ht="20" customHeight="1">
      <x:c r="A386" s="2"/>
      <x:c r="B386" s="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2"/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</x:row>
    <x:row r="387" ht="20" customHeight="1">
      <x:c r="A387" s="2"/>
      <x:c r="B387" s="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2"/>
      <x:c r="Q387" s="2"/>
      <x:c r="R387" s="2"/>
      <x:c r="S387" s="2"/>
      <x:c r="T387" s="2"/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</x:row>
    <x:row r="388" ht="20" customHeight="1">
      <x:c r="A388" s="2"/>
      <x:c r="B388" s="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2"/>
      <x:c r="Q388" s="2"/>
      <x:c r="R388" s="2"/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</x:row>
    <x:row r="389" ht="20" customHeight="1">
      <x:c r="A389" s="2"/>
      <x:c r="B389" s="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2"/>
      <x:c r="Q389" s="2"/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</x:row>
    <x:row r="390" ht="20" customHeight="1">
      <x:c r="A390" s="2"/>
      <x:c r="B390" s="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2"/>
      <x:c r="Q390" s="2"/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</x:row>
    <x:row r="391" ht="20" customHeight="1">
      <x:c r="A391" s="2"/>
      <x:c r="B391" s="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</x:row>
    <x:row r="392" ht="20" customHeight="1">
      <x:c r="A392" s="2"/>
      <x:c r="B392" s="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</x:row>
    <x:row r="393" ht="20" customHeight="1">
      <x:c r="A393" s="2"/>
      <x:c r="B393" s="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2"/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</x:row>
    <x:row r="394" ht="20" customHeight="1">
      <x:c r="A394" s="2"/>
      <x:c r="B394" s="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2"/>
      <x:c r="Q394" s="2"/>
      <x:c r="R394" s="2"/>
      <x:c r="S394" s="2"/>
      <x:c r="T394" s="2"/>
      <x:c r="U394" s="2"/>
      <x:c r="V394" s="2"/>
      <x:c r="W394" s="2"/>
      <x:c r="X394" s="2"/>
      <x:c r="Y394" s="2"/>
      <x:c r="Z394" s="2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</x:row>
    <x:row r="395" ht="20" customHeight="1">
      <x:c r="A395" s="2"/>
      <x:c r="B395" s="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2"/>
      <x:c r="Q395" s="2"/>
      <x:c r="R395" s="2"/>
      <x:c r="S395" s="2"/>
      <x:c r="T395" s="2"/>
      <x:c r="U395" s="2"/>
      <x:c r="V395" s="2"/>
      <x:c r="W395" s="2"/>
      <x:c r="X395" s="2"/>
      <x:c r="Y395" s="2"/>
      <x:c r="Z395" s="2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</x:row>
    <x:row r="396" ht="20" customHeight="1">
      <x:c r="A396" s="2"/>
      <x:c r="B396" s="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</x:row>
    <x:row r="397" ht="20" customHeight="1">
      <x:c r="A397" s="2"/>
      <x:c r="B397" s="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</x:row>
    <x:row r="398" ht="20" customHeight="1">
      <x:c r="A398" s="2"/>
      <x:c r="B398" s="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</x:row>
    <x:row r="399" ht="20" customHeight="1">
      <x:c r="A399" s="2"/>
      <x:c r="B399" s="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2"/>
      <x:c r="Q399" s="2"/>
      <x:c r="R399" s="2"/>
      <x:c r="S399" s="2"/>
      <x:c r="T399" s="2"/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</x:row>
    <x:row r="400" ht="20" customHeight="1">
      <x:c r="A400" s="2"/>
      <x:c r="B400" s="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2"/>
      <x:c r="Q400" s="2"/>
      <x:c r="R400" s="2"/>
      <x:c r="S400" s="2"/>
      <x:c r="T400" s="2"/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</x:row>
    <x:row r="401" ht="20" customHeight="1">
      <x:c r="A401" s="2"/>
      <x:c r="B401" s="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2"/>
      <x:c r="Q401" s="2"/>
      <x:c r="R401" s="2"/>
      <x:c r="S401" s="2"/>
      <x:c r="T401" s="2"/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</x:row>
    <x:row r="402" ht="20" customHeight="1">
      <x:c r="A402" s="2"/>
      <x:c r="B402" s="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2"/>
      <x:c r="Q402" s="2"/>
      <x:c r="R402" s="2"/>
      <x:c r="S402" s="2"/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</x:row>
    <x:row r="403" ht="20" customHeight="1">
      <x:c r="A403" s="2"/>
      <x:c r="B403" s="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2"/>
      <x:c r="Q403" s="2"/>
      <x:c r="R403" s="2"/>
      <x:c r="S403" s="2"/>
      <x:c r="T403" s="2"/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</x:row>
    <x:row r="404" ht="20" customHeight="1">
      <x:c r="A404" s="2"/>
      <x:c r="B404" s="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</x:row>
    <x:row r="405" ht="20" customHeight="1">
      <x:c r="A405" s="2"/>
      <x:c r="B405" s="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2"/>
      <x:c r="Q405" s="2"/>
      <x:c r="R405" s="2"/>
      <x:c r="S405" s="2"/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</x:row>
    <x:row r="406" ht="20" customHeight="1">
      <x:c r="A406" s="2"/>
      <x:c r="B406" s="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2"/>
      <x:c r="Q406" s="2"/>
      <x:c r="R406" s="2"/>
      <x:c r="S406" s="2"/>
      <x:c r="T406" s="2"/>
      <x:c r="U406" s="2"/>
      <x:c r="V406" s="2"/>
      <x:c r="W406" s="2"/>
      <x:c r="X406" s="2"/>
      <x:c r="Y406" s="2"/>
      <x:c r="Z406" s="2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</x:row>
    <x:row r="407" ht="20" customHeight="1">
      <x:c r="A407" s="2"/>
      <x:c r="B407" s="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2"/>
      <x:c r="Q407" s="2"/>
      <x:c r="R407" s="2"/>
      <x:c r="S407" s="2"/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</x:row>
    <x:row r="408" ht="20" customHeight="1">
      <x:c r="A408" s="2"/>
      <x:c r="B408" s="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2"/>
      <x:c r="Q408" s="2"/>
      <x:c r="R408" s="2"/>
      <x:c r="S408" s="2"/>
      <x:c r="T408" s="2"/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</x:row>
    <x:row r="409" ht="20" customHeight="1">
      <x:c r="A409" s="2"/>
      <x:c r="B409" s="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</x:row>
    <x:row r="410" ht="20" customHeight="1">
      <x:c r="A410" s="2"/>
      <x:c r="B410" s="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2"/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</x:row>
    <x:row r="411" ht="20" customHeight="1">
      <x:c r="A411" s="2"/>
      <x:c r="B411" s="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</x:row>
    <x:row r="412" ht="20" customHeight="1">
      <x:c r="A412" s="2"/>
      <x:c r="B412" s="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2"/>
      <x:c r="Q412" s="2"/>
      <x:c r="R412" s="2"/>
      <x:c r="S412" s="2"/>
      <x:c r="T412" s="2"/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</x:row>
    <x:row r="413" ht="20" customHeight="1">
      <x:c r="A413" s="2"/>
      <x:c r="B413" s="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</x:row>
    <x:row r="414" ht="20" customHeight="1">
      <x:c r="A414" s="2"/>
      <x:c r="B414" s="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2"/>
      <x:c r="Q414" s="2"/>
      <x:c r="R414" s="2"/>
      <x:c r="S414" s="2"/>
      <x:c r="T414" s="2"/>
      <x:c r="U414" s="2"/>
      <x:c r="V414" s="2"/>
      <x:c r="W414" s="2"/>
      <x:c r="X414" s="2"/>
      <x:c r="Y414" s="2"/>
      <x:c r="Z414" s="2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</x:row>
    <x:row r="415" ht="20" customHeight="1">
      <x:c r="A415" s="2"/>
      <x:c r="B415" s="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2"/>
      <x:c r="Q415" s="2"/>
      <x:c r="R415" s="2"/>
      <x:c r="S415" s="2"/>
      <x:c r="T415" s="2"/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</x:row>
    <x:row r="416" ht="20" customHeight="1">
      <x:c r="A416" s="2"/>
      <x:c r="B416" s="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2"/>
      <x:c r="Q416" s="2"/>
      <x:c r="R416" s="2"/>
      <x:c r="S416" s="2"/>
      <x:c r="T416" s="2"/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</x:row>
    <x:row r="417" ht="20" customHeight="1">
      <x:c r="A417" s="2"/>
      <x:c r="B417" s="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2"/>
      <x:c r="Q417" s="2"/>
      <x:c r="R417" s="2"/>
      <x:c r="S417" s="2"/>
      <x:c r="T417" s="2"/>
      <x:c r="U417" s="2"/>
      <x:c r="V417" s="2"/>
      <x:c r="W417" s="2"/>
      <x:c r="X417" s="2"/>
      <x:c r="Y417" s="2"/>
      <x:c r="Z417" s="2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</x:row>
    <x:row r="418" ht="20" customHeight="1">
      <x:c r="A418" s="2"/>
      <x:c r="B418" s="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2"/>
      <x:c r="Q418" s="2"/>
      <x:c r="R418" s="2"/>
      <x:c r="S418" s="2"/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</x:row>
    <x:row r="419" ht="20" customHeight="1">
      <x:c r="A419" s="2"/>
      <x:c r="B419" s="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2"/>
      <x:c r="Q419" s="2"/>
      <x:c r="R419" s="2"/>
      <x:c r="S419" s="2"/>
      <x:c r="T419" s="2"/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</x:row>
    <x:row r="420" ht="20" customHeight="1">
      <x:c r="A420" s="2"/>
      <x:c r="B420" s="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</x:row>
    <x:row r="421" ht="20" customHeight="1">
      <x:c r="A421" s="2"/>
      <x:c r="B421" s="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2"/>
      <x:c r="Q421" s="2"/>
      <x:c r="R421" s="2"/>
      <x:c r="S421" s="2"/>
      <x:c r="T421" s="2"/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</x:row>
    <x:row r="422" ht="20" customHeight="1">
      <x:c r="A422" s="2"/>
      <x:c r="B422" s="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2"/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</x:row>
    <x:row r="423" ht="20" customHeight="1">
      <x:c r="A423" s="2"/>
      <x:c r="B423" s="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2"/>
      <x:c r="Q423" s="2"/>
      <x:c r="R423" s="2"/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</x:row>
    <x:row r="424" ht="20" customHeight="1">
      <x:c r="A424" s="2"/>
      <x:c r="B424" s="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2"/>
      <x:c r="Q424" s="2"/>
      <x:c r="R424" s="2"/>
      <x:c r="S424" s="2"/>
      <x:c r="T424" s="2"/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</x:row>
    <x:row r="425" ht="20" customHeight="1">
      <x:c r="A425" s="2"/>
      <x:c r="B425" s="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2"/>
      <x:c r="Q425" s="2"/>
      <x:c r="R425" s="2"/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</x:row>
    <x:row r="426" ht="20" customHeight="1">
      <x:c r="A426" s="2"/>
      <x:c r="B426" s="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2"/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</x:row>
    <x:row r="427" ht="20" customHeight="1">
      <x:c r="A427" s="2"/>
      <x:c r="B427" s="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2"/>
      <x:c r="Q427" s="2"/>
      <x:c r="R427" s="2"/>
      <x:c r="S427" s="2"/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</x:row>
    <x:row r="428" ht="20" customHeight="1">
      <x:c r="A428" s="2"/>
      <x:c r="B428" s="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2"/>
      <x:c r="Q428" s="2"/>
      <x:c r="R428" s="2"/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</x:row>
    <x:row r="429" ht="20" customHeight="1">
      <x:c r="A429" s="2"/>
      <x:c r="B429" s="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2"/>
      <x:c r="Q429" s="2"/>
      <x:c r="R429" s="2"/>
      <x:c r="S429" s="2"/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</x:row>
    <x:row r="430" ht="20" customHeight="1">
      <x:c r="A430" s="2"/>
      <x:c r="B430" s="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2"/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</x:row>
    <x:row r="431" ht="20" customHeight="1">
      <x:c r="A431" s="2"/>
      <x:c r="B431" s="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</x:row>
    <x:row r="432" ht="20" customHeight="1">
      <x:c r="A432" s="2"/>
      <x:c r="B432" s="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2"/>
      <x:c r="Q432" s="2"/>
      <x:c r="R432" s="2"/>
      <x:c r="S432" s="2"/>
      <x:c r="T432" s="2"/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</x:row>
    <x:row r="433" ht="20" customHeight="1">
      <x:c r="A433" s="2"/>
      <x:c r="B433" s="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</x:row>
    <x:row r="434" ht="20" customHeight="1">
      <x:c r="A434" s="2"/>
      <x:c r="B434" s="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</x:row>
    <x:row r="435" ht="20" customHeight="1">
      <x:c r="A435" s="2"/>
      <x:c r="B435" s="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</x:row>
    <x:row r="436" ht="20" customHeight="1">
      <x:c r="A436" s="2"/>
      <x:c r="B436" s="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2"/>
      <x:c r="Q436" s="2"/>
      <x:c r="R436" s="2"/>
      <x:c r="S436" s="2"/>
      <x:c r="T436" s="2"/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</x:row>
    <x:row r="437" ht="20" customHeight="1">
      <x:c r="A437" s="2"/>
      <x:c r="B437" s="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</x:row>
    <x:row r="438" ht="20" customHeight="1">
      <x:c r="A438" s="2"/>
      <x:c r="B438" s="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2"/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</x:row>
    <x:row r="439" ht="20" customHeight="1">
      <x:c r="A439" s="2"/>
      <x:c r="B439" s="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2"/>
      <x:c r="Q439" s="2"/>
      <x:c r="R439" s="2"/>
      <x:c r="S439" s="2"/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</x:row>
    <x:row r="440" ht="20" customHeight="1">
      <x:c r="A440" s="2"/>
      <x:c r="B440" s="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</x:row>
    <x:row r="441" ht="20" customHeight="1">
      <x:c r="A441" s="2"/>
      <x:c r="B441" s="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2"/>
      <x:c r="Q441" s="2"/>
      <x:c r="R441" s="2"/>
      <x:c r="S441" s="2"/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</x:row>
    <x:row r="442" ht="20" customHeight="1">
      <x:c r="A442" s="2"/>
      <x:c r="B442" s="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2"/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</x:row>
    <x:row r="443" ht="20" customHeight="1">
      <x:c r="A443" s="2"/>
      <x:c r="B443" s="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2"/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</x:row>
    <x:row r="444" ht="20" customHeight="1">
      <x:c r="A444" s="2"/>
      <x:c r="B444" s="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2"/>
      <x:c r="Q444" s="2"/>
      <x:c r="R444" s="2"/>
      <x:c r="S444" s="2"/>
      <x:c r="T444" s="2"/>
      <x:c r="U444" s="2"/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</x:row>
    <x:row r="445" ht="20" customHeight="1">
      <x:c r="A445" s="2"/>
      <x:c r="B445" s="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</x:row>
    <x:row r="446" ht="20" customHeight="1">
      <x:c r="A446" s="2"/>
      <x:c r="B446" s="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2"/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</x:row>
    <x:row r="447" ht="20" customHeight="1">
      <x:c r="A447" s="2"/>
      <x:c r="B447" s="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</x:row>
    <x:row r="448" ht="20" customHeight="1">
      <x:c r="A448" s="2"/>
      <x:c r="B448" s="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</x:row>
    <x:row r="449" ht="20" customHeight="1">
      <x:c r="A449" s="2"/>
      <x:c r="B449" s="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2"/>
      <x:c r="Q449" s="2"/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</x:row>
    <x:row r="450" ht="20" customHeight="1">
      <x:c r="A450" s="2"/>
      <x:c r="B450" s="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</x:row>
    <x:row r="451" ht="20" customHeight="1">
      <x:c r="A451" s="2"/>
      <x:c r="B451" s="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2"/>
      <x:c r="Q451" s="2"/>
      <x:c r="R451" s="2"/>
      <x:c r="S451" s="2"/>
      <x:c r="T451" s="2"/>
      <x:c r="U451" s="2"/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</x:row>
    <x:row r="452" ht="20" customHeight="1">
      <x:c r="A452" s="2"/>
      <x:c r="B452" s="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</x:row>
    <x:row r="453" ht="20" customHeight="1">
      <x:c r="A453" s="2"/>
      <x:c r="B453" s="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2"/>
      <x:c r="Q453" s="2"/>
      <x:c r="R453" s="2"/>
      <x:c r="S453" s="2"/>
      <x:c r="T453" s="2"/>
      <x:c r="U453" s="2"/>
      <x:c r="V453" s="2"/>
      <x:c r="W453" s="2"/>
      <x:c r="X453" s="2"/>
      <x:c r="Y453" s="2"/>
      <x:c r="Z453" s="2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</x:row>
    <x:row r="454" ht="20" customHeight="1">
      <x:c r="A454" s="2"/>
      <x:c r="B454" s="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2"/>
      <x:c r="Q454" s="2"/>
      <x:c r="R454" s="2"/>
      <x:c r="S454" s="2"/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</x:row>
    <x:row r="455" ht="20" customHeight="1">
      <x:c r="A455" s="2"/>
      <x:c r="B455" s="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2"/>
      <x:c r="Q455" s="2"/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</x:row>
    <x:row r="456" ht="20" customHeight="1">
      <x:c r="A456" s="2"/>
      <x:c r="B456" s="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</x:row>
    <x:row r="457" ht="20" customHeight="1">
      <x:c r="A457" s="2"/>
      <x:c r="B457" s="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2"/>
      <x:c r="Q457" s="2"/>
      <x:c r="R457" s="2"/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</x:row>
    <x:row r="458" ht="20" customHeight="1">
      <x:c r="A458" s="2"/>
      <x:c r="B458" s="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2"/>
      <x:c r="Q458" s="2"/>
      <x:c r="R458" s="2"/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</x:row>
    <x:row r="459" ht="20" customHeight="1">
      <x:c r="A459" s="2"/>
      <x:c r="B459" s="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</x:row>
    <x:row r="460" ht="20" customHeight="1">
      <x:c r="A460" s="2"/>
      <x:c r="B460" s="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2"/>
      <x:c r="Q460" s="2"/>
      <x:c r="R460" s="2"/>
      <x:c r="S460" s="2"/>
      <x:c r="T460" s="2"/>
      <x:c r="U460" s="2"/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</x:row>
    <x:row r="461" ht="20" customHeight="1">
      <x:c r="A461" s="2"/>
      <x:c r="B461" s="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2"/>
      <x:c r="Q461" s="2"/>
      <x:c r="R461" s="2"/>
      <x:c r="S461" s="2"/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</x:row>
    <x:row r="462" ht="20" customHeight="1">
      <x:c r="A462" s="2"/>
      <x:c r="B462" s="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2"/>
      <x:c r="Q462" s="2"/>
      <x:c r="R462" s="2"/>
      <x:c r="S462" s="2"/>
      <x:c r="T462" s="2"/>
      <x:c r="U462" s="2"/>
      <x:c r="V462" s="2"/>
      <x:c r="W462" s="2"/>
      <x:c r="X462" s="2"/>
      <x:c r="Y462" s="2"/>
      <x:c r="Z462" s="2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</x:row>
    <x:row r="463" ht="20" customHeight="1">
      <x:c r="A463" s="2"/>
      <x:c r="B463" s="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</x:row>
    <x:row r="464" ht="20" customHeight="1">
      <x:c r="A464" s="2"/>
      <x:c r="B464" s="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2"/>
      <x:c r="Q464" s="2"/>
      <x:c r="R464" s="2"/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</x:row>
    <x:row r="465" ht="20" customHeight="1">
      <x:c r="A465" s="2"/>
      <x:c r="B465" s="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2"/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</x:row>
    <x:row r="466" ht="20" customHeight="1">
      <x:c r="A466" s="2"/>
      <x:c r="B466" s="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2"/>
      <x:c r="Q466" s="2"/>
      <x:c r="R466" s="2"/>
      <x:c r="S466" s="2"/>
      <x:c r="T466" s="2"/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</x:row>
    <x:row r="467" ht="20" customHeight="1">
      <x:c r="A467" s="2"/>
      <x:c r="B467" s="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2"/>
      <x:c r="Q467" s="2"/>
      <x:c r="R467" s="2"/>
      <x:c r="S467" s="2"/>
      <x:c r="T467" s="2"/>
      <x:c r="U467" s="2"/>
      <x:c r="V467" s="2"/>
      <x:c r="W467" s="2"/>
      <x:c r="X467" s="2"/>
      <x:c r="Y467" s="2"/>
      <x:c r="Z467" s="2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</x:row>
    <x:row r="468" ht="20" customHeight="1">
      <x:c r="A468" s="2"/>
      <x:c r="B468" s="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</x:row>
    <x:row r="469" ht="20" customHeight="1">
      <x:c r="A469" s="2"/>
      <x:c r="B469" s="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</x:row>
    <x:row r="470" ht="20" customHeight="1">
      <x:c r="A470" s="2"/>
      <x:c r="B470" s="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2"/>
      <x:c r="Q470" s="2"/>
      <x:c r="R470" s="2"/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</x:row>
    <x:row r="471" ht="20" customHeight="1">
      <x:c r="A471" s="2"/>
      <x:c r="B471" s="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2"/>
      <x:c r="Q471" s="2"/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</x:row>
    <x:row r="472" ht="20" customHeight="1">
      <x:c r="A472" s="2"/>
      <x:c r="B472" s="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2"/>
      <x:c r="Q472" s="2"/>
      <x:c r="R472" s="2"/>
      <x:c r="S472" s="2"/>
      <x:c r="T472" s="2"/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</x:row>
    <x:row r="473" ht="20" customHeight="1">
      <x:c r="A473" s="2"/>
      <x:c r="B473" s="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</x:row>
    <x:row r="474" ht="20" customHeight="1">
      <x:c r="A474" s="2"/>
      <x:c r="B474" s="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2"/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</x:row>
    <x:row r="475" ht="20" customHeight="1">
      <x:c r="A475" s="2"/>
      <x:c r="B475" s="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</x:row>
    <x:row r="476" ht="20" customHeight="1">
      <x:c r="A476" s="2"/>
      <x:c r="B476" s="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2"/>
      <x:c r="Q476" s="2"/>
      <x:c r="R476" s="2"/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</x:row>
    <x:row r="477" ht="20" customHeight="1">
      <x:c r="A477" s="2"/>
      <x:c r="B477" s="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2"/>
      <x:c r="Q477" s="2"/>
      <x:c r="R477" s="2"/>
      <x:c r="S477" s="2"/>
      <x:c r="T477" s="2"/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</x:row>
    <x:row r="478" ht="20" customHeight="1">
      <x:c r="A478" s="2"/>
      <x:c r="B478" s="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</x:row>
    <x:row r="479" ht="20" customHeight="1">
      <x:c r="A479" s="2"/>
      <x:c r="B479" s="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2"/>
      <x:c r="Q479" s="2"/>
      <x:c r="R479" s="2"/>
      <x:c r="S479" s="2"/>
      <x:c r="T479" s="2"/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</x:row>
    <x:row r="480" ht="20" customHeight="1">
      <x:c r="A480" s="2"/>
      <x:c r="B480" s="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</x:row>
  </x:sheetData>
  <x:pageMargins left="0.7" right="0.7" top="0.75" bottom="0.75" header="0.3" footer="0.3"/>
</x:worksheet>
</file>