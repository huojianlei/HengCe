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d334ae9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03ae2370a30645f9"/>
    <x:sheet xmlns:r="http://schemas.openxmlformats.org/officeDocument/2006/relationships" name="资产负债表" sheetId="2" r:id="R165ce1ceb1ee48b1"/>
    <x:sheet xmlns:r="http://schemas.openxmlformats.org/officeDocument/2006/relationships" name="现金流量表" sheetId="3" r:id="R87eba587424a4a30"/>
    <x:sheet xmlns:r="http://schemas.openxmlformats.org/officeDocument/2006/relationships" name="收入非主控" sheetId="4" r:id="R7ceac3e18df94179"/>
    <x:sheet xmlns:r="http://schemas.openxmlformats.org/officeDocument/2006/relationships" name="收入主控" sheetId="5" r:id="Rcab26f9ce3aa45a9"/>
    <x:sheet xmlns:r="http://schemas.openxmlformats.org/officeDocument/2006/relationships" name="税金及附加" sheetId="6" r:id="R380db241abec4247"/>
    <x:sheet xmlns:r="http://schemas.openxmlformats.org/officeDocument/2006/relationships" name="销售费用" sheetId="7" r:id="R76042912a8164de3"/>
    <x:sheet xmlns:r="http://schemas.openxmlformats.org/officeDocument/2006/relationships" name="管理费用" sheetId="8" r:id="Rcdd5125da67f44a6"/>
    <x:sheet xmlns:r="http://schemas.openxmlformats.org/officeDocument/2006/relationships" name="蓝恐龙费用" sheetId="9" r:id="Rf431098889fb4aa9"/>
    <x:sheet xmlns:r="http://schemas.openxmlformats.org/officeDocument/2006/relationships" name="费用表月度汇总" sheetId="10" r:id="R3f7daf1227f7488c"/>
    <x:sheet xmlns:r="http://schemas.openxmlformats.org/officeDocument/2006/relationships" name="摊销明细" sheetId="11" r:id="Rbf91ad61f2bb4680"/>
    <x:sheet xmlns:r="http://schemas.openxmlformats.org/officeDocument/2006/relationships" name="分录" sheetId="12" r:id="R00325f6cc993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dd712c2a46f0" /><Relationship Type="http://schemas.openxmlformats.org/officeDocument/2006/relationships/theme" Target="/xl/theme/theme1.xml" Id="Re95979a9f4ac41a7" /><Relationship Type="http://schemas.openxmlformats.org/officeDocument/2006/relationships/sharedStrings" Target="/xl/sharedStrings.xml" Id="Rf083b1bd2fad4c73" /><Relationship Type="http://schemas.openxmlformats.org/officeDocument/2006/relationships/worksheet" Target="/xl/worksheets/sheet1.xml" Id="R03ae2370a30645f9" /><Relationship Type="http://schemas.openxmlformats.org/officeDocument/2006/relationships/worksheet" Target="/xl/worksheets/sheet2.xml" Id="R165ce1ceb1ee48b1" /><Relationship Type="http://schemas.openxmlformats.org/officeDocument/2006/relationships/worksheet" Target="/xl/worksheets/sheet3.xml" Id="R87eba587424a4a30" /><Relationship Type="http://schemas.openxmlformats.org/officeDocument/2006/relationships/worksheet" Target="/xl/worksheets/sheet4.xml" Id="R7ceac3e18df94179" /><Relationship Type="http://schemas.openxmlformats.org/officeDocument/2006/relationships/worksheet" Target="/xl/worksheets/sheet5.xml" Id="Rcab26f9ce3aa45a9" /><Relationship Type="http://schemas.openxmlformats.org/officeDocument/2006/relationships/worksheet" Target="/xl/worksheets/sheet6.xml" Id="R380db241abec4247" /><Relationship Type="http://schemas.openxmlformats.org/officeDocument/2006/relationships/worksheet" Target="/xl/worksheets/sheet7.xml" Id="R76042912a8164de3" /><Relationship Type="http://schemas.openxmlformats.org/officeDocument/2006/relationships/worksheet" Target="/xl/worksheets/sheet8.xml" Id="Rcdd5125da67f44a6" /><Relationship Type="http://schemas.openxmlformats.org/officeDocument/2006/relationships/worksheet" Target="/xl/worksheets/sheet9.xml" Id="Rf431098889fb4aa9" /><Relationship Type="http://schemas.openxmlformats.org/officeDocument/2006/relationships/worksheet" Target="/xl/worksheets/sheet10.xml" Id="R3f7daf1227f7488c" /><Relationship Type="http://schemas.openxmlformats.org/officeDocument/2006/relationships/worksheet" Target="/xl/worksheets/sheet11.xml" Id="Rbf91ad61f2bb4680" /><Relationship Type="http://schemas.openxmlformats.org/officeDocument/2006/relationships/worksheet" Target="/xl/worksheets/sheet12.xml" Id="R00325f6cc993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0.25" hidden="0" customWidth="1"/>
    <x:col min="17" max="17" width="10.25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利润表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目</x:v>
      </x:c>
      <x:c r="B2" s="2" t="str">
        <x:v>行数</x:v>
      </x:c>
      <x:c r="C2" s="3" t="str">
        <x:v>主体甲 / 基础情景</x:v>
      </x:c>
      <x:c r="D2" s="3"/>
      <x:c r="E2" s="3"/>
      <x:c r="F2" s="3" t="str">
        <x:v>其他主体费用计入管理费用展示</x:v>
      </x:c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全年预算基础</x:v>
      </x:c>
      <x:c r="D3" s="6" t="str">
        <x:v>非本次输入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一、营业收入</x:v>
      </x:c>
      <x:c r="B4" s="2"/>
      <x:c r="C4" s="3" t="n">
        <x:f>SUM(C61:N61)</x:f>
        <x:v>4587035.91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减：营业成本</x:v>
      </x:c>
      <x:c r="B5" s="2"/>
      <x:c r="C5" s="3" t="n">
        <x:f>SUM(C62:N62)</x:f>
        <x:v>1622556.2700000003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营业税金及附加</x:v>
      </x:c>
      <x:c r="B6" s="2"/>
      <x:c r="C6" s="3" t="n">
        <x:f>SUM(C63:N63)</x:f>
        <x:v>27201.13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销售费用</x:v>
      </x:c>
      <x:c r="B7" s="2"/>
      <x:c r="C7" s="3" t="n">
        <x:f>SUM(C64:N64)</x:f>
        <x:v>86787.6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管理费用</x:v>
      </x:c>
      <x:c r="B8" s="2"/>
      <x:c r="C8" s="3" t="n">
        <x:f>SUM(C65:N66)</x:f>
        <x:v>172199.04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财务费用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资产减值损失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加：公允价值变动收益（损失以“-”号填列）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投资收益（损失以“-”号填列）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其中:对联营企业和合营企业的投资收益</x:v>
      </x:c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二、营业利润（亏损以“-”号填列）</x:v>
      </x:c>
      <x:c r="B14" s="2"/>
      <x:c r="C14" s="3" t="n">
        <x:f>SUM(C67:N67)</x:f>
        <x:v>2678291.87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加：营业外收入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减：营业外支出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 t="str">
        <x:v>其中：非流动资产处置损失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 t="str">
        <x:v>三、利润总额（亏损总额以“-”号填列）</x:v>
      </x:c>
      <x:c r="B18" s="2"/>
      <x:c r="C18" s="3" t="n">
        <x:f>SUM(C67:N67)</x:f>
        <x:v>2678291.87</x:v>
      </x:c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减：所得税费用</x:v>
      </x:c>
      <x:c r="B19" s="2"/>
      <x:c r="C19" s="3" t="n">
        <x:f>SUM(C68:N68)</x:f>
        <x:v>545487.7100000001</x:v>
      </x:c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四、净利润（净亏损以“-”号填列）</x:v>
      </x:c>
      <x:c r="B20" s="2"/>
      <x:c r="C20" s="3" t="n">
        <x:f>SUM(C69:N69)</x:f>
        <x:v>2132804.16</x:v>
      </x:c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五、每股收益：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（一）基本每股收益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（二）稀释每股收益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营业收入</x:v>
      </x:c>
      <x:c r="C61" s="3" t="n">
        <x:f>'收入非主控'!C33+'收入主控'!C33</x:f>
        <x:v>385738.18999999994</x:v>
      </x:c>
      <x:c r="D61" s="3" t="n">
        <x:f>'收入非主控'!D33+'收入主控'!D33</x:f>
        <x:v>381583.96</x:v>
      </x:c>
      <x:c r="E61" s="3" t="n">
        <x:f>'收入非主控'!E33+'收入主控'!E33</x:f>
        <x:v>288902.5</x:v>
      </x:c>
      <x:c r="F61" s="3" t="n">
        <x:f>'收入非主控'!F33+'收入主控'!F33</x:f>
        <x:v>382805.81</x:v>
      </x:c>
      <x:c r="G61" s="3" t="n">
        <x:f>'收入非主控'!G33+'收入主控'!G33</x:f>
        <x:v>333476.45</x:v>
      </x:c>
      <x:c r="H61" s="3" t="n">
        <x:f>'收入非主控'!H33+'收入主控'!H33</x:f>
        <x:v>399804.51</x:v>
      </x:c>
      <x:c r="I61" s="3" t="n">
        <x:f>'收入非主控'!I33+'收入主控'!I33</x:f>
        <x:v>535487.21</x:v>
      </x:c>
      <x:c r="J61" s="3" t="n">
        <x:f>'收入非主控'!J33+'收入主控'!J33</x:f>
        <x:v>292063.17</x:v>
      </x:c>
      <x:c r="K61" s="3" t="n">
        <x:f>'收入非主控'!K33+'收入主控'!K33</x:f>
        <x:v>391677.74</x:v>
      </x:c>
      <x:c r="L61" s="3" t="n">
        <x:f>'收入非主控'!L33+'收入主控'!L33</x:f>
        <x:v>307569.42</x:v>
      </x:c>
      <x:c r="M61" s="3" t="n">
        <x:f>'收入非主控'!M33+'收入主控'!M33</x:f>
        <x:v>448144.22</x:v>
      </x:c>
      <x:c r="N61" s="3" t="n">
        <x:f>'收入非主控'!N33+'收入主控'!N33</x:f>
        <x:v>439782.73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营业成本</x:v>
      </x:c>
      <x:c r="C62" s="3" t="n">
        <x:f>'收入非主控'!C36+'收入主控'!C36</x:f>
        <x:v>147135.72999999998</x:v>
      </x:c>
      <x:c r="D62" s="3" t="n">
        <x:f>'收入非主控'!D36+'收入主控'!D36</x:f>
        <x:v>117429.01</x:v>
      </x:c>
      <x:c r="E62" s="3" t="n">
        <x:f>'收入非主控'!E36+'收入主控'!E36</x:f>
        <x:v>135025.7</x:v>
      </x:c>
      <x:c r="F62" s="3" t="n">
        <x:f>'收入非主控'!F36+'收入主控'!F36</x:f>
        <x:v>136403.88</x:v>
      </x:c>
      <x:c r="G62" s="3" t="n">
        <x:f>'收入非主控'!G36+'收入主控'!G36</x:f>
        <x:v>132399.66999999998</x:v>
      </x:c>
      <x:c r="H62" s="3" t="n">
        <x:f>'收入非主控'!H36+'收入主控'!H36</x:f>
        <x:v>129358.95</x:v>
      </x:c>
      <x:c r="I62" s="3" t="n">
        <x:f>'收入非主控'!I36+'收入主控'!I36</x:f>
        <x:v>144755.32</x:v>
      </x:c>
      <x:c r="J62" s="3" t="n">
        <x:f>'收入非主控'!J36+'收入主控'!J36</x:f>
        <x:v>130629.75</x:v>
      </x:c>
      <x:c r="K62" s="3" t="n">
        <x:f>'收入非主控'!K36+'收入主控'!K36</x:f>
        <x:v>145993.23</x:v>
      </x:c>
      <x:c r="L62" s="3" t="n">
        <x:f>'收入非主控'!L36+'收入主控'!L36</x:f>
        <x:v>133558.86</x:v>
      </x:c>
      <x:c r="M62" s="3" t="n">
        <x:f>'收入非主控'!M36+'收入主控'!M36</x:f>
        <x:v>128737.87</x:v>
      </x:c>
      <x:c r="N62" s="3" t="n">
        <x:f>'收入非主控'!N36+'收入主控'!N36</x:f>
        <x:v>141128.3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税金及附加</x:v>
      </x:c>
      <x:c r="C63" s="3" t="n">
        <x:f>'税金及附加'!C33</x:f>
        <x:v>2287.43</x:v>
      </x:c>
      <x:c r="D63" s="3" t="n">
        <x:f>'税金及附加'!D33</x:f>
        <x:v>2262.79</x:v>
      </x:c>
      <x:c r="E63" s="3" t="n">
        <x:f>'税金及附加'!E33</x:f>
        <x:v>1713.19</x:v>
      </x:c>
      <x:c r="F63" s="3" t="n">
        <x:f>'税金及附加'!F33</x:f>
        <x:v>2270.04</x:v>
      </x:c>
      <x:c r="G63" s="3" t="n">
        <x:f>'税金及附加'!G33</x:f>
        <x:v>1977.52</x:v>
      </x:c>
      <x:c r="H63" s="3" t="n">
        <x:f>'税金及附加'!H33</x:f>
        <x:v>2370.84</x:v>
      </x:c>
      <x:c r="I63" s="3" t="n">
        <x:f>'税金及附加'!I33</x:f>
        <x:v>3175.44</x:v>
      </x:c>
      <x:c r="J63" s="3" t="n">
        <x:f>'税金及附加'!J33</x:f>
        <x:v>1731.93</x:v>
      </x:c>
      <x:c r="K63" s="3" t="n">
        <x:f>'税金及附加'!K33</x:f>
        <x:v>2322.65</x:v>
      </x:c>
      <x:c r="L63" s="3" t="n">
        <x:f>'税金及附加'!L33</x:f>
        <x:v>1823.89</x:v>
      </x:c>
      <x:c r="M63" s="3" t="n">
        <x:f>'税金及附加'!M33</x:f>
        <x:v>2657.5</x:v>
      </x:c>
      <x:c r="N63" s="3" t="n">
        <x:f>'税金及附加'!N33</x:f>
        <x:v>2607.91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销售费用</x:v>
      </x:c>
      <x:c r="C64" s="3" t="n">
        <x:f>'销售费用'!C34</x:f>
        <x:v>6375.979999999999</x:v>
      </x:c>
      <x:c r="D64" s="3" t="n">
        <x:f>'销售费用'!D34</x:f>
        <x:v>7341.83</x:v>
      </x:c>
      <x:c r="E64" s="3" t="n">
        <x:f>'销售费用'!E34</x:f>
        <x:v>6220.15</x:v>
      </x:c>
      <x:c r="F64" s="3" t="n">
        <x:f>'销售费用'!F34</x:f>
        <x:v>7563.08</x:v>
      </x:c>
      <x:c r="G64" s="3" t="n">
        <x:f>'销售费用'!G34</x:f>
        <x:v>7755.750000000001</x:v>
      </x:c>
      <x:c r="H64" s="3" t="n">
        <x:f>'销售费用'!H34</x:f>
        <x:v>7690.8499999999985</x:v>
      </x:c>
      <x:c r="I64" s="3" t="n">
        <x:f>'销售费用'!I34</x:f>
        <x:v>6951.500000000001</x:v>
      </x:c>
      <x:c r="J64" s="3" t="n">
        <x:f>'销售费用'!J34</x:f>
        <x:v>6786.950000000001</x:v>
      </x:c>
      <x:c r="K64" s="3" t="n">
        <x:f>'销售费用'!K34</x:f>
        <x:v>7349.139999999999</x:v>
      </x:c>
      <x:c r="L64" s="3" t="n">
        <x:f>'销售费用'!L34</x:f>
        <x:v>7719.790000000002</x:v>
      </x:c>
      <x:c r="M64" s="3" t="n">
        <x:f>'销售费用'!M34</x:f>
        <x:v>7197.33</x:v>
      </x:c>
      <x:c r="N64" s="3" t="n">
        <x:f>'销售费用'!N34</x:f>
        <x:v>7835.249999999999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管理费用</x:v>
      </x:c>
      <x:c r="C65" s="3" t="n">
        <x:f>'管理费用'!C34</x:f>
        <x:v>6437.249999999999</x:v>
      </x:c>
      <x:c r="D65" s="3" t="n">
        <x:f>'管理费用'!D34</x:f>
        <x:v>6598.060000000001</x:v>
      </x:c>
      <x:c r="E65" s="3" t="n">
        <x:f>'管理费用'!E34</x:f>
        <x:v>6597.8899999999985</x:v>
      </x:c>
      <x:c r="F65" s="3" t="n">
        <x:f>'管理费用'!F34</x:f>
        <x:v>7194.37</x:v>
      </x:c>
      <x:c r="G65" s="3" t="n">
        <x:f>'管理费用'!G34</x:f>
        <x:v>6515.22</x:v>
      </x:c>
      <x:c r="H65" s="3" t="n">
        <x:f>'管理费用'!H34</x:f>
        <x:v>8193.429999999998</x:v>
      </x:c>
      <x:c r="I65" s="3" t="n">
        <x:f>'管理费用'!I34</x:f>
        <x:v>7536.260000000001</x:v>
      </x:c>
      <x:c r="J65" s="3" t="n">
        <x:f>'管理费用'!J34</x:f>
        <x:v>6486.3200000000015</x:v>
      </x:c>
      <x:c r="K65" s="3" t="n">
        <x:f>'管理费用'!K34</x:f>
        <x:v>7179.14</x:v>
      </x:c>
      <x:c r="L65" s="3" t="n">
        <x:f>'管理费用'!L34</x:f>
        <x:v>7650.050000000001</x:v>
      </x:c>
      <x:c r="M65" s="3" t="n">
        <x:f>'管理费用'!M34</x:f>
        <x:v>7705.659999999999</x:v>
      </x:c>
      <x:c r="N65" s="3" t="n">
        <x:f>'管理费用'!N34</x:f>
        <x:v>7380.75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其他主体费用</x:v>
      </x:c>
      <x:c r="C66" s="3" t="n">
        <x:f>'蓝恐龙费用'!C34</x:f>
        <x:v>7301.330000000001</x:v>
      </x:c>
      <x:c r="D66" s="3" t="n">
        <x:f>'蓝恐龙费用'!D34</x:f>
        <x:v>8318.37</x:v>
      </x:c>
      <x:c r="E66" s="3" t="n">
        <x:f>'蓝恐龙费用'!E34</x:f>
        <x:v>6900.31</x:v>
      </x:c>
      <x:c r="F66" s="3" t="n">
        <x:f>'蓝恐龙费用'!F34</x:f>
        <x:v>8002.609999999999</x:v>
      </x:c>
      <x:c r="G66" s="3" t="n">
        <x:f>'蓝恐龙费用'!G34</x:f>
        <x:v>7297.45</x:v>
      </x:c>
      <x:c r="H66" s="3" t="n">
        <x:f>'蓝恐龙费用'!H34</x:f>
        <x:v>6454.45</x:v>
      </x:c>
      <x:c r="I66" s="3" t="n">
        <x:f>'蓝恐龙费用'!I34</x:f>
        <x:v>6087.769999999999</x:v>
      </x:c>
      <x:c r="J66" s="3" t="n">
        <x:f>'蓝恐龙费用'!J34</x:f>
        <x:v>6434.4</x:v>
      </x:c>
      <x:c r="K66" s="3" t="n">
        <x:f>'蓝恐龙费用'!K34</x:f>
        <x:v>7292.85</x:v>
      </x:c>
      <x:c r="L66" s="3" t="n">
        <x:f>'蓝恐龙费用'!L34</x:f>
        <x:v>7423.880000000001</x:v>
      </x:c>
      <x:c r="M66" s="3" t="n">
        <x:f>'蓝恐龙费用'!M34</x:f>
        <x:v>7799.07</x:v>
      </x:c>
      <x:c r="N66" s="3" t="n">
        <x:f>'蓝恐龙费用'!N34</x:f>
        <x:v>7412.150000000001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税前利润</x:v>
      </x:c>
      <x:c r="C67" s="3" t="n">
        <x:f>C61-SUM(C62:C66)</x:f>
        <x:v>216200.46999999997</x:v>
      </x:c>
      <x:c r="D67" s="3" t="n">
        <x:f>D61-SUM(D62:D66)</x:f>
        <x:v>239633.90000000002</x:v>
      </x:c>
      <x:c r="E67" s="3" t="n">
        <x:f>E61-SUM(E62:E66)</x:f>
        <x:v>132445.26</x:v>
      </x:c>
      <x:c r="F67" s="3" t="n">
        <x:f>F61-SUM(F62:F66)</x:f>
        <x:v>221371.83000000002</x:v>
      </x:c>
      <x:c r="G67" s="3" t="n">
        <x:f>G61-SUM(G62:G66)</x:f>
        <x:v>177530.84000000003</x:v>
      </x:c>
      <x:c r="H67" s="3" t="n">
        <x:f>H61-SUM(H62:H66)</x:f>
        <x:v>245735.99</x:v>
      </x:c>
      <x:c r="I67" s="3" t="n">
        <x:f>I61-SUM(I62:I66)</x:f>
        <x:v>366980.9199999999</x:v>
      </x:c>
      <x:c r="J67" s="3" t="n">
        <x:f>J61-SUM(J62:J66)</x:f>
        <x:v>139993.81999999998</x:v>
      </x:c>
      <x:c r="K67" s="3" t="n">
        <x:f>K61-SUM(K62:K66)</x:f>
        <x:v>221540.72999999995</x:v>
      </x:c>
      <x:c r="L67" s="3" t="n">
        <x:f>L61-SUM(L62:L66)</x:f>
        <x:v>149392.94999999998</x:v>
      </x:c>
      <x:c r="M67" s="3" t="n">
        <x:f>M61-SUM(M62:M66)</x:f>
        <x:v>294046.79</x:v>
      </x:c>
      <x:c r="N67" s="3" t="n">
        <x:f>N61-SUM(N62:N66)</x:f>
        <x:v>273418.37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所得税费用</x:v>
      </x:c>
      <x:c r="C68" s="3" t="n">
        <x:f>ROUND(MAX(C67,0)*$C$200,2)</x:f>
        <x:v>44033.55</x:v>
      </x:c>
      <x:c r="D68" s="3" t="n">
        <x:f>ROUND(MAX(D67,0)*$C$200,2)</x:f>
        <x:v>48806.24</x:v>
      </x:c>
      <x:c r="E68" s="3" t="n">
        <x:f>ROUND(MAX(E67,0)*$C$200,2)</x:f>
        <x:v>26975.13</x:v>
      </x:c>
      <x:c r="F68" s="3" t="n">
        <x:f>ROUND(MAX(F67,0)*$C$200,2)</x:f>
        <x:v>45086.8</x:v>
      </x:c>
      <x:c r="G68" s="3" t="n">
        <x:f>ROUND(MAX(G67,0)*$C$200,2)</x:f>
        <x:v>36157.71</x:v>
      </x:c>
      <x:c r="H68" s="3" t="n">
        <x:f>ROUND(MAX(H67,0)*$C$200,2)</x:f>
        <x:v>50049.05</x:v>
      </x:c>
      <x:c r="I68" s="3" t="n">
        <x:f>ROUND(MAX(I67,0)*$C$200,2)</x:f>
        <x:v>74743</x:v>
      </x:c>
      <x:c r="J68" s="3" t="n">
        <x:f>ROUND(MAX(J67,0)*$C$200,2)</x:f>
        <x:v>28512.54</x:v>
      </x:c>
      <x:c r="K68" s="3" t="n">
        <x:f>ROUND(MAX(K67,0)*$C$200,2)</x:f>
        <x:v>45121.2</x:v>
      </x:c>
      <x:c r="L68" s="3" t="n">
        <x:f>ROUND(MAX(L67,0)*$C$200,2)</x:f>
        <x:v>30426.86</x:v>
      </x:c>
      <x:c r="M68" s="3" t="n">
        <x:f>ROUND(MAX(M67,0)*$C$200,2)</x:f>
        <x:v>59888.51</x:v>
      </x:c>
      <x:c r="N68" s="3" t="n">
        <x:f>ROUND(MAX(N67,0)*$C$200,2)</x:f>
        <x:v>55687.12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净利润</x:v>
      </x:c>
      <x:c r="C69" s="3" t="n">
        <x:f>C67-C68</x:f>
        <x:v>172166.91999999998</x:v>
      </x:c>
      <x:c r="D69" s="3" t="n">
        <x:f>D67-D68</x:f>
        <x:v>190827.66000000003</x:v>
      </x:c>
      <x:c r="E69" s="3" t="n">
        <x:f>E67-E68</x:f>
        <x:v>105470.13</x:v>
      </x:c>
      <x:c r="F69" s="3" t="n">
        <x:f>F67-F68</x:f>
        <x:v>176285.03000000003</x:v>
      </x:c>
      <x:c r="G69" s="3" t="n">
        <x:f>G67-G68</x:f>
        <x:v>141373.13000000003</x:v>
      </x:c>
      <x:c r="H69" s="3" t="n">
        <x:f>H67-H68</x:f>
        <x:v>195686.94</x:v>
      </x:c>
      <x:c r="I69" s="3" t="n">
        <x:f>I67-I68</x:f>
        <x:v>292237.9199999999</x:v>
      </x:c>
      <x:c r="J69" s="3" t="n">
        <x:f>J67-J68</x:f>
        <x:v>111481.27999999997</x:v>
      </x:c>
      <x:c r="K69" s="3" t="n">
        <x:f>K67-K68</x:f>
        <x:v>176419.52999999997</x:v>
      </x:c>
      <x:c r="L69" s="3" t="n">
        <x:f>L67-L68</x:f>
        <x:v>118966.08999999998</x:v>
      </x:c>
      <x:c r="M69" s="3" t="n">
        <x:f>M67-M68</x:f>
        <x:v>234158.27999999997</x:v>
      </x:c>
      <x:c r="N69" s="3" t="n">
        <x:f>N67-N68</x:f>
        <x:v>217731.25</x:v>
      </x:c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所得税率（演示假设）</x:v>
      </x:c>
      <x:c r="C200" s="4" t="n">
        <x:v>0.20367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  <x:mergeCell ref="C2:E2"/>
    <x:mergeCell ref="F2:H2"/>
    <x:mergeCell ref="A27:H27"/>
    <x:mergeCell ref="A2:A3"/>
    <x:mergeCell ref="B2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资 产 负 债 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资产</x:v>
      </x:c>
      <x:c r="B2" s="2" t="str">
        <x:v>行次</x:v>
      </x:c>
      <x:c r="C2" s="3" t="str">
        <x:v>年初数</x:v>
      </x:c>
      <x:c r="D2" s="3" t="str">
        <x:v>期末数</x:v>
      </x:c>
      <x:c r="E2" s="3" t="str">
        <x:v>负债和所有者权益        (或股东权益)</x:v>
      </x:c>
      <x:c r="F2" s="3" t="str">
        <x:v>行次</x:v>
      </x:c>
      <x:c r="G2" s="3" t="str">
        <x:v>全年预算基础</x:v>
      </x:c>
      <x:c r="H2" s="3" t="str">
        <x:v>非本次输入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流动资产：</x:v>
      </x:c>
      <x:c r="B3" s="2"/>
      <x:c r="C3" s="6" t="str">
        <x:v>全年预算基础</x:v>
      </x:c>
      <x:c r="D3" s="6" t="str">
        <x:v>非本次输入</x:v>
      </x:c>
      <x:c r="E3" s="6" t="str">
        <x:v>流动负债：</x:v>
      </x:c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货币资金</x:v>
      </x:c>
      <x:c r="B4" s="2"/>
      <x:c r="C4" s="3" t="n">
        <x:f>N61</x:f>
        <x:v>2276624.3200000003</x:v>
      </x:c>
      <x:c r="D4" s="3"/>
      <x:c r="E4" s="3" t="str">
        <x:v>短期借款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短期投资</x:v>
      </x:c>
      <x:c r="B5" s="2"/>
      <x:c r="C5" s="3"/>
      <x:c r="D5" s="3"/>
      <x:c r="E5" s="3" t="str">
        <x:v>应付票据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应收票据</x:v>
      </x:c>
      <x:c r="B6" s="2"/>
      <x:c r="C6" s="3"/>
      <x:c r="D6" s="3"/>
      <x:c r="E6" s="3" t="str">
        <x:v>应付账款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应收股利</x:v>
      </x:c>
      <x:c r="B7" s="2"/>
      <x:c r="C7" s="3"/>
      <x:c r="D7" s="3"/>
      <x:c r="E7" s="3" t="str">
        <x:v>预收账款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应收利息</x:v>
      </x:c>
      <x:c r="B8" s="2"/>
      <x:c r="C8" s="3"/>
      <x:c r="D8" s="3"/>
      <x:c r="E8" s="3" t="str">
        <x:v>应付工资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应收账款</x:v>
      </x:c>
      <x:c r="B9" s="2"/>
      <x:c r="C9" s="3"/>
      <x:c r="D9" s="3"/>
      <x:c r="E9" s="3" t="str">
        <x:v>应付福利费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其他应收款</x:v>
      </x:c>
      <x:c r="B10" s="2"/>
      <x:c r="C10" s="3"/>
      <x:c r="D10" s="3"/>
      <x:c r="E10" s="3" t="str">
        <x:v>应付利息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预付账款</x:v>
      </x:c>
      <x:c r="B11" s="2"/>
      <x:c r="C11" s="3"/>
      <x:c r="D11" s="3"/>
      <x:c r="E11" s="3" t="str">
        <x:v>应交税金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应收补贴款</x:v>
      </x:c>
      <x:c r="B12" s="2"/>
      <x:c r="C12" s="3"/>
      <x:c r="D12" s="3"/>
      <x:c r="E12" s="3" t="str">
        <x:v>其他应交款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存货</x:v>
      </x:c>
      <x:c r="B13" s="2"/>
      <x:c r="C13" s="3"/>
      <x:c r="D13" s="3"/>
      <x:c r="E13" s="3" t="str">
        <x:v>其他应付款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待摊费用</x:v>
      </x:c>
      <x:c r="B14" s="2"/>
      <x:c r="C14" s="3"/>
      <x:c r="D14" s="3"/>
      <x:c r="E14" s="3" t="str">
        <x:v>预提费用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一年内到期的长期债券投资</x:v>
      </x:c>
      <x:c r="B15" s="2"/>
      <x:c r="C15" s="3"/>
      <x:c r="D15" s="3"/>
      <x:c r="E15" s="3" t="str">
        <x:v>预计负债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其他流动资产</x:v>
      </x:c>
      <x:c r="B16" s="2"/>
      <x:c r="C16" s="3"/>
      <x:c r="D16" s="3"/>
      <x:c r="E16" s="3" t="str">
        <x:v>一年内到期的长期负债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 t="str">
        <x:v>流动资产合计</x:v>
      </x:c>
      <x:c r="B17" s="2"/>
      <x:c r="C17" s="3"/>
      <x:c r="D17" s="3"/>
      <x:c r="E17" s="3" t="str">
        <x:v>其他流动负债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 t="str">
        <x:v>长期资产：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长期股权投资</x:v>
      </x:c>
      <x:c r="B19" s="2"/>
      <x:c r="C19" s="3"/>
      <x:c r="D19" s="3"/>
      <x:c r="E19" s="3" t="str">
        <x:v>流动负债合计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长期债券投资</x:v>
      </x:c>
      <x:c r="B20" s="2"/>
      <x:c r="C20" s="3"/>
      <x:c r="D20" s="3"/>
      <x:c r="E20" s="3" t="str">
        <x:v>长期负债：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长期投资合计</x:v>
      </x:c>
      <x:c r="B21" s="2"/>
      <x:c r="C21" s="3"/>
      <x:c r="D21" s="3"/>
      <x:c r="E21" s="3" t="str">
        <x:v>长期借款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固定资产：</x:v>
      </x:c>
      <x:c r="B22" s="2"/>
      <x:c r="C22" s="3"/>
      <x:c r="D22" s="3"/>
      <x:c r="E22" s="3" t="str">
        <x:v>应付债券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固定资产原价</x:v>
      </x:c>
      <x:c r="B23" s="2"/>
      <x:c r="C23" s="3"/>
      <x:c r="D23" s="3"/>
      <x:c r="E23" s="3" t="str">
        <x:v>长期应付款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减：累计折旧</x:v>
      </x:c>
      <x:c r="B24" s="2"/>
      <x:c r="C24" s="3"/>
      <x:c r="D24" s="3"/>
      <x:c r="E24" s="3" t="str">
        <x:v>专项应付款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固定资产净值</x:v>
      </x:c>
      <x:c r="B25" s="2"/>
      <x:c r="C25" s="3"/>
      <x:c r="D25" s="3"/>
      <x:c r="E25" s="3" t="str">
        <x:v>其他长期负债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减：固定资产减值准备</x:v>
      </x:c>
      <x:c r="B26" s="2"/>
      <x:c r="C26" s="3"/>
      <x:c r="D26" s="3"/>
      <x:c r="E26" s="3" t="str">
        <x:v>长期负债合计</x:v>
      </x:c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固定资产净额</x:v>
      </x:c>
      <x:c r="B27" s="2"/>
      <x:c r="C27" s="3"/>
      <x:c r="D27" s="3"/>
      <x:c r="E27" s="3" t="str">
        <x:v>递延税项：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工程物资</x:v>
      </x:c>
      <x:c r="B28" s="2"/>
      <x:c r="C28" s="3"/>
      <x:c r="D28" s="3"/>
      <x:c r="E28" s="3" t="str">
        <x:v>递延税款贷项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在建工程</x:v>
      </x:c>
      <x:c r="B29" s="2"/>
      <x:c r="C29" s="3"/>
      <x:c r="D29" s="3"/>
      <x:c r="E29" s="3" t="str">
        <x:v>负债合计</x:v>
      </x:c>
      <x:c r="F29" s="3"/>
      <x:c r="G29" s="3" t="n">
        <x:f>N64</x:f>
        <x:v>0</x:v>
      </x:c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固定资产清理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固定资产合计</x:v>
      </x:c>
      <x:c r="B31" s="2"/>
      <x:c r="C31" s="3"/>
      <x:c r="D31" s="3"/>
      <x:c r="E31" s="3" t="str">
        <x:v>所有者权益(或股东权益)：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无形资产及其他资产：</x:v>
      </x:c>
      <x:c r="B32" s="2"/>
      <x:c r="C32" s="3"/>
      <x:c r="D32" s="3"/>
      <x:c r="E32" s="3" t="str">
        <x:v>实收资本(或股本)</x:v>
      </x:c>
      <x:c r="F32" s="3"/>
      <x:c r="G32" s="3" t="n">
        <x:f>N65</x:f>
        <x:v>217354.97999999998</x:v>
      </x:c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无形资产</x:v>
      </x:c>
      <x:c r="B33" s="2"/>
      <x:c r="C33" s="3"/>
      <x:c r="D33" s="3"/>
      <x:c r="E33" s="3" t="str">
        <x:v>减：已归还投资</x:v>
      </x:c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长期待摊费用</x:v>
      </x:c>
      <x:c r="B34" s="2"/>
      <x:c r="C34" s="3" t="n">
        <x:f>N62</x:f>
        <x:v>73534.81999999999</x:v>
      </x:c>
      <x:c r="D34" s="3"/>
      <x:c r="E34" s="3" t="str">
        <x:v>实收资本(或股本)净额</x:v>
      </x:c>
      <x:c r="F34" s="3"/>
      <x:c r="G34" s="3" t="n">
        <x:f>N65</x:f>
        <x:v>217354.97999999998</x:v>
      </x:c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其他长期资产</x:v>
      </x:c>
      <x:c r="B35" s="2"/>
      <x:c r="C35" s="3"/>
      <x:c r="D35" s="3"/>
      <x:c r="E35" s="3" t="str">
        <x:v>资本公积</x:v>
      </x:c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无形资产及其他资产合计</x:v>
      </x:c>
      <x:c r="B36" s="2"/>
      <x:c r="C36" s="3"/>
      <x:c r="D36" s="3"/>
      <x:c r="E36" s="3" t="str">
        <x:v>盈余公积</x:v>
      </x:c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 t="str">
        <x:v>其中：法定公益金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递延税款：</x:v>
      </x:c>
      <x:c r="B38" s="2"/>
      <x:c r="C38" s="3"/>
      <x:c r="D38" s="3"/>
      <x:c r="E38" s="3" t="str">
        <x:v>未分配利润</x:v>
      </x:c>
      <x:c r="F38" s="3"/>
      <x:c r="G38" s="3" t="n">
        <x:f>N66</x:f>
        <x:v>2132804.16</x:v>
      </x:c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递延税款借项</x:v>
      </x:c>
      <x:c r="B39" s="2"/>
      <x:c r="C39" s="3"/>
      <x:c r="D39" s="3"/>
      <x:c r="E39" s="3" t="str">
        <x:v>所有者权益(或股东权益)合计</x:v>
      </x:c>
      <x:c r="F39" s="3"/>
      <x:c r="G39" s="3" t="n">
        <x:f>N67</x:f>
        <x:v>2350159.14</x:v>
      </x:c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资产总计</x:v>
      </x:c>
      <x:c r="B40" s="2"/>
      <x:c r="C40" s="3" t="n">
        <x:f>N63</x:f>
        <x:v>2350159.14</x:v>
      </x:c>
      <x:c r="D40" s="3"/>
      <x:c r="E40" s="3" t="str">
        <x:v>负债和所有者权益(或股东权益)总计</x:v>
      </x:c>
      <x:c r="F40" s="3"/>
      <x:c r="G40" s="3" t="n">
        <x:f>N68</x:f>
        <x:v>2350159.14</x:v>
      </x:c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货币资金</x:v>
      </x:c>
      <x:c r="C61" s="3" t="n">
        <x:f>'现金流量表'!C68</x:f>
        <x:v>292876.18999999994</x:v>
      </x:c>
      <x:c r="D61" s="3" t="n">
        <x:f>'现金流量表'!D68</x:f>
        <x:v>485804.83999999997</x:v>
      </x:c>
      <x:c r="E61" s="3" t="n">
        <x:f>'现金流量表'!E68</x:f>
        <x:v>593375.96</x:v>
      </x:c>
      <x:c r="F61" s="3" t="n">
        <x:f>'现金流量表'!F68</x:f>
        <x:v>771761.98</x:v>
      </x:c>
      <x:c r="G61" s="3" t="n">
        <x:f>'现金流量表'!G68</x:f>
        <x:v>915236.1</x:v>
      </x:c>
      <x:c r="H61" s="3" t="n">
        <x:f>'现金流量表'!H68</x:f>
        <x:v>1113024.03</x:v>
      </x:c>
      <x:c r="I61" s="3" t="n">
        <x:f>'现金流量表'!I68</x:f>
        <x:v>1407362.94</x:v>
      </x:c>
      <x:c r="J61" s="3" t="n">
        <x:f>'现金流量表'!J68</x:f>
        <x:v>1520945.21</x:v>
      </x:c>
      <x:c r="K61" s="3" t="n">
        <x:f>'现金流量表'!K68</x:f>
        <x:v>1699465.73</x:v>
      </x:c>
      <x:c r="L61" s="3" t="n">
        <x:f>'现金流量表'!L68</x:f>
        <x:v>1820532.81</x:v>
      </x:c>
      <x:c r="M61" s="3" t="n">
        <x:f>'现金流量表'!M68</x:f>
        <x:v>2056792.08</x:v>
      </x:c>
      <x:c r="N61" s="3" t="n">
        <x:f>'现金流量表'!N68</x:f>
        <x:v>2276624.3200000003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未摊销资产</x:v>
      </x:c>
      <x:c r="C62" s="3" t="n">
        <x:f>'摊销明细'!$C$31-SUM('现金流量表'!$C62:C62)</x:f>
        <x:v>96645.70999999999</x:v>
      </x:c>
      <x:c r="D62" s="3" t="n">
        <x:f>'摊销明细'!$C$31-SUM('现金流量表'!$C62:D62)</x:f>
        <x:v>94544.72</x:v>
      </x:c>
      <x:c r="E62" s="3" t="n">
        <x:f>'摊销明细'!$C$31-SUM('现金流量表'!$C62:E62)</x:f>
        <x:v>92443.73</x:v>
      </x:c>
      <x:c r="F62" s="3" t="n">
        <x:f>'摊销明细'!$C$31-SUM('现金流量表'!$C62:F62)</x:f>
        <x:v>90342.73999999999</x:v>
      </x:c>
      <x:c r="G62" s="3" t="n">
        <x:f>'摊销明细'!$C$31-SUM('现金流量表'!$C62:G62)</x:f>
        <x:v>88241.75</x:v>
      </x:c>
      <x:c r="H62" s="3" t="n">
        <x:f>'摊销明细'!$C$31-SUM('现金流量表'!$C62:H62)</x:f>
        <x:v>86140.76</x:v>
      </x:c>
      <x:c r="I62" s="3" t="n">
        <x:f>'摊销明细'!$C$31-SUM('现金流量表'!$C62:I62)</x:f>
        <x:v>84039.76999999999</x:v>
      </x:c>
      <x:c r="J62" s="3" t="n">
        <x:f>'摊销明细'!$C$31-SUM('现金流量表'!$C62:J62)</x:f>
        <x:v>81938.78</x:v>
      </x:c>
      <x:c r="K62" s="3" t="n">
        <x:f>'摊销明细'!$C$31-SUM('现金流量表'!$C62:K62)</x:f>
        <x:v>79837.79</x:v>
      </x:c>
      <x:c r="L62" s="3" t="n">
        <x:f>'摊销明细'!$C$31-SUM('现金流量表'!$C62:L62)</x:f>
        <x:v>77736.79999999999</x:v>
      </x:c>
      <x:c r="M62" s="3" t="n">
        <x:f>'摊销明细'!$C$31-SUM('现金流量表'!$C62:M62)</x:f>
        <x:v>75635.81</x:v>
      </x:c>
      <x:c r="N62" s="3" t="n">
        <x:f>'摊销明细'!$C$31-SUM('现金流量表'!$C62:N62)</x:f>
        <x:v>73534.81999999999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资产总额</x:v>
      </x:c>
      <x:c r="C63" s="3" t="n">
        <x:f>SUM(C61:C62)</x:f>
        <x:v>389521.8999999999</x:v>
      </x:c>
      <x:c r="D63" s="3" t="n">
        <x:f>SUM(D61:D62)</x:f>
        <x:v>580349.5599999999</x:v>
      </x:c>
      <x:c r="E63" s="3" t="n">
        <x:f>SUM(E61:E62)</x:f>
        <x:v>685819.69</x:v>
      </x:c>
      <x:c r="F63" s="3" t="n">
        <x:f>SUM(F61:F62)</x:f>
        <x:v>862104.72</x:v>
      </x:c>
      <x:c r="G63" s="3" t="n">
        <x:f>SUM(G61:G62)</x:f>
        <x:v>1003477.85</x:v>
      </x:c>
      <x:c r="H63" s="3" t="n">
        <x:f>SUM(H61:H62)</x:f>
        <x:v>1199164.79</x:v>
      </x:c>
      <x:c r="I63" s="3" t="n">
        <x:f>SUM(I61:I62)</x:f>
        <x:v>1491402.71</x:v>
      </x:c>
      <x:c r="J63" s="3" t="n">
        <x:f>SUM(J61:J62)</x:f>
        <x:v>1602883.99</x:v>
      </x:c>
      <x:c r="K63" s="3" t="n">
        <x:f>SUM(K61:K62)</x:f>
        <x:v>1779303.52</x:v>
      </x:c>
      <x:c r="L63" s="3" t="n">
        <x:f>SUM(L61:L62)</x:f>
        <x:v>1898269.61</x:v>
      </x:c>
      <x:c r="M63" s="3" t="n">
        <x:f>SUM(M61:M62)</x:f>
        <x:v>2132427.89</x:v>
      </x:c>
      <x:c r="N63" s="3" t="n">
        <x:f>SUM(N61:N62)</x:f>
        <x:v>2350159.14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负债总额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实收资本</x:v>
      </x:c>
      <x:c r="C65" s="3" t="n">
        <x:f>$C$200+'摊销明细'!$C$31</x:f>
        <x:v>217354.97999999998</x:v>
      </x:c>
      <x:c r="D65" s="3" t="n">
        <x:f>$C$200+'摊销明细'!$C$31</x:f>
        <x:v>217354.97999999998</x:v>
      </x:c>
      <x:c r="E65" s="3" t="n">
        <x:f>$C$200+'摊销明细'!$C$31</x:f>
        <x:v>217354.97999999998</x:v>
      </x:c>
      <x:c r="F65" s="3" t="n">
        <x:f>$C$200+'摊销明细'!$C$31</x:f>
        <x:v>217354.97999999998</x:v>
      </x:c>
      <x:c r="G65" s="3" t="n">
        <x:f>$C$200+'摊销明细'!$C$31</x:f>
        <x:v>217354.97999999998</x:v>
      </x:c>
      <x:c r="H65" s="3" t="n">
        <x:f>$C$200+'摊销明细'!$C$31</x:f>
        <x:v>217354.97999999998</x:v>
      </x:c>
      <x:c r="I65" s="3" t="n">
        <x:f>$C$200+'摊销明细'!$C$31</x:f>
        <x:v>217354.97999999998</x:v>
      </x:c>
      <x:c r="J65" s="3" t="n">
        <x:f>$C$200+'摊销明细'!$C$31</x:f>
        <x:v>217354.97999999998</x:v>
      </x:c>
      <x:c r="K65" s="3" t="n">
        <x:f>$C$200+'摊销明细'!$C$31</x:f>
        <x:v>217354.97999999998</x:v>
      </x:c>
      <x:c r="L65" s="3" t="n">
        <x:f>$C$200+'摊销明细'!$C$31</x:f>
        <x:v>217354.97999999998</x:v>
      </x:c>
      <x:c r="M65" s="3" t="n">
        <x:f>$C$200+'摊销明细'!$C$31</x:f>
        <x:v>217354.97999999998</x:v>
      </x:c>
      <x:c r="N65" s="3" t="n">
        <x:f>$C$200+'摊销明细'!$C$31</x:f>
        <x:v>217354.97999999998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累计未分配利润</x:v>
      </x:c>
      <x:c r="C66" s="3" t="n">
        <x:f>SUM('利润表'!$C69:C69)</x:f>
        <x:v>172166.91999999998</x:v>
      </x:c>
      <x:c r="D66" s="3" t="n">
        <x:f>SUM('利润表'!$C69:D69)</x:f>
        <x:v>362994.58</x:v>
      </x:c>
      <x:c r="E66" s="3" t="n">
        <x:f>SUM('利润表'!$C69:E69)</x:f>
        <x:v>468464.71</x:v>
      </x:c>
      <x:c r="F66" s="3" t="n">
        <x:f>SUM('利润表'!$C69:F69)</x:f>
        <x:v>644749.74</x:v>
      </x:c>
      <x:c r="G66" s="3" t="n">
        <x:f>SUM('利润表'!$C69:G69)</x:f>
        <x:v>786122.87</x:v>
      </x:c>
      <x:c r="H66" s="3" t="n">
        <x:f>SUM('利润表'!$C69:H69)</x:f>
        <x:v>981809.81</x:v>
      </x:c>
      <x:c r="I66" s="3" t="n">
        <x:f>SUM('利润表'!$C69:I69)</x:f>
        <x:v>1274047.73</x:v>
      </x:c>
      <x:c r="J66" s="3" t="n">
        <x:f>SUM('利润表'!$C69:J69)</x:f>
        <x:v>1385529.01</x:v>
      </x:c>
      <x:c r="K66" s="3" t="n">
        <x:f>SUM('利润表'!$C69:K69)</x:f>
        <x:v>1561948.54</x:v>
      </x:c>
      <x:c r="L66" s="3" t="n">
        <x:f>SUM('利润表'!$C69:L69)</x:f>
        <x:v>1680914.6300000001</x:v>
      </x:c>
      <x:c r="M66" s="3" t="n">
        <x:f>SUM('利润表'!$C69:M69)</x:f>
        <x:v>1915072.9100000001</x:v>
      </x:c>
      <x:c r="N66" s="3" t="n">
        <x:f>SUM('利润表'!$C69:N69)</x:f>
        <x:v>2132804.16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所有者权益</x:v>
      </x:c>
      <x:c r="C67" s="3" t="n">
        <x:f>SUM(C65:C66)</x:f>
        <x:v>389521.89999999997</x:v>
      </x:c>
      <x:c r="D67" s="3" t="n">
        <x:f>SUM(D65:D66)</x:f>
        <x:v>580349.56</x:v>
      </x:c>
      <x:c r="E67" s="3" t="n">
        <x:f>SUM(E65:E66)</x:f>
        <x:v>685819.69</x:v>
      </x:c>
      <x:c r="F67" s="3" t="n">
        <x:f>SUM(F65:F66)</x:f>
        <x:v>862104.72</x:v>
      </x:c>
      <x:c r="G67" s="3" t="n">
        <x:f>SUM(G65:G66)</x:f>
        <x:v>1003477.85</x:v>
      </x:c>
      <x:c r="H67" s="3" t="n">
        <x:f>SUM(H65:H66)</x:f>
        <x:v>1199164.79</x:v>
      </x:c>
      <x:c r="I67" s="3" t="n">
        <x:f>SUM(I65:I66)</x:f>
        <x:v>1491402.71</x:v>
      </x:c>
      <x:c r="J67" s="3" t="n">
        <x:f>SUM(J65:J66)</x:f>
        <x:v>1602883.99</x:v>
      </x:c>
      <x:c r="K67" s="3" t="n">
        <x:f>SUM(K65:K66)</x:f>
        <x:v>1779303.52</x:v>
      </x:c>
      <x:c r="L67" s="3" t="n">
        <x:f>SUM(L65:L66)</x:f>
        <x:v>1898269.61</x:v>
      </x:c>
      <x:c r="M67" s="3" t="n">
        <x:f>SUM(M65:M66)</x:f>
        <x:v>2132427.89</x:v>
      </x:c>
      <x:c r="N67" s="3" t="n">
        <x:f>SUM(N65:N66)</x:f>
        <x:v>2350159.14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负债及权益合计</x:v>
      </x:c>
      <x:c r="C68" s="3" t="n">
        <x:f>SUM(C64,C67)</x:f>
        <x:v>389521.89999999997</x:v>
      </x:c>
      <x:c r="D68" s="3" t="n">
        <x:f>SUM(D64,D67)</x:f>
        <x:v>580349.56</x:v>
      </x:c>
      <x:c r="E68" s="3" t="n">
        <x:f>SUM(E64,E67)</x:f>
        <x:v>685819.69</x:v>
      </x:c>
      <x:c r="F68" s="3" t="n">
        <x:f>SUM(F64,F67)</x:f>
        <x:v>862104.72</x:v>
      </x:c>
      <x:c r="G68" s="3" t="n">
        <x:f>SUM(G64,G67)</x:f>
        <x:v>1003477.85</x:v>
      </x:c>
      <x:c r="H68" s="3" t="n">
        <x:f>SUM(H64,H67)</x:f>
        <x:v>1199164.79</x:v>
      </x:c>
      <x:c r="I68" s="3" t="n">
        <x:f>SUM(I64,I67)</x:f>
        <x:v>1491402.71</x:v>
      </x:c>
      <x:c r="J68" s="3" t="n">
        <x:f>SUM(J64,J67)</x:f>
        <x:v>1602883.99</x:v>
      </x:c>
      <x:c r="K68" s="3" t="n">
        <x:f>SUM(K64,K67)</x:f>
        <x:v>1779303.52</x:v>
      </x:c>
      <x:c r="L68" s="3" t="n">
        <x:f>SUM(L64,L67)</x:f>
        <x:v>1898269.61</x:v>
      </x:c>
      <x:c r="M68" s="3" t="n">
        <x:f>SUM(M64,M67)</x:f>
        <x:v>2132427.89</x:v>
      </x:c>
      <x:c r="N68" s="3" t="n">
        <x:f>SUM(N64,N67)</x:f>
        <x:v>2350159.14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期初现金（投入资本）</x:v>
      </x:c>
      <x:c r="C200" s="4" t="n">
        <x:v>118608.28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现金流量表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 目</x:v>
      </x:c>
      <x:c r="B2" s="2" t="str">
        <x:v>行次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一、经营活动产生的现金流量：</x:v>
      </x:c>
      <x:c r="B3" s="2"/>
      <x:c r="C3" s="6" t="str">
        <x:v>全年预算基础</x:v>
      </x:c>
      <x:c r="D3" s="6" t="str">
        <x:v>非本次输入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销售商品、提供劳务收到的现金</x:v>
      </x:c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收到的税费返还</x:v>
      </x:c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收到其他与经营活动有关的现金</x:v>
      </x:c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经营活动现金流入小计</x:v>
      </x:c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购买商品、接受劳务支付的现金（04）</x:v>
      </x:c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支付给职工以及为职工支付的现金（05）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支付的各项税费（06）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支付其他与经营活动有关的现金（07）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经营活动现金流出小计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经营活动产生的现金流量净额</x:v>
      </x:c>
      <x:c r="B13" s="2"/>
      <x:c r="C13" s="3" t="n">
        <x:f>SUM(C63:N63)</x:f>
        <x:v>2158016.04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二、投资活动产生的现金流量：</x:v>
      </x:c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收回投资收到的现金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取得投资收益收到的现金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 t="str">
        <x:v>处置固定资产、无形资产和其他长期资产收回的现金净额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 t="str">
        <x:v>处置子公司及其他营业单位收到的现金净额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收到其他与投资活动有关的现金</x:v>
      </x:c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投资活动现金流入小计</x:v>
      </x:c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购建固定资产、无形资产和其他长期资产支付的现金（13）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投资支付的现金（14）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取得子公司及其他营业单位支付的现金净额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支付其他与投资活动有关的现金</x:v>
      </x:c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投资活动现金流出小计</x:v>
      </x:c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投资活动产生的现金流量净额</x:v>
      </x:c>
      <x:c r="B26" s="2"/>
      <x:c r="C26" s="3" t="n">
        <x:f>SUM(C64:N64)</x:f>
        <x:v>0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三、筹资活动产生的现金流量：</x:v>
      </x:c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吸收投资收到的现金</x:v>
      </x:c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取得借款收到的现金</x:v>
      </x:c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收到其他与筹资活动有关的现金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筹资活动现金流入小计</x:v>
      </x:c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偿还债务支付的现金</x:v>
      </x:c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分配股利、利润或偿付利息支付的现金</x:v>
      </x:c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支付其他与筹资活动有关的现金</x:v>
      </x:c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筹资活动现金流出小计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筹资活动产生的现金流量净额</x:v>
      </x:c>
      <x:c r="B36" s="2"/>
      <x:c r="C36" s="3" t="n">
        <x:f>SUM(C65:N65)</x:f>
        <x:v>0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 t="str">
        <x:v>四、汇率变动对现金及现金等价物的影响</x:v>
      </x:c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五、现金及现金等价物净增加额</x:v>
      </x:c>
      <x:c r="B38" s="2"/>
      <x:c r="C38" s="3" t="n">
        <x:f>SUM(C66:N66)</x:f>
        <x:v>2158016.04</x:v>
      </x:c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加：期初现金及现金等价物余额</x:v>
      </x:c>
      <x:c r="B39" s="2"/>
      <x:c r="C39" s="3" t="n">
        <x:f>C67</x:f>
        <x:v>118608.28</x:v>
      </x:c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六、期末现金及现金等价物余额</x:v>
      </x:c>
      <x:c r="B40" s="2"/>
      <x:c r="C40" s="3" t="n">
        <x:f>N68</x:f>
        <x:v>2276624.3200000003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净利润</x:v>
      </x:c>
      <x:c r="C61" s="3" t="n">
        <x:f>'利润表'!C69</x:f>
        <x:v>172166.91999999998</x:v>
      </x:c>
      <x:c r="D61" s="3" t="n">
        <x:f>'利润表'!D69</x:f>
        <x:v>190827.66000000003</x:v>
      </x:c>
      <x:c r="E61" s="3" t="n">
        <x:f>'利润表'!E69</x:f>
        <x:v>105470.13</x:v>
      </x:c>
      <x:c r="F61" s="3" t="n">
        <x:f>'利润表'!F69</x:f>
        <x:v>176285.03000000003</x:v>
      </x:c>
      <x:c r="G61" s="3" t="n">
        <x:f>'利润表'!G69</x:f>
        <x:v>141373.13000000003</x:v>
      </x:c>
      <x:c r="H61" s="3" t="n">
        <x:f>'利润表'!H69</x:f>
        <x:v>195686.94</x:v>
      </x:c>
      <x:c r="I61" s="3" t="n">
        <x:f>'利润表'!I69</x:f>
        <x:v>292237.9199999999</x:v>
      </x:c>
      <x:c r="J61" s="3" t="n">
        <x:f>'利润表'!J69</x:f>
        <x:v>111481.27999999997</x:v>
      </x:c>
      <x:c r="K61" s="3" t="n">
        <x:f>'利润表'!K69</x:f>
        <x:v>176419.52999999997</x:v>
      </x:c>
      <x:c r="L61" s="3" t="n">
        <x:f>'利润表'!L69</x:f>
        <x:v>118966.08999999998</x:v>
      </x:c>
      <x:c r="M61" s="3" t="n">
        <x:f>'利润表'!M69</x:f>
        <x:v>234158.27999999997</x:v>
      </x:c>
      <x:c r="N61" s="3" t="n">
        <x:f>'利润表'!N69</x:f>
        <x:v>217731.25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折旧摊销加回</x:v>
      </x:c>
      <x:c r="C62" s="3" t="n">
        <x:f>'销售费用'!C20+'管理费用'!C20+'蓝恐龙费用'!C20</x:f>
        <x:v>2100.9900000000002</x:v>
      </x:c>
      <x:c r="D62" s="3" t="n">
        <x:f>'销售费用'!D20+'管理费用'!D20+'蓝恐龙费用'!D20</x:f>
        <x:v>2100.9900000000002</x:v>
      </x:c>
      <x:c r="E62" s="3" t="n">
        <x:f>'销售费用'!E20+'管理费用'!E20+'蓝恐龙费用'!E20</x:f>
        <x:v>2100.9900000000002</x:v>
      </x:c>
      <x:c r="F62" s="3" t="n">
        <x:f>'销售费用'!F20+'管理费用'!F20+'蓝恐龙费用'!F20</x:f>
        <x:v>2100.9900000000002</x:v>
      </x:c>
      <x:c r="G62" s="3" t="n">
        <x:f>'销售费用'!G20+'管理费用'!G20+'蓝恐龙费用'!G20</x:f>
        <x:v>2100.9900000000002</x:v>
      </x:c>
      <x:c r="H62" s="3" t="n">
        <x:f>'销售费用'!H20+'管理费用'!H20+'蓝恐龙费用'!H20</x:f>
        <x:v>2100.9900000000002</x:v>
      </x:c>
      <x:c r="I62" s="3" t="n">
        <x:f>'销售费用'!I20+'管理费用'!I20+'蓝恐龙费用'!I20</x:f>
        <x:v>2100.9900000000002</x:v>
      </x:c>
      <x:c r="J62" s="3" t="n">
        <x:f>'销售费用'!J20+'管理费用'!J20+'蓝恐龙费用'!J20</x:f>
        <x:v>2100.9900000000002</x:v>
      </x:c>
      <x:c r="K62" s="3" t="n">
        <x:f>'销售费用'!K20+'管理费用'!K20+'蓝恐龙费用'!K20</x:f>
        <x:v>2100.9900000000002</x:v>
      </x:c>
      <x:c r="L62" s="3" t="n">
        <x:f>'销售费用'!L20+'管理费用'!L20+'蓝恐龙费用'!L20</x:f>
        <x:v>2100.9900000000002</x:v>
      </x:c>
      <x:c r="M62" s="3" t="n">
        <x:f>'销售费用'!M20+'管理费用'!M20+'蓝恐龙费用'!M20</x:f>
        <x:v>2100.9900000000002</x:v>
      </x:c>
      <x:c r="N62" s="3" t="n">
        <x:f>'销售费用'!N20+'管理费用'!N20+'蓝恐龙费用'!N20</x:f>
        <x:v>2100.9900000000002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经营现金净流量</x:v>
      </x:c>
      <x:c r="C63" s="3" t="n">
        <x:f>SUM(C61:C62)</x:f>
        <x:v>174267.90999999997</x:v>
      </x:c>
      <x:c r="D63" s="3" t="n">
        <x:f>SUM(D61:D62)</x:f>
        <x:v>192928.65000000002</x:v>
      </x:c>
      <x:c r="E63" s="3" t="n">
        <x:f>SUM(E61:E62)</x:f>
        <x:v>107571.12000000001</x:v>
      </x:c>
      <x:c r="F63" s="3" t="n">
        <x:f>SUM(F61:F62)</x:f>
        <x:v>178386.02000000002</x:v>
      </x:c>
      <x:c r="G63" s="3" t="n">
        <x:f>SUM(G61:G62)</x:f>
        <x:v>143474.12000000002</x:v>
      </x:c>
      <x:c r="H63" s="3" t="n">
        <x:f>SUM(H61:H62)</x:f>
        <x:v>197787.93</x:v>
      </x:c>
      <x:c r="I63" s="3" t="n">
        <x:f>SUM(I61:I62)</x:f>
        <x:v>294338.9099999999</x:v>
      </x:c>
      <x:c r="J63" s="3" t="n">
        <x:f>SUM(J61:J62)</x:f>
        <x:v>113582.26999999997</x:v>
      </x:c>
      <x:c r="K63" s="3" t="n">
        <x:f>SUM(K61:K62)</x:f>
        <x:v>178520.51999999996</x:v>
      </x:c>
      <x:c r="L63" s="3" t="n">
        <x:f>SUM(L61:L62)</x:f>
        <x:v>121067.07999999999</x:v>
      </x:c>
      <x:c r="M63" s="3" t="n">
        <x:f>SUM(M61:M62)</x:f>
        <x:v>236259.26999999996</x:v>
      </x:c>
      <x:c r="N63" s="3" t="n">
        <x:f>SUM(N61:N62)</x:f>
        <x:v>219832.24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投资现金净流量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筹资现金净流量</x:v>
      </x:c>
      <x:c r="C65" s="3" t="n">
        <x:f>0</x:f>
        <x:v>0</x:v>
      </x:c>
      <x:c r="D65" s="3" t="n">
        <x:f>0</x:f>
        <x:v>0</x:v>
      </x:c>
      <x:c r="E65" s="3" t="n">
        <x:f>0</x:f>
        <x:v>0</x:v>
      </x:c>
      <x:c r="F65" s="3" t="n">
        <x:f>0</x:f>
        <x:v>0</x:v>
      </x:c>
      <x:c r="G65" s="3" t="n">
        <x:f>0</x:f>
        <x:v>0</x:v>
      </x:c>
      <x:c r="H65" s="3" t="n">
        <x:f>0</x:f>
        <x:v>0</x:v>
      </x:c>
      <x:c r="I65" s="3" t="n">
        <x:f>0</x:f>
        <x:v>0</x:v>
      </x:c>
      <x:c r="J65" s="3" t="n">
        <x:f>0</x:f>
        <x:v>0</x:v>
      </x:c>
      <x:c r="K65" s="3" t="n">
        <x:f>0</x:f>
        <x:v>0</x:v>
      </x:c>
      <x:c r="L65" s="3" t="n">
        <x:f>0</x:f>
        <x:v>0</x:v>
      </x:c>
      <x:c r="M65" s="3" t="n">
        <x:f>0</x:f>
        <x:v>0</x:v>
      </x:c>
      <x:c r="N65" s="3" t="n">
        <x:f>0</x:f>
        <x:v>0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现金净增加</x:v>
      </x:c>
      <x:c r="C66" s="3" t="n">
        <x:f>SUM(C63:C65)</x:f>
        <x:v>174267.90999999997</x:v>
      </x:c>
      <x:c r="D66" s="3" t="n">
        <x:f>SUM(D63:D65)</x:f>
        <x:v>192928.65000000002</x:v>
      </x:c>
      <x:c r="E66" s="3" t="n">
        <x:f>SUM(E63:E65)</x:f>
        <x:v>107571.12000000001</x:v>
      </x:c>
      <x:c r="F66" s="3" t="n">
        <x:f>SUM(F63:F65)</x:f>
        <x:v>178386.02000000002</x:v>
      </x:c>
      <x:c r="G66" s="3" t="n">
        <x:f>SUM(G63:G65)</x:f>
        <x:v>143474.12000000002</x:v>
      </x:c>
      <x:c r="H66" s="3" t="n">
        <x:f>SUM(H63:H65)</x:f>
        <x:v>197787.93</x:v>
      </x:c>
      <x:c r="I66" s="3" t="n">
        <x:f>SUM(I63:I65)</x:f>
        <x:v>294338.9099999999</x:v>
      </x:c>
      <x:c r="J66" s="3" t="n">
        <x:f>SUM(J63:J65)</x:f>
        <x:v>113582.26999999997</x:v>
      </x:c>
      <x:c r="K66" s="3" t="n">
        <x:f>SUM(K63:K65)</x:f>
        <x:v>178520.51999999996</x:v>
      </x:c>
      <x:c r="L66" s="3" t="n">
        <x:f>SUM(L63:L65)</x:f>
        <x:v>121067.07999999999</x:v>
      </x:c>
      <x:c r="M66" s="3" t="n">
        <x:f>SUM(M63:M65)</x:f>
        <x:v>236259.26999999996</x:v>
      </x:c>
      <x:c r="N66" s="3" t="n">
        <x:f>SUM(N63:N65)</x:f>
        <x:v>219832.24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期初现金</x:v>
      </x:c>
      <x:c r="C67" s="3" t="n">
        <x:f>'资产负债表'!$C$200</x:f>
        <x:v>118608.28</x:v>
      </x:c>
      <x:c r="D67" s="3" t="n">
        <x:f>C68</x:f>
        <x:v>292876.18999999994</x:v>
      </x:c>
      <x:c r="E67" s="3" t="n">
        <x:f>D68</x:f>
        <x:v>485804.83999999997</x:v>
      </x:c>
      <x:c r="F67" s="3" t="n">
        <x:f>E68</x:f>
        <x:v>593375.96</x:v>
      </x:c>
      <x:c r="G67" s="3" t="n">
        <x:f>F68</x:f>
        <x:v>771761.98</x:v>
      </x:c>
      <x:c r="H67" s="3" t="n">
        <x:f>G68</x:f>
        <x:v>915236.1</x:v>
      </x:c>
      <x:c r="I67" s="3" t="n">
        <x:f>H68</x:f>
        <x:v>1113024.03</x:v>
      </x:c>
      <x:c r="J67" s="3" t="n">
        <x:f>I68</x:f>
        <x:v>1407362.94</x:v>
      </x:c>
      <x:c r="K67" s="3" t="n">
        <x:f>J68</x:f>
        <x:v>1520945.21</x:v>
      </x:c>
      <x:c r="L67" s="3" t="n">
        <x:f>K68</x:f>
        <x:v>1699465.73</x:v>
      </x:c>
      <x:c r="M67" s="3" t="n">
        <x:f>L68</x:f>
        <x:v>1820532.81</x:v>
      </x:c>
      <x:c r="N67" s="3" t="n">
        <x:f>M68</x:f>
        <x:v>2056792.08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期末现金</x:v>
      </x:c>
      <x:c r="C68" s="3" t="n">
        <x:f>SUM(C66:C67)</x:f>
        <x:v>292876.18999999994</x:v>
      </x:c>
      <x:c r="D68" s="3" t="n">
        <x:f>SUM(D66:D67)</x:f>
        <x:v>485804.83999999997</x:v>
      </x:c>
      <x:c r="E68" s="3" t="n">
        <x:f>SUM(E66:E67)</x:f>
        <x:v>593375.96</x:v>
      </x:c>
      <x:c r="F68" s="3" t="n">
        <x:f>SUM(F66:F67)</x:f>
        <x:v>771761.98</x:v>
      </x:c>
      <x:c r="G68" s="3" t="n">
        <x:f>SUM(G66:G67)</x:f>
        <x:v>915236.1</x:v>
      </x:c>
      <x:c r="H68" s="3" t="n">
        <x:f>SUM(H66:H67)</x:f>
        <x:v>1113024.03</x:v>
      </x:c>
      <x:c r="I68" s="3" t="n">
        <x:f>SUM(I66:I67)</x:f>
        <x:v>1407362.94</x:v>
      </x:c>
      <x:c r="J68" s="3" t="n">
        <x:f>SUM(J66:J67)</x:f>
        <x:v>1520945.21</x:v>
      </x:c>
      <x:c r="K68" s="3" t="n">
        <x:f>SUM(K66:K67)</x:f>
        <x:v>1699465.73</x:v>
      </x:c>
      <x:c r="L68" s="3" t="n">
        <x:f>SUM(L66:L67)</x:f>
        <x:v>1820532.81</x:v>
      </x:c>
      <x:c r="M68" s="3" t="n">
        <x:f>SUM(M66:M67)</x:f>
        <x:v>2056792.08</x:v>
      </x:c>
      <x:c r="N68" s="3" t="n">
        <x:f>SUM(N66:N67)</x:f>
        <x:v>2276624.3200000003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.75" hidden="0" customWidth="1"/>
    <x:col min="17" max="17" width="14.875" hidden="0" customWidth="1"/>
    <x:col min="18" max="18" width="9" hidden="0" customWidth="1"/>
    <x:col min="19" max="19" width="12.875" hidden="0" customWidth="1"/>
    <x:col min="20" max="20" width="15.75" hidden="0" customWidth="1"/>
    <x:col min="21" max="21" width="15.75" hidden="0" customWidth="1"/>
    <x:col min="22" max="22" width="18.25" hidden="0" customWidth="1"/>
    <x:col min="50" max="50" width="20" hidden="0" customWidth="1"/>
    <x:col min="51" max="51" width="65" hidden="0" customWidth="1"/>
    <x:col min="23" max="23" width="18.875" hidden="0" customWidth="1"/>
    <x:col min="24" max="24" width="11.625" hidden="0" customWidth="1"/>
    <x:col min="25" max="25" width="18.25" hidden="0" customWidth="1"/>
    <x:col min="26" max="26" width="18.25" hidden="0" customWidth="1"/>
    <x:col min="27" max="27" width="13" hidden="0" customWidth="1"/>
    <x:col min="28" max="28" width="13" hidden="0" customWidth="1"/>
    <x:col min="29" max="29" width="13.125" hidden="0" customWidth="1"/>
    <x:col min="30" max="30" width="13.125" hidden="0" customWidth="1"/>
    <x:col min="31" max="31" width="11.625" hidden="0" customWidth="1"/>
    <x:col min="32" max="32" width="11.625" hidden="0" customWidth="1"/>
    <x:col min="33" max="33" width="11.125" hidden="0" customWidth="1"/>
    <x:col min="34" max="34" width="14.6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 t="str">
        <x:v>电视剧</x:v>
      </x:c>
      <x:c r="C3" s="6"/>
      <x:c r="D3" s="6" t="str">
        <x:v>项目名称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1773.58</x:v>
      </x:c>
      <x:c r="D31" s="4" t="n">
        <x:v>1990.26</x:v>
      </x:c>
      <x:c r="E31" s="4" t="n">
        <x:v>1507.82</x:v>
      </x:c>
      <x:c r="F31" s="4" t="n">
        <x:v>2496.2</x:v>
      </x:c>
      <x:c r="G31" s="4" t="n">
        <x:v>1583.2</x:v>
      </x:c>
      <x:c r="H31" s="4" t="n">
        <x:v>1784.6</x:v>
      </x:c>
      <x:c r="I31" s="4" t="n">
        <x:v>2384.04</x:v>
      </x:c>
      <x:c r="J31" s="4" t="n">
        <x:v>1859.78</x:v>
      </x:c>
      <x:c r="K31" s="4" t="n">
        <x:v>1841.7</x:v>
      </x:c>
      <x:c r="L31" s="4" t="n">
        <x:v>1808.26</x:v>
      </x:c>
      <x:c r="M31" s="4" t="n">
        <x:v>2340.01</x:v>
      </x:c>
      <x:c r="N31" s="4" t="n">
        <x:v>1956.5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121.4</x:v>
      </x:c>
      <x:c r="D32" s="4" t="n">
        <x:v>87.63</x:v>
      </x:c>
      <x:c r="E32" s="4" t="n">
        <x:v>89.4</x:v>
      </x:c>
      <x:c r="F32" s="4" t="n">
        <x:v>94.83</x:v>
      </x:c>
      <x:c r="G32" s="4" t="n">
        <x:v>90.24</x:v>
      </x:c>
      <x:c r="H32" s="4" t="n">
        <x:v>83.79</x:v>
      </x:c>
      <x:c r="I32" s="4" t="n">
        <x:v>126.78</x:v>
      </x:c>
      <x:c r="J32" s="4" t="n">
        <x:v>89.04</x:v>
      </x:c>
      <x:c r="K32" s="4" t="n">
        <x:v>109.09</x:v>
      </x:c>
      <x:c r="L32" s="4" t="n">
        <x:v>87.99</x:v>
      </x:c>
      <x:c r="M32" s="4" t="n">
        <x:v>82.93</x:v>
      </x:c>
      <x:c r="N32" s="4" t="n">
        <x:v>88.84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215312.61</x:v>
      </x:c>
      <x:c r="D33" s="3" t="n">
        <x:f>ROUND(D31*D32,2)</x:f>
        <x:v>174406.48</x:v>
      </x:c>
      <x:c r="E33" s="3" t="n">
        <x:f>ROUND(E31*E32,2)</x:f>
        <x:v>134799.11</x:v>
      </x:c>
      <x:c r="F33" s="3" t="n">
        <x:f>ROUND(F31*F32,2)</x:f>
        <x:v>236714.65</x:v>
      </x:c>
      <x:c r="G33" s="3" t="n">
        <x:f>ROUND(G31*G32,2)</x:f>
        <x:v>142867.97</x:v>
      </x:c>
      <x:c r="H33" s="3" t="n">
        <x:f>ROUND(H31*H32,2)</x:f>
        <x:v>149531.63</x:v>
      </x:c>
      <x:c r="I33" s="3" t="n">
        <x:f>ROUND(I31*I32,2)</x:f>
        <x:v>302248.59</x:v>
      </x:c>
      <x:c r="J33" s="3" t="n">
        <x:f>ROUND(J31*J32,2)</x:f>
        <x:v>165594.81</x:v>
      </x:c>
      <x:c r="K33" s="3" t="n">
        <x:f>ROUND(K31*K32,2)</x:f>
        <x:v>200911.05</x:v>
      </x:c>
      <x:c r="L33" s="3" t="n">
        <x:f>ROUND(L31*L32,2)</x:f>
        <x:v>159108.8</x:v>
      </x:c>
      <x:c r="M33" s="3" t="n">
        <x:f>ROUND(M31*M32,2)</x:f>
        <x:v>194057.03</x:v>
      </x:c>
      <x:c r="N33" s="3" t="n">
        <x:f>ROUND(N31*N32,2)</x:f>
        <x:v>173815.46</x:v>
      </x:c>
      <x:c r="O33" s="3" t="n">
        <x:f>SUM(C33:N33)</x:f>
        <x:v>2249368.1900000004</x:v>
      </x:c>
      <x:c r="P33" s="2" t="str">
        <x:v>REV1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695.36</x:v>
      </x:c>
      <x:c r="D34" s="4" t="n">
        <x:v>716.38</x:v>
      </x:c>
      <x:c r="E34" s="4" t="n">
        <x:v>709.39</x:v>
      </x:c>
      <x:c r="F34" s="4" t="n">
        <x:v>822.9</x:v>
      </x:c>
      <x:c r="G34" s="4" t="n">
        <x:v>608.2</x:v>
      </x:c>
      <x:c r="H34" s="4" t="n">
        <x:v>805.37</x:v>
      </x:c>
      <x:c r="I34" s="4" t="n">
        <x:v>611.07</x:v>
      </x:c>
      <x:c r="J34" s="4" t="n">
        <x:v>786.65</x:v>
      </x:c>
      <x:c r="K34" s="4" t="n">
        <x:v>786.66</x:v>
      </x:c>
      <x:c r="L34" s="4" t="n">
        <x:v>770.08</x:v>
      </x:c>
      <x:c r="M34" s="4" t="n">
        <x:v>698.12</x:v>
      </x:c>
      <x:c r="N34" s="4" t="n">
        <x:v>746.76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121.4</x:v>
      </x:c>
      <x:c r="D35" s="3" t="n">
        <x:f>D32</x:f>
        <x:v>87.63</x:v>
      </x:c>
      <x:c r="E35" s="3" t="n">
        <x:f>E32</x:f>
        <x:v>89.4</x:v>
      </x:c>
      <x:c r="F35" s="3" t="n">
        <x:f>F32</x:f>
        <x:v>94.83</x:v>
      </x:c>
      <x:c r="G35" s="3" t="n">
        <x:f>G32</x:f>
        <x:v>90.24</x:v>
      </x:c>
      <x:c r="H35" s="3" t="n">
        <x:f>H32</x:f>
        <x:v>83.79</x:v>
      </x:c>
      <x:c r="I35" s="3" t="n">
        <x:f>I32</x:f>
        <x:v>126.78</x:v>
      </x:c>
      <x:c r="J35" s="3" t="n">
        <x:f>J32</x:f>
        <x:v>89.04</x:v>
      </x:c>
      <x:c r="K35" s="3" t="n">
        <x:f>K32</x:f>
        <x:v>109.09</x:v>
      </x:c>
      <x:c r="L35" s="3" t="n">
        <x:f>L32</x:f>
        <x:v>87.99</x:v>
      </x:c>
      <x:c r="M35" s="3" t="n">
        <x:f>M32</x:f>
        <x:v>82.93</x:v>
      </x:c>
      <x:c r="N35" s="3" t="n">
        <x:f>N32</x:f>
        <x:v>88.84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84416.7</x:v>
      </x:c>
      <x:c r="D36" s="3" t="n">
        <x:f>ROUND(D34*D35,2)</x:f>
        <x:v>62776.38</x:v>
      </x:c>
      <x:c r="E36" s="3" t="n">
        <x:f>ROUND(E34*E35,2)</x:f>
        <x:v>63419.47</x:v>
      </x:c>
      <x:c r="F36" s="3" t="n">
        <x:f>ROUND(F34*F35,2)</x:f>
        <x:v>78035.61</x:v>
      </x:c>
      <x:c r="G36" s="3" t="n">
        <x:f>ROUND(G34*G35,2)</x:f>
        <x:v>54883.97</x:v>
      </x:c>
      <x:c r="H36" s="3" t="n">
        <x:f>ROUND(H34*H35,2)</x:f>
        <x:v>67481.95</x:v>
      </x:c>
      <x:c r="I36" s="3" t="n">
        <x:f>ROUND(I34*I35,2)</x:f>
        <x:v>77471.45</x:v>
      </x:c>
      <x:c r="J36" s="3" t="n">
        <x:f>ROUND(J34*J35,2)</x:f>
        <x:v>70043.32</x:v>
      </x:c>
      <x:c r="K36" s="3" t="n">
        <x:f>ROUND(K34*K35,2)</x:f>
        <x:v>85816.74</x:v>
      </x:c>
      <x:c r="L36" s="3" t="n">
        <x:f>ROUND(L34*L35,2)</x:f>
        <x:v>67759.34</x:v>
      </x:c>
      <x:c r="M36" s="3" t="n">
        <x:f>ROUND(M34*M35,2)</x:f>
        <x:v>57895.09</x:v>
      </x:c>
      <x:c r="N36" s="3" t="n">
        <x:f>ROUND(N34*N35,2)</x:f>
        <x:v>66342.16</x:v>
      </x:c>
      <x:c r="O36" s="3" t="n">
        <x:f>SUM(C36:N36)</x:f>
        <x:v>836342.18</x:v>
      </x:c>
      <x:c r="P36" s="2" t="str">
        <x:v>COGS1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84416.7</x:v>
      </x:c>
      <x:c r="D37" s="3" t="n">
        <x:f>D36</x:f>
        <x:v>62776.38</x:v>
      </x:c>
      <x:c r="E37" s="3" t="n">
        <x:f>E36</x:f>
        <x:v>63419.47</x:v>
      </x:c>
      <x:c r="F37" s="3" t="n">
        <x:f>F36</x:f>
        <x:v>78035.61</x:v>
      </x:c>
      <x:c r="G37" s="3" t="n">
        <x:f>G36</x:f>
        <x:v>54883.97</x:v>
      </x:c>
      <x:c r="H37" s="3" t="n">
        <x:f>H36</x:f>
        <x:v>67481.95</x:v>
      </x:c>
      <x:c r="I37" s="3" t="n">
        <x:f>I36</x:f>
        <x:v>77471.45</x:v>
      </x:c>
      <x:c r="J37" s="3" t="n">
        <x:f>J36</x:f>
        <x:v>70043.32</x:v>
      </x:c>
      <x:c r="K37" s="3" t="n">
        <x:f>K36</x:f>
        <x:v>85816.74</x:v>
      </x:c>
      <x:c r="L37" s="3" t="n">
        <x:f>L36</x:f>
        <x:v>67759.34</x:v>
      </x:c>
      <x:c r="M37" s="3" t="n">
        <x:f>M36</x:f>
        <x:v>57895.09</x:v>
      </x:c>
      <x:c r="N37" s="3" t="n">
        <x:f>N36</x:f>
        <x:v>66342.16</x:v>
      </x:c>
      <x:c r="O37" s="3" t="n">
        <x:f>SUM(C37:N37)</x:f>
        <x:v>836342.18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N3:O3"/>
    <x:mergeCell ref="R3:S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11.125" hidden="0" customWidth="1"/>
    <x:col min="18" max="18" width="11.125" hidden="0" customWidth="1"/>
    <x:col min="19" max="19" width="14.625" hidden="0" customWidth="1"/>
    <x:col min="20" max="20" width="17.25" hidden="0" customWidth="1"/>
    <x:col min="21" max="21" width="20" hidden="0" customWidth="1"/>
    <x:col min="22" max="22" width="17.25" hidden="0" customWidth="1"/>
    <x:col min="50" max="50" width="20" hidden="0" customWidth="1"/>
    <x:col min="51" max="51" width="65" hidden="0" customWidth="1"/>
    <x:col min="23" max="23" width="13" hidden="0" customWidth="1"/>
    <x:col min="24" max="24" width="13" hidden="0" customWidth="1"/>
    <x:col min="25" max="25" width="13" hidden="0" customWidth="1"/>
    <x:col min="26" max="26" width="17.25" hidden="0" customWidth="1"/>
    <x:col min="27" max="27" width="17.25" hidden="0" customWidth="1"/>
    <x:col min="28" max="28" width="17.25" hidden="0" customWidth="1"/>
    <x:col min="29" max="29" width="17.25" hidden="0" customWidth="1"/>
    <x:col min="30" max="30" width="17.25" hidden="0" customWidth="1"/>
    <x:col min="31" max="31" width="17.25" hidden="0" customWidth="1"/>
    <x:col min="32" max="32" width="16.1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项目名称</x:v>
      </x:c>
      <x:c r="C2" s="3"/>
      <x:c r="D2" s="3" t="str">
        <x:v>投资比例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 t="str">
        <x:v>成本</x:v>
      </x:c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1710.07</x:v>
      </x:c>
      <x:c r="D31" s="4" t="n">
        <x:v>2289.76</x:v>
      </x:c>
      <x:c r="E31" s="4" t="n">
        <x:v>1764.61</x:v>
      </x:c>
      <x:c r="F31" s="4" t="n">
        <x:v>1670.95</x:v>
      </x:c>
      <x:c r="G31" s="4" t="n">
        <x:v>1907.42</x:v>
      </x:c>
      <x:c r="H31" s="4" t="n">
        <x:v>2303.69</x:v>
      </x:c>
      <x:c r="I31" s="4" t="n">
        <x:v>2334.02</x:v>
      </x:c>
      <x:c r="J31" s="4" t="n">
        <x:v>1510.07</x:v>
      </x:c>
      <x:c r="K31" s="4" t="n">
        <x:v>1943.03</x:v>
      </x:c>
      <x:c r="L31" s="4" t="n">
        <x:v>1574.01</x:v>
      </x:c>
      <x:c r="M31" s="4" t="n">
        <x:v>2056.72</x:v>
      </x:c>
      <x:c r="N31" s="4" t="n">
        <x:v>2233.33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99.66</x:v>
      </x:c>
      <x:c r="D32" s="4" t="n">
        <x:v>90.48</x:v>
      </x:c>
      <x:c r="E32" s="4" t="n">
        <x:v>87.33</x:v>
      </x:c>
      <x:c r="F32" s="4" t="n">
        <x:v>87.43</x:v>
      </x:c>
      <x:c r="G32" s="4" t="n">
        <x:v>99.93</x:v>
      </x:c>
      <x:c r="H32" s="4" t="n">
        <x:v>108.64</x:v>
      </x:c>
      <x:c r="I32" s="4" t="n">
        <x:v>99.93</x:v>
      </x:c>
      <x:c r="J32" s="4" t="n">
        <x:v>83.75</x:v>
      </x:c>
      <x:c r="K32" s="4" t="n">
        <x:v>98.18</x:v>
      </x:c>
      <x:c r="L32" s="4" t="n">
        <x:v>94.32</x:v>
      </x:c>
      <x:c r="M32" s="4" t="n">
        <x:v>123.54</x:v>
      </x:c>
      <x:c r="N32" s="4" t="n">
        <x:v>119.09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170425.58</x:v>
      </x:c>
      <x:c r="D33" s="3" t="n">
        <x:f>ROUND(D31*D32,2)</x:f>
        <x:v>207177.48</x:v>
      </x:c>
      <x:c r="E33" s="3" t="n">
        <x:f>ROUND(E31*E32,2)</x:f>
        <x:v>154103.39</x:v>
      </x:c>
      <x:c r="F33" s="3" t="n">
        <x:f>ROUND(F31*F32,2)</x:f>
        <x:v>146091.16</x:v>
      </x:c>
      <x:c r="G33" s="3" t="n">
        <x:f>ROUND(G31*G32,2)</x:f>
        <x:v>190608.48</x:v>
      </x:c>
      <x:c r="H33" s="3" t="n">
        <x:f>ROUND(H31*H32,2)</x:f>
        <x:v>250272.88</x:v>
      </x:c>
      <x:c r="I33" s="3" t="n">
        <x:f>ROUND(I31*I32,2)</x:f>
        <x:v>233238.62</x:v>
      </x:c>
      <x:c r="J33" s="3" t="n">
        <x:f>ROUND(J31*J32,2)</x:f>
        <x:v>126468.36</x:v>
      </x:c>
      <x:c r="K33" s="3" t="n">
        <x:f>ROUND(K31*K32,2)</x:f>
        <x:v>190766.69</x:v>
      </x:c>
      <x:c r="L33" s="3" t="n">
        <x:f>ROUND(L31*L32,2)</x:f>
        <x:v>148460.62</x:v>
      </x:c>
      <x:c r="M33" s="3" t="n">
        <x:f>ROUND(M31*M32,2)</x:f>
        <x:v>254087.19</x:v>
      </x:c>
      <x:c r="N33" s="3" t="n">
        <x:f>ROUND(N31*N32,2)</x:f>
        <x:v>265967.27</x:v>
      </x:c>
      <x:c r="O33" s="3" t="n">
        <x:f>SUM(C33:N33)</x:f>
        <x:v>2337667.7199999997</x:v>
      </x:c>
      <x:c r="P33" s="2" t="str">
        <x:v>REV2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629.33</x:v>
      </x:c>
      <x:c r="D34" s="4" t="n">
        <x:v>604.03</x:v>
      </x:c>
      <x:c r="E34" s="4" t="n">
        <x:v>819.95</x:v>
      </x:c>
      <x:c r="F34" s="4" t="n">
        <x:v>667.6</x:v>
      </x:c>
      <x:c r="G34" s="4" t="n">
        <x:v>775.7</x:v>
      </x:c>
      <x:c r="H34" s="4" t="n">
        <x:v>569.56</x:v>
      </x:c>
      <x:c r="I34" s="4" t="n">
        <x:v>673.31</x:v>
      </x:c>
      <x:c r="J34" s="4" t="n">
        <x:v>723.42</x:v>
      </x:c>
      <x:c r="K34" s="4" t="n">
        <x:v>612.92</x:v>
      </x:c>
      <x:c r="L34" s="4" t="n">
        <x:v>697.62</x:v>
      </x:c>
      <x:c r="M34" s="4" t="n">
        <x:v>573.44</x:v>
      </x:c>
      <x:c r="N34" s="4" t="n">
        <x:v>627.98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99.66</x:v>
      </x:c>
      <x:c r="D35" s="3" t="n">
        <x:f>D32</x:f>
        <x:v>90.48</x:v>
      </x:c>
      <x:c r="E35" s="3" t="n">
        <x:f>E32</x:f>
        <x:v>87.33</x:v>
      </x:c>
      <x:c r="F35" s="3" t="n">
        <x:f>F32</x:f>
        <x:v>87.43</x:v>
      </x:c>
      <x:c r="G35" s="3" t="n">
        <x:f>G32</x:f>
        <x:v>99.93</x:v>
      </x:c>
      <x:c r="H35" s="3" t="n">
        <x:f>H32</x:f>
        <x:v>108.64</x:v>
      </x:c>
      <x:c r="I35" s="3" t="n">
        <x:f>I32</x:f>
        <x:v>99.93</x:v>
      </x:c>
      <x:c r="J35" s="3" t="n">
        <x:f>J32</x:f>
        <x:v>83.75</x:v>
      </x:c>
      <x:c r="K35" s="3" t="n">
        <x:f>K32</x:f>
        <x:v>98.18</x:v>
      </x:c>
      <x:c r="L35" s="3" t="n">
        <x:f>L32</x:f>
        <x:v>94.32</x:v>
      </x:c>
      <x:c r="M35" s="3" t="n">
        <x:f>M32</x:f>
        <x:v>123.54</x:v>
      </x:c>
      <x:c r="N35" s="3" t="n">
        <x:f>N32</x:f>
        <x:v>119.09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62719.03</x:v>
      </x:c>
      <x:c r="D36" s="3" t="n">
        <x:f>ROUND(D34*D35,2)</x:f>
        <x:v>54652.63</x:v>
      </x:c>
      <x:c r="E36" s="3" t="n">
        <x:f>ROUND(E34*E35,2)</x:f>
        <x:v>71606.23</x:v>
      </x:c>
      <x:c r="F36" s="3" t="n">
        <x:f>ROUND(F34*F35,2)</x:f>
        <x:v>58368.27</x:v>
      </x:c>
      <x:c r="G36" s="3" t="n">
        <x:f>ROUND(G34*G35,2)</x:f>
        <x:v>77515.7</x:v>
      </x:c>
      <x:c r="H36" s="3" t="n">
        <x:f>ROUND(H34*H35,2)</x:f>
        <x:v>61877</x:v>
      </x:c>
      <x:c r="I36" s="3" t="n">
        <x:f>ROUND(I34*I35,2)</x:f>
        <x:v>67283.87</x:v>
      </x:c>
      <x:c r="J36" s="3" t="n">
        <x:f>ROUND(J34*J35,2)</x:f>
        <x:v>60586.43</x:v>
      </x:c>
      <x:c r="K36" s="3" t="n">
        <x:f>ROUND(K34*K35,2)</x:f>
        <x:v>60176.49</x:v>
      </x:c>
      <x:c r="L36" s="3" t="n">
        <x:f>ROUND(L34*L35,2)</x:f>
        <x:v>65799.52</x:v>
      </x:c>
      <x:c r="M36" s="3" t="n">
        <x:f>ROUND(M34*M35,2)</x:f>
        <x:v>70842.78</x:v>
      </x:c>
      <x:c r="N36" s="3" t="n">
        <x:f>ROUND(N34*N35,2)</x:f>
        <x:v>74786.14</x:v>
      </x:c>
      <x:c r="O36" s="3" t="n">
        <x:f>SUM(C36:N36)</x:f>
        <x:v>786214.0900000001</x:v>
      </x:c>
      <x:c r="P36" s="2" t="str">
        <x:v>COGS2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62719.03</x:v>
      </x:c>
      <x:c r="D37" s="3" t="n">
        <x:f>D36</x:f>
        <x:v>54652.63</x:v>
      </x:c>
      <x:c r="E37" s="3" t="n">
        <x:f>E36</x:f>
        <x:v>71606.23</x:v>
      </x:c>
      <x:c r="F37" s="3" t="n">
        <x:f>F36</x:f>
        <x:v>58368.27</x:v>
      </x:c>
      <x:c r="G37" s="3" t="n">
        <x:f>G36</x:f>
        <x:v>77515.7</x:v>
      </x:c>
      <x:c r="H37" s="3" t="n">
        <x:f>H36</x:f>
        <x:v>61877</x:v>
      </x:c>
      <x:c r="I37" s="3" t="n">
        <x:f>I36</x:f>
        <x:v>67283.87</x:v>
      </x:c>
      <x:c r="J37" s="3" t="n">
        <x:f>J36</x:f>
        <x:v>60586.43</x:v>
      </x:c>
      <x:c r="K37" s="3" t="n">
        <x:f>K36</x:f>
        <x:v>60176.49</x:v>
      </x:c>
      <x:c r="L37" s="3" t="n">
        <x:f>L36</x:f>
        <x:v>65799.52</x:v>
      </x:c>
      <x:c r="M37" s="3" t="n">
        <x:f>M36</x:f>
        <x:v>70842.78</x:v>
      </x:c>
      <x:c r="N37" s="3" t="n">
        <x:f>N36</x:f>
        <x:v>74786.14</x:v>
      </x:c>
      <x:c r="O37" s="3" t="n">
        <x:f>SUM(C37:N37)</x:f>
        <x:v>786214.0900000001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L2:M2"/>
    <x:mergeCell ref="P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税金及附加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综合附加率（演示假设）</x:v>
      </x:c>
      <x:c r="C31" s="4" t="n">
        <x:v>0.00593</x:v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计税收入</x:v>
      </x:c>
      <x:c r="C32" s="3" t="n">
        <x:f>'收入非主控'!C33+'收入主控'!C33</x:f>
        <x:v>385738.18999999994</x:v>
      </x:c>
      <x:c r="D32" s="3" t="n">
        <x:f>'收入非主控'!D33+'收入主控'!D33</x:f>
        <x:v>381583.96</x:v>
      </x:c>
      <x:c r="E32" s="3" t="n">
        <x:f>'收入非主控'!E33+'收入主控'!E33</x:f>
        <x:v>288902.5</x:v>
      </x:c>
      <x:c r="F32" s="3" t="n">
        <x:f>'收入非主控'!F33+'收入主控'!F33</x:f>
        <x:v>382805.81</x:v>
      </x:c>
      <x:c r="G32" s="3" t="n">
        <x:f>'收入非主控'!G33+'收入主控'!G33</x:f>
        <x:v>333476.45</x:v>
      </x:c>
      <x:c r="H32" s="3" t="n">
        <x:f>'收入非主控'!H33+'收入主控'!H33</x:f>
        <x:v>399804.51</x:v>
      </x:c>
      <x:c r="I32" s="3" t="n">
        <x:f>'收入非主控'!I33+'收入主控'!I33</x:f>
        <x:v>535487.21</x:v>
      </x:c>
      <x:c r="J32" s="3" t="n">
        <x:f>'收入非主控'!J33+'收入主控'!J33</x:f>
        <x:v>292063.17</x:v>
      </x:c>
      <x:c r="K32" s="3" t="n">
        <x:f>'收入非主控'!K33+'收入主控'!K33</x:f>
        <x:v>391677.74</x:v>
      </x:c>
      <x:c r="L32" s="3" t="n">
        <x:f>'收入非主控'!L33+'收入主控'!L33</x:f>
        <x:v>307569.42</x:v>
      </x:c>
      <x:c r="M32" s="3" t="n">
        <x:f>'收入非主控'!M33+'收入主控'!M33</x:f>
        <x:v>448144.22</x:v>
      </x:c>
      <x:c r="N32" s="3" t="n">
        <x:f>'收入非主控'!N33+'收入主控'!N33</x:f>
        <x:v>439782.73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税金及附加</x:v>
      </x:c>
      <x:c r="C33" s="3" t="n">
        <x:f>ROUND(C32*$C$31,2)</x:f>
        <x:v>2287.43</x:v>
      </x:c>
      <x:c r="D33" s="3" t="n">
        <x:f>ROUND(D32*$C$31,2)</x:f>
        <x:v>2262.79</x:v>
      </x:c>
      <x:c r="E33" s="3" t="n">
        <x:f>ROUND(E32*$C$31,2)</x:f>
        <x:v>1713.19</x:v>
      </x:c>
      <x:c r="F33" s="3" t="n">
        <x:f>ROUND(F32*$C$31,2)</x:f>
        <x:v>2270.04</x:v>
      </x:c>
      <x:c r="G33" s="3" t="n">
        <x:f>ROUND(G32*$C$31,2)</x:f>
        <x:v>1977.52</x:v>
      </x:c>
      <x:c r="H33" s="3" t="n">
        <x:f>ROUND(H32*$C$31,2)</x:f>
        <x:v>2370.84</x:v>
      </x:c>
      <x:c r="I33" s="3" t="n">
        <x:f>ROUND(I32*$C$31,2)</x:f>
        <x:v>3175.44</x:v>
      </x:c>
      <x:c r="J33" s="3" t="n">
        <x:f>ROUND(J32*$C$31,2)</x:f>
        <x:v>1731.93</x:v>
      </x:c>
      <x:c r="K33" s="3" t="n">
        <x:f>ROUND(K32*$C$31,2)</x:f>
        <x:v>2322.65</x:v>
      </x:c>
      <x:c r="L33" s="3" t="n">
        <x:f>ROUND(L32*$C$31,2)</x:f>
        <x:v>1823.89</x:v>
      </x:c>
      <x:c r="M33" s="3" t="n">
        <x:f>ROUND(M32*$C$31,2)</x:f>
        <x:v>2657.5</x:v>
      </x:c>
      <x:c r="N33" s="3" t="n">
        <x:f>ROUND(N32*$C$31,2)</x:f>
        <x:v>2607.91</x:v>
      </x:c>
      <x:c r="O33" s="3"/>
      <x:c r="P33" s="2" t="str">
        <x:v>TAX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.875" hidden="0" customWidth="1"/>
    <x:col min="17" max="17" width="9" hidden="0" customWidth="1"/>
    <x:col min="18" max="18" width="9.625" hidden="0" customWidth="1"/>
    <x:col min="19" max="19" width="9" hidden="0" customWidth="1"/>
    <x:col min="20" max="20" width="9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销售费用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313.49</x:v>
      </x:c>
      <x:c r="D4" s="3" t="n">
        <x:f>ROUND(D204*D324,2)</x:f>
        <x:v>112.39</x:v>
      </x:c>
      <x:c r="E4" s="3" t="n">
        <x:f>ROUND(E204*E324,2)</x:f>
        <x:v>267.22</x:v>
      </x:c>
      <x:c r="F4" s="3" t="n">
        <x:f>ROUND(F204*F324,2)</x:f>
        <x:v>446.68</x:v>
      </x:c>
      <x:c r="G4" s="3" t="n">
        <x:f>ROUND(G204*G324,2)</x:f>
        <x:v>518.82</x:v>
      </x:c>
      <x:c r="H4" s="3" t="n">
        <x:f>ROUND(H204*H324,2)</x:f>
        <x:v>90.83</x:v>
      </x:c>
      <x:c r="I4" s="3" t="n">
        <x:f>ROUND(I204*I324,2)</x:f>
        <x:v>134.52</x:v>
      </x:c>
      <x:c r="J4" s="3" t="n">
        <x:f>ROUND(J204*J324,2)</x:f>
        <x:v>86.87</x:v>
      </x:c>
      <x:c r="K4" s="3" t="n">
        <x:f>ROUND(K204*K324,2)</x:f>
        <x:v>316.34</x:v>
      </x:c>
      <x:c r="L4" s="3" t="n">
        <x:f>ROUND(L204*L324,2)</x:f>
        <x:v>236.6</x:v>
      </x:c>
      <x:c r="M4" s="3" t="n">
        <x:f>ROUND(M204*M324,2)</x:f>
        <x:v>215.37</x:v>
      </x:c>
      <x:c r="N4" s="3" t="n">
        <x:f>ROUND(N204*N324,2)</x:f>
        <x:v>288.56</x:v>
      </x:c>
      <x:c r="O4" s="3" t="n">
        <x:f>SUM(C4:N4)</x:f>
        <x:v>3027.6899999999996</x:v>
      </x:c>
      <x:c r="P4" s="2" t="str">
        <x:v>EXP1.004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148.49</x:v>
      </x:c>
      <x:c r="D5" s="3" t="n">
        <x:f>ROUND(D205*D325,2)</x:f>
        <x:v>452.16</x:v>
      </x:c>
      <x:c r="E5" s="3" t="n">
        <x:f>ROUND(E205*E325,2)</x:f>
        <x:v>175.51</x:v>
      </x:c>
      <x:c r="F5" s="3" t="n">
        <x:f>ROUND(F205*F325,2)</x:f>
        <x:v>493.46</x:v>
      </x:c>
      <x:c r="G5" s="3" t="n">
        <x:f>ROUND(G205*G325,2)</x:f>
        <x:v>352.75</x:v>
      </x:c>
      <x:c r="H5" s="3" t="n">
        <x:f>ROUND(H205*H325,2)</x:f>
        <x:v>189.87</x:v>
      </x:c>
      <x:c r="I5" s="3" t="n">
        <x:f>ROUND(I205*I325,2)</x:f>
        <x:v>367.89</x:v>
      </x:c>
      <x:c r="J5" s="3" t="n">
        <x:f>ROUND(J205*J325,2)</x:f>
        <x:v>114.23</x:v>
      </x:c>
      <x:c r="K5" s="3" t="n">
        <x:f>ROUND(K205*K325,2)</x:f>
        <x:v>158.65</x:v>
      </x:c>
      <x:c r="L5" s="3" t="n">
        <x:f>ROUND(L205*L325,2)</x:f>
        <x:v>103.13</x:v>
      </x:c>
      <x:c r="M5" s="3" t="n">
        <x:f>ROUND(M205*M325,2)</x:f>
        <x:v>56.9</x:v>
      </x:c>
      <x:c r="N5" s="3" t="n">
        <x:f>ROUND(N205*N325,2)</x:f>
        <x:v>390.13</x:v>
      </x:c>
      <x:c r="O5" s="3" t="n">
        <x:f>SUM(C5:N5)</x:f>
        <x:v>3003.1700000000005</x:v>
      </x:c>
      <x:c r="P5" s="2" t="str">
        <x:v>EXP1.005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394.71</x:v>
      </x:c>
      <x:c r="D6" s="3" t="n">
        <x:f>ROUND(D206*D326,2)</x:f>
        <x:v>441.63</x:v>
      </x:c>
      <x:c r="E6" s="3" t="n">
        <x:f>ROUND(E206*E326,2)</x:f>
        <x:v>136.14</x:v>
      </x:c>
      <x:c r="F6" s="3" t="n">
        <x:f>ROUND(F206*F326,2)</x:f>
        <x:v>145.23</x:v>
      </x:c>
      <x:c r="G6" s="3" t="n">
        <x:f>ROUND(G206*G326,2)</x:f>
        <x:v>159.33</x:v>
      </x:c>
      <x:c r="H6" s="3" t="n">
        <x:f>ROUND(H206*H326,2)</x:f>
        <x:v>470.06</x:v>
      </x:c>
      <x:c r="I6" s="3" t="n">
        <x:f>ROUND(I206*I326,2)</x:f>
        <x:v>136.95</x:v>
      </x:c>
      <x:c r="J6" s="3" t="n">
        <x:f>ROUND(J206*J326,2)</x:f>
        <x:v>151.7</x:v>
      </x:c>
      <x:c r="K6" s="3" t="n">
        <x:f>ROUND(K206*K326,2)</x:f>
        <x:v>404.57</x:v>
      </x:c>
      <x:c r="L6" s="3" t="n">
        <x:f>ROUND(L206*L326,2)</x:f>
        <x:v>344.16</x:v>
      </x:c>
      <x:c r="M6" s="3" t="n">
        <x:f>ROUND(M206*M326,2)</x:f>
        <x:v>155.82</x:v>
      </x:c>
      <x:c r="N6" s="3" t="n">
        <x:f>ROUND(N206*N326,2)</x:f>
        <x:v>113.22</x:v>
      </x:c>
      <x:c r="O6" s="3" t="n">
        <x:f>SUM(C6:N6)</x:f>
        <x:v>3053.5199999999995</x:v>
      </x:c>
      <x:c r="P6" s="2" t="str">
        <x:v>EXP1.006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244.36</x:v>
      </x:c>
      <x:c r="D7" s="3" t="n">
        <x:f>ROUND(D207*D327,2)</x:f>
        <x:v>111.4</x:v>
      </x:c>
      <x:c r="E7" s="3" t="n">
        <x:f>ROUND(E207*E327,2)</x:f>
        <x:v>161.1</x:v>
      </x:c>
      <x:c r="F7" s="3" t="n">
        <x:f>ROUND(F207*F327,2)</x:f>
        <x:v>275.47</x:v>
      </x:c>
      <x:c r="G7" s="3" t="n">
        <x:f>ROUND(G207*G327,2)</x:f>
        <x:v>111.33</x:v>
      </x:c>
      <x:c r="H7" s="3" t="n">
        <x:f>ROUND(H207*H327,2)</x:f>
        <x:v>83.54</x:v>
      </x:c>
      <x:c r="I7" s="3" t="n">
        <x:f>ROUND(I207*I327,2)</x:f>
        <x:v>391.7</x:v>
      </x:c>
      <x:c r="J7" s="3" t="n">
        <x:f>ROUND(J207*J327,2)</x:f>
        <x:v>431.17</x:v>
      </x:c>
      <x:c r="K7" s="3" t="n">
        <x:f>ROUND(K207*K327,2)</x:f>
        <x:v>243.61</x:v>
      </x:c>
      <x:c r="L7" s="3" t="n">
        <x:f>ROUND(L207*L327,2)</x:f>
        <x:v>309.64</x:v>
      </x:c>
      <x:c r="M7" s="3" t="n">
        <x:f>ROUND(M207*M327,2)</x:f>
        <x:v>175.29</x:v>
      </x:c>
      <x:c r="N7" s="3" t="n">
        <x:f>ROUND(N207*N327,2)</x:f>
        <x:v>271.83</x:v>
      </x:c>
      <x:c r="O7" s="3" t="n">
        <x:f>SUM(C7:N7)</x:f>
        <x:v>2810.44</x:v>
      </x:c>
      <x:c r="P7" s="2" t="str">
        <x:v>EXP1.007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483.76</x:v>
      </x:c>
      <x:c r="D8" s="3" t="n">
        <x:f>ROUND(D208*D328,2)</x:f>
        <x:v>74.61</x:v>
      </x:c>
      <x:c r="E8" s="3" t="n">
        <x:f>ROUND(E208*E328,2)</x:f>
        <x:v>277.14</x:v>
      </x:c>
      <x:c r="F8" s="3" t="n">
        <x:f>ROUND(F208*F328,2)</x:f>
        <x:v>160.86</x:v>
      </x:c>
      <x:c r="G8" s="3" t="n">
        <x:f>ROUND(G208*G328,2)</x:f>
        <x:v>354.6</x:v>
      </x:c>
      <x:c r="H8" s="3" t="n">
        <x:f>ROUND(H208*H328,2)</x:f>
        <x:v>148.16</x:v>
      </x:c>
      <x:c r="I8" s="3" t="n">
        <x:f>ROUND(I208*I328,2)</x:f>
        <x:v>281.82</x:v>
      </x:c>
      <x:c r="J8" s="3" t="n">
        <x:f>ROUND(J208*J328,2)</x:f>
        <x:v>153.06</x:v>
      </x:c>
      <x:c r="K8" s="3" t="n">
        <x:f>ROUND(K208*K328,2)</x:f>
        <x:v>91.38</x:v>
      </x:c>
      <x:c r="L8" s="3" t="n">
        <x:f>ROUND(L208*L328,2)</x:f>
        <x:v>89.75</x:v>
      </x:c>
      <x:c r="M8" s="3" t="n">
        <x:f>ROUND(M208*M328,2)</x:f>
        <x:v>301.7</x:v>
      </x:c>
      <x:c r="N8" s="3" t="n">
        <x:f>ROUND(N208*N328,2)</x:f>
        <x:v>251.07</x:v>
      </x:c>
      <x:c r="O8" s="3" t="n">
        <x:f>SUM(C8:N8)</x:f>
        <x:v>2667.91</x:v>
      </x:c>
      <x:c r="P8" s="2" t="str">
        <x:v>EXP1.008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63.29</x:v>
      </x:c>
      <x:c r="D9" s="3" t="n">
        <x:f>ROUND(D209*D329,2)</x:f>
        <x:v>168.91</x:v>
      </x:c>
      <x:c r="E9" s="3" t="n">
        <x:f>ROUND(E209*E329,2)</x:f>
        <x:v>326.61</x:v>
      </x:c>
      <x:c r="F9" s="3" t="n">
        <x:f>ROUND(F209*F329,2)</x:f>
        <x:v>434.77</x:v>
      </x:c>
      <x:c r="G9" s="3" t="n">
        <x:f>ROUND(G209*G329,2)</x:f>
        <x:v>218.24</x:v>
      </x:c>
      <x:c r="H9" s="3" t="n">
        <x:f>ROUND(H209*H329,2)</x:f>
        <x:v>222.22</x:v>
      </x:c>
      <x:c r="I9" s="3" t="n">
        <x:f>ROUND(I209*I329,2)</x:f>
        <x:v>147</x:v>
      </x:c>
      <x:c r="J9" s="3" t="n">
        <x:f>ROUND(J209*J329,2)</x:f>
        <x:v>80.94</x:v>
      </x:c>
      <x:c r="K9" s="3" t="n">
        <x:f>ROUND(K209*K329,2)</x:f>
        <x:v>440.07</x:v>
      </x:c>
      <x:c r="L9" s="3" t="n">
        <x:f>ROUND(L209*L329,2)</x:f>
        <x:v>199.73</x:v>
      </x:c>
      <x:c r="M9" s="3" t="n">
        <x:f>ROUND(M209*M329,2)</x:f>
        <x:v>362.7</x:v>
      </x:c>
      <x:c r="N9" s="3" t="n">
        <x:f>ROUND(N209*N329,2)</x:f>
        <x:v>275.02</x:v>
      </x:c>
      <x:c r="O9" s="3" t="n">
        <x:f>SUM(C9:N9)</x:f>
        <x:v>2939.5</x:v>
      </x:c>
      <x:c r="P9" s="2" t="str">
        <x:v>EXP1.009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133.18</x:v>
      </x:c>
      <x:c r="D10" s="3" t="n">
        <x:f>ROUND(D210*D330,2)</x:f>
        <x:v>134.83</x:v>
      </x:c>
      <x:c r="E10" s="3" t="n">
        <x:f>ROUND(E210*E330,2)</x:f>
        <x:v>241.37</x:v>
      </x:c>
      <x:c r="F10" s="3" t="n">
        <x:f>ROUND(F210*F330,2)</x:f>
        <x:v>170.51</x:v>
      </x:c>
      <x:c r="G10" s="3" t="n">
        <x:f>ROUND(G210*G330,2)</x:f>
        <x:v>196.18</x:v>
      </x:c>
      <x:c r="H10" s="3" t="n">
        <x:f>ROUND(H210*H330,2)</x:f>
        <x:v>404.38</x:v>
      </x:c>
      <x:c r="I10" s="3" t="n">
        <x:f>ROUND(I210*I330,2)</x:f>
        <x:v>202.3</x:v>
      </x:c>
      <x:c r="J10" s="3" t="n">
        <x:f>ROUND(J210*J330,2)</x:f>
        <x:v>183.83</x:v>
      </x:c>
      <x:c r="K10" s="3" t="n">
        <x:f>ROUND(K210*K330,2)</x:f>
        <x:v>231.63</x:v>
      </x:c>
      <x:c r="L10" s="3" t="n">
        <x:f>ROUND(L210*L330,2)</x:f>
        <x:v>338.25</x:v>
      </x:c>
      <x:c r="M10" s="3" t="n">
        <x:f>ROUND(M210*M330,2)</x:f>
        <x:v>335.97</x:v>
      </x:c>
      <x:c r="N10" s="3" t="n">
        <x:f>ROUND(N210*N330,2)</x:f>
        <x:v>503.42</x:v>
      </x:c>
      <x:c r="O10" s="3" t="n">
        <x:f>SUM(C10:N10)</x:f>
        <x:v>3075.8499999999995</x:v>
      </x:c>
      <x:c r="P10" s="2" t="str">
        <x:v>EXP1.010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121.52</x:v>
      </x:c>
      <x:c r="D11" s="3" t="n">
        <x:f>ROUND(D211*D331,2)</x:f>
        <x:v>266.16</x:v>
      </x:c>
      <x:c r="E11" s="3" t="n">
        <x:f>ROUND(E211*E331,2)</x:f>
        <x:v>168.56</x:v>
      </x:c>
      <x:c r="F11" s="3" t="n">
        <x:f>ROUND(F211*F331,2)</x:f>
        <x:v>344.71</x:v>
      </x:c>
      <x:c r="G11" s="3" t="n">
        <x:f>ROUND(G211*G331,2)</x:f>
        <x:v>238.76</x:v>
      </x:c>
      <x:c r="H11" s="3" t="n">
        <x:f>ROUND(H211*H331,2)</x:f>
        <x:v>83.43</x:v>
      </x:c>
      <x:c r="I11" s="3" t="n">
        <x:f>ROUND(I211*I331,2)</x:f>
        <x:v>149.05</x:v>
      </x:c>
      <x:c r="J11" s="3" t="n">
        <x:f>ROUND(J211*J331,2)</x:f>
        <x:v>266.68</x:v>
      </x:c>
      <x:c r="K11" s="3" t="n">
        <x:f>ROUND(K211*K331,2)</x:f>
        <x:v>503.36</x:v>
      </x:c>
      <x:c r="L11" s="3" t="n">
        <x:f>ROUND(L211*L331,2)</x:f>
        <x:v>90.46</x:v>
      </x:c>
      <x:c r="M11" s="3" t="n">
        <x:f>ROUND(M211*M331,2)</x:f>
        <x:v>130.97</x:v>
      </x:c>
      <x:c r="N11" s="3" t="n">
        <x:f>ROUND(N211*N331,2)</x:f>
        <x:v>137.37</x:v>
      </x:c>
      <x:c r="O11" s="3" t="n">
        <x:f>SUM(C11:N11)</x:f>
        <x:v>2501.0299999999997</x:v>
      </x:c>
      <x:c r="P11" s="2" t="str">
        <x:v>EXP1.011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95.54</x:v>
      </x:c>
      <x:c r="D12" s="3" t="n">
        <x:f>ROUND(D212*D332,2)</x:f>
        <x:v>222.85</x:v>
      </x:c>
      <x:c r="E12" s="3" t="n">
        <x:f>ROUND(E212*E332,2)</x:f>
        <x:v>236.38</x:v>
      </x:c>
      <x:c r="F12" s="3" t="n">
        <x:f>ROUND(F212*F332,2)</x:f>
        <x:v>133.6</x:v>
      </x:c>
      <x:c r="G12" s="3" t="n">
        <x:f>ROUND(G212*G332,2)</x:f>
        <x:v>237.33</x:v>
      </x:c>
      <x:c r="H12" s="3" t="n">
        <x:f>ROUND(H212*H332,2)</x:f>
        <x:v>88.19</x:v>
      </x:c>
      <x:c r="I12" s="3" t="n">
        <x:f>ROUND(I212*I332,2)</x:f>
        <x:v>146.95</x:v>
      </x:c>
      <x:c r="J12" s="3" t="n">
        <x:f>ROUND(J212*J332,2)</x:f>
        <x:v>286.67</x:v>
      </x:c>
      <x:c r="K12" s="3" t="n">
        <x:f>ROUND(K212*K332,2)</x:f>
        <x:v>314.75</x:v>
      </x:c>
      <x:c r="L12" s="3" t="n">
        <x:f>ROUND(L212*L332,2)</x:f>
        <x:v>278.03</x:v>
      </x:c>
      <x:c r="M12" s="3" t="n">
        <x:f>ROUND(M212*M332,2)</x:f>
        <x:v>264.68</x:v>
      </x:c>
      <x:c r="N12" s="3" t="n">
        <x:f>ROUND(N212*N332,2)</x:f>
        <x:v>313.89</x:v>
      </x:c>
      <x:c r="O12" s="3" t="n">
        <x:f>SUM(C12:N12)</x:f>
        <x:v>2618.86</x:v>
      </x:c>
      <x:c r="P12" s="2" t="str">
        <x:v>EXP1.012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117.03</x:v>
      </x:c>
      <x:c r="D13" s="3" t="n">
        <x:f>ROUND(D213*D333,2)</x:f>
        <x:v>198.89</x:v>
      </x:c>
      <x:c r="E13" s="3" t="n">
        <x:f>ROUND(E213*E333,2)</x:f>
        <x:v>146.12</x:v>
      </x:c>
      <x:c r="F13" s="3" t="n">
        <x:f>ROUND(F213*F333,2)</x:f>
        <x:v>213.52</x:v>
      </x:c>
      <x:c r="G13" s="3" t="n">
        <x:f>ROUND(G213*G333,2)</x:f>
        <x:v>437.71</x:v>
      </x:c>
      <x:c r="H13" s="3" t="n">
        <x:f>ROUND(H213*H333,2)</x:f>
        <x:v>410.19</x:v>
      </x:c>
      <x:c r="I13" s="3" t="n">
        <x:f>ROUND(I213*I333,2)</x:f>
        <x:v>64.42</x:v>
      </x:c>
      <x:c r="J13" s="3" t="n">
        <x:f>ROUND(J213*J333,2)</x:f>
        <x:v>432.2</x:v>
      </x:c>
      <x:c r="K13" s="3" t="n">
        <x:f>ROUND(K213*K333,2)</x:f>
        <x:v>167.85</x:v>
      </x:c>
      <x:c r="L13" s="3" t="n">
        <x:f>ROUND(L213*L333,2)</x:f>
        <x:v>432.98</x:v>
      </x:c>
      <x:c r="M13" s="3" t="n">
        <x:f>ROUND(M213*M333,2)</x:f>
        <x:v>492.96</x:v>
      </x:c>
      <x:c r="N13" s="3" t="n">
        <x:f>ROUND(N213*N333,2)</x:f>
        <x:v>287.98</x:v>
      </x:c>
      <x:c r="O13" s="3" t="n">
        <x:f>SUM(C13:N13)</x:f>
        <x:v>3401.8500000000004</x:v>
      </x:c>
      <x:c r="P13" s="2" t="str">
        <x:v>EXP1.013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136.94</x:v>
      </x:c>
      <x:c r="D14" s="3" t="n">
        <x:f>ROUND(D214*D334,2)</x:f>
        <x:v>430.52</x:v>
      </x:c>
      <x:c r="E14" s="3" t="n">
        <x:f>ROUND(E214*E334,2)</x:f>
        <x:v>178.69</x:v>
      </x:c>
      <x:c r="F14" s="3" t="n">
        <x:f>ROUND(F214*F334,2)</x:f>
        <x:v>296.72</x:v>
      </x:c>
      <x:c r="G14" s="3" t="n">
        <x:f>ROUND(G214*G334,2)</x:f>
        <x:v>191.75</x:v>
      </x:c>
      <x:c r="H14" s="3" t="n">
        <x:f>ROUND(H214*H334,2)</x:f>
        <x:v>269.94</x:v>
      </x:c>
      <x:c r="I14" s="3" t="n">
        <x:f>ROUND(I214*I334,2)</x:f>
        <x:v>248.77</x:v>
      </x:c>
      <x:c r="J14" s="3" t="n">
        <x:f>ROUND(J214*J334,2)</x:f>
        <x:v>281.46</x:v>
      </x:c>
      <x:c r="K14" s="3" t="n">
        <x:f>ROUND(K214*K334,2)</x:f>
        <x:v>283.67</x:v>
      </x:c>
      <x:c r="L14" s="3" t="n">
        <x:f>ROUND(L214*L334,2)</x:f>
        <x:v>269.55</x:v>
      </x:c>
      <x:c r="M14" s="3" t="n">
        <x:f>ROUND(M214*M334,2)</x:f>
        <x:v>146.81</x:v>
      </x:c>
      <x:c r="N14" s="3" t="n">
        <x:f>ROUND(N214*N334,2)</x:f>
        <x:v>327.13</x:v>
      </x:c>
      <x:c r="O14" s="3" t="n">
        <x:f>SUM(C14:N14)</x:f>
        <x:v>3061.9500000000003</x:v>
      </x:c>
      <x:c r="P14" s="2" t="str">
        <x:v>EXP1.014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164.22</x:v>
      </x:c>
      <x:c r="D15" s="3" t="n">
        <x:f>ROUND(D215*D335,2)</x:f>
        <x:v>321.44</x:v>
      </x:c>
      <x:c r="E15" s="3" t="n">
        <x:f>ROUND(E215*E335,2)</x:f>
        <x:v>75.11</x:v>
      </x:c>
      <x:c r="F15" s="3" t="n">
        <x:f>ROUND(F215*F335,2)</x:f>
        <x:v>155.17</x:v>
      </x:c>
      <x:c r="G15" s="3" t="n">
        <x:f>ROUND(G215*G335,2)</x:f>
        <x:v>170.03</x:v>
      </x:c>
      <x:c r="H15" s="3" t="n">
        <x:f>ROUND(H215*H335,2)</x:f>
        <x:v>62.06</x:v>
      </x:c>
      <x:c r="I15" s="3" t="n">
        <x:f>ROUND(I215*I335,2)</x:f>
        <x:v>326.08</x:v>
      </x:c>
      <x:c r="J15" s="3" t="n">
        <x:f>ROUND(J215*J335,2)</x:f>
        <x:v>357.53</x:v>
      </x:c>
      <x:c r="K15" s="3" t="n">
        <x:f>ROUND(K215*K335,2)</x:f>
        <x:v>96.56</x:v>
      </x:c>
      <x:c r="L15" s="3" t="n">
        <x:f>ROUND(L215*L335,2)</x:f>
        <x:v>336.96</x:v>
      </x:c>
      <x:c r="M15" s="3" t="n">
        <x:f>ROUND(M215*M335,2)</x:f>
        <x:v>213.18</x:v>
      </x:c>
      <x:c r="N15" s="3" t="n">
        <x:f>ROUND(N215*N335,2)</x:f>
        <x:v>315.68</x:v>
      </x:c>
      <x:c r="O15" s="3" t="n">
        <x:f>SUM(C15:N15)</x:f>
        <x:v>2594.0199999999995</x:v>
      </x:c>
      <x:c r="P15" s="2" t="str">
        <x:v>EXP1.015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120.01</x:v>
      </x:c>
      <x:c r="D16" s="3" t="n">
        <x:f>ROUND(D216*D336,2)</x:f>
        <x:v>336.98</x:v>
      </x:c>
      <x:c r="E16" s="3" t="n">
        <x:f>ROUND(E216*E336,2)</x:f>
        <x:v>196.49</x:v>
      </x:c>
      <x:c r="F16" s="3" t="n">
        <x:f>ROUND(F216*F336,2)</x:f>
        <x:v>98.86</x:v>
      </x:c>
      <x:c r="G16" s="3" t="n">
        <x:f>ROUND(G216*G336,2)</x:f>
        <x:v>137.42</x:v>
      </x:c>
      <x:c r="H16" s="3" t="n">
        <x:f>ROUND(H216*H336,2)</x:f>
        <x:v>320.42</x:v>
      </x:c>
      <x:c r="I16" s="3" t="n">
        <x:f>ROUND(I216*I336,2)</x:f>
        <x:v>235.21</x:v>
      </x:c>
      <x:c r="J16" s="3" t="n">
        <x:f>ROUND(J216*J336,2)</x:f>
        <x:v>132</x:v>
      </x:c>
      <x:c r="K16" s="3" t="n">
        <x:f>ROUND(K216*K336,2)</x:f>
        <x:v>88.77</x:v>
      </x:c>
      <x:c r="L16" s="3" t="n">
        <x:f>ROUND(L216*L336,2)</x:f>
        <x:v>91.27</x:v>
      </x:c>
      <x:c r="M16" s="3" t="n">
        <x:f>ROUND(M216*M336,2)</x:f>
        <x:v>145.81</x:v>
      </x:c>
      <x:c r="N16" s="3" t="n">
        <x:f>ROUND(N216*N336,2)</x:f>
        <x:v>110.59</x:v>
      </x:c>
      <x:c r="O16" s="3" t="n">
        <x:f>SUM(C16:N16)</x:f>
        <x:v>2013.83</x:v>
      </x:c>
      <x:c r="P16" s="2" t="str">
        <x:v>EXP1.016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 t="str">
        <x:v>咨询服务费</x:v>
      </x:c>
      <x:c r="C17" s="3" t="n">
        <x:f>ROUND(C217*C337,2)</x:f>
        <x:v>156.83</x:v>
      </x:c>
      <x:c r="D17" s="3" t="n">
        <x:f>ROUND(D217*D337,2)</x:f>
        <x:v>58.22</x:v>
      </x:c>
      <x:c r="E17" s="3" t="n">
        <x:f>ROUND(E217*E337,2)</x:f>
        <x:v>119.05</x:v>
      </x:c>
      <x:c r="F17" s="3" t="n">
        <x:f>ROUND(F217*F337,2)</x:f>
        <x:v>219.31</x:v>
      </x:c>
      <x:c r="G17" s="3" t="n">
        <x:f>ROUND(G217*G337,2)</x:f>
        <x:v>520.29</x:v>
      </x:c>
      <x:c r="H17" s="3" t="n">
        <x:f>ROUND(H217*H337,2)</x:f>
        <x:v>188.51</x:v>
      </x:c>
      <x:c r="I17" s="3" t="n">
        <x:f>ROUND(I217*I337,2)</x:f>
        <x:v>120.81</x:v>
      </x:c>
      <x:c r="J17" s="3" t="n">
        <x:f>ROUND(J217*J337,2)</x:f>
        <x:v>427.65</x:v>
      </x:c>
      <x:c r="K17" s="3" t="n">
        <x:f>ROUND(K217*K337,2)</x:f>
        <x:v>309.17</x:v>
      </x:c>
      <x:c r="L17" s="3" t="n">
        <x:f>ROUND(L217*L337,2)</x:f>
        <x:v>402.61</x:v>
      </x:c>
      <x:c r="M17" s="3" t="n">
        <x:f>ROUND(M217*M337,2)</x:f>
        <x:v>181.34</x:v>
      </x:c>
      <x:c r="N17" s="3" t="n">
        <x:f>ROUND(N217*N337,2)</x:f>
        <x:v>93.06</x:v>
      </x:c>
      <x:c r="O17" s="3" t="n">
        <x:f>SUM(C17:N17)</x:f>
        <x:v>2796.8500000000004</x:v>
      </x:c>
      <x:c r="P17" s="2" t="str">
        <x:v>EXP1.017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324.15</x:v>
      </x:c>
      <x:c r="D18" s="3" t="n">
        <x:f>ROUND(D218*D338,2)</x:f>
        <x:v>130.29</x:v>
      </x:c>
      <x:c r="E18" s="3" t="n">
        <x:f>ROUND(E218*E338,2)</x:f>
        <x:v>141.79</x:v>
      </x:c>
      <x:c r="F18" s="3" t="n">
        <x:f>ROUND(F218*F338,2)</x:f>
        <x:v>164.77</x:v>
      </x:c>
      <x:c r="G18" s="3" t="n">
        <x:f>ROUND(G218*G338,2)</x:f>
        <x:v>188.67</x:v>
      </x:c>
      <x:c r="H18" s="3" t="n">
        <x:f>ROUND(H218*H338,2)</x:f>
        <x:v>547</x:v>
      </x:c>
      <x:c r="I18" s="3" t="n">
        <x:f>ROUND(I218*I338,2)</x:f>
        <x:v>240.55</x:v>
      </x:c>
      <x:c r="J18" s="3" t="n">
        <x:f>ROUND(J218*J338,2)</x:f>
        <x:v>119.33</x:v>
      </x:c>
      <x:c r="K18" s="3" t="n">
        <x:f>ROUND(K218*K338,2)</x:f>
        <x:v>190.64</x:v>
      </x:c>
      <x:c r="L18" s="3" t="n">
        <x:f>ROUND(L218*L338,2)</x:f>
        <x:v>485.58</x:v>
      </x:c>
      <x:c r="M18" s="3" t="n">
        <x:f>ROUND(M218*M338,2)</x:f>
        <x:v>332.6</x:v>
      </x:c>
      <x:c r="N18" s="3" t="n">
        <x:f>ROUND(N218*N338,2)</x:f>
        <x:v>81.84</x:v>
      </x:c>
      <x:c r="O18" s="3" t="n">
        <x:f>SUM(C18:N18)</x:f>
        <x:v>2947.2099999999996</x:v>
      </x:c>
      <x:c r="P18" s="2" t="str">
        <x:v>EXP1.018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174.02</x:v>
      </x:c>
      <x:c r="D19" s="3" t="n">
        <x:f>ROUND(D219*D339,2)</x:f>
        <x:v>336.65</x:v>
      </x:c>
      <x:c r="E19" s="3" t="n">
        <x:f>ROUND(E219*E339,2)</x:f>
        <x:v>253.1</x:v>
      </x:c>
      <x:c r="F19" s="3" t="n">
        <x:f>ROUND(F219*F339,2)</x:f>
        <x:v>227.72</x:v>
      </x:c>
      <x:c r="G19" s="3" t="n">
        <x:f>ROUND(G219*G339,2)</x:f>
        <x:v>105.94</x:v>
      </x:c>
      <x:c r="H19" s="3" t="n">
        <x:f>ROUND(H219*H339,2)</x:f>
        <x:v>272.79</x:v>
      </x:c>
      <x:c r="I19" s="3" t="n">
        <x:f>ROUND(I219*I339,2)</x:f>
        <x:v>283.55</x:v>
      </x:c>
      <x:c r="J19" s="3" t="n">
        <x:f>ROUND(J219*J339,2)</x:f>
        <x:v>190.54</x:v>
      </x:c>
      <x:c r="K19" s="3" t="n">
        <x:f>ROUND(K219*K339,2)</x:f>
        <x:v>378.78</x:v>
      </x:c>
      <x:c r="L19" s="3" t="n">
        <x:f>ROUND(L219*L339,2)</x:f>
        <x:v>244.09</x:v>
      </x:c>
      <x:c r="M19" s="3" t="n">
        <x:f>ROUND(M219*M339,2)</x:f>
        <x:v>515.45</x:v>
      </x:c>
      <x:c r="N19" s="3" t="n">
        <x:f>ROUND(N219*N339,2)</x:f>
        <x:v>300.89</x:v>
      </x:c>
      <x:c r="O19" s="3" t="n">
        <x:f>SUM(C19:N19)</x:f>
        <x:v>3283.52</x:v>
      </x:c>
      <x:c r="P19" s="2" t="str">
        <x:v>EXP1.019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700.33</x:v>
      </x:c>
      <x:c r="D20" s="3" t="n">
        <x:f>ROUND('摊销明细'!D33/3,2)</x:f>
        <x:v>700.33</x:v>
      </x:c>
      <x:c r="E20" s="3" t="n">
        <x:f>ROUND('摊销明细'!E33/3,2)</x:f>
        <x:v>700.33</x:v>
      </x:c>
      <x:c r="F20" s="3" t="n">
        <x:f>ROUND('摊销明细'!F33/3,2)</x:f>
        <x:v>700.33</x:v>
      </x:c>
      <x:c r="G20" s="3" t="n">
        <x:f>ROUND('摊销明细'!G33/3,2)</x:f>
        <x:v>700.33</x:v>
      </x:c>
      <x:c r="H20" s="3" t="n">
        <x:f>ROUND('摊销明细'!H33/3,2)</x:f>
        <x:v>700.33</x:v>
      </x:c>
      <x:c r="I20" s="3" t="n">
        <x:f>ROUND('摊销明细'!I33/3,2)</x:f>
        <x:v>700.33</x:v>
      </x:c>
      <x:c r="J20" s="3" t="n">
        <x:f>ROUND('摊销明细'!J33/3,2)</x:f>
        <x:v>700.33</x:v>
      </x:c>
      <x:c r="K20" s="3" t="n">
        <x:f>ROUND('摊销明细'!K33/3,2)</x:f>
        <x:v>700.33</x:v>
      </x:c>
      <x:c r="L20" s="3" t="n">
        <x:f>ROUND('摊销明细'!L33/3,2)</x:f>
        <x:v>700.33</x:v>
      </x:c>
      <x:c r="M20" s="3" t="n">
        <x:f>ROUND('摊销明细'!M33/3,2)</x:f>
        <x:v>700.33</x:v>
      </x:c>
      <x:c r="N20" s="3" t="n">
        <x:f>ROUND('摊销明细'!N33/3,2)</x:f>
        <x:v>700.33</x:v>
      </x:c>
      <x:c r="O20" s="3" t="n">
        <x:f>SUM(C20:N20)</x:f>
        <x:v>8403.960000000001</x:v>
      </x:c>
      <x:c r="P20" s="2" t="str">
        <x:v>EXP1.020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150.61</x:v>
      </x:c>
      <x:c r="D21" s="3" t="n">
        <x:f>ROUND(D221*D341,2)</x:f>
        <x:v>382.86</x:v>
      </x:c>
      <x:c r="E21" s="3" t="n">
        <x:f>ROUND(E221*E341,2)</x:f>
        <x:v>113.31</x:v>
      </x:c>
      <x:c r="F21" s="3" t="n">
        <x:f>ROUND(F221*F341,2)</x:f>
        <x:v>451.97</x:v>
      </x:c>
      <x:c r="G21" s="3" t="n">
        <x:f>ROUND(G221*G341,2)</x:f>
        <x:v>81.68</x:v>
      </x:c>
      <x:c r="H21" s="3" t="n">
        <x:f>ROUND(H221*H341,2)</x:f>
        <x:v>383.53</x:v>
      </x:c>
      <x:c r="I21" s="3" t="n">
        <x:f>ROUND(I221*I341,2)</x:f>
        <x:v>43.75</x:v>
      </x:c>
      <x:c r="J21" s="3" t="n">
        <x:f>ROUND(J221*J341,2)</x:f>
        <x:v>235.54</x:v>
      </x:c>
      <x:c r="K21" s="3" t="n">
        <x:f>ROUND(K221*K341,2)</x:f>
        <x:v>91.46</x:v>
      </x:c>
      <x:c r="L21" s="3" t="n">
        <x:f>ROUND(L221*L341,2)</x:f>
        <x:v>321.51</x:v>
      </x:c>
      <x:c r="M21" s="3" t="n">
        <x:f>ROUND(M221*M341,2)</x:f>
        <x:v>117.2</x:v>
      </x:c>
      <x:c r="N21" s="3" t="n">
        <x:f>ROUND(N221*N341,2)</x:f>
        <x:v>263.57</x:v>
      </x:c>
      <x:c r="O21" s="3" t="n">
        <x:f>SUM(C21:N21)</x:f>
        <x:v>2636.9900000000002</x:v>
      </x:c>
      <x:c r="P21" s="2" t="str">
        <x:v>EXP1.021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50.62</x:v>
      </x:c>
      <x:c r="D22" s="3" t="n">
        <x:f>ROUND(D222*D342,2)</x:f>
        <x:v>90.89</x:v>
      </x:c>
      <x:c r="E22" s="3" t="n">
        <x:f>ROUND(E222*E342,2)</x:f>
        <x:v>336.52</x:v>
      </x:c>
      <x:c r="F22" s="3" t="n">
        <x:f>ROUND(F222*F342,2)</x:f>
        <x:v>269.38</x:v>
      </x:c>
      <x:c r="G22" s="3" t="n">
        <x:f>ROUND(G222*G342,2)</x:f>
        <x:v>155.81</x:v>
      </x:c>
      <x:c r="H22" s="3" t="n">
        <x:f>ROUND(H222*H342,2)</x:f>
        <x:v>153.68</x:v>
      </x:c>
      <x:c r="I22" s="3" t="n">
        <x:f>ROUND(I222*I342,2)</x:f>
        <x:v>175.82</x:v>
      </x:c>
      <x:c r="J22" s="3" t="n">
        <x:f>ROUND(J222*J342,2)</x:f>
        <x:v>255.85</x:v>
      </x:c>
      <x:c r="K22" s="3" t="n">
        <x:f>ROUND(K222*K342,2)</x:f>
        <x:v>152.18</x:v>
      </x:c>
      <x:c r="L22" s="3" t="n">
        <x:f>ROUND(L222*L342,2)</x:f>
        <x:v>160.81</x:v>
      </x:c>
      <x:c r="M22" s="3" t="n">
        <x:f>ROUND(M222*M342,2)</x:f>
        <x:v>150.34</x:v>
      </x:c>
      <x:c r="N22" s="3" t="n">
        <x:f>ROUND(N222*N342,2)</x:f>
        <x:v>138.69</x:v>
      </x:c>
      <x:c r="O22" s="3" t="n">
        <x:f>SUM(C22:N22)</x:f>
        <x:v>2090.5899999999997</x:v>
      </x:c>
      <x:c r="P22" s="2" t="str">
        <x:v>EXP1.022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252.82</x:v>
      </x:c>
      <x:c r="D23" s="3" t="n">
        <x:f>ROUND(D223*D343,2)</x:f>
        <x:v>407.04</x:v>
      </x:c>
      <x:c r="E23" s="3" t="n">
        <x:f>ROUND(E223*E343,2)</x:f>
        <x:v>66.78</x:v>
      </x:c>
      <x:c r="F23" s="3" t="n">
        <x:f>ROUND(F223*F343,2)</x:f>
        <x:v>58.38</x:v>
      </x:c>
      <x:c r="G23" s="3" t="n">
        <x:f>ROUND(G223*G343,2)</x:f>
        <x:v>205.93</x:v>
      </x:c>
      <x:c r="H23" s="3" t="n">
        <x:f>ROUND(H223*H343,2)</x:f>
        <x:v>149.07</x:v>
      </x:c>
      <x:c r="I23" s="3" t="n">
        <x:f>ROUND(I223*I343,2)</x:f>
        <x:v>182.29</x:v>
      </x:c>
      <x:c r="J23" s="3" t="n">
        <x:f>ROUND(J223*J343,2)</x:f>
        <x:v>131.33</x:v>
      </x:c>
      <x:c r="K23" s="3" t="n">
        <x:f>ROUND(K223*K343,2)</x:f>
        <x:v>240.04</x:v>
      </x:c>
      <x:c r="L23" s="3" t="n">
        <x:f>ROUND(L223*L343,2)</x:f>
        <x:v>143.02</x:v>
      </x:c>
      <x:c r="M23" s="3" t="n">
        <x:f>ROUND(M223*M343,2)</x:f>
        <x:v>306.57</x:v>
      </x:c>
      <x:c r="N23" s="3" t="n">
        <x:f>ROUND(N223*N343,2)</x:f>
        <x:v>576.7</x:v>
      </x:c>
      <x:c r="O23" s="3" t="n">
        <x:f>SUM(C23:N23)</x:f>
        <x:v>2719.9700000000003</x:v>
      </x:c>
      <x:c r="P23" s="2" t="str">
        <x:v>EXP1.023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237.12</x:v>
      </x:c>
      <x:c r="D24" s="3" t="n">
        <x:f>ROUND(D224*D344,2)</x:f>
        <x:v>106.63</x:v>
      </x:c>
      <x:c r="E24" s="3" t="n">
        <x:f>ROUND(E224*E344,2)</x:f>
        <x:v>381.07</x:v>
      </x:c>
      <x:c r="F24" s="3" t="n">
        <x:f>ROUND(F224*F344,2)</x:f>
        <x:v>116.73</x:v>
      </x:c>
      <x:c r="G24" s="3" t="n">
        <x:f>ROUND(G224*G344,2)</x:f>
        <x:v>582.61</x:v>
      </x:c>
      <x:c r="H24" s="3" t="n">
        <x:f>ROUND(H224*H344,2)</x:f>
        <x:v>214.86</x:v>
      </x:c>
      <x:c r="I24" s="3" t="n">
        <x:f>ROUND(I224*I344,2)</x:f>
        <x:v>450.74</x:v>
      </x:c>
      <x:c r="J24" s="3" t="n">
        <x:f>ROUND(J224*J344,2)</x:f>
        <x:v>102.49</x:v>
      </x:c>
      <x:c r="K24" s="3" t="n">
        <x:f>ROUND(K224*K344,2)</x:f>
        <x:v>138.23</x:v>
      </x:c>
      <x:c r="L24" s="3" t="n">
        <x:f>ROUND(L224*L344,2)</x:f>
        <x:v>191.6</x:v>
      </x:c>
      <x:c r="M24" s="3" t="n">
        <x:f>ROUND(M224*M344,2)</x:f>
        <x:v>236.17</x:v>
      </x:c>
      <x:c r="N24" s="3" t="n">
        <x:f>ROUND(N224*N344,2)</x:f>
        <x:v>339.08</x:v>
      </x:c>
      <x:c r="O24" s="3" t="n">
        <x:f>SUM(C24:N24)</x:f>
        <x:v>3097.33</x:v>
      </x:c>
      <x:c r="P24" s="2" t="str">
        <x:v>EXP1.024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234.66</x:v>
      </x:c>
      <x:c r="D25" s="3" t="n">
        <x:f>ROUND(D225*D345,2)</x:f>
        <x:v>504.22</x:v>
      </x:c>
      <x:c r="E25" s="3" t="n">
        <x:f>ROUND(E225*E345,2)</x:f>
        <x:v>260.04</x:v>
      </x:c>
      <x:c r="F25" s="3" t="n">
        <x:f>ROUND(F225*F345,2)</x:f>
        <x:v>375.51</x:v>
      </x:c>
      <x:c r="G25" s="3" t="n">
        <x:f>ROUND(G225*G345,2)</x:f>
        <x:v>167.69</x:v>
      </x:c>
      <x:c r="H25" s="3" t="n">
        <x:f>ROUND(H225*H345,2)</x:f>
        <x:v>190.17</x:v>
      </x:c>
      <x:c r="I25" s="3" t="n">
        <x:f>ROUND(I225*I345,2)</x:f>
        <x:v>357.41</x:v>
      </x:c>
      <x:c r="J25" s="3" t="n">
        <x:f>ROUND(J225*J345,2)</x:f>
        <x:v>251.93</x:v>
      </x:c>
      <x:c r="K25" s="3" t="n">
        <x:f>ROUND(K225*K345,2)</x:f>
        <x:v>254.49</x:v>
      </x:c>
      <x:c r="L25" s="3" t="n">
        <x:f>ROUND(L225*L345,2)</x:f>
        <x:v>200.42</x:v>
      </x:c>
      <x:c r="M25" s="3" t="n">
        <x:f>ROUND(M225*M345,2)</x:f>
        <x:v>94.07</x:v>
      </x:c>
      <x:c r="N25" s="3" t="n">
        <x:f>ROUND(N225*N345,2)</x:f>
        <x:v>233.78</x:v>
      </x:c>
      <x:c r="O25" s="3" t="n">
        <x:f>SUM(C25:N25)</x:f>
        <x:v>3124.3900000000003</x:v>
      </x:c>
      <x:c r="P25" s="2" t="str">
        <x:v>EXP1.025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134.47</x:v>
      </x:c>
      <x:c r="D26" s="3" t="n">
        <x:f>ROUND(D226*D346,2)</x:f>
        <x:v>141.28</x:v>
      </x:c>
      <x:c r="E26" s="3" t="n">
        <x:f>ROUND(E226*E346,2)</x:f>
        <x:v>352.02</x:v>
      </x:c>
      <x:c r="F26" s="3" t="n">
        <x:f>ROUND(F226*F346,2)</x:f>
        <x:v>474.54</x:v>
      </x:c>
      <x:c r="G26" s="3" t="n">
        <x:f>ROUND(G226*G346,2)</x:f>
        <x:v>150.64</x:v>
      </x:c>
      <x:c r="H26" s="3" t="n">
        <x:f>ROUND(H226*H346,2)</x:f>
        <x:v>164.11</x:v>
      </x:c>
      <x:c r="I26" s="3" t="n">
        <x:f>ROUND(I226*I346,2)</x:f>
        <x:v>182.6</x:v>
      </x:c>
      <x:c r="J26" s="3" t="n">
        <x:f>ROUND(J226*J346,2)</x:f>
        <x:v>185.33</x:v>
      </x:c>
      <x:c r="K26" s="3" t="n">
        <x:f>ROUND(K226*K346,2)</x:f>
        <x:v>190.27</x:v>
      </x:c>
      <x:c r="L26" s="3" t="n">
        <x:f>ROUND(L226*L346,2)</x:f>
        <x:v>248.2</x:v>
      </x:c>
      <x:c r="M26" s="3" t="n">
        <x:f>ROUND(M226*M346,2)</x:f>
        <x:v>195.45</x:v>
      </x:c>
      <x:c r="N26" s="3" t="n">
        <x:f>ROUND(N226*N346,2)</x:f>
        <x:v>286.98</x:v>
      </x:c>
      <x:c r="O26" s="3" t="n">
        <x:f>SUM(C26:N26)</x:f>
        <x:v>2705.8899999999994</x:v>
      </x:c>
      <x:c r="P26" s="2" t="str">
        <x:v>EXP1.026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134.99</x:v>
      </x:c>
      <x:c r="D27" s="3" t="n">
        <x:f>ROUND(D227*D347,2)</x:f>
        <x:v>216.2</x:v>
      </x:c>
      <x:c r="E27" s="3" t="n">
        <x:f>ROUND(E227*E347,2)</x:f>
        <x:v>195.36</x:v>
      </x:c>
      <x:c r="F27" s="3" t="n">
        <x:f>ROUND(F227*F347,2)</x:f>
        <x:v>75.44</x:v>
      </x:c>
      <x:c r="G27" s="3" t="n">
        <x:f>ROUND(G227*G347,2)</x:f>
        <x:v>98.79</x:v>
      </x:c>
      <x:c r="H27" s="3" t="n">
        <x:f>ROUND(H227*H347,2)</x:f>
        <x:v>241.29</x:v>
      </x:c>
      <x:c r="I27" s="3" t="n">
        <x:f>ROUND(I227*I347,2)</x:f>
        <x:v>117.61</x:v>
      </x:c>
      <x:c r="J27" s="3" t="n">
        <x:f>ROUND(J227*J347,2)</x:f>
        <x:v>187.65</x:v>
      </x:c>
      <x:c r="K27" s="3" t="n">
        <x:f>ROUND(K227*K347,2)</x:f>
        <x:v>533.62</x:v>
      </x:c>
      <x:c r="L27" s="3" t="n">
        <x:f>ROUND(L227*L347,2)</x:f>
        <x:v>254.33</x:v>
      </x:c>
      <x:c r="M27" s="3" t="n">
        <x:f>ROUND(M227*M347,2)</x:f>
        <x:v>204.17</x:v>
      </x:c>
      <x:c r="N27" s="3" t="n">
        <x:f>ROUND(N227*N347,2)</x:f>
        <x:v>186.99</x:v>
      </x:c>
      <x:c r="O27" s="3" t="n">
        <x:f>SUM(C27:N27)</x:f>
        <x:v>2446.4399999999996</x:v>
      </x:c>
      <x:c r="P27" s="2" t="str">
        <x:v>EXP1.027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257.4</x:v>
      </x:c>
      <x:c r="D28" s="3" t="n">
        <x:f>ROUND(D228*D348,2)</x:f>
        <x:v>201.38</x:v>
      </x:c>
      <x:c r="E28" s="3" t="n">
        <x:f>ROUND(E228*E348,2)</x:f>
        <x:v>129.48</x:v>
      </x:c>
      <x:c r="F28" s="3" t="n">
        <x:f>ROUND(F228*F348,2)</x:f>
        <x:v>246.59</x:v>
      </x:c>
      <x:c r="G28" s="3" t="n">
        <x:f>ROUND(G228*G348,2)</x:f>
        <x:v>393.99</x:v>
      </x:c>
      <x:c r="H28" s="3" t="n">
        <x:f>ROUND(H228*H348,2)</x:f>
        <x:v>520.2</x:v>
      </x:c>
      <x:c r="I28" s="3" t="n">
        <x:f>ROUND(I228*I348,2)</x:f>
        <x:v>339.42</x:v>
      </x:c>
      <x:c r="J28" s="3" t="n">
        <x:f>ROUND(J228*J348,2)</x:f>
        <x:v>152.3</x:v>
      </x:c>
      <x:c r="K28" s="3" t="n">
        <x:f>ROUND(K228*K348,2)</x:f>
        <x:v>148.74</x:v>
      </x:c>
      <x:c r="L28" s="3" t="n">
        <x:f>ROUND(L228*L348,2)</x:f>
        <x:v>305.38</x:v>
      </x:c>
      <x:c r="M28" s="3" t="n">
        <x:f>ROUND(M228*M348,2)</x:f>
        <x:v>234.92</x:v>
      </x:c>
      <x:c r="N28" s="3" t="n">
        <x:f>ROUND(N228*N348,2)</x:f>
        <x:v>241.42</x:v>
      </x:c>
      <x:c r="O28" s="3" t="n">
        <x:f>SUM(C28:N28)</x:f>
        <x:v>3171.2200000000003</x:v>
      </x:c>
      <x:c r="P28" s="2" t="str">
        <x:v>EXP1.028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EXP1.029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121.33</x:v>
      </x:c>
      <x:c r="D30" s="6" t="n">
        <x:f>ROUND(D230*D350,2)</x:f>
        <x:v>327.65</x:v>
      </x:c>
      <x:c r="E30" s="6" t="n">
        <x:f>ROUND(E230*E350,2)</x:f>
        <x:v>65.12</x:v>
      </x:c>
      <x:c r="F30" s="6" t="n">
        <x:f>ROUND(F230*F350,2)</x:f>
        <x:v>219.06</x:v>
      </x:c>
      <x:c r="G30" s="6" t="n">
        <x:f>ROUND(G230*G350,2)</x:f>
        <x:v>208.71</x:v>
      </x:c>
      <x:c r="H30" s="6" t="n">
        <x:f>ROUND(H230*H350,2)</x:f>
        <x:v>395.99</x:v>
      </x:c>
      <x:c r="I30" s="6" t="n">
        <x:f>ROUND(I230*I350,2)</x:f>
        <x:v>57.47</x:v>
      </x:c>
      <x:c r="J30" s="6" t="n">
        <x:f>ROUND(J230*J350,2)</x:f>
        <x:v>246.33</x:v>
      </x:c>
      <x:c r="K30" s="6" t="n">
        <x:f>ROUND(K230*K350,2)</x:f>
        <x:v>171.42</x:v>
      </x:c>
      <x:c r="L30" s="6" t="n">
        <x:f>ROUND(L230*L350,2)</x:f>
        <x:v>239.67</x:v>
      </x:c>
      <x:c r="M30" s="6" t="n">
        <x:f>ROUND(M230*M350,2)</x:f>
        <x:v>157.39</x:v>
      </x:c>
      <x:c r="N30" s="6" t="n">
        <x:f>ROUND(N230*N350,2)</x:f>
        <x:v>219.72</x:v>
      </x:c>
      <x:c r="O30" s="6" t="n">
        <x:f>SUM(C30:N30)</x:f>
        <x:v>2429.8599999999997</x:v>
      </x:c>
      <x:c r="P30" s="2" t="str">
        <x:v>EXP1.030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452.44</x:v>
      </x:c>
      <x:c r="D31" s="3" t="n">
        <x:f>ROUND(D231*D351,2)</x:f>
        <x:v>160.7</x:v>
      </x:c>
      <x:c r="E31" s="3" t="n">
        <x:f>ROUND(E231*E351,2)</x:f>
        <x:v>202.24</x:v>
      </x:c>
      <x:c r="F31" s="3" t="n">
        <x:f>ROUND(F231*F351,2)</x:f>
        <x:v>283.49</x:v>
      </x:c>
      <x:c r="G31" s="3" t="n">
        <x:f>ROUND(G231*G351,2)</x:f>
        <x:v>122.37</x:v>
      </x:c>
      <x:c r="H31" s="3" t="n">
        <x:f>ROUND(H231*H351,2)</x:f>
        <x:v>331.52</x:v>
      </x:c>
      <x:c r="I31" s="3" t="n">
        <x:f>ROUND(I231*I351,2)</x:f>
        <x:v>81.38</x:v>
      </x:c>
      <x:c r="J31" s="3" t="n">
        <x:f>ROUND(J231*J351,2)</x:f>
        <x:v>177.58</x:v>
      </x:c>
      <x:c r="K31" s="3" t="n">
        <x:f>ROUND(K231*K351,2)</x:f>
        <x:v>61.58</x:v>
      </x:c>
      <x:c r="L31" s="3" t="n">
        <x:f>ROUND(L231*L351,2)</x:f>
        <x:v>267.9</x:v>
      </x:c>
      <x:c r="M31" s="3" t="n">
        <x:f>ROUND(M231*M351,2)</x:f>
        <x:v>331.94</x:v>
      </x:c>
      <x:c r="N31" s="3" t="n">
        <x:f>ROUND(N231*N351,2)</x:f>
        <x:v>91.44</x:v>
      </x:c>
      <x:c r="O31" s="3" t="n">
        <x:f>SUM(C31:N31)</x:f>
        <x:v>2564.58</x:v>
      </x:c>
      <x:c r="P31" s="2" t="str">
        <x:v>EXP1.031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393.52</x:v>
      </x:c>
      <x:c r="D32" s="3" t="n">
        <x:f>ROUND(D232*D352,2)</x:f>
        <x:v>114.21</x:v>
      </x:c>
      <x:c r="E32" s="3" t="n">
        <x:f>ROUND(E232*E352,2)</x:f>
        <x:v>197.44</x:v>
      </x:c>
      <x:c r="F32" s="3" t="n">
        <x:f>ROUND(F232*F352,2)</x:f>
        <x:v>136.72</x:v>
      </x:c>
      <x:c r="G32" s="3" t="n">
        <x:f>ROUND(G232*G352,2)</x:f>
        <x:v>258.25</x:v>
      </x:c>
      <x:c r="H32" s="3" t="n">
        <x:f>ROUND(H232*H352,2)</x:f>
        <x:v>160.72</x:v>
      </x:c>
      <x:c r="I32" s="3" t="n">
        <x:f>ROUND(I232*I352,2)</x:f>
        <x:v>568.43</x:v>
      </x:c>
      <x:c r="J32" s="3" t="n">
        <x:f>ROUND(J232*J352,2)</x:f>
        <x:v>313.77</x:v>
      </x:c>
      <x:c r="K32" s="3" t="n">
        <x:f>ROUND(K232*K352,2)</x:f>
        <x:v>245.94</x:v>
      </x:c>
      <x:c r="L32" s="3" t="n">
        <x:f>ROUND(L232*L352,2)</x:f>
        <x:v>247.79</x:v>
      </x:c>
      <x:c r="M32" s="3" t="n">
        <x:f>ROUND(M232*M352,2)</x:f>
        <x:v>125.27</x:v>
      </x:c>
      <x:c r="N32" s="3" t="n">
        <x:f>ROUND(N232*N352,2)</x:f>
        <x:v>137.21</x:v>
      </x:c>
      <x:c r="O32" s="3" t="n">
        <x:f>SUM(C32:N32)</x:f>
        <x:v>2899.27</x:v>
      </x:c>
      <x:c r="P32" s="2" t="str">
        <x:v>EXP1.032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64.13</x:v>
      </x:c>
      <x:c r="D33" s="3" t="n">
        <x:f>ROUND(D233*D353,2)</x:f>
        <x:v>190.51</x:v>
      </x:c>
      <x:c r="E33" s="3" t="n">
        <x:f>ROUND(E233*E353,2)</x:f>
        <x:v>120.06</x:v>
      </x:c>
      <x:c r="F33" s="3" t="n">
        <x:f>ROUND(F233*F353,2)</x:f>
        <x:v>173.58</x:v>
      </x:c>
      <x:c r="G33" s="3" t="n">
        <x:f>ROUND(G233*G353,2)</x:f>
        <x:v>489.8</x:v>
      </x:c>
      <x:c r="H33" s="3" t="n">
        <x:f>ROUND(H233*H353,2)</x:f>
        <x:v>233.79</x:v>
      </x:c>
      <x:c r="I33" s="3" t="n">
        <x:f>ROUND(I233*I353,2)</x:f>
        <x:v>216.68</x:v>
      </x:c>
      <x:c r="J33" s="3" t="n">
        <x:f>ROUND(J233*J353,2)</x:f>
        <x:v>150.66</x:v>
      </x:c>
      <x:c r="K33" s="3" t="n">
        <x:f>ROUND(K233*K353,2)</x:f>
        <x:v>201.04</x:v>
      </x:c>
      <x:c r="L33" s="3" t="n">
        <x:f>ROUND(L233*L353,2)</x:f>
        <x:v>186.04</x:v>
      </x:c>
      <x:c r="M33" s="3" t="n">
        <x:f>ROUND(M233*M353,2)</x:f>
        <x:v>315.96</x:v>
      </x:c>
      <x:c r="N33" s="3" t="n">
        <x:f>ROUND(N233*N353,2)</x:f>
        <x:v>357.66</x:v>
      </x:c>
      <x:c r="O33" s="3" t="n">
        <x:f>SUM(C33:N33)</x:f>
        <x:v>2699.91</x:v>
      </x:c>
      <x:c r="P33" s="2" t="str">
        <x:v>EXP1.033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6375.979999999999</x:v>
      </x:c>
      <x:c r="D34" s="3" t="n">
        <x:f>SUM(D4:D33)</x:f>
        <x:v>7341.83</x:v>
      </x:c>
      <x:c r="E34" s="3" t="n">
        <x:f>SUM(E4:E33)</x:f>
        <x:v>6220.15</x:v>
      </x:c>
      <x:c r="F34" s="3" t="n">
        <x:f>SUM(F4:F33)</x:f>
        <x:v>7563.08</x:v>
      </x:c>
      <x:c r="G34" s="3" t="n">
        <x:f>SUM(G4:G33)</x:f>
        <x:v>7755.750000000001</x:v>
      </x:c>
      <x:c r="H34" s="3" t="n">
        <x:f>SUM(H4:H33)</x:f>
        <x:v>7690.8499999999985</x:v>
      </x:c>
      <x:c r="I34" s="3" t="n">
        <x:f>SUM(I4:I33)</x:f>
        <x:v>6951.500000000001</x:v>
      </x:c>
      <x:c r="J34" s="3" t="n">
        <x:f>SUM(J4:J33)</x:f>
        <x:v>6786.950000000001</x:v>
      </x:c>
      <x:c r="K34" s="3" t="n">
        <x:f>SUM(K4:K33)</x:f>
        <x:v>7349.139999999999</x:v>
      </x:c>
      <x:c r="L34" s="3" t="n">
        <x:f>SUM(L4:L33)</x:f>
        <x:v>7719.790000000002</x:v>
      </x:c>
      <x:c r="M34" s="3" t="n">
        <x:f>SUM(M4:M33)</x:f>
        <x:v>7197.33</x:v>
      </x:c>
      <x:c r="N34" s="3" t="n">
        <x:f>SUM(N4:N33)</x:f>
        <x:v>7835.249999999999</x:v>
      </x:c>
      <x:c r="O34" s="3" t="n">
        <x:f>SUM(C34:N34)</x:f>
        <x:v>86787.6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58.27</x:v>
      </x:c>
      <x:c r="D204" s="4" t="n">
        <x:v>27.28</x:v>
      </x:c>
      <x:c r="E204" s="4" t="n">
        <x:v>65.98</x:v>
      </x:c>
      <x:c r="F204" s="4" t="n">
        <x:v>58.39</x:v>
      </x:c>
      <x:c r="G204" s="4" t="n">
        <x:v>64.45</x:v>
      </x:c>
      <x:c r="H204" s="4" t="n">
        <x:v>31.43</x:v>
      </x:c>
      <x:c r="I204" s="4" t="n">
        <x:v>33.8</x:v>
      </x:c>
      <x:c r="J204" s="4" t="n">
        <x:v>40.03</x:v>
      </x:c>
      <x:c r="K204" s="4" t="n">
        <x:v>58.69</x:v>
      </x:c>
      <x:c r="L204" s="4" t="n">
        <x:v>33.56</x:v>
      </x:c>
      <x:c r="M204" s="4" t="n">
        <x:v>29.83</x:v>
      </x:c>
      <x:c r="N204" s="4" t="n">
        <x:v>62.73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45.55</x:v>
      </x:c>
      <x:c r="D205" s="4" t="n">
        <x:v>64.78</x:v>
      </x:c>
      <x:c r="E205" s="4" t="n">
        <x:v>40.07</x:v>
      </x:c>
      <x:c r="F205" s="4" t="n">
        <x:v>58.26</x:v>
      </x:c>
      <x:c r="G205" s="4" t="n">
        <x:v>43.55</x:v>
      </x:c>
      <x:c r="H205" s="4" t="n">
        <x:v>46.65</x:v>
      </x:c>
      <x:c r="I205" s="4" t="n">
        <x:v>45.7</x:v>
      </x:c>
      <x:c r="J205" s="4" t="n">
        <x:v>37.95</x:v>
      </x:c>
      <x:c r="K205" s="4" t="n">
        <x:v>31.23</x:v>
      </x:c>
      <x:c r="L205" s="4" t="n">
        <x:v>31.93</x:v>
      </x:c>
      <x:c r="M205" s="4" t="n">
        <x:v>22.49</x:v>
      </x:c>
      <x:c r="N205" s="4" t="n">
        <x:v>53.37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52.28</x:v>
      </x:c>
      <x:c r="D206" s="4" t="n">
        <x:v>52.45</x:v>
      </x:c>
      <x:c r="E206" s="4" t="n">
        <x:v>21.01</x:v>
      </x:c>
      <x:c r="F206" s="4" t="n">
        <x:v>23.2</x:v>
      </x:c>
      <x:c r="G206" s="4" t="n">
        <x:v>24.4</x:v>
      </x:c>
      <x:c r="H206" s="4" t="n">
        <x:v>67.44</x:v>
      </x:c>
      <x:c r="I206" s="4" t="n">
        <x:v>61.14</x:v>
      </x:c>
      <x:c r="J206" s="4" t="n">
        <x:v>30.4</x:v>
      </x:c>
      <x:c r="K206" s="4" t="n">
        <x:v>48.51</x:v>
      </x:c>
      <x:c r="L206" s="4" t="n">
        <x:v>64.45</x:v>
      </x:c>
      <x:c r="M206" s="4" t="n">
        <x:v>64.39</x:v>
      </x:c>
      <x:c r="N206" s="4" t="n">
        <x:v>19.19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31.01</x:v>
      </x:c>
      <x:c r="D207" s="4" t="n">
        <x:v>24.06</x:v>
      </x:c>
      <x:c r="E207" s="4" t="n">
        <x:v>44.75</x:v>
      </x:c>
      <x:c r="F207" s="4" t="n">
        <x:v>42.25</x:v>
      </x:c>
      <x:c r="G207" s="4" t="n">
        <x:v>30.84</x:v>
      </x:c>
      <x:c r="H207" s="4" t="n">
        <x:v>32.76</x:v>
      </x:c>
      <x:c r="I207" s="4" t="n">
        <x:v>48.78</x:v>
      </x:c>
      <x:c r="J207" s="4" t="n">
        <x:v>66.13</x:v>
      </x:c>
      <x:c r="K207" s="4" t="n">
        <x:v>61.83</x:v>
      </x:c>
      <x:c r="L207" s="4" t="n">
        <x:v>56.92</x:v>
      </x:c>
      <x:c r="M207" s="4" t="n">
        <x:v>34.78</x:v>
      </x:c>
      <x:c r="N207" s="4" t="n">
        <x:v>37.86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60.02</x:v>
      </x:c>
      <x:c r="D208" s="4" t="n">
        <x:v>20.9</x:v>
      </x:c>
      <x:c r="E208" s="4" t="n">
        <x:v>56.56</x:v>
      </x:c>
      <x:c r="F208" s="4" t="n">
        <x:v>27.83</x:v>
      </x:c>
      <x:c r="G208" s="4" t="n">
        <x:v>40.9</x:v>
      </x:c>
      <x:c r="H208" s="4" t="n">
        <x:v>17.39</x:v>
      </x:c>
      <x:c r="I208" s="4" t="n">
        <x:v>65.54</x:v>
      </x:c>
      <x:c r="J208" s="4" t="n">
        <x:v>50.02</x:v>
      </x:c>
      <x:c r="K208" s="4" t="n">
        <x:v>22.62</x:v>
      </x:c>
      <x:c r="L208" s="4" t="n">
        <x:v>26.79</x:v>
      </x:c>
      <x:c r="M208" s="4" t="n">
        <x:v>35.62</x:v>
      </x:c>
      <x:c r="N208" s="4" t="n">
        <x:v>51.66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17.68</x:v>
      </x:c>
      <x:c r="D209" s="4" t="n">
        <x:v>19.37</x:v>
      </x:c>
      <x:c r="E209" s="4" t="n">
        <x:v>53.63</x:v>
      </x:c>
      <x:c r="F209" s="4" t="n">
        <x:v>66.99</x:v>
      </x:c>
      <x:c r="G209" s="4" t="n">
        <x:v>36.74</x:v>
      </x:c>
      <x:c r="H209" s="4" t="n">
        <x:v>57.72</x:v>
      </x:c>
      <x:c r="I209" s="4" t="n">
        <x:v>50.69</x:v>
      </x:c>
      <x:c r="J209" s="4" t="n">
        <x:v>30.66</x:v>
      </x:c>
      <x:c r="K209" s="4" t="n">
        <x:v>53.02</x:v>
      </x:c>
      <x:c r="L209" s="4" t="n">
        <x:v>23.09</x:v>
      </x:c>
      <x:c r="M209" s="4" t="n">
        <x:v>51.74</x:v>
      </x:c>
      <x:c r="N209" s="4" t="n">
        <x:v>55.56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43.38</x:v>
      </x:c>
      <x:c r="D210" s="4" t="n">
        <x:v>36.44</x:v>
      </x:c>
      <x:c r="E210" s="4" t="n">
        <x:v>27.46</x:v>
      </x:c>
      <x:c r="F210" s="4" t="n">
        <x:v>25.26</x:v>
      </x:c>
      <x:c r="G210" s="4" t="n">
        <x:v>45.73</x:v>
      </x:c>
      <x:c r="H210" s="4" t="n">
        <x:v>59.38</x:v>
      </x:c>
      <x:c r="I210" s="4" t="n">
        <x:v>39.13</x:v>
      </x:c>
      <x:c r="J210" s="4" t="n">
        <x:v>31.37</x:v>
      </x:c>
      <x:c r="K210" s="4" t="n">
        <x:v>63.46</x:v>
      </x:c>
      <x:c r="L210" s="4" t="n">
        <x:v>39.24</x:v>
      </x:c>
      <x:c r="M210" s="4" t="n">
        <x:v>57.04</x:v>
      </x:c>
      <x:c r="N210" s="4" t="n">
        <x:v>60.8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21.7</x:v>
      </x:c>
      <x:c r="D211" s="4" t="n">
        <x:v>35.87</x:v>
      </x:c>
      <x:c r="E211" s="4" t="n">
        <x:v>37.71</x:v>
      </x:c>
      <x:c r="F211" s="4" t="n">
        <x:v>46.52</x:v>
      </x:c>
      <x:c r="G211" s="4" t="n">
        <x:v>60.6</x:v>
      </x:c>
      <x:c r="H211" s="4" t="n">
        <x:v>38.27</x:v>
      </x:c>
      <x:c r="I211" s="4" t="n">
        <x:v>65.95</x:v>
      </x:c>
      <x:c r="J211" s="4" t="n">
        <x:v>31.71</x:v>
      </x:c>
      <x:c r="K211" s="4" t="n">
        <x:v>59.71</x:v>
      </x:c>
      <x:c r="L211" s="4" t="n">
        <x:v>36.04</x:v>
      </x:c>
      <x:c r="M211" s="4" t="n">
        <x:v>39.33</x:v>
      </x:c>
      <x:c r="N211" s="4" t="n">
        <x:v>21.43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37.32</x:v>
      </x:c>
      <x:c r="D212" s="4" t="n">
        <x:v>63.13</x:v>
      </x:c>
      <x:c r="E212" s="4" t="n">
        <x:v>44.94</x:v>
      </x:c>
      <x:c r="F212" s="4" t="n">
        <x:v>49.85</x:v>
      </x:c>
      <x:c r="G212" s="4" t="n">
        <x:v>30.31</x:v>
      </x:c>
      <x:c r="H212" s="4" t="n">
        <x:v>20.32</x:v>
      </x:c>
      <x:c r="I212" s="4" t="n">
        <x:v>67.41</x:v>
      </x:c>
      <x:c r="J212" s="4" t="n">
        <x:v>37.97</x:v>
      </x:c>
      <x:c r="K212" s="4" t="n">
        <x:v>50.28</x:v>
      </x:c>
      <x:c r="L212" s="4" t="n">
        <x:v>32.48</x:v>
      </x:c>
      <x:c r="M212" s="4" t="n">
        <x:v>33.21</x:v>
      </x:c>
      <x:c r="N212" s="4" t="n">
        <x:v>46.78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48.56</x:v>
      </x:c>
      <x:c r="D213" s="4" t="n">
        <x:v>66.52</x:v>
      </x:c>
      <x:c r="E213" s="4" t="n">
        <x:v>23.76</x:v>
      </x:c>
      <x:c r="F213" s="4" t="n">
        <x:v>27.2</x:v>
      </x:c>
      <x:c r="G213" s="4" t="n">
        <x:v>59.31</x:v>
      </x:c>
      <x:c r="H213" s="4" t="n">
        <x:v>52.86</x:v>
      </x:c>
      <x:c r="I213" s="4" t="n">
        <x:v>29.02</x:v>
      </x:c>
      <x:c r="J213" s="4" t="n">
        <x:v>63.84</x:v>
      </x:c>
      <x:c r="K213" s="4" t="n">
        <x:v>42.28</x:v>
      </x:c>
      <x:c r="L213" s="4" t="n">
        <x:v>50.76</x:v>
      </x:c>
      <x:c r="M213" s="4" t="n">
        <x:v>61.01</x:v>
      </x:c>
      <x:c r="N213" s="4" t="n">
        <x:v>40.79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23.25</x:v>
      </x:c>
      <x:c r="D214" s="4" t="n">
        <x:v>67.48</x:v>
      </x:c>
      <x:c r="E214" s="4" t="n">
        <x:v>67.43</x:v>
      </x:c>
      <x:c r="F214" s="4" t="n">
        <x:v>44.22</x:v>
      </x:c>
      <x:c r="G214" s="4" t="n">
        <x:v>29.23</x:v>
      </x:c>
      <x:c r="H214" s="4" t="n">
        <x:v>38.29</x:v>
      </x:c>
      <x:c r="I214" s="4" t="n">
        <x:v>32.69</x:v>
      </x:c>
      <x:c r="J214" s="4" t="n">
        <x:v>45.84</x:v>
      </x:c>
      <x:c r="K214" s="4" t="n">
        <x:v>62.62</x:v>
      </x:c>
      <x:c r="L214" s="4" t="n">
        <x:v>35.42</x:v>
      </x:c>
      <x:c r="M214" s="4" t="n">
        <x:v>18.56</x:v>
      </x:c>
      <x:c r="N214" s="4" t="n">
        <x:v>59.37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43.56</x:v>
      </x:c>
      <x:c r="D215" s="4" t="n">
        <x:v>40.03</x:v>
      </x:c>
      <x:c r="E215" s="4" t="n">
        <x:v>23.11</x:v>
      </x:c>
      <x:c r="F215" s="4" t="n">
        <x:v>20.8</x:v>
      </x:c>
      <x:c r="G215" s="4" t="n">
        <x:v>60.51</x:v>
      </x:c>
      <x:c r="H215" s="4" t="n">
        <x:v>21.7</x:v>
      </x:c>
      <x:c r="I215" s="4" t="n">
        <x:v>50.95</x:v>
      </x:c>
      <x:c r="J215" s="4" t="n">
        <x:v>64.42</x:v>
      </x:c>
      <x:c r="K215" s="4" t="n">
        <x:v>18.57</x:v>
      </x:c>
      <x:c r="L215" s="4" t="n">
        <x:v>54.88</x:v>
      </x:c>
      <x:c r="M215" s="4" t="n">
        <x:v>31.03</x:v>
      </x:c>
      <x:c r="N215" s="4" t="n">
        <x:v>45.95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41.24</x:v>
      </x:c>
      <x:c r="D216" s="4" t="n">
        <x:v>58.2</x:v>
      </x:c>
      <x:c r="E216" s="4" t="n">
        <x:v>63.59</x:v>
      </x:c>
      <x:c r="F216" s="4" t="n">
        <x:v>20.9</x:v>
      </x:c>
      <x:c r="G216" s="4" t="n">
        <x:v>18.25</x:v>
      </x:c>
      <x:c r="H216" s="4" t="n">
        <x:v>47.61</x:v>
      </x:c>
      <x:c r="I216" s="4" t="n">
        <x:v>44.13</x:v>
      </x:c>
      <x:c r="J216" s="4" t="n">
        <x:v>59.46</x:v>
      </x:c>
      <x:c r="K216" s="4" t="n">
        <x:v>20.22</x:v>
      </x:c>
      <x:c r="L216" s="4" t="n">
        <x:v>28.17</x:v>
      </x:c>
      <x:c r="M216" s="4" t="n">
        <x:v>22.33</x:v>
      </x:c>
      <x:c r="N216" s="4" t="n">
        <x:v>18.28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27.66</x:v>
      </x:c>
      <x:c r="D217" s="4" t="n">
        <x:v>19.47</x:v>
      </x:c>
      <x:c r="E217" s="4" t="n">
        <x:v>20.85</x:v>
      </x:c>
      <x:c r="F217" s="4" t="n">
        <x:v>33.33</x:v>
      </x:c>
      <x:c r="G217" s="4" t="n">
        <x:v>65.86</x:v>
      </x:c>
      <x:c r="H217" s="4" t="n">
        <x:v>27.32</x:v>
      </x:c>
      <x:c r="I217" s="4" t="n">
        <x:v>34.03</x:v>
      </x:c>
      <x:c r="J217" s="4" t="n">
        <x:v>67.24</x:v>
      </x:c>
      <x:c r="K217" s="4" t="n">
        <x:v>56.11</x:v>
      </x:c>
      <x:c r="L217" s="4" t="n">
        <x:v>61.94</x:v>
      </x:c>
      <x:c r="M217" s="4" t="n">
        <x:v>22.36</x:v>
      </x:c>
      <x:c r="N217" s="4" t="n">
        <x:v>23.44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43.51</x:v>
      </x:c>
      <x:c r="D218" s="4" t="n">
        <x:v>20.78</x:v>
      </x:c>
      <x:c r="E218" s="4" t="n">
        <x:v>21.78</x:v>
      </x:c>
      <x:c r="F218" s="4" t="n">
        <x:v>51.17</x:v>
      </x:c>
      <x:c r="G218" s="4" t="n">
        <x:v>31.71</x:v>
      </x:c>
      <x:c r="H218" s="4" t="n">
        <x:v>66.87</x:v>
      </x:c>
      <x:c r="I218" s="4" t="n">
        <x:v>31.61</x:v>
      </x:c>
      <x:c r="J218" s="4" t="n">
        <x:v>33.24</x:v>
      </x:c>
      <x:c r="K218" s="4" t="n">
        <x:v>53.4</x:v>
      </x:c>
      <x:c r="L218" s="4" t="n">
        <x:v>61.31</x:v>
      </x:c>
      <x:c r="M218" s="4" t="n">
        <x:v>38.9</x:v>
      </x:c>
      <x:c r="N218" s="4" t="n">
        <x:v>18.77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31.93</x:v>
      </x:c>
      <x:c r="D219" s="4" t="n">
        <x:v>64.99</x:v>
      </x:c>
      <x:c r="E219" s="4" t="n">
        <x:v>65.74</x:v>
      </x:c>
      <x:c r="F219" s="4" t="n">
        <x:v>40.52</x:v>
      </x:c>
      <x:c r="G219" s="4" t="n">
        <x:v>41.71</x:v>
      </x:c>
      <x:c r="H219" s="4" t="n">
        <x:v>58.79</x:v>
      </x:c>
      <x:c r="I219" s="4" t="n">
        <x:v>40.22</x:v>
      </x:c>
      <x:c r="J219" s="4" t="n">
        <x:v>49.75</x:v>
      </x:c>
      <x:c r="K219" s="4" t="n">
        <x:v>64.2</x:v>
      </x:c>
      <x:c r="L219" s="4" t="n">
        <x:v>38.93</x:v>
      </x:c>
      <x:c r="M219" s="4" t="n">
        <x:v>65.33</x:v>
      </x:c>
      <x:c r="N219" s="4" t="n">
        <x:v>46.94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19.21</x:v>
      </x:c>
      <x:c r="D221" s="4" t="n">
        <x:v>56.72</x:v>
      </x:c>
      <x:c r="E221" s="4" t="n">
        <x:v>20.09</x:v>
      </x:c>
      <x:c r="F221" s="4" t="n">
        <x:v>58.47</x:v>
      </x:c>
      <x:c r="G221" s="4" t="n">
        <x:v>27.41</x:v>
      </x:c>
      <x:c r="H221" s="4" t="n">
        <x:v>60.02</x:v>
      </x:c>
      <x:c r="I221" s="4" t="n">
        <x:v>19.62</x:v>
      </x:c>
      <x:c r="J221" s="4" t="n">
        <x:v>56.62</x:v>
      </x:c>
      <x:c r="K221" s="4" t="n">
        <x:v>36.88</x:v>
      </x:c>
      <x:c r="L221" s="4" t="n">
        <x:v>40.29</x:v>
      </x:c>
      <x:c r="M221" s="4" t="n">
        <x:v>42.31</x:v>
      </x:c>
      <x:c r="N221" s="4" t="n">
        <x:v>53.14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21.09</x:v>
      </x:c>
      <x:c r="D222" s="4" t="n">
        <x:v>31.56</x:v>
      </x:c>
      <x:c r="E222" s="4" t="n">
        <x:v>67.17</x:v>
      </x:c>
      <x:c r="F222" s="4" t="n">
        <x:v>34.36</x:v>
      </x:c>
      <x:c r="G222" s="4" t="n">
        <x:v>34.78</x:v>
      </x:c>
      <x:c r="H222" s="4" t="n">
        <x:v>24.05</x:v>
      </x:c>
      <x:c r="I222" s="4" t="n">
        <x:v>51.11</x:v>
      </x:c>
      <x:c r="J222" s="4" t="n">
        <x:v>37.35</x:v>
      </x:c>
      <x:c r="K222" s="4" t="n">
        <x:v>33.01</x:v>
      </x:c>
      <x:c r="L222" s="4" t="n">
        <x:v>44.3</x:v>
      </x:c>
      <x:c r="M222" s="4" t="n">
        <x:v>35.71</x:v>
      </x:c>
      <x:c r="N222" s="4" t="n">
        <x:v>32.71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67.6</x:v>
      </x:c>
      <x:c r="D223" s="4" t="n">
        <x:v>65.23</x:v>
      </x:c>
      <x:c r="E223" s="4" t="n">
        <x:v>18.55</x:v>
      </x:c>
      <x:c r="F223" s="4" t="n">
        <x:v>20.63</x:v>
      </x:c>
      <x:c r="G223" s="4" t="n">
        <x:v>42.46</x:v>
      </x:c>
      <x:c r="H223" s="4" t="n">
        <x:v>46.01</x:v>
      </x:c>
      <x:c r="I223" s="4" t="n">
        <x:v>40.33</x:v>
      </x:c>
      <x:c r="J223" s="4" t="n">
        <x:v>34.47</x:v>
      </x:c>
      <x:c r="K223" s="4" t="n">
        <x:v>57.84</x:v>
      </x:c>
      <x:c r="L223" s="4" t="n">
        <x:v>55.22</x:v>
      </x:c>
      <x:c r="M223" s="4" t="n">
        <x:v>35.94</x:v>
      </x:c>
      <x:c r="N223" s="4" t="n">
        <x:v>66.98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37.46</x:v>
      </x:c>
      <x:c r="D224" s="4" t="n">
        <x:v>18.84</x:v>
      </x:c>
      <x:c r="E224" s="4" t="n">
        <x:v>54.83</x:v>
      </x:c>
      <x:c r="F224" s="4" t="n">
        <x:v>27.02</x:v>
      </x:c>
      <x:c r="G224" s="4" t="n">
        <x:v>66.66</x:v>
      </x:c>
      <x:c r="H224" s="4" t="n">
        <x:v>42.8</x:v>
      </x:c>
      <x:c r="I224" s="4" t="n">
        <x:v>54.11</x:v>
      </x:c>
      <x:c r="J224" s="4" t="n">
        <x:v>26.62</x:v>
      </x:c>
      <x:c r="K224" s="4" t="n">
        <x:v>54.42</x:v>
      </x:c>
      <x:c r="L224" s="4" t="n">
        <x:v>42.96</x:v>
      </x:c>
      <x:c r="M224" s="4" t="n">
        <x:v>63.83</x:v>
      </x:c>
      <x:c r="N224" s="4" t="n">
        <x:v>43.25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34.92</x:v>
      </x:c>
      <x:c r="D225" s="4" t="n">
        <x:v>62.87</x:v>
      </x:c>
      <x:c r="E225" s="4" t="n">
        <x:v>53.07</x:v>
      </x:c>
      <x:c r="F225" s="4" t="n">
        <x:v>64.52</x:v>
      </x:c>
      <x:c r="G225" s="4" t="n">
        <x:v>61.65</x:v>
      </x:c>
      <x:c r="H225" s="4" t="n">
        <x:v>43.22</x:v>
      </x:c>
      <x:c r="I225" s="4" t="n">
        <x:v>47.09</x:v>
      </x:c>
      <x:c r="J225" s="4" t="n">
        <x:v>67.36</x:v>
      </x:c>
      <x:c r="K225" s="4" t="n">
        <x:v>47.48</x:v>
      </x:c>
      <x:c r="L225" s="4" t="n">
        <x:v>41.41</x:v>
      </x:c>
      <x:c r="M225" s="4" t="n">
        <x:v>41.81</x:v>
      </x:c>
      <x:c r="N225" s="4" t="n">
        <x:v>38.77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31.2</x:v>
      </x:c>
      <x:c r="D226" s="4" t="n">
        <x:v>40.25</x:v>
      </x:c>
      <x:c r="E226" s="4" t="n">
        <x:v>59.97</x:v>
      </x:c>
      <x:c r="F226" s="4" t="n">
        <x:v>55.96</x:v>
      </x:c>
      <x:c r="G226" s="4" t="n">
        <x:v>49.23</x:v>
      </x:c>
      <x:c r="H226" s="4" t="n">
        <x:v>63.12</x:v>
      </x:c>
      <x:c r="I226" s="4" t="n">
        <x:v>23.41</x:v>
      </x:c>
      <x:c r="J226" s="4" t="n">
        <x:v>22.41</x:v>
      </x:c>
      <x:c r="K226" s="4" t="n">
        <x:v>45.96</x:v>
      </x:c>
      <x:c r="L226" s="4" t="n">
        <x:v>47.64</x:v>
      </x:c>
      <x:c r="M226" s="4" t="n">
        <x:v>48.74</x:v>
      </x:c>
      <x:c r="N226" s="4" t="n">
        <x:v>40.25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56.72</x:v>
      </x:c>
      <x:c r="D227" s="4" t="n">
        <x:v>38.13</x:v>
      </x:c>
      <x:c r="E227" s="4" t="n">
        <x:v>26.58</x:v>
      </x:c>
      <x:c r="F227" s="4" t="n">
        <x:v>18.49</x:v>
      </x:c>
      <x:c r="G227" s="4" t="n">
        <x:v>37.14</x:v>
      </x:c>
      <x:c r="H227" s="4" t="n">
        <x:v>30.66</x:v>
      </x:c>
      <x:c r="I227" s="4" t="n">
        <x:v>38.56</x:v>
      </x:c>
      <x:c r="J227" s="4" t="n">
        <x:v>42.94</x:v>
      </x:c>
      <x:c r="K227" s="4" t="n">
        <x:v>63.15</x:v>
      </x:c>
      <x:c r="L227" s="4" t="n">
        <x:v>39.37</x:v>
      </x:c>
      <x:c r="M227" s="4" t="n">
        <x:v>30.61</x:v>
      </x:c>
      <x:c r="N227" s="4" t="n">
        <x:v>40.04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48.75</x:v>
      </x:c>
      <x:c r="D228" s="4" t="n">
        <x:v>24.06</x:v>
      </x:c>
      <x:c r="E228" s="4" t="n">
        <x:v>56.54</x:v>
      </x:c>
      <x:c r="F228" s="4" t="n">
        <x:v>35.79</x:v>
      </x:c>
      <x:c r="G228" s="4" t="n">
        <x:v>63.24</x:v>
      </x:c>
      <x:c r="H228" s="4" t="n">
        <x:v>58.78</x:v>
      </x:c>
      <x:c r="I228" s="4" t="n">
        <x:v>46.56</x:v>
      </x:c>
      <x:c r="J228" s="4" t="n">
        <x:v>67.39</x:v>
      </x:c>
      <x:c r="K228" s="4" t="n">
        <x:v>23.46</x:v>
      </x:c>
      <x:c r="L228" s="4" t="n">
        <x:v>38.22</x:v>
      </x:c>
      <x:c r="M228" s="4" t="n">
        <x:v>28</x:v>
      </x:c>
      <x:c r="N228" s="4" t="n">
        <x:v>47.9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19.89</x:v>
      </x:c>
      <x:c r="D230" s="4" t="n">
        <x:v>41.11</x:v>
      </x:c>
      <x:c r="E230" s="4" t="n">
        <x:v>23.01</x:v>
      </x:c>
      <x:c r="F230" s="4" t="n">
        <x:v>61.88</x:v>
      </x:c>
      <x:c r="G230" s="4" t="n">
        <x:v>36.36</x:v>
      </x:c>
      <x:c r="H230" s="4" t="n">
        <x:v>61.11</x:v>
      </x:c>
      <x:c r="I230" s="4" t="n">
        <x:v>22.99</x:v>
      </x:c>
      <x:c r="J230" s="4" t="n">
        <x:v>49.07</x:v>
      </x:c>
      <x:c r="K230" s="4" t="n">
        <x:v>22.35</x:v>
      </x:c>
      <x:c r="L230" s="4" t="n">
        <x:v>27.36</x:v>
      </x:c>
      <x:c r="M230" s="4" t="n">
        <x:v>52.64</x:v>
      </x:c>
      <x:c r="N230" s="4" t="n">
        <x:v>32.36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54.38</x:v>
      </x:c>
      <x:c r="D231" s="4" t="n">
        <x:v>28.8</x:v>
      </x:c>
      <x:c r="E231" s="4" t="n">
        <x:v>22.8</x:v>
      </x:c>
      <x:c r="F231" s="4" t="n">
        <x:v>62.58</x:v>
      </x:c>
      <x:c r="G231" s="4" t="n">
        <x:v>26.43</x:v>
      </x:c>
      <x:c r="H231" s="4" t="n">
        <x:v>38.15</x:v>
      </x:c>
      <x:c r="I231" s="4" t="n">
        <x:v>37.33</x:v>
      </x:c>
      <x:c r="J231" s="4" t="n">
        <x:v>60.4</x:v>
      </x:c>
      <x:c r="K231" s="4" t="n">
        <x:v>20.39</x:v>
      </x:c>
      <x:c r="L231" s="4" t="n">
        <x:v>49.52</x:v>
      </x:c>
      <x:c r="M231" s="4" t="n">
        <x:v>67.33</x:v>
      </x:c>
      <x:c r="N231" s="4" t="n">
        <x:v>37.63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52.61</x:v>
      </x:c>
      <x:c r="D232" s="4" t="n">
        <x:v>44.44</x:v>
      </x:c>
      <x:c r="E232" s="4" t="n">
        <x:v>31.49</x:v>
      </x:c>
      <x:c r="F232" s="4" t="n">
        <x:v>43.54</x:v>
      </x:c>
      <x:c r="G232" s="4" t="n">
        <x:v>54.14</x:v>
      </x:c>
      <x:c r="H232" s="4" t="n">
        <x:v>49.76</x:v>
      </x:c>
      <x:c r="I232" s="4" t="n">
        <x:v>67.51</x:v>
      </x:c>
      <x:c r="J232" s="4" t="n">
        <x:v>49.18</x:v>
      </x:c>
      <x:c r="K232" s="4" t="n">
        <x:v>50.09</x:v>
      </x:c>
      <x:c r="L232" s="4" t="n">
        <x:v>46.49</x:v>
      </x:c>
      <x:c r="M232" s="4" t="n">
        <x:v>23.68</x:v>
      </x:c>
      <x:c r="N232" s="4" t="n">
        <x:v>43.56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25.55</x:v>
      </x:c>
      <x:c r="D233" s="4" t="n">
        <x:v>38.41</x:v>
      </x:c>
      <x:c r="E233" s="4" t="n">
        <x:v>23.45</x:v>
      </x:c>
      <x:c r="F233" s="4" t="n">
        <x:v>49.88</x:v>
      </x:c>
      <x:c r="G233" s="4" t="n">
        <x:v>55.22</x:v>
      </x:c>
      <x:c r="H233" s="4" t="n">
        <x:v>51.27</x:v>
      </x:c>
      <x:c r="I233" s="4" t="n">
        <x:v>28.14</x:v>
      </x:c>
      <x:c r="J233" s="4" t="n">
        <x:v>37.76</x:v>
      </x:c>
      <x:c r="K233" s="4" t="n">
        <x:v>41.97</x:v>
      </x:c>
      <x:c r="L233" s="4" t="n">
        <x:v>65.05</x:v>
      </x:c>
      <x:c r="M233" s="4" t="n">
        <x:v>38.72</x:v>
      </x:c>
      <x:c r="N233" s="4" t="n">
        <x:v>64.56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5.38</x:v>
      </x:c>
      <x:c r="D324" s="4" t="n">
        <x:v>4.12</x:v>
      </x:c>
      <x:c r="E324" s="4" t="n">
        <x:v>4.05</x:v>
      </x:c>
      <x:c r="F324" s="4" t="n">
        <x:v>7.65</x:v>
      </x:c>
      <x:c r="G324" s="4" t="n">
        <x:v>8.05</x:v>
      </x:c>
      <x:c r="H324" s="4" t="n">
        <x:v>2.89</x:v>
      </x:c>
      <x:c r="I324" s="4" t="n">
        <x:v>3.98</x:v>
      </x:c>
      <x:c r="J324" s="4" t="n">
        <x:v>2.17</x:v>
      </x:c>
      <x:c r="K324" s="4" t="n">
        <x:v>5.39</x:v>
      </x:c>
      <x:c r="L324" s="4" t="n">
        <x:v>7.05</x:v>
      </x:c>
      <x:c r="M324" s="4" t="n">
        <x:v>7.22</x:v>
      </x:c>
      <x:c r="N324" s="4" t="n">
        <x:v>4.6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3.26</x:v>
      </x:c>
      <x:c r="D325" s="4" t="n">
        <x:v>6.98</x:v>
      </x:c>
      <x:c r="E325" s="4" t="n">
        <x:v>4.38</x:v>
      </x:c>
      <x:c r="F325" s="4" t="n">
        <x:v>8.47</x:v>
      </x:c>
      <x:c r="G325" s="4" t="n">
        <x:v>8.1</x:v>
      </x:c>
      <x:c r="H325" s="4" t="n">
        <x:v>4.07</x:v>
      </x:c>
      <x:c r="I325" s="4" t="n">
        <x:v>8.05</x:v>
      </x:c>
      <x:c r="J325" s="4" t="n">
        <x:v>3.01</x:v>
      </x:c>
      <x:c r="K325" s="4" t="n">
        <x:v>5.08</x:v>
      </x:c>
      <x:c r="L325" s="4" t="n">
        <x:v>3.23</x:v>
      </x:c>
      <x:c r="M325" s="4" t="n">
        <x:v>2.53</x:v>
      </x:c>
      <x:c r="N325" s="4" t="n">
        <x:v>7.31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7.55</x:v>
      </x:c>
      <x:c r="D326" s="4" t="n">
        <x:v>8.42</x:v>
      </x:c>
      <x:c r="E326" s="4" t="n">
        <x:v>6.48</x:v>
      </x:c>
      <x:c r="F326" s="4" t="n">
        <x:v>6.26</x:v>
      </x:c>
      <x:c r="G326" s="4" t="n">
        <x:v>6.53</x:v>
      </x:c>
      <x:c r="H326" s="4" t="n">
        <x:v>6.97</x:v>
      </x:c>
      <x:c r="I326" s="4" t="n">
        <x:v>2.24</x:v>
      </x:c>
      <x:c r="J326" s="4" t="n">
        <x:v>4.99</x:v>
      </x:c>
      <x:c r="K326" s="4" t="n">
        <x:v>8.34</x:v>
      </x:c>
      <x:c r="L326" s="4" t="n">
        <x:v>5.34</x:v>
      </x:c>
      <x:c r="M326" s="4" t="n">
        <x:v>2.42</x:v>
      </x:c>
      <x:c r="N326" s="4" t="n">
        <x:v>5.9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7.88</x:v>
      </x:c>
      <x:c r="D327" s="4" t="n">
        <x:v>4.63</x:v>
      </x:c>
      <x:c r="E327" s="4" t="n">
        <x:v>3.6</x:v>
      </x:c>
      <x:c r="F327" s="4" t="n">
        <x:v>6.52</x:v>
      </x:c>
      <x:c r="G327" s="4" t="n">
        <x:v>3.61</x:v>
      </x:c>
      <x:c r="H327" s="4" t="n">
        <x:v>2.55</x:v>
      </x:c>
      <x:c r="I327" s="4" t="n">
        <x:v>8.03</x:v>
      </x:c>
      <x:c r="J327" s="4" t="n">
        <x:v>6.52</x:v>
      </x:c>
      <x:c r="K327" s="4" t="n">
        <x:v>3.94</x:v>
      </x:c>
      <x:c r="L327" s="4" t="n">
        <x:v>5.44</x:v>
      </x:c>
      <x:c r="M327" s="4" t="n">
        <x:v>5.04</x:v>
      </x:c>
      <x:c r="N327" s="4" t="n">
        <x:v>7.18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8.06</x:v>
      </x:c>
      <x:c r="D328" s="4" t="n">
        <x:v>3.57</x:v>
      </x:c>
      <x:c r="E328" s="4" t="n">
        <x:v>4.9</x:v>
      </x:c>
      <x:c r="F328" s="4" t="n">
        <x:v>5.78</x:v>
      </x:c>
      <x:c r="G328" s="4" t="n">
        <x:v>8.67</x:v>
      </x:c>
      <x:c r="H328" s="4" t="n">
        <x:v>8.52</x:v>
      </x:c>
      <x:c r="I328" s="4" t="n">
        <x:v>4.3</x:v>
      </x:c>
      <x:c r="J328" s="4" t="n">
        <x:v>3.06</x:v>
      </x:c>
      <x:c r="K328" s="4" t="n">
        <x:v>4.04</x:v>
      </x:c>
      <x:c r="L328" s="4" t="n">
        <x:v>3.35</x:v>
      </x:c>
      <x:c r="M328" s="4" t="n">
        <x:v>8.47</x:v>
      </x:c>
      <x:c r="N328" s="4" t="n">
        <x:v>4.86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3.58</x:v>
      </x:c>
      <x:c r="D329" s="4" t="n">
        <x:v>8.72</x:v>
      </x:c>
      <x:c r="E329" s="4" t="n">
        <x:v>6.09</x:v>
      </x:c>
      <x:c r="F329" s="4" t="n">
        <x:v>6.49</x:v>
      </x:c>
      <x:c r="G329" s="4" t="n">
        <x:v>5.94</x:v>
      </x:c>
      <x:c r="H329" s="4" t="n">
        <x:v>3.85</x:v>
      </x:c>
      <x:c r="I329" s="4" t="n">
        <x:v>2.9</x:v>
      </x:c>
      <x:c r="J329" s="4" t="n">
        <x:v>2.64</x:v>
      </x:c>
      <x:c r="K329" s="4" t="n">
        <x:v>8.3</x:v>
      </x:c>
      <x:c r="L329" s="4" t="n">
        <x:v>8.65</x:v>
      </x:c>
      <x:c r="M329" s="4" t="n">
        <x:v>7.01</x:v>
      </x:c>
      <x:c r="N329" s="4" t="n">
        <x:v>4.95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3.07</x:v>
      </x:c>
      <x:c r="D330" s="4" t="n">
        <x:v>3.7</x:v>
      </x:c>
      <x:c r="E330" s="4" t="n">
        <x:v>8.79</x:v>
      </x:c>
      <x:c r="F330" s="4" t="n">
        <x:v>6.75</x:v>
      </x:c>
      <x:c r="G330" s="4" t="n">
        <x:v>4.29</x:v>
      </x:c>
      <x:c r="H330" s="4" t="n">
        <x:v>6.81</x:v>
      </x:c>
      <x:c r="I330" s="4" t="n">
        <x:v>5.17</x:v>
      </x:c>
      <x:c r="J330" s="4" t="n">
        <x:v>5.86</x:v>
      </x:c>
      <x:c r="K330" s="4" t="n">
        <x:v>3.65</x:v>
      </x:c>
      <x:c r="L330" s="4" t="n">
        <x:v>8.62</x:v>
      </x:c>
      <x:c r="M330" s="4" t="n">
        <x:v>5.89</x:v>
      </x:c>
      <x:c r="N330" s="4" t="n">
        <x:v>8.28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5.6</x:v>
      </x:c>
      <x:c r="D331" s="4" t="n">
        <x:v>7.42</x:v>
      </x:c>
      <x:c r="E331" s="4" t="n">
        <x:v>4.47</x:v>
      </x:c>
      <x:c r="F331" s="4" t="n">
        <x:v>7.41</x:v>
      </x:c>
      <x:c r="G331" s="4" t="n">
        <x:v>3.94</x:v>
      </x:c>
      <x:c r="H331" s="4" t="n">
        <x:v>2.18</x:v>
      </x:c>
      <x:c r="I331" s="4" t="n">
        <x:v>2.26</x:v>
      </x:c>
      <x:c r="J331" s="4" t="n">
        <x:v>8.41</x:v>
      </x:c>
      <x:c r="K331" s="4" t="n">
        <x:v>8.43</x:v>
      </x:c>
      <x:c r="L331" s="4" t="n">
        <x:v>2.51</x:v>
      </x:c>
      <x:c r="M331" s="4" t="n">
        <x:v>3.33</x:v>
      </x:c>
      <x:c r="N331" s="4" t="n">
        <x:v>6.41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2.56</x:v>
      </x:c>
      <x:c r="D332" s="4" t="n">
        <x:v>3.53</x:v>
      </x:c>
      <x:c r="E332" s="4" t="n">
        <x:v>5.26</x:v>
      </x:c>
      <x:c r="F332" s="4" t="n">
        <x:v>2.68</x:v>
      </x:c>
      <x:c r="G332" s="4" t="n">
        <x:v>7.83</x:v>
      </x:c>
      <x:c r="H332" s="4" t="n">
        <x:v>4.34</x:v>
      </x:c>
      <x:c r="I332" s="4" t="n">
        <x:v>2.18</x:v>
      </x:c>
      <x:c r="J332" s="4" t="n">
        <x:v>7.55</x:v>
      </x:c>
      <x:c r="K332" s="4" t="n">
        <x:v>6.26</x:v>
      </x:c>
      <x:c r="L332" s="4" t="n">
        <x:v>8.56</x:v>
      </x:c>
      <x:c r="M332" s="4" t="n">
        <x:v>7.97</x:v>
      </x:c>
      <x:c r="N332" s="4" t="n">
        <x:v>6.71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2.41</x:v>
      </x:c>
      <x:c r="D333" s="4" t="n">
        <x:v>2.99</x:v>
      </x:c>
      <x:c r="E333" s="4" t="n">
        <x:v>6.15</x:v>
      </x:c>
      <x:c r="F333" s="4" t="n">
        <x:v>7.85</x:v>
      </x:c>
      <x:c r="G333" s="4" t="n">
        <x:v>7.38</x:v>
      </x:c>
      <x:c r="H333" s="4" t="n">
        <x:v>7.76</x:v>
      </x:c>
      <x:c r="I333" s="4" t="n">
        <x:v>2.22</x:v>
      </x:c>
      <x:c r="J333" s="4" t="n">
        <x:v>6.77</x:v>
      </x:c>
      <x:c r="K333" s="4" t="n">
        <x:v>3.97</x:v>
      </x:c>
      <x:c r="L333" s="4" t="n">
        <x:v>8.53</x:v>
      </x:c>
      <x:c r="M333" s="4" t="n">
        <x:v>8.08</x:v>
      </x:c>
      <x:c r="N333" s="4" t="n">
        <x:v>7.06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5.89</x:v>
      </x:c>
      <x:c r="D334" s="4" t="n">
        <x:v>6.38</x:v>
      </x:c>
      <x:c r="E334" s="4" t="n">
        <x:v>2.65</x:v>
      </x:c>
      <x:c r="F334" s="4" t="n">
        <x:v>6.71</x:v>
      </x:c>
      <x:c r="G334" s="4" t="n">
        <x:v>6.56</x:v>
      </x:c>
      <x:c r="H334" s="4" t="n">
        <x:v>7.05</x:v>
      </x:c>
      <x:c r="I334" s="4" t="n">
        <x:v>7.61</x:v>
      </x:c>
      <x:c r="J334" s="4" t="n">
        <x:v>6.14</x:v>
      </x:c>
      <x:c r="K334" s="4" t="n">
        <x:v>4.53</x:v>
      </x:c>
      <x:c r="L334" s="4" t="n">
        <x:v>7.61</x:v>
      </x:c>
      <x:c r="M334" s="4" t="n">
        <x:v>7.91</x:v>
      </x:c>
      <x:c r="N334" s="4" t="n">
        <x:v>5.51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3.77</x:v>
      </x:c>
      <x:c r="D335" s="4" t="n">
        <x:v>8.03</x:v>
      </x:c>
      <x:c r="E335" s="4" t="n">
        <x:v>3.25</x:v>
      </x:c>
      <x:c r="F335" s="4" t="n">
        <x:v>7.46</x:v>
      </x:c>
      <x:c r="G335" s="4" t="n">
        <x:v>2.81</x:v>
      </x:c>
      <x:c r="H335" s="4" t="n">
        <x:v>2.86</x:v>
      </x:c>
      <x:c r="I335" s="4" t="n">
        <x:v>6.4</x:v>
      </x:c>
      <x:c r="J335" s="4" t="n">
        <x:v>5.55</x:v>
      </x:c>
      <x:c r="K335" s="4" t="n">
        <x:v>5.2</x:v>
      </x:c>
      <x:c r="L335" s="4" t="n">
        <x:v>6.14</x:v>
      </x:c>
      <x:c r="M335" s="4" t="n">
        <x:v>6.87</x:v>
      </x:c>
      <x:c r="N335" s="4" t="n">
        <x:v>6.87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2.91</x:v>
      </x:c>
      <x:c r="D336" s="4" t="n">
        <x:v>5.79</x:v>
      </x:c>
      <x:c r="E336" s="4" t="n">
        <x:v>3.09</x:v>
      </x:c>
      <x:c r="F336" s="4" t="n">
        <x:v>4.73</x:v>
      </x:c>
      <x:c r="G336" s="4" t="n">
        <x:v>7.53</x:v>
      </x:c>
      <x:c r="H336" s="4" t="n">
        <x:v>6.73</x:v>
      </x:c>
      <x:c r="I336" s="4" t="n">
        <x:v>5.33</x:v>
      </x:c>
      <x:c r="J336" s="4" t="n">
        <x:v>2.22</x:v>
      </x:c>
      <x:c r="K336" s="4" t="n">
        <x:v>4.39</x:v>
      </x:c>
      <x:c r="L336" s="4" t="n">
        <x:v>3.24</x:v>
      </x:c>
      <x:c r="M336" s="4" t="n">
        <x:v>6.53</x:v>
      </x:c>
      <x:c r="N336" s="4" t="n">
        <x:v>6.05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5.67</x:v>
      </x:c>
      <x:c r="D337" s="4" t="n">
        <x:v>2.99</x:v>
      </x:c>
      <x:c r="E337" s="4" t="n">
        <x:v>5.71</x:v>
      </x:c>
      <x:c r="F337" s="4" t="n">
        <x:v>6.58</x:v>
      </x:c>
      <x:c r="G337" s="4" t="n">
        <x:v>7.9</x:v>
      </x:c>
      <x:c r="H337" s="4" t="n">
        <x:v>6.9</x:v>
      </x:c>
      <x:c r="I337" s="4" t="n">
        <x:v>3.55</x:v>
      </x:c>
      <x:c r="J337" s="4" t="n">
        <x:v>6.36</x:v>
      </x:c>
      <x:c r="K337" s="4" t="n">
        <x:v>5.51</x:v>
      </x:c>
      <x:c r="L337" s="4" t="n">
        <x:v>6.5</x:v>
      </x:c>
      <x:c r="M337" s="4" t="n">
        <x:v>8.11</x:v>
      </x:c>
      <x:c r="N337" s="4" t="n">
        <x:v>3.97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7.45</x:v>
      </x:c>
      <x:c r="D338" s="4" t="n">
        <x:v>6.27</x:v>
      </x:c>
      <x:c r="E338" s="4" t="n">
        <x:v>6.51</x:v>
      </x:c>
      <x:c r="F338" s="4" t="n">
        <x:v>3.22</x:v>
      </x:c>
      <x:c r="G338" s="4" t="n">
        <x:v>5.95</x:v>
      </x:c>
      <x:c r="H338" s="4" t="n">
        <x:v>8.18</x:v>
      </x:c>
      <x:c r="I338" s="4" t="n">
        <x:v>7.61</x:v>
      </x:c>
      <x:c r="J338" s="4" t="n">
        <x:v>3.59</x:v>
      </x:c>
      <x:c r="K338" s="4" t="n">
        <x:v>3.57</x:v>
      </x:c>
      <x:c r="L338" s="4" t="n">
        <x:v>7.92</x:v>
      </x:c>
      <x:c r="M338" s="4" t="n">
        <x:v>8.55</x:v>
      </x:c>
      <x:c r="N338" s="4" t="n">
        <x:v>4.36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5.45</x:v>
      </x:c>
      <x:c r="D339" s="4" t="n">
        <x:v>5.18</x:v>
      </x:c>
      <x:c r="E339" s="4" t="n">
        <x:v>3.85</x:v>
      </x:c>
      <x:c r="F339" s="4" t="n">
        <x:v>5.62</x:v>
      </x:c>
      <x:c r="G339" s="4" t="n">
        <x:v>2.54</x:v>
      </x:c>
      <x:c r="H339" s="4" t="n">
        <x:v>4.64</x:v>
      </x:c>
      <x:c r="I339" s="4" t="n">
        <x:v>7.05</x:v>
      </x:c>
      <x:c r="J339" s="4" t="n">
        <x:v>3.83</x:v>
      </x:c>
      <x:c r="K339" s="4" t="n">
        <x:v>5.9</x:v>
      </x:c>
      <x:c r="L339" s="4" t="n">
        <x:v>6.27</x:v>
      </x:c>
      <x:c r="M339" s="4" t="n">
        <x:v>7.89</x:v>
      </x:c>
      <x:c r="N339" s="4" t="n">
        <x:v>6.41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7.84</x:v>
      </x:c>
      <x:c r="D341" s="4" t="n">
        <x:v>6.75</x:v>
      </x:c>
      <x:c r="E341" s="4" t="n">
        <x:v>5.64</x:v>
      </x:c>
      <x:c r="F341" s="4" t="n">
        <x:v>7.73</x:v>
      </x:c>
      <x:c r="G341" s="4" t="n">
        <x:v>2.98</x:v>
      </x:c>
      <x:c r="H341" s="4" t="n">
        <x:v>6.39</x:v>
      </x:c>
      <x:c r="I341" s="4" t="n">
        <x:v>2.23</x:v>
      </x:c>
      <x:c r="J341" s="4" t="n">
        <x:v>4.16</x:v>
      </x:c>
      <x:c r="K341" s="4" t="n">
        <x:v>2.48</x:v>
      </x:c>
      <x:c r="L341" s="4" t="n">
        <x:v>7.98</x:v>
      </x:c>
      <x:c r="M341" s="4" t="n">
        <x:v>2.77</x:v>
      </x:c>
      <x:c r="N341" s="4" t="n">
        <x:v>4.96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2.4</x:v>
      </x:c>
      <x:c r="D342" s="4" t="n">
        <x:v>2.88</x:v>
      </x:c>
      <x:c r="E342" s="4" t="n">
        <x:v>5.01</x:v>
      </x:c>
      <x:c r="F342" s="4" t="n">
        <x:v>7.84</x:v>
      </x:c>
      <x:c r="G342" s="4" t="n">
        <x:v>4.48</x:v>
      </x:c>
      <x:c r="H342" s="4" t="n">
        <x:v>6.39</x:v>
      </x:c>
      <x:c r="I342" s="4" t="n">
        <x:v>3.44</x:v>
      </x:c>
      <x:c r="J342" s="4" t="n">
        <x:v>6.85</x:v>
      </x:c>
      <x:c r="K342" s="4" t="n">
        <x:v>4.61</x:v>
      </x:c>
      <x:c r="L342" s="4" t="n">
        <x:v>3.63</x:v>
      </x:c>
      <x:c r="M342" s="4" t="n">
        <x:v>4.21</x:v>
      </x:c>
      <x:c r="N342" s="4" t="n">
        <x:v>4.24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3.74</x:v>
      </x:c>
      <x:c r="D343" s="4" t="n">
        <x:v>6.24</x:v>
      </x:c>
      <x:c r="E343" s="4" t="n">
        <x:v>3.6</x:v>
      </x:c>
      <x:c r="F343" s="4" t="n">
        <x:v>2.83</x:v>
      </x:c>
      <x:c r="G343" s="4" t="n">
        <x:v>4.85</x:v>
      </x:c>
      <x:c r="H343" s="4" t="n">
        <x:v>3.24</x:v>
      </x:c>
      <x:c r="I343" s="4" t="n">
        <x:v>4.52</x:v>
      </x:c>
      <x:c r="J343" s="4" t="n">
        <x:v>3.81</x:v>
      </x:c>
      <x:c r="K343" s="4" t="n">
        <x:v>4.15</x:v>
      </x:c>
      <x:c r="L343" s="4" t="n">
        <x:v>2.59</x:v>
      </x:c>
      <x:c r="M343" s="4" t="n">
        <x:v>8.53</x:v>
      </x:c>
      <x:c r="N343" s="4" t="n">
        <x:v>8.61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6.33</x:v>
      </x:c>
      <x:c r="D344" s="4" t="n">
        <x:v>5.66</x:v>
      </x:c>
      <x:c r="E344" s="4" t="n">
        <x:v>6.95</x:v>
      </x:c>
      <x:c r="F344" s="4" t="n">
        <x:v>4.32</x:v>
      </x:c>
      <x:c r="G344" s="4" t="n">
        <x:v>8.74</x:v>
      </x:c>
      <x:c r="H344" s="4" t="n">
        <x:v>5.02</x:v>
      </x:c>
      <x:c r="I344" s="4" t="n">
        <x:v>8.33</x:v>
      </x:c>
      <x:c r="J344" s="4" t="n">
        <x:v>3.85</x:v>
      </x:c>
      <x:c r="K344" s="4" t="n">
        <x:v>2.54</x:v>
      </x:c>
      <x:c r="L344" s="4" t="n">
        <x:v>4.46</x:v>
      </x:c>
      <x:c r="M344" s="4" t="n">
        <x:v>3.7</x:v>
      </x:c>
      <x:c r="N344" s="4" t="n">
        <x:v>7.84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6.72</x:v>
      </x:c>
      <x:c r="D345" s="4" t="n">
        <x:v>8.02</x:v>
      </x:c>
      <x:c r="E345" s="4" t="n">
        <x:v>4.9</x:v>
      </x:c>
      <x:c r="F345" s="4" t="n">
        <x:v>5.82</x:v>
      </x:c>
      <x:c r="G345" s="4" t="n">
        <x:v>2.72</x:v>
      </x:c>
      <x:c r="H345" s="4" t="n">
        <x:v>4.4</x:v>
      </x:c>
      <x:c r="I345" s="4" t="n">
        <x:v>7.59</x:v>
      </x:c>
      <x:c r="J345" s="4" t="n">
        <x:v>3.74</x:v>
      </x:c>
      <x:c r="K345" s="4" t="n">
        <x:v>5.36</x:v>
      </x:c>
      <x:c r="L345" s="4" t="n">
        <x:v>4.84</x:v>
      </x:c>
      <x:c r="M345" s="4" t="n">
        <x:v>2.25</x:v>
      </x:c>
      <x:c r="N345" s="4" t="n">
        <x:v>6.03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4.31</x:v>
      </x:c>
      <x:c r="D346" s="4" t="n">
        <x:v>3.51</x:v>
      </x:c>
      <x:c r="E346" s="4" t="n">
        <x:v>5.87</x:v>
      </x:c>
      <x:c r="F346" s="4" t="n">
        <x:v>8.48</x:v>
      </x:c>
      <x:c r="G346" s="4" t="n">
        <x:v>3.06</x:v>
      </x:c>
      <x:c r="H346" s="4" t="n">
        <x:v>2.6</x:v>
      </x:c>
      <x:c r="I346" s="4" t="n">
        <x:v>7.8</x:v>
      </x:c>
      <x:c r="J346" s="4" t="n">
        <x:v>8.27</x:v>
      </x:c>
      <x:c r="K346" s="4" t="n">
        <x:v>4.14</x:v>
      </x:c>
      <x:c r="L346" s="4" t="n">
        <x:v>5.21</x:v>
      </x:c>
      <x:c r="M346" s="4" t="n">
        <x:v>4.01</x:v>
      </x:c>
      <x:c r="N346" s="4" t="n">
        <x:v>7.13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2.38</x:v>
      </x:c>
      <x:c r="D347" s="4" t="n">
        <x:v>5.67</x:v>
      </x:c>
      <x:c r="E347" s="4" t="n">
        <x:v>7.35</x:v>
      </x:c>
      <x:c r="F347" s="4" t="n">
        <x:v>4.08</x:v>
      </x:c>
      <x:c r="G347" s="4" t="n">
        <x:v>2.66</x:v>
      </x:c>
      <x:c r="H347" s="4" t="n">
        <x:v>7.87</x:v>
      </x:c>
      <x:c r="I347" s="4" t="n">
        <x:v>3.05</x:v>
      </x:c>
      <x:c r="J347" s="4" t="n">
        <x:v>4.37</x:v>
      </x:c>
      <x:c r="K347" s="4" t="n">
        <x:v>8.45</x:v>
      </x:c>
      <x:c r="L347" s="4" t="n">
        <x:v>6.46</x:v>
      </x:c>
      <x:c r="M347" s="4" t="n">
        <x:v>6.67</x:v>
      </x:c>
      <x:c r="N347" s="4" t="n">
        <x:v>4.67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5.28</x:v>
      </x:c>
      <x:c r="D348" s="4" t="n">
        <x:v>8.37</x:v>
      </x:c>
      <x:c r="E348" s="4" t="n">
        <x:v>2.29</x:v>
      </x:c>
      <x:c r="F348" s="4" t="n">
        <x:v>6.89</x:v>
      </x:c>
      <x:c r="G348" s="4" t="n">
        <x:v>6.23</x:v>
      </x:c>
      <x:c r="H348" s="4" t="n">
        <x:v>8.85</x:v>
      </x:c>
      <x:c r="I348" s="4" t="n">
        <x:v>7.29</x:v>
      </x:c>
      <x:c r="J348" s="4" t="n">
        <x:v>2.26</x:v>
      </x:c>
      <x:c r="K348" s="4" t="n">
        <x:v>6.34</x:v>
      </x:c>
      <x:c r="L348" s="4" t="n">
        <x:v>7.99</x:v>
      </x:c>
      <x:c r="M348" s="4" t="n">
        <x:v>8.39</x:v>
      </x:c>
      <x:c r="N348" s="4" t="n">
        <x:v>5.04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6.1</x:v>
      </x:c>
      <x:c r="D350" s="4" t="n">
        <x:v>7.97</x:v>
      </x:c>
      <x:c r="E350" s="4" t="n">
        <x:v>2.83</x:v>
      </x:c>
      <x:c r="F350" s="4" t="n">
        <x:v>3.54</x:v>
      </x:c>
      <x:c r="G350" s="4" t="n">
        <x:v>5.74</x:v>
      </x:c>
      <x:c r="H350" s="4" t="n">
        <x:v>6.48</x:v>
      </x:c>
      <x:c r="I350" s="4" t="n">
        <x:v>2.5</x:v>
      </x:c>
      <x:c r="J350" s="4" t="n">
        <x:v>5.02</x:v>
      </x:c>
      <x:c r="K350" s="4" t="n">
        <x:v>7.67</x:v>
      </x:c>
      <x:c r="L350" s="4" t="n">
        <x:v>8.76</x:v>
      </x:c>
      <x:c r="M350" s="4" t="n">
        <x:v>2.99</x:v>
      </x:c>
      <x:c r="N350" s="4" t="n">
        <x:v>6.79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8.32</x:v>
      </x:c>
      <x:c r="D351" s="4" t="n">
        <x:v>5.58</x:v>
      </x:c>
      <x:c r="E351" s="4" t="n">
        <x:v>8.87</x:v>
      </x:c>
      <x:c r="F351" s="4" t="n">
        <x:v>4.53</x:v>
      </x:c>
      <x:c r="G351" s="4" t="n">
        <x:v>4.63</x:v>
      </x:c>
      <x:c r="H351" s="4" t="n">
        <x:v>8.69</x:v>
      </x:c>
      <x:c r="I351" s="4" t="n">
        <x:v>2.18</x:v>
      </x:c>
      <x:c r="J351" s="4" t="n">
        <x:v>2.94</x:v>
      </x:c>
      <x:c r="K351" s="4" t="n">
        <x:v>3.02</x:v>
      </x:c>
      <x:c r="L351" s="4" t="n">
        <x:v>5.41</x:v>
      </x:c>
      <x:c r="M351" s="4" t="n">
        <x:v>4.93</x:v>
      </x:c>
      <x:c r="N351" s="4" t="n">
        <x:v>2.43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7.48</x:v>
      </x:c>
      <x:c r="D352" s="4" t="n">
        <x:v>2.57</x:v>
      </x:c>
      <x:c r="E352" s="4" t="n">
        <x:v>6.27</x:v>
      </x:c>
      <x:c r="F352" s="4" t="n">
        <x:v>3.14</x:v>
      </x:c>
      <x:c r="G352" s="4" t="n">
        <x:v>4.77</x:v>
      </x:c>
      <x:c r="H352" s="4" t="n">
        <x:v>3.23</x:v>
      </x:c>
      <x:c r="I352" s="4" t="n">
        <x:v>8.42</x:v>
      </x:c>
      <x:c r="J352" s="4" t="n">
        <x:v>6.38</x:v>
      </x:c>
      <x:c r="K352" s="4" t="n">
        <x:v>4.91</x:v>
      </x:c>
      <x:c r="L352" s="4" t="n">
        <x:v>5.33</x:v>
      </x:c>
      <x:c r="M352" s="4" t="n">
        <x:v>5.29</x:v>
      </x:c>
      <x:c r="N352" s="4" t="n">
        <x:v>3.15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2.51</x:v>
      </x:c>
      <x:c r="D353" s="4" t="n">
        <x:v>4.96</x:v>
      </x:c>
      <x:c r="E353" s="4" t="n">
        <x:v>5.12</x:v>
      </x:c>
      <x:c r="F353" s="4" t="n">
        <x:v>3.48</x:v>
      </x:c>
      <x:c r="G353" s="4" t="n">
        <x:v>8.87</x:v>
      </x:c>
      <x:c r="H353" s="4" t="n">
        <x:v>4.56</x:v>
      </x:c>
      <x:c r="I353" s="4" t="n">
        <x:v>7.7</x:v>
      </x:c>
      <x:c r="J353" s="4" t="n">
        <x:v>3.99</x:v>
      </x:c>
      <x:c r="K353" s="4" t="n">
        <x:v>4.79</x:v>
      </x:c>
      <x:c r="L353" s="4" t="n">
        <x:v>2.86</x:v>
      </x:c>
      <x:c r="M353" s="4" t="n">
        <x:v>8.16</x:v>
      </x:c>
      <x:c r="N353" s="4" t="n">
        <x:v>5.54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9" hidden="0" customWidth="1"/>
    <x:col min="19" max="19" width="9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管理费用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380.81</x:v>
      </x:c>
      <x:c r="D4" s="3" t="n">
        <x:f>ROUND(D204*D324,2)</x:f>
        <x:v>154.82</x:v>
      </x:c>
      <x:c r="E4" s="3" t="n">
        <x:f>ROUND(E204*E324,2)</x:f>
        <x:v>320.58</x:v>
      </x:c>
      <x:c r="F4" s="3" t="n">
        <x:f>ROUND(F204*F324,2)</x:f>
        <x:v>175.67</x:v>
      </x:c>
      <x:c r="G4" s="3" t="n">
        <x:f>ROUND(G204*G324,2)</x:f>
        <x:v>161.91</x:v>
      </x:c>
      <x:c r="H4" s="3" t="n">
        <x:f>ROUND(H204*H324,2)</x:f>
        <x:v>369.99</x:v>
      </x:c>
      <x:c r="I4" s="3" t="n">
        <x:f>ROUND(I204*I324,2)</x:f>
        <x:v>310.6</x:v>
      </x:c>
      <x:c r="J4" s="3" t="n">
        <x:f>ROUND(J204*J324,2)</x:f>
        <x:v>89.09</x:v>
      </x:c>
      <x:c r="K4" s="3" t="n">
        <x:f>ROUND(K204*K324,2)</x:f>
        <x:v>181.47</x:v>
      </x:c>
      <x:c r="L4" s="3" t="n">
        <x:f>ROUND(L204*L324,2)</x:f>
        <x:v>310.82</x:v>
      </x:c>
      <x:c r="M4" s="3" t="n">
        <x:f>ROUND(M204*M324,2)</x:f>
        <x:v>262.47</x:v>
      </x:c>
      <x:c r="N4" s="3" t="n">
        <x:f>ROUND(N204*N324,2)</x:f>
        <x:v>548.35</x:v>
      </x:c>
      <x:c r="O4" s="3" t="n">
        <x:f>SUM(C4:N4)</x:f>
        <x:v>3266.5800000000004</x:v>
      </x:c>
      <x:c r="P4" s="2" t="str">
        <x:v>EXP2.004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277.47</x:v>
      </x:c>
      <x:c r="D5" s="3" t="n">
        <x:f>ROUND(D205*D325,2)</x:f>
        <x:v>143.18</x:v>
      </x:c>
      <x:c r="E5" s="3" t="n">
        <x:f>ROUND(E205*E325,2)</x:f>
        <x:v>147.69</x:v>
      </x:c>
      <x:c r="F5" s="3" t="n">
        <x:f>ROUND(F205*F325,2)</x:f>
        <x:v>286.92</x:v>
      </x:c>
      <x:c r="G5" s="3" t="n">
        <x:f>ROUND(G205*G325,2)</x:f>
        <x:v>411.77</x:v>
      </x:c>
      <x:c r="H5" s="3" t="n">
        <x:f>ROUND(H205*H325,2)</x:f>
        <x:v>339.59</x:v>
      </x:c>
      <x:c r="I5" s="3" t="n">
        <x:f>ROUND(I205*I325,2)</x:f>
        <x:v>361.56</x:v>
      </x:c>
      <x:c r="J5" s="3" t="n">
        <x:f>ROUND(J205*J325,2)</x:f>
        <x:v>299.8</x:v>
      </x:c>
      <x:c r="K5" s="3" t="n">
        <x:f>ROUND(K205*K325,2)</x:f>
        <x:v>184.87</x:v>
      </x:c>
      <x:c r="L5" s="3" t="n">
        <x:f>ROUND(L205*L325,2)</x:f>
        <x:v>151.02</x:v>
      </x:c>
      <x:c r="M5" s="3" t="n">
        <x:f>ROUND(M205*M325,2)</x:f>
        <x:v>128.53</x:v>
      </x:c>
      <x:c r="N5" s="3" t="n">
        <x:f>ROUND(N205*N325,2)</x:f>
        <x:v>104.03</x:v>
      </x:c>
      <x:c r="O5" s="3" t="n">
        <x:f>SUM(C5:N5)</x:f>
        <x:v>2836.4300000000003</x:v>
      </x:c>
      <x:c r="P5" s="2" t="str">
        <x:v>EXP2.005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151.25</x:v>
      </x:c>
      <x:c r="D6" s="3" t="n">
        <x:f>ROUND(D206*D326,2)</x:f>
        <x:v>429.34</x:v>
      </x:c>
      <x:c r="E6" s="3" t="n">
        <x:f>ROUND(E206*E326,2)</x:f>
        <x:v>207.72</x:v>
      </x:c>
      <x:c r="F6" s="3" t="n">
        <x:f>ROUND(F206*F326,2)</x:f>
        <x:v>181.2</x:v>
      </x:c>
      <x:c r="G6" s="3" t="n">
        <x:f>ROUND(G206*G326,2)</x:f>
        <x:v>358.19</x:v>
      </x:c>
      <x:c r="H6" s="3" t="n">
        <x:f>ROUND(H206*H326,2)</x:f>
        <x:v>91.65</x:v>
      </x:c>
      <x:c r="I6" s="3" t="n">
        <x:f>ROUND(I206*I326,2)</x:f>
        <x:v>75.89</x:v>
      </x:c>
      <x:c r="J6" s="3" t="n">
        <x:f>ROUND(J206*J326,2)</x:f>
        <x:v>140.11</x:v>
      </x:c>
      <x:c r="K6" s="3" t="n">
        <x:f>ROUND(K206*K326,2)</x:f>
        <x:v>432.04</x:v>
      </x:c>
      <x:c r="L6" s="3" t="n">
        <x:f>ROUND(L206*L326,2)</x:f>
        <x:v>110.73</x:v>
      </x:c>
      <x:c r="M6" s="3" t="n">
        <x:f>ROUND(M206*M326,2)</x:f>
        <x:v>176.4</x:v>
      </x:c>
      <x:c r="N6" s="3" t="n">
        <x:f>ROUND(N206*N326,2)</x:f>
        <x:v>326.19</x:v>
      </x:c>
      <x:c r="O6" s="3" t="n">
        <x:f>SUM(C6:N6)</x:f>
        <x:v>2680.7100000000005</x:v>
      </x:c>
      <x:c r="P6" s="2" t="str">
        <x:v>EXP2.006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137.44</x:v>
      </x:c>
      <x:c r="D7" s="3" t="n">
        <x:f>ROUND(D207*D327,2)</x:f>
        <x:v>191.65</x:v>
      </x:c>
      <x:c r="E7" s="3" t="n">
        <x:f>ROUND(E207*E327,2)</x:f>
        <x:v>246.54</x:v>
      </x:c>
      <x:c r="F7" s="3" t="n">
        <x:f>ROUND(F207*F327,2)</x:f>
        <x:v>111.27</x:v>
      </x:c>
      <x:c r="G7" s="3" t="n">
        <x:f>ROUND(G207*G327,2)</x:f>
        <x:v>117.26</x:v>
      </x:c>
      <x:c r="H7" s="3" t="n">
        <x:f>ROUND(H207*H327,2)</x:f>
        <x:v>378.35</x:v>
      </x:c>
      <x:c r="I7" s="3" t="n">
        <x:f>ROUND(I207*I327,2)</x:f>
        <x:v>87.08</x:v>
      </x:c>
      <x:c r="J7" s="3" t="n">
        <x:f>ROUND(J207*J327,2)</x:f>
        <x:v>74.5</x:v>
      </x:c>
      <x:c r="K7" s="3" t="n">
        <x:f>ROUND(K207*K327,2)</x:f>
        <x:v>404.57</x:v>
      </x:c>
      <x:c r="L7" s="3" t="n">
        <x:f>ROUND(L207*L327,2)</x:f>
        <x:v>177.57</x:v>
      </x:c>
      <x:c r="M7" s="3" t="n">
        <x:f>ROUND(M207*M327,2)</x:f>
        <x:v>360.56</x:v>
      </x:c>
      <x:c r="N7" s="3" t="n">
        <x:f>ROUND(N207*N327,2)</x:f>
        <x:v>265.1</x:v>
      </x:c>
      <x:c r="O7" s="3" t="n">
        <x:f>SUM(C7:N7)</x:f>
        <x:v>2551.89</x:v>
      </x:c>
      <x:c r="P7" s="2" t="str">
        <x:v>EXP2.007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393.14</x:v>
      </x:c>
      <x:c r="D8" s="3" t="n">
        <x:f>ROUND(D208*D328,2)</x:f>
        <x:v>86.74</x:v>
      </x:c>
      <x:c r="E8" s="3" t="n">
        <x:f>ROUND(E208*E328,2)</x:f>
        <x:v>80.33</x:v>
      </x:c>
      <x:c r="F8" s="3" t="n">
        <x:f>ROUND(F208*F328,2)</x:f>
        <x:v>396.15</x:v>
      </x:c>
      <x:c r="G8" s="3" t="n">
        <x:f>ROUND(G208*G328,2)</x:f>
        <x:v>275.02</x:v>
      </x:c>
      <x:c r="H8" s="3" t="n">
        <x:f>ROUND(H208*H328,2)</x:f>
        <x:v>393.62</x:v>
      </x:c>
      <x:c r="I8" s="3" t="n">
        <x:f>ROUND(I208*I328,2)</x:f>
        <x:v>152.39</x:v>
      </x:c>
      <x:c r="J8" s="3" t="n">
        <x:f>ROUND(J208*J328,2)</x:f>
        <x:v>237.46</x:v>
      </x:c>
      <x:c r="K8" s="3" t="n">
        <x:f>ROUND(K208*K328,2)</x:f>
        <x:v>130.94</x:v>
      </x:c>
      <x:c r="L8" s="3" t="n">
        <x:f>ROUND(L208*L328,2)</x:f>
        <x:v>351.92</x:v>
      </x:c>
      <x:c r="M8" s="3" t="n">
        <x:f>ROUND(M208*M328,2)</x:f>
        <x:v>154.54</x:v>
      </x:c>
      <x:c r="N8" s="3" t="n">
        <x:f>ROUND(N208*N328,2)</x:f>
        <x:v>185.8</x:v>
      </x:c>
      <x:c r="O8" s="3" t="n">
        <x:f>SUM(C8:N8)</x:f>
        <x:v>2838.05</x:v>
      </x:c>
      <x:c r="P8" s="2" t="str">
        <x:v>EXP2.008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229.93</x:v>
      </x:c>
      <x:c r="D9" s="3" t="n">
        <x:f>ROUND(D209*D329,2)</x:f>
        <x:v>190.2</x:v>
      </x:c>
      <x:c r="E9" s="3" t="n">
        <x:f>ROUND(E209*E329,2)</x:f>
        <x:v>374.64</x:v>
      </x:c>
      <x:c r="F9" s="3" t="n">
        <x:f>ROUND(F209*F329,2)</x:f>
        <x:v>60.47</x:v>
      </x:c>
      <x:c r="G9" s="3" t="n">
        <x:f>ROUND(G209*G329,2)</x:f>
        <x:v>60.75</x:v>
      </x:c>
      <x:c r="H9" s="3" t="n">
        <x:f>ROUND(H209*H329,2)</x:f>
        <x:v>62.94</x:v>
      </x:c>
      <x:c r="I9" s="3" t="n">
        <x:f>ROUND(I209*I329,2)</x:f>
        <x:v>132.51</x:v>
      </x:c>
      <x:c r="J9" s="3" t="n">
        <x:f>ROUND(J209*J329,2)</x:f>
        <x:v>304.94</x:v>
      </x:c>
      <x:c r="K9" s="3" t="n">
        <x:f>ROUND(K209*K329,2)</x:f>
        <x:v>304.86</x:v>
      </x:c>
      <x:c r="L9" s="3" t="n">
        <x:f>ROUND(L209*L329,2)</x:f>
        <x:v>70.8</x:v>
      </x:c>
      <x:c r="M9" s="3" t="n">
        <x:f>ROUND(M209*M329,2)</x:f>
        <x:v>347</x:v>
      </x:c>
      <x:c r="N9" s="3" t="n">
        <x:f>ROUND(N209*N329,2)</x:f>
        <x:v>327.06</x:v>
      </x:c>
      <x:c r="O9" s="3" t="n">
        <x:f>SUM(C9:N9)</x:f>
        <x:v>2466.1</x:v>
      </x:c>
      <x:c r="P9" s="2" t="str">
        <x:v>EXP2.009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165.13</x:v>
      </x:c>
      <x:c r="D10" s="3" t="n">
        <x:f>ROUND(D210*D330,2)</x:f>
        <x:v>84.71</x:v>
      </x:c>
      <x:c r="E10" s="3" t="n">
        <x:f>ROUND(E210*E330,2)</x:f>
        <x:v>105.5</x:v>
      </x:c>
      <x:c r="F10" s="3" t="n">
        <x:f>ROUND(F210*F330,2)</x:f>
        <x:v>81.64</x:v>
      </x:c>
      <x:c r="G10" s="3" t="n">
        <x:f>ROUND(G210*G330,2)</x:f>
        <x:v>209.13</x:v>
      </x:c>
      <x:c r="H10" s="3" t="n">
        <x:f>ROUND(H210*H330,2)</x:f>
        <x:v>87.94</x:v>
      </x:c>
      <x:c r="I10" s="3" t="n">
        <x:f>ROUND(I210*I330,2)</x:f>
        <x:v>292.54</x:v>
      </x:c>
      <x:c r="J10" s="3" t="n">
        <x:f>ROUND(J210*J330,2)</x:f>
        <x:v>561.3</x:v>
      </x:c>
      <x:c r="K10" s="3" t="n">
        <x:f>ROUND(K210*K330,2)</x:f>
        <x:v>289.42</x:v>
      </x:c>
      <x:c r="L10" s="3" t="n">
        <x:f>ROUND(L210*L330,2)</x:f>
        <x:v>173.88</x:v>
      </x:c>
      <x:c r="M10" s="3" t="n">
        <x:f>ROUND(M210*M330,2)</x:f>
        <x:v>171.16</x:v>
      </x:c>
      <x:c r="N10" s="3" t="n">
        <x:f>ROUND(N210*N330,2)</x:f>
        <x:v>151.94</x:v>
      </x:c>
      <x:c r="O10" s="3" t="n">
        <x:f>SUM(C10:N10)</x:f>
        <x:v>2374.29</x:v>
      </x:c>
      <x:c r="P10" s="2" t="str">
        <x:v>EXP2.010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292.83</x:v>
      </x:c>
      <x:c r="D11" s="3" t="n">
        <x:f>ROUND(D211*D331,2)</x:f>
        <x:v>502.9</x:v>
      </x:c>
      <x:c r="E11" s="3" t="n">
        <x:f>ROUND(E211*E331,2)</x:f>
        <x:v>109.67</x:v>
      </x:c>
      <x:c r="F11" s="3" t="n">
        <x:f>ROUND(F211*F331,2)</x:f>
        <x:v>263.17</x:v>
      </x:c>
      <x:c r="G11" s="3" t="n">
        <x:f>ROUND(G211*G331,2)</x:f>
        <x:v>162.87</x:v>
      </x:c>
      <x:c r="H11" s="3" t="n">
        <x:f>ROUND(H211*H331,2)</x:f>
        <x:v>409.86</x:v>
      </x:c>
      <x:c r="I11" s="3" t="n">
        <x:f>ROUND(I211*I331,2)</x:f>
        <x:v>428.04</x:v>
      </x:c>
      <x:c r="J11" s="3" t="n">
        <x:f>ROUND(J211*J331,2)</x:f>
        <x:v>550.56</x:v>
      </x:c>
      <x:c r="K11" s="3" t="n">
        <x:f>ROUND(K211*K331,2)</x:f>
        <x:v>216.45</x:v>
      </x:c>
      <x:c r="L11" s="3" t="n">
        <x:f>ROUND(L211*L331,2)</x:f>
        <x:v>181.27</x:v>
      </x:c>
      <x:c r="M11" s="3" t="n">
        <x:f>ROUND(M211*M331,2)</x:f>
        <x:v>230.84</x:v>
      </x:c>
      <x:c r="N11" s="3" t="n">
        <x:f>ROUND(N211*N331,2)</x:f>
        <x:v>107.17</x:v>
      </x:c>
      <x:c r="O11" s="3" t="n">
        <x:f>SUM(C11:N11)</x:f>
        <x:v>3455.63</x:v>
      </x:c>
      <x:c r="P11" s="2" t="str">
        <x:v>EXP2.011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126.99</x:v>
      </x:c>
      <x:c r="D12" s="3" t="n">
        <x:f>ROUND(D212*D332,2)</x:f>
        <x:v>204.85</x:v>
      </x:c>
      <x:c r="E12" s="3" t="n">
        <x:f>ROUND(E212*E332,2)</x:f>
        <x:v>293.99</x:v>
      </x:c>
      <x:c r="F12" s="3" t="n">
        <x:f>ROUND(F212*F332,2)</x:f>
        <x:v>194.19</x:v>
      </x:c>
      <x:c r="G12" s="3" t="n">
        <x:f>ROUND(G212*G332,2)</x:f>
        <x:v>191.96</x:v>
      </x:c>
      <x:c r="H12" s="3" t="n">
        <x:f>ROUND(H212*H332,2)</x:f>
        <x:v>373.51</x:v>
      </x:c>
      <x:c r="I12" s="3" t="n">
        <x:f>ROUND(I212*I332,2)</x:f>
        <x:v>158.44</x:v>
      </x:c>
      <x:c r="J12" s="3" t="n">
        <x:f>ROUND(J212*J332,2)</x:f>
        <x:v>332.55</x:v>
      </x:c>
      <x:c r="K12" s="3" t="n">
        <x:f>ROUND(K212*K332,2)</x:f>
        <x:v>150.35</x:v>
      </x:c>
      <x:c r="L12" s="3" t="n">
        <x:f>ROUND(L212*L332,2)</x:f>
        <x:v>173.94</x:v>
      </x:c>
      <x:c r="M12" s="3" t="n">
        <x:f>ROUND(M212*M332,2)</x:f>
        <x:v>162.04</x:v>
      </x:c>
      <x:c r="N12" s="3" t="n">
        <x:f>ROUND(N212*N332,2)</x:f>
        <x:v>149.21</x:v>
      </x:c>
      <x:c r="O12" s="3" t="n">
        <x:f>SUM(C12:N12)</x:f>
        <x:v>2512.02</x:v>
      </x:c>
      <x:c r="P12" s="2" t="str">
        <x:v>EXP2.012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207.74</x:v>
      </x:c>
      <x:c r="D13" s="3" t="n">
        <x:f>ROUND(D213*D333,2)</x:f>
        <x:v>208.79</x:v>
      </x:c>
      <x:c r="E13" s="3" t="n">
        <x:f>ROUND(E213*E333,2)</x:f>
        <x:v>103.88</x:v>
      </x:c>
      <x:c r="F13" s="3" t="n">
        <x:f>ROUND(F213*F333,2)</x:f>
        <x:v>305.75</x:v>
      </x:c>
      <x:c r="G13" s="3" t="n">
        <x:f>ROUND(G213*G333,2)</x:f>
        <x:v>178</x:v>
      </x:c>
      <x:c r="H13" s="3" t="n">
        <x:f>ROUND(H213*H333,2)</x:f>
        <x:v>194.85</x:v>
      </x:c>
      <x:c r="I13" s="3" t="n">
        <x:f>ROUND(I213*I333,2)</x:f>
        <x:v>255.49</x:v>
      </x:c>
      <x:c r="J13" s="3" t="n">
        <x:f>ROUND(J213*J333,2)</x:f>
        <x:v>283.05</x:v>
      </x:c>
      <x:c r="K13" s="3" t="n">
        <x:f>ROUND(K213*K333,2)</x:f>
        <x:v>235.24</x:v>
      </x:c>
      <x:c r="L13" s="3" t="n">
        <x:f>ROUND(L213*L333,2)</x:f>
        <x:v>138.04</x:v>
      </x:c>
      <x:c r="M13" s="3" t="n">
        <x:f>ROUND(M213*M333,2)</x:f>
        <x:v>192.61</x:v>
      </x:c>
      <x:c r="N13" s="3" t="n">
        <x:f>ROUND(N213*N333,2)</x:f>
        <x:v>209.13</x:v>
      </x:c>
      <x:c r="O13" s="3" t="n">
        <x:f>SUM(C13:N13)</x:f>
        <x:v>2512.57</x:v>
      </x:c>
      <x:c r="P13" s="2" t="str">
        <x:v>EXP2.013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198.86</x:v>
      </x:c>
      <x:c r="D14" s="3" t="n">
        <x:f>ROUND(D214*D334,2)</x:f>
        <x:v>261.92</x:v>
      </x:c>
      <x:c r="E14" s="3" t="n">
        <x:f>ROUND(E214*E334,2)</x:f>
        <x:v>141.62</x:v>
      </x:c>
      <x:c r="F14" s="3" t="n">
        <x:f>ROUND(F214*F334,2)</x:f>
        <x:v>313.97</x:v>
      </x:c>
      <x:c r="G14" s="3" t="n">
        <x:f>ROUND(G214*G334,2)</x:f>
        <x:v>61.21</x:v>
      </x:c>
      <x:c r="H14" s="3" t="n">
        <x:f>ROUND(H214*H334,2)</x:f>
        <x:v>148.3</x:v>
      </x:c>
      <x:c r="I14" s="3" t="n">
        <x:f>ROUND(I214*I334,2)</x:f>
        <x:v>67.64</x:v>
      </x:c>
      <x:c r="J14" s="3" t="n">
        <x:f>ROUND(J214*J334,2)</x:f>
        <x:v>41.4</x:v>
      </x:c>
      <x:c r="K14" s="3" t="n">
        <x:f>ROUND(K214*K334,2)</x:f>
        <x:v>202.77</x:v>
      </x:c>
      <x:c r="L14" s="3" t="n">
        <x:f>ROUND(L214*L334,2)</x:f>
        <x:v>413.43</x:v>
      </x:c>
      <x:c r="M14" s="3" t="n">
        <x:f>ROUND(M214*M334,2)</x:f>
        <x:v>241.93</x:v>
      </x:c>
      <x:c r="N14" s="3" t="n">
        <x:f>ROUND(N214*N334,2)</x:f>
        <x:v>322.73</x:v>
      </x:c>
      <x:c r="O14" s="3" t="n">
        <x:f>SUM(C14:N14)</x:f>
        <x:v>2415.78</x:v>
      </x:c>
      <x:c r="P14" s="2" t="str">
        <x:v>EXP2.014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147.07</x:v>
      </x:c>
      <x:c r="D15" s="3" t="n">
        <x:f>ROUND(D215*D335,2)</x:f>
        <x:v>507.58</x:v>
      </x:c>
      <x:c r="E15" s="3" t="n">
        <x:f>ROUND(E215*E335,2)</x:f>
        <x:v>218.51</x:v>
      </x:c>
      <x:c r="F15" s="3" t="n">
        <x:f>ROUND(F215*F335,2)</x:f>
        <x:v>135.53</x:v>
      </x:c>
      <x:c r="G15" s="3" t="n">
        <x:f>ROUND(G215*G335,2)</x:f>
        <x:v>228.62</x:v>
      </x:c>
      <x:c r="H15" s="3" t="n">
        <x:f>ROUND(H215*H335,2)</x:f>
        <x:v>363.61</x:v>
      </x:c>
      <x:c r="I15" s="3" t="n">
        <x:f>ROUND(I215*I335,2)</x:f>
        <x:v>391.64</x:v>
      </x:c>
      <x:c r="J15" s="3" t="n">
        <x:f>ROUND(J215*J335,2)</x:f>
        <x:v>264.22</x:v>
      </x:c>
      <x:c r="K15" s="3" t="n">
        <x:f>ROUND(K215*K335,2)</x:f>
        <x:v>516.01</x:v>
      </x:c>
      <x:c r="L15" s="3" t="n">
        <x:f>ROUND(L215*L335,2)</x:f>
        <x:v>148.62</x:v>
      </x:c>
      <x:c r="M15" s="3" t="n">
        <x:f>ROUND(M215*M335,2)</x:f>
        <x:v>387.16</x:v>
      </x:c>
      <x:c r="N15" s="3" t="n">
        <x:f>ROUND(N215*N335,2)</x:f>
        <x:v>187.67</x:v>
      </x:c>
      <x:c r="O15" s="3" t="n">
        <x:f>SUM(C15:N15)</x:f>
        <x:v>3496.24</x:v>
      </x:c>
      <x:c r="P15" s="2" t="str">
        <x:v>EXP2.015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118.06</x:v>
      </x:c>
      <x:c r="D16" s="3" t="n">
        <x:f>ROUND(D216*D336,2)</x:f>
        <x:v>214.41</x:v>
      </x:c>
      <x:c r="E16" s="3" t="n">
        <x:f>ROUND(E216*E336,2)</x:f>
        <x:v>157.83</x:v>
      </x:c>
      <x:c r="F16" s="3" t="n">
        <x:f>ROUND(F216*F336,2)</x:f>
        <x:v>511.56</x:v>
      </x:c>
      <x:c r="G16" s="3" t="n">
        <x:f>ROUND(G216*G336,2)</x:f>
        <x:v>162.77</x:v>
      </x:c>
      <x:c r="H16" s="3" t="n">
        <x:f>ROUND(H216*H336,2)</x:f>
        <x:v>353.25</x:v>
      </x:c>
      <x:c r="I16" s="3" t="n">
        <x:f>ROUND(I216*I336,2)</x:f>
        <x:v>278.27</x:v>
      </x:c>
      <x:c r="J16" s="3" t="n">
        <x:f>ROUND(J216*J336,2)</x:f>
        <x:v>239.76</x:v>
      </x:c>
      <x:c r="K16" s="3" t="n">
        <x:f>ROUND(K216*K336,2)</x:f>
        <x:v>68.99</x:v>
      </x:c>
      <x:c r="L16" s="3" t="n">
        <x:f>ROUND(L216*L336,2)</x:f>
        <x:v>274.34</x:v>
      </x:c>
      <x:c r="M16" s="3" t="n">
        <x:f>ROUND(M216*M336,2)</x:f>
        <x:v>242.62</x:v>
      </x:c>
      <x:c r="N16" s="3" t="n">
        <x:f>ROUND(N216*N336,2)</x:f>
        <x:v>129.98</x:v>
      </x:c>
      <x:c r="O16" s="3" t="n">
        <x:f>SUM(C16:N16)</x:f>
        <x:v>2751.84</x:v>
      </x:c>
      <x:c r="P16" s="2" t="str">
        <x:v>EXP2.016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 t="str">
        <x:v>咨询服务费</x:v>
      </x:c>
      <x:c r="C17" s="3" t="n">
        <x:f>ROUND(C217*C337,2)</x:f>
        <x:v>455.37</x:v>
      </x:c>
      <x:c r="D17" s="3" t="n">
        <x:f>ROUND(D217*D337,2)</x:f>
        <x:v>89.96</x:v>
      </x:c>
      <x:c r="E17" s="3" t="n">
        <x:f>ROUND(E217*E337,2)</x:f>
        <x:v>165.67</x:v>
      </x:c>
      <x:c r="F17" s="3" t="n">
        <x:f>ROUND(F217*F337,2)</x:f>
        <x:v>174.36</x:v>
      </x:c>
      <x:c r="G17" s="3" t="n">
        <x:f>ROUND(G217*G337,2)</x:f>
        <x:v>356.25</x:v>
      </x:c>
      <x:c r="H17" s="3" t="n">
        <x:f>ROUND(H217*H337,2)</x:f>
        <x:v>357.96</x:v>
      </x:c>
      <x:c r="I17" s="3" t="n">
        <x:f>ROUND(I217*I337,2)</x:f>
        <x:v>321.42</x:v>
      </x:c>
      <x:c r="J17" s="3" t="n">
        <x:f>ROUND(J217*J337,2)</x:f>
        <x:v>108.66</x:v>
      </x:c>
      <x:c r="K17" s="3" t="n">
        <x:f>ROUND(K217*K337,2)</x:f>
        <x:v>116.36</x:v>
      </x:c>
      <x:c r="L17" s="3" t="n">
        <x:f>ROUND(L217*L337,2)</x:f>
        <x:v>154.37</x:v>
      </x:c>
      <x:c r="M17" s="3" t="n">
        <x:f>ROUND(M217*M337,2)</x:f>
        <x:v>298.65</x:v>
      </x:c>
      <x:c r="N17" s="3" t="n">
        <x:f>ROUND(N217*N337,2)</x:f>
        <x:v>170.31</x:v>
      </x:c>
      <x:c r="O17" s="3" t="n">
        <x:f>SUM(C17:N17)</x:f>
        <x:v>2769.34</x:v>
      </x:c>
      <x:c r="P17" s="2" t="str">
        <x:v>EXP2.017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405.41</x:v>
      </x:c>
      <x:c r="D18" s="3" t="n">
        <x:f>ROUND(D218*D338,2)</x:f>
        <x:v>176.34</x:v>
      </x:c>
      <x:c r="E18" s="3" t="n">
        <x:f>ROUND(E218*E338,2)</x:f>
        <x:v>170.46</x:v>
      </x:c>
      <x:c r="F18" s="3" t="n">
        <x:f>ROUND(F218*F338,2)</x:f>
        <x:v>341.47</x:v>
      </x:c>
      <x:c r="G18" s="3" t="n">
        <x:f>ROUND(G218*G338,2)</x:f>
        <x:v>258.01</x:v>
      </x:c>
      <x:c r="H18" s="3" t="n">
        <x:f>ROUND(H218*H338,2)</x:f>
        <x:v>354.04</x:v>
      </x:c>
      <x:c r="I18" s="3" t="n">
        <x:f>ROUND(I218*I338,2)</x:f>
        <x:v>387.38</x:v>
      </x:c>
      <x:c r="J18" s="3" t="n">
        <x:f>ROUND(J218*J338,2)</x:f>
        <x:v>118.76</x:v>
      </x:c>
      <x:c r="K18" s="3" t="n">
        <x:f>ROUND(K218*K338,2)</x:f>
        <x:v>240.11</x:v>
      </x:c>
      <x:c r="L18" s="3" t="n">
        <x:f>ROUND(L218*L338,2)</x:f>
        <x:v>480.2</x:v>
      </x:c>
      <x:c r="M18" s="3" t="n">
        <x:f>ROUND(M218*M338,2)</x:f>
        <x:v>357.59</x:v>
      </x:c>
      <x:c r="N18" s="3" t="n">
        <x:f>ROUND(N218*N338,2)</x:f>
        <x:v>141.49</x:v>
      </x:c>
      <x:c r="O18" s="3" t="n">
        <x:f>SUM(C18:N18)</x:f>
        <x:v>3431.26</x:v>
      </x:c>
      <x:c r="P18" s="2" t="str">
        <x:v>EXP2.018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79.4</x:v>
      </x:c>
      <x:c r="D19" s="3" t="n">
        <x:f>ROUND(D219*D339,2)</x:f>
        <x:v>146.41</x:v>
      </x:c>
      <x:c r="E19" s="3" t="n">
        <x:f>ROUND(E219*E339,2)</x:f>
        <x:v>90.61</x:v>
      </x:c>
      <x:c r="F19" s="3" t="n">
        <x:f>ROUND(F219*F339,2)</x:f>
        <x:v>92.13</x:v>
      </x:c>
      <x:c r="G19" s="3" t="n">
        <x:f>ROUND(G219*G339,2)</x:f>
        <x:v>159.76</x:v>
      </x:c>
      <x:c r="H19" s="3" t="n">
        <x:f>ROUND(H219*H339,2)</x:f>
        <x:v>248.93</x:v>
      </x:c>
      <x:c r="I19" s="3" t="n">
        <x:f>ROUND(I219*I339,2)</x:f>
        <x:v>125.87</x:v>
      </x:c>
      <x:c r="J19" s="3" t="n">
        <x:f>ROUND(J219*J339,2)</x:f>
        <x:v>146.77</x:v>
      </x:c>
      <x:c r="K19" s="3" t="n">
        <x:f>ROUND(K219*K339,2)</x:f>
        <x:v>232.43</x:v>
      </x:c>
      <x:c r="L19" s="3" t="n">
        <x:f>ROUND(L219*L339,2)</x:f>
        <x:v>245.32</x:v>
      </x:c>
      <x:c r="M19" s="3" t="n">
        <x:f>ROUND(M219*M339,2)</x:f>
        <x:v>384.09</x:v>
      </x:c>
      <x:c r="N19" s="3" t="n">
        <x:f>ROUND(N219*N339,2)</x:f>
        <x:v>120.32</x:v>
      </x:c>
      <x:c r="O19" s="3" t="n">
        <x:f>SUM(C19:N19)</x:f>
        <x:v>2072.04</x:v>
      </x:c>
      <x:c r="P19" s="2" t="str">
        <x:v>EXP2.019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700.33</x:v>
      </x:c>
      <x:c r="D20" s="3" t="n">
        <x:f>ROUND('摊销明细'!D33/3,2)</x:f>
        <x:v>700.33</x:v>
      </x:c>
      <x:c r="E20" s="3" t="n">
        <x:f>ROUND('摊销明细'!E33/3,2)</x:f>
        <x:v>700.33</x:v>
      </x:c>
      <x:c r="F20" s="3" t="n">
        <x:f>ROUND('摊销明细'!F33/3,2)</x:f>
        <x:v>700.33</x:v>
      </x:c>
      <x:c r="G20" s="3" t="n">
        <x:f>ROUND('摊销明细'!G33/3,2)</x:f>
        <x:v>700.33</x:v>
      </x:c>
      <x:c r="H20" s="3" t="n">
        <x:f>ROUND('摊销明细'!H33/3,2)</x:f>
        <x:v>700.33</x:v>
      </x:c>
      <x:c r="I20" s="3" t="n">
        <x:f>ROUND('摊销明细'!I33/3,2)</x:f>
        <x:v>700.33</x:v>
      </x:c>
      <x:c r="J20" s="3" t="n">
        <x:f>ROUND('摊销明细'!J33/3,2)</x:f>
        <x:v>700.33</x:v>
      </x:c>
      <x:c r="K20" s="3" t="n">
        <x:f>ROUND('摊销明细'!K33/3,2)</x:f>
        <x:v>700.33</x:v>
      </x:c>
      <x:c r="L20" s="3" t="n">
        <x:f>ROUND('摊销明细'!L33/3,2)</x:f>
        <x:v>700.33</x:v>
      </x:c>
      <x:c r="M20" s="3" t="n">
        <x:f>ROUND('摊销明细'!M33/3,2)</x:f>
        <x:v>700.33</x:v>
      </x:c>
      <x:c r="N20" s="3" t="n">
        <x:f>ROUND('摊销明细'!N33/3,2)</x:f>
        <x:v>700.33</x:v>
      </x:c>
      <x:c r="O20" s="3" t="n">
        <x:f>SUM(C20:N20)</x:f>
        <x:v>8403.960000000001</x:v>
      </x:c>
      <x:c r="P20" s="2" t="str">
        <x:v>EXP2.020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201.18</x:v>
      </x:c>
      <x:c r="D21" s="3" t="n">
        <x:f>ROUND(D221*D341,2)</x:f>
        <x:v>55.46</x:v>
      </x:c>
      <x:c r="E21" s="3" t="n">
        <x:f>ROUND(E221*E341,2)</x:f>
        <x:v>402.81</x:v>
      </x:c>
      <x:c r="F21" s="3" t="n">
        <x:f>ROUND(F221*F341,2)</x:f>
        <x:v>214.37</x:v>
      </x:c>
      <x:c r="G21" s="3" t="n">
        <x:f>ROUND(G221*G341,2)</x:f>
        <x:v>153.25</x:v>
      </x:c>
      <x:c r="H21" s="3" t="n">
        <x:f>ROUND(H221*H341,2)</x:f>
        <x:v>135.57</x:v>
      </x:c>
      <x:c r="I21" s="3" t="n">
        <x:f>ROUND(I221*I341,2)</x:f>
        <x:v>284.35</x:v>
      </x:c>
      <x:c r="J21" s="3" t="n">
        <x:f>ROUND(J221*J341,2)</x:f>
        <x:v>192.31</x:v>
      </x:c>
      <x:c r="K21" s="3" t="n">
        <x:f>ROUND(K221*K341,2)</x:f>
        <x:v>133.5</x:v>
      </x:c>
      <x:c r="L21" s="3" t="n">
        <x:f>ROUND(L221*L341,2)</x:f>
        <x:v>264.47</x:v>
      </x:c>
      <x:c r="M21" s="3" t="n">
        <x:f>ROUND(M221*M341,2)</x:f>
        <x:v>257.46</x:v>
      </x:c>
      <x:c r="N21" s="3" t="n">
        <x:f>ROUND(N221*N341,2)</x:f>
        <x:v>490.42</x:v>
      </x:c>
      <x:c r="O21" s="3" t="n">
        <x:f>SUM(C21:N21)</x:f>
        <x:v>2785.15</x:v>
      </x:c>
      <x:c r="P21" s="2" t="str">
        <x:v>EXP2.021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56.53</x:v>
      </x:c>
      <x:c r="D22" s="3" t="n">
        <x:f>ROUND(D222*D342,2)</x:f>
        <x:v>486.54</x:v>
      </x:c>
      <x:c r="E22" s="3" t="n">
        <x:f>ROUND(E222*E342,2)</x:f>
        <x:v>307.52</x:v>
      </x:c>
      <x:c r="F22" s="3" t="n">
        <x:f>ROUND(F222*F342,2)</x:f>
        <x:v>83.82</x:v>
      </x:c>
      <x:c r="G22" s="3" t="n">
        <x:f>ROUND(G222*G342,2)</x:f>
        <x:v>128.27</x:v>
      </x:c>
      <x:c r="H22" s="3" t="n">
        <x:f>ROUND(H222*H342,2)</x:f>
        <x:v>331.04</x:v>
      </x:c>
      <x:c r="I22" s="3" t="n">
        <x:f>ROUND(I222*I342,2)</x:f>
        <x:v>130.39</x:v>
      </x:c>
      <x:c r="J22" s="3" t="n">
        <x:f>ROUND(J222*J342,2)</x:f>
        <x:v>100.85</x:v>
      </x:c>
      <x:c r="K22" s="3" t="n">
        <x:f>ROUND(K222*K342,2)</x:f>
        <x:v>295.95</x:v>
      </x:c>
      <x:c r="L22" s="3" t="n">
        <x:f>ROUND(L222*L342,2)</x:f>
        <x:v>232.85</x:v>
      </x:c>
      <x:c r="M22" s="3" t="n">
        <x:f>ROUND(M222*M342,2)</x:f>
        <x:v>274.2</x:v>
      </x:c>
      <x:c r="N22" s="3" t="n">
        <x:f>ROUND(N222*N342,2)</x:f>
        <x:v>410.32</x:v>
      </x:c>
      <x:c r="O22" s="3" t="n">
        <x:f>SUM(C22:N22)</x:f>
        <x:v>2838.28</x:v>
      </x:c>
      <x:c r="P22" s="2" t="str">
        <x:v>EXP2.022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117.88</x:v>
      </x:c>
      <x:c r="D23" s="3" t="n">
        <x:f>ROUND(D223*D343,2)</x:f>
        <x:v>117.75</x:v>
      </x:c>
      <x:c r="E23" s="3" t="n">
        <x:f>ROUND(E223*E343,2)</x:f>
        <x:v>195.78</x:v>
      </x:c>
      <x:c r="F23" s="3" t="n">
        <x:f>ROUND(F223*F343,2)</x:f>
        <x:v>153.51</x:v>
      </x:c>
      <x:c r="G23" s="3" t="n">
        <x:f>ROUND(G223*G343,2)</x:f>
        <x:v>161.87</x:v>
      </x:c>
      <x:c r="H23" s="3" t="n">
        <x:f>ROUND(H223*H343,2)</x:f>
        <x:v>168.07</x:v>
      </x:c>
      <x:c r="I23" s="3" t="n">
        <x:f>ROUND(I223*I343,2)</x:f>
        <x:v>92.45</x:v>
      </x:c>
      <x:c r="J23" s="3" t="n">
        <x:f>ROUND(J223*J343,2)</x:f>
        <x:v>116.91</x:v>
      </x:c>
      <x:c r="K23" s="3" t="n">
        <x:f>ROUND(K223*K343,2)</x:f>
        <x:v>438.42</x:v>
      </x:c>
      <x:c r="L23" s="3" t="n">
        <x:f>ROUND(L223*L343,2)</x:f>
        <x:v>119.91</x:v>
      </x:c>
      <x:c r="M23" s="3" t="n">
        <x:f>ROUND(M223*M343,2)</x:f>
        <x:v>110.41</x:v>
      </x:c>
      <x:c r="N23" s="3" t="n">
        <x:f>ROUND(N223*N343,2)</x:f>
        <x:v>426.54</x:v>
      </x:c>
      <x:c r="O23" s="3" t="n">
        <x:f>SUM(C23:N23)</x:f>
        <x:v>2219.5000000000005</x:v>
      </x:c>
      <x:c r="P23" s="2" t="str">
        <x:v>EXP2.023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112.64</x:v>
      </x:c>
      <x:c r="D24" s="3" t="n">
        <x:f>ROUND(D224*D344,2)</x:f>
        <x:v>126.84</x:v>
      </x:c>
      <x:c r="E24" s="3" t="n">
        <x:f>ROUND(E224*E344,2)</x:f>
        <x:v>98.49</x:v>
      </x:c>
      <x:c r="F24" s="3" t="n">
        <x:f>ROUND(F224*F344,2)</x:f>
        <x:v>189.95</x:v>
      </x:c>
      <x:c r="G24" s="3" t="n">
        <x:f>ROUND(G224*G344,2)</x:f>
        <x:v>336.28</x:v>
      </x:c>
      <x:c r="H24" s="3" t="n">
        <x:f>ROUND(H224*H344,2)</x:f>
        <x:v>139.99</x:v>
      </x:c>
      <x:c r="I24" s="3" t="n">
        <x:f>ROUND(I224*I344,2)</x:f>
        <x:v>259.21</x:v>
      </x:c>
      <x:c r="J24" s="3" t="n">
        <x:f>ROUND(J224*J344,2)</x:f>
        <x:v>111.94</x:v>
      </x:c>
      <x:c r="K24" s="3" t="n">
        <x:f>ROUND(K224*K344,2)</x:f>
        <x:v>298.51</x:v>
      </x:c>
      <x:c r="L24" s="3" t="n">
        <x:f>ROUND(L224*L344,2)</x:f>
        <x:v>177.06</x:v>
      </x:c>
      <x:c r="M24" s="3" t="n">
        <x:f>ROUND(M224*M344,2)</x:f>
        <x:v>201.66</x:v>
      </x:c>
      <x:c r="N24" s="3" t="n">
        <x:f>ROUND(N224*N344,2)</x:f>
        <x:v>213.06</x:v>
      </x:c>
      <x:c r="O24" s="3" t="n">
        <x:f>SUM(C24:N24)</x:f>
        <x:v>2265.63</x:v>
      </x:c>
      <x:c r="P24" s="2" t="str">
        <x:v>EXP2.024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79.41</x:v>
      </x:c>
      <x:c r="D25" s="3" t="n">
        <x:f>ROUND(D225*D345,2)</x:f>
        <x:v>110.81</x:v>
      </x:c>
      <x:c r="E25" s="3" t="n">
        <x:f>ROUND(E225*E345,2)</x:f>
        <x:v>203.76</x:v>
      </x:c>
      <x:c r="F25" s="3" t="n">
        <x:f>ROUND(F225*F345,2)</x:f>
        <x:v>170.54</x:v>
      </x:c>
      <x:c r="G25" s="3" t="n">
        <x:f>ROUND(G225*G345,2)</x:f>
        <x:v>215.11</x:v>
      </x:c>
      <x:c r="H25" s="3" t="n">
        <x:f>ROUND(H225*H345,2)</x:f>
        <x:v>225.53</x:v>
      </x:c>
      <x:c r="I25" s="3" t="n">
        <x:f>ROUND(I225*I345,2)</x:f>
        <x:v>372.56</x:v>
      </x:c>
      <x:c r="J25" s="3" t="n">
        <x:f>ROUND(J225*J345,2)</x:f>
        <x:v>195.7</x:v>
      </x:c>
      <x:c r="K25" s="3" t="n">
        <x:f>ROUND(K225*K345,2)</x:f>
        <x:v>89.16</x:v>
      </x:c>
      <x:c r="L25" s="3" t="n">
        <x:f>ROUND(L225*L345,2)</x:f>
        <x:v>236.33</x:v>
      </x:c>
      <x:c r="M25" s="3" t="n">
        <x:f>ROUND(M225*M345,2)</x:f>
        <x:v>88.08</x:v>
      </x:c>
      <x:c r="N25" s="3" t="n">
        <x:f>ROUND(N225*N345,2)</x:f>
        <x:v>75.85</x:v>
      </x:c>
      <x:c r="O25" s="3" t="n">
        <x:f>SUM(C25:N25)</x:f>
        <x:v>2062.84</x:v>
      </x:c>
      <x:c r="P25" s="2" t="str">
        <x:v>EXP2.025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63.71</x:v>
      </x:c>
      <x:c r="D26" s="3" t="n">
        <x:f>ROUND(D226*D346,2)</x:f>
        <x:v>296.34</x:v>
      </x:c>
      <x:c r="E26" s="3" t="n">
        <x:f>ROUND(E226*E346,2)</x:f>
        <x:v>340.44</x:v>
      </x:c>
      <x:c r="F26" s="3" t="n">
        <x:f>ROUND(F226*F346,2)</x:f>
        <x:v>221.12</x:v>
      </x:c>
      <x:c r="G26" s="3" t="n">
        <x:f>ROUND(G226*G346,2)</x:f>
        <x:v>66.78</x:v>
      </x:c>
      <x:c r="H26" s="3" t="n">
        <x:f>ROUND(H226*H346,2)</x:f>
        <x:v>327.57</x:v>
      </x:c>
      <x:c r="I26" s="3" t="n">
        <x:f>ROUND(I226*I346,2)</x:f>
        <x:v>135.97</x:v>
      </x:c>
      <x:c r="J26" s="3" t="n">
        <x:f>ROUND(J226*J346,2)</x:f>
        <x:v>270.16</x:v>
      </x:c>
      <x:c r="K26" s="3" t="n">
        <x:f>ROUND(K226*K346,2)</x:f>
        <x:v>233.91</x:v>
      </x:c>
      <x:c r="L26" s="3" t="n">
        <x:f>ROUND(L226*L346,2)</x:f>
        <x:v>171.21</x:v>
      </x:c>
      <x:c r="M26" s="3" t="n">
        <x:f>ROUND(M226*M346,2)</x:f>
        <x:v>216.11</x:v>
      </x:c>
      <x:c r="N26" s="3" t="n">
        <x:f>ROUND(N226*N346,2)</x:f>
        <x:v>216.82</x:v>
      </x:c>
      <x:c r="O26" s="3" t="n">
        <x:f>SUM(C26:N26)</x:f>
        <x:v>2560.1400000000003</x:v>
      </x:c>
      <x:c r="P26" s="2" t="str">
        <x:v>EXP2.026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410.21</x:v>
      </x:c>
      <x:c r="D27" s="3" t="n">
        <x:f>ROUND(D227*D347,2)</x:f>
        <x:v>284.08</x:v>
      </x:c>
      <x:c r="E27" s="3" t="n">
        <x:f>ROUND(E227*E347,2)</x:f>
        <x:v>257.48</x:v>
      </x:c>
      <x:c r="F27" s="3" t="n">
        <x:f>ROUND(F227*F347,2)</x:f>
        <x:v>263.3</x:v>
      </x:c>
      <x:c r="G27" s="3" t="n">
        <x:f>ROUND(G227*G347,2)</x:f>
        <x:v>352.79</x:v>
      </x:c>
      <x:c r="H27" s="3" t="n">
        <x:f>ROUND(H227*H347,2)</x:f>
        <x:v>256.75</x:v>
      </x:c>
      <x:c r="I27" s="3" t="n">
        <x:f>ROUND(I227*I347,2)</x:f>
        <x:v>511.36</x:v>
      </x:c>
      <x:c r="J27" s="3" t="n">
        <x:f>ROUND(J227*J347,2)</x:f>
        <x:v>235.08</x:v>
      </x:c>
      <x:c r="K27" s="3" t="n">
        <x:f>ROUND(K227*K347,2)</x:f>
        <x:v>193.66</x:v>
      </x:c>
      <x:c r="L27" s="3" t="n">
        <x:f>ROUND(L227*L347,2)</x:f>
        <x:v>282.12</x:v>
      </x:c>
      <x:c r="M27" s="3" t="n">
        <x:f>ROUND(M227*M347,2)</x:f>
        <x:v>66.66</x:v>
      </x:c>
      <x:c r="N27" s="3" t="n">
        <x:f>ROUND(N227*N347,2)</x:f>
        <x:v>337.64</x:v>
      </x:c>
      <x:c r="O27" s="3" t="n">
        <x:f>SUM(C27:N27)</x:f>
        <x:v>3451.129999999999</x:v>
      </x:c>
      <x:c r="P27" s="2" t="str">
        <x:v>EXP2.027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173.28</x:v>
      </x:c>
      <x:c r="D28" s="3" t="n">
        <x:f>ROUND(D228*D348,2)</x:f>
        <x:v>85.34</x:v>
      </x:c>
      <x:c r="E28" s="3" t="n">
        <x:f>ROUND(E228*E348,2)</x:f>
        <x:v>191.72</x:v>
      </x:c>
      <x:c r="F28" s="3" t="n">
        <x:f>ROUND(F228*F348,2)</x:f>
        <x:v>365.58</x:v>
      </x:c>
      <x:c r="G28" s="3" t="n">
        <x:f>ROUND(G228*G348,2)</x:f>
        <x:v>335.35</x:v>
      </x:c>
      <x:c r="H28" s="3" t="n">
        <x:f>ROUND(H228*H348,2)</x:f>
        <x:v>232.96</x:v>
      </x:c>
      <x:c r="I28" s="3" t="n">
        <x:f>ROUND(I228*I348,2)</x:f>
        <x:v>355.11</x:v>
      </x:c>
      <x:c r="J28" s="3" t="n">
        <x:f>ROUND(J228*J348,2)</x:f>
        <x:v>83.61</x:v>
      </x:c>
      <x:c r="K28" s="3" t="n">
        <x:f>ROUND(K228*K348,2)</x:f>
        <x:v>100.35</x:v>
      </x:c>
      <x:c r="L28" s="3" t="n">
        <x:f>ROUND(L228*L348,2)</x:f>
        <x:v>335.04</x:v>
      </x:c>
      <x:c r="M28" s="3" t="n">
        <x:f>ROUND(M228*M348,2)</x:f>
        <x:v>157.27</x:v>
      </x:c>
      <x:c r="N28" s="3" t="n">
        <x:f>ROUND(N228*N348,2)</x:f>
        <x:v>444.79</x:v>
      </x:c>
      <x:c r="O28" s="3" t="n">
        <x:f>SUM(C28:N28)</x:f>
        <x:v>2860.4</x:v>
      </x:c>
      <x:c r="P28" s="2" t="str">
        <x:v>EXP2.028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EXP2.029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101.62</x:v>
      </x:c>
      <x:c r="D30" s="6" t="n">
        <x:f>ROUND(D230*D350,2)</x:f>
        <x:v>206.76</x:v>
      </x:c>
      <x:c r="E30" s="6" t="n">
        <x:f>ROUND(E230*E350,2)</x:f>
        <x:v>327.38</x:v>
      </x:c>
      <x:c r="F30" s="6" t="n">
        <x:f>ROUND(F230*F350,2)</x:f>
        <x:v>370.13</x:v>
      </x:c>
      <x:c r="G30" s="6" t="n">
        <x:f>ROUND(G230*G350,2)</x:f>
        <x:v>273.22</x:v>
      </x:c>
      <x:c r="H30" s="6" t="n">
        <x:f>ROUND(H230*H350,2)</x:f>
        <x:v>276.71</x:v>
      </x:c>
      <x:c r="I30" s="6" t="n">
        <x:f>ROUND(I230*I350,2)</x:f>
        <x:v>61.76</x:v>
      </x:c>
      <x:c r="J30" s="6" t="n">
        <x:f>ROUND(J230*J350,2)</x:f>
        <x:v>197.51</x:v>
      </x:c>
      <x:c r="K30" s="6" t="n">
        <x:f>ROUND(K230*K350,2)</x:f>
        <x:v>301.44</x:v>
      </x:c>
      <x:c r="L30" s="6" t="n">
        <x:f>ROUND(L230*L350,2)</x:f>
        <x:v>546.22</x:v>
      </x:c>
      <x:c r="M30" s="6" t="n">
        <x:f>ROUND(M230*M350,2)</x:f>
        <x:v>581.91</x:v>
      </x:c>
      <x:c r="N30" s="6" t="n">
        <x:f>ROUND(N230*N350,2)</x:f>
        <x:v>185.94</x:v>
      </x:c>
      <x:c r="O30" s="6" t="n">
        <x:f>SUM(C30:N30)</x:f>
        <x:v>3430.6</x:v>
      </x:c>
      <x:c r="P30" s="2" t="str">
        <x:v>EXP2.030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252.45</x:v>
      </x:c>
      <x:c r="D31" s="3" t="n">
        <x:f>ROUND(D231*D351,2)</x:f>
        <x:v>89.51</x:v>
      </x:c>
      <x:c r="E31" s="3" t="n">
        <x:f>ROUND(E231*E351,2)</x:f>
        <x:v>102.12</x:v>
      </x:c>
      <x:c r="F31" s="3" t="n">
        <x:f>ROUND(F231*F351,2)</x:f>
        <x:v>374.36</x:v>
      </x:c>
      <x:c r="G31" s="3" t="n">
        <x:f>ROUND(G231*G351,2)</x:f>
        <x:v>76.1</x:v>
      </x:c>
      <x:c r="H31" s="3" t="n">
        <x:f>ROUND(H231*H351,2)</x:f>
        <x:v>163.63</x:v>
      </x:c>
      <x:c r="I31" s="3" t="n">
        <x:f>ROUND(I231*I351,2)</x:f>
        <x:v>276.32</x:v>
      </x:c>
      <x:c r="J31" s="3" t="n">
        <x:f>ROUND(J231*J351,2)</x:f>
        <x:v>262.05</x:v>
      </x:c>
      <x:c r="K31" s="3" t="n">
        <x:f>ROUND(K231*K351,2)</x:f>
        <x:v>138.6</x:v>
      </x:c>
      <x:c r="L31" s="3" t="n">
        <x:f>ROUND(L231*L351,2)</x:f>
        <x:v>481.66</x:v>
      </x:c>
      <x:c r="M31" s="3" t="n">
        <x:f>ROUND(M231*M351,2)</x:f>
        <x:v>165.2</x:v>
      </x:c>
      <x:c r="N31" s="3" t="n">
        <x:f>ROUND(N231*N351,2)</x:f>
        <x:v>205.98</x:v>
      </x:c>
      <x:c r="O31" s="3" t="n">
        <x:f>SUM(C31:N31)</x:f>
        <x:v>2587.9799999999996</x:v>
      </x:c>
      <x:c r="P31" s="2" t="str">
        <x:v>EXP2.031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97.25</x:v>
      </x:c>
      <x:c r="D32" s="3" t="n">
        <x:f>ROUND(D232*D352,2)</x:f>
        <x:v>159.52</x:v>
      </x:c>
      <x:c r="E32" s="3" t="n">
        <x:f>ROUND(E232*E352,2)</x:f>
        <x:v>349.69</x:v>
      </x:c>
      <x:c r="F32" s="3" t="n">
        <x:f>ROUND(F232*F352,2)</x:f>
        <x:v>178.23</x:v>
      </x:c>
      <x:c r="G32" s="3" t="n">
        <x:f>ROUND(G232*G352,2)</x:f>
        <x:v>224.71</x:v>
      </x:c>
      <x:c r="H32" s="3" t="n">
        <x:f>ROUND(H232*H352,2)</x:f>
        <x:v>552.96</x:v>
      </x:c>
      <x:c r="I32" s="3" t="n">
        <x:f>ROUND(I232*I352,2)</x:f>
        <x:v>144.39</x:v>
      </x:c>
      <x:c r="J32" s="3" t="n">
        <x:f>ROUND(J232*J352,2)</x:f>
        <x:v>131.85</x:v>
      </x:c>
      <x:c r="K32" s="3" t="n">
        <x:f>ROUND(K232*K352,2)</x:f>
        <x:v>150.21</x:v>
      </x:c>
      <x:c r="L32" s="3" t="n">
        <x:f>ROUND(L232*L352,2)</x:f>
        <x:v>168.48</x:v>
      </x:c>
      <x:c r="M32" s="3" t="n">
        <x:f>ROUND(M232*M352,2)</x:f>
        <x:v>277.85</x:v>
      </x:c>
      <x:c r="N32" s="3" t="n">
        <x:f>ROUND(N232*N352,2)</x:f>
        <x:v>97.62</x:v>
      </x:c>
      <x:c r="O32" s="3" t="n">
        <x:f>SUM(C32:N32)</x:f>
        <x:v>2532.7599999999998</x:v>
      </x:c>
      <x:c r="P32" s="2" t="str">
        <x:v>EXP2.032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303.86</x:v>
      </x:c>
      <x:c r="D33" s="3" t="n">
        <x:f>ROUND(D233*D353,2)</x:f>
        <x:v>284.98</x:v>
      </x:c>
      <x:c r="E33" s="3" t="n">
        <x:f>ROUND(E233*E353,2)</x:f>
        <x:v>185.13</x:v>
      </x:c>
      <x:c r="F33" s="3" t="n">
        <x:f>ROUND(F233*F353,2)</x:f>
        <x:v>283.68</x:v>
      </x:c>
      <x:c r="G33" s="3" t="n">
        <x:f>ROUND(G233*G353,2)</x:f>
        <x:v>137.68</x:v>
      </x:c>
      <x:c r="H33" s="3" t="n">
        <x:f>ROUND(H233*H353,2)</x:f>
        <x:v>153.93</x:v>
      </x:c>
      <x:c r="I33" s="3" t="n">
        <x:f>ROUND(I233*I353,2)</x:f>
        <x:v>385.3</x:v>
      </x:c>
      <x:c r="J33" s="3" t="n">
        <x:f>ROUND(J233*J353,2)</x:f>
        <x:v>95.09</x:v>
      </x:c>
      <x:c r="K33" s="3" t="n">
        <x:f>ROUND(K233*K353,2)</x:f>
        <x:v>198.22</x:v>
      </x:c>
      <x:c r="L33" s="3" t="n">
        <x:f>ROUND(L233*L353,2)</x:f>
        <x:v>378.1</x:v>
      </x:c>
      <x:c r="M33" s="3" t="n">
        <x:f>ROUND(M233*M353,2)</x:f>
        <x:v>510.33</x:v>
      </x:c>
      <x:c r="N33" s="3" t="n">
        <x:f>ROUND(N233*N353,2)</x:f>
        <x:v>128.96</x:v>
      </x:c>
      <x:c r="O33" s="3" t="n">
        <x:f>SUM(C33:N33)</x:f>
        <x:v>3045.26</x:v>
      </x:c>
      <x:c r="P33" s="2" t="str">
        <x:v>EXP2.033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6437.249999999999</x:v>
      </x:c>
      <x:c r="D34" s="3" t="n">
        <x:f>SUM(D4:D33)</x:f>
        <x:v>6598.060000000001</x:v>
      </x:c>
      <x:c r="E34" s="3" t="n">
        <x:f>SUM(E4:E33)</x:f>
        <x:v>6597.8899999999985</x:v>
      </x:c>
      <x:c r="F34" s="3" t="n">
        <x:f>SUM(F4:F33)</x:f>
        <x:v>7194.37</x:v>
      </x:c>
      <x:c r="G34" s="3" t="n">
        <x:f>SUM(G4:G33)</x:f>
        <x:v>6515.22</x:v>
      </x:c>
      <x:c r="H34" s="3" t="n">
        <x:f>SUM(H4:H33)</x:f>
        <x:v>8193.429999999998</x:v>
      </x:c>
      <x:c r="I34" s="3" t="n">
        <x:f>SUM(I4:I33)</x:f>
        <x:v>7536.260000000001</x:v>
      </x:c>
      <x:c r="J34" s="3" t="n">
        <x:f>SUM(J4:J33)</x:f>
        <x:v>6486.3200000000015</x:v>
      </x:c>
      <x:c r="K34" s="3" t="n">
        <x:f>SUM(K4:K33)</x:f>
        <x:v>7179.14</x:v>
      </x:c>
      <x:c r="L34" s="3" t="n">
        <x:f>SUM(L4:L33)</x:f>
        <x:v>7650.050000000001</x:v>
      </x:c>
      <x:c r="M34" s="3" t="n">
        <x:f>SUM(M4:M33)</x:f>
        <x:v>7705.659999999999</x:v>
      </x:c>
      <x:c r="N34" s="3" t="n">
        <x:f>SUM(N4:N33)</x:f>
        <x:v>7380.75</x:v>
      </x:c>
      <x:c r="O34" s="3" t="n">
        <x:f>SUM(C34:N34)</x:f>
        <x:v>85474.40000000001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62.53</x:v>
      </x:c>
      <x:c r="D204" s="4" t="n">
        <x:v>32.94</x:v>
      </x:c>
      <x:c r="E204" s="4" t="n">
        <x:v>47.92</x:v>
      </x:c>
      <x:c r="F204" s="4" t="n">
        <x:v>35.85</x:v>
      </x:c>
      <x:c r="G204" s="4" t="n">
        <x:v>51.73</x:v>
      </x:c>
      <x:c r="H204" s="4" t="n">
        <x:v>54.41</x:v>
      </x:c>
      <x:c r="I204" s="4" t="n">
        <x:v>47.06</x:v>
      </x:c>
      <x:c r="J204" s="4" t="n">
        <x:v>23.82</x:v>
      </x:c>
      <x:c r="K204" s="4" t="n">
        <x:v>60.09</x:v>
      </x:c>
      <x:c r="L204" s="4" t="n">
        <x:v>64.62</x:v>
      </x:c>
      <x:c r="M204" s="4" t="n">
        <x:v>33.65</x:v>
      </x:c>
      <x:c r="N204" s="4" t="n">
        <x:v>66.79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33.47</x:v>
      </x:c>
      <x:c r="D205" s="4" t="n">
        <x:v>58.92</x:v>
      </x:c>
      <x:c r="E205" s="4" t="n">
        <x:v>19.23</x:v>
      </x:c>
      <x:c r="F205" s="4" t="n">
        <x:v>40.93</x:v>
      </x:c>
      <x:c r="G205" s="4" t="n">
        <x:v>63.94</x:v>
      </x:c>
      <x:c r="H205" s="4" t="n">
        <x:v>45.89</x:v>
      </x:c>
      <x:c r="I205" s="4" t="n">
        <x:v>57.3</x:v>
      </x:c>
      <x:c r="J205" s="4" t="n">
        <x:v>67.22</x:v>
      </x:c>
      <x:c r="K205" s="4" t="n">
        <x:v>66.26</x:v>
      </x:c>
      <x:c r="L205" s="4" t="n">
        <x:v>27.31</x:v>
      </x:c>
      <x:c r="M205" s="4" t="n">
        <x:v>58.96</x:v>
      </x:c>
      <x:c r="N205" s="4" t="n">
        <x:v>18.03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40.99</x:v>
      </x:c>
      <x:c r="D206" s="4" t="n">
        <x:v>53.6</x:v>
      </x:c>
      <x:c r="E206" s="4" t="n">
        <x:v>59.18</x:v>
      </x:c>
      <x:c r="F206" s="4" t="n">
        <x:v>25.96</x:v>
      </x:c>
      <x:c r="G206" s="4" t="n">
        <x:v>52.29</x:v>
      </x:c>
      <x:c r="H206" s="4" t="n">
        <x:v>22.63</x:v>
      </x:c>
      <x:c r="I206" s="4" t="n">
        <x:v>24.64</x:v>
      </x:c>
      <x:c r="J206" s="4" t="n">
        <x:v>25.85</x:v>
      </x:c>
      <x:c r="K206" s="4" t="n">
        <x:v>53.67</x:v>
      </x:c>
      <x:c r="L206" s="4" t="n">
        <x:v>20.28</x:v>
      </x:c>
      <x:c r="M206" s="4" t="n">
        <x:v>23.87</x:v>
      </x:c>
      <x:c r="N206" s="4" t="n">
        <x:v>40.52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22.68</x:v>
      </x:c>
      <x:c r="D207" s="4" t="n">
        <x:v>29.76</x:v>
      </x:c>
      <x:c r="E207" s="4" t="n">
        <x:v>61.79</x:v>
      </x:c>
      <x:c r="F207" s="4" t="n">
        <x:v>31.52</x:v>
      </x:c>
      <x:c r="G207" s="4" t="n">
        <x:v>43.43</x:v>
      </x:c>
      <x:c r="H207" s="4" t="n">
        <x:v>66.03</x:v>
      </x:c>
      <x:c r="I207" s="4" t="n">
        <x:v>18.41</x:v>
      </x:c>
      <x:c r="J207" s="4" t="n">
        <x:v>20.41</x:v>
      </x:c>
      <x:c r="K207" s="4" t="n">
        <x:v>62.05</x:v>
      </x:c>
      <x:c r="L207" s="4" t="n">
        <x:v>25.55</x:v>
      </x:c>
      <x:c r="M207" s="4" t="n">
        <x:v>48.79</x:v>
      </x:c>
      <x:c r="N207" s="4" t="n">
        <x:v>58.52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52.14</x:v>
      </x:c>
      <x:c r="D208" s="4" t="n">
        <x:v>25.74</x:v>
      </x:c>
      <x:c r="E208" s="4" t="n">
        <x:v>21.71</x:v>
      </x:c>
      <x:c r="F208" s="4" t="n">
        <x:v>51.05</x:v>
      </x:c>
      <x:c r="G208" s="4" t="n">
        <x:v>38.25</x:v>
      </x:c>
      <x:c r="H208" s="4" t="n">
        <x:v>61.89</x:v>
      </x:c>
      <x:c r="I208" s="4" t="n">
        <x:v>50.46</x:v>
      </x:c>
      <x:c r="J208" s="4" t="n">
        <x:v>60.27</x:v>
      </x:c>
      <x:c r="K208" s="4" t="n">
        <x:v>36.99</x:v>
      </x:c>
      <x:c r="L208" s="4" t="n">
        <x:v>56.67</x:v>
      </x:c>
      <x:c r="M208" s="4" t="n">
        <x:v>25.21</x:v>
      </x:c>
      <x:c r="N208" s="4" t="n">
        <x:v>23.82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64.77</x:v>
      </x:c>
      <x:c r="D209" s="4" t="n">
        <x:v>31.86</x:v>
      </x:c>
      <x:c r="E209" s="4" t="n">
        <x:v>57.46</x:v>
      </x:c>
      <x:c r="F209" s="4" t="n">
        <x:v>22.07</x:v>
      </x:c>
      <x:c r="G209" s="4" t="n">
        <x:v>19.66</x:v>
      </x:c>
      <x:c r="H209" s="4" t="n">
        <x:v>18.19</x:v>
      </x:c>
      <x:c r="I209" s="4" t="n">
        <x:v>34.78</x:v>
      </x:c>
      <x:c r="J209" s="4" t="n">
        <x:v>44.13</x:v>
      </x:c>
      <x:c r="K209" s="4" t="n">
        <x:v>66.71</x:v>
      </x:c>
      <x:c r="L209" s="4" t="n">
        <x:v>23.29</x:v>
      </x:c>
      <x:c r="M209" s="4" t="n">
        <x:v>55.08</x:v>
      </x:c>
      <x:c r="N209" s="4" t="n">
        <x:v>43.55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50.81</x:v>
      </x:c>
      <x:c r="D210" s="4" t="n">
        <x:v>38.68</x:v>
      </x:c>
      <x:c r="E210" s="4" t="n">
        <x:v>35.05</x:v>
      </x:c>
      <x:c r="F210" s="4" t="n">
        <x:v>32.14</x:v>
      </x:c>
      <x:c r="G210" s="4" t="n">
        <x:v>26.88</x:v>
      </x:c>
      <x:c r="H210" s="4" t="n">
        <x:v>26.81</x:v>
      </x:c>
      <x:c r="I210" s="4" t="n">
        <x:v>46.07</x:v>
      </x:c>
      <x:c r="J210" s="4" t="n">
        <x:v>64.89</x:v>
      </x:c>
      <x:c r="K210" s="4" t="n">
        <x:v>62.51</x:v>
      </x:c>
      <x:c r="L210" s="4" t="n">
        <x:v>24.49</x:v>
      </x:c>
      <x:c r="M210" s="4" t="n">
        <x:v>52.99</x:v>
      </x:c>
      <x:c r="N210" s="4" t="n">
        <x:v>35.5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47.23</x:v>
      </x:c>
      <x:c r="D211" s="4" t="n">
        <x:v>61.63</x:v>
      </x:c>
      <x:c r="E211" s="4" t="n">
        <x:v>50.54</x:v>
      </x:c>
      <x:c r="F211" s="4" t="n">
        <x:v>46.09</x:v>
      </x:c>
      <x:c r="G211" s="4" t="n">
        <x:v>21.18</x:v>
      </x:c>
      <x:c r="H211" s="4" t="n">
        <x:v>60.72</x:v>
      </x:c>
      <x:c r="I211" s="4" t="n">
        <x:v>63.32</x:v>
      </x:c>
      <x:c r="J211" s="4" t="n">
        <x:v>62.21</x:v>
      </x:c>
      <x:c r="K211" s="4" t="n">
        <x:v>50.22</x:v>
      </x:c>
      <x:c r="L211" s="4" t="n">
        <x:v>23.24</x:v>
      </x:c>
      <x:c r="M211" s="4" t="n">
        <x:v>51.07</x:v>
      </x:c>
      <x:c r="N211" s="4" t="n">
        <x:v>39.84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37.24</x:v>
      </x:c>
      <x:c r="D212" s="4" t="n">
        <x:v>25.67</x:v>
      </x:c>
      <x:c r="E212" s="4" t="n">
        <x:v>58.1</x:v>
      </x:c>
      <x:c r="F212" s="4" t="n">
        <x:v>25.72</x:v>
      </x:c>
      <x:c r="G212" s="4" t="n">
        <x:v>56.46</x:v>
      </x:c>
      <x:c r="H212" s="4" t="n">
        <x:v>62.46</x:v>
      </x:c>
      <x:c r="I212" s="4" t="n">
        <x:v>51.61</x:v>
      </x:c>
      <x:c r="J212" s="4" t="n">
        <x:v>53.81</x:v>
      </x:c>
      <x:c r="K212" s="4" t="n">
        <x:v>20.4</x:v>
      </x:c>
      <x:c r="L212" s="4" t="n">
        <x:v>29.99</x:v>
      </x:c>
      <x:c r="M212" s="4" t="n">
        <x:v>26.74</x:v>
      </x:c>
      <x:c r="N212" s="4" t="n">
        <x:v>51.1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48.65</x:v>
      </x:c>
      <x:c r="D213" s="4" t="n">
        <x:v>62.89</x:v>
      </x:c>
      <x:c r="E213" s="4" t="n">
        <x:v>28</x:v>
      </x:c>
      <x:c r="F213" s="4" t="n">
        <x:v>53.36</x:v>
      </x:c>
      <x:c r="G213" s="4" t="n">
        <x:v>22.82</x:v>
      </x:c>
      <x:c r="H213" s="4" t="n">
        <x:v>64.52</x:v>
      </x:c>
      <x:c r="I213" s="4" t="n">
        <x:v>53.9</x:v>
      </x:c>
      <x:c r="J213" s="4" t="n">
        <x:v>34.02</x:v>
      </x:c>
      <x:c r="K213" s="4" t="n">
        <x:v>37.82</x:v>
      </x:c>
      <x:c r="L213" s="4" t="n">
        <x:v>20.33</x:v>
      </x:c>
      <x:c r="M213" s="4" t="n">
        <x:v>22.93</x:v>
      </x:c>
      <x:c r="N213" s="4" t="n">
        <x:v>32.83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40.75</x:v>
      </x:c>
      <x:c r="D214" s="4" t="n">
        <x:v>30.85</x:v>
      </x:c>
      <x:c r="E214" s="4" t="n">
        <x:v>50.22</x:v>
      </x:c>
      <x:c r="F214" s="4" t="n">
        <x:v>43.01</x:v>
      </x:c>
      <x:c r="G214" s="4" t="n">
        <x:v>24.1</x:v>
      </x:c>
      <x:c r="H214" s="4" t="n">
        <x:v>26.53</x:v>
      </x:c>
      <x:c r="I214" s="4" t="n">
        <x:v>20.13</x:v>
      </x:c>
      <x:c r="J214" s="4" t="n">
        <x:v>18.32</x:v>
      </x:c>
      <x:c r="K214" s="4" t="n">
        <x:v>25.83</x:v>
      </x:c>
      <x:c r="L214" s="4" t="n">
        <x:v>58.81</x:v>
      </x:c>
      <x:c r="M214" s="4" t="n">
        <x:v>34.66</x:v>
      </x:c>
      <x:c r="N214" s="4" t="n">
        <x:v>48.24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19.1</x:v>
      </x:c>
      <x:c r="D215" s="4" t="n">
        <x:v>64.17</x:v>
      </x:c>
      <x:c r="E215" s="4" t="n">
        <x:v>29.33</x:v>
      </x:c>
      <x:c r="F215" s="4" t="n">
        <x:v>44.73</x:v>
      </x:c>
      <x:c r="G215" s="4" t="n">
        <x:v>63.33</x:v>
      </x:c>
      <x:c r="H215" s="4" t="n">
        <x:v>42.33</x:v>
      </x:c>
      <x:c r="I215" s="4" t="n">
        <x:v>53.14</x:v>
      </x:c>
      <x:c r="J215" s="4" t="n">
        <x:v>32.66</x:v>
      </x:c>
      <x:c r="K215" s="4" t="n">
        <x:v>62.02</x:v>
      </x:c>
      <x:c r="L215" s="4" t="n">
        <x:v>32.38</x:v>
      </x:c>
      <x:c r="M215" s="4" t="n">
        <x:v>46.09</x:v>
      </x:c>
      <x:c r="N215" s="4" t="n">
        <x:v>24.03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23.24</x:v>
      </x:c>
      <x:c r="D216" s="4" t="n">
        <x:v>26.47</x:v>
      </x:c>
      <x:c r="E216" s="4" t="n">
        <x:v>22.58</x:v>
      </x:c>
      <x:c r="F216" s="4" t="n">
        <x:v>63</x:v>
      </x:c>
      <x:c r="G216" s="4" t="n">
        <x:v>24.33</x:v>
      </x:c>
      <x:c r="H216" s="4" t="n">
        <x:v>57.72</x:v>
      </x:c>
      <x:c r="I216" s="4" t="n">
        <x:v>44.03</x:v>
      </x:c>
      <x:c r="J216" s="4" t="n">
        <x:v>41.77</x:v>
      </x:c>
      <x:c r="K216" s="4" t="n">
        <x:v>22.4</x:v>
      </x:c>
      <x:c r="L216" s="4" t="n">
        <x:v>64.55</x:v>
      </x:c>
      <x:c r="M216" s="4" t="n">
        <x:v>65.75</x:v>
      </x:c>
      <x:c r="N216" s="4" t="n">
        <x:v>36.51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51.28</x:v>
      </x:c>
      <x:c r="D217" s="4" t="n">
        <x:v>37.8</x:v>
      </x:c>
      <x:c r="E217" s="4" t="n">
        <x:v>35.86</x:v>
      </x:c>
      <x:c r="F217" s="4" t="n">
        <x:v>38.49</x:v>
      </x:c>
      <x:c r="G217" s="4" t="n">
        <x:v>42.87</x:v>
      </x:c>
      <x:c r="H217" s="4" t="n">
        <x:v>66.66</x:v>
      </x:c>
      <x:c r="I217" s="4" t="n">
        <x:v>65.33</x:v>
      </x:c>
      <x:c r="J217" s="4" t="n">
        <x:v>37.73</x:v>
      </x:c>
      <x:c r="K217" s="4" t="n">
        <x:v>39.31</x:v>
      </x:c>
      <x:c r="L217" s="4" t="n">
        <x:v>65.69</x:v>
      </x:c>
      <x:c r="M217" s="4" t="n">
        <x:v>56.67</x:v>
      </x:c>
      <x:c r="N217" s="4" t="n">
        <x:v>49.08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46.76</x:v>
      </x:c>
      <x:c r="D218" s="4" t="n">
        <x:v>28.58</x:v>
      </x:c>
      <x:c r="E218" s="4" t="n">
        <x:v>53.27</x:v>
      </x:c>
      <x:c r="F218" s="4" t="n">
        <x:v>41.39</x:v>
      </x:c>
      <x:c r="G218" s="4" t="n">
        <x:v>31.58</x:v>
      </x:c>
      <x:c r="H218" s="4" t="n">
        <x:v>67.18</x:v>
      </x:c>
      <x:c r="I218" s="4" t="n">
        <x:v>45.52</x:v>
      </x:c>
      <x:c r="J218" s="4" t="n">
        <x:v>17.62</x:v>
      </x:c>
      <x:c r="K218" s="4" t="n">
        <x:v>67.07</x:v>
      </x:c>
      <x:c r="L218" s="4" t="n">
        <x:v>54.26</x:v>
      </x:c>
      <x:c r="M218" s="4" t="n">
        <x:v>54.18</x:v>
      </x:c>
      <x:c r="N218" s="4" t="n">
        <x:v>18.07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34.52</x:v>
      </x:c>
      <x:c r="D219" s="4" t="n">
        <x:v>23.02</x:v>
      </x:c>
      <x:c r="E219" s="4" t="n">
        <x:v>18.38</x:v>
      </x:c>
      <x:c r="F219" s="4" t="n">
        <x:v>20.52</x:v>
      </x:c>
      <x:c r="G219" s="4" t="n">
        <x:v>27.17</x:v>
      </x:c>
      <x:c r="H219" s="4" t="n">
        <x:v>29.92</x:v>
      </x:c>
      <x:c r="I219" s="4" t="n">
        <x:v>37.46</x:v>
      </x:c>
      <x:c r="J219" s="4" t="n">
        <x:v>56.02</x:v>
      </x:c>
      <x:c r="K219" s="4" t="n">
        <x:v>39.13</x:v>
      </x:c>
      <x:c r="L219" s="4" t="n">
        <x:v>35.97</x:v>
      </x:c>
      <x:c r="M219" s="4" t="n">
        <x:v>60.87</x:v>
      </x:c>
      <x:c r="N219" s="4" t="n">
        <x:v>20.12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32.24</x:v>
      </x:c>
      <x:c r="D221" s="4" t="n">
        <x:v>24.98</x:v>
      </x:c>
      <x:c r="E221" s="4" t="n">
        <x:v>61.31</x:v>
      </x:c>
      <x:c r="F221" s="4" t="n">
        <x:v>34.97</x:v>
      </x:c>
      <x:c r="G221" s="4" t="n">
        <x:v>17.82</x:v>
      </x:c>
      <x:c r="H221" s="4" t="n">
        <x:v>40.59</x:v>
      </x:c>
      <x:c r="I221" s="4" t="n">
        <x:v>32.13</x:v>
      </x:c>
      <x:c r="J221" s="4" t="n">
        <x:v>22.31</x:v>
      </x:c>
      <x:c r="K221" s="4" t="n">
        <x:v>34.23</x:v>
      </x:c>
      <x:c r="L221" s="4" t="n">
        <x:v>54.53</x:v>
      </x:c>
      <x:c r="M221" s="4" t="n">
        <x:v>35.61</x:v>
      </x:c>
      <x:c r="N221" s="4" t="n">
        <x:v>55.54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17.5</x:v>
      </x:c>
      <x:c r="D222" s="4" t="n">
        <x:v>57.99</x:v>
      </x:c>
      <x:c r="E222" s="4" t="n">
        <x:v>53.95</x:v>
      </x:c>
      <x:c r="F222" s="4" t="n">
        <x:v>23.09</x:v>
      </x:c>
      <x:c r="G222" s="4" t="n">
        <x:v>18.43</x:v>
      </x:c>
      <x:c r="H222" s="4" t="n">
        <x:v>46.56</x:v>
      </x:c>
      <x:c r="I222" s="4" t="n">
        <x:v>44.05</x:v>
      </x:c>
      <x:c r="J222" s="4" t="n">
        <x:v>19.62</x:v>
      </x:c>
      <x:c r="K222" s="4" t="n">
        <x:v>51.65</x:v>
      </x:c>
      <x:c r="L222" s="4" t="n">
        <x:v>50.62</x:v>
      </x:c>
      <x:c r="M222" s="4" t="n">
        <x:v>34.93</x:v>
      </x:c>
      <x:c r="N222" s="4" t="n">
        <x:v>48.16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18.86</x:v>
      </x:c>
      <x:c r="D223" s="4" t="n">
        <x:v>22.05</x:v>
      </x:c>
      <x:c r="E223" s="4" t="n">
        <x:v>60.99</x:v>
      </x:c>
      <x:c r="F223" s="4" t="n">
        <x:v>58.59</x:v>
      </x:c>
      <x:c r="G223" s="4" t="n">
        <x:v>18.67</x:v>
      </x:c>
      <x:c r="H223" s="4" t="n">
        <x:v>34.16</x:v>
      </x:c>
      <x:c r="I223" s="4" t="n">
        <x:v>17.61</x:v>
      </x:c>
      <x:c r="J223" s="4" t="n">
        <x:v>53.63</x:v>
      </x:c>
      <x:c r="K223" s="4" t="n">
        <x:v>65.73</x:v>
      </x:c>
      <x:c r="L223" s="4" t="n">
        <x:v>23.65</x:v>
      </x:c>
      <x:c r="M223" s="4" t="n">
        <x:v>44.52</x:v>
      </x:c>
      <x:c r="N223" s="4" t="n">
        <x:v>66.44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18.11</x:v>
      </x:c>
      <x:c r="D224" s="4" t="n">
        <x:v>22.53</x:v>
      </x:c>
      <x:c r="E224" s="4" t="n">
        <x:v>33.16</x:v>
      </x:c>
      <x:c r="F224" s="4" t="n">
        <x:v>60.11</x:v>
      </x:c>
      <x:c r="G224" s="4" t="n">
        <x:v>56.9</x:v>
      </x:c>
      <x:c r="H224" s="4" t="n">
        <x:v>36.84</x:v>
      </x:c>
      <x:c r="I224" s="4" t="n">
        <x:v>56.72</x:v>
      </x:c>
      <x:c r="J224" s="4" t="n">
        <x:v>18.94</x:v>
      </x:c>
      <x:c r="K224" s="4" t="n">
        <x:v>48.46</x:v>
      </x:c>
      <x:c r="L224" s="4" t="n">
        <x:v>58.63</x:v>
      </x:c>
      <x:c r="M224" s="4" t="n">
        <x:v>26.71</x:v>
      </x:c>
      <x:c r="N224" s="4" t="n">
        <x:v>59.68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32.15</x:v>
      </x:c>
      <x:c r="D225" s="4" t="n">
        <x:v>22.66</x:v>
      </x:c>
      <x:c r="E225" s="4" t="n">
        <x:v>45.08</x:v>
      </x:c>
      <x:c r="F225" s="4" t="n">
        <x:v>21.78</x:v>
      </x:c>
      <x:c r="G225" s="4" t="n">
        <x:v>43.9</x:v>
      </x:c>
      <x:c r="H225" s="4" t="n">
        <x:v>30.98</x:v>
      </x:c>
      <x:c r="I225" s="4" t="n">
        <x:v>54.23</x:v>
      </x:c>
      <x:c r="J225" s="4" t="n">
        <x:v>27.18</x:v>
      </x:c>
      <x:c r="K225" s="4" t="n">
        <x:v>17.62</x:v>
      </x:c>
      <x:c r="L225" s="4" t="n">
        <x:v>45.89</x:v>
      </x:c>
      <x:c r="M225" s="4" t="n">
        <x:v>20.39</x:v>
      </x:c>
      <x:c r="N225" s="4" t="n">
        <x:v>21.67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28.7</x:v>
      </x:c>
      <x:c r="D226" s="4" t="n">
        <x:v>42.7</x:v>
      </x:c>
      <x:c r="E226" s="4" t="n">
        <x:v>53.11</x:v>
      </x:c>
      <x:c r="F226" s="4" t="n">
        <x:v>52.9</x:v>
      </x:c>
      <x:c r="G226" s="4" t="n">
        <x:v>29.68</x:v>
      </x:c>
      <x:c r="H226" s="4" t="n">
        <x:v>63.73</x:v>
      </x:c>
      <x:c r="I226" s="4" t="n">
        <x:v>37.98</x:v>
      </x:c>
      <x:c r="J226" s="4" t="n">
        <x:v>39.21</x:v>
      </x:c>
      <x:c r="K226" s="4" t="n">
        <x:v>27.78</x:v>
      </x:c>
      <x:c r="L226" s="4" t="n">
        <x:v>67.14</x:v>
      </x:c>
      <x:c r="M226" s="4" t="n">
        <x:v>44.93</x:v>
      </x:c>
      <x:c r="N226" s="4" t="n">
        <x:v>37.84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62.82</x:v>
      </x:c>
      <x:c r="D227" s="4" t="n">
        <x:v>61.49</x:v>
      </x:c>
      <x:c r="E227" s="4" t="n">
        <x:v>40.87</x:v>
      </x:c>
      <x:c r="F227" s="4" t="n">
        <x:v>49.4</x:v>
      </x:c>
      <x:c r="G227" s="4" t="n">
        <x:v>44.6</x:v>
      </x:c>
      <x:c r="H227" s="4" t="n">
        <x:v>36.89</x:v>
      </x:c>
      <x:c r="I227" s="4" t="n">
        <x:v>58.71</x:v>
      </x:c>
      <x:c r="J227" s="4" t="n">
        <x:v>54.29</x:v>
      </x:c>
      <x:c r="K227" s="4" t="n">
        <x:v>35.02</x:v>
      </x:c>
      <x:c r="L227" s="4" t="n">
        <x:v>38.28</x:v>
      </x:c>
      <x:c r="M227" s="4" t="n">
        <x:v>18.83</x:v>
      </x:c>
      <x:c r="N227" s="4" t="n">
        <x:v>55.35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55.54</x:v>
      </x:c>
      <x:c r="D228" s="4" t="n">
        <x:v>25.86</x:v>
      </x:c>
      <x:c r="E228" s="4" t="n">
        <x:v>28.96</x:v>
      </x:c>
      <x:c r="F228" s="4" t="n">
        <x:v>64.25</x:v>
      </x:c>
      <x:c r="G228" s="4" t="n">
        <x:v>64.74</x:v>
      </x:c>
      <x:c r="H228" s="4" t="n">
        <x:v>57.95</x:v>
      </x:c>
      <x:c r="I228" s="4" t="n">
        <x:v>47.16</x:v>
      </x:c>
      <x:c r="J228" s="4" t="n">
        <x:v>24.81</x:v>
      </x:c>
      <x:c r="K228" s="4" t="n">
        <x:v>40.14</x:v>
      </x:c>
      <x:c r="L228" s="4" t="n">
        <x:v>52.35</x:v>
      </x:c>
      <x:c r="M228" s="4" t="n">
        <x:v>64.72</x:v>
      </x:c>
      <x:c r="N228" s="4" t="n">
        <x:v>51.66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32.78</x:v>
      </x:c>
      <x:c r="D230" s="4" t="n">
        <x:v>28.48</x:v>
      </x:c>
      <x:c r="E230" s="4" t="n">
        <x:v>46.11</x:v>
      </x:c>
      <x:c r="F230" s="4" t="n">
        <x:v>47.03</x:v>
      </x:c>
      <x:c r="G230" s="4" t="n">
        <x:v>64.59</x:v>
      </x:c>
      <x:c r="H230" s="4" t="n">
        <x:v>47.22</x:v>
      </x:c>
      <x:c r="I230" s="4" t="n">
        <x:v>19.86</x:v>
      </x:c>
      <x:c r="J230" s="4" t="n">
        <x:v>30.48</x:v>
      </x:c>
      <x:c r="K230" s="4" t="n">
        <x:v>54.51</x:v>
      </x:c>
      <x:c r="L230" s="4" t="n">
        <x:v>64.11</x:v>
      </x:c>
      <x:c r="M230" s="4" t="n">
        <x:v>67.04</x:v>
      </x:c>
      <x:c r="N230" s="4" t="n">
        <x:v>59.03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29.77</x:v>
      </x:c>
      <x:c r="D231" s="4" t="n">
        <x:v>26.72</x:v>
      </x:c>
      <x:c r="E231" s="4" t="n">
        <x:v>17.76</x:v>
      </x:c>
      <x:c r="F231" s="4" t="n">
        <x:v>50.25</x:v>
      </x:c>
      <x:c r="G231" s="4" t="n">
        <x:v>19.17</x:v>
      </x:c>
      <x:c r="H231" s="4" t="n">
        <x:v>39.91</x:v>
      </x:c>
      <x:c r="I231" s="4" t="n">
        <x:v>59.68</x:v>
      </x:c>
      <x:c r="J231" s="4" t="n">
        <x:v>42.61</x:v>
      </x:c>
      <x:c r="K231" s="4" t="n">
        <x:v>27.07</x:v>
      </x:c>
      <x:c r="L231" s="4" t="n">
        <x:v>67.46</x:v>
      </x:c>
      <x:c r="M231" s="4" t="n">
        <x:v>50.06</x:v>
      </x:c>
      <x:c r="N231" s="4" t="n">
        <x:v>52.68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19.97</x:v>
      </x:c>
      <x:c r="D232" s="4" t="n">
        <x:v>18.99</x:v>
      </x:c>
      <x:c r="E232" s="4" t="n">
        <x:v>60.71</x:v>
      </x:c>
      <x:c r="F232" s="4" t="n">
        <x:v>41.74</x:v>
      </x:c>
      <x:c r="G232" s="4" t="n">
        <x:v>34.57</x:v>
      </x:c>
      <x:c r="H232" s="4" t="n">
        <x:v>64</x:v>
      </x:c>
      <x:c r="I232" s="4" t="n">
        <x:v>37.31</x:v>
      </x:c>
      <x:c r="J232" s="4" t="n">
        <x:v>40.82</x:v>
      </x:c>
      <x:c r="K232" s="4" t="n">
        <x:v>18.59</x:v>
      </x:c>
      <x:c r="L232" s="4" t="n">
        <x:v>19.41</x:v>
      </x:c>
      <x:c r="M232" s="4" t="n">
        <x:v>40.8</x:v>
      </x:c>
      <x:c r="N232" s="4" t="n">
        <x:v>25.03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45.42</x:v>
      </x:c>
      <x:c r="D233" s="4" t="n">
        <x:v>59.37</x:v>
      </x:c>
      <x:c r="E233" s="4" t="n">
        <x:v>46.75</x:v>
      </x:c>
      <x:c r="F233" s="4" t="n">
        <x:v>63.04</x:v>
      </x:c>
      <x:c r="G233" s="4" t="n">
        <x:v>27.21</x:v>
      </x:c>
      <x:c r="H233" s="4" t="n">
        <x:v>33.83</x:v>
      </x:c>
      <x:c r="I233" s="4" t="n">
        <x:v>66.09</x:v>
      </x:c>
      <x:c r="J233" s="4" t="n">
        <x:v>29.81</x:v>
      </x:c>
      <x:c r="K233" s="4" t="n">
        <x:v>57.29</x:v>
      </x:c>
      <x:c r="L233" s="4" t="n">
        <x:v>62.29</x:v>
      </x:c>
      <x:c r="M233" s="4" t="n">
        <x:v>67.06</x:v>
      </x:c>
      <x:c r="N233" s="4" t="n">
        <x:v>40.3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6.09</x:v>
      </x:c>
      <x:c r="D324" s="4" t="n">
        <x:v>4.7</x:v>
      </x:c>
      <x:c r="E324" s="4" t="n">
        <x:v>6.69</x:v>
      </x:c>
      <x:c r="F324" s="4" t="n">
        <x:v>4.9</x:v>
      </x:c>
      <x:c r="G324" s="4" t="n">
        <x:v>3.13</x:v>
      </x:c>
      <x:c r="H324" s="4" t="n">
        <x:v>6.8</x:v>
      </x:c>
      <x:c r="I324" s="4" t="n">
        <x:v>6.6</x:v>
      </x:c>
      <x:c r="J324" s="4" t="n">
        <x:v>3.74</x:v>
      </x:c>
      <x:c r="K324" s="4" t="n">
        <x:v>3.02</x:v>
      </x:c>
      <x:c r="L324" s="4" t="n">
        <x:v>4.81</x:v>
      </x:c>
      <x:c r="M324" s="4" t="n">
        <x:v>7.8</x:v>
      </x:c>
      <x:c r="N324" s="4" t="n">
        <x:v>8.21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8.29</x:v>
      </x:c>
      <x:c r="D325" s="4" t="n">
        <x:v>2.43</x:v>
      </x:c>
      <x:c r="E325" s="4" t="n">
        <x:v>7.68</x:v>
      </x:c>
      <x:c r="F325" s="4" t="n">
        <x:v>7.01</x:v>
      </x:c>
      <x:c r="G325" s="4" t="n">
        <x:v>6.44</x:v>
      </x:c>
      <x:c r="H325" s="4" t="n">
        <x:v>7.4</x:v>
      </x:c>
      <x:c r="I325" s="4" t="n">
        <x:v>6.31</x:v>
      </x:c>
      <x:c r="J325" s="4" t="n">
        <x:v>4.46</x:v>
      </x:c>
      <x:c r="K325" s="4" t="n">
        <x:v>2.79</x:v>
      </x:c>
      <x:c r="L325" s="4" t="n">
        <x:v>5.53</x:v>
      </x:c>
      <x:c r="M325" s="4" t="n">
        <x:v>2.18</x:v>
      </x:c>
      <x:c r="N325" s="4" t="n">
        <x:v>5.77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3.69</x:v>
      </x:c>
      <x:c r="D326" s="4" t="n">
        <x:v>8.01</x:v>
      </x:c>
      <x:c r="E326" s="4" t="n">
        <x:v>3.51</x:v>
      </x:c>
      <x:c r="F326" s="4" t="n">
        <x:v>6.98</x:v>
      </x:c>
      <x:c r="G326" s="4" t="n">
        <x:v>6.85</x:v>
      </x:c>
      <x:c r="H326" s="4" t="n">
        <x:v>4.05</x:v>
      </x:c>
      <x:c r="I326" s="4" t="n">
        <x:v>3.08</x:v>
      </x:c>
      <x:c r="J326" s="4" t="n">
        <x:v>5.42</x:v>
      </x:c>
      <x:c r="K326" s="4" t="n">
        <x:v>8.05</x:v>
      </x:c>
      <x:c r="L326" s="4" t="n">
        <x:v>5.46</x:v>
      </x:c>
      <x:c r="M326" s="4" t="n">
        <x:v>7.39</x:v>
      </x:c>
      <x:c r="N326" s="4" t="n">
        <x:v>8.05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6.06</x:v>
      </x:c>
      <x:c r="D327" s="4" t="n">
        <x:v>6.44</x:v>
      </x:c>
      <x:c r="E327" s="4" t="n">
        <x:v>3.99</x:v>
      </x:c>
      <x:c r="F327" s="4" t="n">
        <x:v>3.53</x:v>
      </x:c>
      <x:c r="G327" s="4" t="n">
        <x:v>2.7</x:v>
      </x:c>
      <x:c r="H327" s="4" t="n">
        <x:v>5.73</x:v>
      </x:c>
      <x:c r="I327" s="4" t="n">
        <x:v>4.73</x:v>
      </x:c>
      <x:c r="J327" s="4" t="n">
        <x:v>3.65</x:v>
      </x:c>
      <x:c r="K327" s="4" t="n">
        <x:v>6.52</x:v>
      </x:c>
      <x:c r="L327" s="4" t="n">
        <x:v>6.95</x:v>
      </x:c>
      <x:c r="M327" s="4" t="n">
        <x:v>7.39</x:v>
      </x:c>
      <x:c r="N327" s="4" t="n">
        <x:v>4.53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7.54</x:v>
      </x:c>
      <x:c r="D328" s="4" t="n">
        <x:v>3.37</x:v>
      </x:c>
      <x:c r="E328" s="4" t="n">
        <x:v>3.7</x:v>
      </x:c>
      <x:c r="F328" s="4" t="n">
        <x:v>7.76</x:v>
      </x:c>
      <x:c r="G328" s="4" t="n">
        <x:v>7.19</x:v>
      </x:c>
      <x:c r="H328" s="4" t="n">
        <x:v>6.36</x:v>
      </x:c>
      <x:c r="I328" s="4" t="n">
        <x:v>3.02</x:v>
      </x:c>
      <x:c r="J328" s="4" t="n">
        <x:v>3.94</x:v>
      </x:c>
      <x:c r="K328" s="4" t="n">
        <x:v>3.54</x:v>
      </x:c>
      <x:c r="L328" s="4" t="n">
        <x:v>6.21</x:v>
      </x:c>
      <x:c r="M328" s="4" t="n">
        <x:v>6.13</x:v>
      </x:c>
      <x:c r="N328" s="4" t="n">
        <x:v>7.8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3.55</x:v>
      </x:c>
      <x:c r="D329" s="4" t="n">
        <x:v>5.97</x:v>
      </x:c>
      <x:c r="E329" s="4" t="n">
        <x:v>6.52</x:v>
      </x:c>
      <x:c r="F329" s="4" t="n">
        <x:v>2.74</x:v>
      </x:c>
      <x:c r="G329" s="4" t="n">
        <x:v>3.09</x:v>
      </x:c>
      <x:c r="H329" s="4" t="n">
        <x:v>3.46</x:v>
      </x:c>
      <x:c r="I329" s="4" t="n">
        <x:v>3.81</x:v>
      </x:c>
      <x:c r="J329" s="4" t="n">
        <x:v>6.91</x:v>
      </x:c>
      <x:c r="K329" s="4" t="n">
        <x:v>4.57</x:v>
      </x:c>
      <x:c r="L329" s="4" t="n">
        <x:v>3.04</x:v>
      </x:c>
      <x:c r="M329" s="4" t="n">
        <x:v>6.3</x:v>
      </x:c>
      <x:c r="N329" s="4" t="n">
        <x:v>7.51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3.25</x:v>
      </x:c>
      <x:c r="D330" s="4" t="n">
        <x:v>2.19</x:v>
      </x:c>
      <x:c r="E330" s="4" t="n">
        <x:v>3.01</x:v>
      </x:c>
      <x:c r="F330" s="4" t="n">
        <x:v>2.54</x:v>
      </x:c>
      <x:c r="G330" s="4" t="n">
        <x:v>7.78</x:v>
      </x:c>
      <x:c r="H330" s="4" t="n">
        <x:v>3.28</x:v>
      </x:c>
      <x:c r="I330" s="4" t="n">
        <x:v>6.35</x:v>
      </x:c>
      <x:c r="J330" s="4" t="n">
        <x:v>8.65</x:v>
      </x:c>
      <x:c r="K330" s="4" t="n">
        <x:v>4.63</x:v>
      </x:c>
      <x:c r="L330" s="4" t="n">
        <x:v>7.1</x:v>
      </x:c>
      <x:c r="M330" s="4" t="n">
        <x:v>3.23</x:v>
      </x:c>
      <x:c r="N330" s="4" t="n">
        <x:v>4.28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6.2</x:v>
      </x:c>
      <x:c r="D331" s="4" t="n">
        <x:v>8.16</x:v>
      </x:c>
      <x:c r="E331" s="4" t="n">
        <x:v>2.17</x:v>
      </x:c>
      <x:c r="F331" s="4" t="n">
        <x:v>5.71</x:v>
      </x:c>
      <x:c r="G331" s="4" t="n">
        <x:v>7.69</x:v>
      </x:c>
      <x:c r="H331" s="4" t="n">
        <x:v>6.75</x:v>
      </x:c>
      <x:c r="I331" s="4" t="n">
        <x:v>6.76</x:v>
      </x:c>
      <x:c r="J331" s="4" t="n">
        <x:v>8.85</x:v>
      </x:c>
      <x:c r="K331" s="4" t="n">
        <x:v>4.31</x:v>
      </x:c>
      <x:c r="L331" s="4" t="n">
        <x:v>7.8</x:v>
      </x:c>
      <x:c r="M331" s="4" t="n">
        <x:v>4.52</x:v>
      </x:c>
      <x:c r="N331" s="4" t="n">
        <x:v>2.69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3.41</x:v>
      </x:c>
      <x:c r="D332" s="4" t="n">
        <x:v>7.98</x:v>
      </x:c>
      <x:c r="E332" s="4" t="n">
        <x:v>5.06</x:v>
      </x:c>
      <x:c r="F332" s="4" t="n">
        <x:v>7.55</x:v>
      </x:c>
      <x:c r="G332" s="4" t="n">
        <x:v>3.4</x:v>
      </x:c>
      <x:c r="H332" s="4" t="n">
        <x:v>5.98</x:v>
      </x:c>
      <x:c r="I332" s="4" t="n">
        <x:v>3.07</x:v>
      </x:c>
      <x:c r="J332" s="4" t="n">
        <x:v>6.18</x:v>
      </x:c>
      <x:c r="K332" s="4" t="n">
        <x:v>7.37</x:v>
      </x:c>
      <x:c r="L332" s="4" t="n">
        <x:v>5.8</x:v>
      </x:c>
      <x:c r="M332" s="4" t="n">
        <x:v>6.06</x:v>
      </x:c>
      <x:c r="N332" s="4" t="n">
        <x:v>2.92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4.27</x:v>
      </x:c>
      <x:c r="D333" s="4" t="n">
        <x:v>3.32</x:v>
      </x:c>
      <x:c r="E333" s="4" t="n">
        <x:v>3.71</x:v>
      </x:c>
      <x:c r="F333" s="4" t="n">
        <x:v>5.73</x:v>
      </x:c>
      <x:c r="G333" s="4" t="n">
        <x:v>7.8</x:v>
      </x:c>
      <x:c r="H333" s="4" t="n">
        <x:v>3.02</x:v>
      </x:c>
      <x:c r="I333" s="4" t="n">
        <x:v>4.74</x:v>
      </x:c>
      <x:c r="J333" s="4" t="n">
        <x:v>8.32</x:v>
      </x:c>
      <x:c r="K333" s="4" t="n">
        <x:v>6.22</x:v>
      </x:c>
      <x:c r="L333" s="4" t="n">
        <x:v>6.79</x:v>
      </x:c>
      <x:c r="M333" s="4" t="n">
        <x:v>8.4</x:v>
      </x:c>
      <x:c r="N333" s="4" t="n">
        <x:v>6.37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4.88</x:v>
      </x:c>
      <x:c r="D334" s="4" t="n">
        <x:v>8.49</x:v>
      </x:c>
      <x:c r="E334" s="4" t="n">
        <x:v>2.82</x:v>
      </x:c>
      <x:c r="F334" s="4" t="n">
        <x:v>7.3</x:v>
      </x:c>
      <x:c r="G334" s="4" t="n">
        <x:v>2.54</x:v>
      </x:c>
      <x:c r="H334" s="4" t="n">
        <x:v>5.59</x:v>
      </x:c>
      <x:c r="I334" s="4" t="n">
        <x:v>3.36</x:v>
      </x:c>
      <x:c r="J334" s="4" t="n">
        <x:v>2.26</x:v>
      </x:c>
      <x:c r="K334" s="4" t="n">
        <x:v>7.85</x:v>
      </x:c>
      <x:c r="L334" s="4" t="n">
        <x:v>7.03</x:v>
      </x:c>
      <x:c r="M334" s="4" t="n">
        <x:v>6.98</x:v>
      </x:c>
      <x:c r="N334" s="4" t="n">
        <x:v>6.69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7.7</x:v>
      </x:c>
      <x:c r="D335" s="4" t="n">
        <x:v>7.91</x:v>
      </x:c>
      <x:c r="E335" s="4" t="n">
        <x:v>7.45</x:v>
      </x:c>
      <x:c r="F335" s="4" t="n">
        <x:v>3.03</x:v>
      </x:c>
      <x:c r="G335" s="4" t="n">
        <x:v>3.61</x:v>
      </x:c>
      <x:c r="H335" s="4" t="n">
        <x:v>8.59</x:v>
      </x:c>
      <x:c r="I335" s="4" t="n">
        <x:v>7.37</x:v>
      </x:c>
      <x:c r="J335" s="4" t="n">
        <x:v>8.09</x:v>
      </x:c>
      <x:c r="K335" s="4" t="n">
        <x:v>8.32</x:v>
      </x:c>
      <x:c r="L335" s="4" t="n">
        <x:v>4.59</x:v>
      </x:c>
      <x:c r="M335" s="4" t="n">
        <x:v>8.4</x:v>
      </x:c>
      <x:c r="N335" s="4" t="n">
        <x:v>7.81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5.08</x:v>
      </x:c>
      <x:c r="D336" s="4" t="n">
        <x:v>8.1</x:v>
      </x:c>
      <x:c r="E336" s="4" t="n">
        <x:v>6.99</x:v>
      </x:c>
      <x:c r="F336" s="4" t="n">
        <x:v>8.12</x:v>
      </x:c>
      <x:c r="G336" s="4" t="n">
        <x:v>6.69</x:v>
      </x:c>
      <x:c r="H336" s="4" t="n">
        <x:v>6.12</x:v>
      </x:c>
      <x:c r="I336" s="4" t="n">
        <x:v>6.32</x:v>
      </x:c>
      <x:c r="J336" s="4" t="n">
        <x:v>5.74</x:v>
      </x:c>
      <x:c r="K336" s="4" t="n">
        <x:v>3.08</x:v>
      </x:c>
      <x:c r="L336" s="4" t="n">
        <x:v>4.25</x:v>
      </x:c>
      <x:c r="M336" s="4" t="n">
        <x:v>3.69</x:v>
      </x:c>
      <x:c r="N336" s="4" t="n">
        <x:v>3.56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8.88</x:v>
      </x:c>
      <x:c r="D337" s="4" t="n">
        <x:v>2.38</x:v>
      </x:c>
      <x:c r="E337" s="4" t="n">
        <x:v>4.62</x:v>
      </x:c>
      <x:c r="F337" s="4" t="n">
        <x:v>4.53</x:v>
      </x:c>
      <x:c r="G337" s="4" t="n">
        <x:v>8.31</x:v>
      </x:c>
      <x:c r="H337" s="4" t="n">
        <x:v>5.37</x:v>
      </x:c>
      <x:c r="I337" s="4" t="n">
        <x:v>4.92</x:v>
      </x:c>
      <x:c r="J337" s="4" t="n">
        <x:v>2.88</x:v>
      </x:c>
      <x:c r="K337" s="4" t="n">
        <x:v>2.96</x:v>
      </x:c>
      <x:c r="L337" s="4" t="n">
        <x:v>2.35</x:v>
      </x:c>
      <x:c r="M337" s="4" t="n">
        <x:v>5.27</x:v>
      </x:c>
      <x:c r="N337" s="4" t="n">
        <x:v>3.47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8.67</x:v>
      </x:c>
      <x:c r="D338" s="4" t="n">
        <x:v>6.17</x:v>
      </x:c>
      <x:c r="E338" s="4" t="n">
        <x:v>3.2</x:v>
      </x:c>
      <x:c r="F338" s="4" t="n">
        <x:v>8.25</x:v>
      </x:c>
      <x:c r="G338" s="4" t="n">
        <x:v>8.17</x:v>
      </x:c>
      <x:c r="H338" s="4" t="n">
        <x:v>5.27</x:v>
      </x:c>
      <x:c r="I338" s="4" t="n">
        <x:v>8.51</x:v>
      </x:c>
      <x:c r="J338" s="4" t="n">
        <x:v>6.74</x:v>
      </x:c>
      <x:c r="K338" s="4" t="n">
        <x:v>3.58</x:v>
      </x:c>
      <x:c r="L338" s="4" t="n">
        <x:v>8.85</x:v>
      </x:c>
      <x:c r="M338" s="4" t="n">
        <x:v>6.6</x:v>
      </x:c>
      <x:c r="N338" s="4" t="n">
        <x:v>7.83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2.3</x:v>
      </x:c>
      <x:c r="D339" s="4" t="n">
        <x:v>6.36</x:v>
      </x:c>
      <x:c r="E339" s="4" t="n">
        <x:v>4.93</x:v>
      </x:c>
      <x:c r="F339" s="4" t="n">
        <x:v>4.49</x:v>
      </x:c>
      <x:c r="G339" s="4" t="n">
        <x:v>5.88</x:v>
      </x:c>
      <x:c r="H339" s="4" t="n">
        <x:v>8.32</x:v>
      </x:c>
      <x:c r="I339" s="4" t="n">
        <x:v>3.36</x:v>
      </x:c>
      <x:c r="J339" s="4" t="n">
        <x:v>2.62</x:v>
      </x:c>
      <x:c r="K339" s="4" t="n">
        <x:v>5.94</x:v>
      </x:c>
      <x:c r="L339" s="4" t="n">
        <x:v>6.82</x:v>
      </x:c>
      <x:c r="M339" s="4" t="n">
        <x:v>6.31</x:v>
      </x:c>
      <x:c r="N339" s="4" t="n">
        <x:v>5.98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6.24</x:v>
      </x:c>
      <x:c r="D341" s="4" t="n">
        <x:v>2.22</x:v>
      </x:c>
      <x:c r="E341" s="4" t="n">
        <x:v>6.57</x:v>
      </x:c>
      <x:c r="F341" s="4" t="n">
        <x:v>6.13</x:v>
      </x:c>
      <x:c r="G341" s="4" t="n">
        <x:v>8.6</x:v>
      </x:c>
      <x:c r="H341" s="4" t="n">
        <x:v>3.34</x:v>
      </x:c>
      <x:c r="I341" s="4" t="n">
        <x:v>8.85</x:v>
      </x:c>
      <x:c r="J341" s="4" t="n">
        <x:v>8.62</x:v>
      </x:c>
      <x:c r="K341" s="4" t="n">
        <x:v>3.9</x:v>
      </x:c>
      <x:c r="L341" s="4" t="n">
        <x:v>4.85</x:v>
      </x:c>
      <x:c r="M341" s="4" t="n">
        <x:v>7.23</x:v>
      </x:c>
      <x:c r="N341" s="4" t="n">
        <x:v>8.83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3.23</x:v>
      </x:c>
      <x:c r="D342" s="4" t="n">
        <x:v>8.39</x:v>
      </x:c>
      <x:c r="E342" s="4" t="n">
        <x:v>5.7</x:v>
      </x:c>
      <x:c r="F342" s="4" t="n">
        <x:v>3.63</x:v>
      </x:c>
      <x:c r="G342" s="4" t="n">
        <x:v>6.96</x:v>
      </x:c>
      <x:c r="H342" s="4" t="n">
        <x:v>7.11</x:v>
      </x:c>
      <x:c r="I342" s="4" t="n">
        <x:v>2.96</x:v>
      </x:c>
      <x:c r="J342" s="4" t="n">
        <x:v>5.14</x:v>
      </x:c>
      <x:c r="K342" s="4" t="n">
        <x:v>5.73</x:v>
      </x:c>
      <x:c r="L342" s="4" t="n">
        <x:v>4.6</x:v>
      </x:c>
      <x:c r="M342" s="4" t="n">
        <x:v>7.85</x:v>
      </x:c>
      <x:c r="N342" s="4" t="n">
        <x:v>8.52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6.25</x:v>
      </x:c>
      <x:c r="D343" s="4" t="n">
        <x:v>5.34</x:v>
      </x:c>
      <x:c r="E343" s="4" t="n">
        <x:v>3.21</x:v>
      </x:c>
      <x:c r="F343" s="4" t="n">
        <x:v>2.62</x:v>
      </x:c>
      <x:c r="G343" s="4" t="n">
        <x:v>8.67</x:v>
      </x:c>
      <x:c r="H343" s="4" t="n">
        <x:v>4.92</x:v>
      </x:c>
      <x:c r="I343" s="4" t="n">
        <x:v>5.25</x:v>
      </x:c>
      <x:c r="J343" s="4" t="n">
        <x:v>2.18</x:v>
      </x:c>
      <x:c r="K343" s="4" t="n">
        <x:v>6.67</x:v>
      </x:c>
      <x:c r="L343" s="4" t="n">
        <x:v>5.07</x:v>
      </x:c>
      <x:c r="M343" s="4" t="n">
        <x:v>2.48</x:v>
      </x:c>
      <x:c r="N343" s="4" t="n">
        <x:v>6.42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6.22</x:v>
      </x:c>
      <x:c r="D344" s="4" t="n">
        <x:v>5.63</x:v>
      </x:c>
      <x:c r="E344" s="4" t="n">
        <x:v>2.97</x:v>
      </x:c>
      <x:c r="F344" s="4" t="n">
        <x:v>3.16</x:v>
      </x:c>
      <x:c r="G344" s="4" t="n">
        <x:v>5.91</x:v>
      </x:c>
      <x:c r="H344" s="4" t="n">
        <x:v>3.8</x:v>
      </x:c>
      <x:c r="I344" s="4" t="n">
        <x:v>4.57</x:v>
      </x:c>
      <x:c r="J344" s="4" t="n">
        <x:v>5.91</x:v>
      </x:c>
      <x:c r="K344" s="4" t="n">
        <x:v>6.16</x:v>
      </x:c>
      <x:c r="L344" s="4" t="n">
        <x:v>3.02</x:v>
      </x:c>
      <x:c r="M344" s="4" t="n">
        <x:v>7.55</x:v>
      </x:c>
      <x:c r="N344" s="4" t="n">
        <x:v>3.57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2.47</x:v>
      </x:c>
      <x:c r="D345" s="4" t="n">
        <x:v>4.89</x:v>
      </x:c>
      <x:c r="E345" s="4" t="n">
        <x:v>4.52</x:v>
      </x:c>
      <x:c r="F345" s="4" t="n">
        <x:v>7.83</x:v>
      </x:c>
      <x:c r="G345" s="4" t="n">
        <x:v>4.9</x:v>
      </x:c>
      <x:c r="H345" s="4" t="n">
        <x:v>7.28</x:v>
      </x:c>
      <x:c r="I345" s="4" t="n">
        <x:v>6.87</x:v>
      </x:c>
      <x:c r="J345" s="4" t="n">
        <x:v>7.2</x:v>
      </x:c>
      <x:c r="K345" s="4" t="n">
        <x:v>5.06</x:v>
      </x:c>
      <x:c r="L345" s="4" t="n">
        <x:v>5.15</x:v>
      </x:c>
      <x:c r="M345" s="4" t="n">
        <x:v>4.32</x:v>
      </x:c>
      <x:c r="N345" s="4" t="n">
        <x:v>3.5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2.22</x:v>
      </x:c>
      <x:c r="D346" s="4" t="n">
        <x:v>6.94</x:v>
      </x:c>
      <x:c r="E346" s="4" t="n">
        <x:v>6.41</x:v>
      </x:c>
      <x:c r="F346" s="4" t="n">
        <x:v>4.18</x:v>
      </x:c>
      <x:c r="G346" s="4" t="n">
        <x:v>2.25</x:v>
      </x:c>
      <x:c r="H346" s="4" t="n">
        <x:v>5.14</x:v>
      </x:c>
      <x:c r="I346" s="4" t="n">
        <x:v>3.58</x:v>
      </x:c>
      <x:c r="J346" s="4" t="n">
        <x:v>6.89</x:v>
      </x:c>
      <x:c r="K346" s="4" t="n">
        <x:v>8.42</x:v>
      </x:c>
      <x:c r="L346" s="4" t="n">
        <x:v>2.55</x:v>
      </x:c>
      <x:c r="M346" s="4" t="n">
        <x:v>4.81</x:v>
      </x:c>
      <x:c r="N346" s="4" t="n">
        <x:v>5.73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6.53</x:v>
      </x:c>
      <x:c r="D347" s="4" t="n">
        <x:v>4.62</x:v>
      </x:c>
      <x:c r="E347" s="4" t="n">
        <x:v>6.3</x:v>
      </x:c>
      <x:c r="F347" s="4" t="n">
        <x:v>5.33</x:v>
      </x:c>
      <x:c r="G347" s="4" t="n">
        <x:v>7.91</x:v>
      </x:c>
      <x:c r="H347" s="4" t="n">
        <x:v>6.96</x:v>
      </x:c>
      <x:c r="I347" s="4" t="n">
        <x:v>8.71</x:v>
      </x:c>
      <x:c r="J347" s="4" t="n">
        <x:v>4.33</x:v>
      </x:c>
      <x:c r="K347" s="4" t="n">
        <x:v>5.53</x:v>
      </x:c>
      <x:c r="L347" s="4" t="n">
        <x:v>7.37</x:v>
      </x:c>
      <x:c r="M347" s="4" t="n">
        <x:v>3.54</x:v>
      </x:c>
      <x:c r="N347" s="4" t="n">
        <x:v>6.1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3.12</x:v>
      </x:c>
      <x:c r="D348" s="4" t="n">
        <x:v>3.3</x:v>
      </x:c>
      <x:c r="E348" s="4" t="n">
        <x:v>6.62</x:v>
      </x:c>
      <x:c r="F348" s="4" t="n">
        <x:v>5.69</x:v>
      </x:c>
      <x:c r="G348" s="4" t="n">
        <x:v>5.18</x:v>
      </x:c>
      <x:c r="H348" s="4" t="n">
        <x:v>4.02</x:v>
      </x:c>
      <x:c r="I348" s="4" t="n">
        <x:v>7.53</x:v>
      </x:c>
      <x:c r="J348" s="4" t="n">
        <x:v>3.37</x:v>
      </x:c>
      <x:c r="K348" s="4" t="n">
        <x:v>2.5</x:v>
      </x:c>
      <x:c r="L348" s="4" t="n">
        <x:v>6.4</x:v>
      </x:c>
      <x:c r="M348" s="4" t="n">
        <x:v>2.43</x:v>
      </x:c>
      <x:c r="N348" s="4" t="n">
        <x:v>8.61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3.1</x:v>
      </x:c>
      <x:c r="D350" s="4" t="n">
        <x:v>7.26</x:v>
      </x:c>
      <x:c r="E350" s="4" t="n">
        <x:v>7.1</x:v>
      </x:c>
      <x:c r="F350" s="4" t="n">
        <x:v>7.87</x:v>
      </x:c>
      <x:c r="G350" s="4" t="n">
        <x:v>4.23</x:v>
      </x:c>
      <x:c r="H350" s="4" t="n">
        <x:v>5.86</x:v>
      </x:c>
      <x:c r="I350" s="4" t="n">
        <x:v>3.11</x:v>
      </x:c>
      <x:c r="J350" s="4" t="n">
        <x:v>6.48</x:v>
      </x:c>
      <x:c r="K350" s="4" t="n">
        <x:v>5.53</x:v>
      </x:c>
      <x:c r="L350" s="4" t="n">
        <x:v>8.52</x:v>
      </x:c>
      <x:c r="M350" s="4" t="n">
        <x:v>8.68</x:v>
      </x:c>
      <x:c r="N350" s="4" t="n">
        <x:v>3.15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8.48</x:v>
      </x:c>
      <x:c r="D351" s="4" t="n">
        <x:v>3.35</x:v>
      </x:c>
      <x:c r="E351" s="4" t="n">
        <x:v>5.75</x:v>
      </x:c>
      <x:c r="F351" s="4" t="n">
        <x:v>7.45</x:v>
      </x:c>
      <x:c r="G351" s="4" t="n">
        <x:v>3.97</x:v>
      </x:c>
      <x:c r="H351" s="4" t="n">
        <x:v>4.1</x:v>
      </x:c>
      <x:c r="I351" s="4" t="n">
        <x:v>4.63</x:v>
      </x:c>
      <x:c r="J351" s="4" t="n">
        <x:v>6.15</x:v>
      </x:c>
      <x:c r="K351" s="4" t="n">
        <x:v>5.12</x:v>
      </x:c>
      <x:c r="L351" s="4" t="n">
        <x:v>7.14</x:v>
      </x:c>
      <x:c r="M351" s="4" t="n">
        <x:v>3.3</x:v>
      </x:c>
      <x:c r="N351" s="4" t="n">
        <x:v>3.91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4.87</x:v>
      </x:c>
      <x:c r="D352" s="4" t="n">
        <x:v>8.4</x:v>
      </x:c>
      <x:c r="E352" s="4" t="n">
        <x:v>5.76</x:v>
      </x:c>
      <x:c r="F352" s="4" t="n">
        <x:v>4.27</x:v>
      </x:c>
      <x:c r="G352" s="4" t="n">
        <x:v>6.5</x:v>
      </x:c>
      <x:c r="H352" s="4" t="n">
        <x:v>8.64</x:v>
      </x:c>
      <x:c r="I352" s="4" t="n">
        <x:v>3.87</x:v>
      </x:c>
      <x:c r="J352" s="4" t="n">
        <x:v>3.23</x:v>
      </x:c>
      <x:c r="K352" s="4" t="n">
        <x:v>8.08</x:v>
      </x:c>
      <x:c r="L352" s="4" t="n">
        <x:v>8.68</x:v>
      </x:c>
      <x:c r="M352" s="4" t="n">
        <x:v>6.81</x:v>
      </x:c>
      <x:c r="N352" s="4" t="n">
        <x:v>3.9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6.69</x:v>
      </x:c>
      <x:c r="D353" s="4" t="n">
        <x:v>4.8</x:v>
      </x:c>
      <x:c r="E353" s="4" t="n">
        <x:v>3.96</x:v>
      </x:c>
      <x:c r="F353" s="4" t="n">
        <x:v>4.5</x:v>
      </x:c>
      <x:c r="G353" s="4" t="n">
        <x:v>5.06</x:v>
      </x:c>
      <x:c r="H353" s="4" t="n">
        <x:v>4.55</x:v>
      </x:c>
      <x:c r="I353" s="4" t="n">
        <x:v>5.83</x:v>
      </x:c>
      <x:c r="J353" s="4" t="n">
        <x:v>3.19</x:v>
      </x:c>
      <x:c r="K353" s="4" t="n">
        <x:v>3.46</x:v>
      </x:c>
      <x:c r="L353" s="4" t="n">
        <x:v>6.07</x:v>
      </x:c>
      <x:c r="M353" s="4" t="n">
        <x:v>7.61</x:v>
      </x:c>
      <x:c r="N353" s="4" t="n">
        <x:v>3.2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其他主体费用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108.67</x:v>
      </x:c>
      <x:c r="D4" s="3" t="n">
        <x:f>ROUND(D204*D324,2)</x:f>
        <x:v>138.44</x:v>
      </x:c>
      <x:c r="E4" s="3" t="n">
        <x:f>ROUND(E204*E324,2)</x:f>
        <x:v>236.2</x:v>
      </x:c>
      <x:c r="F4" s="3" t="n">
        <x:f>ROUND(F204*F324,2)</x:f>
        <x:v>183.96</x:v>
      </x:c>
      <x:c r="G4" s="3" t="n">
        <x:f>ROUND(G204*G324,2)</x:f>
        <x:v>490.72</x:v>
      </x:c>
      <x:c r="H4" s="3" t="n">
        <x:f>ROUND(H204*H324,2)</x:f>
        <x:v>130.04</x:v>
      </x:c>
      <x:c r="I4" s="3" t="n">
        <x:f>ROUND(I204*I324,2)</x:f>
        <x:v>166.98</x:v>
      </x:c>
      <x:c r="J4" s="3" t="n">
        <x:f>ROUND(J204*J324,2)</x:f>
        <x:v>127.09</x:v>
      </x:c>
      <x:c r="K4" s="3" t="n">
        <x:f>ROUND(K204*K324,2)</x:f>
        <x:v>494.19</x:v>
      </x:c>
      <x:c r="L4" s="3" t="n">
        <x:f>ROUND(L204*L324,2)</x:f>
        <x:v>219.42</x:v>
      </x:c>
      <x:c r="M4" s="3" t="n">
        <x:f>ROUND(M204*M324,2)</x:f>
        <x:v>229.65</x:v>
      </x:c>
      <x:c r="N4" s="3" t="n">
        <x:f>ROUND(N204*N324,2)</x:f>
        <x:v>312.02</x:v>
      </x:c>
      <x:c r="O4" s="3" t="n">
        <x:f>SUM(C4:N4)</x:f>
        <x:v>2837.38</x:v>
      </x:c>
      <x:c r="P4" s="2" t="str">
        <x:v>EXP3.004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171.53</x:v>
      </x:c>
      <x:c r="D5" s="3" t="n">
        <x:f>ROUND(D205*D325,2)</x:f>
        <x:v>302.24</x:v>
      </x:c>
      <x:c r="E5" s="3" t="n">
        <x:f>ROUND(E205*E325,2)</x:f>
        <x:v>116.37</x:v>
      </x:c>
      <x:c r="F5" s="3" t="n">
        <x:f>ROUND(F205*F325,2)</x:f>
        <x:v>391.73</x:v>
      </x:c>
      <x:c r="G5" s="3" t="n">
        <x:f>ROUND(G205*G325,2)</x:f>
        <x:v>298.69</x:v>
      </x:c>
      <x:c r="H5" s="3" t="n">
        <x:f>ROUND(H205*H325,2)</x:f>
        <x:v>99.58</x:v>
      </x:c>
      <x:c r="I5" s="3" t="n">
        <x:f>ROUND(I205*I325,2)</x:f>
        <x:v>164.6</x:v>
      </x:c>
      <x:c r="J5" s="3" t="n">
        <x:f>ROUND(J205*J325,2)</x:f>
        <x:v>98.19</x:v>
      </x:c>
      <x:c r="K5" s="3" t="n">
        <x:f>ROUND(K205*K325,2)</x:f>
        <x:v>143.68</x:v>
      </x:c>
      <x:c r="L5" s="3" t="n">
        <x:f>ROUND(L205*L325,2)</x:f>
        <x:v>347.23</x:v>
      </x:c>
      <x:c r="M5" s="3" t="n">
        <x:f>ROUND(M205*M325,2)</x:f>
        <x:v>109.65</x:v>
      </x:c>
      <x:c r="N5" s="3" t="n">
        <x:f>ROUND(N205*N325,2)</x:f>
        <x:v>96.53</x:v>
      </x:c>
      <x:c r="O5" s="3" t="n">
        <x:f>SUM(C5:N5)</x:f>
        <x:v>2340.0200000000004</x:v>
      </x:c>
      <x:c r="P5" s="2" t="str">
        <x:v>EXP3.005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110.76</x:v>
      </x:c>
      <x:c r="D6" s="3" t="n">
        <x:f>ROUND(D206*D326,2)</x:f>
        <x:v>405.45</x:v>
      </x:c>
      <x:c r="E6" s="3" t="n">
        <x:f>ROUND(E206*E326,2)</x:f>
        <x:v>107.98</x:v>
      </x:c>
      <x:c r="F6" s="3" t="n">
        <x:f>ROUND(F206*F326,2)</x:f>
        <x:v>206.16</x:v>
      </x:c>
      <x:c r="G6" s="3" t="n">
        <x:f>ROUND(G206*G326,2)</x:f>
        <x:v>347.92</x:v>
      </x:c>
      <x:c r="H6" s="3" t="n">
        <x:f>ROUND(H206*H326,2)</x:f>
        <x:v>307.17</x:v>
      </x:c>
      <x:c r="I6" s="3" t="n">
        <x:f>ROUND(I206*I326,2)</x:f>
        <x:v>426.71</x:v>
      </x:c>
      <x:c r="J6" s="3" t="n">
        <x:f>ROUND(J206*J326,2)</x:f>
        <x:v>375.17</x:v>
      </x:c>
      <x:c r="K6" s="3" t="n">
        <x:f>ROUND(K206*K326,2)</x:f>
        <x:v>128.38</x:v>
      </x:c>
      <x:c r="L6" s="3" t="n">
        <x:f>ROUND(L206*L326,2)</x:f>
        <x:v>182.78</x:v>
      </x:c>
      <x:c r="M6" s="3" t="n">
        <x:f>ROUND(M206*M326,2)</x:f>
        <x:v>62.83</x:v>
      </x:c>
      <x:c r="N6" s="3" t="n">
        <x:f>ROUND(N206*N326,2)</x:f>
        <x:v>400.61</x:v>
      </x:c>
      <x:c r="O6" s="3" t="n">
        <x:f>SUM(C6:N6)</x:f>
        <x:v>3061.9200000000005</x:v>
      </x:c>
      <x:c r="P6" s="2" t="str">
        <x:v>EXP3.006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124.59</x:v>
      </x:c>
      <x:c r="D7" s="3" t="n">
        <x:f>ROUND(D207*D327,2)</x:f>
        <x:v>132.69</x:v>
      </x:c>
      <x:c r="E7" s="3" t="n">
        <x:f>ROUND(E207*E327,2)</x:f>
        <x:v>354.92</x:v>
      </x:c>
      <x:c r="F7" s="3" t="n">
        <x:f>ROUND(F207*F327,2)</x:f>
        <x:v>117.12</x:v>
      </x:c>
      <x:c r="G7" s="3" t="n">
        <x:f>ROUND(G207*G327,2)</x:f>
        <x:v>255.87</x:v>
      </x:c>
      <x:c r="H7" s="3" t="n">
        <x:f>ROUND(H207*H327,2)</x:f>
        <x:v>439.89</x:v>
      </x:c>
      <x:c r="I7" s="3" t="n">
        <x:f>ROUND(I207*I327,2)</x:f>
        <x:v>108.37</x:v>
      </x:c>
      <x:c r="J7" s="3" t="n">
        <x:f>ROUND(J207*J327,2)</x:f>
        <x:v>98.84</x:v>
      </x:c>
      <x:c r="K7" s="3" t="n">
        <x:f>ROUND(K207*K327,2)</x:f>
        <x:v>242.88</x:v>
      </x:c>
      <x:c r="L7" s="3" t="n">
        <x:f>ROUND(L207*L327,2)</x:f>
        <x:v>84.71</x:v>
      </x:c>
      <x:c r="M7" s="3" t="n">
        <x:f>ROUND(M207*M327,2)</x:f>
        <x:v>173</x:v>
      </x:c>
      <x:c r="N7" s="3" t="n">
        <x:f>ROUND(N207*N327,2)</x:f>
        <x:v>300.91</x:v>
      </x:c>
      <x:c r="O7" s="3" t="n">
        <x:f>SUM(C7:N7)</x:f>
        <x:v>2433.7899999999995</x:v>
      </x:c>
      <x:c r="P7" s="2" t="str">
        <x:v>EXP3.007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62.85</x:v>
      </x:c>
      <x:c r="D8" s="3" t="n">
        <x:f>ROUND(D208*D328,2)</x:f>
        <x:v>175.13</x:v>
      </x:c>
      <x:c r="E8" s="3" t="n">
        <x:f>ROUND(E208*E328,2)</x:f>
        <x:v>208.46</x:v>
      </x:c>
      <x:c r="F8" s="3" t="n">
        <x:f>ROUND(F208*F328,2)</x:f>
        <x:v>363.15</x:v>
      </x:c>
      <x:c r="G8" s="3" t="n">
        <x:f>ROUND(G208*G328,2)</x:f>
        <x:v>219.92</x:v>
      </x:c>
      <x:c r="H8" s="3" t="n">
        <x:f>ROUND(H208*H328,2)</x:f>
        <x:v>100.14</x:v>
      </x:c>
      <x:c r="I8" s="3" t="n">
        <x:f>ROUND(I208*I328,2)</x:f>
        <x:v>276.32</x:v>
      </x:c>
      <x:c r="J8" s="3" t="n">
        <x:f>ROUND(J208*J328,2)</x:f>
        <x:v>134.22</x:v>
      </x:c>
      <x:c r="K8" s="3" t="n">
        <x:f>ROUND(K208*K328,2)</x:f>
        <x:v>109.46</x:v>
      </x:c>
      <x:c r="L8" s="3" t="n">
        <x:f>ROUND(L208*L328,2)</x:f>
        <x:v>119.91</x:v>
      </x:c>
      <x:c r="M8" s="3" t="n">
        <x:f>ROUND(M208*M328,2)</x:f>
        <x:v>571.9</x:v>
      </x:c>
      <x:c r="N8" s="3" t="n">
        <x:f>ROUND(N208*N328,2)</x:f>
        <x:v>232.2</x:v>
      </x:c>
      <x:c r="O8" s="3" t="n">
        <x:f>SUM(C8:N8)</x:f>
        <x:v>2573.66</x:v>
      </x:c>
      <x:c r="P8" s="2" t="str">
        <x:v>EXP3.008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339.07</x:v>
      </x:c>
      <x:c r="D9" s="3" t="n">
        <x:f>ROUND(D209*D329,2)</x:f>
        <x:v>202.75</x:v>
      </x:c>
      <x:c r="E9" s="3" t="n">
        <x:f>ROUND(E209*E329,2)</x:f>
        <x:v>262.53</x:v>
      </x:c>
      <x:c r="F9" s="3" t="n">
        <x:f>ROUND(F209*F329,2)</x:f>
        <x:v>379.22</x:v>
      </x:c>
      <x:c r="G9" s="3" t="n">
        <x:f>ROUND(G209*G329,2)</x:f>
        <x:v>193.3</x:v>
      </x:c>
      <x:c r="H9" s="3" t="n">
        <x:f>ROUND(H209*H329,2)</x:f>
        <x:v>277.75</x:v>
      </x:c>
      <x:c r="I9" s="3" t="n">
        <x:f>ROUND(I209*I329,2)</x:f>
        <x:v>112.58</x:v>
      </x:c>
      <x:c r="J9" s="3" t="n">
        <x:f>ROUND(J209*J329,2)</x:f>
        <x:v>236.83</x:v>
      </x:c>
      <x:c r="K9" s="3" t="n">
        <x:f>ROUND(K209*K329,2)</x:f>
        <x:v>304.64</x:v>
      </x:c>
      <x:c r="L9" s="3" t="n">
        <x:f>ROUND(L209*L329,2)</x:f>
        <x:v>79.42</x:v>
      </x:c>
      <x:c r="M9" s="3" t="n">
        <x:f>ROUND(M209*M329,2)</x:f>
        <x:v>283.56</x:v>
      </x:c>
      <x:c r="N9" s="3" t="n">
        <x:f>ROUND(N209*N329,2)</x:f>
        <x:v>400.7</x:v>
      </x:c>
      <x:c r="O9" s="3" t="n">
        <x:f>SUM(C9:N9)</x:f>
        <x:v>3072.3499999999995</x:v>
      </x:c>
      <x:c r="P9" s="2" t="str">
        <x:v>EXP3.009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470.23</x:v>
      </x:c>
      <x:c r="D10" s="3" t="n">
        <x:f>ROUND(D210*D330,2)</x:f>
        <x:v>175.85</x:v>
      </x:c>
      <x:c r="E10" s="3" t="n">
        <x:f>ROUND(E210*E330,2)</x:f>
        <x:v>305.64</x:v>
      </x:c>
      <x:c r="F10" s="3" t="n">
        <x:f>ROUND(F210*F330,2)</x:f>
        <x:v>196.55</x:v>
      </x:c>
      <x:c r="G10" s="3" t="n">
        <x:f>ROUND(G210*G330,2)</x:f>
        <x:v>107.32</x:v>
      </x:c>
      <x:c r="H10" s="3" t="n">
        <x:f>ROUND(H210*H330,2)</x:f>
        <x:v>103.3</x:v>
      </x:c>
      <x:c r="I10" s="3" t="n">
        <x:f>ROUND(I210*I330,2)</x:f>
        <x:v>275.53</x:v>
      </x:c>
      <x:c r="J10" s="3" t="n">
        <x:f>ROUND(J210*J330,2)</x:f>
        <x:v>484.74</x:v>
      </x:c>
      <x:c r="K10" s="3" t="n">
        <x:f>ROUND(K210*K330,2)</x:f>
        <x:v>62.41</x:v>
      </x:c>
      <x:c r="L10" s="3" t="n">
        <x:f>ROUND(L210*L330,2)</x:f>
        <x:v>67.57</x:v>
      </x:c>
      <x:c r="M10" s="3" t="n">
        <x:f>ROUND(M210*M330,2)</x:f>
        <x:v>285.79</x:v>
      </x:c>
      <x:c r="N10" s="3" t="n">
        <x:f>ROUND(N210*N330,2)</x:f>
        <x:v>592.12</x:v>
      </x:c>
      <x:c r="O10" s="3" t="n">
        <x:f>SUM(C10:N10)</x:f>
        <x:v>3127.0499999999997</x:v>
      </x:c>
      <x:c r="P10" s="2" t="str">
        <x:v>EXP3.010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484.52</x:v>
      </x:c>
      <x:c r="D11" s="3" t="n">
        <x:f>ROUND(D211*D331,2)</x:f>
        <x:v>115.99</x:v>
      </x:c>
      <x:c r="E11" s="3" t="n">
        <x:f>ROUND(E211*E331,2)</x:f>
        <x:v>422.21</x:v>
      </x:c>
      <x:c r="F11" s="3" t="n">
        <x:f>ROUND(F211*F331,2)</x:f>
        <x:v>141.01</x:v>
      </x:c>
      <x:c r="G11" s="3" t="n">
        <x:f>ROUND(G211*G331,2)</x:f>
        <x:v>90.75</x:v>
      </x:c>
      <x:c r="H11" s="3" t="n">
        <x:f>ROUND(H211*H331,2)</x:f>
        <x:v>253.06</x:v>
      </x:c>
      <x:c r="I11" s="3" t="n">
        <x:f>ROUND(I211*I331,2)</x:f>
        <x:v>67.43</x:v>
      </x:c>
      <x:c r="J11" s="3" t="n">
        <x:f>ROUND(J211*J331,2)</x:f>
        <x:v>180.32</x:v>
      </x:c>
      <x:c r="K11" s="3" t="n">
        <x:f>ROUND(K211*K331,2)</x:f>
        <x:v>131.88</x:v>
      </x:c>
      <x:c r="L11" s="3" t="n">
        <x:f>ROUND(L211*L331,2)</x:f>
        <x:v>97.46</x:v>
      </x:c>
      <x:c r="M11" s="3" t="n">
        <x:f>ROUND(M211*M331,2)</x:f>
        <x:v>547.8</x:v>
      </x:c>
      <x:c r="N11" s="3" t="n">
        <x:f>ROUND(N211*N331,2)</x:f>
        <x:v>133.53</x:v>
      </x:c>
      <x:c r="O11" s="3" t="n">
        <x:f>SUM(C11:N11)</x:f>
        <x:v>2665.9600000000005</x:v>
      </x:c>
      <x:c r="P11" s="2" t="str">
        <x:v>EXP3.011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130.72</x:v>
      </x:c>
      <x:c r="D12" s="3" t="n">
        <x:f>ROUND(D212*D332,2)</x:f>
        <x:v>55.39</x:v>
      </x:c>
      <x:c r="E12" s="3" t="n">
        <x:f>ROUND(E212*E332,2)</x:f>
        <x:v>211</x:v>
      </x:c>
      <x:c r="F12" s="3" t="n">
        <x:f>ROUND(F212*F332,2)</x:f>
        <x:v>216.32</x:v>
      </x:c>
      <x:c r="G12" s="3" t="n">
        <x:f>ROUND(G212*G332,2)</x:f>
        <x:v>207.51</x:v>
      </x:c>
      <x:c r="H12" s="3" t="n">
        <x:f>ROUND(H212*H332,2)</x:f>
        <x:v>225</x:v>
      </x:c>
      <x:c r="I12" s="3" t="n">
        <x:f>ROUND(I212*I332,2)</x:f>
        <x:v>49.91</x:v>
      </x:c>
      <x:c r="J12" s="3" t="n">
        <x:f>ROUND(J212*J332,2)</x:f>
        <x:v>213.01</x:v>
      </x:c>
      <x:c r="K12" s="3" t="n">
        <x:f>ROUND(K212*K332,2)</x:f>
        <x:v>119.3</x:v>
      </x:c>
      <x:c r="L12" s="3" t="n">
        <x:f>ROUND(L212*L332,2)</x:f>
        <x:v>253.43</x:v>
      </x:c>
      <x:c r="M12" s="3" t="n">
        <x:f>ROUND(M212*M332,2)</x:f>
        <x:v>137.81</x:v>
      </x:c>
      <x:c r="N12" s="3" t="n">
        <x:f>ROUND(N212*N332,2)</x:f>
        <x:v>133.49</x:v>
      </x:c>
      <x:c r="O12" s="3" t="n">
        <x:f>SUM(C12:N12)</x:f>
        <x:v>1952.89</x:v>
      </x:c>
      <x:c r="P12" s="2" t="str">
        <x:v>EXP3.012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360.19</x:v>
      </x:c>
      <x:c r="D13" s="3" t="n">
        <x:f>ROUND(D213*D333,2)</x:f>
        <x:v>446.98</x:v>
      </x:c>
      <x:c r="E13" s="3" t="n">
        <x:f>ROUND(E213*E333,2)</x:f>
        <x:v>233</x:v>
      </x:c>
      <x:c r="F13" s="3" t="n">
        <x:f>ROUND(F213*F333,2)</x:f>
        <x:v>134.51</x:v>
      </x:c>
      <x:c r="G13" s="3" t="n">
        <x:f>ROUND(G213*G333,2)</x:f>
        <x:v>152.34</x:v>
      </x:c>
      <x:c r="H13" s="3" t="n">
        <x:f>ROUND(H213*H333,2)</x:f>
        <x:v>112.08</x:v>
      </x:c>
      <x:c r="I13" s="3" t="n">
        <x:f>ROUND(I213*I333,2)</x:f>
        <x:v>287.37</x:v>
      </x:c>
      <x:c r="J13" s="3" t="n">
        <x:f>ROUND(J213*J333,2)</x:f>
        <x:v>91.08</x:v>
      </x:c>
      <x:c r="K13" s="3" t="n">
        <x:f>ROUND(K213*K333,2)</x:f>
        <x:v>110.61</x:v>
      </x:c>
      <x:c r="L13" s="3" t="n">
        <x:f>ROUND(L213*L333,2)</x:f>
        <x:v>451.35</x:v>
      </x:c>
      <x:c r="M13" s="3" t="n">
        <x:f>ROUND(M213*M333,2)</x:f>
        <x:v>182.52</x:v>
      </x:c>
      <x:c r="N13" s="3" t="n">
        <x:f>ROUND(N213*N333,2)</x:f>
        <x:v>122.98</x:v>
      </x:c>
      <x:c r="O13" s="3" t="n">
        <x:f>SUM(C13:N13)</x:f>
        <x:v>2685.0099999999998</x:v>
      </x:c>
      <x:c r="P13" s="2" t="str">
        <x:v>EXP3.013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119.4</x:v>
      </x:c>
      <x:c r="D14" s="3" t="n">
        <x:f>ROUND(D214*D334,2)</x:f>
        <x:v>216.82</x:v>
      </x:c>
      <x:c r="E14" s="3" t="n">
        <x:f>ROUND(E214*E334,2)</x:f>
        <x:v>123.65</x:v>
      </x:c>
      <x:c r="F14" s="3" t="n">
        <x:f>ROUND(F214*F334,2)</x:f>
        <x:v>249.59</x:v>
      </x:c>
      <x:c r="G14" s="3" t="n">
        <x:f>ROUND(G214*G334,2)</x:f>
        <x:v>221.8</x:v>
      </x:c>
      <x:c r="H14" s="3" t="n">
        <x:f>ROUND(H214*H334,2)</x:f>
        <x:v>496.76</x:v>
      </x:c>
      <x:c r="I14" s="3" t="n">
        <x:f>ROUND(I214*I334,2)</x:f>
        <x:v>89.73</x:v>
      </x:c>
      <x:c r="J14" s="3" t="n">
        <x:f>ROUND(J214*J334,2)</x:f>
        <x:v>114.19</x:v>
      </x:c>
      <x:c r="K14" s="3" t="n">
        <x:f>ROUND(K214*K334,2)</x:f>
        <x:v>205.27</x:v>
      </x:c>
      <x:c r="L14" s="3" t="n">
        <x:f>ROUND(L214*L334,2)</x:f>
        <x:v>430.79</x:v>
      </x:c>
      <x:c r="M14" s="3" t="n">
        <x:f>ROUND(M214*M334,2)</x:f>
        <x:v>234.35</x:v>
      </x:c>
      <x:c r="N14" s="3" t="n">
        <x:f>ROUND(N214*N334,2)</x:f>
        <x:v>156.03</x:v>
      </x:c>
      <x:c r="O14" s="3" t="n">
        <x:f>SUM(C14:N14)</x:f>
        <x:v>2658.38</x:v>
      </x:c>
      <x:c r="P14" s="2" t="str">
        <x:v>EXP3.014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462.69</x:v>
      </x:c>
      <x:c r="D15" s="3" t="n">
        <x:f>ROUND(D215*D335,2)</x:f>
        <x:v>336.42</x:v>
      </x:c>
      <x:c r="E15" s="3" t="n">
        <x:f>ROUND(E215*E335,2)</x:f>
        <x:v>229.62</x:v>
      </x:c>
      <x:c r="F15" s="3" t="n">
        <x:f>ROUND(F215*F335,2)</x:f>
        <x:v>299.39</x:v>
      </x:c>
      <x:c r="G15" s="3" t="n">
        <x:f>ROUND(G215*G335,2)</x:f>
        <x:v>310.42</x:v>
      </x:c>
      <x:c r="H15" s="3" t="n">
        <x:f>ROUND(H215*H335,2)</x:f>
        <x:v>404.19</x:v>
      </x:c>
      <x:c r="I15" s="3" t="n">
        <x:f>ROUND(I215*I335,2)</x:f>
        <x:v>330.73</x:v>
      </x:c>
      <x:c r="J15" s="3" t="n">
        <x:f>ROUND(J215*J335,2)</x:f>
        <x:v>112.26</x:v>
      </x:c>
      <x:c r="K15" s="3" t="n">
        <x:f>ROUND(K215*K335,2)</x:f>
        <x:v>239.51</x:v>
      </x:c>
      <x:c r="L15" s="3" t="n">
        <x:f>ROUND(L215*L335,2)</x:f>
        <x:v>125.29</x:v>
      </x:c>
      <x:c r="M15" s="3" t="n">
        <x:f>ROUND(M215*M335,2)</x:f>
        <x:v>364.77</x:v>
      </x:c>
      <x:c r="N15" s="3" t="n">
        <x:f>ROUND(N215*N335,2)</x:f>
        <x:v>144.61</x:v>
      </x:c>
      <x:c r="O15" s="3" t="n">
        <x:f>SUM(C15:N15)</x:f>
        <x:v>3359.9000000000005</x:v>
      </x:c>
      <x:c r="P15" s="2" t="str">
        <x:v>EXP3.015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118.31</x:v>
      </x:c>
      <x:c r="D16" s="3" t="n">
        <x:f>ROUND(D216*D336,2)</x:f>
        <x:v>545.56</x:v>
      </x:c>
      <x:c r="E16" s="3" t="n">
        <x:f>ROUND(E216*E336,2)</x:f>
        <x:v>95.94</x:v>
      </x:c>
      <x:c r="F16" s="3" t="n">
        <x:f>ROUND(F216*F336,2)</x:f>
        <x:v>599.68</x:v>
      </x:c>
      <x:c r="G16" s="3" t="n">
        <x:f>ROUND(G216*G336,2)</x:f>
        <x:v>177.46</x:v>
      </x:c>
      <x:c r="H16" s="3" t="n">
        <x:f>ROUND(H216*H336,2)</x:f>
        <x:v>179.67</x:v>
      </x:c>
      <x:c r="I16" s="3" t="n">
        <x:f>ROUND(I216*I336,2)</x:f>
        <x:v>210.98</x:v>
      </x:c>
      <x:c r="J16" s="3" t="n">
        <x:f>ROUND(J216*J336,2)</x:f>
        <x:v>246.47</x:v>
      </x:c>
      <x:c r="K16" s="3" t="n">
        <x:f>ROUND(K216*K336,2)</x:f>
        <x:v>149.13</x:v>
      </x:c>
      <x:c r="L16" s="3" t="n">
        <x:f>ROUND(L216*L336,2)</x:f>
        <x:v>411.99</x:v>
      </x:c>
      <x:c r="M16" s="3" t="n">
        <x:f>ROUND(M216*M336,2)</x:f>
        <x:v>175.41</x:v>
      </x:c>
      <x:c r="N16" s="3" t="n">
        <x:f>ROUND(N216*N336,2)</x:f>
        <x:v>126.92</x:v>
      </x:c>
      <x:c r="O16" s="3" t="n">
        <x:f>SUM(C16:N16)</x:f>
        <x:v>3037.5199999999995</x:v>
      </x:c>
      <x:c r="P16" s="2" t="str">
        <x:v>EXP3.016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 t="str">
        <x:v>咨询服务费</x:v>
      </x:c>
      <x:c r="C17" s="3" t="n">
        <x:f>ROUND(C217*C337,2)</x:f>
        <x:v>227.24</x:v>
      </x:c>
      <x:c r="D17" s="3" t="n">
        <x:f>ROUND(D217*D337,2)</x:f>
        <x:v>491.73</x:v>
      </x:c>
      <x:c r="E17" s="3" t="n">
        <x:f>ROUND(E217*E337,2)</x:f>
        <x:v>455.34</x:v>
      </x:c>
      <x:c r="F17" s="3" t="n">
        <x:f>ROUND(F217*F337,2)</x:f>
        <x:v>372.22</x:v>
      </x:c>
      <x:c r="G17" s="3" t="n">
        <x:f>ROUND(G217*G337,2)</x:f>
        <x:v>167.7</x:v>
      </x:c>
      <x:c r="H17" s="3" t="n">
        <x:f>ROUND(H217*H337,2)</x:f>
        <x:v>92.69</x:v>
      </x:c>
      <x:c r="I17" s="3" t="n">
        <x:f>ROUND(I217*I337,2)</x:f>
        <x:v>98.22</x:v>
      </x:c>
      <x:c r="J17" s="3" t="n">
        <x:f>ROUND(J217*J337,2)</x:f>
        <x:v>373.5</x:v>
      </x:c>
      <x:c r="K17" s="3" t="n">
        <x:f>ROUND(K217*K337,2)</x:f>
        <x:v>338.64</x:v>
      </x:c>
      <x:c r="L17" s="3" t="n">
        <x:f>ROUND(L217*L337,2)</x:f>
        <x:v>109.08</x:v>
      </x:c>
      <x:c r="M17" s="3" t="n">
        <x:f>ROUND(M217*M337,2)</x:f>
        <x:v>202.17</x:v>
      </x:c>
      <x:c r="N17" s="3" t="n">
        <x:f>ROUND(N217*N337,2)</x:f>
        <x:v>546.15</x:v>
      </x:c>
      <x:c r="O17" s="3" t="n">
        <x:f>SUM(C17:N17)</x:f>
        <x:v>3474.6800000000003</x:v>
      </x:c>
      <x:c r="P17" s="2" t="str">
        <x:v>EXP3.017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100.84</x:v>
      </x:c>
      <x:c r="D18" s="3" t="n">
        <x:f>ROUND(D218*D338,2)</x:f>
        <x:v>441.25</x:v>
      </x:c>
      <x:c r="E18" s="3" t="n">
        <x:f>ROUND(E218*E338,2)</x:f>
        <x:v>224.88</x:v>
      </x:c>
      <x:c r="F18" s="3" t="n">
        <x:f>ROUND(F218*F338,2)</x:f>
        <x:v>132.21</x:v>
      </x:c>
      <x:c r="G18" s="3" t="n">
        <x:f>ROUND(G218*G338,2)</x:f>
        <x:v>153.77</x:v>
      </x:c>
      <x:c r="H18" s="3" t="n">
        <x:f>ROUND(H218*H338,2)</x:f>
        <x:v>325.67</x:v>
      </x:c>
      <x:c r="I18" s="3" t="n">
        <x:f>ROUND(I218*I338,2)</x:f>
        <x:v>197.99</x:v>
      </x:c>
      <x:c r="J18" s="3" t="n">
        <x:f>ROUND(J218*J338,2)</x:f>
        <x:v>308.75</x:v>
      </x:c>
      <x:c r="K18" s="3" t="n">
        <x:f>ROUND(K218*K338,2)</x:f>
        <x:v>266.81</x:v>
      </x:c>
      <x:c r="L18" s="3" t="n">
        <x:f>ROUND(L218*L338,2)</x:f>
        <x:v>134.06</x:v>
      </x:c>
      <x:c r="M18" s="3" t="n">
        <x:f>ROUND(M218*M338,2)</x:f>
        <x:v>408.64</x:v>
      </x:c>
      <x:c r="N18" s="3" t="n">
        <x:f>ROUND(N218*N338,2)</x:f>
        <x:v>253.47</x:v>
      </x:c>
      <x:c r="O18" s="3" t="n">
        <x:f>SUM(C18:N18)</x:f>
        <x:v>2948.3399999999997</x:v>
      </x:c>
      <x:c r="P18" s="2" t="str">
        <x:v>EXP3.018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104.05</x:v>
      </x:c>
      <x:c r="D19" s="3" t="n">
        <x:f>ROUND(D219*D339,2)</x:f>
        <x:v>219.97</x:v>
      </x:c>
      <x:c r="E19" s="3" t="n">
        <x:f>ROUND(E219*E339,2)</x:f>
        <x:v>154.65</x:v>
      </x:c>
      <x:c r="F19" s="3" t="n">
        <x:f>ROUND(F219*F339,2)</x:f>
        <x:v>164.73</x:v>
      </x:c>
      <x:c r="G19" s="3" t="n">
        <x:f>ROUND(G219*G339,2)</x:f>
        <x:v>313.16</x:v>
      </x:c>
      <x:c r="H19" s="3" t="n">
        <x:f>ROUND(H219*H339,2)</x:f>
        <x:v>174.89</x:v>
      </x:c>
      <x:c r="I19" s="3" t="n">
        <x:f>ROUND(I219*I339,2)</x:f>
        <x:v>119.94</x:v>
      </x:c>
      <x:c r="J19" s="3" t="n">
        <x:f>ROUND(J219*J339,2)</x:f>
        <x:v>130.98</x:v>
      </x:c>
      <x:c r="K19" s="3" t="n">
        <x:f>ROUND(K219*K339,2)</x:f>
        <x:v>68.68</x:v>
      </x:c>
      <x:c r="L19" s="3" t="n">
        <x:f>ROUND(L219*L339,2)</x:f>
        <x:v>137.7</x:v>
      </x:c>
      <x:c r="M19" s="3" t="n">
        <x:f>ROUND(M219*M339,2)</x:f>
        <x:v>150.63</x:v>
      </x:c>
      <x:c r="N19" s="3" t="n">
        <x:f>ROUND(N219*N339,2)</x:f>
        <x:v>124.5</x:v>
      </x:c>
      <x:c r="O19" s="3" t="n">
        <x:f>SUM(C19:N19)</x:f>
        <x:v>1863.88</x:v>
      </x:c>
      <x:c r="P19" s="2" t="str">
        <x:v>EXP3.019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700.33</x:v>
      </x:c>
      <x:c r="D20" s="3" t="n">
        <x:f>ROUND('摊销明细'!D33/3,2)</x:f>
        <x:v>700.33</x:v>
      </x:c>
      <x:c r="E20" s="3" t="n">
        <x:f>ROUND('摊销明细'!E33/3,2)</x:f>
        <x:v>700.33</x:v>
      </x:c>
      <x:c r="F20" s="3" t="n">
        <x:f>ROUND('摊销明细'!F33/3,2)</x:f>
        <x:v>700.33</x:v>
      </x:c>
      <x:c r="G20" s="3" t="n">
        <x:f>ROUND('摊销明细'!G33/3,2)</x:f>
        <x:v>700.33</x:v>
      </x:c>
      <x:c r="H20" s="3" t="n">
        <x:f>ROUND('摊销明细'!H33/3,2)</x:f>
        <x:v>700.33</x:v>
      </x:c>
      <x:c r="I20" s="3" t="n">
        <x:f>ROUND('摊销明细'!I33/3,2)</x:f>
        <x:v>700.33</x:v>
      </x:c>
      <x:c r="J20" s="3" t="n">
        <x:f>ROUND('摊销明细'!J33/3,2)</x:f>
        <x:v>700.33</x:v>
      </x:c>
      <x:c r="K20" s="3" t="n">
        <x:f>ROUND('摊销明细'!K33/3,2)</x:f>
        <x:v>700.33</x:v>
      </x:c>
      <x:c r="L20" s="3" t="n">
        <x:f>ROUND('摊销明细'!L33/3,2)</x:f>
        <x:v>700.33</x:v>
      </x:c>
      <x:c r="M20" s="3" t="n">
        <x:f>ROUND('摊销明细'!M33/3,2)</x:f>
        <x:v>700.33</x:v>
      </x:c>
      <x:c r="N20" s="3" t="n">
        <x:f>ROUND('摊销明细'!N33/3,2)</x:f>
        <x:v>700.33</x:v>
      </x:c>
      <x:c r="O20" s="3" t="n">
        <x:f>SUM(C20:N20)</x:f>
        <x:v>8403.960000000001</x:v>
      </x:c>
      <x:c r="P20" s="2" t="str">
        <x:v>EXP3.020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380.65</x:v>
      </x:c>
      <x:c r="D21" s="3" t="n">
        <x:f>ROUND(D221*D341,2)</x:f>
        <x:v>456.55</x:v>
      </x:c>
      <x:c r="E21" s="3" t="n">
        <x:f>ROUND(E221*E341,2)</x:f>
        <x:v>73.59</x:v>
      </x:c>
      <x:c r="F21" s="3" t="n">
        <x:f>ROUND(F221*F341,2)</x:f>
        <x:v>126.78</x:v>
      </x:c>
      <x:c r="G21" s="3" t="n">
        <x:f>ROUND(G221*G341,2)</x:f>
        <x:v>83.89</x:v>
      </x:c>
      <x:c r="H21" s="3" t="n">
        <x:f>ROUND(H221*H341,2)</x:f>
        <x:v>157.18</x:v>
      </x:c>
      <x:c r="I21" s="3" t="n">
        <x:f>ROUND(I221*I341,2)</x:f>
        <x:v>180.58</x:v>
      </x:c>
      <x:c r="J21" s="3" t="n">
        <x:f>ROUND(J221*J341,2)</x:f>
        <x:v>383.49</x:v>
      </x:c>
      <x:c r="K21" s="3" t="n">
        <x:f>ROUND(K221*K341,2)</x:f>
        <x:v>170.21</x:v>
      </x:c>
      <x:c r="L21" s="3" t="n">
        <x:f>ROUND(L221*L341,2)</x:f>
        <x:v>88.73</x:v>
      </x:c>
      <x:c r="M21" s="3" t="n">
        <x:f>ROUND(M221*M341,2)</x:f>
        <x:v>157.83</x:v>
      </x:c>
      <x:c r="N21" s="3" t="n">
        <x:f>ROUND(N221*N341,2)</x:f>
        <x:v>153.29</x:v>
      </x:c>
      <x:c r="O21" s="3" t="n">
        <x:f>SUM(C21:N21)</x:f>
        <x:v>2412.77</x:v>
      </x:c>
      <x:c r="P21" s="2" t="str">
        <x:v>EXP3.021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103.18</x:v>
      </x:c>
      <x:c r="D22" s="3" t="n">
        <x:f>ROUND(D222*D342,2)</x:f>
        <x:v>303.58</x:v>
      </x:c>
      <x:c r="E22" s="3" t="n">
        <x:f>ROUND(E222*E342,2)</x:f>
        <x:v>196.43</x:v>
      </x:c>
      <x:c r="F22" s="3" t="n">
        <x:f>ROUND(F222*F342,2)</x:f>
        <x:v>217.86</x:v>
      </x:c>
      <x:c r="G22" s="3" t="n">
        <x:f>ROUND(G222*G342,2)</x:f>
        <x:v>146.76</x:v>
      </x:c>
      <x:c r="H22" s="3" t="n">
        <x:f>ROUND(H222*H342,2)</x:f>
        <x:v>400.17</x:v>
      </x:c>
      <x:c r="I22" s="3" t="n">
        <x:f>ROUND(I222*I342,2)</x:f>
        <x:v>46.35</x:v>
      </x:c>
      <x:c r="J22" s="3" t="n">
        <x:f>ROUND(J222*J342,2)</x:f>
        <x:v>75.59</x:v>
      </x:c>
      <x:c r="K22" s="3" t="n">
        <x:f>ROUND(K222*K342,2)</x:f>
        <x:v>386.67</x:v>
      </x:c>
      <x:c r="L22" s="3" t="n">
        <x:f>ROUND(L222*L342,2)</x:f>
        <x:v>288.98</x:v>
      </x:c>
      <x:c r="M22" s="3" t="n">
        <x:f>ROUND(M222*M342,2)</x:f>
        <x:v>251.94</x:v>
      </x:c>
      <x:c r="N22" s="3" t="n">
        <x:f>ROUND(N222*N342,2)</x:f>
        <x:v>153.86</x:v>
      </x:c>
      <x:c r="O22" s="3" t="n">
        <x:f>SUM(C22:N22)</x:f>
        <x:v>2571.37</x:v>
      </x:c>
      <x:c r="P22" s="2" t="str">
        <x:v>EXP3.022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214.24</x:v>
      </x:c>
      <x:c r="D23" s="3" t="n">
        <x:f>ROUND(D223*D343,2)</x:f>
        <x:v>164.97</x:v>
      </x:c>
      <x:c r="E23" s="3" t="n">
        <x:f>ROUND(E223*E343,2)</x:f>
        <x:v>211.36</x:v>
      </x:c>
      <x:c r="F23" s="3" t="n">
        <x:f>ROUND(F223*F343,2)</x:f>
        <x:v>476.82</x:v>
      </x:c>
      <x:c r="G23" s="3" t="n">
        <x:f>ROUND(G223*G343,2)</x:f>
        <x:v>395.35</x:v>
      </x:c>
      <x:c r="H23" s="3" t="n">
        <x:f>ROUND(H223*H343,2)</x:f>
        <x:v>168.98</x:v>
      </x:c>
      <x:c r="I23" s="3" t="n">
        <x:f>ROUND(I223*I343,2)</x:f>
        <x:v>379.15</x:v>
      </x:c>
      <x:c r="J23" s="3" t="n">
        <x:f>ROUND(J223*J343,2)</x:f>
        <x:v>180.13</x:v>
      </x:c>
      <x:c r="K23" s="3" t="n">
        <x:f>ROUND(K223*K343,2)</x:f>
        <x:v>388.59</x:v>
      </x:c>
      <x:c r="L23" s="3" t="n">
        <x:f>ROUND(L223*L343,2)</x:f>
        <x:v>194.55</x:v>
      </x:c>
      <x:c r="M23" s="3" t="n">
        <x:f>ROUND(M223*M343,2)</x:f>
        <x:v>398.99</x:v>
      </x:c>
      <x:c r="N23" s="3" t="n">
        <x:f>ROUND(N223*N343,2)</x:f>
        <x:v>300.52</x:v>
      </x:c>
      <x:c r="O23" s="3" t="n">
        <x:f>SUM(C23:N23)</x:f>
        <x:v>3473.650000000001</x:v>
      </x:c>
      <x:c r="P23" s="2" t="str">
        <x:v>EXP3.023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500.05</x:v>
      </x:c>
      <x:c r="D24" s="3" t="n">
        <x:f>ROUND(D224*D344,2)</x:f>
        <x:v>306.27</x:v>
      </x:c>
      <x:c r="E24" s="3" t="n">
        <x:f>ROUND(E224*E344,2)</x:f>
        <x:v>252.87</x:v>
      </x:c>
      <x:c r="F24" s="3" t="n">
        <x:f>ROUND(F224*F344,2)</x:f>
        <x:v>286.82</x:v>
      </x:c>
      <x:c r="G24" s="3" t="n">
        <x:f>ROUND(G224*G344,2)</x:f>
        <x:v>223.51</x:v>
      </x:c>
      <x:c r="H24" s="3" t="n">
        <x:f>ROUND(H224*H344,2)</x:f>
        <x:v>116.06</x:v>
      </x:c>
      <x:c r="I24" s="3" t="n">
        <x:f>ROUND(I224*I344,2)</x:f>
        <x:v>152.63</x:v>
      </x:c>
      <x:c r="J24" s="3" t="n">
        <x:f>ROUND(J224*J344,2)</x:f>
        <x:v>236.61</x:v>
      </x:c>
      <x:c r="K24" s="3" t="n">
        <x:f>ROUND(K224*K344,2)</x:f>
        <x:v>122.4</x:v>
      </x:c>
      <x:c r="L24" s="3" t="n">
        <x:f>ROUND(L224*L344,2)</x:f>
        <x:v>182.93</x:v>
      </x:c>
      <x:c r="M24" s="3" t="n">
        <x:f>ROUND(M224*M344,2)</x:f>
        <x:v>437.98</x:v>
      </x:c>
      <x:c r="N24" s="3" t="n">
        <x:f>ROUND(N224*N344,2)</x:f>
        <x:v>85.88</x:v>
      </x:c>
      <x:c r="O24" s="3" t="n">
        <x:f>SUM(C24:N24)</x:f>
        <x:v>2904.01</x:v>
      </x:c>
      <x:c r="P24" s="2" t="str">
        <x:v>EXP3.024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241.06</x:v>
      </x:c>
      <x:c r="D25" s="3" t="n">
        <x:f>ROUND(D225*D345,2)</x:f>
        <x:v>495.34</x:v>
      </x:c>
      <x:c r="E25" s="3" t="n">
        <x:f>ROUND(E225*E345,2)</x:f>
        <x:v>255.66</x:v>
      </x:c>
      <x:c r="F25" s="3" t="n">
        <x:f>ROUND(F225*F345,2)</x:f>
        <x:v>364.96</x:v>
      </x:c>
      <x:c r="G25" s="3" t="n">
        <x:f>ROUND(G225*G345,2)</x:f>
        <x:v>398.62</x:v>
      </x:c>
      <x:c r="H25" s="3" t="n">
        <x:f>ROUND(H225*H345,2)</x:f>
        <x:v>131.82</x:v>
      </x:c>
      <x:c r="I25" s="3" t="n">
        <x:f>ROUND(I225*I345,2)</x:f>
        <x:v>499.98</x:v>
      </x:c>
      <x:c r="J25" s="3" t="n">
        <x:f>ROUND(J225*J345,2)</x:f>
        <x:v>167.13</x:v>
      </x:c>
      <x:c r="K25" s="3" t="n">
        <x:f>ROUND(K225*K345,2)</x:f>
        <x:v>216.38</x:v>
      </x:c>
      <x:c r="L25" s="3" t="n">
        <x:f>ROUND(L225*L345,2)</x:f>
        <x:v>401.22</x:v>
      </x:c>
      <x:c r="M25" s="3" t="n">
        <x:f>ROUND(M225*M345,2)</x:f>
        <x:v>294.59</x:v>
      </x:c>
      <x:c r="N25" s="3" t="n">
        <x:f>ROUND(N225*N345,2)</x:f>
        <x:v>44.07</x:v>
      </x:c>
      <x:c r="O25" s="3" t="n">
        <x:f>SUM(C25:N25)</x:f>
        <x:v>3510.8300000000004</x:v>
      </x:c>
      <x:c r="P25" s="2" t="str">
        <x:v>EXP3.025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372.84</x:v>
      </x:c>
      <x:c r="D26" s="3" t="n">
        <x:f>ROUND(D226*D346,2)</x:f>
        <x:v>328.38</x:v>
      </x:c>
      <x:c r="E26" s="3" t="n">
        <x:f>ROUND(E226*E346,2)</x:f>
        <x:v>159.49</x:v>
      </x:c>
      <x:c r="F26" s="3" t="n">
        <x:f>ROUND(F226*F346,2)</x:f>
        <x:v>228.55</x:v>
      </x:c>
      <x:c r="G26" s="3" t="n">
        <x:f>ROUND(G226*G346,2)</x:f>
        <x:v>148.65</x:v>
      </x:c>
      <x:c r="H26" s="3" t="n">
        <x:f>ROUND(H226*H346,2)</x:f>
        <x:v>150.29</x:v>
      </x:c>
      <x:c r="I26" s="3" t="n">
        <x:f>ROUND(I226*I346,2)</x:f>
        <x:v>187.09</x:v>
      </x:c>
      <x:c r="J26" s="3" t="n">
        <x:f>ROUND(J226*J346,2)</x:f>
        <x:v>182.66</x:v>
      </x:c>
      <x:c r="K26" s="3" t="n">
        <x:f>ROUND(K226*K346,2)</x:f>
        <x:v>199.02</x:v>
      </x:c>
      <x:c r="L26" s="3" t="n">
        <x:f>ROUND(L226*L346,2)</x:f>
        <x:v>248.33</x:v>
      </x:c>
      <x:c r="M26" s="3" t="n">
        <x:f>ROUND(M226*M346,2)</x:f>
        <x:v>164.65</x:v>
      </x:c>
      <x:c r="N26" s="3" t="n">
        <x:f>ROUND(N226*N346,2)</x:f>
        <x:v>203.2</x:v>
      </x:c>
      <x:c r="O26" s="3" t="n">
        <x:f>SUM(C26:N26)</x:f>
        <x:v>2573.15</x:v>
      </x:c>
      <x:c r="P26" s="2" t="str">
        <x:v>EXP3.026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157.45</x:v>
      </x:c>
      <x:c r="D27" s="3" t="n">
        <x:f>ROUND(D227*D347,2)</x:f>
        <x:v>305.02</x:v>
      </x:c>
      <x:c r="E27" s="3" t="n">
        <x:f>ROUND(E227*E347,2)</x:f>
        <x:v>189.09</x:v>
      </x:c>
      <x:c r="F27" s="3" t="n">
        <x:f>ROUND(F227*F347,2)</x:f>
        <x:v>296.09</x:v>
      </x:c>
      <x:c r="G27" s="3" t="n">
        <x:f>ROUND(G227*G347,2)</x:f>
        <x:v>513.41</x:v>
      </x:c>
      <x:c r="H27" s="3" t="n">
        <x:f>ROUND(H227*H347,2)</x:f>
        <x:v>178.47</x:v>
      </x:c>
      <x:c r="I27" s="3" t="n">
        <x:f>ROUND(I227*I347,2)</x:f>
        <x:v>271.11</x:v>
      </x:c>
      <x:c r="J27" s="3" t="n">
        <x:f>ROUND(J227*J347,2)</x:f>
        <x:v>183.11</x:v>
      </x:c>
      <x:c r="K27" s="3" t="n">
        <x:f>ROUND(K227*K347,2)</x:f>
        <x:v>235.64</x:v>
      </x:c>
      <x:c r="L27" s="3" t="n">
        <x:f>ROUND(L227*L347,2)</x:f>
        <x:v>175.55</x:v>
      </x:c>
      <x:c r="M27" s="3" t="n">
        <x:f>ROUND(M227*M347,2)</x:f>
        <x:v>73.14</x:v>
      </x:c>
      <x:c r="N27" s="3" t="n">
        <x:f>ROUND(N227*N347,2)</x:f>
        <x:v>398.68</x:v>
      </x:c>
      <x:c r="O27" s="3" t="n">
        <x:f>SUM(C27:N27)</x:f>
        <x:v>2976.7599999999998</x:v>
      </x:c>
      <x:c r="P27" s="2" t="str">
        <x:v>EXP3.027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228.77</x:v>
      </x:c>
      <x:c r="D28" s="3" t="n">
        <x:f>ROUND(D228*D348,2)</x:f>
        <x:v>150.33</x:v>
      </x:c>
      <x:c r="E28" s="3" t="n">
        <x:f>ROUND(E228*E348,2)</x:f>
        <x:v>379.43</x:v>
      </x:c>
      <x:c r="F28" s="3" t="n">
        <x:f>ROUND(F228*F348,2)</x:f>
        <x:v>247.77</x:v>
      </x:c>
      <x:c r="G28" s="3" t="n">
        <x:f>ROUND(G228*G348,2)</x:f>
        <x:v>177.69</x:v>
      </x:c>
      <x:c r="H28" s="3" t="n">
        <x:f>ROUND(H228*H348,2)</x:f>
        <x:v>124.44</x:v>
      </x:c>
      <x:c r="I28" s="3" t="n">
        <x:f>ROUND(I228*I348,2)</x:f>
        <x:v>188.36</x:v>
      </x:c>
      <x:c r="J28" s="3" t="n">
        <x:f>ROUND(J228*J348,2)</x:f>
        <x:v>92.46</x:v>
      </x:c>
      <x:c r="K28" s="3" t="n">
        <x:f>ROUND(K228*K348,2)</x:f>
        <x:v>577.66</x:v>
      </x:c>
      <x:c r="L28" s="3" t="n">
        <x:f>ROUND(L228*L348,2)</x:f>
        <x:v>437.96</x:v>
      </x:c>
      <x:c r="M28" s="3" t="n">
        <x:f>ROUND(M228*M348,2)</x:f>
        <x:v>100.92</x:v>
      </x:c>
      <x:c r="N28" s="3" t="n">
        <x:f>ROUND(N228*N348,2)</x:f>
        <x:v>175.79</x:v>
      </x:c>
      <x:c r="O28" s="3" t="n">
        <x:f>SUM(C28:N28)</x:f>
        <x:v>2881.58</x:v>
      </x:c>
      <x:c r="P28" s="2" t="str">
        <x:v>EXP3.028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EXP3.029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481.65</x:v>
      </x:c>
      <x:c r="D30" s="6" t="n">
        <x:f>ROUND(D230*D350,2)</x:f>
        <x:v>116.77</x:v>
      </x:c>
      <x:c r="E30" s="6" t="n">
        <x:f>ROUND(E230*E350,2)</x:f>
        <x:v>103.13</x:v>
      </x:c>
      <x:c r="F30" s="6" t="n">
        <x:f>ROUND(F230*F350,2)</x:f>
        <x:v>176.99</x:v>
      </x:c>
      <x:c r="G30" s="6" t="n">
        <x:f>ROUND(G230*G350,2)</x:f>
        <x:v>200.69</x:v>
      </x:c>
      <x:c r="H30" s="6" t="n">
        <x:f>ROUND(H230*H350,2)</x:f>
        <x:v>66.8</x:v>
      </x:c>
      <x:c r="I30" s="6" t="n">
        <x:f>ROUND(I230*I350,2)</x:f>
        <x:v>70.16</x:v>
      </x:c>
      <x:c r="J30" s="6" t="n">
        <x:f>ROUND(J230*J350,2)</x:f>
        <x:v>239.43</x:v>
      </x:c>
      <x:c r="K30" s="6" t="n">
        <x:f>ROUND(K230*K350,2)</x:f>
        <x:v>317.55</x:v>
      </x:c>
      <x:c r="L30" s="6" t="n">
        <x:f>ROUND(L230*L350,2)</x:f>
        <x:v>306.18</x:v>
      </x:c>
      <x:c r="M30" s="6" t="n">
        <x:f>ROUND(M230*M350,2)</x:f>
        <x:v>96.03</x:v>
      </x:c>
      <x:c r="N30" s="6" t="n">
        <x:f>ROUND(N230*N350,2)</x:f>
        <x:v>255.31</x:v>
      </x:c>
      <x:c r="O30" s="6" t="n">
        <x:f>SUM(C30:N30)</x:f>
        <x:v>2430.69</x:v>
      </x:c>
      <x:c r="P30" s="2" t="str">
        <x:v>EXP3.030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192.84</x:v>
      </x:c>
      <x:c r="D31" s="3" t="n">
        <x:f>ROUND(D231*D351,2)</x:f>
        <x:v>90.62</x:v>
      </x:c>
      <x:c r="E31" s="3" t="n">
        <x:f>ROUND(E231*E351,2)</x:f>
        <x:v>157.43</x:v>
      </x:c>
      <x:c r="F31" s="3" t="n">
        <x:f>ROUND(F231*F351,2)</x:f>
        <x:v>202.72</x:v>
      </x:c>
      <x:c r="G31" s="3" t="n">
        <x:f>ROUND(G231*G351,2)</x:f>
        <x:v>163.78</x:v>
      </x:c>
      <x:c r="H31" s="3" t="n">
        <x:f>ROUND(H231*H351,2)</x:f>
        <x:v>185.11</x:v>
      </x:c>
      <x:c r="I31" s="3" t="n">
        <x:f>ROUND(I231*I351,2)</x:f>
        <x:v>153.74</x:v>
      </x:c>
      <x:c r="J31" s="3" t="n">
        <x:f>ROUND(J231*J351,2)</x:f>
        <x:v>131.2</x:v>
      </x:c>
      <x:c r="K31" s="3" t="n">
        <x:f>ROUND(K231*K351,2)</x:f>
        <x:v>236.8</x:v>
      </x:c>
      <x:c r="L31" s="3" t="n">
        <x:f>ROUND(L231*L351,2)</x:f>
        <x:v>488.06</x:v>
      </x:c>
      <x:c r="M31" s="3" t="n">
        <x:f>ROUND(M231*M351,2)</x:f>
        <x:v>252.39</x:v>
      </x:c>
      <x:c r="N31" s="3" t="n">
        <x:f>ROUND(N231*N351,2)</x:f>
        <x:v>113.79</x:v>
      </x:c>
      <x:c r="O31" s="3" t="n">
        <x:f>SUM(C31:N31)</x:f>
        <x:v>2368.48</x:v>
      </x:c>
      <x:c r="P31" s="2" t="str">
        <x:v>EXP3.031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165.41</x:v>
      </x:c>
      <x:c r="D32" s="3" t="n">
        <x:f>ROUND(D232*D352,2)</x:f>
        <x:v>182.27</x:v>
      </x:c>
      <x:c r="E32" s="3" t="n">
        <x:f>ROUND(E232*E352,2)</x:f>
        <x:v>297.15</x:v>
      </x:c>
      <x:c r="F32" s="3" t="n">
        <x:f>ROUND(F232*F352,2)</x:f>
        <x:v>157.22</x:v>
      </x:c>
      <x:c r="G32" s="3" t="n">
        <x:f>ROUND(G232*G352,2)</x:f>
        <x:v>143.94</x:v>
      </x:c>
      <x:c r="H32" s="3" t="n">
        <x:f>ROUND(H232*H352,2)</x:f>
        <x:v>148.74</x:v>
      </x:c>
      <x:c r="I32" s="3" t="n">
        <x:f>ROUND(I232*I352,2)</x:f>
        <x:v>91.24</x:v>
      </x:c>
      <x:c r="J32" s="3" t="n">
        <x:f>ROUND(J232*J352,2)</x:f>
        <x:v>323.3</x:v>
      </x:c>
      <x:c r="K32" s="3" t="n">
        <x:f>ROUND(K232*K352,2)</x:f>
        <x:v>311.74</x:v>
      </x:c>
      <x:c r="L32" s="3" t="n">
        <x:f>ROUND(L232*L352,2)</x:f>
        <x:v>196.39</x:v>
      </x:c>
      <x:c r="M32" s="3" t="n">
        <x:f>ROUND(M232*M352,2)</x:f>
        <x:v>547.97</x:v>
      </x:c>
      <x:c r="N32" s="3" t="n">
        <x:f>ROUND(N232*N352,2)</x:f>
        <x:v>329.99</x:v>
      </x:c>
      <x:c r="O32" s="3" t="n">
        <x:f>SUM(C32:N32)</x:f>
        <x:v>2895.3599999999997</x:v>
      </x:c>
      <x:c r="P32" s="2" t="str">
        <x:v>EXP3.032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67.2</x:v>
      </x:c>
      <x:c r="D33" s="3" t="n">
        <x:f>ROUND(D233*D353,2)</x:f>
        <x:v>315.28</x:v>
      </x:c>
      <x:c r="E33" s="3" t="n">
        <x:f>ROUND(E233*E353,2)</x:f>
        <x:v>181.96</x:v>
      </x:c>
      <x:c r="F33" s="3" t="n">
        <x:f>ROUND(F233*F353,2)</x:f>
        <x:v>372.15</x:v>
      </x:c>
      <x:c r="G33" s="3" t="n">
        <x:f>ROUND(G233*G353,2)</x:f>
        <x:v>292.18</x:v>
      </x:c>
      <x:c r="H33" s="3" t="n">
        <x:f>ROUND(H233*H353,2)</x:f>
        <x:v>204.18</x:v>
      </x:c>
      <x:c r="I33" s="3" t="n">
        <x:f>ROUND(I233*I353,2)</x:f>
        <x:v>183.66</x:v>
      </x:c>
      <x:c r="J33" s="3" t="n">
        <x:f>ROUND(J233*J353,2)</x:f>
        <x:v>213.32</x:v>
      </x:c>
      <x:c r="K33" s="3" t="n">
        <x:f>ROUND(K233*K353,2)</x:f>
        <x:v>314.39</x:v>
      </x:c>
      <x:c r="L33" s="3" t="n">
        <x:f>ROUND(L233*L353,2)</x:f>
        <x:v>462.48</x:v>
      </x:c>
      <x:c r="M33" s="3" t="n">
        <x:f>ROUND(M233*M353,2)</x:f>
        <x:v>201.83</x:v>
      </x:c>
      <x:c r="N33" s="3" t="n">
        <x:f>ROUND(N233*N353,2)</x:f>
        <x:v>420.67</x:v>
      </x:c>
      <x:c r="O33" s="3" t="n">
        <x:f>SUM(C33:N33)</x:f>
        <x:v>3229.3</x:v>
      </x:c>
      <x:c r="P33" s="2" t="str">
        <x:v>EXP3.033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7301.330000000001</x:v>
      </x:c>
      <x:c r="D34" s="3" t="n">
        <x:f>SUM(D4:D33)</x:f>
        <x:v>8318.37</x:v>
      </x:c>
      <x:c r="E34" s="3" t="n">
        <x:f>SUM(E4:E33)</x:f>
        <x:v>6900.31</x:v>
      </x:c>
      <x:c r="F34" s="3" t="n">
        <x:f>SUM(F4:F33)</x:f>
        <x:v>8002.609999999999</x:v>
      </x:c>
      <x:c r="G34" s="3" t="n">
        <x:f>SUM(G4:G33)</x:f>
        <x:v>7297.45</x:v>
      </x:c>
      <x:c r="H34" s="3" t="n">
        <x:f>SUM(H4:H33)</x:f>
        <x:v>6454.45</x:v>
      </x:c>
      <x:c r="I34" s="3" t="n">
        <x:f>SUM(I4:I33)</x:f>
        <x:v>6087.769999999999</x:v>
      </x:c>
      <x:c r="J34" s="3" t="n">
        <x:f>SUM(J4:J33)</x:f>
        <x:v>6434.4</x:v>
      </x:c>
      <x:c r="K34" s="3" t="n">
        <x:f>SUM(K4:K33)</x:f>
        <x:v>7292.85</x:v>
      </x:c>
      <x:c r="L34" s="3" t="n">
        <x:f>SUM(L4:L33)</x:f>
        <x:v>7423.880000000001</x:v>
      </x:c>
      <x:c r="M34" s="3" t="n">
        <x:f>SUM(M4:M33)</x:f>
        <x:v>7799.07</x:v>
      </x:c>
      <x:c r="N34" s="3" t="n">
        <x:f>SUM(N4:N33)</x:f>
        <x:v>7412.150000000001</x:v>
      </x:c>
      <x:c r="O34" s="3" t="n">
        <x:f>SUM(C34:N34)</x:f>
        <x:v>86724.63999999998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48.95</x:v>
      </x:c>
      <x:c r="D204" s="4" t="n">
        <x:v>22.15</x:v>
      </x:c>
      <x:c r="E204" s="4" t="n">
        <x:v>58.32</x:v>
      </x:c>
      <x:c r="F204" s="4" t="n">
        <x:v>29.48</x:v>
      </x:c>
      <x:c r="G204" s="4" t="n">
        <x:v>64.91</x:v>
      </x:c>
      <x:c r="H204" s="4" t="n">
        <x:v>37.26</x:v>
      </x:c>
      <x:c r="I204" s="4" t="n">
        <x:v>28.69</x:v>
      </x:c>
      <x:c r="J204" s="4" t="n">
        <x:v>23.15</x:v>
      </x:c>
      <x:c r="K204" s="4" t="n">
        <x:v>61.62</x:v>
      </x:c>
      <x:c r="L204" s="4" t="n">
        <x:v>34.94</x:v>
      </x:c>
      <x:c r="M204" s="4" t="n">
        <x:v>35.55</x:v>
      </x:c>
      <x:c r="N204" s="4" t="n">
        <x:v>40.68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21.74</x:v>
      </x:c>
      <x:c r="D205" s="4" t="n">
        <x:v>60.69</x:v>
      </x:c>
      <x:c r="E205" s="4" t="n">
        <x:v>44.93</x:v>
      </x:c>
      <x:c r="F205" s="4" t="n">
        <x:v>62.18</x:v>
      </x:c>
      <x:c r="G205" s="4" t="n">
        <x:v>48.41</x:v>
      </x:c>
      <x:c r="H205" s="4" t="n">
        <x:v>36.08</x:v>
      </x:c>
      <x:c r="I205" s="4" t="n">
        <x:v>45.85</x:v>
      </x:c>
      <x:c r="J205" s="4" t="n">
        <x:v>25.57</x:v>
      </x:c>
      <x:c r="K205" s="4" t="n">
        <x:v>34.79</x:v>
      </x:c>
      <x:c r="L205" s="4" t="n">
        <x:v>54.34</x:v>
      </x:c>
      <x:c r="M205" s="4" t="n">
        <x:v>50.07</x:v>
      </x:c>
      <x:c r="N205" s="4" t="n">
        <x:v>26.16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29.38</x:v>
      </x:c>
      <x:c r="D206" s="4" t="n">
        <x:v>53.07</x:v>
      </x:c>
      <x:c r="E206" s="4" t="n">
        <x:v>34.61</x:v>
      </x:c>
      <x:c r="F206" s="4" t="n">
        <x:v>57.91</x:v>
      </x:c>
      <x:c r="G206" s="4" t="n">
        <x:v>48.66</x:v>
      </x:c>
      <x:c r="H206" s="4" t="n">
        <x:v>61.19</x:v>
      </x:c>
      <x:c r="I206" s="4" t="n">
        <x:v>60.27</x:v>
      </x:c>
      <x:c r="J206" s="4" t="n">
        <x:v>55.58</x:v>
      </x:c>
      <x:c r="K206" s="4" t="n">
        <x:v>21.65</x:v>
      </x:c>
      <x:c r="L206" s="4" t="n">
        <x:v>42.31</x:v>
      </x:c>
      <x:c r="M206" s="4" t="n">
        <x:v>17.8</x:v>
      </x:c>
      <x:c r="N206" s="4" t="n">
        <x:v>53.99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36.43</x:v>
      </x:c>
      <x:c r="D207" s="4" t="n">
        <x:v>24.17</x:v>
      </x:c>
      <x:c r="E207" s="4" t="n">
        <x:v>63.72</x:v>
      </x:c>
      <x:c r="F207" s="4" t="n">
        <x:v>37.18</x:v>
      </x:c>
      <x:c r="G207" s="4" t="n">
        <x:v>54.44</x:v>
      </x:c>
      <x:c r="H207" s="4" t="n">
        <x:v>59.93</x:v>
      </x:c>
      <x:c r="I207" s="4" t="n">
        <x:v>29.61</x:v>
      </x:c>
      <x:c r="J207" s="4" t="n">
        <x:v>28.24</x:v>
      </x:c>
      <x:c r="K207" s="4" t="n">
        <x:v>59.24</x:v>
      </x:c>
      <x:c r="L207" s="4" t="n">
        <x:v>31.26</x:v>
      </x:c>
      <x:c r="M207" s="4" t="n">
        <x:v>60.07</x:v>
      </x:c>
      <x:c r="N207" s="4" t="n">
        <x:v>62.82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28.31</x:v>
      </x:c>
      <x:c r="D208" s="4" t="n">
        <x:v>41.11</x:v>
      </x:c>
      <x:c r="E208" s="4" t="n">
        <x:v>64.74</x:v>
      </x:c>
      <x:c r="F208" s="4" t="n">
        <x:v>53.88</x:v>
      </x:c>
      <x:c r="G208" s="4" t="n">
        <x:v>67.46</x:v>
      </x:c>
      <x:c r="H208" s="4" t="n">
        <x:v>28.13</x:v>
      </x:c>
      <x:c r="I208" s="4" t="n">
        <x:v>48.82</x:v>
      </x:c>
      <x:c r="J208" s="4" t="n">
        <x:v>58.61</x:v>
      </x:c>
      <x:c r="K208" s="4" t="n">
        <x:v>24.27</x:v>
      </x:c>
      <x:c r="L208" s="4" t="n">
        <x:v>27.19</x:v>
      </x:c>
      <x:c r="M208" s="4" t="n">
        <x:v>67.6</x:v>
      </x:c>
      <x:c r="N208" s="4" t="n">
        <x:v>28.01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49.07</x:v>
      </x:c>
      <x:c r="D209" s="4" t="n">
        <x:v>28.12</x:v>
      </x:c>
      <x:c r="E209" s="4" t="n">
        <x:v>59.53</x:v>
      </x:c>
      <x:c r="F209" s="4" t="n">
        <x:v>60.87</x:v>
      </x:c>
      <x:c r="G209" s="4" t="n">
        <x:v>24.5</x:v>
      </x:c>
      <x:c r="H209" s="4" t="n">
        <x:v>31.42</x:v>
      </x:c>
      <x:c r="I209" s="4" t="n">
        <x:v>39.78</x:v>
      </x:c>
      <x:c r="J209" s="4" t="n">
        <x:v>35.19</x:v>
      </x:c>
      <x:c r="K209" s="4" t="n">
        <x:v>54.11</x:v>
      </x:c>
      <x:c r="L209" s="4" t="n">
        <x:v>18.09</x:v>
      </x:c>
      <x:c r="M209" s="4" t="n">
        <x:v>60.46</x:v>
      </x:c>
      <x:c r="N209" s="4" t="n">
        <x:v>62.61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66.51</x:v>
      </x:c>
      <x:c r="D210" s="4" t="n">
        <x:v>61.7</x:v>
      </x:c>
      <x:c r="E210" s="4" t="n">
        <x:v>54</x:v>
      </x:c>
      <x:c r="F210" s="4" t="n">
        <x:v>44.57</x:v>
      </x:c>
      <x:c r="G210" s="4" t="n">
        <x:v>28.85</x:v>
      </x:c>
      <x:c r="H210" s="4" t="n">
        <x:v>18.68</x:v>
      </x:c>
      <x:c r="I210" s="4" t="n">
        <x:v>36.35</x:v>
      </x:c>
      <x:c r="J210" s="4" t="n">
        <x:v>55.91</x:v>
      </x:c>
      <x:c r="K210" s="4" t="n">
        <x:v>24.57</x:v>
      </x:c>
      <x:c r="L210" s="4" t="n">
        <x:v>31.14</x:v>
      </x:c>
      <x:c r="M210" s="4" t="n">
        <x:v>60.42</x:v>
      </x:c>
      <x:c r="N210" s="4" t="n">
        <x:v>67.44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57.07</x:v>
      </x:c>
      <x:c r="D211" s="4" t="n">
        <x:v>21.44</x:v>
      </x:c>
      <x:c r="E211" s="4" t="n">
        <x:v>48.53</x:v>
      </x:c>
      <x:c r="F211" s="4" t="n">
        <x:v>23.9</x:v>
      </x:c>
      <x:c r="G211" s="4" t="n">
        <x:v>27.09</x:v>
      </x:c>
      <x:c r="H211" s="4" t="n">
        <x:v>33.21</x:v>
      </x:c>
      <x:c r="I211" s="4" t="n">
        <x:v>20.25</x:v>
      </x:c>
      <x:c r="J211" s="4" t="n">
        <x:v>24.94</x:v>
      </x:c>
      <x:c r="K211" s="4" t="n">
        <x:v>56.36</x:v>
      </x:c>
      <x:c r="L211" s="4" t="n">
        <x:v>22.2</x:v>
      </x:c>
      <x:c r="M211" s="4" t="n">
        <x:v>66.24</x:v>
      </x:c>
      <x:c r="N211" s="4" t="n">
        <x:v>32.97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42.72</x:v>
      </x:c>
      <x:c r="D212" s="4" t="n">
        <x:v>18.1</x:v>
      </x:c>
      <x:c r="E212" s="4" t="n">
        <x:v>27.69</x:v>
      </x:c>
      <x:c r="F212" s="4" t="n">
        <x:v>46.52</x:v>
      </x:c>
      <x:c r="G212" s="4" t="n">
        <x:v>26.3</x:v>
      </x:c>
      <x:c r="H212" s="4" t="n">
        <x:v>38.33</x:v>
      </x:c>
      <x:c r="I212" s="4" t="n">
        <x:v>22.79</x:v>
      </x:c>
      <x:c r="J212" s="4" t="n">
        <x:v>39.74</x:v>
      </x:c>
      <x:c r="K212" s="4" t="n">
        <x:v>39.9</x:v>
      </x:c>
      <x:c r="L212" s="4" t="n">
        <x:v>29.4</x:v>
      </x:c>
      <x:c r="M212" s="4" t="n">
        <x:v>20.03</x:v>
      </x:c>
      <x:c r="N212" s="4" t="n">
        <x:v>45.25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60.74</x:v>
      </x:c>
      <x:c r="D213" s="4" t="n">
        <x:v>60.24</x:v>
      </x:c>
      <x:c r="E213" s="4" t="n">
        <x:v>33.67</x:v>
      </x:c>
      <x:c r="F213" s="4" t="n">
        <x:v>25.67</x:v>
      </x:c>
      <x:c r="G213" s="4" t="n">
        <x:v>24.61</x:v>
      </x:c>
      <x:c r="H213" s="4" t="n">
        <x:v>47.29</x:v>
      </x:c>
      <x:c r="I213" s="4" t="n">
        <x:v>41.23</x:v>
      </x:c>
      <x:c r="J213" s="4" t="n">
        <x:v>18.4</x:v>
      </x:c>
      <x:c r="K213" s="4" t="n">
        <x:v>21.23</x:v>
      </x:c>
      <x:c r="L213" s="4" t="n">
        <x:v>52.24</x:v>
      </x:c>
      <x:c r="M213" s="4" t="n">
        <x:v>27.16</x:v>
      </x:c>
      <x:c r="N213" s="4" t="n">
        <x:v>28.8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24.67</x:v>
      </x:c>
      <x:c r="D214" s="4" t="n">
        <x:v>34.47</x:v>
      </x:c>
      <x:c r="E214" s="4" t="n">
        <x:v>24.88</x:v>
      </x:c>
      <x:c r="F214" s="4" t="n">
        <x:v>45.88</x:v>
      </x:c>
      <x:c r="G214" s="4" t="n">
        <x:v>43.32</x:v>
      </x:c>
      <x:c r="H214" s="4" t="n">
        <x:v>59.85</x:v>
      </x:c>
      <x:c r="I214" s="4" t="n">
        <x:v>19.38</x:v>
      </x:c>
      <x:c r="J214" s="4" t="n">
        <x:v>20.65</x:v>
      </x:c>
      <x:c r="K214" s="4" t="n">
        <x:v>60.73</x:v>
      </x:c>
      <x:c r="L214" s="4" t="n">
        <x:v>57.67</x:v>
      </x:c>
      <x:c r="M214" s="4" t="n">
        <x:v>27.8</x:v>
      </x:c>
      <x:c r="N214" s="4" t="n">
        <x:v>27.23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55.28</x:v>
      </x:c>
      <x:c r="D215" s="4" t="n">
        <x:v>38.36</x:v>
      </x:c>
      <x:c r="E215" s="4" t="n">
        <x:v>35.6</x:v>
      </x:c>
      <x:c r="F215" s="4" t="n">
        <x:v>37.85</x:v>
      </x:c>
      <x:c r="G215" s="4" t="n">
        <x:v>37.81</x:v>
      </x:c>
      <x:c r="H215" s="4" t="n">
        <x:v>67.03</x:v>
      </x:c>
      <x:c r="I215" s="4" t="n">
        <x:v>55.03</x:v>
      </x:c>
      <x:c r="J215" s="4" t="n">
        <x:v>46.01</x:v>
      </x:c>
      <x:c r="K215" s="4" t="n">
        <x:v>32.81</x:v>
      </x:c>
      <x:c r="L215" s="4" t="n">
        <x:v>34.9</x:v>
      </x:c>
      <x:c r="M215" s="4" t="n">
        <x:v>55.69</x:v>
      </x:c>
      <x:c r="N215" s="4" t="n">
        <x:v>56.71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35.53</x:v>
      </x:c>
      <x:c r="D216" s="4" t="n">
        <x:v>65.81</x:v>
      </x:c>
      <x:c r="E216" s="4" t="n">
        <x:v>27.97</x:v>
      </x:c>
      <x:c r="F216" s="4" t="n">
        <x:v>67.76</x:v>
      </x:c>
      <x:c r="G216" s="4" t="n">
        <x:v>22.81</x:v>
      </x:c>
      <x:c r="H216" s="4" t="n">
        <x:v>37.51</x:v>
      </x:c>
      <x:c r="I216" s="4" t="n">
        <x:v>37.21</x:v>
      </x:c>
      <x:c r="J216" s="4" t="n">
        <x:v>51.67</x:v>
      </x:c>
      <x:c r="K216" s="4" t="n">
        <x:v>17.67</x:v>
      </x:c>
      <x:c r="L216" s="4" t="n">
        <x:v>47.41</x:v>
      </x:c>
      <x:c r="M216" s="4" t="n">
        <x:v>47.28</x:v>
      </x:c>
      <x:c r="N216" s="4" t="n">
        <x:v>34.21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37.13</x:v>
      </x:c>
      <x:c r="D217" s="4" t="n">
        <x:v>58.89</x:v>
      </x:c>
      <x:c r="E217" s="4" t="n">
        <x:v>51.98</x:v>
      </x:c>
      <x:c r="F217" s="4" t="n">
        <x:v>63.41</x:v>
      </x:c>
      <x:c r="G217" s="4" t="n">
        <x:v>38.73</x:v>
      </x:c>
      <x:c r="H217" s="4" t="n">
        <x:v>20.15</x:v>
      </x:c>
      <x:c r="I217" s="4" t="n">
        <x:v>21.73</x:v>
      </x:c>
      <x:c r="J217" s="4" t="n">
        <x:v>43.03</x:v>
      </x:c>
      <x:c r="K217" s="4" t="n">
        <x:v>59.41</x:v>
      </x:c>
      <x:c r="L217" s="4" t="n">
        <x:v>48.48</x:v>
      </x:c>
      <x:c r="M217" s="4" t="n">
        <x:v>56.95</x:v>
      </x:c>
      <x:c r="N217" s="4" t="n">
        <x:v>66.04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18.04</x:v>
      </x:c>
      <x:c r="D218" s="4" t="n">
        <x:v>59.07</x:v>
      </x:c>
      <x:c r="E218" s="4" t="n">
        <x:v>52.42</x:v>
      </x:c>
      <x:c r="F218" s="4" t="n">
        <x:v>56.26</x:v>
      </x:c>
      <x:c r="G218" s="4" t="n">
        <x:v>48.66</x:v>
      </x:c>
      <x:c r="H218" s="4" t="n">
        <x:v>36.84</x:v>
      </x:c>
      <x:c r="I218" s="4" t="n">
        <x:v>58.75</x:v>
      </x:c>
      <x:c r="J218" s="4" t="n">
        <x:v>58.81</x:v>
      </x:c>
      <x:c r="K218" s="4" t="n">
        <x:v>58.51</x:v>
      </x:c>
      <x:c r="L218" s="4" t="n">
        <x:v>19.07</x:v>
      </x:c>
      <x:c r="M218" s="4" t="n">
        <x:v>48.88</x:v>
      </x:c>
      <x:c r="N218" s="4" t="n">
        <x:v>36.47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29.31</x:v>
      </x:c>
      <x:c r="D219" s="4" t="n">
        <x:v>61.79</x:v>
      </x:c>
      <x:c r="E219" s="4" t="n">
        <x:v>23.22</x:v>
      </x:c>
      <x:c r="F219" s="4" t="n">
        <x:v>38.67</x:v>
      </x:c>
      <x:c r="G219" s="4" t="n">
        <x:v>44.61</x:v>
      </x:c>
      <x:c r="H219" s="4" t="n">
        <x:v>20.36</x:v>
      </x:c>
      <x:c r="I219" s="4" t="n">
        <x:v>27.26</x:v>
      </x:c>
      <x:c r="J219" s="4" t="n">
        <x:v>20.99</x:v>
      </x:c>
      <x:c r="K219" s="4" t="n">
        <x:v>17.52</x:v>
      </x:c>
      <x:c r="L219" s="4" t="n">
        <x:v>56.9</x:v>
      </x:c>
      <x:c r="M219" s="4" t="n">
        <x:v>60.25</x:v>
      </x:c>
      <x:c r="N219" s="4" t="n">
        <x:v>35.17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60.04</x:v>
      </x:c>
      <x:c r="D221" s="4" t="n">
        <x:v>60.47</x:v>
      </x:c>
      <x:c r="E221" s="4" t="n">
        <x:v>23.14</x:v>
      </x:c>
      <x:c r="F221" s="4" t="n">
        <x:v>21.06</x:v>
      </x:c>
      <x:c r="G221" s="4" t="n">
        <x:v>33.16</x:v>
      </x:c>
      <x:c r="H221" s="4" t="n">
        <x:v>38.15</x:v>
      </x:c>
      <x:c r="I221" s="4" t="n">
        <x:v>39.6</x:v>
      </x:c>
      <x:c r="J221" s="4" t="n">
        <x:v>55.02</x:v>
      </x:c>
      <x:c r="K221" s="4" t="n">
        <x:v>21.17</x:v>
      </x:c>
      <x:c r="L221" s="4" t="n">
        <x:v>37.92</x:v>
      </x:c>
      <x:c r="M221" s="4" t="n">
        <x:v>54.05</x:v>
      </x:c>
      <x:c r="N221" s="4" t="n">
        <x:v>26.66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20.93</x:v>
      </x:c>
      <x:c r="D222" s="4" t="n">
        <x:v>38.97</x:v>
      </x:c>
      <x:c r="E222" s="4" t="n">
        <x:v>37.92</x:v>
      </x:c>
      <x:c r="F222" s="4" t="n">
        <x:v>31.62</x:v>
      </x:c>
      <x:c r="G222" s="4" t="n">
        <x:v>49.25</x:v>
      </x:c>
      <x:c r="H222" s="4" t="n">
        <x:v>53.57</x:v>
      </x:c>
      <x:c r="I222" s="4" t="n">
        <x:v>21.26</x:v>
      </x:c>
      <x:c r="J222" s="4" t="n">
        <x:v>30.48</x:v>
      </x:c>
      <x:c r="K222" s="4" t="n">
        <x:v>57.2</x:v>
      </x:c>
      <x:c r="L222" s="4" t="n">
        <x:v>41.7</x:v>
      </x:c>
      <x:c r="M222" s="4" t="n">
        <x:v>58.05</x:v>
      </x:c>
      <x:c r="N222" s="4" t="n">
        <x:v>23.49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34.95</x:v>
      </x:c>
      <x:c r="D223" s="4" t="n">
        <x:v>28.69</x:v>
      </x:c>
      <x:c r="E223" s="4" t="n">
        <x:v>24.52</x:v>
      </x:c>
      <x:c r="F223" s="4" t="n">
        <x:v>58.65</x:v>
      </x:c>
      <x:c r="G223" s="4" t="n">
        <x:v>53.21</x:v>
      </x:c>
      <x:c r="H223" s="4" t="n">
        <x:v>35.65</x:v>
      </x:c>
      <x:c r="I223" s="4" t="n">
        <x:v>48.86</x:v>
      </x:c>
      <x:c r="J223" s="4" t="n">
        <x:v>47.78</x:v>
      </x:c>
      <x:c r="K223" s="4" t="n">
        <x:v>46.65</x:v>
      </x:c>
      <x:c r="L223" s="4" t="n">
        <x:v>31.79</x:v>
      </x:c>
      <x:c r="M223" s="4" t="n">
        <x:v>51.75</x:v>
      </x:c>
      <x:c r="N223" s="4" t="n">
        <x:v>44.72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58.76</x:v>
      </x:c>
      <x:c r="D224" s="4" t="n">
        <x:v>45.78</x:v>
      </x:c>
      <x:c r="E224" s="4" t="n">
        <x:v>40.33</x:v>
      </x:c>
      <x:c r="F224" s="4" t="n">
        <x:v>62.9</x:v>
      </x:c>
      <x:c r="G224" s="4" t="n">
        <x:v>52.59</x:v>
      </x:c>
      <x:c r="H224" s="4" t="n">
        <x:v>22.58</x:v>
      </x:c>
      <x:c r="I224" s="4" t="n">
        <x:v>21.93</x:v>
      </x:c>
      <x:c r="J224" s="4" t="n">
        <x:v>61.14</x:v>
      </x:c>
      <x:c r="K224" s="4" t="n">
        <x:v>55.89</x:v>
      </x:c>
      <x:c r="L224" s="4" t="n">
        <x:v>32.32</x:v>
      </x:c>
      <x:c r="M224" s="4" t="n">
        <x:v>55.37</x:v>
      </x:c>
      <x:c r="N224" s="4" t="n">
        <x:v>22.19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52.29</x:v>
      </x:c>
      <x:c r="D225" s="4" t="n">
        <x:v>58.69</x:v>
      </x:c>
      <x:c r="E225" s="4" t="n">
        <x:v>49.26</x:v>
      </x:c>
      <x:c r="F225" s="4" t="n">
        <x:v>54.31</x:v>
      </x:c>
      <x:c r="G225" s="4" t="n">
        <x:v>49.89</x:v>
      </x:c>
      <x:c r="H225" s="4" t="n">
        <x:v>21.33</x:v>
      </x:c>
      <x:c r="I225" s="4" t="n">
        <x:v>58.07</x:v>
      </x:c>
      <x:c r="J225" s="4" t="n">
        <x:v>64.78</x:v>
      </x:c>
      <x:c r="K225" s="4" t="n">
        <x:v>26.88</x:v>
      </x:c>
      <x:c r="L225" s="4" t="n">
        <x:v>55.57</x:v>
      </x:c>
      <x:c r="M225" s="4" t="n">
        <x:v>50.1</x:v>
      </x:c>
      <x:c r="N225" s="4" t="n">
        <x:v>17.42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54.83</x:v>
      </x:c>
      <x:c r="D226" s="4" t="n">
        <x:v>54.01</x:v>
      </x:c>
      <x:c r="E226" s="4" t="n">
        <x:v>24.96</x:v>
      </x:c>
      <x:c r="F226" s="4" t="n">
        <x:v>59.21</x:v>
      </x:c>
      <x:c r="G226" s="4" t="n">
        <x:v>18.15</x:v>
      </x:c>
      <x:c r="H226" s="4" t="n">
        <x:v>21.94</x:v>
      </x:c>
      <x:c r="I226" s="4" t="n">
        <x:v>45.3</x:v>
      </x:c>
      <x:c r="J226" s="4" t="n">
        <x:v>45.55</x:v>
      </x:c>
      <x:c r="K226" s="4" t="n">
        <x:v>26.5</x:v>
      </x:c>
      <x:c r="L226" s="4" t="n">
        <x:v>39.67</x:v>
      </x:c>
      <x:c r="M226" s="4" t="n">
        <x:v>20.53</x:v>
      </x:c>
      <x:c r="N226" s="4" t="n">
        <x:v>24.75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54.67</x:v>
      </x:c>
      <x:c r="D227" s="4" t="n">
        <x:v>36.14</x:v>
      </x:c>
      <x:c r="E227" s="4" t="n">
        <x:v>46.12</x:v>
      </x:c>
      <x:c r="F227" s="4" t="n">
        <x:v>61.43</x:v>
      </x:c>
      <x:c r="G227" s="4" t="n">
        <x:v>66.85</x:v>
      </x:c>
      <x:c r="H227" s="4" t="n">
        <x:v>24.65</x:v>
      </x:c>
      <x:c r="I227" s="4" t="n">
        <x:v>36.1</x:v>
      </x:c>
      <x:c r="J227" s="4" t="n">
        <x:v>48.06</x:v>
      </x:c>
      <x:c r="K227" s="4" t="n">
        <x:v>40.35</x:v>
      </x:c>
      <x:c r="L227" s="4" t="n">
        <x:v>22.42</x:v>
      </x:c>
      <x:c r="M227" s="4" t="n">
        <x:v>28.13</x:v>
      </x:c>
      <x:c r="N227" s="4" t="n">
        <x:v>56.63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31.21</x:v>
      </x:c>
      <x:c r="D228" s="4" t="n">
        <x:v>18.31</x:v>
      </x:c>
      <x:c r="E228" s="4" t="n">
        <x:v>47.37</x:v>
      </x:c>
      <x:c r="F228" s="4" t="n">
        <x:v>42.21</x:v>
      </x:c>
      <x:c r="G228" s="4" t="n">
        <x:v>41.42</x:v>
      </x:c>
      <x:c r="H228" s="4" t="n">
        <x:v>18.49</x:v>
      </x:c>
      <x:c r="I228" s="4" t="n">
        <x:v>66.56</x:v>
      </x:c>
      <x:c r="J228" s="4" t="n">
        <x:v>38.85</x:v>
      </x:c>
      <x:c r="K228" s="4" t="n">
        <x:v>65.42</x:v>
      </x:c>
      <x:c r="L228" s="4" t="n">
        <x:v>55.72</x:v>
      </x:c>
      <x:c r="M228" s="4" t="n">
        <x:v>26.01</x:v>
      </x:c>
      <x:c r="N228" s="4" t="n">
        <x:v>53.11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65.71</x:v>
      </x:c>
      <x:c r="D230" s="4" t="n">
        <x:v>30.25</x:v>
      </x:c>
      <x:c r="E230" s="4" t="n">
        <x:v>17.45</x:v>
      </x:c>
      <x:c r="F230" s="4" t="n">
        <x:v>56.91</x:v>
      </x:c>
      <x:c r="G230" s="4" t="n">
        <x:v>36.16</x:v>
      </x:c>
      <x:c r="H230" s="4" t="n">
        <x:v>24.74</x:v>
      </x:c>
      <x:c r="I230" s="4" t="n">
        <x:v>28.29</x:v>
      </x:c>
      <x:c r="J230" s="4" t="n">
        <x:v>57.28</x:v>
      </x:c>
      <x:c r="K230" s="4" t="n">
        <x:v>55.71</x:v>
      </x:c>
      <x:c r="L230" s="4" t="n">
        <x:v>62.87</x:v>
      </x:c>
      <x:c r="M230" s="4" t="n">
        <x:v>27.05</x:v>
      </x:c>
      <x:c r="N230" s="4" t="n">
        <x:v>51.37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35.19</x:v>
      </x:c>
      <x:c r="D231" s="4" t="n">
        <x:v>23</x:v>
      </x:c>
      <x:c r="E231" s="4" t="n">
        <x:v>59.86</x:v>
      </x:c>
      <x:c r="F231" s="4" t="n">
        <x:v>26.43</x:v>
      </x:c>
      <x:c r="G231" s="4" t="n">
        <x:v>61.57</x:v>
      </x:c>
      <x:c r="H231" s="4" t="n">
        <x:v>29.43</x:v>
      </x:c>
      <x:c r="I231" s="4" t="n">
        <x:v>28.47</x:v>
      </x:c>
      <x:c r="J231" s="4" t="n">
        <x:v>31.09</x:v>
      </x:c>
      <x:c r="K231" s="4" t="n">
        <x:v>34.62</x:v>
      </x:c>
      <x:c r="L231" s="4" t="n">
        <x:v>55.97</x:v>
      </x:c>
      <x:c r="M231" s="4" t="n">
        <x:v>35.25</x:v>
      </x:c>
      <x:c r="N231" s="4" t="n">
        <x:v>22.01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30.35</x:v>
      </x:c>
      <x:c r="D232" s="4" t="n">
        <x:v>25.35</x:v>
      </x:c>
      <x:c r="E232" s="4" t="n">
        <x:v>40.65</x:v>
      </x:c>
      <x:c r="F232" s="4" t="n">
        <x:v>25.44</x:v>
      </x:c>
      <x:c r="G232" s="4" t="n">
        <x:v>44.84</x:v>
      </x:c>
      <x:c r="H232" s="4" t="n">
        <x:v>30.17</x:v>
      </x:c>
      <x:c r="I232" s="4" t="n">
        <x:v>17.58</x:v>
      </x:c>
      <x:c r="J232" s="4" t="n">
        <x:v>59.43</x:v>
      </x:c>
      <x:c r="K232" s="4" t="n">
        <x:v>38.63</x:v>
      </x:c>
      <x:c r="L232" s="4" t="n">
        <x:v>23.05</x:v>
      </x:c>
      <x:c r="M232" s="4" t="n">
        <x:v>66.42</x:v>
      </x:c>
      <x:c r="N232" s="4" t="n">
        <x:v>67.62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18.77</x:v>
      </x:c>
      <x:c r="D233" s="4" t="n">
        <x:v>55.9</x:v>
      </x:c>
      <x:c r="E233" s="4" t="n">
        <x:v>28.7</x:v>
      </x:c>
      <x:c r="F233" s="4" t="n">
        <x:v>42.58</x:v>
      </x:c>
      <x:c r="G233" s="4" t="n">
        <x:v>44.95</x:v>
      </x:c>
      <x:c r="H233" s="4" t="n">
        <x:v>31.46</x:v>
      </x:c>
      <x:c r="I233" s="4" t="n">
        <x:v>23.79</x:v>
      </x:c>
      <x:c r="J233" s="4" t="n">
        <x:v>50.43</x:v>
      </x:c>
      <x:c r="K233" s="4" t="n">
        <x:v>67.61</x:v>
      </x:c>
      <x:c r="L233" s="4" t="n">
        <x:v>58.1</x:v>
      </x:c>
      <x:c r="M233" s="4" t="n">
        <x:v>31.05</x:v>
      </x:c>
      <x:c r="N233" s="4" t="n">
        <x:v>54.42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2.22</x:v>
      </x:c>
      <x:c r="D324" s="4" t="n">
        <x:v>6.25</x:v>
      </x:c>
      <x:c r="E324" s="4" t="n">
        <x:v>4.05</x:v>
      </x:c>
      <x:c r="F324" s="4" t="n">
        <x:v>6.24</x:v>
      </x:c>
      <x:c r="G324" s="4" t="n">
        <x:v>7.56</x:v>
      </x:c>
      <x:c r="H324" s="4" t="n">
        <x:v>3.49</x:v>
      </x:c>
      <x:c r="I324" s="4" t="n">
        <x:v>5.82</x:v>
      </x:c>
      <x:c r="J324" s="4" t="n">
        <x:v>5.49</x:v>
      </x:c>
      <x:c r="K324" s="4" t="n">
        <x:v>8.02</x:v>
      </x:c>
      <x:c r="L324" s="4" t="n">
        <x:v>6.28</x:v>
      </x:c>
      <x:c r="M324" s="4" t="n">
        <x:v>6.46</x:v>
      </x:c>
      <x:c r="N324" s="4" t="n">
        <x:v>7.67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7.89</x:v>
      </x:c>
      <x:c r="D325" s="4" t="n">
        <x:v>4.98</x:v>
      </x:c>
      <x:c r="E325" s="4" t="n">
        <x:v>2.59</x:v>
      </x:c>
      <x:c r="F325" s="4" t="n">
        <x:v>6.3</x:v>
      </x:c>
      <x:c r="G325" s="4" t="n">
        <x:v>6.17</x:v>
      </x:c>
      <x:c r="H325" s="4" t="n">
        <x:v>2.76</x:v>
      </x:c>
      <x:c r="I325" s="4" t="n">
        <x:v>3.59</x:v>
      </x:c>
      <x:c r="J325" s="4" t="n">
        <x:v>3.84</x:v>
      </x:c>
      <x:c r="K325" s="4" t="n">
        <x:v>4.13</x:v>
      </x:c>
      <x:c r="L325" s="4" t="n">
        <x:v>6.39</x:v>
      </x:c>
      <x:c r="M325" s="4" t="n">
        <x:v>2.19</x:v>
      </x:c>
      <x:c r="N325" s="4" t="n">
        <x:v>3.69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3.77</x:v>
      </x:c>
      <x:c r="D326" s="4" t="n">
        <x:v>7.64</x:v>
      </x:c>
      <x:c r="E326" s="4" t="n">
        <x:v>3.12</x:v>
      </x:c>
      <x:c r="F326" s="4" t="n">
        <x:v>3.56</x:v>
      </x:c>
      <x:c r="G326" s="4" t="n">
        <x:v>7.15</x:v>
      </x:c>
      <x:c r="H326" s="4" t="n">
        <x:v>5.02</x:v>
      </x:c>
      <x:c r="I326" s="4" t="n">
        <x:v>7.08</x:v>
      </x:c>
      <x:c r="J326" s="4" t="n">
        <x:v>6.75</x:v>
      </x:c>
      <x:c r="K326" s="4" t="n">
        <x:v>5.93</x:v>
      </x:c>
      <x:c r="L326" s="4" t="n">
        <x:v>4.32</x:v>
      </x:c>
      <x:c r="M326" s="4" t="n">
        <x:v>3.53</x:v>
      </x:c>
      <x:c r="N326" s="4" t="n">
        <x:v>7.42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3.42</x:v>
      </x:c>
      <x:c r="D327" s="4" t="n">
        <x:v>5.49</x:v>
      </x:c>
      <x:c r="E327" s="4" t="n">
        <x:v>5.57</x:v>
      </x:c>
      <x:c r="F327" s="4" t="n">
        <x:v>3.15</x:v>
      </x:c>
      <x:c r="G327" s="4" t="n">
        <x:v>4.7</x:v>
      </x:c>
      <x:c r="H327" s="4" t="n">
        <x:v>7.34</x:v>
      </x:c>
      <x:c r="I327" s="4" t="n">
        <x:v>3.66</x:v>
      </x:c>
      <x:c r="J327" s="4" t="n">
        <x:v>3.5</x:v>
      </x:c>
      <x:c r="K327" s="4" t="n">
        <x:v>4.1</x:v>
      </x:c>
      <x:c r="L327" s="4" t="n">
        <x:v>2.71</x:v>
      </x:c>
      <x:c r="M327" s="4" t="n">
        <x:v>2.88</x:v>
      </x:c>
      <x:c r="N327" s="4" t="n">
        <x:v>4.79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2.22</x:v>
      </x:c>
      <x:c r="D328" s="4" t="n">
        <x:v>4.26</x:v>
      </x:c>
      <x:c r="E328" s="4" t="n">
        <x:v>3.22</x:v>
      </x:c>
      <x:c r="F328" s="4" t="n">
        <x:v>6.74</x:v>
      </x:c>
      <x:c r="G328" s="4" t="n">
        <x:v>3.26</x:v>
      </x:c>
      <x:c r="H328" s="4" t="n">
        <x:v>3.56</x:v>
      </x:c>
      <x:c r="I328" s="4" t="n">
        <x:v>5.66</x:v>
      </x:c>
      <x:c r="J328" s="4" t="n">
        <x:v>2.29</x:v>
      </x:c>
      <x:c r="K328" s="4" t="n">
        <x:v>4.51</x:v>
      </x:c>
      <x:c r="L328" s="4" t="n">
        <x:v>4.41</x:v>
      </x:c>
      <x:c r="M328" s="4" t="n">
        <x:v>8.46</x:v>
      </x:c>
      <x:c r="N328" s="4" t="n">
        <x:v>8.29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6.91</x:v>
      </x:c>
      <x:c r="D329" s="4" t="n">
        <x:v>7.21</x:v>
      </x:c>
      <x:c r="E329" s="4" t="n">
        <x:v>4.41</x:v>
      </x:c>
      <x:c r="F329" s="4" t="n">
        <x:v>6.23</x:v>
      </x:c>
      <x:c r="G329" s="4" t="n">
        <x:v>7.89</x:v>
      </x:c>
      <x:c r="H329" s="4" t="n">
        <x:v>8.84</x:v>
      </x:c>
      <x:c r="I329" s="4" t="n">
        <x:v>2.83</x:v>
      </x:c>
      <x:c r="J329" s="4" t="n">
        <x:v>6.73</x:v>
      </x:c>
      <x:c r="K329" s="4" t="n">
        <x:v>5.63</x:v>
      </x:c>
      <x:c r="L329" s="4" t="n">
        <x:v>4.39</x:v>
      </x:c>
      <x:c r="M329" s="4" t="n">
        <x:v>4.69</x:v>
      </x:c>
      <x:c r="N329" s="4" t="n">
        <x:v>6.4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7.07</x:v>
      </x:c>
      <x:c r="D330" s="4" t="n">
        <x:v>2.85</x:v>
      </x:c>
      <x:c r="E330" s="4" t="n">
        <x:v>5.66</x:v>
      </x:c>
      <x:c r="F330" s="4" t="n">
        <x:v>4.41</x:v>
      </x:c>
      <x:c r="G330" s="4" t="n">
        <x:v>3.72</x:v>
      </x:c>
      <x:c r="H330" s="4" t="n">
        <x:v>5.53</x:v>
      </x:c>
      <x:c r="I330" s="4" t="n">
        <x:v>7.58</x:v>
      </x:c>
      <x:c r="J330" s="4" t="n">
        <x:v>8.67</x:v>
      </x:c>
      <x:c r="K330" s="4" t="n">
        <x:v>2.54</x:v>
      </x:c>
      <x:c r="L330" s="4" t="n">
        <x:v>2.17</x:v>
      </x:c>
      <x:c r="M330" s="4" t="n">
        <x:v>4.73</x:v>
      </x:c>
      <x:c r="N330" s="4" t="n">
        <x:v>8.78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8.49</x:v>
      </x:c>
      <x:c r="D331" s="4" t="n">
        <x:v>5.41</x:v>
      </x:c>
      <x:c r="E331" s="4" t="n">
        <x:v>8.7</x:v>
      </x:c>
      <x:c r="F331" s="4" t="n">
        <x:v>5.9</x:v>
      </x:c>
      <x:c r="G331" s="4" t="n">
        <x:v>3.35</x:v>
      </x:c>
      <x:c r="H331" s="4" t="n">
        <x:v>7.62</x:v>
      </x:c>
      <x:c r="I331" s="4" t="n">
        <x:v>3.33</x:v>
      </x:c>
      <x:c r="J331" s="4" t="n">
        <x:v>7.23</x:v>
      </x:c>
      <x:c r="K331" s="4" t="n">
        <x:v>2.34</x:v>
      </x:c>
      <x:c r="L331" s="4" t="n">
        <x:v>4.39</x:v>
      </x:c>
      <x:c r="M331" s="4" t="n">
        <x:v>8.27</x:v>
      </x:c>
      <x:c r="N331" s="4" t="n">
        <x:v>4.05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3.06</x:v>
      </x:c>
      <x:c r="D332" s="4" t="n">
        <x:v>3.06</x:v>
      </x:c>
      <x:c r="E332" s="4" t="n">
        <x:v>7.62</x:v>
      </x:c>
      <x:c r="F332" s="4" t="n">
        <x:v>4.65</x:v>
      </x:c>
      <x:c r="G332" s="4" t="n">
        <x:v>7.89</x:v>
      </x:c>
      <x:c r="H332" s="4" t="n">
        <x:v>5.87</x:v>
      </x:c>
      <x:c r="I332" s="4" t="n">
        <x:v>2.19</x:v>
      </x:c>
      <x:c r="J332" s="4" t="n">
        <x:v>5.36</x:v>
      </x:c>
      <x:c r="K332" s="4" t="n">
        <x:v>2.99</x:v>
      </x:c>
      <x:c r="L332" s="4" t="n">
        <x:v>8.62</x:v>
      </x:c>
      <x:c r="M332" s="4" t="n">
        <x:v>6.88</x:v>
      </x:c>
      <x:c r="N332" s="4" t="n">
        <x:v>2.95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5.93</x:v>
      </x:c>
      <x:c r="D333" s="4" t="n">
        <x:v>7.42</x:v>
      </x:c>
      <x:c r="E333" s="4" t="n">
        <x:v>6.92</x:v>
      </x:c>
      <x:c r="F333" s="4" t="n">
        <x:v>5.24</x:v>
      </x:c>
      <x:c r="G333" s="4" t="n">
        <x:v>6.19</x:v>
      </x:c>
      <x:c r="H333" s="4" t="n">
        <x:v>2.37</x:v>
      </x:c>
      <x:c r="I333" s="4" t="n">
        <x:v>6.97</x:v>
      </x:c>
      <x:c r="J333" s="4" t="n">
        <x:v>4.95</x:v>
      </x:c>
      <x:c r="K333" s="4" t="n">
        <x:v>5.21</x:v>
      </x:c>
      <x:c r="L333" s="4" t="n">
        <x:v>8.64</x:v>
      </x:c>
      <x:c r="M333" s="4" t="n">
        <x:v>6.72</x:v>
      </x:c>
      <x:c r="N333" s="4" t="n">
        <x:v>4.27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4.84</x:v>
      </x:c>
      <x:c r="D334" s="4" t="n">
        <x:v>6.29</x:v>
      </x:c>
      <x:c r="E334" s="4" t="n">
        <x:v>4.97</x:v>
      </x:c>
      <x:c r="F334" s="4" t="n">
        <x:v>5.44</x:v>
      </x:c>
      <x:c r="G334" s="4" t="n">
        <x:v>5.12</x:v>
      </x:c>
      <x:c r="H334" s="4" t="n">
        <x:v>8.3</x:v>
      </x:c>
      <x:c r="I334" s="4" t="n">
        <x:v>4.63</x:v>
      </x:c>
      <x:c r="J334" s="4" t="n">
        <x:v>5.53</x:v>
      </x:c>
      <x:c r="K334" s="4" t="n">
        <x:v>3.38</x:v>
      </x:c>
      <x:c r="L334" s="4" t="n">
        <x:v>7.47</x:v>
      </x:c>
      <x:c r="M334" s="4" t="n">
        <x:v>8.43</x:v>
      </x:c>
      <x:c r="N334" s="4" t="n">
        <x:v>5.73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8.37</x:v>
      </x:c>
      <x:c r="D335" s="4" t="n">
        <x:v>8.77</x:v>
      </x:c>
      <x:c r="E335" s="4" t="n">
        <x:v>6.45</x:v>
      </x:c>
      <x:c r="F335" s="4" t="n">
        <x:v>7.91</x:v>
      </x:c>
      <x:c r="G335" s="4" t="n">
        <x:v>8.21</x:v>
      </x:c>
      <x:c r="H335" s="4" t="n">
        <x:v>6.03</x:v>
      </x:c>
      <x:c r="I335" s="4" t="n">
        <x:v>6.01</x:v>
      </x:c>
      <x:c r="J335" s="4" t="n">
        <x:v>2.44</x:v>
      </x:c>
      <x:c r="K335" s="4" t="n">
        <x:v>7.3</x:v>
      </x:c>
      <x:c r="L335" s="4" t="n">
        <x:v>3.59</x:v>
      </x:c>
      <x:c r="M335" s="4" t="n">
        <x:v>6.55</x:v>
      </x:c>
      <x:c r="N335" s="4" t="n">
        <x:v>2.55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3.33</x:v>
      </x:c>
      <x:c r="D336" s="4" t="n">
        <x:v>8.29</x:v>
      </x:c>
      <x:c r="E336" s="4" t="n">
        <x:v>3.43</x:v>
      </x:c>
      <x:c r="F336" s="4" t="n">
        <x:v>8.85</x:v>
      </x:c>
      <x:c r="G336" s="4" t="n">
        <x:v>7.78</x:v>
      </x:c>
      <x:c r="H336" s="4" t="n">
        <x:v>4.79</x:v>
      </x:c>
      <x:c r="I336" s="4" t="n">
        <x:v>5.67</x:v>
      </x:c>
      <x:c r="J336" s="4" t="n">
        <x:v>4.77</x:v>
      </x:c>
      <x:c r="K336" s="4" t="n">
        <x:v>8.44</x:v>
      </x:c>
      <x:c r="L336" s="4" t="n">
        <x:v>8.69</x:v>
      </x:c>
      <x:c r="M336" s="4" t="n">
        <x:v>3.71</x:v>
      </x:c>
      <x:c r="N336" s="4" t="n">
        <x:v>3.71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6.12</x:v>
      </x:c>
      <x:c r="D337" s="4" t="n">
        <x:v>8.35</x:v>
      </x:c>
      <x:c r="E337" s="4" t="n">
        <x:v>8.76</x:v>
      </x:c>
      <x:c r="F337" s="4" t="n">
        <x:v>5.87</x:v>
      </x:c>
      <x:c r="G337" s="4" t="n">
        <x:v>4.33</x:v>
      </x:c>
      <x:c r="H337" s="4" t="n">
        <x:v>4.6</x:v>
      </x:c>
      <x:c r="I337" s="4" t="n">
        <x:v>4.52</x:v>
      </x:c>
      <x:c r="J337" s="4" t="n">
        <x:v>8.68</x:v>
      </x:c>
      <x:c r="K337" s="4" t="n">
        <x:v>5.7</x:v>
      </x:c>
      <x:c r="L337" s="4" t="n">
        <x:v>2.25</x:v>
      </x:c>
      <x:c r="M337" s="4" t="n">
        <x:v>3.55</x:v>
      </x:c>
      <x:c r="N337" s="4" t="n">
        <x:v>8.27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5.59</x:v>
      </x:c>
      <x:c r="D338" s="4" t="n">
        <x:v>7.47</x:v>
      </x:c>
      <x:c r="E338" s="4" t="n">
        <x:v>4.29</x:v>
      </x:c>
      <x:c r="F338" s="4" t="n">
        <x:v>2.35</x:v>
      </x:c>
      <x:c r="G338" s="4" t="n">
        <x:v>3.16</x:v>
      </x:c>
      <x:c r="H338" s="4" t="n">
        <x:v>8.84</x:v>
      </x:c>
      <x:c r="I338" s="4" t="n">
        <x:v>3.37</x:v>
      </x:c>
      <x:c r="J338" s="4" t="n">
        <x:v>5.25</x:v>
      </x:c>
      <x:c r="K338" s="4" t="n">
        <x:v>4.56</x:v>
      </x:c>
      <x:c r="L338" s="4" t="n">
        <x:v>7.03</x:v>
      </x:c>
      <x:c r="M338" s="4" t="n">
        <x:v>8.36</x:v>
      </x:c>
      <x:c r="N338" s="4" t="n">
        <x:v>6.95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3.55</x:v>
      </x:c>
      <x:c r="D339" s="4" t="n">
        <x:v>3.56</x:v>
      </x:c>
      <x:c r="E339" s="4" t="n">
        <x:v>6.66</x:v>
      </x:c>
      <x:c r="F339" s="4" t="n">
        <x:v>4.26</x:v>
      </x:c>
      <x:c r="G339" s="4" t="n">
        <x:v>7.02</x:v>
      </x:c>
      <x:c r="H339" s="4" t="n">
        <x:v>8.59</x:v>
      </x:c>
      <x:c r="I339" s="4" t="n">
        <x:v>4.4</x:v>
      </x:c>
      <x:c r="J339" s="4" t="n">
        <x:v>6.24</x:v>
      </x:c>
      <x:c r="K339" s="4" t="n">
        <x:v>3.92</x:v>
      </x:c>
      <x:c r="L339" s="4" t="n">
        <x:v>2.42</x:v>
      </x:c>
      <x:c r="M339" s="4" t="n">
        <x:v>2.5</x:v>
      </x:c>
      <x:c r="N339" s="4" t="n">
        <x:v>3.54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6.34</x:v>
      </x:c>
      <x:c r="D341" s="4" t="n">
        <x:v>7.55</x:v>
      </x:c>
      <x:c r="E341" s="4" t="n">
        <x:v>3.18</x:v>
      </x:c>
      <x:c r="F341" s="4" t="n">
        <x:v>6.02</x:v>
      </x:c>
      <x:c r="G341" s="4" t="n">
        <x:v>2.53</x:v>
      </x:c>
      <x:c r="H341" s="4" t="n">
        <x:v>4.12</x:v>
      </x:c>
      <x:c r="I341" s="4" t="n">
        <x:v>4.56</x:v>
      </x:c>
      <x:c r="J341" s="4" t="n">
        <x:v>6.97</x:v>
      </x:c>
      <x:c r="K341" s="4" t="n">
        <x:v>8.04</x:v>
      </x:c>
      <x:c r="L341" s="4" t="n">
        <x:v>2.34</x:v>
      </x:c>
      <x:c r="M341" s="4" t="n">
        <x:v>2.92</x:v>
      </x:c>
      <x:c r="N341" s="4" t="n">
        <x:v>5.75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4.93</x:v>
      </x:c>
      <x:c r="D342" s="4" t="n">
        <x:v>7.79</x:v>
      </x:c>
      <x:c r="E342" s="4" t="n">
        <x:v>5.18</x:v>
      </x:c>
      <x:c r="F342" s="4" t="n">
        <x:v>6.89</x:v>
      </x:c>
      <x:c r="G342" s="4" t="n">
        <x:v>2.98</x:v>
      </x:c>
      <x:c r="H342" s="4" t="n">
        <x:v>7.47</x:v>
      </x:c>
      <x:c r="I342" s="4" t="n">
        <x:v>2.18</x:v>
      </x:c>
      <x:c r="J342" s="4" t="n">
        <x:v>2.48</x:v>
      </x:c>
      <x:c r="K342" s="4" t="n">
        <x:v>6.76</x:v>
      </x:c>
      <x:c r="L342" s="4" t="n">
        <x:v>6.93</x:v>
      </x:c>
      <x:c r="M342" s="4" t="n">
        <x:v>4.34</x:v>
      </x:c>
      <x:c r="N342" s="4" t="n">
        <x:v>6.55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6.13</x:v>
      </x:c>
      <x:c r="D343" s="4" t="n">
        <x:v>5.75</x:v>
      </x:c>
      <x:c r="E343" s="4" t="n">
        <x:v>8.62</x:v>
      </x:c>
      <x:c r="F343" s="4" t="n">
        <x:v>8.13</x:v>
      </x:c>
      <x:c r="G343" s="4" t="n">
        <x:v>7.43</x:v>
      </x:c>
      <x:c r="H343" s="4" t="n">
        <x:v>4.74</x:v>
      </x:c>
      <x:c r="I343" s="4" t="n">
        <x:v>7.76</x:v>
      </x:c>
      <x:c r="J343" s="4" t="n">
        <x:v>3.77</x:v>
      </x:c>
      <x:c r="K343" s="4" t="n">
        <x:v>8.33</x:v>
      </x:c>
      <x:c r="L343" s="4" t="n">
        <x:v>6.12</x:v>
      </x:c>
      <x:c r="M343" s="4" t="n">
        <x:v>7.71</x:v>
      </x:c>
      <x:c r="N343" s="4" t="n">
        <x:v>6.72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8.51</x:v>
      </x:c>
      <x:c r="D344" s="4" t="n">
        <x:v>6.69</x:v>
      </x:c>
      <x:c r="E344" s="4" t="n">
        <x:v>6.27</x:v>
      </x:c>
      <x:c r="F344" s="4" t="n">
        <x:v>4.56</x:v>
      </x:c>
      <x:c r="G344" s="4" t="n">
        <x:v>4.25</x:v>
      </x:c>
      <x:c r="H344" s="4" t="n">
        <x:v>5.14</x:v>
      </x:c>
      <x:c r="I344" s="4" t="n">
        <x:v>6.96</x:v>
      </x:c>
      <x:c r="J344" s="4" t="n">
        <x:v>3.87</x:v>
      </x:c>
      <x:c r="K344" s="4" t="n">
        <x:v>2.19</x:v>
      </x:c>
      <x:c r="L344" s="4" t="n">
        <x:v>5.66</x:v>
      </x:c>
      <x:c r="M344" s="4" t="n">
        <x:v>7.91</x:v>
      </x:c>
      <x:c r="N344" s="4" t="n">
        <x:v>3.87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4.61</x:v>
      </x:c>
      <x:c r="D345" s="4" t="n">
        <x:v>8.44</x:v>
      </x:c>
      <x:c r="E345" s="4" t="n">
        <x:v>5.19</x:v>
      </x:c>
      <x:c r="F345" s="4" t="n">
        <x:v>6.72</x:v>
      </x:c>
      <x:c r="G345" s="4" t="n">
        <x:v>7.99</x:v>
      </x:c>
      <x:c r="H345" s="4" t="n">
        <x:v>6.18</x:v>
      </x:c>
      <x:c r="I345" s="4" t="n">
        <x:v>8.61</x:v>
      </x:c>
      <x:c r="J345" s="4" t="n">
        <x:v>2.58</x:v>
      </x:c>
      <x:c r="K345" s="4" t="n">
        <x:v>8.05</x:v>
      </x:c>
      <x:c r="L345" s="4" t="n">
        <x:v>7.22</x:v>
      </x:c>
      <x:c r="M345" s="4" t="n">
        <x:v>5.88</x:v>
      </x:c>
      <x:c r="N345" s="4" t="n">
        <x:v>2.53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6.8</x:v>
      </x:c>
      <x:c r="D346" s="4" t="n">
        <x:v>6.08</x:v>
      </x:c>
      <x:c r="E346" s="4" t="n">
        <x:v>6.39</x:v>
      </x:c>
      <x:c r="F346" s="4" t="n">
        <x:v>3.86</x:v>
      </x:c>
      <x:c r="G346" s="4" t="n">
        <x:v>8.19</x:v>
      </x:c>
      <x:c r="H346" s="4" t="n">
        <x:v>6.85</x:v>
      </x:c>
      <x:c r="I346" s="4" t="n">
        <x:v>4.13</x:v>
      </x:c>
      <x:c r="J346" s="4" t="n">
        <x:v>4.01</x:v>
      </x:c>
      <x:c r="K346" s="4" t="n">
        <x:v>7.51</x:v>
      </x:c>
      <x:c r="L346" s="4" t="n">
        <x:v>6.26</x:v>
      </x:c>
      <x:c r="M346" s="4" t="n">
        <x:v>8.02</x:v>
      </x:c>
      <x:c r="N346" s="4" t="n">
        <x:v>8.21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2.88</x:v>
      </x:c>
      <x:c r="D347" s="4" t="n">
        <x:v>8.44</x:v>
      </x:c>
      <x:c r="E347" s="4" t="n">
        <x:v>4.1</x:v>
      </x:c>
      <x:c r="F347" s="4" t="n">
        <x:v>4.82</x:v>
      </x:c>
      <x:c r="G347" s="4" t="n">
        <x:v>7.68</x:v>
      </x:c>
      <x:c r="H347" s="4" t="n">
        <x:v>7.24</x:v>
      </x:c>
      <x:c r="I347" s="4" t="n">
        <x:v>7.51</x:v>
      </x:c>
      <x:c r="J347" s="4" t="n">
        <x:v>3.81</x:v>
      </x:c>
      <x:c r="K347" s="4" t="n">
        <x:v>5.84</x:v>
      </x:c>
      <x:c r="L347" s="4" t="n">
        <x:v>7.83</x:v>
      </x:c>
      <x:c r="M347" s="4" t="n">
        <x:v>2.6</x:v>
      </x:c>
      <x:c r="N347" s="4" t="n">
        <x:v>7.04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7.33</x:v>
      </x:c>
      <x:c r="D348" s="4" t="n">
        <x:v>8.21</x:v>
      </x:c>
      <x:c r="E348" s="4" t="n">
        <x:v>8.01</x:v>
      </x:c>
      <x:c r="F348" s="4" t="n">
        <x:v>5.87</x:v>
      </x:c>
      <x:c r="G348" s="4" t="n">
        <x:v>4.29</x:v>
      </x:c>
      <x:c r="H348" s="4" t="n">
        <x:v>6.73</x:v>
      </x:c>
      <x:c r="I348" s="4" t="n">
        <x:v>2.83</x:v>
      </x:c>
      <x:c r="J348" s="4" t="n">
        <x:v>2.38</x:v>
      </x:c>
      <x:c r="K348" s="4" t="n">
        <x:v>8.83</x:v>
      </x:c>
      <x:c r="L348" s="4" t="n">
        <x:v>7.86</x:v>
      </x:c>
      <x:c r="M348" s="4" t="n">
        <x:v>3.88</x:v>
      </x:c>
      <x:c r="N348" s="4" t="n">
        <x:v>3.31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7.33</x:v>
      </x:c>
      <x:c r="D350" s="4" t="n">
        <x:v>3.86</x:v>
      </x:c>
      <x:c r="E350" s="4" t="n">
        <x:v>5.91</x:v>
      </x:c>
      <x:c r="F350" s="4" t="n">
        <x:v>3.11</x:v>
      </x:c>
      <x:c r="G350" s="4" t="n">
        <x:v>5.55</x:v>
      </x:c>
      <x:c r="H350" s="4" t="n">
        <x:v>2.7</x:v>
      </x:c>
      <x:c r="I350" s="4" t="n">
        <x:v>2.48</x:v>
      </x:c>
      <x:c r="J350" s="4" t="n">
        <x:v>4.18</x:v>
      </x:c>
      <x:c r="K350" s="4" t="n">
        <x:v>5.7</x:v>
      </x:c>
      <x:c r="L350" s="4" t="n">
        <x:v>4.87</x:v>
      </x:c>
      <x:c r="M350" s="4" t="n">
        <x:v>3.55</x:v>
      </x:c>
      <x:c r="N350" s="4" t="n">
        <x:v>4.97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5.48</x:v>
      </x:c>
      <x:c r="D351" s="4" t="n">
        <x:v>3.94</x:v>
      </x:c>
      <x:c r="E351" s="4" t="n">
        <x:v>2.63</x:v>
      </x:c>
      <x:c r="F351" s="4" t="n">
        <x:v>7.67</x:v>
      </x:c>
      <x:c r="G351" s="4" t="n">
        <x:v>2.66</x:v>
      </x:c>
      <x:c r="H351" s="4" t="n">
        <x:v>6.29</x:v>
      </x:c>
      <x:c r="I351" s="4" t="n">
        <x:v>5.4</x:v>
      </x:c>
      <x:c r="J351" s="4" t="n">
        <x:v>4.22</x:v>
      </x:c>
      <x:c r="K351" s="4" t="n">
        <x:v>6.84</x:v>
      </x:c>
      <x:c r="L351" s="4" t="n">
        <x:v>8.72</x:v>
      </x:c>
      <x:c r="M351" s="4" t="n">
        <x:v>7.16</x:v>
      </x:c>
      <x:c r="N351" s="4" t="n">
        <x:v>5.17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5.45</x:v>
      </x:c>
      <x:c r="D352" s="4" t="n">
        <x:v>7.19</x:v>
      </x:c>
      <x:c r="E352" s="4" t="n">
        <x:v>7.31</x:v>
      </x:c>
      <x:c r="F352" s="4" t="n">
        <x:v>6.18</x:v>
      </x:c>
      <x:c r="G352" s="4" t="n">
        <x:v>3.21</x:v>
      </x:c>
      <x:c r="H352" s="4" t="n">
        <x:v>4.93</x:v>
      </x:c>
      <x:c r="I352" s="4" t="n">
        <x:v>5.19</x:v>
      </x:c>
      <x:c r="J352" s="4" t="n">
        <x:v>5.44</x:v>
      </x:c>
      <x:c r="K352" s="4" t="n">
        <x:v>8.07</x:v>
      </x:c>
      <x:c r="L352" s="4" t="n">
        <x:v>8.52</x:v>
      </x:c>
      <x:c r="M352" s="4" t="n">
        <x:v>8.25</x:v>
      </x:c>
      <x:c r="N352" s="4" t="n">
        <x:v>4.88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3.58</x:v>
      </x:c>
      <x:c r="D353" s="4" t="n">
        <x:v>5.64</x:v>
      </x:c>
      <x:c r="E353" s="4" t="n">
        <x:v>6.34</x:v>
      </x:c>
      <x:c r="F353" s="4" t="n">
        <x:v>8.74</x:v>
      </x:c>
      <x:c r="G353" s="4" t="n">
        <x:v>6.5</x:v>
      </x:c>
      <x:c r="H353" s="4" t="n">
        <x:v>6.49</x:v>
      </x:c>
      <x:c r="I353" s="4" t="n">
        <x:v>7.72</x:v>
      </x:c>
      <x:c r="J353" s="4" t="n">
        <x:v>4.23</x:v>
      </x:c>
      <x:c r="K353" s="4" t="n">
        <x:v>4.65</x:v>
      </x:c>
      <x:c r="L353" s="4" t="n">
        <x:v>7.96</x:v>
      </x:c>
      <x:c r="M353" s="4" t="n">
        <x:v>6.5</x:v>
      </x:c>
      <x:c r="N353" s="4" t="n">
        <x:v>7.73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16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'销售费用'!C4+'管理费用'!C4+'蓝恐龙费用'!C4</x:f>
        <x:v>802.9699999999999</x:v>
      </x:c>
      <x:c r="D4" s="3" t="n">
        <x:f>'销售费用'!D4+'管理费用'!D4+'蓝恐龙费用'!D4</x:f>
        <x:v>405.65</x:v>
      </x:c>
      <x:c r="E4" s="3" t="n">
        <x:f>'销售费用'!E4+'管理费用'!E4+'蓝恐龙费用'!E4</x:f>
        <x:v>824</x:v>
      </x:c>
      <x:c r="F4" s="3" t="n">
        <x:f>'销售费用'!F4+'管理费用'!F4+'蓝恐龙费用'!F4</x:f>
        <x:v>806.3100000000001</x:v>
      </x:c>
      <x:c r="G4" s="3" t="n">
        <x:f>'销售费用'!G4+'管理费用'!G4+'蓝恐龙费用'!G4</x:f>
        <x:v>1171.45</x:v>
      </x:c>
      <x:c r="H4" s="3" t="n">
        <x:f>'销售费用'!H4+'管理费用'!H4+'蓝恐龙费用'!H4</x:f>
        <x:v>590.86</x:v>
      </x:c>
      <x:c r="I4" s="3" t="n">
        <x:f>'销售费用'!I4+'管理费用'!I4+'蓝恐龙费用'!I4</x:f>
        <x:v>612.1</x:v>
      </x:c>
      <x:c r="J4" s="3" t="n">
        <x:f>'销售费用'!J4+'管理费用'!J4+'蓝恐龙费用'!J4</x:f>
        <x:v>303.05</x:v>
      </x:c>
      <x:c r="K4" s="3" t="n">
        <x:f>'销售费用'!K4+'管理费用'!K4+'蓝恐龙费用'!K4</x:f>
        <x:v>992</x:v>
      </x:c>
      <x:c r="L4" s="3" t="n">
        <x:f>'销售费用'!L4+'管理费用'!L4+'蓝恐龙费用'!L4</x:f>
        <x:v>766.8399999999999</x:v>
      </x:c>
      <x:c r="M4" s="3" t="n">
        <x:f>'销售费用'!M4+'管理费用'!M4+'蓝恐龙费用'!M4</x:f>
        <x:v>707.49</x:v>
      </x:c>
      <x:c r="N4" s="3" t="n">
        <x:f>'销售费用'!N4+'管理费用'!N4+'蓝恐龙费用'!N4</x:f>
        <x:v>1148.93</x:v>
      </x:c>
      <x:c r="O4" s="3" t="n">
        <x:f>SUM(C4:N4)</x:f>
        <x:v>9131.65</x:v>
      </x:c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'销售费用'!C5+'管理费用'!C5+'蓝恐龙费用'!C5</x:f>
        <x:v>597.49</x:v>
      </x:c>
      <x:c r="D5" s="3" t="n">
        <x:f>'销售费用'!D5+'管理费用'!D5+'蓝恐龙费用'!D5</x:f>
        <x:v>897.58</x:v>
      </x:c>
      <x:c r="E5" s="3" t="n">
        <x:f>'销售费用'!E5+'管理费用'!E5+'蓝恐龙费用'!E5</x:f>
        <x:v>439.57</x:v>
      </x:c>
      <x:c r="F5" s="3" t="n">
        <x:f>'销售费用'!F5+'管理费用'!F5+'蓝恐龙费用'!F5</x:f>
        <x:v>1172.1100000000001</x:v>
      </x:c>
      <x:c r="G5" s="3" t="n">
        <x:f>'销售费用'!G5+'管理费用'!G5+'蓝恐龙费用'!G5</x:f>
        <x:v>1063.21</x:v>
      </x:c>
      <x:c r="H5" s="3" t="n">
        <x:f>'销售费用'!H5+'管理费用'!H5+'蓝恐龙费用'!H5</x:f>
        <x:v>629.0400000000001</x:v>
      </x:c>
      <x:c r="I5" s="3" t="n">
        <x:f>'销售费用'!I5+'管理费用'!I5+'蓝恐龙费用'!I5</x:f>
        <x:v>894.0500000000001</x:v>
      </x:c>
      <x:c r="J5" s="3" t="n">
        <x:f>'销售费用'!J5+'管理费用'!J5+'蓝恐龙费用'!J5</x:f>
        <x:v>512.22</x:v>
      </x:c>
      <x:c r="K5" s="3" t="n">
        <x:f>'销售费用'!K5+'管理费用'!K5+'蓝恐龙费用'!K5</x:f>
        <x:v>487.2</x:v>
      </x:c>
      <x:c r="L5" s="3" t="n">
        <x:f>'销售费用'!L5+'管理费用'!L5+'蓝恐龙费用'!L5</x:f>
        <x:v>601.38</x:v>
      </x:c>
      <x:c r="M5" s="3" t="n">
        <x:f>'销售费用'!M5+'管理费用'!M5+'蓝恐龙费用'!M5</x:f>
        <x:v>295.08000000000004</x:v>
      </x:c>
      <x:c r="N5" s="3" t="n">
        <x:f>'销售费用'!N5+'管理费用'!N5+'蓝恐龙费用'!N5</x:f>
        <x:v>590.6899999999999</x:v>
      </x:c>
      <x:c r="O5" s="3" t="n">
        <x:f>SUM(C5:N5)</x:f>
        <x:v>8179.62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'销售费用'!C6+'管理费用'!C6+'蓝恐龙费用'!C6</x:f>
        <x:v>656.72</x:v>
      </x:c>
      <x:c r="D6" s="3" t="n">
        <x:f>'销售费用'!D6+'管理费用'!D6+'蓝恐龙费用'!D6</x:f>
        <x:v>1276.42</x:v>
      </x:c>
      <x:c r="E6" s="3" t="n">
        <x:f>'销售费用'!E6+'管理费用'!E6+'蓝恐龙费用'!E6</x:f>
        <x:v>451.84000000000003</x:v>
      </x:c>
      <x:c r="F6" s="3" t="n">
        <x:f>'销售费用'!F6+'管理费用'!F6+'蓝恐龙费用'!F6</x:f>
        <x:v>532.5899999999999</x:v>
      </x:c>
      <x:c r="G6" s="3" t="n">
        <x:f>'销售费用'!G6+'管理费用'!G6+'蓝恐龙费用'!G6</x:f>
        <x:v>865.44</x:v>
      </x:c>
      <x:c r="H6" s="3" t="n">
        <x:f>'销售费用'!H6+'管理费用'!H6+'蓝恐龙费用'!H6</x:f>
        <x:v>868.8800000000001</x:v>
      </x:c>
      <x:c r="I6" s="3" t="n">
        <x:f>'销售费用'!I6+'管理费用'!I6+'蓝恐龙费用'!I6</x:f>
        <x:v>639.55</x:v>
      </x:c>
      <x:c r="J6" s="3" t="n">
        <x:f>'销售费用'!J6+'管理费用'!J6+'蓝恐龙费用'!J6</x:f>
        <x:v>666.98</x:v>
      </x:c>
      <x:c r="K6" s="3" t="n">
        <x:f>'销售费用'!K6+'管理费用'!K6+'蓝恐龙费用'!K6</x:f>
        <x:v>964.99</x:v>
      </x:c>
      <x:c r="L6" s="3" t="n">
        <x:f>'销售费用'!L6+'管理费用'!L6+'蓝恐龙费用'!L6</x:f>
        <x:v>637.6700000000001</x:v>
      </x:c>
      <x:c r="M6" s="3" t="n">
        <x:f>'销售费用'!M6+'管理费用'!M6+'蓝恐龙费用'!M6</x:f>
        <x:v>395.05</x:v>
      </x:c>
      <x:c r="N6" s="3" t="n">
        <x:f>'销售费用'!N6+'管理费用'!N6+'蓝恐龙费用'!N6</x:f>
        <x:v>840.02</x:v>
      </x:c>
      <x:c r="O6" s="3" t="n">
        <x:f>SUM(C6:N6)</x:f>
        <x:v>8796.15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'销售费用'!C7+'管理费用'!C7+'蓝恐龙费用'!C7</x:f>
        <x:v>506.39</x:v>
      </x:c>
      <x:c r="D7" s="3" t="n">
        <x:f>'销售费用'!D7+'管理费用'!D7+'蓝恐龙费用'!D7</x:f>
        <x:v>435.74</x:v>
      </x:c>
      <x:c r="E7" s="3" t="n">
        <x:f>'销售费用'!E7+'管理费用'!E7+'蓝恐龙费用'!E7</x:f>
        <x:v>762.56</x:v>
      </x:c>
      <x:c r="F7" s="3" t="n">
        <x:f>'销售费用'!F7+'管理费用'!F7+'蓝恐龙费用'!F7</x:f>
        <x:v>503.86</x:v>
      </x:c>
      <x:c r="G7" s="3" t="n">
        <x:f>'销售费用'!G7+'管理费用'!G7+'蓝恐龙费用'!G7</x:f>
        <x:v>484.46000000000004</x:v>
      </x:c>
      <x:c r="H7" s="3" t="n">
        <x:f>'销售费用'!H7+'管理费用'!H7+'蓝恐龙费用'!H7</x:f>
        <x:v>901.78</x:v>
      </x:c>
      <x:c r="I7" s="3" t="n">
        <x:f>'销售费用'!I7+'管理费用'!I7+'蓝恐龙费用'!I7</x:f>
        <x:v>587.15</x:v>
      </x:c>
      <x:c r="J7" s="3" t="n">
        <x:f>'销售费用'!J7+'管理费用'!J7+'蓝恐龙费用'!J7</x:f>
        <x:v>604.51</x:v>
      </x:c>
      <x:c r="K7" s="3" t="n">
        <x:f>'销售费用'!K7+'管理费用'!K7+'蓝恐龙费用'!K7</x:f>
        <x:v>891.0600000000001</x:v>
      </x:c>
      <x:c r="L7" s="3" t="n">
        <x:f>'销售费用'!L7+'管理费用'!L7+'蓝恐龙费用'!L7</x:f>
        <x:v>571.92</x:v>
      </x:c>
      <x:c r="M7" s="3" t="n">
        <x:f>'销售费用'!M7+'管理费用'!M7+'蓝恐龙费用'!M7</x:f>
        <x:v>708.85</x:v>
      </x:c>
      <x:c r="N7" s="3" t="n">
        <x:f>'销售费用'!N7+'管理费用'!N7+'蓝恐龙费用'!N7</x:f>
        <x:v>837.8400000000001</x:v>
      </x:c>
      <x:c r="O7" s="3" t="n">
        <x:f>SUM(C7:N7)</x:f>
        <x:v>7796.120000000001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'销售费用'!C8+'管理费用'!C8+'蓝恐龙费用'!C8</x:f>
        <x:v>939.75</x:v>
      </x:c>
      <x:c r="D8" s="3" t="n">
        <x:f>'销售费用'!D8+'管理费用'!D8+'蓝恐龙费用'!D8</x:f>
        <x:v>336.48</x:v>
      </x:c>
      <x:c r="E8" s="3" t="n">
        <x:f>'销售费用'!E8+'管理费用'!E8+'蓝恐龙费用'!E8</x:f>
        <x:v>565.93</x:v>
      </x:c>
      <x:c r="F8" s="3" t="n">
        <x:f>'销售费用'!F8+'管理费用'!F8+'蓝恐龙费用'!F8</x:f>
        <x:v>920.16</x:v>
      </x:c>
      <x:c r="G8" s="3" t="n">
        <x:f>'销售费用'!G8+'管理费用'!G8+'蓝恐龙费用'!G8</x:f>
        <x:v>849.54</x:v>
      </x:c>
      <x:c r="H8" s="3" t="n">
        <x:f>'销售费用'!H8+'管理费用'!H8+'蓝恐龙费用'!H8</x:f>
        <x:v>641.92</x:v>
      </x:c>
      <x:c r="I8" s="3" t="n">
        <x:f>'销售费用'!I8+'管理费用'!I8+'蓝恐龙费用'!I8</x:f>
        <x:v>710.53</x:v>
      </x:c>
      <x:c r="J8" s="3" t="n">
        <x:f>'销售费用'!J8+'管理费用'!J8+'蓝恐龙费用'!J8</x:f>
        <x:v>524.74</x:v>
      </x:c>
      <x:c r="K8" s="3" t="n">
        <x:f>'销售费用'!K8+'管理费用'!K8+'蓝恐龙费用'!K8</x:f>
        <x:v>331.78</x:v>
      </x:c>
      <x:c r="L8" s="3" t="n">
        <x:f>'销售费用'!L8+'管理费用'!L8+'蓝恐龙费用'!L8</x:f>
        <x:v>561.58</x:v>
      </x:c>
      <x:c r="M8" s="3" t="n">
        <x:f>'销售费用'!M8+'管理费用'!M8+'蓝恐龙费用'!M8</x:f>
        <x:v>1028.1399999999999</x:v>
      </x:c>
      <x:c r="N8" s="3" t="n">
        <x:f>'销售费用'!N8+'管理费用'!N8+'蓝恐龙费用'!N8</x:f>
        <x:v>669.0699999999999</x:v>
      </x:c>
      <x:c r="O8" s="3" t="n">
        <x:f>SUM(C8:N8)</x:f>
        <x:v>8079.619999999999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'销售费用'!C9+'管理费用'!C9+'蓝恐龙费用'!C9</x:f>
        <x:v>632.29</x:v>
      </x:c>
      <x:c r="D9" s="3" t="n">
        <x:f>'销售费用'!D9+'管理费用'!D9+'蓝恐龙费用'!D9</x:f>
        <x:v>561.86</x:v>
      </x:c>
      <x:c r="E9" s="3" t="n">
        <x:f>'销售费用'!E9+'管理费用'!E9+'蓝恐龙费用'!E9</x:f>
        <x:v>963.78</x:v>
      </x:c>
      <x:c r="F9" s="3" t="n">
        <x:f>'销售费用'!F9+'管理费用'!F9+'蓝恐龙费用'!F9</x:f>
        <x:v>874.46</x:v>
      </x:c>
      <x:c r="G9" s="3" t="n">
        <x:f>'销售费用'!G9+'管理费用'!G9+'蓝恐龙费用'!G9</x:f>
        <x:v>472.29</x:v>
      </x:c>
      <x:c r="H9" s="3" t="n">
        <x:f>'销售费用'!H9+'管理费用'!H9+'蓝恐龙费用'!H9</x:f>
        <x:v>562.91</x:v>
      </x:c>
      <x:c r="I9" s="3" t="n">
        <x:f>'销售费用'!I9+'管理费用'!I9+'蓝恐龙费用'!I9</x:f>
        <x:v>392.09</x:v>
      </x:c>
      <x:c r="J9" s="3" t="n">
        <x:f>'销售费用'!J9+'管理费用'!J9+'蓝恐龙费用'!J9</x:f>
        <x:v>622.71</x:v>
      </x:c>
      <x:c r="K9" s="3" t="n">
        <x:f>'销售费用'!K9+'管理费用'!K9+'蓝恐龙费用'!K9</x:f>
        <x:v>1049.5700000000002</x:v>
      </x:c>
      <x:c r="L9" s="3" t="n">
        <x:f>'销售费用'!L9+'管理费用'!L9+'蓝恐龙费用'!L9</x:f>
        <x:v>349.95</x:v>
      </x:c>
      <x:c r="M9" s="3" t="n">
        <x:f>'销售费用'!M9+'管理费用'!M9+'蓝恐龙费用'!M9</x:f>
        <x:v>993.26</x:v>
      </x:c>
      <x:c r="N9" s="3" t="n">
        <x:f>'销售费用'!N9+'管理费用'!N9+'蓝恐龙费用'!N9</x:f>
        <x:v>1002.78</x:v>
      </x:c>
      <x:c r="O9" s="3" t="n">
        <x:f>SUM(C9:N9)</x:f>
        <x:v>8477.95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'销售费用'!C10+'管理费用'!C10+'蓝恐龙费用'!C10</x:f>
        <x:v>768.54</x:v>
      </x:c>
      <x:c r="D10" s="3" t="n">
        <x:f>'销售费用'!D10+'管理费用'!D10+'蓝恐龙费用'!D10</x:f>
        <x:v>395.39</x:v>
      </x:c>
      <x:c r="E10" s="3" t="n">
        <x:f>'销售费用'!E10+'管理费用'!E10+'蓝恐龙费用'!E10</x:f>
        <x:v>652.51</x:v>
      </x:c>
      <x:c r="F10" s="3" t="n">
        <x:f>'销售费用'!F10+'管理费用'!F10+'蓝恐龙费用'!F10</x:f>
        <x:v>448.7</x:v>
      </x:c>
      <x:c r="G10" s="3" t="n">
        <x:f>'销售费用'!G10+'管理费用'!G10+'蓝恐龙费用'!G10</x:f>
        <x:v>512.63</x:v>
      </x:c>
      <x:c r="H10" s="3" t="n">
        <x:f>'销售费用'!H10+'管理费用'!H10+'蓝恐龙费用'!H10</x:f>
        <x:v>595.62</x:v>
      </x:c>
      <x:c r="I10" s="3" t="n">
        <x:f>'销售费用'!I10+'管理费用'!I10+'蓝恐龙费用'!I10</x:f>
        <x:v>770.37</x:v>
      </x:c>
      <x:c r="J10" s="3" t="n">
        <x:f>'销售费用'!J10+'管理费用'!J10+'蓝恐龙费用'!J10</x:f>
        <x:v>1229.87</x:v>
      </x:c>
      <x:c r="K10" s="3" t="n">
        <x:f>'销售费用'!K10+'管理费用'!K10+'蓝恐龙费用'!K10</x:f>
        <x:v>583.4599999999999</x:v>
      </x:c>
      <x:c r="L10" s="3" t="n">
        <x:f>'销售费用'!L10+'管理费用'!L10+'蓝恐龙费用'!L10</x:f>
        <x:v>579.7</x:v>
      </x:c>
      <x:c r="M10" s="3" t="n">
        <x:f>'销售费用'!M10+'管理费用'!M10+'蓝恐龙费用'!M10</x:f>
        <x:v>792.9200000000001</x:v>
      </x:c>
      <x:c r="N10" s="3" t="n">
        <x:f>'销售费用'!N10+'管理费用'!N10+'蓝恐龙费用'!N10</x:f>
        <x:v>1247.48</x:v>
      </x:c>
      <x:c r="O10" s="3" t="n">
        <x:f>SUM(C10:N10)</x:f>
        <x:v>8577.19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'销售费用'!C11+'管理费用'!C11+'蓝恐龙费用'!C11</x:f>
        <x:v>898.8699999999999</x:v>
      </x:c>
      <x:c r="D11" s="3" t="n">
        <x:f>'销售费用'!D11+'管理费用'!D11+'蓝恐龙费用'!D11</x:f>
        <x:v>885.05</x:v>
      </x:c>
      <x:c r="E11" s="3" t="n">
        <x:f>'销售费用'!E11+'管理费用'!E11+'蓝恐龙费用'!E11</x:f>
        <x:v>700.44</x:v>
      </x:c>
      <x:c r="F11" s="3" t="n">
        <x:f>'销售费用'!F11+'管理费用'!F11+'蓝恐龙费用'!F11</x:f>
        <x:v>748.89</x:v>
      </x:c>
      <x:c r="G11" s="3" t="n">
        <x:f>'销售费用'!G11+'管理费用'!G11+'蓝恐龙费用'!G11</x:f>
        <x:v>492.38</x:v>
      </x:c>
      <x:c r="H11" s="3" t="n">
        <x:f>'销售费用'!H11+'管理费用'!H11+'蓝恐龙费用'!H11</x:f>
        <x:v>746.35</x:v>
      </x:c>
      <x:c r="I11" s="3" t="n">
        <x:f>'销售费用'!I11+'管理费用'!I11+'蓝恐龙费用'!I11</x:f>
        <x:v>644.52</x:v>
      </x:c>
      <x:c r="J11" s="3" t="n">
        <x:f>'销售费用'!J11+'管理费用'!J11+'蓝恐龙费用'!J11</x:f>
        <x:v>997.56</x:v>
      </x:c>
      <x:c r="K11" s="3" t="n">
        <x:f>'销售费用'!K11+'管理费用'!K11+'蓝恐龙费用'!K11</x:f>
        <x:v>851.6899999999999</x:v>
      </x:c>
      <x:c r="L11" s="3" t="n">
        <x:f>'销售费用'!L11+'管理费用'!L11+'蓝恐龙费用'!L11</x:f>
        <x:v>369.19</x:v>
      </x:c>
      <x:c r="M11" s="3" t="n">
        <x:f>'销售费用'!M11+'管理费用'!M11+'蓝恐龙费用'!M11</x:f>
        <x:v>909.6099999999999</x:v>
      </x:c>
      <x:c r="N11" s="3" t="n">
        <x:f>'销售费用'!N11+'管理费用'!N11+'蓝恐龙费用'!N11</x:f>
        <x:v>378.07000000000005</x:v>
      </x:c>
      <x:c r="O11" s="3" t="n">
        <x:f>SUM(C11:N11)</x:f>
        <x:v>8622.619999999999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'销售费用'!C12+'管理费用'!C12+'蓝恐龙费用'!C12</x:f>
        <x:v>353.25</x:v>
      </x:c>
      <x:c r="D12" s="3" t="n">
        <x:f>'销售费用'!D12+'管理费用'!D12+'蓝恐龙费用'!D12</x:f>
        <x:v>483.09</x:v>
      </x:c>
      <x:c r="E12" s="3" t="n">
        <x:f>'销售费用'!E12+'管理费用'!E12+'蓝恐龙费用'!E12</x:f>
        <x:v>741.37</x:v>
      </x:c>
      <x:c r="F12" s="3" t="n">
        <x:f>'销售费用'!F12+'管理费用'!F12+'蓝恐龙费用'!F12</x:f>
        <x:v>544.1099999999999</x:v>
      </x:c>
      <x:c r="G12" s="3" t="n">
        <x:f>'销售费用'!G12+'管理费用'!G12+'蓝恐龙费用'!G12</x:f>
        <x:v>636.8</x:v>
      </x:c>
      <x:c r="H12" s="3" t="n">
        <x:f>'销售费用'!H12+'管理费用'!H12+'蓝恐龙费用'!H12</x:f>
        <x:v>686.7</x:v>
      </x:c>
      <x:c r="I12" s="3" t="n">
        <x:f>'销售费用'!I12+'管理费用'!I12+'蓝恐龙费用'!I12</x:f>
        <x:v>355.29999999999995</x:v>
      </x:c>
      <x:c r="J12" s="3" t="n">
        <x:f>'销售费用'!J12+'管理费用'!J12+'蓝恐龙费用'!J12</x:f>
        <x:v>832.23</x:v>
      </x:c>
      <x:c r="K12" s="3" t="n">
        <x:f>'销售费用'!K12+'管理费用'!K12+'蓝恐龙费用'!K12</x:f>
        <x:v>584.4</x:v>
      </x:c>
      <x:c r="L12" s="3" t="n">
        <x:f>'销售费用'!L12+'管理费用'!L12+'蓝恐龙费用'!L12</x:f>
        <x:v>705.4</x:v>
      </x:c>
      <x:c r="M12" s="3" t="n">
        <x:f>'销售费用'!M12+'管理费用'!M12+'蓝恐龙费用'!M12</x:f>
        <x:v>564.53</x:v>
      </x:c>
      <x:c r="N12" s="3" t="n">
        <x:f>'销售费用'!N12+'管理费用'!N12+'蓝恐龙费用'!N12</x:f>
        <x:v>596.59</x:v>
      </x:c>
      <x:c r="O12" s="3" t="n">
        <x:f>SUM(C12:N12)</x:f>
        <x:v>7083.7699999999995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'销售费用'!C13+'管理费用'!C13+'蓝恐龙费用'!C13</x:f>
        <x:v>684.96</x:v>
      </x:c>
      <x:c r="D13" s="3" t="n">
        <x:f>'销售费用'!D13+'管理费用'!D13+'蓝恐龙费用'!D13</x:f>
        <x:v>854.66</x:v>
      </x:c>
      <x:c r="E13" s="3" t="n">
        <x:f>'销售费用'!E13+'管理费用'!E13+'蓝恐龙费用'!E13</x:f>
        <x:v>483</x:v>
      </x:c>
      <x:c r="F13" s="3" t="n">
        <x:f>'销售费用'!F13+'管理费用'!F13+'蓝恐龙费用'!F13</x:f>
        <x:v>653.78</x:v>
      </x:c>
      <x:c r="G13" s="3" t="n">
        <x:f>'销售费用'!G13+'管理费用'!G13+'蓝恐龙费用'!G13</x:f>
        <x:v>768.0500000000001</x:v>
      </x:c>
      <x:c r="H13" s="3" t="n">
        <x:f>'销售费用'!H13+'管理费用'!H13+'蓝恐龙费用'!H13</x:f>
        <x:v>717.12</x:v>
      </x:c>
      <x:c r="I13" s="3" t="n">
        <x:f>'销售费用'!I13+'管理费用'!I13+'蓝恐龙费用'!I13</x:f>
        <x:v>607.28</x:v>
      </x:c>
      <x:c r="J13" s="3" t="n">
        <x:f>'销售费用'!J13+'管理费用'!J13+'蓝恐龙费用'!J13</x:f>
        <x:v>806.33</x:v>
      </x:c>
      <x:c r="K13" s="3" t="n">
        <x:f>'销售费用'!K13+'管理费用'!K13+'蓝恐龙费用'!K13</x:f>
        <x:v>513.7</x:v>
      </x:c>
      <x:c r="L13" s="3" t="n">
        <x:f>'销售费用'!L13+'管理费用'!L13+'蓝恐龙费用'!L13</x:f>
        <x:v>1022.37</x:v>
      </x:c>
      <x:c r="M13" s="3" t="n">
        <x:f>'销售费用'!M13+'管理费用'!M13+'蓝恐龙费用'!M13</x:f>
        <x:v>868.0899999999999</x:v>
      </x:c>
      <x:c r="N13" s="3" t="n">
        <x:f>'销售费用'!N13+'管理费用'!N13+'蓝恐龙费用'!N13</x:f>
        <x:v>620.09</x:v>
      </x:c>
      <x:c r="O13" s="3" t="n">
        <x:f>SUM(C13:N13)</x:f>
        <x:v>8599.429999999998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'销售费用'!C14+'管理费用'!C14+'蓝恐龙费用'!C14</x:f>
        <x:v>455.20000000000005</x:v>
      </x:c>
      <x:c r="D14" s="3" t="n">
        <x:f>'销售费用'!D14+'管理费用'!D14+'蓝恐龙费用'!D14</x:f>
        <x:v>909.26</x:v>
      </x:c>
      <x:c r="E14" s="3" t="n">
        <x:f>'销售费用'!E14+'管理费用'!E14+'蓝恐龙费用'!E14</x:f>
        <x:v>443.96000000000004</x:v>
      </x:c>
      <x:c r="F14" s="3" t="n">
        <x:f>'销售费用'!F14+'管理费用'!F14+'蓝恐龙费用'!F14</x:f>
        <x:v>860.2800000000001</x:v>
      </x:c>
      <x:c r="G14" s="3" t="n">
        <x:f>'销售费用'!G14+'管理费用'!G14+'蓝恐龙费用'!G14</x:f>
        <x:v>474.76</x:v>
      </x:c>
      <x:c r="H14" s="3" t="n">
        <x:f>'销售费用'!H14+'管理费用'!H14+'蓝恐龙费用'!H14</x:f>
        <x:v>915</x:v>
      </x:c>
      <x:c r="I14" s="3" t="n">
        <x:f>'销售费用'!I14+'管理费用'!I14+'蓝恐龙费用'!I14</x:f>
        <x:v>406.14000000000004</x:v>
      </x:c>
      <x:c r="J14" s="3" t="n">
        <x:f>'销售费用'!J14+'管理费用'!J14+'蓝恐龙费用'!J14</x:f>
        <x:v>437.04999999999995</x:v>
      </x:c>
      <x:c r="K14" s="3" t="n">
        <x:f>'销售费用'!K14+'管理费用'!K14+'蓝恐龙费用'!K14</x:f>
        <x:v>691.71</x:v>
      </x:c>
      <x:c r="L14" s="3" t="n">
        <x:f>'销售费用'!L14+'管理费用'!L14+'蓝恐龙费用'!L14</x:f>
        <x:v>1113.77</x:v>
      </x:c>
      <x:c r="M14" s="3" t="n">
        <x:f>'销售费用'!M14+'管理费用'!M14+'蓝恐龙费用'!M14</x:f>
        <x:v>623.09</x:v>
      </x:c>
      <x:c r="N14" s="3" t="n">
        <x:f>'销售费用'!N14+'管理费用'!N14+'蓝恐龙费用'!N14</x:f>
        <x:v>805.89</x:v>
      </x:c>
      <x:c r="O14" s="3" t="n">
        <x:f>SUM(C14:N14)</x:f>
        <x:v>8136.1100000000015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'销售费用'!C15+'管理费用'!C15+'蓝恐龙费用'!C15</x:f>
        <x:v>773.98</x:v>
      </x:c>
      <x:c r="D15" s="3" t="n">
        <x:f>'销售费用'!D15+'管理费用'!D15+'蓝恐龙费用'!D15</x:f>
        <x:v>1165.44</x:v>
      </x:c>
      <x:c r="E15" s="3" t="n">
        <x:f>'销售费用'!E15+'管理费用'!E15+'蓝恐龙费用'!E15</x:f>
        <x:v>523.24</x:v>
      </x:c>
      <x:c r="F15" s="3" t="n">
        <x:f>'销售费用'!F15+'管理费用'!F15+'蓝恐龙费用'!F15</x:f>
        <x:v>590.0899999999999</x:v>
      </x:c>
      <x:c r="G15" s="3" t="n">
        <x:f>'销售费用'!G15+'管理费用'!G15+'蓝恐龙费用'!G15</x:f>
        <x:v>709.0699999999999</x:v>
      </x:c>
      <x:c r="H15" s="3" t="n">
        <x:f>'销售费用'!H15+'管理费用'!H15+'蓝恐龙费用'!H15</x:f>
        <x:v>829.86</x:v>
      </x:c>
      <x:c r="I15" s="3" t="n">
        <x:f>'销售费用'!I15+'管理费用'!I15+'蓝恐龙费用'!I15</x:f>
        <x:v>1048.45</x:v>
      </x:c>
      <x:c r="J15" s="3" t="n">
        <x:f>'销售费用'!J15+'管理费用'!J15+'蓝恐龙费用'!J15</x:f>
        <x:v>734.01</x:v>
      </x:c>
      <x:c r="K15" s="3" t="n">
        <x:f>'销售费用'!K15+'管理费用'!K15+'蓝恐龙费用'!K15</x:f>
        <x:v>852.0799999999999</x:v>
      </x:c>
      <x:c r="L15" s="3" t="n">
        <x:f>'销售费用'!L15+'管理费用'!L15+'蓝恐龙费用'!L15</x:f>
        <x:v>610.87</x:v>
      </x:c>
      <x:c r="M15" s="3" t="n">
        <x:f>'销售费用'!M15+'管理费用'!M15+'蓝恐龙费用'!M15</x:f>
        <x:v>965.11</x:v>
      </x:c>
      <x:c r="N15" s="3" t="n">
        <x:f>'销售费用'!N15+'管理费用'!N15+'蓝恐龙费用'!N15</x:f>
        <x:v>647.96</x:v>
      </x:c>
      <x:c r="O15" s="3" t="n">
        <x:f>SUM(C15:N15)</x:f>
        <x:v>9450.16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'销售费用'!C16+'管理费用'!C16+'蓝恐龙费用'!C16</x:f>
        <x:v>356.38</x:v>
      </x:c>
      <x:c r="D16" s="3" t="n">
        <x:f>'销售费用'!D16+'管理费用'!D16+'蓝恐龙费用'!D16</x:f>
        <x:v>1096.9499999999998</x:v>
      </x:c>
      <x:c r="E16" s="3" t="n">
        <x:f>'销售费用'!E16+'管理费用'!E16+'蓝恐龙费用'!E16</x:f>
        <x:v>450.26000000000005</x:v>
      </x:c>
      <x:c r="F16" s="3" t="n">
        <x:f>'销售费用'!F16+'管理费用'!F16+'蓝恐龙费用'!F16</x:f>
        <x:v>1210.1</x:v>
      </x:c>
      <x:c r="G16" s="3" t="n">
        <x:f>'销售费用'!G16+'管理费用'!G16+'蓝恐龙费用'!G16</x:f>
        <x:v>477.65</x:v>
      </x:c>
      <x:c r="H16" s="3" t="n">
        <x:f>'销售费用'!H16+'管理费用'!H16+'蓝恐龙费用'!H16</x:f>
        <x:v>853.34</x:v>
      </x:c>
      <x:c r="I16" s="3" t="n">
        <x:f>'销售费用'!I16+'管理费用'!I16+'蓝恐龙费用'!I16</x:f>
        <x:v>724.46</x:v>
      </x:c>
      <x:c r="J16" s="3" t="n">
        <x:f>'销售费用'!J16+'管理费用'!J16+'蓝恐龙费用'!J16</x:f>
        <x:v>618.23</x:v>
      </x:c>
      <x:c r="K16" s="3" t="n">
        <x:f>'销售费用'!K16+'管理费用'!K16+'蓝恐龙费用'!K16</x:f>
        <x:v>306.89</x:v>
      </x:c>
      <x:c r="L16" s="3" t="n">
        <x:f>'销售费用'!L16+'管理费用'!L16+'蓝恐龙费用'!L16</x:f>
        <x:v>777.5999999999999</x:v>
      </x:c>
      <x:c r="M16" s="3" t="n">
        <x:f>'销售费用'!M16+'管理费用'!M16+'蓝恐龙费用'!M16</x:f>
        <x:v>563.84</x:v>
      </x:c>
      <x:c r="N16" s="3" t="n">
        <x:f>'销售费用'!N16+'管理费用'!N16+'蓝恐龙费用'!N16</x:f>
        <x:v>367.49</x:v>
      </x:c>
      <x:c r="O16" s="3" t="n">
        <x:f>SUM(C16:N16)</x:f>
        <x:v>7803.189999999999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 t="str">
        <x:v>咨询服务费</x:v>
      </x:c>
      <x:c r="C17" s="3" t="n">
        <x:f>'销售费用'!C17+'管理费用'!C17+'蓝恐龙费用'!C17</x:f>
        <x:v>839.44</x:v>
      </x:c>
      <x:c r="D17" s="3" t="n">
        <x:f>'销售费用'!D17+'管理费用'!D17+'蓝恐龙费用'!D17</x:f>
        <x:v>639.9100000000001</x:v>
      </x:c>
      <x:c r="E17" s="3" t="n">
        <x:f>'销售费用'!E17+'管理费用'!E17+'蓝恐龙费用'!E17</x:f>
        <x:v>740.06</x:v>
      </x:c>
      <x:c r="F17" s="3" t="n">
        <x:f>'销售费用'!F17+'管理费用'!F17+'蓝恐龙费用'!F17</x:f>
        <x:v>765.8900000000001</x:v>
      </x:c>
      <x:c r="G17" s="3" t="n">
        <x:f>'销售费用'!G17+'管理费用'!G17+'蓝恐龙费用'!G17</x:f>
        <x:v>1044.24</x:v>
      </x:c>
      <x:c r="H17" s="3" t="n">
        <x:f>'销售费用'!H17+'管理费用'!H17+'蓝恐龙费用'!H17</x:f>
        <x:v>639.1600000000001</x:v>
      </x:c>
      <x:c r="I17" s="3" t="n">
        <x:f>'销售费用'!I17+'管理费用'!I17+'蓝恐龙费用'!I17</x:f>
        <x:v>540.45</x:v>
      </x:c>
      <x:c r="J17" s="3" t="n">
        <x:f>'销售费用'!J17+'管理费用'!J17+'蓝恐龙费用'!J17</x:f>
        <x:v>909.81</x:v>
      </x:c>
      <x:c r="K17" s="3" t="n">
        <x:f>'销售费用'!K17+'管理费用'!K17+'蓝恐龙费用'!K17</x:f>
        <x:v>764.1700000000001</x:v>
      </x:c>
      <x:c r="L17" s="3" t="n">
        <x:f>'销售费用'!L17+'管理费用'!L17+'蓝恐龙费用'!L17</x:f>
        <x:v>666.0600000000001</x:v>
      </x:c>
      <x:c r="M17" s="3" t="n">
        <x:f>'销售费用'!M17+'管理费用'!M17+'蓝恐龙费用'!M17</x:f>
        <x:v>682.16</x:v>
      </x:c>
      <x:c r="N17" s="3" t="n">
        <x:f>'销售费用'!N17+'管理费用'!N17+'蓝恐龙费用'!N17</x:f>
        <x:v>809.52</x:v>
      </x:c>
      <x:c r="O17" s="3" t="n">
        <x:f>SUM(C17:N17)</x:f>
        <x:v>9040.87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'销售费用'!C18+'管理费用'!C18+'蓝恐龙费用'!C18</x:f>
        <x:v>830.4</x:v>
      </x:c>
      <x:c r="D18" s="3" t="n">
        <x:f>'销售费用'!D18+'管理费用'!D18+'蓝恐龙费用'!D18</x:f>
        <x:v>747.88</x:v>
      </x:c>
      <x:c r="E18" s="3" t="n">
        <x:f>'销售费用'!E18+'管理费用'!E18+'蓝恐龙费用'!E18</x:f>
        <x:v>537.13</x:v>
      </x:c>
      <x:c r="F18" s="3" t="n">
        <x:f>'销售费用'!F18+'管理费用'!F18+'蓝恐龙费用'!F18</x:f>
        <x:v>638.45</x:v>
      </x:c>
      <x:c r="G18" s="3" t="n">
        <x:f>'销售费用'!G18+'管理费用'!G18+'蓝恐龙费用'!G18</x:f>
        <x:v>600.4499999999999</x:v>
      </x:c>
      <x:c r="H18" s="3" t="n">
        <x:f>'销售费用'!H18+'管理费用'!H18+'蓝恐龙费用'!H18</x:f>
        <x:v>1226.71</x:v>
      </x:c>
      <x:c r="I18" s="3" t="n">
        <x:f>'销售费用'!I18+'管理费用'!I18+'蓝恐龙费用'!I18</x:f>
        <x:v>825.9200000000001</x:v>
      </x:c>
      <x:c r="J18" s="3" t="n">
        <x:f>'销售费用'!J18+'管理费用'!J18+'蓝恐龙费用'!J18</x:f>
        <x:v>546.84</x:v>
      </x:c>
      <x:c r="K18" s="3" t="n">
        <x:f>'销售费用'!K18+'管理费用'!K18+'蓝恐龙费用'!K18</x:f>
        <x:v>697.56</x:v>
      </x:c>
      <x:c r="L18" s="3" t="n">
        <x:f>'销售费用'!L18+'管理费用'!L18+'蓝恐龙费用'!L18</x:f>
        <x:v>1099.84</x:v>
      </x:c>
      <x:c r="M18" s="3" t="n">
        <x:f>'销售费用'!M18+'管理费用'!M18+'蓝恐龙费用'!M18</x:f>
        <x:v>1098.83</x:v>
      </x:c>
      <x:c r="N18" s="3" t="n">
        <x:f>'销售费用'!N18+'管理费用'!N18+'蓝恐龙费用'!N18</x:f>
        <x:v>476.8</x:v>
      </x:c>
      <x:c r="O18" s="3" t="n">
        <x:f>SUM(C18:N18)</x:f>
        <x:v>9326.81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'销售费用'!C19+'管理费用'!C19+'蓝恐龙费用'!C19</x:f>
        <x:v>357.47</x:v>
      </x:c>
      <x:c r="D19" s="3" t="n">
        <x:f>'销售费用'!D19+'管理费用'!D19+'蓝恐龙费用'!D19</x:f>
        <x:v>703.03</x:v>
      </x:c>
      <x:c r="E19" s="3" t="n">
        <x:f>'销售费用'!E19+'管理费用'!E19+'蓝恐龙费用'!E19</x:f>
        <x:v>498.36</x:v>
      </x:c>
      <x:c r="F19" s="3" t="n">
        <x:f>'销售费用'!F19+'管理费用'!F19+'蓝恐龙费用'!F19</x:f>
        <x:v>484.58000000000004</x:v>
      </x:c>
      <x:c r="G19" s="3" t="n">
        <x:f>'销售费用'!G19+'管理费用'!G19+'蓝恐龙费用'!G19</x:f>
        <x:v>578.86</x:v>
      </x:c>
      <x:c r="H19" s="3" t="n">
        <x:f>'销售费用'!H19+'管理费用'!H19+'蓝恐龙费用'!H19</x:f>
        <x:v>696.61</x:v>
      </x:c>
      <x:c r="I19" s="3" t="n">
        <x:f>'销售费用'!I19+'管理费用'!I19+'蓝恐龙费用'!I19</x:f>
        <x:v>529.36</x:v>
      </x:c>
      <x:c r="J19" s="3" t="n">
        <x:f>'销售费用'!J19+'管理费用'!J19+'蓝恐龙费用'!J19</x:f>
        <x:v>468.28999999999996</x:v>
      </x:c>
      <x:c r="K19" s="3" t="n">
        <x:f>'销售费用'!K19+'管理费用'!K19+'蓝恐龙费用'!K19</x:f>
        <x:v>679.8900000000001</x:v>
      </x:c>
      <x:c r="L19" s="3" t="n">
        <x:f>'销售费用'!L19+'管理费用'!L19+'蓝恐龙费用'!L19</x:f>
        <x:v>627.1099999999999</x:v>
      </x:c>
      <x:c r="M19" s="3" t="n">
        <x:f>'销售费用'!M19+'管理费用'!M19+'蓝恐龙费用'!M19</x:f>
        <x:v>1050.17</x:v>
      </x:c>
      <x:c r="N19" s="3" t="n">
        <x:f>'销售费用'!N19+'管理费用'!N19+'蓝恐龙费用'!N19</x:f>
        <x:v>545.71</x:v>
      </x:c>
      <x:c r="O19" s="3" t="n">
        <x:f>SUM(C19:N19)</x:f>
        <x:v>7219.4400000000005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'销售费用'!C20+'管理费用'!C20+'蓝恐龙费用'!C20</x:f>
        <x:v>2100.9900000000002</x:v>
      </x:c>
      <x:c r="D20" s="3" t="n">
        <x:f>'销售费用'!D20+'管理费用'!D20+'蓝恐龙费用'!D20</x:f>
        <x:v>2100.9900000000002</x:v>
      </x:c>
      <x:c r="E20" s="3" t="n">
        <x:f>'销售费用'!E20+'管理费用'!E20+'蓝恐龙费用'!E20</x:f>
        <x:v>2100.9900000000002</x:v>
      </x:c>
      <x:c r="F20" s="3" t="n">
        <x:f>'销售费用'!F20+'管理费用'!F20+'蓝恐龙费用'!F20</x:f>
        <x:v>2100.9900000000002</x:v>
      </x:c>
      <x:c r="G20" s="3" t="n">
        <x:f>'销售费用'!G20+'管理费用'!G20+'蓝恐龙费用'!G20</x:f>
        <x:v>2100.9900000000002</x:v>
      </x:c>
      <x:c r="H20" s="3" t="n">
        <x:f>'销售费用'!H20+'管理费用'!H20+'蓝恐龙费用'!H20</x:f>
        <x:v>2100.9900000000002</x:v>
      </x:c>
      <x:c r="I20" s="3" t="n">
        <x:f>'销售费用'!I20+'管理费用'!I20+'蓝恐龙费用'!I20</x:f>
        <x:v>2100.9900000000002</x:v>
      </x:c>
      <x:c r="J20" s="3" t="n">
        <x:f>'销售费用'!J20+'管理费用'!J20+'蓝恐龙费用'!J20</x:f>
        <x:v>2100.9900000000002</x:v>
      </x:c>
      <x:c r="K20" s="3" t="n">
        <x:f>'销售费用'!K20+'管理费用'!K20+'蓝恐龙费用'!K20</x:f>
        <x:v>2100.9900000000002</x:v>
      </x:c>
      <x:c r="L20" s="3" t="n">
        <x:f>'销售费用'!L20+'管理费用'!L20+'蓝恐龙费用'!L20</x:f>
        <x:v>2100.9900000000002</x:v>
      </x:c>
      <x:c r="M20" s="3" t="n">
        <x:f>'销售费用'!M20+'管理费用'!M20+'蓝恐龙费用'!M20</x:f>
        <x:v>2100.9900000000002</x:v>
      </x:c>
      <x:c r="N20" s="3" t="n">
        <x:f>'销售费用'!N20+'管理费用'!N20+'蓝恐龙费用'!N20</x:f>
        <x:v>2100.9900000000002</x:v>
      </x:c>
      <x:c r="O20" s="3" t="n">
        <x:f>SUM(C20:N20)</x:f>
        <x:v>25211.88000000001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'销售费用'!C21+'管理费用'!C21+'蓝恐龙费用'!C21</x:f>
        <x:v>732.44</x:v>
      </x:c>
      <x:c r="D21" s="3" t="n">
        <x:f>'销售费用'!D21+'管理费用'!D21+'蓝恐龙费用'!D21</x:f>
        <x:v>894.87</x:v>
      </x:c>
      <x:c r="E21" s="3" t="n">
        <x:f>'销售费用'!E21+'管理费用'!E21+'蓝恐龙费用'!E21</x:f>
        <x:v>589.71</x:v>
      </x:c>
      <x:c r="F21" s="3" t="n">
        <x:f>'销售费用'!F21+'管理费用'!F21+'蓝恐龙费用'!F21</x:f>
        <x:v>793.12</x:v>
      </x:c>
      <x:c r="G21" s="3" t="n">
        <x:f>'销售费用'!G21+'管理费用'!G21+'蓝恐龙费用'!G21</x:f>
        <x:v>318.82</x:v>
      </x:c>
      <x:c r="H21" s="3" t="n">
        <x:f>'销售费用'!H21+'管理费用'!H21+'蓝恐龙费用'!H21</x:f>
        <x:v>676.28</x:v>
      </x:c>
      <x:c r="I21" s="3" t="n">
        <x:f>'销售费用'!I21+'管理费用'!I21+'蓝恐龙费用'!I21</x:f>
        <x:v>508.68000000000006</x:v>
      </x:c>
      <x:c r="J21" s="3" t="n">
        <x:f>'销售费用'!J21+'管理费用'!J21+'蓝恐龙费用'!J21</x:f>
        <x:v>811.34</x:v>
      </x:c>
      <x:c r="K21" s="3" t="n">
        <x:f>'销售费用'!K21+'管理费用'!K21+'蓝恐龙费用'!K21</x:f>
        <x:v>395.16999999999996</x:v>
      </x:c>
      <x:c r="L21" s="3" t="n">
        <x:f>'销售费用'!L21+'管理费用'!L21+'蓝恐龙费用'!L21</x:f>
        <x:v>674.71</x:v>
      </x:c>
      <x:c r="M21" s="3" t="n">
        <x:f>'销售费用'!M21+'管理费用'!M21+'蓝恐龙费用'!M21</x:f>
        <x:v>532.49</x:v>
      </x:c>
      <x:c r="N21" s="3" t="n">
        <x:f>'销售费用'!N21+'管理费用'!N21+'蓝恐龙费用'!N21</x:f>
        <x:v>907.28</x:v>
      </x:c>
      <x:c r="O21" s="3" t="n">
        <x:f>SUM(C21:N21)</x:f>
        <x:v>7834.91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'销售费用'!C22+'管理费用'!C22+'蓝恐龙费用'!C22</x:f>
        <x:v>210.33</x:v>
      </x:c>
      <x:c r="D22" s="3" t="n">
        <x:f>'销售费用'!D22+'管理费用'!D22+'蓝恐龙费用'!D22</x:f>
        <x:v>881.01</x:v>
      </x:c>
      <x:c r="E22" s="3" t="n">
        <x:f>'销售费用'!E22+'管理费用'!E22+'蓝恐龙费用'!E22</x:f>
        <x:v>840.47</x:v>
      </x:c>
      <x:c r="F22" s="3" t="n">
        <x:f>'销售费用'!F22+'管理费用'!F22+'蓝恐龙费用'!F22</x:f>
        <x:v>571.06</x:v>
      </x:c>
      <x:c r="G22" s="3" t="n">
        <x:f>'销售费用'!G22+'管理费用'!G22+'蓝恐龙费用'!G22</x:f>
        <x:v>430.84000000000003</x:v>
      </x:c>
      <x:c r="H22" s="3" t="n">
        <x:f>'销售费用'!H22+'管理费用'!H22+'蓝恐龙费用'!H22</x:f>
        <x:v>884.8900000000001</x:v>
      </x:c>
      <x:c r="I22" s="3" t="n">
        <x:f>'销售费用'!I22+'管理费用'!I22+'蓝恐龙费用'!I22</x:f>
        <x:v>352.56</x:v>
      </x:c>
      <x:c r="J22" s="3" t="n">
        <x:f>'销售费用'!J22+'管理费用'!J22+'蓝恐龙费用'!J22</x:f>
        <x:v>432.28999999999996</x:v>
      </x:c>
      <x:c r="K22" s="3" t="n">
        <x:f>'销售费用'!K22+'管理费用'!K22+'蓝恐龙费用'!K22</x:f>
        <x:v>834.8</x:v>
      </x:c>
      <x:c r="L22" s="3" t="n">
        <x:f>'销售费用'!L22+'管理费用'!L22+'蓝恐龙费用'!L22</x:f>
        <x:v>682.64</x:v>
      </x:c>
      <x:c r="M22" s="3" t="n">
        <x:f>'销售费用'!M22+'管理费用'!M22+'蓝恐龙费用'!M22</x:f>
        <x:v>676.48</x:v>
      </x:c>
      <x:c r="N22" s="3" t="n">
        <x:f>'销售费用'!N22+'管理费用'!N22+'蓝恐龙费用'!N22</x:f>
        <x:v>702.87</x:v>
      </x:c>
      <x:c r="O22" s="3" t="n">
        <x:f>SUM(C22:N22)</x:f>
        <x:v>7500.240000000001</x:v>
      </x:c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'销售费用'!C23+'管理费用'!C23+'蓝恐龙费用'!C23</x:f>
        <x:v>584.94</x:v>
      </x:c>
      <x:c r="D23" s="3" t="n">
        <x:f>'销售费用'!D23+'管理费用'!D23+'蓝恐龙费用'!D23</x:f>
        <x:v>689.76</x:v>
      </x:c>
      <x:c r="E23" s="3" t="n">
        <x:f>'销售费用'!E23+'管理费用'!E23+'蓝恐龙费用'!E23</x:f>
        <x:v>473.92</x:v>
      </x:c>
      <x:c r="F23" s="3" t="n">
        <x:f>'销售费用'!F23+'管理费用'!F23+'蓝恐龙费用'!F23</x:f>
        <x:v>688.71</x:v>
      </x:c>
      <x:c r="G23" s="3" t="n">
        <x:f>'销售费用'!G23+'管理费用'!G23+'蓝恐龙费用'!G23</x:f>
        <x:v>763.1500000000001</x:v>
      </x:c>
      <x:c r="H23" s="3" t="n">
        <x:f>'销售费用'!H23+'管理费用'!H23+'蓝恐龙费用'!H23</x:f>
        <x:v>486.12</x:v>
      </x:c>
      <x:c r="I23" s="3" t="n">
        <x:f>'销售费用'!I23+'管理费用'!I23+'蓝恐龙费用'!I23</x:f>
        <x:v>653.89</x:v>
      </x:c>
      <x:c r="J23" s="3" t="n">
        <x:f>'销售费用'!J23+'管理费用'!J23+'蓝恐龙费用'!J23</x:f>
        <x:v>428.37</x:v>
      </x:c>
      <x:c r="K23" s="3" t="n">
        <x:f>'销售费用'!K23+'管理费用'!K23+'蓝恐龙费用'!K23</x:f>
        <x:v>1067.05</x:v>
      </x:c>
      <x:c r="L23" s="3" t="n">
        <x:f>'销售费用'!L23+'管理费用'!L23+'蓝恐龙费用'!L23</x:f>
        <x:v>457.48</x:v>
      </x:c>
      <x:c r="M23" s="3" t="n">
        <x:f>'销售费用'!M23+'管理费用'!M23+'蓝恐龙费用'!M23</x:f>
        <x:v>815.97</x:v>
      </x:c>
      <x:c r="N23" s="3" t="n">
        <x:f>'销售费用'!N23+'管理费用'!N23+'蓝恐龙费用'!N23</x:f>
        <x:v>1303.76</x:v>
      </x:c>
      <x:c r="O23" s="3" t="n">
        <x:f>SUM(C23:N23)</x:f>
        <x:v>8413.119999999999</x:v>
      </x:c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'销售费用'!C24+'管理费用'!C24+'蓝恐龙费用'!C24</x:f>
        <x:v>849.81</x:v>
      </x:c>
      <x:c r="D24" s="3" t="n">
        <x:f>'销售费用'!D24+'管理费用'!D24+'蓝恐龙费用'!D24</x:f>
        <x:v>539.74</x:v>
      </x:c>
      <x:c r="E24" s="3" t="n">
        <x:f>'销售费用'!E24+'管理费用'!E24+'蓝恐龙费用'!E24</x:f>
        <x:v>732.4300000000001</x:v>
      </x:c>
      <x:c r="F24" s="3" t="n">
        <x:f>'销售费用'!F24+'管理费用'!F24+'蓝恐龙费用'!F24</x:f>
        <x:v>593.5</x:v>
      </x:c>
      <x:c r="G24" s="3" t="n">
        <x:f>'销售费用'!G24+'管理费用'!G24+'蓝恐龙费用'!G24</x:f>
        <x:v>1142.4</x:v>
      </x:c>
      <x:c r="H24" s="3" t="n">
        <x:f>'销售费用'!H24+'管理费用'!H24+'蓝恐龙费用'!H24</x:f>
        <x:v>470.91</x:v>
      </x:c>
      <x:c r="I24" s="3" t="n">
        <x:f>'销售费用'!I24+'管理费用'!I24+'蓝恐龙费用'!I24</x:f>
        <x:v>862.58</x:v>
      </x:c>
      <x:c r="J24" s="3" t="n">
        <x:f>'销售费用'!J24+'管理费用'!J24+'蓝恐龙费用'!J24</x:f>
        <x:v>451.04</x:v>
      </x:c>
      <x:c r="K24" s="3" t="n">
        <x:f>'销售费用'!K24+'管理费用'!K24+'蓝恐龙费用'!K24</x:f>
        <x:v>559.14</x:v>
      </x:c>
      <x:c r="L24" s="3" t="n">
        <x:f>'销售费用'!L24+'管理费用'!L24+'蓝恐龙费用'!L24</x:f>
        <x:v>551.5899999999999</x:v>
      </x:c>
      <x:c r="M24" s="3" t="n">
        <x:f>'销售费用'!M24+'管理费用'!M24+'蓝恐龙费用'!M24</x:f>
        <x:v>875.81</x:v>
      </x:c>
      <x:c r="N24" s="3" t="n">
        <x:f>'销售费用'!N24+'管理费用'!N24+'蓝恐龙费用'!N24</x:f>
        <x:v>638.02</x:v>
      </x:c>
      <x:c r="O24" s="3" t="n">
        <x:f>SUM(C24:N24)</x:f>
        <x:v>8266.970000000001</x:v>
      </x:c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'销售费用'!C25+'管理费用'!C25+'蓝恐龙费用'!C25</x:f>
        <x:v>555.13</x:v>
      </x:c>
      <x:c r="D25" s="3" t="n">
        <x:f>'销售费用'!D25+'管理费用'!D25+'蓝恐龙费用'!D25</x:f>
        <x:v>1110.37</x:v>
      </x:c>
      <x:c r="E25" s="3" t="n">
        <x:f>'销售费用'!E25+'管理费用'!E25+'蓝恐龙费用'!E25</x:f>
        <x:v>719.46</x:v>
      </x:c>
      <x:c r="F25" s="3" t="n">
        <x:f>'销售费用'!F25+'管理费用'!F25+'蓝恐龙费用'!F25</x:f>
        <x:v>911.01</x:v>
      </x:c>
      <x:c r="G25" s="3" t="n">
        <x:f>'销售费用'!G25+'管理费用'!G25+'蓝恐龙费用'!G25</x:f>
        <x:v>781.4200000000001</x:v>
      </x:c>
      <x:c r="H25" s="3" t="n">
        <x:f>'销售费用'!H25+'管理费用'!H25+'蓝恐龙费用'!H25</x:f>
        <x:v>547.52</x:v>
      </x:c>
      <x:c r="I25" s="3" t="n">
        <x:f>'销售费用'!I25+'管理费用'!I25+'蓝恐龙费用'!I25</x:f>
        <x:v>1229.95</x:v>
      </x:c>
      <x:c r="J25" s="3" t="n">
        <x:f>'销售费用'!J25+'管理费用'!J25+'蓝恐龙费用'!J25</x:f>
        <x:v>614.76</x:v>
      </x:c>
      <x:c r="K25" s="3" t="n">
        <x:f>'销售费用'!K25+'管理费用'!K25+'蓝恐龙费用'!K25</x:f>
        <x:v>560.03</x:v>
      </x:c>
      <x:c r="L25" s="3" t="n">
        <x:f>'销售费用'!L25+'管理费用'!L25+'蓝恐龙费用'!L25</x:f>
        <x:v>837.97</x:v>
      </x:c>
      <x:c r="M25" s="3" t="n">
        <x:f>'销售费用'!M25+'管理费用'!M25+'蓝恐龙费用'!M25</x:f>
        <x:v>476.73999999999995</x:v>
      </x:c>
      <x:c r="N25" s="3" t="n">
        <x:f>'销售费用'!N25+'管理费用'!N25+'蓝恐龙费用'!N25</x:f>
        <x:v>353.7</x:v>
      </x:c>
      <x:c r="O25" s="3" t="n">
        <x:f>SUM(C25:N25)</x:f>
        <x:v>8698.060000000001</x:v>
      </x:c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'销售费用'!C26+'管理费用'!C26+'蓝恐龙费用'!C26</x:f>
        <x:v>571.02</x:v>
      </x:c>
      <x:c r="D26" s="3" t="n">
        <x:f>'销售费用'!D26+'管理费用'!D26+'蓝恐龙费用'!D26</x:f>
        <x:v>766</x:v>
      </x:c>
      <x:c r="E26" s="3" t="n">
        <x:f>'销售费用'!E26+'管理费用'!E26+'蓝恐龙费用'!E26</x:f>
        <x:v>851.95</x:v>
      </x:c>
      <x:c r="F26" s="3" t="n">
        <x:f>'销售费用'!F26+'管理费用'!F26+'蓝恐龙费用'!F26</x:f>
        <x:v>924.21</x:v>
      </x:c>
      <x:c r="G26" s="3" t="n">
        <x:f>'销售费用'!G26+'管理费用'!G26+'蓝恐龙费用'!G26</x:f>
        <x:v>366.07</x:v>
      </x:c>
      <x:c r="H26" s="3" t="n">
        <x:f>'销售费用'!H26+'管理费用'!H26+'蓝恐龙费用'!H26</x:f>
        <x:v>641.97</x:v>
      </x:c>
      <x:c r="I26" s="3" t="n">
        <x:f>'销售费用'!I26+'管理费用'!I26+'蓝恐龙费用'!I26</x:f>
        <x:v>505.65999999999997</x:v>
      </x:c>
      <x:c r="J26" s="3" t="n">
        <x:f>'销售费用'!J26+'管理费用'!J26+'蓝恐龙费用'!J26</x:f>
        <x:v>638.15</x:v>
      </x:c>
      <x:c r="K26" s="3" t="n">
        <x:f>'销售费用'!K26+'管理费用'!K26+'蓝恐龙费用'!K26</x:f>
        <x:v>623.2</x:v>
      </x:c>
      <x:c r="L26" s="3" t="n">
        <x:f>'销售费用'!L26+'管理费用'!L26+'蓝恐龙费用'!L26</x:f>
        <x:v>667.74</x:v>
      </x:c>
      <x:c r="M26" s="3" t="n">
        <x:f>'销售费用'!M26+'管理费用'!M26+'蓝恐龙费用'!M26</x:f>
        <x:v>576.21</x:v>
      </x:c>
      <x:c r="N26" s="3" t="n">
        <x:f>'销售费用'!N26+'管理费用'!N26+'蓝恐龙费用'!N26</x:f>
        <x:v>707</x:v>
      </x:c>
      <x:c r="O26" s="3" t="n">
        <x:f>SUM(C26:N26)</x:f>
        <x:v>7839.179999999999</x:v>
      </x:c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'销售费用'!C27+'管理费用'!C27+'蓝恐龙费用'!C27</x:f>
        <x:v>702.6500000000001</x:v>
      </x:c>
      <x:c r="D27" s="3" t="n">
        <x:f>'销售费用'!D27+'管理费用'!D27+'蓝恐龙费用'!D27</x:f>
        <x:v>805.3</x:v>
      </x:c>
      <x:c r="E27" s="3" t="n">
        <x:f>'销售费用'!E27+'管理费用'!E27+'蓝恐龙费用'!E27</x:f>
        <x:v>641.9300000000001</x:v>
      </x:c>
      <x:c r="F27" s="3" t="n">
        <x:f>'销售费用'!F27+'管理费用'!F27+'蓝恐龙费用'!F27</x:f>
        <x:v>634.8299999999999</x:v>
      </x:c>
      <x:c r="G27" s="3" t="n">
        <x:f>'销售费用'!G27+'管理费用'!G27+'蓝恐龙费用'!G27</x:f>
        <x:v>964.99</x:v>
      </x:c>
      <x:c r="H27" s="3" t="n">
        <x:f>'销售费用'!H27+'管理费用'!H27+'蓝恐龙费用'!H27</x:f>
        <x:v>676.51</x:v>
      </x:c>
      <x:c r="I27" s="3" t="n">
        <x:f>'销售费用'!I27+'管理费用'!I27+'蓝恐龙费用'!I27</x:f>
        <x:v>900.08</x:v>
      </x:c>
      <x:c r="J27" s="3" t="n">
        <x:f>'销售费用'!J27+'管理费用'!J27+'蓝恐龙费用'!J27</x:f>
        <x:v>605.84</x:v>
      </x:c>
      <x:c r="K27" s="3" t="n">
        <x:f>'销售费用'!K27+'管理费用'!K27+'蓝恐龙费用'!K27</x:f>
        <x:v>962.92</x:v>
      </x:c>
      <x:c r="L27" s="3" t="n">
        <x:f>'销售费用'!L27+'管理费用'!L27+'蓝恐龙费用'!L27</x:f>
        <x:v>712</x:v>
      </x:c>
      <x:c r="M27" s="3" t="n">
        <x:f>'销售费用'!M27+'管理费用'!M27+'蓝恐龙费用'!M27</x:f>
        <x:v>343.96999999999997</x:v>
      </x:c>
      <x:c r="N27" s="3" t="n">
        <x:f>'销售费用'!N27+'管理费用'!N27+'蓝恐龙费用'!N27</x:f>
        <x:v>923.31</x:v>
      </x:c>
      <x:c r="O27" s="3" t="n">
        <x:f>SUM(C27:N27)</x:f>
        <x:v>8874.33</x:v>
      </x:c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'销售费用'!C28+'管理费用'!C28+'蓝恐龙费用'!C28</x:f>
        <x:v>659.4499999999999</x:v>
      </x:c>
      <x:c r="D28" s="3" t="n">
        <x:f>'销售费用'!D28+'管理费用'!D28+'蓝恐龙费用'!D28</x:f>
        <x:v>437.05000000000007</x:v>
      </x:c>
      <x:c r="E28" s="3" t="n">
        <x:f>'销售费用'!E28+'管理费用'!E28+'蓝恐龙费用'!E28</x:f>
        <x:v>700.63</x:v>
      </x:c>
      <x:c r="F28" s="3" t="n">
        <x:f>'销售费用'!F28+'管理费用'!F28+'蓝恐龙费用'!F28</x:f>
        <x:v>859.9399999999999</x:v>
      </x:c>
      <x:c r="G28" s="3" t="n">
        <x:f>'销售费用'!G28+'管理费用'!G28+'蓝恐龙费用'!G28</x:f>
        <x:v>907.03</x:v>
      </x:c>
      <x:c r="H28" s="3" t="n">
        <x:f>'销售费用'!H28+'管理费用'!H28+'蓝恐龙费用'!H28</x:f>
        <x:v>877.6000000000001</x:v>
      </x:c>
      <x:c r="I28" s="3" t="n">
        <x:f>'销售费用'!I28+'管理费用'!I28+'蓝恐龙费用'!I28</x:f>
        <x:v>882.89</x:v>
      </x:c>
      <x:c r="J28" s="3" t="n">
        <x:f>'销售费用'!J28+'管理费用'!J28+'蓝恐龙费用'!J28</x:f>
        <x:v>328.37</x:v>
      </x:c>
      <x:c r="K28" s="3" t="n">
        <x:f>'销售费用'!K28+'管理费用'!K28+'蓝恐龙费用'!K28</x:f>
        <x:v>826.75</x:v>
      </x:c>
      <x:c r="L28" s="3" t="n">
        <x:f>'销售费用'!L28+'管理费用'!L28+'蓝恐龙费用'!L28</x:f>
        <x:v>1078.38</x:v>
      </x:c>
      <x:c r="M28" s="3" t="n">
        <x:f>'销售费用'!M28+'管理费用'!M28+'蓝恐龙费用'!M28</x:f>
        <x:v>493.11</x:v>
      </x:c>
      <x:c r="N28" s="3" t="n">
        <x:f>'销售费用'!N28+'管理费用'!N28+'蓝恐龙费用'!N28</x:f>
        <x:v>862</x:v>
      </x:c>
      <x:c r="O28" s="3" t="n">
        <x:f>SUM(C28:N28)</x:f>
        <x:v>8913.2</x:v>
      </x:c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'销售费用'!C29+'管理费用'!C29+'蓝恐龙费用'!C29</x:f>
        <x:v>0</x:v>
      </x:c>
      <x:c r="D29" s="3" t="n">
        <x:f>'销售费用'!D29+'管理费用'!D29+'蓝恐龙费用'!D29</x:f>
        <x:v>0</x:v>
      </x:c>
      <x:c r="E29" s="3" t="n">
        <x:f>'销售费用'!E29+'管理费用'!E29+'蓝恐龙费用'!E29</x:f>
        <x:v>0</x:v>
      </x:c>
      <x:c r="F29" s="3" t="n">
        <x:f>'销售费用'!F29+'管理费用'!F29+'蓝恐龙费用'!F29</x:f>
        <x:v>0</x:v>
      </x:c>
      <x:c r="G29" s="3" t="n">
        <x:f>'销售费用'!G29+'管理费用'!G29+'蓝恐龙费用'!G29</x:f>
        <x:v>0</x:v>
      </x:c>
      <x:c r="H29" s="3" t="n">
        <x:f>'销售费用'!H29+'管理费用'!H29+'蓝恐龙费用'!H29</x:f>
        <x:v>0</x:v>
      </x:c>
      <x:c r="I29" s="3" t="n">
        <x:f>'销售费用'!I29+'管理费用'!I29+'蓝恐龙费用'!I29</x:f>
        <x:v>0</x:v>
      </x:c>
      <x:c r="J29" s="3" t="n">
        <x:f>'销售费用'!J29+'管理费用'!J29+'蓝恐龙费用'!J29</x:f>
        <x:v>0</x:v>
      </x:c>
      <x:c r="K29" s="3" t="n">
        <x:f>'销售费用'!K29+'管理费用'!K29+'蓝恐龙费用'!K29</x:f>
        <x:v>0</x:v>
      </x:c>
      <x:c r="L29" s="3" t="n">
        <x:f>'销售费用'!L29+'管理费用'!L29+'蓝恐龙费用'!L29</x:f>
        <x:v>0</x:v>
      </x:c>
      <x:c r="M29" s="3" t="n">
        <x:f>'销售费用'!M29+'管理费用'!M29+'蓝恐龙费用'!M29</x:f>
        <x:v>0</x:v>
      </x:c>
      <x:c r="N29" s="3" t="n">
        <x:f>'销售费用'!N29+'管理费用'!N29+'蓝恐龙费用'!N29</x:f>
        <x:v>0</x:v>
      </x:c>
      <x:c r="O29" s="3" t="n">
        <x:f>SUM(C29:N29)</x:f>
        <x:v>0</x:v>
      </x:c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'销售费用'!C30+'管理费用'!C30+'蓝恐龙费用'!C30</x:f>
        <x:v>704.5999999999999</x:v>
      </x:c>
      <x:c r="D30" s="6" t="n">
        <x:f>'销售费用'!D30+'管理费用'!D30+'蓝恐龙费用'!D30</x:f>
        <x:v>651.18</x:v>
      </x:c>
      <x:c r="E30" s="6" t="n">
        <x:f>'销售费用'!E30+'管理费用'!E30+'蓝恐龙费用'!E30</x:f>
        <x:v>495.63</x:v>
      </x:c>
      <x:c r="F30" s="6" t="n">
        <x:f>'销售费用'!F30+'管理费用'!F30+'蓝恐龙费用'!F30</x:f>
        <x:v>766.1800000000001</x:v>
      </x:c>
      <x:c r="G30" s="6" t="n">
        <x:f>'销售费用'!G30+'管理费用'!G30+'蓝恐龙费用'!G30</x:f>
        <x:v>682.6200000000001</x:v>
      </x:c>
      <x:c r="H30" s="6" t="n">
        <x:f>'销售费用'!H30+'管理费用'!H30+'蓝恐龙费用'!H30</x:f>
        <x:v>739.5</x:v>
      </x:c>
      <x:c r="I30" s="6" t="n">
        <x:f>'销售费用'!I30+'管理费用'!I30+'蓝恐龙费用'!I30</x:f>
        <x:v>189.39</x:v>
      </x:c>
      <x:c r="J30" s="6" t="n">
        <x:f>'销售费用'!J30+'管理费用'!J30+'蓝恐龙费用'!J30</x:f>
        <x:v>683.27</x:v>
      </x:c>
      <x:c r="K30" s="6" t="n">
        <x:f>'销售费用'!K30+'管理费用'!K30+'蓝恐龙费用'!K30</x:f>
        <x:v>790.4100000000001</x:v>
      </x:c>
      <x:c r="L30" s="6" t="n">
        <x:f>'销售费用'!L30+'管理费用'!L30+'蓝恐龙费用'!L30</x:f>
        <x:v>1092.07</x:v>
      </x:c>
      <x:c r="M30" s="6" t="n">
        <x:f>'销售费用'!M30+'管理费用'!M30+'蓝恐龙费用'!M30</x:f>
        <x:v>835.3299999999999</x:v>
      </x:c>
      <x:c r="N30" s="6" t="n">
        <x:f>'销售费用'!N30+'管理费用'!N30+'蓝恐龙费用'!N30</x:f>
        <x:v>660.97</x:v>
      </x:c>
      <x:c r="O30" s="6" t="n">
        <x:f>SUM(C30:N30)</x:f>
        <x:v>8291.15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'销售费用'!C31+'管理费用'!C31+'蓝恐龙费用'!C31</x:f>
        <x:v>897.73</x:v>
      </x:c>
      <x:c r="D31" s="3" t="n">
        <x:f>'销售费用'!D31+'管理费用'!D31+'蓝恐龙费用'!D31</x:f>
        <x:v>340.83</x:v>
      </x:c>
      <x:c r="E31" s="3" t="n">
        <x:f>'销售费用'!E31+'管理费用'!E31+'蓝恐龙费用'!E31</x:f>
        <x:v>461.79</x:v>
      </x:c>
      <x:c r="F31" s="3" t="n">
        <x:f>'销售费用'!F31+'管理费用'!F31+'蓝恐龙费用'!F31</x:f>
        <x:v>860.57</x:v>
      </x:c>
      <x:c r="G31" s="3" t="n">
        <x:f>'销售费用'!G31+'管理费用'!G31+'蓝恐龙费用'!G31</x:f>
        <x:v>362.25</x:v>
      </x:c>
      <x:c r="H31" s="3" t="n">
        <x:f>'销售费用'!H31+'管理费用'!H31+'蓝恐龙费用'!H31</x:f>
        <x:v>680.26</x:v>
      </x:c>
      <x:c r="I31" s="3" t="n">
        <x:f>'销售费用'!I31+'管理费用'!I31+'蓝恐龙费用'!I31</x:f>
        <x:v>511.44</x:v>
      </x:c>
      <x:c r="J31" s="3" t="n">
        <x:f>'销售费用'!J31+'管理费用'!J31+'蓝恐龙费用'!J31</x:f>
        <x:v>570.8299999999999</x:v>
      </x:c>
      <x:c r="K31" s="3" t="n">
        <x:f>'销售费用'!K31+'管理费用'!K31+'蓝恐龙费用'!K31</x:f>
        <x:v>436.98</x:v>
      </x:c>
      <x:c r="L31" s="3" t="n">
        <x:f>'销售费用'!L31+'管理费用'!L31+'蓝恐龙费用'!L31</x:f>
        <x:v>1237.62</x:v>
      </x:c>
      <x:c r="M31" s="3" t="n">
        <x:f>'销售费用'!M31+'管理费用'!M31+'蓝恐龙费用'!M31</x:f>
        <x:v>749.53</x:v>
      </x:c>
      <x:c r="N31" s="3" t="n">
        <x:f>'销售费用'!N31+'管理费用'!N31+'蓝恐龙费用'!N31</x:f>
        <x:v>411.21</x:v>
      </x:c>
      <x:c r="O31" s="3" t="n">
        <x:f>SUM(C31:N31)</x:f>
        <x:v>7521.04</x:v>
      </x:c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'销售费用'!C32+'管理费用'!C32+'蓝恐龙费用'!C32</x:f>
        <x:v>656.18</x:v>
      </x:c>
      <x:c r="D32" s="3" t="n">
        <x:f>'销售费用'!D32+'管理费用'!D32+'蓝恐龙费用'!D32</x:f>
        <x:v>456</x:v>
      </x:c>
      <x:c r="E32" s="3" t="n">
        <x:f>'销售费用'!E32+'管理费用'!E32+'蓝恐龙费用'!E32</x:f>
        <x:v>844.28</x:v>
      </x:c>
      <x:c r="F32" s="3" t="n">
        <x:f>'销售费用'!F32+'管理费用'!F32+'蓝恐龙费用'!F32</x:f>
        <x:v>472.16999999999996</x:v>
      </x:c>
      <x:c r="G32" s="3" t="n">
        <x:f>'销售费用'!G32+'管理费用'!G32+'蓝恐龙费用'!G32</x:f>
        <x:v>626.9000000000001</x:v>
      </x:c>
      <x:c r="H32" s="3" t="n">
        <x:f>'销售费用'!H32+'管理费用'!H32+'蓝恐龙费用'!H32</x:f>
        <x:v>862.4200000000001</x:v>
      </x:c>
      <x:c r="I32" s="3" t="n">
        <x:f>'销售费用'!I32+'管理费用'!I32+'蓝恐龙费用'!I32</x:f>
        <x:v>804.06</x:v>
      </x:c>
      <x:c r="J32" s="3" t="n">
        <x:f>'销售费用'!J32+'管理费用'!J32+'蓝恐龙费用'!J32</x:f>
        <x:v>768.9200000000001</x:v>
      </x:c>
      <x:c r="K32" s="3" t="n">
        <x:f>'销售费用'!K32+'管理费用'!K32+'蓝恐龙费用'!K32</x:f>
        <x:v>707.89</x:v>
      </x:c>
      <x:c r="L32" s="3" t="n">
        <x:f>'销售费用'!L32+'管理费用'!L32+'蓝恐龙费用'!L32</x:f>
        <x:v>612.66</x:v>
      </x:c>
      <x:c r="M32" s="3" t="n">
        <x:f>'销售费用'!M32+'管理费用'!M32+'蓝恐龙费用'!M32</x:f>
        <x:v>951.09</x:v>
      </x:c>
      <x:c r="N32" s="3" t="n">
        <x:f>'销售费用'!N32+'管理费用'!N32+'蓝恐龙费用'!N32</x:f>
        <x:v>564.82</x:v>
      </x:c>
      <x:c r="O32" s="3" t="n">
        <x:f>SUM(C32:N32)</x:f>
        <x:v>8327.390000000001</x:v>
      </x:c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'销售费用'!C33+'管理费用'!C33+'蓝恐龙费用'!C33</x:f>
        <x:v>435.19</x:v>
      </x:c>
      <x:c r="D33" s="3" t="n">
        <x:f>'销售费用'!D33+'管理费用'!D33+'蓝恐龙费用'!D33</x:f>
        <x:v>790.77</x:v>
      </x:c>
      <x:c r="E33" s="3" t="n">
        <x:f>'销售费用'!E33+'管理费用'!E33+'蓝恐龙费用'!E33</x:f>
        <x:v>487.15</x:v>
      </x:c>
      <x:c r="F33" s="3" t="n">
        <x:f>'销售费用'!F33+'管理费用'!F33+'蓝恐龙费用'!F33</x:f>
        <x:v>829.41</x:v>
      </x:c>
      <x:c r="G33" s="3" t="n">
        <x:f>'销售费用'!G33+'管理费用'!G33+'蓝恐龙费用'!G33</x:f>
        <x:v>919.6600000000001</x:v>
      </x:c>
      <x:c r="H33" s="3" t="n">
        <x:f>'销售费用'!H33+'管理费用'!H33+'蓝恐龙费用'!H33</x:f>
        <x:v>591.9000000000001</x:v>
      </x:c>
      <x:c r="I33" s="3" t="n">
        <x:f>'销售费用'!I33+'管理费用'!I33+'蓝恐龙费用'!I33</x:f>
        <x:v>785.64</x:v>
      </x:c>
      <x:c r="J33" s="3" t="n">
        <x:f>'销售费用'!J33+'管理费用'!J33+'蓝恐龙费用'!J33</x:f>
        <x:v>459.07</x:v>
      </x:c>
      <x:c r="K33" s="3" t="n">
        <x:f>'销售费用'!K33+'管理费用'!K33+'蓝恐龙费用'!K33</x:f>
        <x:v>713.65</x:v>
      </x:c>
      <x:c r="L33" s="3" t="n">
        <x:f>'销售费用'!L33+'管理费用'!L33+'蓝恐龙费用'!L33</x:f>
        <x:v>1026.62</x:v>
      </x:c>
      <x:c r="M33" s="3" t="n">
        <x:f>'销售费用'!M33+'管理费用'!M33+'蓝恐龙费用'!M33</x:f>
        <x:v>1028.12</x:v>
      </x:c>
      <x:c r="N33" s="3" t="n">
        <x:f>'销售费用'!N33+'管理费用'!N33+'蓝恐龙费用'!N33</x:f>
        <x:v>907.29</x:v>
      </x:c>
      <x:c r="O33" s="3" t="n">
        <x:f>SUM(C33:N33)</x:f>
        <x:v>8974.47</x:v>
      </x:c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20114.559999999998</x:v>
      </x:c>
      <x:c r="D34" s="3" t="n">
        <x:f>SUM(D4:D33)</x:f>
        <x:v>22258.260000000002</x:v>
      </x:c>
      <x:c r="E34" s="3" t="n">
        <x:f>SUM(E4:E33)</x:f>
        <x:v>19718.350000000002</x:v>
      </x:c>
      <x:c r="F34" s="3" t="n">
        <x:f>SUM(F4:F33)</x:f>
        <x:v>22760.05999999999</x:v>
      </x:c>
      <x:c r="G34" s="3" t="n">
        <x:f>SUM(G4:G33)</x:f>
        <x:v>21568.420000000002</x:v>
      </x:c>
      <x:c r="H34" s="3" t="n">
        <x:f>SUM(H4:H33)</x:f>
        <x:v>22338.730000000003</x:v>
      </x:c>
      <x:c r="I34" s="3" t="n">
        <x:f>SUM(I4:I33)</x:f>
        <x:v>20575.530000000002</x:v>
      </x:c>
      <x:c r="J34" s="3" t="n">
        <x:f>SUM(J4:J33)</x:f>
        <x:v>19707.66999999999</x:v>
      </x:c>
      <x:c r="K34" s="3" t="n">
        <x:f>SUM(K4:K33)</x:f>
        <x:v>21821.129999999994</x:v>
      </x:c>
      <x:c r="L34" s="3" t="n">
        <x:f>SUM(L4:L33)</x:f>
        <x:v>22793.719999999994</x:v>
      </x:c>
      <x:c r="M34" s="3" t="n">
        <x:f>SUM(M4:M33)</x:f>
        <x:v>22702.059999999998</x:v>
      </x:c>
      <x:c r="N34" s="3" t="n">
        <x:f>SUM(N4:N33)</x:f>
        <x:v>22628.150000000005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 t="str">
        <x:v>预算基础月度勾稽</x:v>
      </x:c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2:B42"/>
    <x:mergeCell ref="A43:B43"/>
    <x:mergeCell ref="A44:B44"/>
    <x:mergeCell ref="A45:B45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日期</x:v>
      </x:c>
      <x:c r="C2" s="3"/>
      <x:c r="D2" s="3"/>
      <x:c r="E2" s="3"/>
      <x:c r="F2" s="3"/>
      <x:c r="G2" s="3"/>
      <x:c r="H2" s="3" t="str">
        <x:v>金额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摘要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 t="str">
        <x:v>合计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预算基础内部底稿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摊销资产原值</x:v>
      </x:c>
      <x:c r="C31" s="4" t="n">
        <x:v>98746.7</x:v>
      </x:c>
      <x:c r="D31" s="3" t="n">
        <x:f>$C$31</x:f>
        <x:v>98746.7</x:v>
      </x:c>
      <x:c r="E31" s="3" t="n">
        <x:f>$C$31</x:f>
        <x:v>98746.7</x:v>
      </x:c>
      <x:c r="F31" s="3" t="n">
        <x:f>$C$31</x:f>
        <x:v>98746.7</x:v>
      </x:c>
      <x:c r="G31" s="3" t="n">
        <x:f>$C$31</x:f>
        <x:v>98746.7</x:v>
      </x:c>
      <x:c r="H31" s="3" t="n">
        <x:f>$C$31</x:f>
        <x:v>98746.7</x:v>
      </x:c>
      <x:c r="I31" s="3" t="n">
        <x:f>$C$31</x:f>
        <x:v>98746.7</x:v>
      </x:c>
      <x:c r="J31" s="3" t="n">
        <x:f>$C$31</x:f>
        <x:v>98746.7</x:v>
      </x:c>
      <x:c r="K31" s="3" t="n">
        <x:f>$C$31</x:f>
        <x:v>98746.7</x:v>
      </x:c>
      <x:c r="L31" s="3" t="n">
        <x:f>$C$31</x:f>
        <x:v>98746.7</x:v>
      </x:c>
      <x:c r="M31" s="3" t="n">
        <x:f>$C$31</x:f>
        <x:v>98746.7</x:v>
      </x:c>
      <x:c r="N31" s="3" t="n">
        <x:f>$C$31</x:f>
        <x:v>98746.7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摊销月数</x:v>
      </x:c>
      <x:c r="C32" s="4" t="n">
        <x:v>47</x:v>
      </x:c>
      <x:c r="D32" s="3" t="n">
        <x:f>$C$32</x:f>
        <x:v>47</x:v>
      </x:c>
      <x:c r="E32" s="3" t="n">
        <x:f>$C$32</x:f>
        <x:v>47</x:v>
      </x:c>
      <x:c r="F32" s="3" t="n">
        <x:f>$C$32</x:f>
        <x:v>47</x:v>
      </x:c>
      <x:c r="G32" s="3" t="n">
        <x:f>$C$32</x:f>
        <x:v>47</x:v>
      </x:c>
      <x:c r="H32" s="3" t="n">
        <x:f>$C$32</x:f>
        <x:v>47</x:v>
      </x:c>
      <x:c r="I32" s="3" t="n">
        <x:f>$C$32</x:f>
        <x:v>47</x:v>
      </x:c>
      <x:c r="J32" s="3" t="n">
        <x:f>$C$32</x:f>
        <x:v>47</x:v>
      </x:c>
      <x:c r="K32" s="3" t="n">
        <x:f>$C$32</x:f>
        <x:v>47</x:v>
      </x:c>
      <x:c r="L32" s="3" t="n">
        <x:f>$C$32</x:f>
        <x:v>47</x:v>
      </x:c>
      <x:c r="M32" s="3" t="n">
        <x:f>$C$32</x:f>
        <x:v>47</x:v>
      </x:c>
      <x:c r="N32" s="3" t="n">
        <x:f>$C$32</x:f>
        <x:v>47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本月摊销</x:v>
      </x:c>
      <x:c r="C33" s="3" t="n">
        <x:f>ROUND(C31/MAX(C32,1),2)</x:f>
        <x:v>2100.99</x:v>
      </x:c>
      <x:c r="D33" s="3" t="n">
        <x:f>ROUND(D31/MAX(D32,1),2)</x:f>
        <x:v>2100.99</x:v>
      </x:c>
      <x:c r="E33" s="3" t="n">
        <x:f>ROUND(E31/MAX(E32,1),2)</x:f>
        <x:v>2100.99</x:v>
      </x:c>
      <x:c r="F33" s="3" t="n">
        <x:f>ROUND(F31/MAX(F32,1),2)</x:f>
        <x:v>2100.99</x:v>
      </x:c>
      <x:c r="G33" s="3" t="n">
        <x:f>ROUND(G31/MAX(G32,1),2)</x:f>
        <x:v>2100.99</x:v>
      </x:c>
      <x:c r="H33" s="3" t="n">
        <x:f>ROUND(H31/MAX(H32,1),2)</x:f>
        <x:v>2100.99</x:v>
      </x:c>
      <x:c r="I33" s="3" t="n">
        <x:f>ROUND(I31/MAX(I32,1),2)</x:f>
        <x:v>2100.99</x:v>
      </x:c>
      <x:c r="J33" s="3" t="n">
        <x:f>ROUND(J31/MAX(J32,1),2)</x:f>
        <x:v>2100.99</x:v>
      </x:c>
      <x:c r="K33" s="3" t="n">
        <x:f>ROUND(K31/MAX(K32,1),2)</x:f>
        <x:v>2100.99</x:v>
      </x:c>
      <x:c r="L33" s="3" t="n">
        <x:f>ROUND(L31/MAX(L32,1),2)</x:f>
        <x:v>2100.99</x:v>
      </x:c>
      <x:c r="M33" s="3" t="n">
        <x:f>ROUND(M31/MAX(M32,1),2)</x:f>
        <x:v>2100.99</x:v>
      </x:c>
      <x:c r="N33" s="3" t="n">
        <x:f>ROUND(N31/MAX(N32,1),2)</x:f>
        <x:v>2100.99</x:v>
      </x:c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累计已摊销</x:v>
      </x:c>
      <x:c r="C34" s="3" t="n">
        <x:f>SUM($C33:C33)</x:f>
        <x:v>2100.99</x:v>
      </x:c>
      <x:c r="D34" s="3" t="n">
        <x:f>SUM($C33:D33)</x:f>
        <x:v>4201.98</x:v>
      </x:c>
      <x:c r="E34" s="3" t="n">
        <x:f>SUM($C33:E33)</x:f>
        <x:v>6302.969999999999</x:v>
      </x:c>
      <x:c r="F34" s="3" t="n">
        <x:f>SUM($C33:F33)</x:f>
        <x:v>8403.96</x:v>
      </x:c>
      <x:c r="G34" s="3" t="n">
        <x:f>SUM($C33:G33)</x:f>
        <x:v>10504.949999999999</x:v>
      </x:c>
      <x:c r="H34" s="3" t="n">
        <x:f>SUM($C33:H33)</x:f>
        <x:v>12605.939999999999</x:v>
      </x:c>
      <x:c r="I34" s="3" t="n">
        <x:f>SUM($C33:I33)</x:f>
        <x:v>14706.929999999998</x:v>
      </x:c>
      <x:c r="J34" s="3" t="n">
        <x:f>SUM($C33:J33)</x:f>
        <x:v>16807.92</x:v>
      </x:c>
      <x:c r="K34" s="3" t="n">
        <x:f>SUM($C33:K33)</x:f>
        <x:v>18908.909999999996</x:v>
      </x:c>
      <x:c r="L34" s="3" t="n">
        <x:f>SUM($C33:L33)</x:f>
        <x:v>21009.899999999994</x:v>
      </x:c>
      <x:c r="M34" s="3" t="n">
        <x:f>SUM($C33:M33)</x:f>
        <x:v>23110.889999999992</x:v>
      </x:c>
      <x:c r="N34" s="3" t="n">
        <x:f>SUM($C33:N33)</x:f>
        <x:v>25211.87999999999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尚未摊销</x:v>
      </x:c>
      <x:c r="C35" s="3" t="n">
        <x:f>C31-C34</x:f>
        <x:v>96645.70999999999</x:v>
      </x:c>
      <x:c r="D35" s="3" t="n">
        <x:f>D31-D34</x:f>
        <x:v>94544.72</x:v>
      </x:c>
      <x:c r="E35" s="3" t="n">
        <x:f>E31-E34</x:f>
        <x:v>92443.73</x:v>
      </x:c>
      <x:c r="F35" s="3" t="n">
        <x:f>F31-F34</x:f>
        <x:v>90342.73999999999</x:v>
      </x:c>
      <x:c r="G35" s="3" t="n">
        <x:f>G31-G34</x:f>
        <x:v>88241.75</x:v>
      </x:c>
      <x:c r="H35" s="3" t="n">
        <x:f>H31-H34</x:f>
        <x:v>86140.76</x:v>
      </x:c>
      <x:c r="I35" s="3" t="n">
        <x:f>I31-I34</x:f>
        <x:v>84039.77</x:v>
      </x:c>
      <x:c r="J35" s="3" t="n">
        <x:f>J31-J34</x:f>
        <x:v>81938.78</x:v>
      </x:c>
      <x:c r="K35" s="3" t="n">
        <x:f>K31-K34</x:f>
        <x:v>79837.79000000001</x:v>
      </x:c>
      <x:c r="L35" s="3" t="n">
        <x:f>L31-L34</x:f>
        <x:v>77736.8</x:v>
      </x:c>
      <x:c r="M35" s="3" t="n">
        <x:f>M31-M34</x:f>
        <x:v>75635.81</x:v>
      </x:c>
      <x:c r="N35" s="3" t="n">
        <x:f>N31-N34</x:f>
        <x:v>73534.82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摊销起始日</x:v>
      </x:c>
      <x:c r="C36" s="3" t="str">
        <x:v>2027-01-01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.7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摘要</x:v>
      </x:c>
      <x:c r="B1" s="2" t="str">
        <x:v>科目</x:v>
      </x:c>
      <x:c r="C1" s="3" t="str">
        <x:v>借方</x:v>
      </x:c>
      <x:c r="D1" s="3" t="str">
        <x:v>贷方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管理费用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财务费用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财务费用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财务费用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预算基础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蓝色为预算基础输入参数；示例数值为占位；金额单位：元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财务费用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财务费用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管理费用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管理费用</x:v>
      </x:c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 t="str">
        <x:v>管理费用</x:v>
      </x:c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 t="str">
        <x:v>管理费用</x:v>
      </x:c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 t="str">
        <x:v>管理费用</x:v>
      </x:c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 t="str">
        <x:v>管理费用</x:v>
      </x:c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管理费用</x:v>
      </x:c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 t="str">
        <x:v>利息支出</x:v>
      </x:c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 t="str">
        <x:v>财务费用</x:v>
      </x:c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 t="str">
        <x:v>期间</x:v>
      </x:c>
      <x:c r="B150" s="2" t="str">
        <x:v>科目</x:v>
      </x:c>
      <x:c r="C150" s="3" t="str">
        <x:v>借方</x:v>
      </x:c>
      <x:c r="D150" s="3" t="str">
        <x:v>贷方</x:v>
      </x:c>
      <x:c r="E150" s="3" t="str">
        <x:v>说明</x:v>
      </x:c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 t="str">
        <x:v>2027-01</x:v>
      </x:c>
      <x:c r="B151" s="2" t="str">
        <x:v>银行存款</x:v>
      </x:c>
      <x:c r="C151" s="3" t="n">
        <x:f>'利润表'!C61</x:f>
        <x:v>385738.18999999994</x:v>
      </x:c>
      <x:c r="D151" s="3" t="n">
        <x:f>0</x:f>
        <x:v>0</x:v>
      </x:c>
      <x:c r="E151" s="3" t="str">
        <x:v>占位收入分录，非完整总账</x:v>
      </x:c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 t="str">
        <x:v>主营业务收入</x:v>
      </x:c>
      <x:c r="C152" s="3" t="n">
        <x:f>0</x:f>
        <x:v>0</x:v>
      </x:c>
      <x:c r="D152" s="3" t="n">
        <x:f>C151</x:f>
        <x:v>385738.18999999994</x:v>
      </x:c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 t="str">
        <x:v>2027-02</x:v>
      </x:c>
      <x:c r="B153" s="2" t="str">
        <x:v>银行存款</x:v>
      </x:c>
      <x:c r="C153" s="3" t="n">
        <x:f>'利润表'!D61</x:f>
        <x:v>381583.96</x:v>
      </x:c>
      <x:c r="D153" s="3" t="n">
        <x:f>0</x:f>
        <x:v>0</x:v>
      </x:c>
      <x:c r="E153" s="3" t="str">
        <x:v>占位收入分录，非完整总账</x:v>
      </x:c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 t="str">
        <x:v>主营业务收入</x:v>
      </x:c>
      <x:c r="C154" s="3" t="n">
        <x:f>0</x:f>
        <x:v>0</x:v>
      </x:c>
      <x:c r="D154" s="3" t="n">
        <x:f>C153</x:f>
        <x:v>381583.96</x:v>
      </x:c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 t="str">
        <x:v>2027-03</x:v>
      </x:c>
      <x:c r="B155" s="2" t="str">
        <x:v>银行存款</x:v>
      </x:c>
      <x:c r="C155" s="3" t="n">
        <x:f>'利润表'!E61</x:f>
        <x:v>288902.5</x:v>
      </x:c>
      <x:c r="D155" s="3" t="n">
        <x:f>0</x:f>
        <x:v>0</x:v>
      </x:c>
      <x:c r="E155" s="3" t="str">
        <x:v>占位收入分录，非完整总账</x:v>
      </x:c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 t="str">
        <x:v>主营业务收入</x:v>
      </x:c>
      <x:c r="C156" s="3" t="n">
        <x:f>0</x:f>
        <x:v>0</x:v>
      </x:c>
      <x:c r="D156" s="3" t="n">
        <x:f>C155</x:f>
        <x:v>288902.5</x:v>
      </x:c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 t="str">
        <x:v>2027-04</x:v>
      </x:c>
      <x:c r="B157" s="2" t="str">
        <x:v>银行存款</x:v>
      </x:c>
      <x:c r="C157" s="3" t="n">
        <x:f>'利润表'!F61</x:f>
        <x:v>382805.81</x:v>
      </x:c>
      <x:c r="D157" s="3" t="n">
        <x:f>0</x:f>
        <x:v>0</x:v>
      </x:c>
      <x:c r="E157" s="3" t="str">
        <x:v>占位收入分录，非完整总账</x:v>
      </x:c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 t="str">
        <x:v>主营业务收入</x:v>
      </x:c>
      <x:c r="C158" s="3" t="n">
        <x:f>0</x:f>
        <x:v>0</x:v>
      </x:c>
      <x:c r="D158" s="3" t="n">
        <x:f>C157</x:f>
        <x:v>382805.81</x:v>
      </x:c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 t="str">
        <x:v>2027-05</x:v>
      </x:c>
      <x:c r="B159" s="2" t="str">
        <x:v>银行存款</x:v>
      </x:c>
      <x:c r="C159" s="3" t="n">
        <x:f>'利润表'!G61</x:f>
        <x:v>333476.45</x:v>
      </x:c>
      <x:c r="D159" s="3" t="n">
        <x:f>0</x:f>
        <x:v>0</x:v>
      </x:c>
      <x:c r="E159" s="3" t="str">
        <x:v>占位收入分录，非完整总账</x:v>
      </x:c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 t="str">
        <x:v>主营业务收入</x:v>
      </x:c>
      <x:c r="C160" s="3" t="n">
        <x:f>0</x:f>
        <x:v>0</x:v>
      </x:c>
      <x:c r="D160" s="3" t="n">
        <x:f>C159</x:f>
        <x:v>333476.45</x:v>
      </x:c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 t="str">
        <x:v>2027-06</x:v>
      </x:c>
      <x:c r="B161" s="2" t="str">
        <x:v>银行存款</x:v>
      </x:c>
      <x:c r="C161" s="3" t="n">
        <x:f>'利润表'!H61</x:f>
        <x:v>399804.51</x:v>
      </x:c>
      <x:c r="D161" s="3" t="n">
        <x:f>0</x:f>
        <x:v>0</x:v>
      </x:c>
      <x:c r="E161" s="3" t="str">
        <x:v>占位收入分录，非完整总账</x:v>
      </x:c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 t="str">
        <x:v>主营业务收入</x:v>
      </x:c>
      <x:c r="C162" s="3" t="n">
        <x:f>0</x:f>
        <x:v>0</x:v>
      </x:c>
      <x:c r="D162" s="3" t="n">
        <x:f>C161</x:f>
        <x:v>399804.51</x:v>
      </x:c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 t="str">
        <x:v>2027-07</x:v>
      </x:c>
      <x:c r="B163" s="2" t="str">
        <x:v>银行存款</x:v>
      </x:c>
      <x:c r="C163" s="3" t="n">
        <x:f>'利润表'!I61</x:f>
        <x:v>535487.21</x:v>
      </x:c>
      <x:c r="D163" s="3" t="n">
        <x:f>0</x:f>
        <x:v>0</x:v>
      </x:c>
      <x:c r="E163" s="3" t="str">
        <x:v>占位收入分录，非完整总账</x:v>
      </x:c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 t="str">
        <x:v>主营业务收入</x:v>
      </x:c>
      <x:c r="C164" s="3" t="n">
        <x:f>0</x:f>
        <x:v>0</x:v>
      </x:c>
      <x:c r="D164" s="3" t="n">
        <x:f>C163</x:f>
        <x:v>535487.21</x:v>
      </x:c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 t="str">
        <x:v>2027-08</x:v>
      </x:c>
      <x:c r="B165" s="2" t="str">
        <x:v>银行存款</x:v>
      </x:c>
      <x:c r="C165" s="3" t="n">
        <x:f>'利润表'!J61</x:f>
        <x:v>292063.17</x:v>
      </x:c>
      <x:c r="D165" s="3" t="n">
        <x:f>0</x:f>
        <x:v>0</x:v>
      </x:c>
      <x:c r="E165" s="3" t="str">
        <x:v>占位收入分录，非完整总账</x:v>
      </x:c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 t="str">
        <x:v>主营业务收入</x:v>
      </x:c>
      <x:c r="C166" s="3" t="n">
        <x:f>0</x:f>
        <x:v>0</x:v>
      </x:c>
      <x:c r="D166" s="3" t="n">
        <x:f>C165</x:f>
        <x:v>292063.17</x:v>
      </x:c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 t="str">
        <x:v>2027-09</x:v>
      </x:c>
      <x:c r="B167" s="2" t="str">
        <x:v>银行存款</x:v>
      </x:c>
      <x:c r="C167" s="3" t="n">
        <x:f>'利润表'!K61</x:f>
        <x:v>391677.74</x:v>
      </x:c>
      <x:c r="D167" s="3" t="n">
        <x:f>0</x:f>
        <x:v>0</x:v>
      </x:c>
      <x:c r="E167" s="3" t="str">
        <x:v>占位收入分录，非完整总账</x:v>
      </x:c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 t="str">
        <x:v>主营业务收入</x:v>
      </x:c>
      <x:c r="C168" s="3" t="n">
        <x:f>0</x:f>
        <x:v>0</x:v>
      </x:c>
      <x:c r="D168" s="3" t="n">
        <x:f>C167</x:f>
        <x:v>391677.74</x:v>
      </x:c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 t="str">
        <x:v>2027-10</x:v>
      </x:c>
      <x:c r="B169" s="2" t="str">
        <x:v>银行存款</x:v>
      </x:c>
      <x:c r="C169" s="3" t="n">
        <x:f>'利润表'!L61</x:f>
        <x:v>307569.42</x:v>
      </x:c>
      <x:c r="D169" s="3" t="n">
        <x:f>0</x:f>
        <x:v>0</x:v>
      </x:c>
      <x:c r="E169" s="3" t="str">
        <x:v>占位收入分录，非完整总账</x:v>
      </x:c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 t="str">
        <x:v>主营业务收入</x:v>
      </x:c>
      <x:c r="C170" s="3" t="n">
        <x:f>0</x:f>
        <x:v>0</x:v>
      </x:c>
      <x:c r="D170" s="3" t="n">
        <x:f>C169</x:f>
        <x:v>307569.42</x:v>
      </x:c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 t="str">
        <x:v>2027-11</x:v>
      </x:c>
      <x:c r="B171" s="2" t="str">
        <x:v>银行存款</x:v>
      </x:c>
      <x:c r="C171" s="3" t="n">
        <x:f>'利润表'!M61</x:f>
        <x:v>448144.22</x:v>
      </x:c>
      <x:c r="D171" s="3" t="n">
        <x:f>0</x:f>
        <x:v>0</x:v>
      </x:c>
      <x:c r="E171" s="3" t="str">
        <x:v>占位收入分录，非完整总账</x:v>
      </x:c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 t="str">
        <x:v>主营业务收入</x:v>
      </x:c>
      <x:c r="C172" s="3" t="n">
        <x:f>0</x:f>
        <x:v>0</x:v>
      </x:c>
      <x:c r="D172" s="3" t="n">
        <x:f>C171</x:f>
        <x:v>448144.22</x:v>
      </x:c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 t="str">
        <x:v>2027-12</x:v>
      </x:c>
      <x:c r="B173" s="2" t="str">
        <x:v>银行存款</x:v>
      </x:c>
      <x:c r="C173" s="3" t="n">
        <x:f>'利润表'!N61</x:f>
        <x:v>439782.73</x:v>
      </x:c>
      <x:c r="D173" s="3" t="n">
        <x:f>0</x:f>
        <x:v>0</x:v>
      </x:c>
      <x:c r="E173" s="3" t="str">
        <x:v>占位收入分录，非完整总账</x:v>
      </x:c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 t="str">
        <x:v>主营业务收入</x:v>
      </x:c>
      <x:c r="C174" s="3" t="n">
        <x:f>0</x:f>
        <x:v>0</x:v>
      </x:c>
      <x:c r="D174" s="3" t="n">
        <x:f>C173</x:f>
        <x:v>439782.73</x:v>
      </x:c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